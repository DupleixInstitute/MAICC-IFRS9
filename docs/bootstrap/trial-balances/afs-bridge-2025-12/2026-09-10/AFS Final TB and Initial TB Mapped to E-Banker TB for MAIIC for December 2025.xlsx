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b467ef13e0b393/2026/Projects/MAIIC/2. Documents from clients/AFS 2025/"/>
    </mc:Choice>
  </mc:AlternateContent>
  <xr:revisionPtr revIDLastSave="43" documentId="8_{FC191902-C51D-48E8-84C8-0CD2550612FB}" xr6:coauthVersionLast="47" xr6:coauthVersionMax="47" xr10:uidLastSave="{D76A80F0-45CF-4C49-8386-0BF6DDC1568A}"/>
  <bookViews>
    <workbookView xWindow="-110" yWindow="-110" windowWidth="25820" windowHeight="15500" activeTab="3" xr2:uid="{0114B68C-4909-4DAF-BA69-0E1026911867}"/>
  </bookViews>
  <sheets>
    <sheet name="FINAL AFS TB as of 19th Mar 26" sheetId="5" r:id="rId1"/>
    <sheet name="Initial TB Submitted to Auditor" sheetId="1" r:id="rId2"/>
    <sheet name="TB December 2025   " sheetId="2" r:id="rId3"/>
    <sheet name="Final E-Banker TB Dec 2025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</externalReferences>
  <definedNames>
    <definedName name="\">#REF!</definedName>
    <definedName name="\0">#REF!</definedName>
    <definedName name="\a">#REF!</definedName>
    <definedName name="\B">#REF!</definedName>
    <definedName name="\B_49_65_">#REF!</definedName>
    <definedName name="\BS">#REF!</definedName>
    <definedName name="\C">#REF!</definedName>
    <definedName name="\C_66_73_">#REF!</definedName>
    <definedName name="\d">#REF!</definedName>
    <definedName name="\D_SUMMARY_">#REF!</definedName>
    <definedName name="\E">#REF!</definedName>
    <definedName name="\I">#REF!</definedName>
    <definedName name="\M">#REF!</definedName>
    <definedName name="\P">#REF!</definedName>
    <definedName name="\R">#REF!</definedName>
    <definedName name="_______________________F375205">[1]Accounts!#REF!</definedName>
    <definedName name="______________________F375205">[1]Accounts!#REF!</definedName>
    <definedName name="_____________________F375205">[1]Accounts!#REF!</definedName>
    <definedName name="____________________F375205">[1]Accounts!#REF!</definedName>
    <definedName name="___________________F375205">[1]Accounts!#REF!</definedName>
    <definedName name="__________________F375205">[1]Accounts!#REF!</definedName>
    <definedName name="_________________F375205">[2]Accounts!#REF!</definedName>
    <definedName name="________________F375205">[2]Accounts!#REF!</definedName>
    <definedName name="_______________F375205">[2]Accounts!#REF!</definedName>
    <definedName name="______________F375205">[3]Accounts!#REF!</definedName>
    <definedName name="_____________F375205">[3]Accounts!#REF!</definedName>
    <definedName name="_____________vat2">#REF!</definedName>
    <definedName name="____________F375205">[1]Accounts!#REF!</definedName>
    <definedName name="____________vat2">#REF!</definedName>
    <definedName name="___________F375205">[1]Accounts!#REF!</definedName>
    <definedName name="___________vat2">#REF!</definedName>
    <definedName name="__________F375205">[1]Accounts!#REF!</definedName>
    <definedName name="__________vat2">#REF!</definedName>
    <definedName name="_________F375205">[1]Accounts!#REF!</definedName>
    <definedName name="_________vat2">#REF!</definedName>
    <definedName name="________F375205">[4]Accounts!#REF!</definedName>
    <definedName name="________vat2">#REF!</definedName>
    <definedName name="_______DAT1">'[5]Auditors Assoc'!$A$4:$A$438</definedName>
    <definedName name="_______DAT10">'[5]Auditors Assoc'!#REF!</definedName>
    <definedName name="_______DAT11">'[5]Auditors Assoc'!#REF!</definedName>
    <definedName name="_______DAT12">'[5]Auditors Assoc'!#REF!</definedName>
    <definedName name="_______DAT13">'[5]Auditors Assoc'!#REF!</definedName>
    <definedName name="_______DAT14">'[5]Auditors Assoc'!#REF!</definedName>
    <definedName name="_______DAT15">'[5]Auditors Assoc'!#REF!</definedName>
    <definedName name="_______DAT16">'[5]Auditors Assoc'!#REF!</definedName>
    <definedName name="_______DAT17">'[5]Auditors Assoc'!$F$4:$F$438</definedName>
    <definedName name="_______DAT2">'[5]Auditors Assoc'!$B$4:$B$438</definedName>
    <definedName name="_______DAT3">'[5]Auditors Assoc'!#REF!</definedName>
    <definedName name="_______DAT4">'[5]Auditors Assoc'!#REF!</definedName>
    <definedName name="_______DAT5">'[5]Auditors Assoc'!$C$4:$C$438</definedName>
    <definedName name="_______DAT6">'[5]Auditors Assoc'!$D$4:$D$438</definedName>
    <definedName name="_______DAT7">'[5]Auditors Assoc'!#REF!</definedName>
    <definedName name="_______DAT8">'[5]Auditors Assoc'!#REF!</definedName>
    <definedName name="_______DAT9">'[5]Auditors Assoc'!$E$4:$E$438</definedName>
    <definedName name="_______F375205">[6]Accounts!#REF!</definedName>
    <definedName name="_______vat2">#REF!</definedName>
    <definedName name="______DAT1">'[5]Auditors Assoc'!$A$4:$A$438</definedName>
    <definedName name="______DAT10">'[5]Auditors Assoc'!#REF!</definedName>
    <definedName name="______DAT11">'[5]Auditors Assoc'!#REF!</definedName>
    <definedName name="______DAT12">'[5]Auditors Assoc'!#REF!</definedName>
    <definedName name="______DAT13">'[5]Auditors Assoc'!#REF!</definedName>
    <definedName name="______DAT14">'[5]Auditors Assoc'!#REF!</definedName>
    <definedName name="______DAT15">'[5]Auditors Assoc'!#REF!</definedName>
    <definedName name="______DAT16">'[5]Auditors Assoc'!#REF!</definedName>
    <definedName name="______DAT17">'[5]Auditors Assoc'!$F$4:$F$438</definedName>
    <definedName name="______DAT2">'[5]Auditors Assoc'!$B$4:$B$438</definedName>
    <definedName name="______DAT3">'[5]Auditors Assoc'!#REF!</definedName>
    <definedName name="______DAT4">'[5]Auditors Assoc'!#REF!</definedName>
    <definedName name="______DAT5">'[5]Auditors Assoc'!$C$4:$C$438</definedName>
    <definedName name="______DAT6">'[5]Auditors Assoc'!$D$4:$D$438</definedName>
    <definedName name="______DAT7">'[5]Auditors Assoc'!#REF!</definedName>
    <definedName name="______DAT8">'[5]Auditors Assoc'!#REF!</definedName>
    <definedName name="______DAT9">'[5]Auditors Assoc'!$E$4:$E$438</definedName>
    <definedName name="______F375205">[6]Accounts!#REF!</definedName>
    <definedName name="______vat2">#REF!</definedName>
    <definedName name="_____DAT1">'[5]Auditors Assoc'!$A$4:$A$438</definedName>
    <definedName name="_____DAT10">'[5]Auditors Assoc'!#REF!</definedName>
    <definedName name="_____DAT11">'[5]Auditors Assoc'!#REF!</definedName>
    <definedName name="_____DAT12">'[5]Auditors Assoc'!#REF!</definedName>
    <definedName name="_____DAT13">'[5]Auditors Assoc'!#REF!</definedName>
    <definedName name="_____DAT14">'[5]Auditors Assoc'!#REF!</definedName>
    <definedName name="_____DAT15">'[5]Auditors Assoc'!#REF!</definedName>
    <definedName name="_____DAT16">'[5]Auditors Assoc'!#REF!</definedName>
    <definedName name="_____DAT17">'[5]Auditors Assoc'!$F$4:$F$438</definedName>
    <definedName name="_____DAT2">'[5]Auditors Assoc'!$B$4:$B$438</definedName>
    <definedName name="_____DAT3">'[5]Auditors Assoc'!#REF!</definedName>
    <definedName name="_____DAT4">'[5]Auditors Assoc'!#REF!</definedName>
    <definedName name="_____DAT5">'[5]Auditors Assoc'!$C$4:$C$438</definedName>
    <definedName name="_____DAT6">'[5]Auditors Assoc'!$D$4:$D$438</definedName>
    <definedName name="_____DAT7">'[5]Auditors Assoc'!#REF!</definedName>
    <definedName name="_____DAT8">'[5]Auditors Assoc'!#REF!</definedName>
    <definedName name="_____DAT9">'[5]Auditors Assoc'!$E$4:$E$438</definedName>
    <definedName name="_____F375205">[6]Accounts!#REF!</definedName>
    <definedName name="_____vat2">#REF!</definedName>
    <definedName name="____DAT1">'[5]Auditors Assoc'!$A$4:$A$438</definedName>
    <definedName name="____DAT10">'[5]Auditors Assoc'!#REF!</definedName>
    <definedName name="____DAT11">'[5]Auditors Assoc'!#REF!</definedName>
    <definedName name="____DAT12">'[5]Auditors Assoc'!#REF!</definedName>
    <definedName name="____DAT13">'[5]Auditors Assoc'!#REF!</definedName>
    <definedName name="____DAT14">'[5]Auditors Assoc'!#REF!</definedName>
    <definedName name="____DAT15">'[5]Auditors Assoc'!#REF!</definedName>
    <definedName name="____DAT16">'[5]Auditors Assoc'!#REF!</definedName>
    <definedName name="____DAT17">'[5]Auditors Assoc'!$F$4:$F$438</definedName>
    <definedName name="____DAT2">'[5]Auditors Assoc'!$B$4:$B$438</definedName>
    <definedName name="____DAT3">'[5]Auditors Assoc'!#REF!</definedName>
    <definedName name="____DAT4">'[5]Auditors Assoc'!#REF!</definedName>
    <definedName name="____DAT5">'[5]Auditors Assoc'!$C$4:$C$438</definedName>
    <definedName name="____DAT6">'[5]Auditors Assoc'!$D$4:$D$438</definedName>
    <definedName name="____DAT7">'[5]Auditors Assoc'!#REF!</definedName>
    <definedName name="____DAT77">'[5]Auditors Assoc'!#REF!</definedName>
    <definedName name="____DAT8">'[5]Auditors Assoc'!#REF!</definedName>
    <definedName name="____DAT9">'[5]Auditors Assoc'!$E$4:$E$438</definedName>
    <definedName name="____F375205">[6]Accounts!#REF!</definedName>
    <definedName name="____May06">[7]is4!$B$6:$F$518</definedName>
    <definedName name="____vat2">#REF!</definedName>
    <definedName name="___DAT1">'[5]Auditors Assoc'!$A$4:$A$438</definedName>
    <definedName name="___DAT10">'[5]Auditors Assoc'!#REF!</definedName>
    <definedName name="___DAT11">'[5]Auditors Assoc'!#REF!</definedName>
    <definedName name="___DAT12">'[5]Auditors Assoc'!#REF!</definedName>
    <definedName name="___DAT13">'[5]Auditors Assoc'!#REF!</definedName>
    <definedName name="___DAT14">'[5]Auditors Assoc'!#REF!</definedName>
    <definedName name="___DAT15">'[5]Auditors Assoc'!#REF!</definedName>
    <definedName name="___DAT16">'[5]Auditors Assoc'!#REF!</definedName>
    <definedName name="___DAT17">'[5]Auditors Assoc'!$F$4:$F$438</definedName>
    <definedName name="___DAT2">'[5]Auditors Assoc'!$B$4:$B$438</definedName>
    <definedName name="___DAT3">'[5]Auditors Assoc'!#REF!</definedName>
    <definedName name="___DAT4">'[5]Auditors Assoc'!#REF!</definedName>
    <definedName name="___DAT5">'[5]Auditors Assoc'!$C$4:$C$438</definedName>
    <definedName name="___DAT6">'[5]Auditors Assoc'!$D$4:$D$438</definedName>
    <definedName name="___DAT7">'[5]Auditors Assoc'!#REF!</definedName>
    <definedName name="___DAT8">'[5]Auditors Assoc'!#REF!</definedName>
    <definedName name="___DAT9">'[5]Auditors Assoc'!$E$4:$E$438</definedName>
    <definedName name="___F375205">[6]Accounts!#REF!</definedName>
    <definedName name="___May06">[7]is4!$B$6:$F$518</definedName>
    <definedName name="___vat2">#REF!</definedName>
    <definedName name="__123Graph_A" hidden="1">'[8]FinStat (No Input)'!#REF!</definedName>
    <definedName name="__123Graph_AAA" hidden="1">'[8]FinStat (No Input)'!#REF!</definedName>
    <definedName name="__123Graph_ACURRENT" hidden="1">'[9]2001'!#REF!</definedName>
    <definedName name="__123Graph_B" hidden="1">[10]Sheet2!#REF!</definedName>
    <definedName name="__123Graph_BCURRENT" hidden="1">'[9]2001'!#REF!</definedName>
    <definedName name="__123Graph_C" hidden="1">[10]Sheet2!#REF!</definedName>
    <definedName name="__123Graph_CCC" hidden="1">[11]Sheet2!#REF!</definedName>
    <definedName name="__123Graph_D" hidden="1">[10]Sheet2!#REF!</definedName>
    <definedName name="__123Graph_DDD" hidden="1">[11]Sheet2!#REF!</definedName>
    <definedName name="__123Graph_E" hidden="1">[10]Sheet2!#REF!</definedName>
    <definedName name="__123Graph_EEE" hidden="1">[11]Sheet2!#REF!</definedName>
    <definedName name="__123Graph_F" hidden="1">[10]Sheet2!#REF!</definedName>
    <definedName name="__123Graph_FF" hidden="1">[11]Sheet2!#REF!</definedName>
    <definedName name="__123Graph_X" hidden="1">'[12]PG 9'!#REF!</definedName>
    <definedName name="__DAT1">'[5]Auditors Assoc'!$A$4:$A$438</definedName>
    <definedName name="__DAT10">'[5]Auditors Assoc'!#REF!</definedName>
    <definedName name="__DAT11">'[5]Auditors Assoc'!#REF!</definedName>
    <definedName name="__DAT12">'[5]Auditors Assoc'!#REF!</definedName>
    <definedName name="__DAT13">'[5]Auditors Assoc'!#REF!</definedName>
    <definedName name="__DAT14">'[5]Auditors Assoc'!#REF!</definedName>
    <definedName name="__DAT15">'[5]Auditors Assoc'!#REF!</definedName>
    <definedName name="__DAT16">'[5]Auditors Assoc'!#REF!</definedName>
    <definedName name="__DAT17">'[5]Auditors Assoc'!$F$4:$F$438</definedName>
    <definedName name="__DAT2">'[5]Auditors Assoc'!$B$4:$B$438</definedName>
    <definedName name="__DAT3">'[5]Auditors Assoc'!#REF!</definedName>
    <definedName name="__DAT4">'[5]Auditors Assoc'!#REF!</definedName>
    <definedName name="__DAT5">'[5]Auditors Assoc'!$C$4:$C$438</definedName>
    <definedName name="__DAT6">'[5]Auditors Assoc'!$D$4:$D$438</definedName>
    <definedName name="__DAT7">'[5]Auditors Assoc'!#REF!</definedName>
    <definedName name="__DAT8">'[5]Auditors Assoc'!#REF!</definedName>
    <definedName name="__DAT9">'[5]Auditors Assoc'!$E$4:$E$438</definedName>
    <definedName name="__F375205">[13]Accounts!#REF!</definedName>
    <definedName name="__FDS_HYPERLINK_TOGGLE_STATE__" hidden="1">"ON"</definedName>
    <definedName name="__FDS_UNIQUE_RANGE_ID_GENERATOR_COUNTER" hidden="1">1</definedName>
    <definedName name="__IntlFixup" hidden="1">TRUE</definedName>
    <definedName name="__IntlFixupTable" hidden="1">#REF!</definedName>
    <definedName name="__May06">[7]is4!$B$6:$F$518</definedName>
    <definedName name="__SRS1">#REF!</definedName>
    <definedName name="__SRS2">#REF!</definedName>
    <definedName name="__vat2">#REF!</definedName>
    <definedName name="_1_1B">#REF!</definedName>
    <definedName name="_111" hidden="1">[14]Sheet2!#REF!</definedName>
    <definedName name="_123Grap" hidden="1">[10]Sheet2!#REF!</definedName>
    <definedName name="_123GrapAAA" hidden="1">[11]Sheet2!#REF!</definedName>
    <definedName name="_123Graph_A" hidden="1">'[8]FinStat (No Input)'!#REF!</definedName>
    <definedName name="_123Graph_AAAA" hidden="1">'[8]FinStat (No Input)'!#REF!</definedName>
    <definedName name="_123Graph_BBB" hidden="1">[11]Sheet2!#REF!</definedName>
    <definedName name="_123Graph_C" hidden="1">[10]Sheet2!#REF!</definedName>
    <definedName name="_123Graph_CCC" hidden="1">[11]Sheet2!#REF!</definedName>
    <definedName name="_14A1">#REF!</definedName>
    <definedName name="_14A2">#REF!</definedName>
    <definedName name="_14B1">#REF!</definedName>
    <definedName name="_14B2">#REF!</definedName>
    <definedName name="_2">#REF!</definedName>
    <definedName name="_2_3">#REF!</definedName>
    <definedName name="_249tax" hidden="1">[14]Sheet2!#REF!</definedName>
    <definedName name="_3_0_0__123Grap" hidden="1">[10]Sheet2!#REF!</definedName>
    <definedName name="_3_0_0__123GrapAAA" hidden="1">[11]Sheet2!#REF!</definedName>
    <definedName name="_3_4ACD">#REF!</definedName>
    <definedName name="_4_2">'[15]Page 2'!#REF!</definedName>
    <definedName name="_4_4ASCH">#REF!</definedName>
    <definedName name="_4A1d">#REF!</definedName>
    <definedName name="_4A2m">#REF!</definedName>
    <definedName name="_4A2s">#REF!</definedName>
    <definedName name="_4B1d">#REF!</definedName>
    <definedName name="_4B2m">#REF!</definedName>
    <definedName name="_4B2s">#REF!</definedName>
    <definedName name="_4C1d">#REF!</definedName>
    <definedName name="_4C2m">#REF!</definedName>
    <definedName name="_4C2s">#REF!</definedName>
    <definedName name="_4D1d">#REF!</definedName>
    <definedName name="_4D2m">#REF!</definedName>
    <definedName name="_4D2s">#REF!</definedName>
    <definedName name="_4E1d">#REF!</definedName>
    <definedName name="_4E2m">#REF!</definedName>
    <definedName name="_4Es">#REF!</definedName>
    <definedName name="_4M">#REF!</definedName>
    <definedName name="_4S">#REF!</definedName>
    <definedName name="_5_4BCD">#REF!</definedName>
    <definedName name="_5_bags_Urea">'[16]systems testing '!#REF!</definedName>
    <definedName name="_6">#REF!</definedName>
    <definedName name="_6_4BSCH">#REF!</definedName>
    <definedName name="_7_4CD">#REF!</definedName>
    <definedName name="_8PYG_A">#REF!</definedName>
    <definedName name="_9PYG_M">#REF!</definedName>
    <definedName name="_a">#REF!</definedName>
    <definedName name="_Acc_Pol_P3">#REF!</definedName>
    <definedName name="_Acc_Pol_P5">#REF!</definedName>
    <definedName name="_ACC1">'[17]Con BS'!$V$71</definedName>
    <definedName name="_CED11">#REF!</definedName>
    <definedName name="_d">#REF!</definedName>
    <definedName name="_DAT1">'[5]Auditors Assoc'!$A$4:$A$438</definedName>
    <definedName name="_DAT10">'[5]Auditors Assoc'!#REF!</definedName>
    <definedName name="_DAT11">'[5]Auditors Assoc'!#REF!</definedName>
    <definedName name="_DAT12">'[5]Auditors Assoc'!#REF!</definedName>
    <definedName name="_DAT13">'[5]Auditors Assoc'!#REF!</definedName>
    <definedName name="_DAT14">'[5]Auditors Assoc'!#REF!</definedName>
    <definedName name="_DAT15">'[5]Auditors Assoc'!#REF!</definedName>
    <definedName name="_DAT16">'[5]Auditors Assoc'!#REF!</definedName>
    <definedName name="_DAT17">'[5]Auditors Assoc'!$F$4:$F$438</definedName>
    <definedName name="_DAT2">'[5]Auditors Assoc'!$B$4:$B$438</definedName>
    <definedName name="_DAT3">'[5]Auditors Assoc'!#REF!</definedName>
    <definedName name="_DAT4">'[5]Auditors Assoc'!#REF!</definedName>
    <definedName name="_DAT5">'[5]Auditors Assoc'!$C$4:$C$438</definedName>
    <definedName name="_DAT6">'[5]Auditors Assoc'!$D$4:$D$438</definedName>
    <definedName name="_DAT7">'[5]Auditors Assoc'!#REF!</definedName>
    <definedName name="_DAT8">'[5]Auditors Assoc'!#REF!</definedName>
    <definedName name="_DAT9">'[5]Auditors Assoc'!$E$4:$E$438</definedName>
    <definedName name="_DR_P3">#REF!</definedName>
    <definedName name="_DR_P4">#REF!</definedName>
    <definedName name="_F375205">[2]Accounts!#REF!</definedName>
    <definedName name="_F375205_18">[2]Accounts!#REF!</definedName>
    <definedName name="_F375205_27">[2]Accounts!#REF!</definedName>
    <definedName name="_F375205_29">[2]Accounts!#REF!</definedName>
    <definedName name="_F375205_32">[2]Accounts!#REF!</definedName>
    <definedName name="_Fill" hidden="1">#REF!</definedName>
    <definedName name="_xlnm._FilterDatabase" localSheetId="3" hidden="1">'Final E-Banker TB Dec 2025'!$A$2:$H$193</definedName>
    <definedName name="_xlnm._FilterDatabase" localSheetId="2" hidden="1">'TB December 2025   '!$A$2:$M$213</definedName>
    <definedName name="_GP">'[5]Auditors Assoc'!#REF!</definedName>
    <definedName name="_i">#REF!</definedName>
    <definedName name="_INV1">'[17]Con BS'!$V$19</definedName>
    <definedName name="_k2" hidden="1">#REF!</definedName>
    <definedName name="_Key1" hidden="1">#REF!</definedName>
    <definedName name="_Key2" hidden="1">#REF!</definedName>
    <definedName name="_May06">[7]is4!$B$6:$F$518</definedName>
    <definedName name="_Order1" hidden="1">255</definedName>
    <definedName name="_Order2" hidden="1">0</definedName>
    <definedName name="_PRT1">#REF!</definedName>
    <definedName name="_PRT10">#REF!</definedName>
    <definedName name="_PRT11">#REF!</definedName>
    <definedName name="_PRT12">#REF!</definedName>
    <definedName name="_PRT2">#REF!</definedName>
    <definedName name="_PRT3">#REF!</definedName>
    <definedName name="_PRT4">#REF!</definedName>
    <definedName name="_PRT5">#REF!</definedName>
    <definedName name="_PRT6">#REF!</definedName>
    <definedName name="_PRT7">#REF!</definedName>
    <definedName name="_PRT8">#REF!</definedName>
    <definedName name="_PRT9">#REF!</definedName>
    <definedName name="_Sort" hidden="1">#REF!</definedName>
    <definedName name="_SRS1">'[18]Loan Amortization Table'!$K$16:$K$256</definedName>
    <definedName name="_SRS2">'[18]Loan Amortization Table'!$L$16:$L$256</definedName>
    <definedName name="_TAX1">[19]TaxCalc!#REF!</definedName>
    <definedName name="_TAX9">[19]CapAllwnc!#REF!</definedName>
    <definedName name="_tbl1">#REF!</definedName>
    <definedName name="_TC9613">'[20]5 D'!#REF!</definedName>
    <definedName name="_vat2">#REF!</definedName>
    <definedName name="a">#REF!</definedName>
    <definedName name="a222fax" hidden="1">[14]Sheet2!#REF!</definedName>
    <definedName name="aa">#REF!</definedName>
    <definedName name="aaa">#REF!</definedName>
    <definedName name="AAA_DOCTOPS" hidden="1">"AAA_SET"</definedName>
    <definedName name="AAA_duser" hidden="1">"OFF"</definedName>
    <definedName name="aaaa">#REF!</definedName>
    <definedName name="aaaaaaaaaaaaaaaaa">#REF!</definedName>
    <definedName name="aaaaaaaaaaaaaaaaaa">#REF!</definedName>
    <definedName name="aaaaaaaaaaaaaaaaaaaaaaaaaaa99999999999999999999999999999999999999999dddddddddddddddddddd" hidden="1">[14]Sheet2!#REF!</definedName>
    <definedName name="aaassa" hidden="1">[21]Sheet2!#REF!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fsa">#REF!</definedName>
    <definedName name="aas" hidden="1">[22]Sheet2!#REF!</definedName>
    <definedName name="aassa" hidden="1">[10]Sheet2!#REF!</definedName>
    <definedName name="aassaa" hidden="1">[11]Sheet2!#REF!</definedName>
    <definedName name="ab">'[23]STANBIC BANK ZKW'!#REF!</definedName>
    <definedName name="abs">#REF!</definedName>
    <definedName name="absa">#REF!</definedName>
    <definedName name="ACC">'[24]Con BS'!$V$71</definedName>
    <definedName name="access">#REF!</definedName>
    <definedName name="Account">#REF!</definedName>
    <definedName name="accounta">#REF!</definedName>
    <definedName name="Act_1">[25]Lookup!$AL:$AL</definedName>
    <definedName name="Actual">[25]Lookup!$K:$K</definedName>
    <definedName name="Actual_1">[26]Lookup!$K:$K</definedName>
    <definedName name="Actual_10">[26]Lookup!$AL:$AL</definedName>
    <definedName name="Actual_11">[26]Lookup!$AO:$AO</definedName>
    <definedName name="Actual_12">[26]Lookup!$AR:$AR</definedName>
    <definedName name="Actual_2">[26]Lookup!$N:$N</definedName>
    <definedName name="Actual_3">[26]Lookup!$Q:$Q</definedName>
    <definedName name="Actual_4">[26]Lookup!$T:$T</definedName>
    <definedName name="Actual_5">[26]Lookup!$W:$W</definedName>
    <definedName name="Actual_6">[26]Lookup!$Z:$Z</definedName>
    <definedName name="Actual_7">[26]Lookup!$AC:$AC</definedName>
    <definedName name="Actual_8">[26]Lookup!$AF:$AF</definedName>
    <definedName name="Actual_9">[26]Lookup!$AI:$AI</definedName>
    <definedName name="ad">'[27]NOTES 7'!#REF!</definedName>
    <definedName name="Additions">#REF!</definedName>
    <definedName name="ADMIN">#REF!</definedName>
    <definedName name="ADSFSDADASA" hidden="1">#REF!</definedName>
    <definedName name="aefwrebhrwhjytk" hidden="1">[21]Sheet2!#REF!</definedName>
    <definedName name="AERF">'[28]Inter Company Interest'!#REF!</definedName>
    <definedName name="aewq" localSheetId="2">DATE(YEAR([0]!qwd),MONTH([0]!qwd)+Payment_Number,DAY([0]!qwd))</definedName>
    <definedName name="aewq">DATE(YEAR(qwd),MONTH(qwd)+Payment_Number,DAY(qwd))</definedName>
    <definedName name="af">#REF!</definedName>
    <definedName name="AFDASDASFDFD" hidden="1">'[29]Changes in equity'!#REF!</definedName>
    <definedName name="aferer" hidden="1">[21]Sheet2!#REF!</definedName>
    <definedName name="affwdc">#REF!</definedName>
    <definedName name="afwea" hidden="1">[21]Sheet2!#REF!</definedName>
    <definedName name="ALCHEMEX_DRILL_SET">"GL_001"</definedName>
    <definedName name="AM" hidden="1">[14]Sheet2!#REF!</definedName>
    <definedName name="an">'[30]Page 4'!#REF!</definedName>
    <definedName name="apm">[31]consol!$Q$7</definedName>
    <definedName name="Apost">[32]Library!$A$20</definedName>
    <definedName name="APPL">[31]danmo!$O$5</definedName>
    <definedName name="Approval_Date">[32]Data!$E$13</definedName>
    <definedName name="ARA_Threshold">#REF!</definedName>
    <definedName name="arerw" hidden="1">[21]Sheet2!#REF!</definedName>
    <definedName name="argasesgwag" hidden="1">[21]Sheet2!#REF!</definedName>
    <definedName name="ARP_Threshold">#REF!</definedName>
    <definedName name="arz" hidden="1">#REF!</definedName>
    <definedName name="as">'[33]Edit check'!#REF!</definedName>
    <definedName name="AS1330005">#REF!</definedName>
    <definedName name="AS2DocOpenMode" hidden="1">"AS2DocumentBrowse"</definedName>
    <definedName name="AS2HasNoAutoHeaderFooter">"OFF"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[11]Sheet2!#REF!</definedName>
    <definedName name="ASDC">'[34]TAX COMPUTATION'!#REF!</definedName>
    <definedName name="ASDCSAC">#REF!</definedName>
    <definedName name="aSDCSAFC" hidden="1">[11]Sheet2!#REF!</definedName>
    <definedName name="ASDFCDS" hidden="1">[11]Sheet2!#REF!</definedName>
    <definedName name="ASDFCSC" hidden="1">[11]Sheet2!#REF!</definedName>
    <definedName name="asdfgh">#REF!</definedName>
    <definedName name="asdfghj">#REF!</definedName>
    <definedName name="ASDFGHJK">#REF!</definedName>
    <definedName name="asdfs" hidden="1">[21]Sheet2!#REF!</definedName>
    <definedName name="ASDSADSA">#REF!</definedName>
    <definedName name="asfas" hidden="1">[21]Sheet2!#REF!</definedName>
    <definedName name="ASFASDFSDAF" hidden="1">#REF!</definedName>
    <definedName name="ASFASFDA" hidden="1">'[29]BALANCE SHEET'!#REF!</definedName>
    <definedName name="asfsa" hidden="1">[21]Sheet2!#REF!</definedName>
    <definedName name="assur_factor">'[35]Page 2 - Population'!#REF!</definedName>
    <definedName name="asxdc">MATCH(0.01,rth,-1)+1</definedName>
    <definedName name="ASXFCV" hidden="1">[11]Sheet2!#REF!</definedName>
    <definedName name="ASzcsx" hidden="1">[11]Sheet2!#REF!</definedName>
    <definedName name="Audit_Date">[32]Data!$E$16</definedName>
    <definedName name="Auditors">[32]Director!#REF!</definedName>
    <definedName name="Auditors_Address1">[32]Data!$E$35</definedName>
    <definedName name="Auditors_Address2">[32]Data!$E$36</definedName>
    <definedName name="Auditors_Address3">[32]Data!$E$37</definedName>
    <definedName name="Auditors_Address4">[32]Data!$E$38</definedName>
    <definedName name="Auditors_Address5">[32]Data!$E$39</definedName>
    <definedName name="Auditors_Name">[32]Data!$E$30</definedName>
    <definedName name="Auditors_Type">[32]Data!$E$32</definedName>
    <definedName name="AVE._BALANCES">#REF!</definedName>
    <definedName name="AVERAGE">#REF!</definedName>
    <definedName name="Avg_rate">#REF!</definedName>
    <definedName name="awtfgy" hidden="1">[22]Sheet2!#REF!</definedName>
    <definedName name="awwwe" hidden="1">#REF!</definedName>
    <definedName name="awwweee" hidden="1">#REF!</definedName>
    <definedName name="awwweeeeee" hidden="1">[21]Sheet2!#REF!</definedName>
    <definedName name="awwwweee">#REF!</definedName>
    <definedName name="axcvdfg">#REF!</definedName>
    <definedName name="b">'[36]deferred tax'!$A$1</definedName>
    <definedName name="B_AVERAGE">#REF!</definedName>
    <definedName name="B_CLOSING">#REF!</definedName>
    <definedName name="back6">#REF!</definedName>
    <definedName name="back7">#REF!</definedName>
    <definedName name="BAL_SHEET">#REF!</definedName>
    <definedName name="BALAN">#REF!</definedName>
    <definedName name="BalTest_Abbreviated.balance.sheet.foot.totals">[32]AbbBS!$E$32,[32]AbbBS!$E$41</definedName>
    <definedName name="BalTest_Abbreviated.balance.sheet.foot.totals.Comparatives">[32]AbbBS!$H$32,[32]AbbBS!$H$41</definedName>
    <definedName name="BalTest_Balance.sheet.foot.totals">[32]BS!#REF!,[32]BS!#REF!</definedName>
    <definedName name="BalTest_Balance.sheet.foot.totals.Comparatives">[32]BS!$G$29,[32]BS!$G$33</definedName>
    <definedName name="BalTest_Capital.redemption.reserve.brought.forward.IfVisible">[32]BS!#REF!,[32]Notes!$G$468</definedName>
    <definedName name="BalTest_Cash.flow.foot.totals">[32]CF!#REF!,[32]CF!$D$50</definedName>
    <definedName name="BalTest_Cash.flow.foot.totals.Comparatives">[32]CF!#REF!,[32]CF!$F$50</definedName>
    <definedName name="BalTest_Deferred.tax.brought.forward.IfVisible">[32]Notes!$G$237,[32]Notes!#REF!</definedName>
    <definedName name="BalTest_Fixed.assets.brought.forward.IfVisible">#REF!,#REF!</definedName>
    <definedName name="BalTest_Intangible.fixed.assets.brought.forward.IfVisible">#REF!,#REF!</definedName>
    <definedName name="BalTest_Investments.brought.forward.IfVisible">#REF!,#REF!</definedName>
    <definedName name="BalTest_PL.compared.with.DetailPL">[32]PL!#REF!,[32]DetailPL1!$C$26</definedName>
    <definedName name="BalTest_PL.compared.with.DetailPL.Comparatives">[32]PL!#REF!,[32]DetailPL1!$E$26</definedName>
    <definedName name="BalTest_Profit.and.loss.account.brought.forward.IfVisible">[32]BS!$G$27,[32]Notes!#REF!</definedName>
    <definedName name="BalTest_Revaluation.reserve.brought.forward.IfVisible">[32]BS!$G$26,[32]Notes!$G$459</definedName>
    <definedName name="BalTest_Share.capital.brought.forward.IfVisible">[32]Notes!#REF!,[32]Notes!#REF!</definedName>
    <definedName name="BalTest_Share.premium.brought.forward.IfVisible">[32]BS!#REF!,[32]Notes!$G$449</definedName>
    <definedName name="BalTest_Trial.balance.foot.total.Comparative">[32]TB!#REF!</definedName>
    <definedName name="Bankandcash_Audit_Work_Done">#REF!</definedName>
    <definedName name="BankandCash_Conclusion">#REF!</definedName>
    <definedName name="Barck">#REF!</definedName>
    <definedName name="bb">'[37]1'!$H$19</definedName>
    <definedName name="bbb">[38]INDO!#REF!</definedName>
    <definedName name="bbbb" hidden="1">[10]Sheet2!#REF!</definedName>
    <definedName name="bbbbb" hidden="1">[11]Sheet2!#REF!</definedName>
    <definedName name="bcv">#REF!</definedName>
    <definedName name="be">#REF!</definedName>
    <definedName name="Beg_Bal">#REF!</definedName>
    <definedName name="Beg_Bal1">#REF!</definedName>
    <definedName name="Benin">#REF!</definedName>
    <definedName name="bf">#REF!</definedName>
    <definedName name="BG_Del" hidden="1">15</definedName>
    <definedName name="BG_Ins" hidden="1">4</definedName>
    <definedName name="BG_Mod" hidden="1">6</definedName>
    <definedName name="bgmdc" hidden="1">[21]Sheet2!#REF!</definedName>
    <definedName name="bhg" hidden="1">#REF!</definedName>
    <definedName name="bhjnkui" hidden="1">[21]Sheet2!#REF!</definedName>
    <definedName name="bhr">#REF!</definedName>
    <definedName name="bla">'[37]1'!$C$19</definedName>
    <definedName name="BN" hidden="1">[39]NOTES1!#REF!</definedName>
    <definedName name="bnn">'[37]1'!$H$19</definedName>
    <definedName name="Branch">[25]Lookup!$BJ:$BJ</definedName>
    <definedName name="BS">#REF!</definedName>
    <definedName name="BS_DC_AveGrsPrt">#REF!</definedName>
    <definedName name="BS_DC_AveLTDCon">#REF!</definedName>
    <definedName name="BS_DC_AveNetAss">#REF!</definedName>
    <definedName name="BS_DC_AveNetFxA">#REF!</definedName>
    <definedName name="BS_DC_AveTotAss">#REF!</definedName>
    <definedName name="BS_DD_01">#N/A</definedName>
    <definedName name="BS_DD_02">#N/A</definedName>
    <definedName name="BS_DD_03">#N/A</definedName>
    <definedName name="BS_DD_04">#N/A</definedName>
    <definedName name="BS_DD_05">#N/A</definedName>
    <definedName name="BS_DD_06">#N/A</definedName>
    <definedName name="BS_DD_07">#N/A</definedName>
    <definedName name="BS_DD_08">#N/A</definedName>
    <definedName name="BS_DD_09">#N/A</definedName>
    <definedName name="BS_DD_10">#N/A</definedName>
    <definedName name="BS_DD_11">#N/A</definedName>
    <definedName name="BS_DD_12">#N/A</definedName>
    <definedName name="BS_DD_13">#N/A</definedName>
    <definedName name="BS_DD_14">#N/A</definedName>
    <definedName name="BS_DD_15">#N/A</definedName>
    <definedName name="BS_DETAILS">#REF!</definedName>
    <definedName name="BSAuditExemptionText">[32]BS!#REF!</definedName>
    <definedName name="BSZIM">#REF!</definedName>
    <definedName name="bt">#REF!</definedName>
    <definedName name="btr">#REF!</definedName>
    <definedName name="budget">#REF!</definedName>
    <definedName name="Budget_1">[26]Lookup!$L:$L</definedName>
    <definedName name="Budget_10">[26]Lookup!$AM:$AM</definedName>
    <definedName name="Budget_11">[26]Lookup!$AP:$AP</definedName>
    <definedName name="Budget_12">[26]Lookup!$AS:$AS</definedName>
    <definedName name="Budget_2">[26]Lookup!$O:$O</definedName>
    <definedName name="Budget_3">[26]Lookup!$R:$R</definedName>
    <definedName name="Budget_4">[26]Lookup!$U:$U</definedName>
    <definedName name="Budget_5">[26]Lookup!$X:$X</definedName>
    <definedName name="Budget_6">[26]Lookup!$AA:$AA</definedName>
    <definedName name="Budget_7">[26]Lookup!$AD:$AD</definedName>
    <definedName name="Budget_8">[26]Lookup!$AG:$AG</definedName>
    <definedName name="Budget_9">[26]Lookup!$AJ:$AJ</definedName>
    <definedName name="BUDGETS">#REF!</definedName>
    <definedName name="Burkina_Faso">#REF!</definedName>
    <definedName name="buy">#REF!</definedName>
    <definedName name="bv" hidden="1">#REF!</definedName>
    <definedName name="bvc" hidden="1">#REF!</definedName>
    <definedName name="BVMNB" hidden="1">#REF!</definedName>
    <definedName name="bvvtjyglg" hidden="1">[21]Sheet2!#REF!</definedName>
    <definedName name="bxc" hidden="1">[21]Sheet2!#REF!</definedName>
    <definedName name="by" hidden="1">[22]Sheet2!#REF!</definedName>
    <definedName name="C_LA">#REF!</definedName>
    <definedName name="CA">#REF!</definedName>
    <definedName name="CAB">#REF!</definedName>
    <definedName name="Cameroun">#REF!</definedName>
    <definedName name="CASH_FLOW">#REF!</definedName>
    <definedName name="CASS">'[24]Con BS'!$V$64</definedName>
    <definedName name="CASS1">'[17]Con BS'!$V$64</definedName>
    <definedName name="CB">#REF!</definedName>
    <definedName name="cc">#N/A</definedName>
    <definedName name="ccccc">[40]IncStat!$A$2</definedName>
    <definedName name="CCTOTALSTOCKS">'[24]Con BS'!$BL$126</definedName>
    <definedName name="CCTOTALSTOCKS1">'[17]Con BS'!$BL$126</definedName>
    <definedName name="CD">#REF!</definedName>
    <definedName name="CDB">#REF!</definedName>
    <definedName name="cdwqf">#REF!</definedName>
    <definedName name="ced15D">#REF!</definedName>
    <definedName name="ced15M">#REF!</definedName>
    <definedName name="ced15S">#REF!</definedName>
    <definedName name="CED5_D">#REF!</definedName>
    <definedName name="CED5_M">#REF!</definedName>
    <definedName name="CED5_S">#REF!</definedName>
    <definedName name="ced5A">#REF!</definedName>
    <definedName name="ced5BM">#REF!</definedName>
    <definedName name="ced5BS">#REF!</definedName>
    <definedName name="ced5CM">#REF!</definedName>
    <definedName name="ced5CS">#REF!</definedName>
    <definedName name="CEDULA">#REF!</definedName>
    <definedName name="CF_AccruedExpenses">#REF!</definedName>
    <definedName name="CF_Cash">#REF!</definedName>
    <definedName name="CF_CurrentLTDebit">#REF!</definedName>
    <definedName name="CF_DeferredTax">#REF!</definedName>
    <definedName name="CF_Dividends">#REF!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Payables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LTOTALSTOCKS">'[24]Con BS'!$BL$39</definedName>
    <definedName name="CFLTOTALSTOCKS1">'[17]Con BS'!$BL$39</definedName>
    <definedName name="CFSheetVisible" hidden="1">[32]Settings!$C$47</definedName>
    <definedName name="cfv">#N/A</definedName>
    <definedName name="cgnxf" hidden="1">[21]Sheet2!#REF!</definedName>
    <definedName name="chmdtyyjyt" hidden="1">[21]Sheet2!#REF!</definedName>
    <definedName name="CIB_PAT_Bgt">#REF!</definedName>
    <definedName name="CINCO">#REF!</definedName>
    <definedName name="CIQWBGuid" hidden="1">"444796c1-ed34-48ac-9f4d-a871290df8cc"</definedName>
    <definedName name="clara">'[41]4'!#REF!</definedName>
    <definedName name="CLIAB">'[24]Con BS'!$V$98</definedName>
    <definedName name="CLIAB1">'[17]Con BS'!$V$98</definedName>
    <definedName name="CLIENT_NAME">#REF!</definedName>
    <definedName name="Clos_rate">#REF!</definedName>
    <definedName name="CLOSING">#REF!</definedName>
    <definedName name="cn" hidden="1">[42]Taxcomp!#REF!</definedName>
    <definedName name="CNSSF" hidden="1">[43]Settings!$C$15</definedName>
    <definedName name="Cntry_Name">[44]Set_Up!$B$20</definedName>
    <definedName name="co">'[45]STANBIC BANK ZKW'!#REF!</definedName>
    <definedName name="CO_ASSUM">#REF!</definedName>
    <definedName name="Co_Name">[44]Set_Up!$B$14</definedName>
    <definedName name="Co_No">[44]Set_Up!$B$11</definedName>
    <definedName name="Company">[26]Lookup!$BH:$BH</definedName>
    <definedName name="company_name">[46]Summary!$A$6</definedName>
    <definedName name="Comparative_Period" hidden="1">[32]Settings!$C$58</definedName>
    <definedName name="COMPDATE">TEXT(Comparative_Period,"d mmmm yyyy")</definedName>
    <definedName name="CompYear" hidden="1">[32]Settings!$C$61</definedName>
    <definedName name="cons">'[24]Con BS'!$V$146</definedName>
    <definedName name="cons1">'[17]Con BS'!$V$146</definedName>
    <definedName name="CONSOL">'[24]Con BS'!$V$146</definedName>
    <definedName name="CONSOL1">'[17]Con BS'!$V$146</definedName>
    <definedName name="Contents_RGL">[32]Contents!#REF!</definedName>
    <definedName name="ControlLevels">#REF!</definedName>
    <definedName name="cool">'[47]TAX 2'!#REF!</definedName>
    <definedName name="copi">'[45]STANBIC BANK ZKW'!#REF!</definedName>
    <definedName name="copy">[45]INDO!#REF!</definedName>
    <definedName name="correct">#REF!</definedName>
    <definedName name="COS">#REF!</definedName>
    <definedName name="COSTOS">'[48]10A'!#REF!</definedName>
    <definedName name="Cote_D_Ivoire">#REF!</definedName>
    <definedName name="COVER">#REF!</definedName>
    <definedName name="Cover_Name">[32]Cover!$A$16</definedName>
    <definedName name="CRED">#REF!</definedName>
    <definedName name="_xlnm.Criteria">'[49]B-SHEET WORKINGS2006'!#REF!</definedName>
    <definedName name="crstert">#REF!</definedName>
    <definedName name="CS">#REF!</definedName>
    <definedName name="csDesignMode">1</definedName>
    <definedName name="CUATRO">#REF!</definedName>
    <definedName name="Cum_Int">#REF!</definedName>
    <definedName name="CumBSAve">[7]work3!$A$103:$AQ$170</definedName>
    <definedName name="CumBSBud">[7]work3!$A$173:$AQ$240</definedName>
    <definedName name="CumBSForex">[7]work3!$A$243:$AQ$309</definedName>
    <definedName name="Curr_Name">[44]Set_Up!$B$17</definedName>
    <definedName name="CURRDATE">#N/A</definedName>
    <definedName name="CURRDAY">#N/A</definedName>
    <definedName name="Current_Period" hidden="1">[32]Settings!$C$57</definedName>
    <definedName name="CURRSHORT">TEXT(Current_Period,"d mmm yyyy")</definedName>
    <definedName name="CurrYear" hidden="1">[32]Settings!$C$60</definedName>
    <definedName name="cv">#REF!</definedName>
    <definedName name="cvb">#REF!</definedName>
    <definedName name="CY4b2">#REF!</definedName>
    <definedName name="CY4b2Ac">#REF!</definedName>
    <definedName name="CY4c2">#REF!</definedName>
    <definedName name="CY4c2Ac">#REF!</definedName>
    <definedName name="CY5Suc">#REF!</definedName>
    <definedName name="CY5SucAc">#REF!</definedName>
    <definedName name="D">[19]Input!#REF!</definedName>
    <definedName name="DA_2031945062200001194" hidden="1">#REF!</definedName>
    <definedName name="DA_2031945062200001196" hidden="1">#REF!</definedName>
    <definedName name="DA_2031945062200001199" hidden="1">#REF!</definedName>
    <definedName name="DA_2031945062200001202" hidden="1">#REF!</definedName>
    <definedName name="DA_2031945062200001212" hidden="1">#REF!</definedName>
    <definedName name="DA_2178985365200000426" hidden="1">'[50]RE reconciliation'!#REF!</definedName>
    <definedName name="DA_2178985365200000428" hidden="1">'[50]RE reconciliation'!#REF!</definedName>
    <definedName name="DA_2600602119500004078" hidden="1">#REF!</definedName>
    <definedName name="DA_2600602119500004080" hidden="1">#REF!</definedName>
    <definedName name="DA_2600602119500004083" hidden="1">#REF!</definedName>
    <definedName name="DA_2600602119500004085" hidden="1">#REF!</definedName>
    <definedName name="DA_2605985648800001392" hidden="1">#REF!</definedName>
    <definedName name="DA_2605985648800001396" hidden="1">#REF!</definedName>
    <definedName name="DA_2605985648800001410" hidden="1">#REF!</definedName>
    <definedName name="DA_2605985648800001423" hidden="1">#REF!</definedName>
    <definedName name="DA_2641249348000001733" hidden="1">#REF!</definedName>
    <definedName name="DA_2641249348000001773" hidden="1">#REF!</definedName>
    <definedName name="DA_2641249348000001781" hidden="1">#REF!</definedName>
    <definedName name="DA_2641249348000001787" hidden="1">#REF!</definedName>
    <definedName name="DA_2641249348000001838" hidden="1">#REF!</definedName>
    <definedName name="DA_2641249348000003608" hidden="1">#REF!</definedName>
    <definedName name="DAL_RESERVED">#REF!</definedName>
    <definedName name="DALFirstRange">#REF!</definedName>
    <definedName name="DALS_GrandTotal" hidden="1">#REF!</definedName>
    <definedName name="DALS_Heading">#REF!</definedName>
    <definedName name="Data">#REF!</definedName>
    <definedName name="data1">#REF!</definedName>
    <definedName name="data2">'[51]Loan Data'!$F$18</definedName>
    <definedName name="data3">'[51]Loan Data'!$I$18</definedName>
    <definedName name="data4">'[51]Loan Data'!$F$19</definedName>
    <definedName name="data5">'[51]Loan Data'!$I$19</definedName>
    <definedName name="data6">'[51]Loan Data'!$I$20</definedName>
    <definedName name="data7">#REF!</definedName>
    <definedName name="DataB">#REF!</definedName>
    <definedName name="_xlnm.Database">'[49]B-SHEET WORKINGS2006'!#REF!</definedName>
    <definedName name="DATE">#REF!</definedName>
    <definedName name="Date_18">'[52]Jan Payroll'!#REF!</definedName>
    <definedName name="Date_27">'[52]Jan Payroll'!#REF!</definedName>
    <definedName name="Date_29">'[52]Jan Payroll'!#REF!</definedName>
    <definedName name="Date_32">'[52]Jan Payroll'!#REF!</definedName>
    <definedName name="Date_of_Payment">#N/A</definedName>
    <definedName name="DATE2">'[53]PAGE 1'!$B$2</definedName>
    <definedName name="daterange">[7]specs!$B$7:$E$20</definedName>
    <definedName name="DATES">#REF!</definedName>
    <definedName name="DATOS">#REF!</definedName>
    <definedName name="DBEBT">#REF!</definedName>
    <definedName name="DBEBTS">#REF!</definedName>
    <definedName name="DCColumnYTDOrigin">#N/A</definedName>
    <definedName name="DCColumnYTDPreEnd">#N/A</definedName>
    <definedName name="dcf">#REF!</definedName>
    <definedName name="dcv">#N/A</definedName>
    <definedName name="dd">#REF!</definedName>
    <definedName name="ddd">#REF!</definedName>
    <definedName name="DDDD" hidden="1">#REF!</definedName>
    <definedName name="dddd222" hidden="1">[14]Sheet2!#REF!</definedName>
    <definedName name="DDSDFS" hidden="1">#REF!</definedName>
    <definedName name="de">#REF!</definedName>
    <definedName name="DEBT">#REF!</definedName>
    <definedName name="DEBTORS">#REF!</definedName>
    <definedName name="Decor">[54]Tables!$A$455</definedName>
    <definedName name="DecorPayroll">[54]Tables!$A$490</definedName>
    <definedName name="depreciation">#REF!</definedName>
    <definedName name="Dept" hidden="1">[43]Settings!$K$3:$K$16</definedName>
    <definedName name="df">#REF!</definedName>
    <definedName name="dfg" hidden="1">[22]Sheet2!#REF!</definedName>
    <definedName name="DFGBCVX" hidden="1">[11]Sheet2!#REF!</definedName>
    <definedName name="dfgdc">#REF!</definedName>
    <definedName name="dfgh" hidden="1">[22]Sheet2!#REF!</definedName>
    <definedName name="DFGHJ" hidden="1">#REF!</definedName>
    <definedName name="dfghjk">#REF!</definedName>
    <definedName name="dfjdutik">IF(yerst4*tysrt4*dgdhdgh*jfghfnf&gt;0,1,0)</definedName>
    <definedName name="dflt1">'[51]Customize Your Loan Manager'!$G$21</definedName>
    <definedName name="DFRE">'[28]Inter Company Interest'!#REF!</definedName>
    <definedName name="dfrtyfuyt">#REF!</definedName>
    <definedName name="DFS" hidden="1">[29]NOTES1!#REF!</definedName>
    <definedName name="DFSDFSDFS">#REF!</definedName>
    <definedName name="dfthjgug" hidden="1">[11]Sheet2!#REF!</definedName>
    <definedName name="dfwhfvyej">#N/A</definedName>
    <definedName name="dgdhdgh">#REF!</definedName>
    <definedName name="dh" hidden="1">[22]Sheet2!#REF!</definedName>
    <definedName name="dhtghttuy" hidden="1">[21]Sheet2!#REF!</definedName>
    <definedName name="DIEZ">#REF!</definedName>
    <definedName name="DiffAmtHeader">#REF!</definedName>
    <definedName name="DiffPercentHeader">#REF!</definedName>
    <definedName name="Director">#REF!</definedName>
    <definedName name="DirectorsResponsibilities">[32]Director!#REF!</definedName>
    <definedName name="display_area_2">#REF!</definedName>
    <definedName name="display_area_3">#REF!</definedName>
    <definedName name="DISPOSALS">'[55]FA tax values'!$A$66</definedName>
    <definedName name="DL25fe605d_85bc_4891_b633_0873fafba71a" hidden="1">#REF!</definedName>
    <definedName name="DL6d86a3ce_ac64_4dea_be86_3a1c7fa5030b" hidden="1">#REF!</definedName>
    <definedName name="DOC">#REF!</definedName>
    <definedName name="DOS">#REF!</definedName>
    <definedName name="DR">#REF!</definedName>
    <definedName name="drfg" hidden="1">[22]Sheet2!#REF!</definedName>
    <definedName name="DRSGSDF" hidden="1">#REF!</definedName>
    <definedName name="ds">[56]INDO!#REF!</definedName>
    <definedName name="dsa" hidden="1">[21]Sheet2!#REF!</definedName>
    <definedName name="dsadsa" hidden="1">[21]Sheet2!#REF!</definedName>
    <definedName name="DSF">'[28]Inter Company Interest'!#REF!</definedName>
    <definedName name="DSFDFD" hidden="1">{#N/A,#N/A,FALSE,"Aging Summary";#N/A,#N/A,FALSE,"Ratio Analysis";#N/A,#N/A,FALSE,"Test 120 Day Accts";#N/A,#N/A,FALSE,"Tickmarks"}</definedName>
    <definedName name="DSFGH" hidden="1">#REF!</definedName>
    <definedName name="dsHeader1">[57]Datasheet!$A$1</definedName>
    <definedName name="dsHeader2">[5]Datasheet!$A$2</definedName>
    <definedName name="dsHeader3">[5]Datasheet!$C$3</definedName>
    <definedName name="dsIsChoice">[5]Datasheet!$L$11</definedName>
    <definedName name="dsISHeader1">[5]Datasheet!$A$12</definedName>
    <definedName name="dsISHeader2">[5]Datasheet!$A$14</definedName>
    <definedName name="dsIsHeader3">[5]Datasheet!$A$13</definedName>
    <definedName name="DSP">#REF!</definedName>
    <definedName name="DSPMO">#REF!</definedName>
    <definedName name="DSPTLMO">#REF!</definedName>
    <definedName name="dss" hidden="1">[10]Sheet2!#REF!</definedName>
    <definedName name="DSSDDS" hidden="1">[58]Taxcomp!#REF!</definedName>
    <definedName name="DSSFDSF" hidden="1">#REF!</definedName>
    <definedName name="dtg" hidden="1">[22]Sheet2!#REF!</definedName>
    <definedName name="dthdfh">MATCH(0.01,sgsdgty,-1)+1</definedName>
    <definedName name="DTS">#REF!</definedName>
    <definedName name="dtsr" hidden="1">[22]Sheet2!#REF!</definedName>
    <definedName name="dxs" hidden="1">[59]ITA202A!#REF!</definedName>
    <definedName name="dyhtj" hidden="1">[22]Sheet2!#REF!</definedName>
    <definedName name="E">#REF!</definedName>
    <definedName name="eb">#REF!</definedName>
    <definedName name="ebrt" hidden="1">[22]Sheet2!#REF!</definedName>
    <definedName name="ECONOMIC_ASSUM">#REF!</definedName>
    <definedName name="EDC">#REF!</definedName>
    <definedName name="EditCheck">'[33]Edit check'!#REF!</definedName>
    <definedName name="EDR" hidden="1">#REF!</definedName>
    <definedName name="ee">#REF!</definedName>
    <definedName name="EEDE">#REF!</definedName>
    <definedName name="eee">'[5]Auditors Assoc'!#REF!</definedName>
    <definedName name="eeeeeeeeeeeeeeee">#REF!</definedName>
    <definedName name="eeeeeeeeeeeeeeeeeeeeee">'[28]Inter Company Interest'!#REF!</definedName>
    <definedName name="eew">'[34]DEFERRED TAXATION'!$Q$20</definedName>
    <definedName name="efcredfs">IF([0]!SDDDD,ergdfhtreghfr+[0]!wt5ey,ergdfhtreghfr)</definedName>
    <definedName name="efer">#REF!</definedName>
    <definedName name="efergd" hidden="1">[11]Sheet2!#REF!</definedName>
    <definedName name="EFRDS.AFECEF">'[28]Inter Company Interest'!#REF!</definedName>
    <definedName name="efv" hidden="1">#REF!</definedName>
    <definedName name="EFW">'[28]Inter Company Interest'!#REF!</definedName>
    <definedName name="EIS">#REF!</definedName>
    <definedName name="ELEM0000335" comment="Profit on sale of Vehicle rental fleet - external Current Year">'[60]Main Pack'!#REF!</definedName>
    <definedName name="ELEM0000337" comment="Profit on sale of Vehicle rental fleet - intergroup Current Year">'[60]Main Pack'!#REF!</definedName>
    <definedName name="ELEM0000339" comment="Profit on sale of Vehicle rental fleet - transferred to &quot;Held for Sale&quot; Current Year">'[60]Main Pack'!#REF!</definedName>
    <definedName name="ELEM0000518" comment="Loss on sale of Vehicle rental fleet - external Current Year">'[60]Main Pack'!#REF!</definedName>
    <definedName name="ELEM0000520" comment="Loss on sale of Vehicle rental fleet - intergroup Current Year">'[60]Main Pack'!#REF!</definedName>
    <definedName name="ELEM0000522" comment="Loss on sale of Vehicle rental fleet - transferred to &quot;Held for Sale&quot; Current Year">'[60]Main Pack'!#REF!</definedName>
    <definedName name="ELEM0000976" comment="AMAP - Associate company Current Year">'[60]Main Pack'!#REF!</definedName>
    <definedName name="ELEM0001674" comment="Disposals external - Cost Current Year">'[60]Main Pack'!#REF!</definedName>
    <definedName name="ELEM0001676" comment="Disposals external - Accumulated Depreciation Current Year">'[60]Main Pack'!#REF!</definedName>
    <definedName name="ELEM0001678" comment="Disposals intergroup/interdivisional - Cost Current Year">'[60]Main Pack'!#REF!</definedName>
    <definedName name="ELEM0001680" comment="Disposals intergroup/interdivisional - Accumulated Depreciation Current Year">'[60]Main Pack'!#REF!</definedName>
    <definedName name="ELEM0001686" comment="Transfer to held for sale assets - Cost Current Year">'[60]Main Pack'!#REF!</definedName>
    <definedName name="ELEM0001688" comment="Transfer to held for sale assets - Accumulated Depreciation Current Year">'[60]Main Pack'!#REF!</definedName>
    <definedName name="ELEM0001714" comment="Proceeds on disposals - External Current Year">'[60]Main Pack'!#REF!</definedName>
    <definedName name="ELEM0001716" comment="Proceeds on disposals - Intergroup/interdivisional Current Year">'[60]Main Pack'!#REF!</definedName>
    <definedName name="ELEM0001718" comment="Proceeds on disposals - Transfer to &quot;Held for Sale&quot; Current Year">'[60]Main Pack'!#REF!</definedName>
    <definedName name="ELEM0001852" comment="Loans due (to) from AMAP Current Year">'[60]Main Pack'!#REF!</definedName>
    <definedName name="ELEM0003344" comment="Vehicle rental fleet Current Year">'[60]Main Pack'!#REF!</definedName>
    <definedName name="ELEM0005255" comment="Moxwood (Pty) Ltd - Components trading division Intergroup Sales">'[60]Interco list'!#REF!</definedName>
    <definedName name="ELEM0005256" comment="Moxwood (Pty) Ltd - Components trading division Admin fees received">'[60]Interco list'!#REF!</definedName>
    <definedName name="ELEM0005257" comment="Moxwood (Pty) Ltd - Components trading division Admin fees paid">'[60]Interco list'!#REF!</definedName>
    <definedName name="ELEM0005258" comment="Moxwood (Pty) Ltd - Components trading division Forex fees received">'[60]Interco list'!#REF!</definedName>
    <definedName name="ELEM0005259" comment="Moxwood (Pty) Ltd - Components trading division Forex fees paid">'[60]Interco list'!#REF!</definedName>
    <definedName name="ELEM0005260" comment="Moxwood (Pty) Ltd - Components trading division Management fees received">'[60]Interco list'!#REF!</definedName>
    <definedName name="ELEM0005261" comment="Moxwood (Pty) Ltd - Components trading division Management fees paid">'[60]Interco list'!#REF!</definedName>
    <definedName name="ELEM0005262" comment="Moxwood (Pty) Ltd - Components trading division Operating expenses recovered">'[60]Interco list'!#REF!</definedName>
    <definedName name="ELEM0005263" comment="Moxwood (Pty) Ltd - Components trading division Operating expenses paid">'[60]Interco list'!#REF!</definedName>
    <definedName name="ELEM0005264" comment="Moxwood (Pty) Ltd - Components trading division Rent received">'[60]Interco list'!#REF!</definedName>
    <definedName name="ELEM0005265" comment="Moxwood (Pty) Ltd - Components trading division Rent paid">'[60]Interco list'!#REF!</definedName>
    <definedName name="ELEM0005266" comment="Moxwood (Pty) Ltd - Components trading division Rebates received">'[60]Interco list'!#REF!</definedName>
    <definedName name="ELEM0005267" comment="Moxwood (Pty) Ltd - Components trading division Rebates paid">'[60]Interco list'!#REF!</definedName>
    <definedName name="ELEM0005268" comment="Moxwood (Pty) Ltd - Components trading division Settlement discounts received">'[60]Interco list'!#REF!</definedName>
    <definedName name="ELEM0005269" comment="Moxwood (Pty) Ltd - Components trading division Settlement discounts paid">'[60]Interco list'!#REF!</definedName>
    <definedName name="ELEM0005270" comment="Moxwood (Pty) Ltd - Components trading division Finance costs paid">'[60]Interco list'!#REF!</definedName>
    <definedName name="ELEM0005271" comment="Moxwood (Pty) Ltd - Components trading division Interest received">'[60]Interco list'!#REF!</definedName>
    <definedName name="ELEM0005272" comment="Moxwood (Pty) Ltd - Components trading division Dividends received">'[60]Interco list'!#REF!</definedName>
    <definedName name="ELEM0005273" comment="Moxwood (Pty) Ltd - Components trading division Dividends paid">'[60]Interco list'!#REF!</definedName>
    <definedName name="ELEM0005274" comment="Moxwood (Pty) Ltd - Components trading division Debtors">'[60]Interco list'!#REF!</definedName>
    <definedName name="ELEM0005275" comment="Moxwood (Pty) Ltd - Components trading division Creditors">'[60]Interco list'!#REF!</definedName>
    <definedName name="ELEM0005276" comment="Moxwood (Pty) Ltd - Components trading division Loans - debit balances">'[60]Interco list'!#REF!</definedName>
    <definedName name="ELEM0005277" comment="Moxwood (Pty) Ltd - Components trading division Loans - credit balances">'[60]Interco list'!#REF!</definedName>
    <definedName name="ELEM0005324" comment="Weatherboard - division of Steinwood Intergroup Sales">'[60]Interco list'!#REF!</definedName>
    <definedName name="ELEM0005325" comment="Weatherboard - division of Steinwood Admin fees received">'[60]Interco list'!#REF!</definedName>
    <definedName name="ELEM0005326" comment="Weatherboard - division of Steinwood Admin fees paid">'[60]Interco list'!#REF!</definedName>
    <definedName name="ELEM0005327" comment="Weatherboard - division of Steinwood Forex fees received">'[60]Interco list'!#REF!</definedName>
    <definedName name="ELEM0005328" comment="Weatherboard - division of Steinwood Forex fees paid">'[60]Interco list'!#REF!</definedName>
    <definedName name="ELEM0005329" comment="Weatherboard - division of Steinwood Management fees received">'[60]Interco list'!#REF!</definedName>
    <definedName name="ELEM0005330" comment="Weatherboard - division of Steinwood Management fees paid">'[60]Interco list'!#REF!</definedName>
    <definedName name="ELEM0005331" comment="Weatherboard - division of Steinwood Operating expenses recovered">'[60]Interco list'!#REF!</definedName>
    <definedName name="ELEM0005332" comment="Weatherboard - division of Steinwood Operating expenses paid">'[60]Interco list'!#REF!</definedName>
    <definedName name="ELEM0005333" comment="Weatherboard - division of Steinwood Rent received">'[60]Interco list'!#REF!</definedName>
    <definedName name="ELEM0005334" comment="Weatherboard - division of Steinwood Rent paid">'[60]Interco list'!#REF!</definedName>
    <definedName name="ELEM0005335" comment="Weatherboard - division of Steinwood Rebates received">'[60]Interco list'!#REF!</definedName>
    <definedName name="ELEM0005336" comment="Weatherboard - division of Steinwood Rebates paid">'[60]Interco list'!#REF!</definedName>
    <definedName name="ELEM0005337" comment="Weatherboard - division of Steinwood Settlement discounts received">'[60]Interco list'!#REF!</definedName>
    <definedName name="ELEM0005338" comment="Weatherboard - division of Steinwood Settlement discounts paid">'[60]Interco list'!#REF!</definedName>
    <definedName name="ELEM0005339" comment="Weatherboard - division of Steinwood Finance costs paid">'[60]Interco list'!#REF!</definedName>
    <definedName name="ELEM0005340" comment="Weatherboard - division of Steinwood Interest received">'[60]Interco list'!#REF!</definedName>
    <definedName name="ELEM0005341" comment="Weatherboard - division of Steinwood Dividends received">'[60]Interco list'!#REF!</definedName>
    <definedName name="ELEM0005342" comment="Weatherboard - division of Steinwood Dividends paid">'[60]Interco list'!#REF!</definedName>
    <definedName name="ELEM0005343" comment="Weatherboard - division of Steinwood Debtors">'[60]Interco list'!#REF!</definedName>
    <definedName name="ELEM0005344" comment="Weatherboard - division of Steinwood Creditors">'[60]Interco list'!#REF!</definedName>
    <definedName name="ELEM0005345" comment="Weatherboard - division of Steinwood Loans - debit balances">'[60]Interco list'!#REF!</definedName>
    <definedName name="ELEM0005346" comment="Weatherboard - division of Steinwood Loans - credit balances">'[60]Interco list'!#REF!</definedName>
    <definedName name="ELEM0005347" comment="Megafurn (Pty) Ltd -  dormant - HO Pack Intergroup Sales">'[60]Interco list'!#REF!</definedName>
    <definedName name="ELEM0005348" comment="Megafurn (Pty) Ltd -  dormant - HO Pack Admin fees received">'[60]Interco list'!#REF!</definedName>
    <definedName name="ELEM0005349" comment="Megafurn (Pty) Ltd -  dormant - HO Pack Admin fees paid">'[60]Interco list'!#REF!</definedName>
    <definedName name="ELEM0005350" comment="Megafurn (Pty) Ltd -  dormant - HO Pack Forex fees received">'[60]Interco list'!#REF!</definedName>
    <definedName name="ELEM0005351" comment="Megafurn (Pty) Ltd -  dormant - HO Pack Forex fees paid">'[60]Interco list'!#REF!</definedName>
    <definedName name="ELEM0005352" comment="Megafurn (Pty) Ltd -  dormant - HO Pack Management fees received">'[60]Interco list'!#REF!</definedName>
    <definedName name="ELEM0005353" comment="Megafurn (Pty) Ltd -  dormant - HO Pack Management fees paid">'[60]Interco list'!#REF!</definedName>
    <definedName name="ELEM0005354" comment="Megafurn (Pty) Ltd -  dormant - HO Pack Operating expenses recovered">'[60]Interco list'!#REF!</definedName>
    <definedName name="ELEM0005355" comment="Megafurn (Pty) Ltd -  dormant - HO Pack Operating expenses paid">'[60]Interco list'!#REF!</definedName>
    <definedName name="ELEM0005356" comment="Megafurn (Pty) Ltd -  dormant - HO Pack Rent received">'[60]Interco list'!#REF!</definedName>
    <definedName name="ELEM0005357" comment="Megafurn (Pty) Ltd -  dormant - HO Pack Rent paid">'[60]Interco list'!#REF!</definedName>
    <definedName name="ELEM0005358" comment="Megafurn (Pty) Ltd -  dormant - HO Pack Rebates received">'[60]Interco list'!#REF!</definedName>
    <definedName name="ELEM0005359" comment="Megafurn (Pty) Ltd -  dormant - HO Pack Rebates paid">'[60]Interco list'!#REF!</definedName>
    <definedName name="ELEM0005360" comment="Megafurn (Pty) Ltd -  dormant - HO Pack Settlement discounts received">'[60]Interco list'!#REF!</definedName>
    <definedName name="ELEM0005361" comment="Megafurn (Pty) Ltd -  dormant - HO Pack Settlement discounts paid">'[60]Interco list'!#REF!</definedName>
    <definedName name="ELEM0005362" comment="Megafurn (Pty) Ltd -  dormant - HO Pack Finance costs paid">'[60]Interco list'!#REF!</definedName>
    <definedName name="ELEM0005363" comment="Megafurn (Pty) Ltd -  dormant - HO Pack Interest received">'[60]Interco list'!#REF!</definedName>
    <definedName name="ELEM0005364" comment="Megafurn (Pty) Ltd -  dormant - HO Pack Dividends received">'[60]Interco list'!#REF!</definedName>
    <definedName name="ELEM0005365" comment="Megafurn (Pty) Ltd -  dormant - HO Pack Dividends paid">'[60]Interco list'!#REF!</definedName>
    <definedName name="ELEM0005366" comment="Megafurn (Pty) Ltd -  dormant - HO Pack Debtors">'[60]Interco list'!#REF!</definedName>
    <definedName name="ELEM0005367" comment="Megafurn (Pty) Ltd -  dormant - HO Pack Creditors">'[60]Interco list'!#REF!</definedName>
    <definedName name="ELEM0005368" comment="Megafurn (Pty) Ltd -  dormant - HO Pack Loans - debit balances">'[60]Interco list'!#REF!</definedName>
    <definedName name="ELEM0005369" comment="Megafurn (Pty) Ltd -  dormant - HO Pack Loans - credit balances">'[60]Interco list'!#REF!</definedName>
    <definedName name="ELEM0005485" comment="Malenge Harvesting (Pty) Ltd - dormant - HO Pack Intergroup Sales">'[60]Interco list'!#REF!</definedName>
    <definedName name="ELEM0005486" comment="Malenge Harvesting (Pty) Ltd - dormant - HO Pack Admin fees received">'[60]Interco list'!#REF!</definedName>
    <definedName name="ELEM0005487" comment="Malenge Harvesting (Pty) Ltd - dormant - HO Pack Admin fees paid">'[60]Interco list'!#REF!</definedName>
    <definedName name="ELEM0005488" comment="Malenge Harvesting (Pty) Ltd - dormant - HO Pack Forex fees received">'[60]Interco list'!#REF!</definedName>
    <definedName name="ELEM0005489" comment="Malenge Harvesting (Pty) Ltd - dormant - HO Pack Forex fees paid">'[60]Interco list'!#REF!</definedName>
    <definedName name="ELEM0005490" comment="Malenge Harvesting (Pty) Ltd - dormant - HO Pack Management fees received">'[60]Interco list'!#REF!</definedName>
    <definedName name="ELEM0005491" comment="Malenge Harvesting (Pty) Ltd - dormant - HO Pack Management fees paid">'[60]Interco list'!#REF!</definedName>
    <definedName name="ELEM0005492" comment="Malenge Harvesting (Pty) Ltd - dormant - HO Pack Operating expenses recovered">'[60]Interco list'!#REF!</definedName>
    <definedName name="ELEM0005493" comment="Malenge Harvesting (Pty) Ltd - dormant - HO Pack Operating expenses paid">'[60]Interco list'!#REF!</definedName>
    <definedName name="ELEM0005494" comment="Malenge Harvesting (Pty) Ltd - dormant - HO Pack Rent received">'[60]Interco list'!#REF!</definedName>
    <definedName name="ELEM0005495" comment="Malenge Harvesting (Pty) Ltd - dormant - HO Pack Rent paid">'[60]Interco list'!#REF!</definedName>
    <definedName name="ELEM0005496" comment="Malenge Harvesting (Pty) Ltd - dormant - HO Pack Rebates received">'[60]Interco list'!#REF!</definedName>
    <definedName name="ELEM0005497" comment="Malenge Harvesting (Pty) Ltd - dormant - HO Pack Rebates paid">'[60]Interco list'!#REF!</definedName>
    <definedName name="ELEM0005498" comment="Malenge Harvesting (Pty) Ltd - dormant - HO Pack Settlement discounts received">'[60]Interco list'!#REF!</definedName>
    <definedName name="ELEM0005499" comment="Malenge Harvesting (Pty) Ltd - dormant - HO Pack Settlement discounts paid">'[60]Interco list'!#REF!</definedName>
    <definedName name="ELEM0005500" comment="Malenge Harvesting (Pty) Ltd - dormant - HO Pack Finance costs paid">'[60]Interco list'!#REF!</definedName>
    <definedName name="ELEM0005501" comment="Malenge Harvesting (Pty) Ltd - dormant - HO Pack Interest received">'[60]Interco list'!#REF!</definedName>
    <definedName name="ELEM0005502" comment="Malenge Harvesting (Pty) Ltd - dormant - HO Pack Dividends received">'[60]Interco list'!#REF!</definedName>
    <definedName name="ELEM0005503" comment="Malenge Harvesting (Pty) Ltd - dormant - HO Pack Dividends paid">'[60]Interco list'!#REF!</definedName>
    <definedName name="ELEM0005504" comment="Malenge Harvesting (Pty) Ltd - dormant - HO Pack Debtors">'[60]Interco list'!#REF!</definedName>
    <definedName name="ELEM0005505" comment="Malenge Harvesting (Pty) Ltd - dormant - HO Pack Creditors">'[60]Interco list'!#REF!</definedName>
    <definedName name="ELEM0005506" comment="Malenge Harvesting (Pty) Ltd - dormant - HO Pack Loans - debit balances">'[60]Interco list'!#REF!</definedName>
    <definedName name="ELEM0005507" comment="Malenge Harvesting (Pty) Ltd - dormant - HO Pack Loans - credit balances">'[60]Interco list'!#REF!</definedName>
    <definedName name="ELEM0005508" comment="Straalhoek Sawmills (Pty) Ltd - dormant - HO Pack Intergroup Sales">'[60]Interco list'!#REF!</definedName>
    <definedName name="ELEM0005509" comment="Straalhoek Sawmills (Pty) Ltd - dormant - HO Pack Admin fees received">'[60]Interco list'!#REF!</definedName>
    <definedName name="ELEM0005510" comment="Straalhoek Sawmills (Pty) Ltd - dormant - HO Pack Admin fees paid">'[60]Interco list'!#REF!</definedName>
    <definedName name="ELEM0005511" comment="Straalhoek Sawmills (Pty) Ltd - dormant - HO Pack Forex fees received">'[60]Interco list'!#REF!</definedName>
    <definedName name="ELEM0005512" comment="Straalhoek Sawmills (Pty) Ltd - dormant - HO Pack Forex fees paid">'[60]Interco list'!#REF!</definedName>
    <definedName name="ELEM0005513" comment="Straalhoek Sawmills (Pty) Ltd - dormant - HO Pack Management fees received">'[60]Interco list'!#REF!</definedName>
    <definedName name="ELEM0005514" comment="Straalhoek Sawmills (Pty) Ltd - dormant - HO Pack Management fees paid">'[60]Interco list'!#REF!</definedName>
    <definedName name="ELEM0005515" comment="Straalhoek Sawmills (Pty) Ltd - dormant - HO Pack Operating expenses recovered">'[60]Interco list'!#REF!</definedName>
    <definedName name="ELEM0005516" comment="Straalhoek Sawmills (Pty) Ltd - dormant - HO Pack Operating expenses paid">'[60]Interco list'!#REF!</definedName>
    <definedName name="ELEM0005517" comment="Straalhoek Sawmills (Pty) Ltd - dormant - HO Pack Rent received">'[60]Interco list'!#REF!</definedName>
    <definedName name="ELEM0005518" comment="Straalhoek Sawmills (Pty) Ltd - dormant - HO Pack Rent paid">'[60]Interco list'!#REF!</definedName>
    <definedName name="ELEM0005519" comment="Straalhoek Sawmills (Pty) Ltd - dormant - HO Pack Rebates received">'[60]Interco list'!#REF!</definedName>
    <definedName name="ELEM0005520" comment="Straalhoek Sawmills (Pty) Ltd - dormant - HO Pack Rebates paid">'[60]Interco list'!#REF!</definedName>
    <definedName name="ELEM0005521" comment="Straalhoek Sawmills (Pty) Ltd - dormant - HO Pack Settlement discounts received">'[60]Interco list'!#REF!</definedName>
    <definedName name="ELEM0005522" comment="Straalhoek Sawmills (Pty) Ltd - dormant - HO Pack Settlement discounts paid">'[60]Interco list'!#REF!</definedName>
    <definedName name="ELEM0005523" comment="Straalhoek Sawmills (Pty) Ltd - dormant - HO Pack Finance costs paid">'[60]Interco list'!#REF!</definedName>
    <definedName name="ELEM0005524" comment="Straalhoek Sawmills (Pty) Ltd - dormant - HO Pack Interest received">'[60]Interco list'!#REF!</definedName>
    <definedName name="ELEM0005525" comment="Straalhoek Sawmills (Pty) Ltd - dormant - HO Pack Dividends received">'[60]Interco list'!#REF!</definedName>
    <definedName name="ELEM0005526" comment="Straalhoek Sawmills (Pty) Ltd - dormant - HO Pack Dividends paid">'[60]Interco list'!#REF!</definedName>
    <definedName name="ELEM0005527" comment="Straalhoek Sawmills (Pty) Ltd - dormant - HO Pack Debtors">'[60]Interco list'!#REF!</definedName>
    <definedName name="ELEM0005528" comment="Straalhoek Sawmills (Pty) Ltd - dormant - HO Pack Creditors">'[60]Interco list'!#REF!</definedName>
    <definedName name="ELEM0005529" comment="Straalhoek Sawmills (Pty) Ltd - dormant - HO Pack Loans - debit balances">'[60]Interco list'!#REF!</definedName>
    <definedName name="ELEM0005530" comment="Straalhoek Sawmills (Pty) Ltd - dormant - HO Pack Loans - credit balances">'[60]Interco list'!#REF!</definedName>
    <definedName name="ELEM0006980" comment="Steinbuild Holdings - head office division Intergroup Sales">'[60]Interco list'!#REF!</definedName>
    <definedName name="ELEM0006981" comment="Steinbuild Holdings - head office division Admin fees received">'[60]Interco list'!#REF!</definedName>
    <definedName name="ELEM0006982" comment="Steinbuild Holdings - head office division Admin fees paid">'[60]Interco list'!#REF!</definedName>
    <definedName name="ELEM0006983" comment="Steinbuild Holdings - head office division Forex fees received">'[60]Interco list'!#REF!</definedName>
    <definedName name="ELEM0006984" comment="Steinbuild Holdings - head office division Forex fees paid">'[60]Interco list'!#REF!</definedName>
    <definedName name="ELEM0006985" comment="Steinbuild Holdings - head office division Management fees received">'[60]Interco list'!#REF!</definedName>
    <definedName name="ELEM0006986" comment="Steinbuild Holdings - head office division Management fees paid">'[60]Interco list'!#REF!</definedName>
    <definedName name="ELEM0006987" comment="Steinbuild Holdings - head office division Operating expenses recovered">'[60]Interco list'!#REF!</definedName>
    <definedName name="ELEM0006988" comment="Steinbuild Holdings - head office division Operating expenses paid">'[60]Interco list'!#REF!</definedName>
    <definedName name="ELEM0006989" comment="Steinbuild Holdings - head office division Rent received">'[60]Interco list'!#REF!</definedName>
    <definedName name="ELEM0006990" comment="Steinbuild Holdings - head office division Rent paid">'[60]Interco list'!#REF!</definedName>
    <definedName name="ELEM0006991" comment="Steinbuild Holdings - head office division Rebates received">'[60]Interco list'!#REF!</definedName>
    <definedName name="ELEM0006992" comment="Steinbuild Holdings - head office division Rebates paid">'[60]Interco list'!#REF!</definedName>
    <definedName name="ELEM0006993" comment="Steinbuild Holdings - head office division Settlement discounts received">'[60]Interco list'!#REF!</definedName>
    <definedName name="ELEM0006994" comment="Steinbuild Holdings - head office division Settlement discounts paid">'[60]Interco list'!#REF!</definedName>
    <definedName name="ELEM0006995" comment="Steinbuild Holdings - head office division Finance costs paid">'[60]Interco list'!#REF!</definedName>
    <definedName name="ELEM0006996" comment="Steinbuild Holdings - head office division Interest received">'[60]Interco list'!#REF!</definedName>
    <definedName name="ELEM0006997" comment="Steinbuild Holdings - head office division Dividends received">'[60]Interco list'!#REF!</definedName>
    <definedName name="ELEM0006998" comment="Steinbuild Holdings - head office division Dividends paid">'[60]Interco list'!#REF!</definedName>
    <definedName name="ELEM0006999" comment="Steinbuild Holdings - head office division Debtors">'[60]Interco list'!#REF!</definedName>
    <definedName name="ELEM0007000" comment="Steinbuild Holdings - head office division Creditors">'[60]Interco list'!#REF!</definedName>
    <definedName name="ELEM0007001" comment="Steinbuild Holdings - head office division Loans - debit balances">'[60]Interco list'!#REF!</definedName>
    <definedName name="ELEM0007002" comment="Steinbuild Holdings - head office division Loans - credit balances">'[60]Interco list'!#REF!</definedName>
    <definedName name="ELEM0007302" comment="Share Trusts - Megacor Intergroup Sales">'[60]Interco list'!#REF!</definedName>
    <definedName name="ELEM0007303" comment="Share Trusts - Megacor Admin fees received">'[60]Interco list'!#REF!</definedName>
    <definedName name="ELEM0007304" comment="Share Trusts - Megacor Admin fees paid">'[60]Interco list'!#REF!</definedName>
    <definedName name="ELEM0007305" comment="Share Trusts - Megacor Forex fees received">'[60]Interco list'!#REF!</definedName>
    <definedName name="ELEM0007306" comment="Share Trusts - Megacor Forex fees paid">'[60]Interco list'!#REF!</definedName>
    <definedName name="ELEM0007307" comment="Share Trusts - Megacor Management fees received">'[60]Interco list'!#REF!</definedName>
    <definedName name="ELEM0007308" comment="Share Trusts - Megacor Management fees paid">'[60]Interco list'!#REF!</definedName>
    <definedName name="ELEM0007309" comment="Share Trusts - Megacor Operating expenses recovered">'[60]Interco list'!#REF!</definedName>
    <definedName name="ELEM0007310" comment="Share Trusts - Megacor Operating expenses paid">'[60]Interco list'!#REF!</definedName>
    <definedName name="ELEM0007311" comment="Share Trusts - Megacor Rent received">'[60]Interco list'!#REF!</definedName>
    <definedName name="ELEM0007312" comment="Share Trusts - Megacor Rent paid">'[60]Interco list'!#REF!</definedName>
    <definedName name="ELEM0007313" comment="Share Trusts - Megacor Rebates received">'[60]Interco list'!#REF!</definedName>
    <definedName name="ELEM0007314" comment="Share Trusts - Megacor Rebates paid">'[60]Interco list'!#REF!</definedName>
    <definedName name="ELEM0007315" comment="Share Trusts - Megacor Settlement discounts received">'[60]Interco list'!#REF!</definedName>
    <definedName name="ELEM0007316" comment="Share Trusts - Megacor Settlement discounts paid">'[60]Interco list'!#REF!</definedName>
    <definedName name="ELEM0007317" comment="Share Trusts - Megacor Finance costs paid">'[60]Interco list'!#REF!</definedName>
    <definedName name="ELEM0007318" comment="Share Trusts - Megacor Interest received">'[60]Interco list'!#REF!</definedName>
    <definedName name="ELEM0007319" comment="Share Trusts - Megacor Dividends received">'[60]Interco list'!#REF!</definedName>
    <definedName name="ELEM0007320" comment="Share Trusts - Megacor Dividends paid">'[60]Interco list'!#REF!</definedName>
    <definedName name="ELEM0007321" comment="Share Trusts - Megacor Debtors">'[60]Interco list'!#REF!</definedName>
    <definedName name="ELEM0007322" comment="Share Trusts - Megacor Creditors">'[60]Interco list'!#REF!</definedName>
    <definedName name="ELEM0007323" comment="Share Trusts - Megacor Loans - debit balances">'[60]Interco list'!#REF!</definedName>
    <definedName name="ELEM0007324" comment="Share Trusts - Megacor Loans - credit balances">'[60]Interco list'!#REF!</definedName>
    <definedName name="ELEM0007946" comment="Kronotex South Africa  - Joint Venture Companies Intergroup Sales">'[60]Interco list'!#REF!</definedName>
    <definedName name="ELEM0007947" comment="Kronotex South Africa  - Joint Venture Companies Admin fees received">'[60]Interco list'!#REF!</definedName>
    <definedName name="ELEM0007948" comment="Kronotex South Africa  - Joint Venture Companies Admin fees paid">'[60]Interco list'!#REF!</definedName>
    <definedName name="ELEM0007949" comment="Kronotex South Africa  - Joint Venture Companies Forex fees received">'[60]Interco list'!#REF!</definedName>
    <definedName name="ELEM0007950" comment="Kronotex South Africa  - Joint Venture Companies Forex fees paid">'[60]Interco list'!#REF!</definedName>
    <definedName name="ELEM0007951" comment="Kronotex South Africa  - Joint Venture Companies Management fees received">'[60]Interco list'!#REF!</definedName>
    <definedName name="ELEM0007952" comment="Kronotex South Africa  - Joint Venture Companies Management fees paid">'[60]Interco list'!#REF!</definedName>
    <definedName name="ELEM0007953" comment="Kronotex South Africa  - Joint Venture Companies Operating expenses recovered">'[60]Interco list'!#REF!</definedName>
    <definedName name="ELEM0007954" comment="Kronotex South Africa  - Joint Venture Companies Operating expenses paid">'[60]Interco list'!#REF!</definedName>
    <definedName name="ELEM0007955" comment="Kronotex South Africa  - Joint Venture Companies Rent received">'[60]Interco list'!#REF!</definedName>
    <definedName name="ELEM0007956" comment="Kronotex South Africa  - Joint Venture Companies Rent paid">'[60]Interco list'!#REF!</definedName>
    <definedName name="ELEM0007957" comment="Kronotex South Africa  - Joint Venture Companies Rebates received">'[60]Interco list'!#REF!</definedName>
    <definedName name="ELEM0007958" comment="Kronotex South Africa  - Joint Venture Companies Rebates paid">'[60]Interco list'!#REF!</definedName>
    <definedName name="ELEM0007959" comment="Kronotex South Africa  - Joint Venture Companies Settlement discounts received">'[60]Interco list'!#REF!</definedName>
    <definedName name="ELEM0007960" comment="Kronotex South Africa  - Joint Venture Companies Settlement discounts paid">'[60]Interco list'!#REF!</definedName>
    <definedName name="ELEM0007961" comment="Kronotex South Africa  - Joint Venture Companies Finance costs paid">'[60]Interco list'!#REF!</definedName>
    <definedName name="ELEM0007962" comment="Kronotex South Africa  - Joint Venture Companies Interest received">'[60]Interco list'!#REF!</definedName>
    <definedName name="ELEM0007963" comment="Kronotex South Africa  - Joint Venture Companies Dividends received">'[60]Interco list'!#REF!</definedName>
    <definedName name="ELEM0007964" comment="Kronotex South Africa  - Joint Venture Companies Dividends paid">'[60]Interco list'!#REF!</definedName>
    <definedName name="ELEM0007965" comment="Kronotex South Africa  - Joint Venture Companies Debtors">'[60]Interco list'!#REF!</definedName>
    <definedName name="ELEM0007966" comment="Kronotex South Africa  - Joint Venture Companies Creditors">'[60]Interco list'!#REF!</definedName>
    <definedName name="ELEM0007967" comment="Kronotex South Africa  - Joint Venture Companies Loans - debit balances">'[60]Interco list'!#REF!</definedName>
    <definedName name="ELEM0007968" comment="Kronotex South Africa  - Joint Venture Companies Loans - credit balances">'[60]Interco list'!#REF!</definedName>
    <definedName name="ELEM0008498" comment="Unitrans Offshore Adjustments Intergroup Sales">'[60]Interco list'!#REF!</definedName>
    <definedName name="ELEM0008499" comment="Unitrans Offshore Adjustments Admin fees received">'[60]Interco list'!#REF!</definedName>
    <definedName name="ELEM0008500" comment="Unitrans Offshore Adjustments Admin fees paid">'[60]Interco list'!#REF!</definedName>
    <definedName name="ELEM0008501" comment="Unitrans Offshore Adjustments Forex fees received">'[60]Interco list'!#REF!</definedName>
    <definedName name="ELEM0008502" comment="Unitrans Offshore Adjustments Forex fees paid">'[60]Interco list'!#REF!</definedName>
    <definedName name="ELEM0008503" comment="Unitrans Offshore Adjustments Management fees received">'[60]Interco list'!#REF!</definedName>
    <definedName name="ELEM0008504" comment="Unitrans Offshore Adjustments Management fees paid">'[60]Interco list'!#REF!</definedName>
    <definedName name="ELEM0008505" comment="Unitrans Offshore Adjustments Operating expenses recovered">'[60]Interco list'!#REF!</definedName>
    <definedName name="ELEM0008506" comment="Unitrans Offshore Adjustments Operating expenses paid">'[60]Interco list'!#REF!</definedName>
    <definedName name="ELEM0008507" comment="Unitrans Offshore Adjustments Rent received">'[60]Interco list'!#REF!</definedName>
    <definedName name="ELEM0008508" comment="Unitrans Offshore Adjustments Rent paid">'[60]Interco list'!#REF!</definedName>
    <definedName name="ELEM0008509" comment="Unitrans Offshore Adjustments Rebates received">'[60]Interco list'!#REF!</definedName>
    <definedName name="ELEM0008510" comment="Unitrans Offshore Adjustments Rebates paid">'[60]Interco list'!#REF!</definedName>
    <definedName name="ELEM0008511" comment="Unitrans Offshore Adjustments Settlement discounts received">'[60]Interco list'!#REF!</definedName>
    <definedName name="ELEM0008512" comment="Unitrans Offshore Adjustments Settlement discounts paid">'[60]Interco list'!#REF!</definedName>
    <definedName name="ELEM0008513" comment="Unitrans Offshore Adjustments Finance costs paid">'[60]Interco list'!#REF!</definedName>
    <definedName name="ELEM0008514" comment="Unitrans Offshore Adjustments Interest received">'[60]Interco list'!#REF!</definedName>
    <definedName name="ELEM0008515" comment="Unitrans Offshore Adjustments Dividends received">'[60]Interco list'!#REF!</definedName>
    <definedName name="ELEM0008516" comment="Unitrans Offshore Adjustments Dividends paid">'[60]Interco list'!#REF!</definedName>
    <definedName name="ELEM0008517" comment="Unitrans Offshore Adjustments Debtors">'[60]Interco list'!#REF!</definedName>
    <definedName name="ELEM0008518" comment="Unitrans Offshore Adjustments Creditors">'[60]Interco list'!#REF!</definedName>
    <definedName name="ELEM0008519" comment="Unitrans Offshore Adjustments Loans - debit balances">'[60]Interco list'!#REF!</definedName>
    <definedName name="ELEM0008520" comment="Unitrans Offshore Adjustments Loans - credit balances">'[60]Interco list'!#REF!</definedName>
    <definedName name="ELEM0008682" comment="Nomakanjani Logisitics Company (Pty) Ltd Intergroup Sales">'[60]Interco list'!#REF!</definedName>
    <definedName name="ELEM0008683" comment="Nomakanjani Logisitics Company (Pty) Ltd Admin fees received">'[60]Interco list'!#REF!</definedName>
    <definedName name="ELEM0008684" comment="Nomakanjani Logisitics Company (Pty) Ltd Admin fees paid">'[60]Interco list'!#REF!</definedName>
    <definedName name="ELEM0008685" comment="Nomakanjani Logisitics Company (Pty) Ltd Forex fees received">'[60]Interco list'!#REF!</definedName>
    <definedName name="ELEM0008686" comment="Nomakanjani Logisitics Company (Pty) Ltd Forex fees paid">'[60]Interco list'!#REF!</definedName>
    <definedName name="ELEM0008687" comment="Nomakanjani Logisitics Company (Pty) Ltd Management fees received">'[60]Interco list'!#REF!</definedName>
    <definedName name="ELEM0008688" comment="Nomakanjani Logisitics Company (Pty) Ltd Management fees paid">'[60]Interco list'!#REF!</definedName>
    <definedName name="ELEM0008689" comment="Nomakanjani Logisitics Company (Pty) Ltd Operating expenses recovered">'[60]Interco list'!#REF!</definedName>
    <definedName name="ELEM0008690" comment="Nomakanjani Logisitics Company (Pty) Ltd Operating expenses paid">'[60]Interco list'!#REF!</definedName>
    <definedName name="ELEM0008691" comment="Nomakanjani Logisitics Company (Pty) Ltd Rent received">'[60]Interco list'!#REF!</definedName>
    <definedName name="ELEM0008692" comment="Nomakanjani Logisitics Company (Pty) Ltd Rent paid">'[60]Interco list'!#REF!</definedName>
    <definedName name="ELEM0008693" comment="Nomakanjani Logisitics Company (Pty) Ltd Rebates received">'[60]Interco list'!#REF!</definedName>
    <definedName name="ELEM0008694" comment="Nomakanjani Logisitics Company (Pty) Ltd Rebates paid">'[60]Interco list'!#REF!</definedName>
    <definedName name="ELEM0008695" comment="Nomakanjani Logisitics Company (Pty) Ltd Settlement discounts received">'[60]Interco list'!#REF!</definedName>
    <definedName name="ELEM0008696" comment="Nomakanjani Logisitics Company (Pty) Ltd Settlement discounts paid">'[60]Interco list'!#REF!</definedName>
    <definedName name="ELEM0008697" comment="Nomakanjani Logisitics Company (Pty) Ltd Finance costs paid">'[60]Interco list'!#REF!</definedName>
    <definedName name="ELEM0008698" comment="Nomakanjani Logisitics Company (Pty) Ltd Interest received">'[60]Interco list'!#REF!</definedName>
    <definedName name="ELEM0008699" comment="Nomakanjani Logisitics Company (Pty) Ltd Dividends received">'[60]Interco list'!#REF!</definedName>
    <definedName name="ELEM0008700" comment="Nomakanjani Logisitics Company (Pty) Ltd Dividends paid">'[60]Interco list'!#REF!</definedName>
    <definedName name="ELEM0008701" comment="Nomakanjani Logisitics Company (Pty) Ltd Debtors">'[60]Interco list'!#REF!</definedName>
    <definedName name="ELEM0008702" comment="Nomakanjani Logisitics Company (Pty) Ltd Creditors">'[60]Interco list'!#REF!</definedName>
    <definedName name="ELEM0008703" comment="Nomakanjani Logisitics Company (Pty) Ltd Loans - debit balances">'[60]Interco list'!#REF!</definedName>
    <definedName name="ELEM0008704" comment="Nomakanjani Logisitics Company (Pty) Ltd Loans - credit balances">'[60]Interco list'!#REF!</definedName>
    <definedName name="ELEM0008705" comment="Unitrans Freight Environmental Services (Pty) Ltd Consolidation Intergroup Sales">'[60]Interco list'!#REF!</definedName>
    <definedName name="ELEM0008706" comment="Unitrans Freight Environmental Services (Pty) Ltd Consolidation Admin fees received">'[60]Interco list'!#REF!</definedName>
    <definedName name="ELEM0008707" comment="Unitrans Freight Environmental Services (Pty) Ltd Consolidation Admin fees paid">'[60]Interco list'!#REF!</definedName>
    <definedName name="ELEM0008708" comment="Unitrans Freight Environmental Services (Pty) Ltd Consolidation Forex fees received">'[60]Interco list'!#REF!</definedName>
    <definedName name="ELEM0008709" comment="Unitrans Freight Environmental Services (Pty) Ltd Consolidation Forex fees paid">'[60]Interco list'!#REF!</definedName>
    <definedName name="ELEM0008710" comment="Unitrans Freight Environmental Services (Pty) Ltd Consolidation Management fees received">'[60]Interco list'!#REF!</definedName>
    <definedName name="ELEM0008711" comment="Unitrans Freight Environmental Services (Pty) Ltd Consolidation Management fees paid">'[60]Interco list'!#REF!</definedName>
    <definedName name="ELEM0008712" comment="Unitrans Freight Environmental Services (Pty) Ltd Consolidation Operating expenses recovered">'[60]Interco list'!#REF!</definedName>
    <definedName name="ELEM0008713" comment="Unitrans Freight Environmental Services (Pty) Ltd Consolidation Operating expenses paid">'[60]Interco list'!#REF!</definedName>
    <definedName name="ELEM0008714" comment="Unitrans Freight Environmental Services (Pty) Ltd Consolidation Rent received">'[60]Interco list'!#REF!</definedName>
    <definedName name="ELEM0008715" comment="Unitrans Freight Environmental Services (Pty) Ltd Consolidation Rent paid">'[60]Interco list'!#REF!</definedName>
    <definedName name="ELEM0008716" comment="Unitrans Freight Environmental Services (Pty) Ltd Consolidation Rebates received">'[60]Interco list'!#REF!</definedName>
    <definedName name="ELEM0008717" comment="Unitrans Freight Environmental Services (Pty) Ltd Consolidation Rebates paid">'[60]Interco list'!#REF!</definedName>
    <definedName name="ELEM0008718" comment="Unitrans Freight Environmental Services (Pty) Ltd Consolidation Settlement discounts received">'[60]Interco list'!#REF!</definedName>
    <definedName name="ELEM0008719" comment="Unitrans Freight Environmental Services (Pty) Ltd Consolidation Settlement discounts paid">'[60]Interco list'!#REF!</definedName>
    <definedName name="ELEM0008720" comment="Unitrans Freight Environmental Services (Pty) Ltd Consolidation Finance costs paid">'[60]Interco list'!#REF!</definedName>
    <definedName name="ELEM0008721" comment="Unitrans Freight Environmental Services (Pty) Ltd Consolidation Interest received">'[60]Interco list'!#REF!</definedName>
    <definedName name="ELEM0008722" comment="Unitrans Freight Environmental Services (Pty) Ltd Consolidation Dividends received">'[60]Interco list'!#REF!</definedName>
    <definedName name="ELEM0008723" comment="Unitrans Freight Environmental Services (Pty) Ltd Consolidation Dividends paid">'[60]Interco list'!#REF!</definedName>
    <definedName name="ELEM0008724" comment="Unitrans Freight Environmental Services (Pty) Ltd Consolidation Debtors">'[60]Interco list'!#REF!</definedName>
    <definedName name="ELEM0008725" comment="Unitrans Freight Environmental Services (Pty) Ltd Consolidation Creditors">'[60]Interco list'!#REF!</definedName>
    <definedName name="ELEM0008726" comment="Unitrans Freight Environmental Services (Pty) Ltd Consolidation Loans - debit balances">'[60]Interco list'!#REF!</definedName>
    <definedName name="ELEM0008727" comment="Unitrans Freight Environmental Services (Pty) Ltd Consolidation Loans - credit balances">'[60]Interco list'!#REF!</definedName>
    <definedName name="ELEM0008751" comment="Express Freight For Africa (Pty) Ltd Consolidation Intergroup Sales">'[60]Interco list'!#REF!</definedName>
    <definedName name="ELEM0008752" comment="Express Freight For Africa (Pty) Ltd Consolidation Admin fees received">'[60]Interco list'!#REF!</definedName>
    <definedName name="ELEM0008753" comment="Express Freight For Africa (Pty) Ltd Consolidation Admin fees paid">'[60]Interco list'!#REF!</definedName>
    <definedName name="ELEM0008754" comment="Express Freight For Africa (Pty) Ltd Consolidation Forex fees received">'[60]Interco list'!#REF!</definedName>
    <definedName name="ELEM0008755" comment="Express Freight For Africa (Pty) Ltd Consolidation Forex fees paid">'[60]Interco list'!#REF!</definedName>
    <definedName name="ELEM0008756" comment="Express Freight For Africa (Pty) Ltd Consolidation Management fees received">'[60]Interco list'!#REF!</definedName>
    <definedName name="ELEM0008757" comment="Express Freight For Africa (Pty) Ltd Consolidation Management fees paid">'[60]Interco list'!#REF!</definedName>
    <definedName name="ELEM0008758" comment="Express Freight For Africa (Pty) Ltd Consolidation Operating expenses recovered">'[60]Interco list'!#REF!</definedName>
    <definedName name="ELEM0008759" comment="Express Freight For Africa (Pty) Ltd Consolidation Operating expenses paid">'[60]Interco list'!#REF!</definedName>
    <definedName name="ELEM0008760" comment="Express Freight For Africa (Pty) Ltd Consolidation Rent received">'[60]Interco list'!#REF!</definedName>
    <definedName name="ELEM0008761" comment="Express Freight For Africa (Pty) Ltd Consolidation Rent paid">'[60]Interco list'!#REF!</definedName>
    <definedName name="ELEM0008762" comment="Express Freight For Africa (Pty) Ltd Consolidation Rebates received">'[60]Interco list'!#REF!</definedName>
    <definedName name="ELEM0008763" comment="Express Freight For Africa (Pty) Ltd Consolidation Rebates paid">'[60]Interco list'!#REF!</definedName>
    <definedName name="ELEM0008764" comment="Express Freight For Africa (Pty) Ltd Consolidation Settlement discounts received">'[60]Interco list'!#REF!</definedName>
    <definedName name="ELEM0008765" comment="Express Freight For Africa (Pty) Ltd Consolidation Settlement discounts paid">'[60]Interco list'!#REF!</definedName>
    <definedName name="ELEM0008766" comment="Express Freight For Africa (Pty) Ltd Consolidation Finance costs paid">'[60]Interco list'!#REF!</definedName>
    <definedName name="ELEM0008767" comment="Express Freight For Africa (Pty) Ltd Consolidation Interest received">'[60]Interco list'!#REF!</definedName>
    <definedName name="ELEM0008768" comment="Express Freight For Africa (Pty) Ltd Consolidation Dividends received">'[60]Interco list'!#REF!</definedName>
    <definedName name="ELEM0008769" comment="Express Freight For Africa (Pty) Ltd Consolidation Dividends paid">'[60]Interco list'!#REF!</definedName>
    <definedName name="ELEM0008770" comment="Express Freight For Africa (Pty) Ltd Consolidation Debtors">'[60]Interco list'!#REF!</definedName>
    <definedName name="ELEM0008771" comment="Express Freight For Africa (Pty) Ltd Consolidation Creditors">'[60]Interco list'!#REF!</definedName>
    <definedName name="ELEM0008772" comment="Express Freight For Africa (Pty) Ltd Consolidation Loans - debit balances">'[60]Interco list'!#REF!</definedName>
    <definedName name="ELEM0008773" comment="Express Freight For Africa (Pty) Ltd Consolidation Loans - credit balances">'[60]Interco list'!#REF!</definedName>
    <definedName name="ELEM0008843" comment="Unitrans Supply Chain (Pty) Ltd - Warehousing and Distribution Intergroup Sales">'[60]Interco list'!#REF!</definedName>
    <definedName name="ELEM0008844" comment="Unitrans Supply Chain (Pty) Ltd - Warehousing and Distribution Admin fees received">'[60]Interco list'!#REF!</definedName>
    <definedName name="ELEM0008845" comment="Unitrans Supply Chain (Pty) Ltd - Warehousing and Distribution Admin fees paid">'[60]Interco list'!#REF!</definedName>
    <definedName name="ELEM0008846" comment="Unitrans Supply Chain (Pty) Ltd - Warehousing and Distribution Forex fees received">'[60]Interco list'!#REF!</definedName>
    <definedName name="ELEM0008847" comment="Unitrans Supply Chain (Pty) Ltd - Warehousing and Distribution Forex fees paid">'[60]Interco list'!#REF!</definedName>
    <definedName name="ELEM0008848" comment="Unitrans Supply Chain (Pty) Ltd - Warehousing and Distribution Management fees received">'[60]Interco list'!#REF!</definedName>
    <definedName name="ELEM0008849" comment="Unitrans Supply Chain (Pty) Ltd - Warehousing and Distribution Management fees paid">'[60]Interco list'!#REF!</definedName>
    <definedName name="ELEM0008850" comment="Unitrans Supply Chain (Pty) Ltd - Warehousing and Distribution Operating expenses recovered">'[60]Interco list'!#REF!</definedName>
    <definedName name="ELEM0008851" comment="Unitrans Supply Chain (Pty) Ltd - Warehousing and Distribution Operating expenses paid">'[60]Interco list'!#REF!</definedName>
    <definedName name="ELEM0008852" comment="Unitrans Supply Chain (Pty) Ltd - Warehousing and Distribution Rent received">'[60]Interco list'!#REF!</definedName>
    <definedName name="ELEM0008853" comment="Unitrans Supply Chain (Pty) Ltd - Warehousing and Distribution Rent paid">'[60]Interco list'!#REF!</definedName>
    <definedName name="ELEM0008854" comment="Unitrans Supply Chain (Pty) Ltd - Warehousing and Distribution Rebates received">'[60]Interco list'!#REF!</definedName>
    <definedName name="ELEM0008855" comment="Unitrans Supply Chain (Pty) Ltd - Warehousing and Distribution Rebates paid">'[60]Interco list'!#REF!</definedName>
    <definedName name="ELEM0008856" comment="Unitrans Supply Chain (Pty) Ltd - Warehousing and Distribution Settlement discounts received">'[60]Interco list'!#REF!</definedName>
    <definedName name="ELEM0008857" comment="Unitrans Supply Chain (Pty) Ltd - Warehousing and Distribution Settlement discounts paid">'[60]Interco list'!#REF!</definedName>
    <definedName name="ELEM0008858" comment="Unitrans Supply Chain (Pty) Ltd - Warehousing and Distribution Finance costs paid">'[60]Interco list'!#REF!</definedName>
    <definedName name="ELEM0008859" comment="Unitrans Supply Chain (Pty) Ltd - Warehousing and Distribution Interest received">'[60]Interco list'!#REF!</definedName>
    <definedName name="ELEM0008860" comment="Unitrans Supply Chain (Pty) Ltd - Warehousing and Distribution Dividends received">'[60]Interco list'!#REF!</definedName>
    <definedName name="ELEM0008861" comment="Unitrans Supply Chain (Pty) Ltd - Warehousing and Distribution Dividends paid">'[60]Interco list'!#REF!</definedName>
    <definedName name="ELEM0008862" comment="Unitrans Supply Chain (Pty) Ltd - Warehousing and Distribution Debtors">'[60]Interco list'!#REF!</definedName>
    <definedName name="ELEM0008863" comment="Unitrans Supply Chain (Pty) Ltd - Warehousing and Distribution Creditors">'[60]Interco list'!#REF!</definedName>
    <definedName name="ELEM0008864" comment="Unitrans Supply Chain (Pty) Ltd - Warehousing and Distribution Loans - debit balances">'[60]Interco list'!#REF!</definedName>
    <definedName name="ELEM0008865" comment="Unitrans Supply Chain (Pty) Ltd - Warehousing and Distribution Loans - credit balances">'[60]Interco list'!#REF!</definedName>
    <definedName name="ELEM0008866" comment="Freight Adjustments Intergroup Sales">'[60]Interco list'!#REF!</definedName>
    <definedName name="ELEM0008867" comment="Freight Adjustments Admin fees received">'[60]Interco list'!#REF!</definedName>
    <definedName name="ELEM0008868" comment="Freight Adjustments Admin fees paid">'[60]Interco list'!#REF!</definedName>
    <definedName name="ELEM0008869" comment="Freight Adjustments Forex fees received">'[60]Interco list'!#REF!</definedName>
    <definedName name="ELEM0008870" comment="Freight Adjustments Forex fees paid">'[60]Interco list'!#REF!</definedName>
    <definedName name="ELEM0008871" comment="Freight Adjustments Management fees received">'[60]Interco list'!#REF!</definedName>
    <definedName name="ELEM0008872" comment="Freight Adjustments Management fees paid">'[60]Interco list'!#REF!</definedName>
    <definedName name="ELEM0008873" comment="Freight Adjustments Operating expenses recovered">'[60]Interco list'!#REF!</definedName>
    <definedName name="ELEM0008874" comment="Freight Adjustments Operating expenses paid">'[60]Interco list'!#REF!</definedName>
    <definedName name="ELEM0008875" comment="Freight Adjustments Rent received">'[60]Interco list'!#REF!</definedName>
    <definedName name="ELEM0008876" comment="Freight Adjustments Rent paid">'[60]Interco list'!#REF!</definedName>
    <definedName name="ELEM0008877" comment="Freight Adjustments Rebates received">'[60]Interco list'!#REF!</definedName>
    <definedName name="ELEM0008878" comment="Freight Adjustments Rebates paid">'[60]Interco list'!#REF!</definedName>
    <definedName name="ELEM0008879" comment="Freight Adjustments Settlement discounts received">'[60]Interco list'!#REF!</definedName>
    <definedName name="ELEM0008880" comment="Freight Adjustments Settlement discounts paid">'[60]Interco list'!#REF!</definedName>
    <definedName name="ELEM0008881" comment="Freight Adjustments Finance costs paid">'[60]Interco list'!#REF!</definedName>
    <definedName name="ELEM0008882" comment="Freight Adjustments Interest received">'[60]Interco list'!#REF!</definedName>
    <definedName name="ELEM0008883" comment="Freight Adjustments Dividends received">'[60]Interco list'!#REF!</definedName>
    <definedName name="ELEM0008884" comment="Freight Adjustments Dividends paid">'[60]Interco list'!#REF!</definedName>
    <definedName name="ELEM0008885" comment="Freight Adjustments Debtors">'[60]Interco list'!#REF!</definedName>
    <definedName name="ELEM0008886" comment="Freight Adjustments Creditors">'[60]Interco list'!#REF!</definedName>
    <definedName name="ELEM0008887" comment="Freight Adjustments Loans - debit balances">'[60]Interco list'!#REF!</definedName>
    <definedName name="ELEM0008888" comment="Freight Adjustments Loans - credit balances">'[60]Interco list'!#REF!</definedName>
    <definedName name="ELEM0009165" comment="Unitrans Botswana Consolidation journals Intergroup Sales">'[60]Interco list'!#REF!</definedName>
    <definedName name="ELEM0009166" comment="Unitrans Botswana Consolidation journals Admin fees received">'[60]Interco list'!#REF!</definedName>
    <definedName name="ELEM0009167" comment="Unitrans Botswana Consolidation journals Admin fees paid">'[60]Interco list'!#REF!</definedName>
    <definedName name="ELEM0009168" comment="Unitrans Botswana Consolidation journals Forex fees received">'[60]Interco list'!#REF!</definedName>
    <definedName name="ELEM0009169" comment="Unitrans Botswana Consolidation journals Forex fees paid">'[60]Interco list'!#REF!</definedName>
    <definedName name="ELEM0009170" comment="Unitrans Botswana Consolidation journals Management fees received">'[60]Interco list'!#REF!</definedName>
    <definedName name="ELEM0009171" comment="Unitrans Botswana Consolidation journals Management fees paid">'[60]Interco list'!#REF!</definedName>
    <definedName name="ELEM0009172" comment="Unitrans Botswana Consolidation journals Operating expenses recovered">'[60]Interco list'!#REF!</definedName>
    <definedName name="ELEM0009173" comment="Unitrans Botswana Consolidation journals Operating expenses paid">'[60]Interco list'!#REF!</definedName>
    <definedName name="ELEM0009174" comment="Unitrans Botswana Consolidation journals Rent received">'[60]Interco list'!#REF!</definedName>
    <definedName name="ELEM0009175" comment="Unitrans Botswana Consolidation journals Rent paid">'[60]Interco list'!#REF!</definedName>
    <definedName name="ELEM0009176" comment="Unitrans Botswana Consolidation journals Rebates received">'[60]Interco list'!#REF!</definedName>
    <definedName name="ELEM0009177" comment="Unitrans Botswana Consolidation journals Rebates paid">'[60]Interco list'!#REF!</definedName>
    <definedName name="ELEM0009178" comment="Unitrans Botswana Consolidation journals Settlement discounts received">'[60]Interco list'!#REF!</definedName>
    <definedName name="ELEM0009179" comment="Unitrans Botswana Consolidation journals Settlement discounts paid">'[60]Interco list'!#REF!</definedName>
    <definedName name="ELEM0009180" comment="Unitrans Botswana Consolidation journals Finance costs paid">'[60]Interco list'!#REF!</definedName>
    <definedName name="ELEM0009181" comment="Unitrans Botswana Consolidation journals Interest received">'[60]Interco list'!#REF!</definedName>
    <definedName name="ELEM0009182" comment="Unitrans Botswana Consolidation journals Dividends received">'[60]Interco list'!#REF!</definedName>
    <definedName name="ELEM0009183" comment="Unitrans Botswana Consolidation journals Dividends paid">'[60]Interco list'!#REF!</definedName>
    <definedName name="ELEM0009184" comment="Unitrans Botswana Consolidation journals Debtors">'[60]Interco list'!#REF!</definedName>
    <definedName name="ELEM0009185" comment="Unitrans Botswana Consolidation journals Creditors">'[60]Interco list'!#REF!</definedName>
    <definedName name="ELEM0009186" comment="Unitrans Botswana Consolidation journals Loans - debit balances">'[60]Interco list'!#REF!</definedName>
    <definedName name="ELEM0009187" comment="Unitrans Botswana Consolidation journals Loans - credit balances">'[60]Interco list'!#REF!</definedName>
    <definedName name="ELEM0009188" comment="Unitrans Fuel &amp; Chemicals  Consolidation journals Intergroup Sales">'[60]Interco list'!#REF!</definedName>
    <definedName name="ELEM0009189" comment="Unitrans Fuel &amp; Chemicals  Consolidation journals Admin fees received">'[60]Interco list'!#REF!</definedName>
    <definedName name="ELEM0009190" comment="Unitrans Fuel &amp; Chemicals  Consolidation journals Admin fees paid">'[60]Interco list'!#REF!</definedName>
    <definedName name="ELEM0009191" comment="Unitrans Fuel &amp; Chemicals  Consolidation journals Forex fees received">'[60]Interco list'!#REF!</definedName>
    <definedName name="ELEM0009192" comment="Unitrans Fuel &amp; Chemicals  Consolidation journals Forex fees paid">'[60]Interco list'!#REF!</definedName>
    <definedName name="ELEM0009193" comment="Unitrans Fuel &amp; Chemicals  Consolidation journals Management fees received">'[60]Interco list'!#REF!</definedName>
    <definedName name="ELEM0009194" comment="Unitrans Fuel &amp; Chemicals  Consolidation journals Management fees paid">'[60]Interco list'!#REF!</definedName>
    <definedName name="ELEM0009195" comment="Unitrans Fuel &amp; Chemicals  Consolidation journals Operating expenses recovered">'[60]Interco list'!#REF!</definedName>
    <definedName name="ELEM0009196" comment="Unitrans Fuel &amp; Chemicals  Consolidation journals Operating expenses paid">'[60]Interco list'!#REF!</definedName>
    <definedName name="ELEM0009197" comment="Unitrans Fuel &amp; Chemicals  Consolidation journals Rent received">'[60]Interco list'!#REF!</definedName>
    <definedName name="ELEM0009198" comment="Unitrans Fuel &amp; Chemicals  Consolidation journals Rent paid">'[60]Interco list'!#REF!</definedName>
    <definedName name="ELEM0009199" comment="Unitrans Fuel &amp; Chemicals  Consolidation journals Rebates received">'[60]Interco list'!#REF!</definedName>
    <definedName name="ELEM0009200" comment="Unitrans Fuel &amp; Chemicals  Consolidation journals Rebates paid">'[60]Interco list'!#REF!</definedName>
    <definedName name="ELEM0009201" comment="Unitrans Fuel &amp; Chemicals  Consolidation journals Settlement discounts received">'[60]Interco list'!#REF!</definedName>
    <definedName name="ELEM0009202" comment="Unitrans Fuel &amp; Chemicals  Consolidation journals Settlement discounts paid">'[60]Interco list'!#REF!</definedName>
    <definedName name="ELEM0009203" comment="Unitrans Fuel &amp; Chemicals  Consolidation journals Finance costs paid">'[60]Interco list'!#REF!</definedName>
    <definedName name="ELEM0009204" comment="Unitrans Fuel &amp; Chemicals  Consolidation journals Interest received">'[60]Interco list'!#REF!</definedName>
    <definedName name="ELEM0009205" comment="Unitrans Fuel &amp; Chemicals  Consolidation journals Dividends received">'[60]Interco list'!#REF!</definedName>
    <definedName name="ELEM0009206" comment="Unitrans Fuel &amp; Chemicals  Consolidation journals Dividends paid">'[60]Interco list'!#REF!</definedName>
    <definedName name="ELEM0009207" comment="Unitrans Fuel &amp; Chemicals  Consolidation journals Debtors">'[60]Interco list'!#REF!</definedName>
    <definedName name="ELEM0009208" comment="Unitrans Fuel &amp; Chemicals  Consolidation journals Creditors">'[60]Interco list'!#REF!</definedName>
    <definedName name="ELEM0009209" comment="Unitrans Fuel &amp; Chemicals  Consolidation journals Loans - debit balances">'[60]Interco list'!#REF!</definedName>
    <definedName name="ELEM0009210" comment="Unitrans Fuel &amp; Chemicals  Consolidation journals Loans - credit balances">'[60]Interco list'!#REF!</definedName>
    <definedName name="ELEM0009234" comment="Customer Solutions Development (Pty) Ltd  - Head office division Intergroup Sales">'[60]Interco list'!#REF!</definedName>
    <definedName name="ELEM0009235" comment="Customer Solutions Development (Pty) Ltd  - Head office division Admin fees received">'[60]Interco list'!#REF!</definedName>
    <definedName name="ELEM0009236" comment="Customer Solutions Development (Pty) Ltd  - Head office division Admin fees paid">'[60]Interco list'!#REF!</definedName>
    <definedName name="ELEM0009237" comment="Customer Solutions Development (Pty) Ltd  - Head office division Forex fees received">'[60]Interco list'!#REF!</definedName>
    <definedName name="ELEM0009238" comment="Customer Solutions Development (Pty) Ltd  - Head office division Forex fees paid">'[60]Interco list'!#REF!</definedName>
    <definedName name="ELEM0009239" comment="Customer Solutions Development (Pty) Ltd  - Head office division Management fees received">'[60]Interco list'!#REF!</definedName>
    <definedName name="ELEM0009240" comment="Customer Solutions Development (Pty) Ltd  - Head office division Management fees paid">'[60]Interco list'!#REF!</definedName>
    <definedName name="ELEM0009241" comment="Customer Solutions Development (Pty) Ltd  - Head office division Operating expenses recovered">'[60]Interco list'!#REF!</definedName>
    <definedName name="ELEM0009242" comment="Customer Solutions Development (Pty) Ltd  - Head office division Operating expenses paid">'[60]Interco list'!#REF!</definedName>
    <definedName name="ELEM0009243" comment="Customer Solutions Development (Pty) Ltd  - Head office division Rent received">'[60]Interco list'!#REF!</definedName>
    <definedName name="ELEM0009244" comment="Customer Solutions Development (Pty) Ltd  - Head office division Rent paid">'[60]Interco list'!#REF!</definedName>
    <definedName name="ELEM0009245" comment="Customer Solutions Development (Pty) Ltd  - Head office division Rebates received">'[60]Interco list'!#REF!</definedName>
    <definedName name="ELEM0009246" comment="Customer Solutions Development (Pty) Ltd  - Head office division Rebates paid">'[60]Interco list'!#REF!</definedName>
    <definedName name="ELEM0009247" comment="Customer Solutions Development (Pty) Ltd  - Head office division Settlement discounts received">'[60]Interco list'!#REF!</definedName>
    <definedName name="ELEM0009248" comment="Customer Solutions Development (Pty) Ltd  - Head office division Settlement discounts paid">'[60]Interco list'!#REF!</definedName>
    <definedName name="ELEM0009249" comment="Customer Solutions Development (Pty) Ltd  - Head office division Finance costs paid">'[60]Interco list'!#REF!</definedName>
    <definedName name="ELEM0009250" comment="Customer Solutions Development (Pty) Ltd  - Head office division Interest received">'[60]Interco list'!#REF!</definedName>
    <definedName name="ELEM0009251" comment="Customer Solutions Development (Pty) Ltd  - Head office division Dividends received">'[60]Interco list'!#REF!</definedName>
    <definedName name="ELEM0009252" comment="Customer Solutions Development (Pty) Ltd  - Head office division Dividends paid">'[60]Interco list'!#REF!</definedName>
    <definedName name="ELEM0009253" comment="Customer Solutions Development (Pty) Ltd  - Head office division Debtors">'[60]Interco list'!#REF!</definedName>
    <definedName name="ELEM0009254" comment="Customer Solutions Development (Pty) Ltd  - Head office division Creditors">'[60]Interco list'!#REF!</definedName>
    <definedName name="ELEM0009255" comment="Customer Solutions Development (Pty) Ltd  - Head office division Loans - debit balances">'[60]Interco list'!#REF!</definedName>
    <definedName name="ELEM0009256" comment="Customer Solutions Development (Pty) Ltd  - Head office division Loans - credit balances">'[60]Interco list'!#REF!</definedName>
    <definedName name="ELEM0009257" comment="Customer Solutions Development (Pty) Ltd  - Consol Jnls Intergroup Sales">'[60]Interco list'!#REF!</definedName>
    <definedName name="ELEM0009258" comment="Customer Solutions Development (Pty) Ltd  - Consol Jnls Admin fees received">'[60]Interco list'!#REF!</definedName>
    <definedName name="ELEM0009259" comment="Customer Solutions Development (Pty) Ltd  - Consol Jnls Admin fees paid">'[60]Interco list'!#REF!</definedName>
    <definedName name="ELEM0009260" comment="Customer Solutions Development (Pty) Ltd  - Consol Jnls Forex fees received">'[60]Interco list'!#REF!</definedName>
    <definedName name="ELEM0009261" comment="Customer Solutions Development (Pty) Ltd  - Consol Jnls Forex fees paid">'[60]Interco list'!#REF!</definedName>
    <definedName name="ELEM0009262" comment="Customer Solutions Development (Pty) Ltd  - Consol Jnls Management fees received">'[60]Interco list'!#REF!</definedName>
    <definedName name="ELEM0009263" comment="Customer Solutions Development (Pty) Ltd  - Consol Jnls Management fees paid">'[60]Interco list'!#REF!</definedName>
    <definedName name="ELEM0009264" comment="Customer Solutions Development (Pty) Ltd  - Consol Jnls Operating expenses recovered">'[60]Interco list'!#REF!</definedName>
    <definedName name="ELEM0009265" comment="Customer Solutions Development (Pty) Ltd  - Consol Jnls Operating expenses paid">'[60]Interco list'!#REF!</definedName>
    <definedName name="ELEM0009266" comment="Customer Solutions Development (Pty) Ltd  - Consol Jnls Rent received">'[60]Interco list'!#REF!</definedName>
    <definedName name="ELEM0009267" comment="Customer Solutions Development (Pty) Ltd  - Consol Jnls Rent paid">'[60]Interco list'!#REF!</definedName>
    <definedName name="ELEM0009268" comment="Customer Solutions Development (Pty) Ltd  - Consol Jnls Rebates received">'[60]Interco list'!#REF!</definedName>
    <definedName name="ELEM0009269" comment="Customer Solutions Development (Pty) Ltd  - Consol Jnls Rebates paid">'[60]Interco list'!#REF!</definedName>
    <definedName name="ELEM0009270" comment="Customer Solutions Development (Pty) Ltd  - Consol Jnls Settlement discounts received">'[60]Interco list'!#REF!</definedName>
    <definedName name="ELEM0009271" comment="Customer Solutions Development (Pty) Ltd  - Consol Jnls Settlement discounts paid">'[60]Interco list'!#REF!</definedName>
    <definedName name="ELEM0009272" comment="Customer Solutions Development (Pty) Ltd  - Consol Jnls Finance costs paid">'[60]Interco list'!#REF!</definedName>
    <definedName name="ELEM0009273" comment="Customer Solutions Development (Pty) Ltd  - Consol Jnls Interest received">'[60]Interco list'!#REF!</definedName>
    <definedName name="ELEM0009274" comment="Customer Solutions Development (Pty) Ltd  - Consol Jnls Dividends received">'[60]Interco list'!#REF!</definedName>
    <definedName name="ELEM0009275" comment="Customer Solutions Development (Pty) Ltd  - Consol Jnls Dividends paid">'[60]Interco list'!#REF!</definedName>
    <definedName name="ELEM0009276" comment="Customer Solutions Development (Pty) Ltd  - Consol Jnls Debtors">'[60]Interco list'!#REF!</definedName>
    <definedName name="ELEM0009277" comment="Customer Solutions Development (Pty) Ltd  - Consol Jnls Creditors">'[60]Interco list'!#REF!</definedName>
    <definedName name="ELEM0009278" comment="Customer Solutions Development (Pty) Ltd  - Consol Jnls Loans - debit balances">'[60]Interco list'!#REF!</definedName>
    <definedName name="ELEM0009279" comment="Customer Solutions Development (Pty) Ltd  - Consol Jnls Loans - credit balances">'[60]Interco list'!#REF!</definedName>
    <definedName name="ELEM0009280" comment="Unitrans UK Consolidation Journals Intergroup Sales">'[60]Interco list'!#REF!</definedName>
    <definedName name="ELEM0009281" comment="Unitrans UK Consolidation Journals Admin fees received">'[60]Interco list'!#REF!</definedName>
    <definedName name="ELEM0009282" comment="Unitrans UK Consolidation Journals Admin fees paid">'[60]Interco list'!#REF!</definedName>
    <definedName name="ELEM0009283" comment="Unitrans UK Consolidation Journals Forex fees received">'[60]Interco list'!#REF!</definedName>
    <definedName name="ELEM0009284" comment="Unitrans UK Consolidation Journals Forex fees paid">'[60]Interco list'!#REF!</definedName>
    <definedName name="ELEM0009285" comment="Unitrans UK Consolidation Journals Management fees received">'[60]Interco list'!#REF!</definedName>
    <definedName name="ELEM0009286" comment="Unitrans UK Consolidation Journals Management fees paid">'[60]Interco list'!#REF!</definedName>
    <definedName name="ELEM0009287" comment="Unitrans UK Consolidation Journals Operating expenses recovered">'[60]Interco list'!#REF!</definedName>
    <definedName name="ELEM0009288" comment="Unitrans UK Consolidation Journals Operating expenses paid">'[60]Interco list'!#REF!</definedName>
    <definedName name="ELEM0009289" comment="Unitrans UK Consolidation Journals Rent received">'[60]Interco list'!#REF!</definedName>
    <definedName name="ELEM0009290" comment="Unitrans UK Consolidation Journals Rent paid">'[60]Interco list'!#REF!</definedName>
    <definedName name="ELEM0009291" comment="Unitrans UK Consolidation Journals Rebates received">'[60]Interco list'!#REF!</definedName>
    <definedName name="ELEM0009292" comment="Unitrans UK Consolidation Journals Rebates paid">'[60]Interco list'!#REF!</definedName>
    <definedName name="ELEM0009293" comment="Unitrans UK Consolidation Journals Settlement discounts received">'[60]Interco list'!#REF!</definedName>
    <definedName name="ELEM0009294" comment="Unitrans UK Consolidation Journals Settlement discounts paid">'[60]Interco list'!#REF!</definedName>
    <definedName name="ELEM0009295" comment="Unitrans UK Consolidation Journals Finance costs paid">'[60]Interco list'!#REF!</definedName>
    <definedName name="ELEM0009296" comment="Unitrans UK Consolidation Journals Interest received">'[60]Interco list'!#REF!</definedName>
    <definedName name="ELEM0009297" comment="Unitrans UK Consolidation Journals Dividends received">'[60]Interco list'!#REF!</definedName>
    <definedName name="ELEM0009298" comment="Unitrans UK Consolidation Journals Dividends paid">'[60]Interco list'!#REF!</definedName>
    <definedName name="ELEM0009299" comment="Unitrans UK Consolidation Journals Debtors">'[60]Interco list'!#REF!</definedName>
    <definedName name="ELEM0009300" comment="Unitrans UK Consolidation Journals Creditors">'[60]Interco list'!#REF!</definedName>
    <definedName name="ELEM0009301" comment="Unitrans UK Consolidation Journals Loans - debit balances">'[60]Interco list'!#REF!</definedName>
    <definedName name="ELEM0009302" comment="Unitrans UK Consolidation Journals Loans - credit balances">'[60]Interco list'!#REF!</definedName>
    <definedName name="ELEM0009487" comment="Unitrans Automotive (Pty) Ltd - Market Toyota Division Intergroup Sales">'[60]Interco list'!#REF!</definedName>
    <definedName name="ELEM0009488" comment="Unitrans Automotive (Pty) Ltd - Market Toyota Division Admin fees received">'[60]Interco list'!#REF!</definedName>
    <definedName name="ELEM0009489" comment="Unitrans Automotive (Pty) Ltd - Market Toyota Division Admin fees paid">'[60]Interco list'!#REF!</definedName>
    <definedName name="ELEM0009490" comment="Unitrans Automotive (Pty) Ltd - Market Toyota Division Forex fees received">'[60]Interco list'!#REF!</definedName>
    <definedName name="ELEM0009491" comment="Unitrans Automotive (Pty) Ltd - Market Toyota Division Forex fees paid">'[60]Interco list'!#REF!</definedName>
    <definedName name="ELEM0009492" comment="Unitrans Automotive (Pty) Ltd - Market Toyota Division Management fees received">'[60]Interco list'!#REF!</definedName>
    <definedName name="ELEM0009493" comment="Unitrans Automotive (Pty) Ltd - Market Toyota Division Management fees paid">'[60]Interco list'!#REF!</definedName>
    <definedName name="ELEM0009494" comment="Unitrans Automotive (Pty) Ltd - Market Toyota Division Operating expenses recovered">'[60]Interco list'!#REF!</definedName>
    <definedName name="ELEM0009495" comment="Unitrans Automotive (Pty) Ltd - Market Toyota Division Operating expenses paid">'[60]Interco list'!#REF!</definedName>
    <definedName name="ELEM0009496" comment="Unitrans Automotive (Pty) Ltd - Market Toyota Division Rent received">'[60]Interco list'!#REF!</definedName>
    <definedName name="ELEM0009497" comment="Unitrans Automotive (Pty) Ltd - Market Toyota Division Rent paid">'[60]Interco list'!#REF!</definedName>
    <definedName name="ELEM0009498" comment="Unitrans Automotive (Pty) Ltd - Market Toyota Division Rebates received">'[60]Interco list'!#REF!</definedName>
    <definedName name="ELEM0009499" comment="Unitrans Automotive (Pty) Ltd - Market Toyota Division Rebates paid">'[60]Interco list'!#REF!</definedName>
    <definedName name="ELEM0009500" comment="Unitrans Automotive (Pty) Ltd - Market Toyota Division Settlement discounts received">'[60]Interco list'!#REF!</definedName>
    <definedName name="ELEM0009501" comment="Unitrans Automotive (Pty) Ltd - Market Toyota Division Settlement discounts paid">'[60]Interco list'!#REF!</definedName>
    <definedName name="ELEM0009502" comment="Unitrans Automotive (Pty) Ltd - Market Toyota Division Finance costs paid">'[60]Interco list'!#REF!</definedName>
    <definedName name="ELEM0009503" comment="Unitrans Automotive (Pty) Ltd - Market Toyota Division Interest received">'[60]Interco list'!#REF!</definedName>
    <definedName name="ELEM0009504" comment="Unitrans Automotive (Pty) Ltd - Market Toyota Division Dividends received">'[60]Interco list'!#REF!</definedName>
    <definedName name="ELEM0009505" comment="Unitrans Automotive (Pty) Ltd - Market Toyota Division Dividends paid">'[60]Interco list'!#REF!</definedName>
    <definedName name="ELEM0009506" comment="Unitrans Automotive (Pty) Ltd - Market Toyota Division Debtors">'[60]Interco list'!#REF!</definedName>
    <definedName name="ELEM0009507" comment="Unitrans Automotive (Pty) Ltd - Market Toyota Division Creditors">'[60]Interco list'!#REF!</definedName>
    <definedName name="ELEM0009508" comment="Unitrans Automotive (Pty) Ltd - Market Toyota Division Loans - debit balances">'[60]Interco list'!#REF!</definedName>
    <definedName name="ELEM0009509" comment="Unitrans Automotive (Pty) Ltd - Market Toyota Division Loans - credit balances">'[60]Interco list'!#REF!</definedName>
    <definedName name="ELEM0009510" comment="Unitrans Automotive (Pty) Ltd - Algoa Toyota Division Intergroup Sales">'[60]Interco list'!#REF!</definedName>
    <definedName name="ELEM0009511" comment="Unitrans Automotive (Pty) Ltd - Algoa Toyota Division Admin fees received">'[60]Interco list'!#REF!</definedName>
    <definedName name="ELEM0009512" comment="Unitrans Automotive (Pty) Ltd - Algoa Toyota Division Admin fees paid">'[60]Interco list'!#REF!</definedName>
    <definedName name="ELEM0009513" comment="Unitrans Automotive (Pty) Ltd - Algoa Toyota Division Forex fees received">'[60]Interco list'!#REF!</definedName>
    <definedName name="ELEM0009514" comment="Unitrans Automotive (Pty) Ltd - Algoa Toyota Division Forex fees paid">'[60]Interco list'!#REF!</definedName>
    <definedName name="ELEM0009515" comment="Unitrans Automotive (Pty) Ltd - Algoa Toyota Division Management fees received">'[60]Interco list'!#REF!</definedName>
    <definedName name="ELEM0009516" comment="Unitrans Automotive (Pty) Ltd - Algoa Toyota Division Management fees paid">'[60]Interco list'!#REF!</definedName>
    <definedName name="ELEM0009517" comment="Unitrans Automotive (Pty) Ltd - Algoa Toyota Division Operating expenses recovered">'[60]Interco list'!#REF!</definedName>
    <definedName name="ELEM0009518" comment="Unitrans Automotive (Pty) Ltd - Algoa Toyota Division Operating expenses paid">'[60]Interco list'!#REF!</definedName>
    <definedName name="ELEM0009519" comment="Unitrans Automotive (Pty) Ltd - Algoa Toyota Division Rent received">'[60]Interco list'!#REF!</definedName>
    <definedName name="ELEM0009520" comment="Unitrans Automotive (Pty) Ltd - Algoa Toyota Division Rent paid">'[60]Interco list'!#REF!</definedName>
    <definedName name="ELEM0009521" comment="Unitrans Automotive (Pty) Ltd - Algoa Toyota Division Rebates received">'[60]Interco list'!#REF!</definedName>
    <definedName name="ELEM0009522" comment="Unitrans Automotive (Pty) Ltd - Algoa Toyota Division Rebates paid">'[60]Interco list'!#REF!</definedName>
    <definedName name="ELEM0009523" comment="Unitrans Automotive (Pty) Ltd - Algoa Toyota Division Settlement discounts received">'[60]Interco list'!#REF!</definedName>
    <definedName name="ELEM0009524" comment="Unitrans Automotive (Pty) Ltd - Algoa Toyota Division Settlement discounts paid">'[60]Interco list'!#REF!</definedName>
    <definedName name="ELEM0009525" comment="Unitrans Automotive (Pty) Ltd - Algoa Toyota Division Finance costs paid">'[60]Interco list'!#REF!</definedName>
    <definedName name="ELEM0009526" comment="Unitrans Automotive (Pty) Ltd - Algoa Toyota Division Interest received">'[60]Interco list'!#REF!</definedName>
    <definedName name="ELEM0009527" comment="Unitrans Automotive (Pty) Ltd - Algoa Toyota Division Dividends received">'[60]Interco list'!#REF!</definedName>
    <definedName name="ELEM0009528" comment="Unitrans Automotive (Pty) Ltd - Algoa Toyota Division Dividends paid">'[60]Interco list'!#REF!</definedName>
    <definedName name="ELEM0009529" comment="Unitrans Automotive (Pty) Ltd - Algoa Toyota Division Debtors">'[60]Interco list'!#REF!</definedName>
    <definedName name="ELEM0009530" comment="Unitrans Automotive (Pty) Ltd - Algoa Toyota Division Creditors">'[60]Interco list'!#REF!</definedName>
    <definedName name="ELEM0009531" comment="Unitrans Automotive (Pty) Ltd - Algoa Toyota Division Loans - debit balances">'[60]Interco list'!#REF!</definedName>
    <definedName name="ELEM0009532" comment="Unitrans Automotive (Pty) Ltd - Algoa Toyota Division Loans - credit balances">'[60]Interco list'!#REF!</definedName>
    <definedName name="ELEM0009533" comment="Unitrans Automotive (Pty) Ltd - Buffalo Toyota Division Intergroup Sales">'[60]Interco list'!#REF!</definedName>
    <definedName name="ELEM0009534" comment="Unitrans Automotive (Pty) Ltd - Buffalo Toyota Division Admin fees received">'[60]Interco list'!#REF!</definedName>
    <definedName name="ELEM0009535" comment="Unitrans Automotive (Pty) Ltd - Buffalo Toyota Division Admin fees paid">'[60]Interco list'!#REF!</definedName>
    <definedName name="ELEM0009536" comment="Unitrans Automotive (Pty) Ltd - Buffalo Toyota Division Forex fees received">'[60]Interco list'!#REF!</definedName>
    <definedName name="ELEM0009537" comment="Unitrans Automotive (Pty) Ltd - Buffalo Toyota Division Forex fees paid">'[60]Interco list'!#REF!</definedName>
    <definedName name="ELEM0009538" comment="Unitrans Automotive (Pty) Ltd - Buffalo Toyota Division Management fees received">'[60]Interco list'!#REF!</definedName>
    <definedName name="ELEM0009539" comment="Unitrans Automotive (Pty) Ltd - Buffalo Toyota Division Management fees paid">'[60]Interco list'!#REF!</definedName>
    <definedName name="ELEM0009540" comment="Unitrans Automotive (Pty) Ltd - Buffalo Toyota Division Operating expenses recovered">'[60]Interco list'!#REF!</definedName>
    <definedName name="ELEM0009541" comment="Unitrans Automotive (Pty) Ltd - Buffalo Toyota Division Operating expenses paid">'[60]Interco list'!#REF!</definedName>
    <definedName name="ELEM0009542" comment="Unitrans Automotive (Pty) Ltd - Buffalo Toyota Division Rent received">'[60]Interco list'!#REF!</definedName>
    <definedName name="ELEM0009543" comment="Unitrans Automotive (Pty) Ltd - Buffalo Toyota Division Rent paid">'[60]Interco list'!#REF!</definedName>
    <definedName name="ELEM0009544" comment="Unitrans Automotive (Pty) Ltd - Buffalo Toyota Division Rebates received">'[60]Interco list'!#REF!</definedName>
    <definedName name="ELEM0009545" comment="Unitrans Automotive (Pty) Ltd - Buffalo Toyota Division Rebates paid">'[60]Interco list'!#REF!</definedName>
    <definedName name="ELEM0009546" comment="Unitrans Automotive (Pty) Ltd - Buffalo Toyota Division Settlement discounts received">'[60]Interco list'!#REF!</definedName>
    <definedName name="ELEM0009547" comment="Unitrans Automotive (Pty) Ltd - Buffalo Toyota Division Settlement discounts paid">'[60]Interco list'!#REF!</definedName>
    <definedName name="ELEM0009548" comment="Unitrans Automotive (Pty) Ltd - Buffalo Toyota Division Finance costs paid">'[60]Interco list'!#REF!</definedName>
    <definedName name="ELEM0009549" comment="Unitrans Automotive (Pty) Ltd - Buffalo Toyota Division Interest received">'[60]Interco list'!#REF!</definedName>
    <definedName name="ELEM0009550" comment="Unitrans Automotive (Pty) Ltd - Buffalo Toyota Division Dividends received">'[60]Interco list'!#REF!</definedName>
    <definedName name="ELEM0009551" comment="Unitrans Automotive (Pty) Ltd - Buffalo Toyota Division Dividends paid">'[60]Interco list'!#REF!</definedName>
    <definedName name="ELEM0009552" comment="Unitrans Automotive (Pty) Ltd - Buffalo Toyota Division Debtors">'[60]Interco list'!#REF!</definedName>
    <definedName name="ELEM0009553" comment="Unitrans Automotive (Pty) Ltd - Buffalo Toyota Division Creditors">'[60]Interco list'!#REF!</definedName>
    <definedName name="ELEM0009554" comment="Unitrans Automotive (Pty) Ltd - Buffalo Toyota Division Loans - debit balances">'[60]Interco list'!#REF!</definedName>
    <definedName name="ELEM0009555" comment="Unitrans Automotive (Pty) Ltd - Buffalo Toyota Division Loans - credit balances">'[60]Interco list'!#REF!</definedName>
    <definedName name="ELEM0009579" comment="Unitrans Automotive (Pty) Ltd - Toyota North Division Intergroup Sales">'[60]Interco list'!#REF!</definedName>
    <definedName name="ELEM0009580" comment="Unitrans Automotive (Pty) Ltd - Toyota North Division Admin fees received">'[60]Interco list'!#REF!</definedName>
    <definedName name="ELEM0009581" comment="Unitrans Automotive (Pty) Ltd - Toyota North Division Admin fees paid">'[60]Interco list'!#REF!</definedName>
    <definedName name="ELEM0009582" comment="Unitrans Automotive (Pty) Ltd - Toyota North Division Forex fees received">'[60]Interco list'!#REF!</definedName>
    <definedName name="ELEM0009583" comment="Unitrans Automotive (Pty) Ltd - Toyota North Division Forex fees paid">'[60]Interco list'!#REF!</definedName>
    <definedName name="ELEM0009584" comment="Unitrans Automotive (Pty) Ltd - Toyota North Division Management fees received">'[60]Interco list'!#REF!</definedName>
    <definedName name="ELEM0009585" comment="Unitrans Automotive (Pty) Ltd - Toyota North Division Management fees paid">'[60]Interco list'!#REF!</definedName>
    <definedName name="ELEM0009586" comment="Unitrans Automotive (Pty) Ltd - Toyota North Division Operating expenses recovered">'[60]Interco list'!#REF!</definedName>
    <definedName name="ELEM0009587" comment="Unitrans Automotive (Pty) Ltd - Toyota North Division Operating expenses paid">'[60]Interco list'!#REF!</definedName>
    <definedName name="ELEM0009588" comment="Unitrans Automotive (Pty) Ltd - Toyota North Division Rent received">'[60]Interco list'!#REF!</definedName>
    <definedName name="ELEM0009589" comment="Unitrans Automotive (Pty) Ltd - Toyota North Division Rent paid">'[60]Interco list'!#REF!</definedName>
    <definedName name="ELEM0009590" comment="Unitrans Automotive (Pty) Ltd - Toyota North Division Rebates received">'[60]Interco list'!#REF!</definedName>
    <definedName name="ELEM0009591" comment="Unitrans Automotive (Pty) Ltd - Toyota North Division Rebates paid">'[60]Interco list'!#REF!</definedName>
    <definedName name="ELEM0009592" comment="Unitrans Automotive (Pty) Ltd - Toyota North Division Settlement discounts received">'[60]Interco list'!#REF!</definedName>
    <definedName name="ELEM0009593" comment="Unitrans Automotive (Pty) Ltd - Toyota North Division Settlement discounts paid">'[60]Interco list'!#REF!</definedName>
    <definedName name="ELEM0009594" comment="Unitrans Automotive (Pty) Ltd - Toyota North Division Finance costs paid">'[60]Interco list'!#REF!</definedName>
    <definedName name="ELEM0009595" comment="Unitrans Automotive (Pty) Ltd - Toyota North Division Interest received">'[60]Interco list'!#REF!</definedName>
    <definedName name="ELEM0009596" comment="Unitrans Automotive (Pty) Ltd - Toyota North Division Dividends received">'[60]Interco list'!#REF!</definedName>
    <definedName name="ELEM0009597" comment="Unitrans Automotive (Pty) Ltd - Toyota North Division Dividends paid">'[60]Interco list'!#REF!</definedName>
    <definedName name="ELEM0009598" comment="Unitrans Automotive (Pty) Ltd - Toyota North Division Debtors">'[60]Interco list'!#REF!</definedName>
    <definedName name="ELEM0009599" comment="Unitrans Automotive (Pty) Ltd - Toyota North Division Creditors">'[60]Interco list'!#REF!</definedName>
    <definedName name="ELEM0009600" comment="Unitrans Automotive (Pty) Ltd - Toyota North Division Loans - debit balances">'[60]Interco list'!#REF!</definedName>
    <definedName name="ELEM0009601" comment="Unitrans Automotive (Pty) Ltd - Toyota North Division Loans - credit balances">'[60]Interco list'!#REF!</definedName>
    <definedName name="ELEM0009694" comment="Contract Lease Management (Pty) Ltd Intergroup Sales">'[60]Interco list'!#REF!</definedName>
    <definedName name="ELEM0009695" comment="Contract Lease Management (Pty) Ltd Admin fees received">'[60]Interco list'!#REF!</definedName>
    <definedName name="ELEM0009696" comment="Contract Lease Management (Pty) Ltd Admin fees paid">'[60]Interco list'!#REF!</definedName>
    <definedName name="ELEM0009697" comment="Contract Lease Management (Pty) Ltd Forex fees received">'[60]Interco list'!#REF!</definedName>
    <definedName name="ELEM0009698" comment="Contract Lease Management (Pty) Ltd Forex fees paid">'[60]Interco list'!#REF!</definedName>
    <definedName name="ELEM0009699" comment="Contract Lease Management (Pty) Ltd Management fees received">'[60]Interco list'!#REF!</definedName>
    <definedName name="ELEM0009700" comment="Contract Lease Management (Pty) Ltd Management fees paid">'[60]Interco list'!#REF!</definedName>
    <definedName name="ELEM0009701" comment="Contract Lease Management (Pty) Ltd Operating expenses recovered">'[60]Interco list'!#REF!</definedName>
    <definedName name="ELEM0009702" comment="Contract Lease Management (Pty) Ltd Operating expenses paid">'[60]Interco list'!#REF!</definedName>
    <definedName name="ELEM0009703" comment="Contract Lease Management (Pty) Ltd Rent received">'[60]Interco list'!#REF!</definedName>
    <definedName name="ELEM0009704" comment="Contract Lease Management (Pty) Ltd Rent paid">'[60]Interco list'!#REF!</definedName>
    <definedName name="ELEM0009705" comment="Contract Lease Management (Pty) Ltd Rebates received">'[60]Interco list'!#REF!</definedName>
    <definedName name="ELEM0009706" comment="Contract Lease Management (Pty) Ltd Rebates paid">'[60]Interco list'!#REF!</definedName>
    <definedName name="ELEM0009707" comment="Contract Lease Management (Pty) Ltd Settlement discounts received">'[60]Interco list'!#REF!</definedName>
    <definedName name="ELEM0009708" comment="Contract Lease Management (Pty) Ltd Settlement discounts paid">'[60]Interco list'!#REF!</definedName>
    <definedName name="ELEM0009709" comment="Contract Lease Management (Pty) Ltd Finance costs paid">'[60]Interco list'!#REF!</definedName>
    <definedName name="ELEM0009710" comment="Contract Lease Management (Pty) Ltd Interest received">'[60]Interco list'!#REF!</definedName>
    <definedName name="ELEM0009711" comment="Contract Lease Management (Pty) Ltd Dividends received">'[60]Interco list'!#REF!</definedName>
    <definedName name="ELEM0009712" comment="Contract Lease Management (Pty) Ltd Dividends paid">'[60]Interco list'!#REF!</definedName>
    <definedName name="ELEM0009713" comment="Contract Lease Management (Pty) Ltd Debtors">'[60]Interco list'!#REF!</definedName>
    <definedName name="ELEM0009714" comment="Contract Lease Management (Pty) Ltd Creditors">'[60]Interco list'!#REF!</definedName>
    <definedName name="ELEM0009715" comment="Contract Lease Management (Pty) Ltd Loans - debit balances">'[60]Interco list'!#REF!</definedName>
    <definedName name="ELEM0009716" comment="Contract Lease Management (Pty) Ltd Loans - credit balances">'[60]Interco list'!#REF!</definedName>
    <definedName name="ELEM0009786" comment="Unitrans Motor Enterprises (Pty) Ltd - Leasing division Intergroup Sales">'[60]Interco list'!#REF!</definedName>
    <definedName name="ELEM0009787" comment="Unitrans Motor Enterprises (Pty) Ltd - Leasing division Admin fees received">'[60]Interco list'!#REF!</definedName>
    <definedName name="ELEM0009788" comment="Unitrans Motor Enterprises (Pty) Ltd - Leasing division Admin fees paid">'[60]Interco list'!#REF!</definedName>
    <definedName name="ELEM0009789" comment="Unitrans Motor Enterprises (Pty) Ltd - Leasing division Forex fees received">'[60]Interco list'!#REF!</definedName>
    <definedName name="ELEM0009790" comment="Unitrans Motor Enterprises (Pty) Ltd - Leasing division Forex fees paid">'[60]Interco list'!#REF!</definedName>
    <definedName name="ELEM0009791" comment="Unitrans Motor Enterprises (Pty) Ltd - Leasing division Management fees received">'[60]Interco list'!#REF!</definedName>
    <definedName name="ELEM0009792" comment="Unitrans Motor Enterprises (Pty) Ltd - Leasing division Management fees paid">'[60]Interco list'!#REF!</definedName>
    <definedName name="ELEM0009793" comment="Unitrans Motor Enterprises (Pty) Ltd - Leasing division Operating expenses recovered">'[60]Interco list'!#REF!</definedName>
    <definedName name="ELEM0009794" comment="Unitrans Motor Enterprises (Pty) Ltd - Leasing division Operating expenses paid">'[60]Interco list'!#REF!</definedName>
    <definedName name="ELEM0009795" comment="Unitrans Motor Enterprises (Pty) Ltd - Leasing division Rent received">'[60]Interco list'!#REF!</definedName>
    <definedName name="ELEM0009796" comment="Unitrans Motor Enterprises (Pty) Ltd - Leasing division Rent paid">'[60]Interco list'!#REF!</definedName>
    <definedName name="ELEM0009797" comment="Unitrans Motor Enterprises (Pty) Ltd - Leasing division Rebates received">'[60]Interco list'!#REF!</definedName>
    <definedName name="ELEM0009798" comment="Unitrans Motor Enterprises (Pty) Ltd - Leasing division Rebates paid">'[60]Interco list'!#REF!</definedName>
    <definedName name="ELEM0009799" comment="Unitrans Motor Enterprises (Pty) Ltd - Leasing division Settlement discounts received">'[60]Interco list'!#REF!</definedName>
    <definedName name="ELEM0009800" comment="Unitrans Motor Enterprises (Pty) Ltd - Leasing division Settlement discounts paid">'[60]Interco list'!#REF!</definedName>
    <definedName name="ELEM0009801" comment="Unitrans Motor Enterprises (Pty) Ltd - Leasing division Finance costs paid">'[60]Interco list'!#REF!</definedName>
    <definedName name="ELEM0009802" comment="Unitrans Motor Enterprises (Pty) Ltd - Leasing division Interest received">'[60]Interco list'!#REF!</definedName>
    <definedName name="ELEM0009803" comment="Unitrans Motor Enterprises (Pty) Ltd - Leasing division Dividends received">'[60]Interco list'!#REF!</definedName>
    <definedName name="ELEM0009804" comment="Unitrans Motor Enterprises (Pty) Ltd - Leasing division Dividends paid">'[60]Interco list'!#REF!</definedName>
    <definedName name="ELEM0009805" comment="Unitrans Motor Enterprises (Pty) Ltd - Leasing division Debtors">'[60]Interco list'!#REF!</definedName>
    <definedName name="ELEM0009806" comment="Unitrans Motor Enterprises (Pty) Ltd - Leasing division Creditors">'[60]Interco list'!#REF!</definedName>
    <definedName name="ELEM0009807" comment="Unitrans Motor Enterprises (Pty) Ltd - Leasing division Loans - debit balances">'[60]Interco list'!#REF!</definedName>
    <definedName name="ELEM0009808" comment="Unitrans Motor Enterprises (Pty) Ltd - Leasing division Loans - credit balances">'[60]Interco list'!#REF!</definedName>
    <definedName name="ELEM0009901" comment="Global Logistics Consolidation Journals Intergroup Sales">'[60]Interco list'!#REF!</definedName>
    <definedName name="ELEM0009902" comment="Global Logistics Consolidation Journals Admin fees received">'[60]Interco list'!#REF!</definedName>
    <definedName name="ELEM0009903" comment="Global Logistics Consolidation Journals Admin fees paid">'[60]Interco list'!#REF!</definedName>
    <definedName name="ELEM0009904" comment="Global Logistics Consolidation Journals Forex fees received">'[60]Interco list'!#REF!</definedName>
    <definedName name="ELEM0009905" comment="Global Logistics Consolidation Journals Forex fees paid">'[60]Interco list'!#REF!</definedName>
    <definedName name="ELEM0009906" comment="Global Logistics Consolidation Journals Management fees received">'[60]Interco list'!#REF!</definedName>
    <definedName name="ELEM0009907" comment="Global Logistics Consolidation Journals Management fees paid">'[60]Interco list'!#REF!</definedName>
    <definedName name="ELEM0009908" comment="Global Logistics Consolidation Journals Operating expenses recovered">'[60]Interco list'!#REF!</definedName>
    <definedName name="ELEM0009909" comment="Global Logistics Consolidation Journals Operating expenses paid">'[60]Interco list'!#REF!</definedName>
    <definedName name="ELEM0009910" comment="Global Logistics Consolidation Journals Rent received">'[60]Interco list'!#REF!</definedName>
    <definedName name="ELEM0009911" comment="Global Logistics Consolidation Journals Rent paid">'[60]Interco list'!#REF!</definedName>
    <definedName name="ELEM0009912" comment="Global Logistics Consolidation Journals Rebates received">'[60]Interco list'!#REF!</definedName>
    <definedName name="ELEM0009913" comment="Global Logistics Consolidation Journals Rebates paid">'[60]Interco list'!#REF!</definedName>
    <definedName name="ELEM0009914" comment="Global Logistics Consolidation Journals Settlement discounts received">'[60]Interco list'!#REF!</definedName>
    <definedName name="ELEM0009915" comment="Global Logistics Consolidation Journals Settlement discounts paid">'[60]Interco list'!#REF!</definedName>
    <definedName name="ELEM0009916" comment="Global Logistics Consolidation Journals Finance costs paid">'[60]Interco list'!#REF!</definedName>
    <definedName name="ELEM0009917" comment="Global Logistics Consolidation Journals Interest received">'[60]Interco list'!#REF!</definedName>
    <definedName name="ELEM0009918" comment="Global Logistics Consolidation Journals Dividends received">'[60]Interco list'!#REF!</definedName>
    <definedName name="ELEM0009919" comment="Global Logistics Consolidation Journals Dividends paid">'[60]Interco list'!#REF!</definedName>
    <definedName name="ELEM0009920" comment="Global Logistics Consolidation Journals Debtors">'[60]Interco list'!#REF!</definedName>
    <definedName name="ELEM0009921" comment="Global Logistics Consolidation Journals Creditors">'[60]Interco list'!#REF!</definedName>
    <definedName name="ELEM0009922" comment="Global Logistics Consolidation Journals Loans - debit balances">'[60]Interco list'!#REF!</definedName>
    <definedName name="ELEM0009923" comment="Global Logistics Consolidation Journals Loans - credit balances">'[60]Interco list'!#REF!</definedName>
    <definedName name="ELEM0009947" comment="Consolidation Journals Intergroup Sales">'[60]Interco list'!#REF!</definedName>
    <definedName name="ELEM0009948" comment="Consolidation Journals Admin fees received">'[60]Interco list'!#REF!</definedName>
    <definedName name="ELEM0009949" comment="Consolidation Journals Admin fees paid">'[60]Interco list'!#REF!</definedName>
    <definedName name="ELEM0009950" comment="Consolidation Journals Forex fees received">'[60]Interco list'!#REF!</definedName>
    <definedName name="ELEM0009951" comment="Consolidation Journals Forex fees paid">'[60]Interco list'!#REF!</definedName>
    <definedName name="ELEM0009952" comment="Consolidation Journals Management fees received">'[60]Interco list'!#REF!</definedName>
    <definedName name="ELEM0009953" comment="Consolidation Journals Management fees paid">'[60]Interco list'!#REF!</definedName>
    <definedName name="ELEM0009954" comment="Consolidation Journals Operating expenses recovered">'[60]Interco list'!#REF!</definedName>
    <definedName name="ELEM0009955" comment="Consolidation Journals Operating expenses paid">'[60]Interco list'!#REF!</definedName>
    <definedName name="ELEM0009956" comment="Consolidation Journals Rent received">'[60]Interco list'!#REF!</definedName>
    <definedName name="ELEM0009957" comment="Consolidation Journals Rent paid">'[60]Interco list'!#REF!</definedName>
    <definedName name="ELEM0009958" comment="Consolidation Journals Rebates received">'[60]Interco list'!#REF!</definedName>
    <definedName name="ELEM0009959" comment="Consolidation Journals Rebates paid">'[60]Interco list'!#REF!</definedName>
    <definedName name="ELEM0009960" comment="Consolidation Journals Settlement discounts received">'[60]Interco list'!#REF!</definedName>
    <definedName name="ELEM0009961" comment="Consolidation Journals Settlement discounts paid">'[60]Interco list'!#REF!</definedName>
    <definedName name="ELEM0009962" comment="Consolidation Journals Finance costs paid">'[60]Interco list'!#REF!</definedName>
    <definedName name="ELEM0009963" comment="Consolidation Journals Interest received">'[60]Interco list'!#REF!</definedName>
    <definedName name="ELEM0009964" comment="Consolidation Journals Dividends received">'[60]Interco list'!#REF!</definedName>
    <definedName name="ELEM0009965" comment="Consolidation Journals Dividends paid">'[60]Interco list'!#REF!</definedName>
    <definedName name="ELEM0009966" comment="Consolidation Journals Debtors">'[60]Interco list'!#REF!</definedName>
    <definedName name="ELEM0009967" comment="Consolidation Journals Creditors">'[60]Interco list'!#REF!</definedName>
    <definedName name="ELEM0009968" comment="Consolidation Journals Loans - debit balances">'[60]Interco list'!#REF!</definedName>
    <definedName name="ELEM0009969" comment="Consolidation Journals Loans - credit balances">'[60]Interco list'!#REF!</definedName>
    <definedName name="ELEM0009970" comment="Elimination Journals Intergroup Sales">'[60]Interco list'!#REF!</definedName>
    <definedName name="ELEM0009971" comment="Elimination Journals Admin fees received">'[60]Interco list'!#REF!</definedName>
    <definedName name="ELEM0009972" comment="Elimination Journals Admin fees paid">'[60]Interco list'!#REF!</definedName>
    <definedName name="ELEM0009973" comment="Elimination Journals Forex fees received">'[60]Interco list'!#REF!</definedName>
    <definedName name="ELEM0009974" comment="Elimination Journals Forex fees paid">'[60]Interco list'!#REF!</definedName>
    <definedName name="ELEM0009975" comment="Elimination Journals Management fees received">'[60]Interco list'!#REF!</definedName>
    <definedName name="ELEM0009976" comment="Elimination Journals Management fees paid">'[60]Interco list'!#REF!</definedName>
    <definedName name="ELEM0009977" comment="Elimination Journals Operating expenses recovered">'[60]Interco list'!#REF!</definedName>
    <definedName name="ELEM0009978" comment="Elimination Journals Operating expenses paid">'[60]Interco list'!#REF!</definedName>
    <definedName name="ELEM0009979" comment="Elimination Journals Rent received">'[60]Interco list'!#REF!</definedName>
    <definedName name="ELEM0009980" comment="Elimination Journals Rent paid">'[60]Interco list'!#REF!</definedName>
    <definedName name="ELEM0009981" comment="Elimination Journals Rebates received">'[60]Interco list'!#REF!</definedName>
    <definedName name="ELEM0009982" comment="Elimination Journals Rebates paid">'[60]Interco list'!#REF!</definedName>
    <definedName name="ELEM0009983" comment="Elimination Journals Settlement discounts received">'[60]Interco list'!#REF!</definedName>
    <definedName name="ELEM0009984" comment="Elimination Journals Settlement discounts paid">'[60]Interco list'!#REF!</definedName>
    <definedName name="ELEM0009985" comment="Elimination Journals Finance costs paid">'[60]Interco list'!#REF!</definedName>
    <definedName name="ELEM0009986" comment="Elimination Journals Interest received">'[60]Interco list'!#REF!</definedName>
    <definedName name="ELEM0009987" comment="Elimination Journals Dividends received">'[60]Interco list'!#REF!</definedName>
    <definedName name="ELEM0009988" comment="Elimination Journals Dividends paid">'[60]Interco list'!#REF!</definedName>
    <definedName name="ELEM0009989" comment="Elimination Journals Debtors">'[60]Interco list'!#REF!</definedName>
    <definedName name="ELEM0009990" comment="Elimination Journals Creditors">'[60]Interco list'!#REF!</definedName>
    <definedName name="ELEM0009991" comment="Elimination Journals Loans - debit balances">'[60]Interco list'!#REF!</definedName>
    <definedName name="ELEM0009992" comment="Elimination Journals Loans - credit balances">'[60]Interco list'!#REF!</definedName>
    <definedName name="ELEM0011058" comment="Investments and loans Renegotiated terms">'[60]IFRS 7 schedules'!#REF!</definedName>
    <definedName name="ELEM0011067" comment="Loans due by group entities Renegotiated terms">'[60]IFRS 7 schedules'!#REF!</definedName>
    <definedName name="ELEM0011076" comment="FEC assets Renegotiated terms">'[60]IFRS 7 schedules'!#REF!</definedName>
    <definedName name="ELEM0011085" comment="Financial instruments including Embedded derivative assets Renegotiated terms">'[60]IFRS 7 schedules'!#REF!</definedName>
    <definedName name="ELEM0011094" comment="Trade receivables Renegotiated terms">'[60]IFRS 7 schedules'!#REF!</definedName>
    <definedName name="ELEM0011103" comment="Other receivables (excluding prepayments) Renegotiated terms">'[60]IFRS 7 schedules'!#REF!</definedName>
    <definedName name="ELEM0011112" comment="Intercompany debtors Renegotiated terms">'[60]IFRS 7 schedules'!#REF!</definedName>
    <definedName name="ELEM0011121" comment="Short term loans receivable Renegotiated terms">'[60]IFRS 7 schedules'!#REF!</definedName>
    <definedName name="ELEM0011130" comment="Bank balances and cash Renegotiated terms">'[60]IFRS 7 schedules'!#REF!</definedName>
    <definedName name="ELEM0011139" comment="Funds on call and on deposit Renegotiated terms">'[60]IFRS 7 schedules'!#REF!</definedName>
    <definedName name="ELEM0011148" comment="Investments and loans Renegotiated terms">'[60]IFRS 7 schedules'!#REF!</definedName>
    <definedName name="ELEM0011157" comment="Loans due by group entities Renegotiated terms">'[60]IFRS 7 schedules'!#REF!</definedName>
    <definedName name="ELEM0011166" comment="FEC assets Renegotiated terms">'[60]IFRS 7 schedules'!#REF!</definedName>
    <definedName name="ELEM0011175" comment="Financial instruments including Embedded derivative assets Renegotiated terms">'[60]IFRS 7 schedules'!#REF!</definedName>
    <definedName name="ELEM0011184" comment="Trade receivables Renegotiated terms">'[60]IFRS 7 schedules'!#REF!</definedName>
    <definedName name="ELEM0011193" comment="Other receivables (excluding prepayments) Renegotiated terms">'[60]IFRS 7 schedules'!#REF!</definedName>
    <definedName name="ELEM0011202" comment="Intercompany debtors Renegotiated terms">'[60]IFRS 7 schedules'!#REF!</definedName>
    <definedName name="ELEM0011211" comment="Short term loans receivable Renegotiated terms">'[60]IFRS 7 schedules'!#REF!</definedName>
    <definedName name="ELEM0011220" comment="Bank balances and cash Renegotiated terms">'[60]IFRS 7 schedules'!#REF!</definedName>
    <definedName name="ELEM0011229" comment="Funds on call and on deposit Renegotiated terms">'[60]IFRS 7 schedules'!#REF!</definedName>
    <definedName name="ELEM0013307" comment="Sub Dis - CF  -Net cash in/(out) flow Current Year">'[60]Main Pack'!$E$3709</definedName>
    <definedName name="ELEM0013989" comment="Nomakanjani Logisitics Company (Pty) Ltd Intergroup Sales">'[60]Interco list'!#REF!</definedName>
    <definedName name="ELEM0013990" comment="Nomakanjani Logisitics Company (Pty) Ltd Admin fees received">'[60]Interco list'!#REF!</definedName>
    <definedName name="ELEM0013991" comment="Nomakanjani Logisitics Company (Pty) Ltd Admin fees paid">'[60]Interco list'!#REF!</definedName>
    <definedName name="ELEM0013992" comment="Nomakanjani Logisitics Company (Pty) Ltd Forex fees received">'[60]Interco list'!#REF!</definedName>
    <definedName name="ELEM0013993" comment="Nomakanjani Logisitics Company (Pty) Ltd Forex fees paid">'[60]Interco list'!#REF!</definedName>
    <definedName name="ELEM0013994" comment="Nomakanjani Logisitics Company (Pty) Ltd Management fees received">'[60]Interco list'!#REF!</definedName>
    <definedName name="ELEM0013995" comment="Nomakanjani Logisitics Company (Pty) Ltd Management fees paid">'[60]Interco list'!#REF!</definedName>
    <definedName name="ELEM0013996" comment="Nomakanjani Logisitics Company (Pty) Ltd Operating expenses recovered">'[60]Interco list'!#REF!</definedName>
    <definedName name="ELEM0013997" comment="Nomakanjani Logisitics Company (Pty) Ltd Operating expenses paid">'[60]Interco list'!#REF!</definedName>
    <definedName name="ELEM0013998" comment="Nomakanjani Logisitics Company (Pty) Ltd Rent received">'[60]Interco list'!#REF!</definedName>
    <definedName name="ELEM0013999" comment="Nomakanjani Logisitics Company (Pty) Ltd Rent paid">'[60]Interco list'!#REF!</definedName>
    <definedName name="ELEM0014000" comment="Nomakanjani Logisitics Company (Pty) Ltd Rebates received">'[60]Interco list'!#REF!</definedName>
    <definedName name="ELEM0014001" comment="Nomakanjani Logisitics Company (Pty) Ltd Rebates paid">'[60]Interco list'!#REF!</definedName>
    <definedName name="ELEM0014002" comment="Nomakanjani Logisitics Company (Pty) Ltd Settlement discounts received">'[60]Interco list'!#REF!</definedName>
    <definedName name="ELEM0014003" comment="Nomakanjani Logisitics Company (Pty) Ltd Settlement discounts paid">'[60]Interco list'!#REF!</definedName>
    <definedName name="ELEM0014004" comment="Nomakanjani Logisitics Company (Pty) Ltd Finance costs paid">'[60]Interco list'!#REF!</definedName>
    <definedName name="ELEM0014005" comment="Nomakanjani Logisitics Company (Pty) Ltd Interest received">'[60]Interco list'!#REF!</definedName>
    <definedName name="ELEM0014006" comment="Nomakanjani Logisitics Company (Pty) Ltd Dividends received">'[60]Interco list'!#REF!</definedName>
    <definedName name="ELEM0014007" comment="Nomakanjani Logisitics Company (Pty) Ltd Dividends paid">'[60]Interco list'!#REF!</definedName>
    <definedName name="ELEM0014008" comment="Nomakanjani Logisitics Company (Pty) Ltd Debtors">'[60]Interco list'!#REF!</definedName>
    <definedName name="ELEM0014009" comment="Nomakanjani Logisitics Company (Pty) Ltd Creditors">'[60]Interco list'!#REF!</definedName>
    <definedName name="ELEM0014010" comment="Nomakanjani Logisitics Company (Pty) Ltd Loans - debit balances">'[60]Interco list'!#REF!</definedName>
    <definedName name="ELEM0014011" comment="Nomakanjani Logisitics Company (Pty) Ltd Loans - credit balances">'[60]Interco list'!#REF!</definedName>
    <definedName name="ELEM0014066" comment="Treasury shares Renegotiated terms">'[60]IFRS 7 schedules'!#REF!</definedName>
    <definedName name="ELEM0014075" comment="Treasury shares Renegotiated terms">'[60]IFRS 7 schedules'!#REF!</definedName>
    <definedName name="ELIMINATION_OF_COMPETITION_PAYMENTS">#REF!</definedName>
    <definedName name="employees">#REF!</definedName>
    <definedName name="employees_26">#REF!</definedName>
    <definedName name="employees_27">#REF!</definedName>
    <definedName name="employees_29">#REF!</definedName>
    <definedName name="employees_6">#REF!</definedName>
    <definedName name="EMPLOYER_CONTRIBUTIONS_TO_MEDICAL_FUNDS">#REF!</definedName>
    <definedName name="ENC">#REF!</definedName>
    <definedName name="End_Bal">#REF!</definedName>
    <definedName name="End_Date">'[61]Accounting Period'!$B$23</definedName>
    <definedName name="end_row">#N/A</definedName>
    <definedName name="EndAve">[7]work3!$A$316:$AQ$324</definedName>
    <definedName name="EndAveBud">[7]work3!$A$327:$AQ$335</definedName>
    <definedName name="ENG_BI_CORE_LOCATION">"C:\Program Files (x86)\Pastel Evolution\"</definedName>
    <definedName name="ENG_BI_EXE_FULL_PATH">"C:\Program Files (x86)\Pastel Evolution 6.82.65\BIC\BICORE.EXE"</definedName>
    <definedName name="ENG_BI_EXE_NAME" hidden="1">"BICORE.EXE"</definedName>
    <definedName name="ENG_BI_EXEC_CMD_ARGS" hidden="1">"03304607806510411410511904104507303704607512708407308306508709109606708806907006607311412310112412510311511310103308811410111010813413006906609309008107406105713012310412111410912309811710506807008806909109307008207006707707807807906205110010409509708"</definedName>
    <definedName name="ENG_BI_EXEC_CMD_ARGS_10" hidden="1">"097114102104102118076109104101119122102100070085115122101129128095121126098112110100072105110109106082110110106115125102115106100065089114126110125127084083069073082073073080074089066077092062050130"</definedName>
    <definedName name="ENG_BI_EXEC_CMD_ARGS_2" hidden="1">"50680930870810800550480570630830501341240961171141091230971251100680700720660850690760830760610821171191011241171041161081040370841231061051121301240961161141091230971251080690660890660840880870830870680700750950801000660960820950791000801040720960831"</definedName>
    <definedName name="ENG_BI_EXEC_CMD_ARGS_3" hidden="1">"04084096092095083100082104077125127100113118102108109104076074085072067088069070066101114130123104121114109123098117105065089089079104074080078087096084074082090074082070075076077083076058055091099100093089074093083090077051053048060087050134132095116"</definedName>
    <definedName name="ENG_BI_EXEC_CMD_ARGS_4" hidden="1">"11910611910111610507008509308609606708807907910006706908906508508807106507811111910511512010811111710703308412309810611312512710011212311411810112110206608908408310006708808507909507608007808207908210008307809108607308706206708007308208005706009809609"</definedName>
    <definedName name="ENG_BI_EXEC_CMD_ARGS_5" hidden="1">"51020810680970830850810500570570560860551261240991121181101181061231020650940850801000670830830781040760790810820800790990680690890650750720840690700701191161081211211051201190671151141101121141251271001121261051091051080700870840660860700780760810730"</definedName>
    <definedName name="ENG_BI_EXEC_CMD_ARGS_6" hidden="1">"72066092096099093053130123104119115105127098117106082083092077074092075070087074069075069065128082088094078065092076059096069114121105125114101119098047092073110120110116114108116095114067115102110103109073077102125095100099119075076069104099120124111"</definedName>
    <definedName name="ENG_BI_EXEC_CMD_ARGS_7" hidden="1">"11612407110611509711410410510611709305009606610010311112111511608510811910111709403306506203605412513210411212110310910610308210511711108910411710407006805909706912211606608207607710512109806910111610113012310411911809811710610009011510511911507005812"</definedName>
    <definedName name="ENG_BI_EXEC_CMD_ARGS_8" hidden="1">"51271001131181021081091040651091161061101141161171190971201161140931201111120811061001051101191061000700911151171101261241001121211031081141080821051081061161201011181061000761181101121061111220830971131060610821191181051201171041151081040370841231041"</definedName>
    <definedName name="ENG_BI_EXEC_CMD_ARGS_9" hidden="1">"06108134124096117117102113105108089114115105118100120086105119115114118111061063047057055046058058125132104112121103109106103082105117111123123078097119098104106114086106103114124116105119102101065084118122101134130096112126099109110099083081065089086"</definedName>
    <definedName name="ENG_BI_GEN_LIC" hidden="1">"1"</definedName>
    <definedName name="ENG_BI_GEN_LIC_WS" hidden="1">"True"</definedName>
    <definedName name="ENG_BI_LANG_CODE" hidden="1">"en"</definedName>
    <definedName name="ENG_BI_LBI" hidden="1">"2ZR5ZS29XX"</definedName>
    <definedName name="ENG_BI_REPOS_FILE" hidden="1">"C:\EvoBICMetaData\alchemex.svd"</definedName>
    <definedName name="ENG_BI_REPOS_PATH" hidden="1">"C:\EvoBICMetaData"</definedName>
    <definedName name="ENG_BI_TLA" hidden="1">"17;236;239;165;256;85;50;32;229;208;159;231;187;108;226;241;57;223;173;197;205;228;145;206;271;176;89;236;111;67;31;125"</definedName>
    <definedName name="ENG_BI_TLA2" hidden="1">"83;240;182;247;148;255;158;20;95;180;86;200;91;183;164;224;81;166;10;156;206;71;29;210;3;97;168;210;84;217;174;0"</definedName>
    <definedName name="enifer">#REF!</definedName>
    <definedName name="ENSSF" hidden="1">[43]Settings!$C$14</definedName>
    <definedName name="Entered_Pmt">'[51]Loan Data'!$I$23</definedName>
    <definedName name="ENVIRONMENTAL">#REF!</definedName>
    <definedName name="EPension" hidden="1">[43]Settings!$D$14</definedName>
    <definedName name="eqrf">#REF!</definedName>
    <definedName name="ER">'[28]Inter Company Interest'!#REF!</definedName>
    <definedName name="erdfg">#REF!</definedName>
    <definedName name="erereer">#REF!</definedName>
    <definedName name="erererer">#REF!</definedName>
    <definedName name="ererewr">#REF!</definedName>
    <definedName name="erertertert">#REF!</definedName>
    <definedName name="erertreertre">#REF!</definedName>
    <definedName name="eretfefgert">#REF!</definedName>
    <definedName name="ERETRY" hidden="1">#REF!</definedName>
    <definedName name="erewwrewr">#REF!</definedName>
    <definedName name="erf">#REF!</definedName>
    <definedName name="erfcr3we">#REF!</definedName>
    <definedName name="erfe">#REF!</definedName>
    <definedName name="erferterte">#REF!</definedName>
    <definedName name="erfg">#REF!</definedName>
    <definedName name="ERFGDVG">#REF!</definedName>
    <definedName name="erfresfdverdtgrf">#REF!</definedName>
    <definedName name="ERFSDC">'[28]Inter Company Interest'!#REF!</definedName>
    <definedName name="erftghj" hidden="1">[22]Sheet2!#REF!</definedName>
    <definedName name="ergdfhtreghfr">ROW(#REF!)</definedName>
    <definedName name="ERGFDVCX" hidden="1">[11]Sheet2!#REF!</definedName>
    <definedName name="erghfregdnbv">#REF!</definedName>
    <definedName name="ergrdt">#REF!</definedName>
    <definedName name="ergtert">#REF!</definedName>
    <definedName name="eripo">#REF!</definedName>
    <definedName name="ERREERER" hidden="1">[62]NOTES!#REF!</definedName>
    <definedName name="ers" hidden="1">[22]Sheet2!#REF!</definedName>
    <definedName name="ersdtrhyu" hidden="1">[11]Sheet2!#REF!</definedName>
    <definedName name="ERSTHD" hidden="1">#REF!</definedName>
    <definedName name="ert">#REF!</definedName>
    <definedName name="ert345teyu">#REF!</definedName>
    <definedName name="ertererttrer">#REF!</definedName>
    <definedName name="erteretret">#REF!</definedName>
    <definedName name="ertertere">#REF!</definedName>
    <definedName name="ertertert">#REF!</definedName>
    <definedName name="erterterte">#REF!</definedName>
    <definedName name="ertertertret">#REF!</definedName>
    <definedName name="ertertret">#REF!</definedName>
    <definedName name="erterw">#REF!</definedName>
    <definedName name="ertew5uk">#REF!</definedName>
    <definedName name="ertf5r4fg">#REF!</definedName>
    <definedName name="ertfrefgtretgf">#REF!</definedName>
    <definedName name="ertfretfr4efr3">#REF!</definedName>
    <definedName name="ERTGFHB" hidden="1">#REF!</definedName>
    <definedName name="ertiu" hidden="1">[22]Sheet2!#REF!</definedName>
    <definedName name="ertqwetrft">#REF!</definedName>
    <definedName name="ertreter">#REF!</definedName>
    <definedName name="ertry">#REF!</definedName>
    <definedName name="ertterfhyu">#REF!</definedName>
    <definedName name="ERTTTERT" hidden="1">#REF!</definedName>
    <definedName name="ertuu7i6y">#REF!</definedName>
    <definedName name="ertyrtwe">#REF!</definedName>
    <definedName name="ertyt">#REF!</definedName>
    <definedName name="ertyu" hidden="1">[11]Sheet2!#REF!</definedName>
    <definedName name="ertyu687" hidden="1">[11]Sheet2!#REF!</definedName>
    <definedName name="ertyui">#REF!</definedName>
    <definedName name="ertyuio">#REF!</definedName>
    <definedName name="ervfdv" hidden="1">"AS2DocumentBrowse"</definedName>
    <definedName name="eryut" hidden="1">[22]Sheet2!#REF!</definedName>
    <definedName name="ESAFDCESF" hidden="1">[11]Sheet2!#REF!</definedName>
    <definedName name="esde" localSheetId="2">DATE(YEAR([0]!iu),MONTH([0]!iu)+Payment_Number,DAY([0]!iu))</definedName>
    <definedName name="esde">DATE(YEAR(iu),MONTH(iu)+Payment_Number,DAY(iu))</definedName>
    <definedName name="esdrfgt" hidden="1">[22]Sheet2!#REF!</definedName>
    <definedName name="ESFDSDFDS">'[34]Tax Comp'!#REF!</definedName>
    <definedName name="ESL">#REF!</definedName>
    <definedName name="esrdgtfh" hidden="1">[22]Sheet2!#REF!</definedName>
    <definedName name="esrt" hidden="1">[22]Sheet2!#REF!</definedName>
    <definedName name="eth">#REF!</definedName>
    <definedName name="ETJTYU" hidden="1">[11]Sheet2!#REF!</definedName>
    <definedName name="etjyhy" localSheetId="2">DATE(YEAR([0]!jfghfnf),MONTH([0]!jfghfnf)+Payment_Number,DAY([0]!jfghfnf))</definedName>
    <definedName name="etjyhy">DATE(YEAR(jfghfnf),MONTH(jfghfnf)+Payment_Number,DAY(jfghfnf))</definedName>
    <definedName name="ETY">#REF!</definedName>
    <definedName name="etyrweyr" hidden="1">[22]Sheet2!#REF!</definedName>
    <definedName name="ETYUUJ" hidden="1">[11]Sheet2!#REF!</definedName>
    <definedName name="EURO">'[63]Input Sheet'!$C$9</definedName>
    <definedName name="euty" hidden="1">[22]Sheet2!#REF!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41067.7603240741</definedName>
    <definedName name="EV__LOCKEDCVW__FINANCESTATUTORY" hidden="1">"TAX_COMP_6942,F_CLO,ACTUAL,TotalWithAdjInclAFS,LC,Non_InterCo,MozambiquePropco,2015.P14,YTD,"</definedName>
    <definedName name="EV__LOCKEDCVW__FIXEDASSETS" hidden="1">"FA_0000,F_CLBal,ACT_TOT,TOTALWITHADJ,NETBOOKVALUE,ALL_REASONS,FABV,INTERCOTRANS_ALL,TotalDivisions,ZAR,2007.TOTAL,YTD,"</definedName>
    <definedName name="EV__LOCKEDCVW__TAXPACK" hidden="1">"FIN_GL,F_CLBal,ACT_TOT,MozambiquePropco,LC,TOTAL_TAX,ALL_PLACEHOLDER,2015.P14,YTD,"</definedName>
    <definedName name="EV__LOCKSTATUS__" hidden="1">4</definedName>
    <definedName name="EV__MAXEXPCOLS__" hidden="1">255</definedName>
    <definedName name="EV__MAXEXPROWS__" hidden="1">65535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"$hoppies"</definedName>
    <definedName name="EW">#REF!</definedName>
    <definedName name="ewdfs">#REF!</definedName>
    <definedName name="ewdrfr">#REF!</definedName>
    <definedName name="ewdsfew">#REF!</definedName>
    <definedName name="ewf">#REF!</definedName>
    <definedName name="EWFCDS">'[28]Inter Company Interest'!#REF!</definedName>
    <definedName name="EWFDSC">'[28]Inter Company Interest'!#REF!</definedName>
    <definedName name="EWFDSCxzfwA">'[28]Inter Company Interest'!#REF!</definedName>
    <definedName name="ewfdsfewrw">#REF!</definedName>
    <definedName name="ewfdswes">#REF!</definedName>
    <definedName name="ewfrf43erf">#REF!</definedName>
    <definedName name="ewFSDCX">'[28]Inter Company Interest'!#REF!</definedName>
    <definedName name="ewqfr">#REF!</definedName>
    <definedName name="ewr" hidden="1">[11]Sheet2!#REF!</definedName>
    <definedName name="ewreertet">#REF!</definedName>
    <definedName name="ewrew">#REF!</definedName>
    <definedName name="EWREWT" hidden="1">#REF!</definedName>
    <definedName name="ewrfewrw">#REF!</definedName>
    <definedName name="ewrfewsdfr">#REF!</definedName>
    <definedName name="ewrffe">#REF!</definedName>
    <definedName name="ewrt6gfdsetry">#REF!</definedName>
    <definedName name="EWRTERTERT" hidden="1">[62]NOTES2!#REF!</definedName>
    <definedName name="EWRTT" hidden="1">#REF!</definedName>
    <definedName name="ewrttrhgf">#REF!</definedName>
    <definedName name="ewrtygfds">#REF!</definedName>
    <definedName name="ewrweew">#REF!</definedName>
    <definedName name="ewrwewrewr">#REF!</definedName>
    <definedName name="ewsdae">#REF!</definedName>
    <definedName name="ewsdaewr">#REF!</definedName>
    <definedName name="EWTERERT" hidden="1">#REF!</definedName>
    <definedName name="ewwerwer">#REF!</definedName>
    <definedName name="ExactlyOneYear" hidden="1">[32]Settings!$C$59</definedName>
    <definedName name="exc">#REF!</definedName>
    <definedName name="Excel_BuiltIn_Print_Area">#REF!</definedName>
    <definedName name="Excel_BuiltIn_Print_Area_15">'[64]Zanaco ZMK pmt'!#REF!</definedName>
    <definedName name="Excel_BuiltIn_Print_Titles">#REF!</definedName>
    <definedName name="Excel_BuiltIn_Print_Titles_15">#REF!</definedName>
    <definedName name="Excel_BuiltIn_Print_Titles_18">#REF!</definedName>
    <definedName name="Excel_BuiltIn_Print_Titles_20">#REF!</definedName>
    <definedName name="Excel_BuiltIn_Print_Titles_21">#REF!</definedName>
    <definedName name="Excel_BuiltIn_Print_Titles_26">#REF!</definedName>
    <definedName name="Excel_BuiltIn_Print_Titles_27">#REF!</definedName>
    <definedName name="Excel_BuiltIn_Print_Titles_29">#REF!</definedName>
    <definedName name="Excel_BuiltIn_Print_Titles_32">#REF!</definedName>
    <definedName name="Excel_BuiltIn_Print_Titles_6">#REF!</definedName>
    <definedName name="EXECSUM">#REF!</definedName>
    <definedName name="ExemptSection">"249A(1)"</definedName>
    <definedName name="Extra_Pay">#REF!</definedName>
    <definedName name="Extra_Payment">#REF!</definedName>
    <definedName name="_xlnm.Extract">#REF!</definedName>
    <definedName name="eyd" hidden="1">[22]Sheet2!#REF!</definedName>
    <definedName name="eyer" hidden="1">[22]Sheet2!#REF!</definedName>
    <definedName name="F">#REF!</definedName>
    <definedName name="F_">#REF!</definedName>
    <definedName name="F375205_10">[65]Accounts!#REF!</definedName>
    <definedName name="F375205_13">[65]Accounts!#REF!</definedName>
    <definedName name="F375205_15">[2]Accounts!#REF!</definedName>
    <definedName name="F375205_16">[2]Accounts!#REF!</definedName>
    <definedName name="F375205_17">[2]Accounts!#REF!</definedName>
    <definedName name="F375205_18">[2]Accounts!#REF!</definedName>
    <definedName name="F375205_20">[2]Accounts!#REF!</definedName>
    <definedName name="F375205_21">[2]Accounts!#REF!</definedName>
    <definedName name="F375205_27">[2]Accounts!#REF!</definedName>
    <definedName name="F375205_28">[65]Accounts!#REF!</definedName>
    <definedName name="F375205_29">[2]Accounts!#REF!</definedName>
    <definedName name="F375205_32">[2]Accounts!#REF!</definedName>
    <definedName name="F375205_5">[65]Accounts!#REF!</definedName>
    <definedName name="fa" hidden="1">[21]Sheet2!#REF!</definedName>
    <definedName name="FA1_Notes">[32]Notes!#REF!</definedName>
    <definedName name="FA1_Workings">#REF!</definedName>
    <definedName name="FA2_Notes">[32]Notes!#REF!</definedName>
    <definedName name="FA2_Workings">#REF!</definedName>
    <definedName name="FA3_Notes">[32]Notes!#REF!</definedName>
    <definedName name="FA3_Workings">#REF!</definedName>
    <definedName name="fadgasd" hidden="1">[21]Sheet2!#REF!</definedName>
    <definedName name="fasdcvgh" hidden="1">[11]Sheet2!#REF!</definedName>
    <definedName name="fased" hidden="1">[21]Sheet2!#REF!</definedName>
    <definedName name="FASS">'[24]Con BS'!$V$13</definedName>
    <definedName name="FASS1">'[17]Con BS'!$V$13</definedName>
    <definedName name="FATotal">[32]Notes!#REF!</definedName>
    <definedName name="FATotal_Notes">[32]Notes!#REF!</definedName>
    <definedName name="FATotal_Workings">#REF!</definedName>
    <definedName name="fd">#REF!</definedName>
    <definedName name="fdgfb" hidden="1">#REF!</definedName>
    <definedName name="fdghju">#REF!</definedName>
    <definedName name="fdgsry">#REF!</definedName>
    <definedName name="fdsa" hidden="1">[21]Sheet2!#REF!</definedName>
    <definedName name="fdsb">#REF!</definedName>
    <definedName name="FDSSDF">#REF!</definedName>
    <definedName name="FDSSFDASADFS">#REF!</definedName>
    <definedName name="fea" hidden="1">[21]Sheet2!#REF!</definedName>
    <definedName name="feare" hidden="1">[21]Sheet2!#REF!</definedName>
    <definedName name="few">#REF!</definedName>
    <definedName name="fewrffwfwf">#REF!</definedName>
    <definedName name="ff" hidden="1">#REF!</definedName>
    <definedName name="ffdsdwsfsegwag" hidden="1">[21]Sheet2!#REF!</definedName>
    <definedName name="FG" hidden="1">#REF!</definedName>
    <definedName name="FGBH" hidden="1">#REF!</definedName>
    <definedName name="FGD" hidden="1">#REF!</definedName>
    <definedName name="fgdcf">#N/A</definedName>
    <definedName name="FGDYH">#REF!</definedName>
    <definedName name="fgfdfgfg" hidden="1">[10]Sheet2!#REF!</definedName>
    <definedName name="FGFGG" hidden="1">#REF!</definedName>
    <definedName name="FGG" hidden="1">#REF!</definedName>
    <definedName name="FGHJ" hidden="1">[66]Movementschedule!#REF!</definedName>
    <definedName name="FGHJGHGF" hidden="1">[11]Sheet2!#REF!</definedName>
    <definedName name="FGHJKL" hidden="1">'[67]BL SHET'!#REF!</definedName>
    <definedName name="fgyu">#REF!</definedName>
    <definedName name="fh" hidden="1">'[39]Changes in equity'!#REF!</definedName>
    <definedName name="fhd" hidden="1">[22]Sheet2!#REF!</definedName>
    <definedName name="fhewhfwvjmebgj">#N/A</definedName>
    <definedName name="fhjfgyj" hidden="1">[21]Sheet2!#REF!</definedName>
    <definedName name="FI_DD_01">#N/A</definedName>
    <definedName name="FI_DD_02">#N/A</definedName>
    <definedName name="FI_DD_03">#N/A</definedName>
    <definedName name="FI_DD_04">#N/A</definedName>
    <definedName name="FI_DD_05">#N/A</definedName>
    <definedName name="FI_DD_06">#N/A</definedName>
    <definedName name="FI_DD_07">#N/A</definedName>
    <definedName name="FI_DD_08">#N/A</definedName>
    <definedName name="FI_DD_09">#N/A</definedName>
    <definedName name="FI_DD_10">#N/A</definedName>
    <definedName name="FI_DD_11">#N/A</definedName>
    <definedName name="Finance_lease">#N/A</definedName>
    <definedName name="FIP_BS">[7]summary!$X$11:$X$791</definedName>
    <definedName name="FIRSTDATE">TEXT(Comparative_Period+1,"d mmmm yyyy")</definedName>
    <definedName name="FIRSTDAY">TEXT(Comparative_Period+1,"d mmmm")</definedName>
    <definedName name="FirstPeriodDate">[25]Sheet1!$FJ$2</definedName>
    <definedName name="FIRSTSHORT">TEXT(Comparative_Period+1,"d mmm yyyy")</definedName>
    <definedName name="FixedAssets_Audit_Work_Done">#REF!</definedName>
    <definedName name="FixedAssets_Conclusion">#REF!</definedName>
    <definedName name="FixedAssetsAdditions">#REF!</definedName>
    <definedName name="fjg" hidden="1">[22]Sheet2!#REF!</definedName>
    <definedName name="fr">[65]Accounts!#REF!</definedName>
    <definedName name="FRETRE">#REF!</definedName>
    <definedName name="FRSSEVersion">[32]Data!$E$6</definedName>
    <definedName name="fsad">#REF!</definedName>
    <definedName name="fsd">#REF!</definedName>
    <definedName name="fsdaf">#REF!</definedName>
    <definedName name="fSSadf">'[68]Global Data'!$B$92:$B$95</definedName>
    <definedName name="fter">'[34]Tax Comp'!#REF!</definedName>
    <definedName name="Full_Print">#REF!</definedName>
    <definedName name="FUNCTIONAL">'[69]Rates &amp; Dates'!$H$10:$K$21</definedName>
    <definedName name="fv">#REF!</definedName>
    <definedName name="FVDGD" hidden="1">#REF!</definedName>
    <definedName name="fvf" hidden="1">'[8]FinStat (No Input)'!#REF!</definedName>
    <definedName name="FX_Revenue">[70]Sensitivities!$C$4</definedName>
    <definedName name="fxgnv">IF(sef*yrtyhr*sfr*qwd&gt;0,1,0)</definedName>
    <definedName name="fyjyjtj" hidden="1">[21]Sheet2!#REF!</definedName>
    <definedName name="g" hidden="1">[10]Sheet2!#REF!</definedName>
    <definedName name="GASTOS">#REF!</definedName>
    <definedName name="GB_Bots_Interest_Entity">'[71]Inter Company Interest'!$K$5:$K$54</definedName>
    <definedName name="GB_Bots_Interest_GL_Code">'[71]Inter Company Interest'!$J$5:$J$54</definedName>
    <definedName name="GB_Bots_Interest_Sum">'[71]Inter Company Interest'!$L$5:$L$54</definedName>
    <definedName name="GB_EG_Interest">'[28]Inter Company Interest'!#REF!</definedName>
    <definedName name="GB_Ghana_Interest">'[28]Inter Company Interest'!#REF!</definedName>
    <definedName name="GB_Invest_Interest">'[28]Inter Company Interest'!#REF!</definedName>
    <definedName name="GB_Kenya_Interest">'[28]Inter Company Interest'!#REF!</definedName>
    <definedName name="GB_Malawi_Interest">'[28]Inter Company Interest'!#REF!</definedName>
    <definedName name="GB_Mauritius_Interest">'[28]Inter Company Interest'!#REF!</definedName>
    <definedName name="GB_Mauritius_Interest_Sum">'[71]Inter Company Interest'!$BB$5:$BB$44</definedName>
    <definedName name="GB_Maurituis_GL_Code">'[71]Inter Company Interest'!$AZ$5:$AZ$44</definedName>
    <definedName name="GB_Maurituis_Interest_Entity">'[71]Inter Company Interest'!$BA$5:$BA$44</definedName>
    <definedName name="GB_Namibia_Interest">'[28]Inter Company Interest'!#REF!</definedName>
    <definedName name="GB_Namibia_Interest_Entity">'[71]Inter Company Interest'!$BH$5:$BH$54</definedName>
    <definedName name="GB_Namibia_Interest_GL_Code">'[71]Inter Company Interest'!$BG$5:$BG$54</definedName>
    <definedName name="GB_Namibia_Interest_Sum">'[71]Inter Company Interest'!$BI$5:$BI$54</definedName>
    <definedName name="GB_Poland_Interest_Entity">'[71]Inter Company Interest'!$BO$5:$BO$54</definedName>
    <definedName name="GB_Poland_Interest_GL_Code">'[71]Inter Company Interest'!$BN$5:$BN$54</definedName>
    <definedName name="GB_Poland_Interest_Sum">'[71]Inter Company Interest'!$BP$5:$BP$54</definedName>
    <definedName name="GB_Poland_Interst">'[28]Inter Company Interest'!#REF!</definedName>
    <definedName name="GB_Spain_Interest">'[28]Inter Company Interest'!#REF!</definedName>
    <definedName name="GB_Swaziland_Interest">'[28]Inter Company Interest'!#REF!</definedName>
    <definedName name="GB_Swaziland_Interest_Entity">'[28]Inter Company Interest'!#REF!</definedName>
    <definedName name="GB_Swaziland_Interest_GL_Code">'[28]Inter Company Interest'!#REF!</definedName>
    <definedName name="GB_Swaziland_Interest_Sum">'[28]Inter Company Interest'!#REF!</definedName>
    <definedName name="GB_Uganda_INterest">'[28]Inter Company Interest'!#REF!</definedName>
    <definedName name="GB_Zambia_Interest">'[28]Inter Company Interest'!#REF!</definedName>
    <definedName name="GBSA_Interest">'[28]Inter Company Interest'!#REF!</definedName>
    <definedName name="GBSA_Interest_Entity">'[71]Inter Company Interest'!$BV$5:$BV$54</definedName>
    <definedName name="GBSA_Interest_GL_Code">'[71]Inter Company Interest'!$BU$5:$BU$54</definedName>
    <definedName name="GBSA_Interest_Sum">'[71]Inter Company Interest'!$BW$5:$BW$54</definedName>
    <definedName name="gd" hidden="1">[22]Sheet2!#REF!</definedName>
    <definedName name="gdfhjuyki9uio0p9">#N/A</definedName>
    <definedName name="ge" hidden="1">#REF!</definedName>
    <definedName name="general1">[7]summary!$Y$11:$Y$377</definedName>
    <definedName name="general2">[7]summary!$Y$380:$Y$791</definedName>
    <definedName name="general3">[7]summary!$Y$794:$Y$1204</definedName>
    <definedName name="GetSure_SA_Interest">'[28]Inter Company Interest'!#REF!</definedName>
    <definedName name="gf">#REF!</definedName>
    <definedName name="gfd" hidden="1">[22]Sheet2!#REF!</definedName>
    <definedName name="gfdhsre">#REF!</definedName>
    <definedName name="GFDJH" hidden="1">[72]NOTES2!#REF!</definedName>
    <definedName name="gfgfgfgf">#N/A</definedName>
    <definedName name="GFH" hidden="1">[11]Sheet2!#REF!</definedName>
    <definedName name="GFHJ\\" hidden="1">[11]Sheet2!#REF!</definedName>
    <definedName name="GFHJJHK" hidden="1">[11]Sheet2!#REF!</definedName>
    <definedName name="gftr">#N/A</definedName>
    <definedName name="gggrrr" hidden="1">[21]Sheet2!#REF!</definedName>
    <definedName name="ggtdfukk" hidden="1">[21]Sheet2!#REF!</definedName>
    <definedName name="GGYY" hidden="1">#REF!</definedName>
    <definedName name="gh">'[73]STANBIC BANK ZKW'!#REF!</definedName>
    <definedName name="Ghana">#REF!</definedName>
    <definedName name="GHJIK" hidden="1">#REF!</definedName>
    <definedName name="ghjki" hidden="1">[21]Sheet2!#REF!</definedName>
    <definedName name="GHJKL" hidden="1">#REF!</definedName>
    <definedName name="ght">#REF!</definedName>
    <definedName name="GHUJ" hidden="1">#REF!</definedName>
    <definedName name="GHY" hidden="1">#REF!</definedName>
    <definedName name="gj">IF(rte,Header_Row+sedrcsr,Header_Row)</definedName>
    <definedName name="gjhyhbyg">#REF!</definedName>
    <definedName name="gkuykygk" hidden="1">[21]Sheet2!#REF!</definedName>
    <definedName name="GL_001">"General Ledger Transactions by account and period||E4-GL99-3-5||1;SelectedPeriod||ActiveSheet||1"</definedName>
    <definedName name="GL_Cat_Code">[25]Lookup!$E:$E</definedName>
    <definedName name="gmkyfkgfmkuj" hidden="1">[21]Sheet2!#REF!</definedName>
    <definedName name="GOTO">#REF!</definedName>
    <definedName name="GP">'[5]Auditors Assoc'!#REF!</definedName>
    <definedName name="GQEGRERYG" hidden="1">#REF!</definedName>
    <definedName name="GR">'[28]Inter Company Interest'!#REF!</definedName>
    <definedName name="Graph1" hidden="1">[10]Sheet2!#REF!</definedName>
    <definedName name="Graph10" hidden="1">[10]Sheet2!#REF!</definedName>
    <definedName name="Graph11" hidden="1">[10]Sheet2!#REF!</definedName>
    <definedName name="Graph12" hidden="1">[10]Sheet2!#REF!</definedName>
    <definedName name="Graph13" hidden="1">[10]Sheet2!#REF!</definedName>
    <definedName name="Graph15" hidden="1">[10]Sheet2!#REF!</definedName>
    <definedName name="Graph16" hidden="1">[10]Sheet2!#REF!</definedName>
    <definedName name="Graph17" hidden="1">[10]Sheet2!#REF!</definedName>
    <definedName name="Graph18" hidden="1">[10]Sheet2!#REF!</definedName>
    <definedName name="Graph19" hidden="1">[10]Sheet2!#REF!</definedName>
    <definedName name="Graph20" hidden="1">[10]Sheet2!#REF!</definedName>
    <definedName name="Graph21" hidden="1">[10]Sheet2!#REF!</definedName>
    <definedName name="Graph22" hidden="1">[10]Sheet2!#REF!</definedName>
    <definedName name="Graph23" hidden="1">[10]Sheet2!#REF!</definedName>
    <definedName name="Graph24" hidden="1">[10]Sheet2!#REF!</definedName>
    <definedName name="Graph25" hidden="1">[10]Sheet2!#REF!</definedName>
    <definedName name="Graph26" hidden="1">[10]Sheet2!#REF!</definedName>
    <definedName name="Graph27" hidden="1">[10]Sheet2!#REF!</definedName>
    <definedName name="Graph28" hidden="1">[10]Sheet2!#REF!</definedName>
    <definedName name="Graph29" hidden="1">[10]Sheet2!#REF!</definedName>
    <definedName name="Graph3" hidden="1">[10]Sheet2!#REF!</definedName>
    <definedName name="Graph30" hidden="1">[10]Sheet2!#REF!</definedName>
    <definedName name="Graph31" hidden="1">[10]Sheet2!#REF!</definedName>
    <definedName name="Graph32" hidden="1">[10]Sheet2!#REF!</definedName>
    <definedName name="Graph33" hidden="1">[10]Sheet2!#REF!</definedName>
    <definedName name="Graph34" hidden="1">[10]Sheet2!#REF!</definedName>
    <definedName name="Graph35" hidden="1">[10]Sheet2!#REF!</definedName>
    <definedName name="Graph36" hidden="1">[10]Sheet2!#REF!</definedName>
    <definedName name="Graph37" hidden="1">[10]Sheet2!#REF!</definedName>
    <definedName name="Graph38" hidden="1">[10]Sheet2!#REF!</definedName>
    <definedName name="Graph39" hidden="1">[10]Sheet2!#REF!</definedName>
    <definedName name="Graph4" hidden="1">[10]Sheet2!#REF!</definedName>
    <definedName name="Graph40" hidden="1">[10]Sheet2!#REF!</definedName>
    <definedName name="Graph42" hidden="1">[10]Sheet2!#REF!</definedName>
    <definedName name="Graph43" hidden="1">[10]Sheet2!#REF!</definedName>
    <definedName name="Graph44" hidden="1">[10]Sheet2!#REF!</definedName>
    <definedName name="Graph45" hidden="1">[10]Sheet2!#REF!</definedName>
    <definedName name="Graph46" hidden="1">[10]Sheet2!#REF!</definedName>
    <definedName name="Graph47" hidden="1">[10]Sheet2!#REF!</definedName>
    <definedName name="Graph48" hidden="1">[10]Sheet2!#REF!</definedName>
    <definedName name="Graph49" hidden="1">[10]Sheet2!#REF!</definedName>
    <definedName name="Graph5" hidden="1">[10]Sheet2!#REF!</definedName>
    <definedName name="Graph50" hidden="1">[10]Sheet2!#REF!</definedName>
    <definedName name="Graph51" hidden="1">[10]Sheet2!#REF!</definedName>
    <definedName name="Graph52" hidden="1">[10]Sheet2!#REF!</definedName>
    <definedName name="Graph53" hidden="1">[10]Sheet2!#REF!</definedName>
    <definedName name="Graph54" hidden="1">[10]Sheet2!#REF!</definedName>
    <definedName name="Graph55" hidden="1">[10]Sheet2!#REF!</definedName>
    <definedName name="Graph56" hidden="1">[10]Sheet2!#REF!</definedName>
    <definedName name="Graph57" hidden="1">[10]Sheet2!#REF!</definedName>
    <definedName name="Graph58" hidden="1">[10]Sheet2!#REF!</definedName>
    <definedName name="Graph59" hidden="1">[10]Sheet2!#REF!</definedName>
    <definedName name="Graph5A" hidden="1">[14]Sheet2!#REF!</definedName>
    <definedName name="Graph6" hidden="1">[10]Sheet2!#REF!</definedName>
    <definedName name="Graph7" hidden="1">[10]Sheet2!#REF!</definedName>
    <definedName name="Graph8" hidden="1">[10]Sheet2!#REF!</definedName>
    <definedName name="Graph9" hidden="1">[10]Sheet2!#REF!</definedName>
    <definedName name="graph90" hidden="1">[14]Sheet2!#REF!</definedName>
    <definedName name="graps35" hidden="1">[14]Sheet2!#REF!</definedName>
    <definedName name="grefdgb">#REF!</definedName>
    <definedName name="grqte">'[68]Two Step Revenue Testing Master'!$E$47</definedName>
    <definedName name="GTOEJ" hidden="1">#REF!</definedName>
    <definedName name="GTOS.VTAS.ADM.">'[74]4'!#REF!</definedName>
    <definedName name="Guinea">#REF!</definedName>
    <definedName name="gv" hidden="1">#REF!</definedName>
    <definedName name="gyhu">MATCH(0.01,awwwweee,-1)+1</definedName>
    <definedName name="H">#REF!</definedName>
    <definedName name="HAR">'[48]10A'!#REF!</definedName>
    <definedName name="HARI">'[48]10A'!#REF!</definedName>
    <definedName name="HARIN">'[48]10A'!#REF!</definedName>
    <definedName name="HARINA">'[48]10A'!#REF!</definedName>
    <definedName name="hb" hidden="1">'[75]Auto Helderburg'!#REF!</definedName>
    <definedName name="hc">#REF!</definedName>
    <definedName name="hd">#REF!</definedName>
    <definedName name="HD_PriHeader">[76]Inputs!$F$17</definedName>
    <definedName name="hdtudry" hidden="1">[21]Sheet2!#REF!</definedName>
    <definedName name="HEADER">#REF!</definedName>
    <definedName name="Header_Area">#REF!</definedName>
    <definedName name="Header_Row">ROW(#REF!)</definedName>
    <definedName name="hf" hidden="1">[22]Sheet2!#REF!</definedName>
    <definedName name="hfd" hidden="1">[22]Sheet2!#REF!</definedName>
    <definedName name="hg" hidden="1">'[77]Movement schedule'!#REF!</definedName>
    <definedName name="HGF" hidden="1">#REF!</definedName>
    <definedName name="HGFD" hidden="1">#REF!</definedName>
    <definedName name="hghg" hidden="1">'[39]BALANCE SHEET'!#REF!</definedName>
    <definedName name="hgr">#REF!</definedName>
    <definedName name="HGV" hidden="1">#REF!</definedName>
    <definedName name="hhb" hidden="1">[72]NOTES3!#REF!</definedName>
    <definedName name="HHHHHHHHHHHHHHHHH">#N/A</definedName>
    <definedName name="His">[32]Library!$A$22</definedName>
    <definedName name="hiujhyg">#REF!</definedName>
    <definedName name="hj">IF(be*[0]!WE*ul*iu&gt;0,1,0)</definedName>
    <definedName name="HJKL" hidden="1">#REF!</definedName>
    <definedName name="HKJJ" hidden="1">[62]NOTES2!#REF!</definedName>
    <definedName name="hku" hidden="1">[21]Sheet2!#REF!</definedName>
    <definedName name="hkyu" hidden="1">'[8]FinStat (No Input)'!#REF!</definedName>
    <definedName name="hlji" hidden="1">[11]Sheet2!#REF!</definedName>
    <definedName name="HN" hidden="1">#REF!</definedName>
    <definedName name="HNJMK" hidden="1">#REF!</definedName>
    <definedName name="htui" hidden="1">[21]Sheet2!#REF!</definedName>
    <definedName name="hwer" hidden="1">[21]Sheet2!#REF!</definedName>
    <definedName name="HYGTF" hidden="1">[39]NOTES1!#REF!</definedName>
    <definedName name="hyuy">#REF!</definedName>
    <definedName name="I">#REF!</definedName>
    <definedName name="IB_Ratios_NEW" localSheetId="2" hidden="1">Main()</definedName>
    <definedName name="IB_Ratios_NEW" hidden="1">Main()</definedName>
    <definedName name="IFH">#REF!</definedName>
    <definedName name="IIII" hidden="1">#REF!</definedName>
    <definedName name="iillkukj" hidden="1">[11]Sheet2!#REF!</definedName>
    <definedName name="IJ" hidden="1">#REF!</definedName>
    <definedName name="IKIIII" hidden="1">[29]NOTES1!#REF!</definedName>
    <definedName name="impbal">#REF!</definedName>
    <definedName name="imprepyG">#REF!</definedName>
    <definedName name="IMPTO">#REF!</definedName>
    <definedName name="INC_STATE">#REF!</definedName>
    <definedName name="INDO">#REF!</definedName>
    <definedName name="INDO_15">[78]INDO!#REF!</definedName>
    <definedName name="INDO_16">[78]INDO!#REF!</definedName>
    <definedName name="INDO_17">[78]INDO!#REF!</definedName>
    <definedName name="INDO_18">[78]INDO!#REF!</definedName>
    <definedName name="INDO_20">[78]INDO!#REF!</definedName>
    <definedName name="INDO_21">[78]INDO!#REF!</definedName>
    <definedName name="INDO_27">[79]INDO!#REF!</definedName>
    <definedName name="INDO_29">[79]INDO!#REF!</definedName>
    <definedName name="INDO_32">[79]INDO!#REF!</definedName>
    <definedName name="INDO_5">[79]INDO!#REF!</definedName>
    <definedName name="INDO_6">[78]INDO!#REF!</definedName>
    <definedName name="INFO_BI_EXE_NAME" hidden="1">"BICEVOLUTION.EXE"</definedName>
    <definedName name="INFO_EXE_SERVER_PATH" hidden="1">"C:\Program Files (x86)\Pastel Evolution\BICEVOLUTION.EXE"</definedName>
    <definedName name="INFO_INSTANCE_ID" hidden="1">"0"</definedName>
    <definedName name="INFO_INSTANCE_NAME" hidden="1">"GetBucks GROUP Consolidation_20140410_17_20_55_2020.xls"</definedName>
    <definedName name="INFO_REPORT_CODE" hidden="1">"E4-GL05-4-1"</definedName>
    <definedName name="INFO_REPORT_ID" hidden="1">"45"</definedName>
    <definedName name="INFO_REPORT_NAME" hidden="1">"GetBucks GROUP Consolidation"</definedName>
    <definedName name="INFO_RUN_USER" hidden="1">""</definedName>
    <definedName name="INFO_RUN_WORKSTATION" hidden="1">"STEVEN-HP"</definedName>
    <definedName name="InsAgent">#REF!</definedName>
    <definedName name="Insight">#REF!</definedName>
    <definedName name="Int">#REF!</definedName>
    <definedName name="INtercept">[80]InflationForecasts!$F$7</definedName>
    <definedName name="INTERCO">#REF!</definedName>
    <definedName name="Interest_Rate">#REF!</definedName>
    <definedName name="INV">'[24]Con BS'!$V$19</definedName>
    <definedName name="inv_far_gourdes">#REF!</definedName>
    <definedName name="inv_feed_gourdes">#REF!</definedName>
    <definedName name="Invest1_Workings">#REF!</definedName>
    <definedName name="Invest2_Notes">[32]Notes!#REF!</definedName>
    <definedName name="Invest2_Workings">#REF!</definedName>
    <definedName name="Investments_Audit_Work_Done">#REF!</definedName>
    <definedName name="Investments_Conclusion">#REF!</definedName>
    <definedName name="InvestTotal_Workings">#REF!</definedName>
    <definedName name="IOKUIK" hidden="1">#REF!</definedName>
    <definedName name="IQ_ADDIN" hidden="1">"AUTO"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H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ONTRACTS_OTHER_COMMODITIES_EQUITIES._FDIC" hidden="1">"c6522"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Y">10000</definedName>
    <definedName name="IQ_DAILY">500000</definedName>
    <definedName name="IQ_DNTM" hidden="1">700000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ST_ACT_FFO_REUT" hidden="1">"c3843"</definedName>
    <definedName name="IQ_EST_ACT_FFO_THOM" hidden="1">"c4005"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TDDEV_EST_REUT" hidden="1">"c3842"</definedName>
    <definedName name="IQ_FFO_STDDEV_EST_THOM" hidden="1">"c4004"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TH">15000</definedName>
    <definedName name="IQ_MTD" hidden="1">800000</definedName>
    <definedName name="IQ_NAMES_REVISION_DATE_" hidden="1">"01/17/2020 10:38:43"</definedName>
    <definedName name="IQ_NAV_ACT_OR_EST" hidden="1">"c2225"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>6000</definedName>
    <definedName name="IQ_OPENED55" hidden="1">1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IQB_BOOKMARK_COUNT" hidden="1">0</definedName>
    <definedName name="IS" localSheetId="2" hidden="1">Main.SAPF4Help()</definedName>
    <definedName name="IS" hidden="1">Main.SAPF4Help()</definedName>
    <definedName name="IS_DD_01">#N/A</definedName>
    <definedName name="IS_DD_02">#N/A</definedName>
    <definedName name="IS_DD_03">#N/A</definedName>
    <definedName name="IS_DD_04">#N/A</definedName>
    <definedName name="IS_DD_05">#N/A</definedName>
    <definedName name="IS_DD_06">#N/A</definedName>
    <definedName name="IS_DD_07">#N/A</definedName>
    <definedName name="IS_DD_08">#N/A</definedName>
    <definedName name="IS_DD_09">#N/A</definedName>
    <definedName name="IS_DD_10">#N/A</definedName>
    <definedName name="IS_DD_11">#N/A</definedName>
    <definedName name="ISYtd">[7]summary!$B$380:$B$791</definedName>
    <definedName name="itftyr">IF(dfjdutik,tryse+dthdfh,tryse)</definedName>
    <definedName name="ITY" hidden="1">#REF!</definedName>
    <definedName name="iu">#REF!</definedName>
    <definedName name="IUOUOU" hidden="1">[81]Deftaxcomp!#REF!</definedName>
    <definedName name="iuy" hidden="1">[22]Sheet2!#REF!</definedName>
    <definedName name="iuyt">#REF!</definedName>
    <definedName name="iuytfgds">#REF!</definedName>
    <definedName name="iy" hidden="1">[22]Sheet2!#REF!</definedName>
    <definedName name="IYO" hidden="1">#REF!</definedName>
    <definedName name="iyui">#REF!</definedName>
    <definedName name="IYUK" hidden="1">#REF!</definedName>
    <definedName name="IYUOIUOI" hidden="1">#REF!</definedName>
    <definedName name="J">#REF!</definedName>
    <definedName name="Jan">#N/A</definedName>
    <definedName name="jasd" hidden="1">[10]Sheet2!#REF!</definedName>
    <definedName name="jfghfnf">#REF!</definedName>
    <definedName name="jfkssd">OFFSET(Full_Print,0,0,Last_Row)</definedName>
    <definedName name="jh" hidden="1">[22]Sheet2!#REF!</definedName>
    <definedName name="jhf" localSheetId="2">DATE(YEAR([0]!yuiuyiyu),MONTH([0]!yuiuyiyu)+Payment_Number,DAY([0]!yuiuyiyu))</definedName>
    <definedName name="jhf">DATE(YEAR(yuiuyiyu),MONTH(yuiuyiyu)+Payment_Number,DAY(yuiuyiyu))</definedName>
    <definedName name="jhg">#REF!</definedName>
    <definedName name="jhgf">#REF!</definedName>
    <definedName name="JHKIKIU" hidden="1">[58]ITA202A!#REF!</definedName>
    <definedName name="JHNGBF" hidden="1">#REF!</definedName>
    <definedName name="ji">#REF!</definedName>
    <definedName name="Jinja">#N/A</definedName>
    <definedName name="jjj" hidden="1">[10]Sheet2!#REF!</definedName>
    <definedName name="jjjj" hidden="1">[10]Sheet2!#REF!</definedName>
    <definedName name="jk">#REF!</definedName>
    <definedName name="JKKBIPVB">#REF!</definedName>
    <definedName name="jn" hidden="1">[72]NOTES2!#REF!</definedName>
    <definedName name="JRTJYJ" hidden="1">[11]Sheet2!#REF!</definedName>
    <definedName name="jtyty" hidden="1">[11]Sheet2!#REF!</definedName>
    <definedName name="ju">#N/A</definedName>
    <definedName name="jugio" hidden="1">[21]Sheet2!#REF!</definedName>
    <definedName name="juhyoi" hidden="1">'[77]Movement schedule'!#REF!</definedName>
    <definedName name="July">#REF!</definedName>
    <definedName name="jyik">#REF!</definedName>
    <definedName name="K">#REF!</definedName>
    <definedName name="Kassy">'[47]TAX 2'!#REF!</definedName>
    <definedName name="ki">'[28]Inter Company Interest'!#REF!</definedName>
    <definedName name="kii">#REF!</definedName>
    <definedName name="kiil" hidden="1">[11]Sheet2!#REF!</definedName>
    <definedName name="kik">#REF!</definedName>
    <definedName name="kj" hidden="1">'[77]Movement schedule'!#REF!</definedName>
    <definedName name="KJAScS" hidden="1">[11]Sheet2!#REF!</definedName>
    <definedName name="kk" hidden="1">#REF!</definedName>
    <definedName name="KKJ" hidden="1">[39]NOTES1!#REF!</definedName>
    <definedName name="KKK">#N/A</definedName>
    <definedName name="kkkk">#N/A</definedName>
    <definedName name="kkkkkkkk">#N/A</definedName>
    <definedName name="KL" hidden="1">#REF!</definedName>
    <definedName name="klnpnj">#REF!</definedName>
    <definedName name="kltyhijtgrhuliterhl">#REF!</definedName>
    <definedName name="kuyhkgh" hidden="1">[21]Sheet2!#REF!</definedName>
    <definedName name="kuyukjh" hidden="1">[11]Sheet2!#REF!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">#REF!</definedName>
    <definedName name="lahsdlfg" hidden="1">'[8]FinStat (No Input)'!#REF!</definedName>
    <definedName name="LAPY">#REF!</definedName>
    <definedName name="Last_Row">IF(Values_Entered,Header_Row+Number_of_Payments,Header_Row)</definedName>
    <definedName name="lead">#REF!</definedName>
    <definedName name="Lead_Schedule">#REF!</definedName>
    <definedName name="LEARNERSHIP_RECOUPMENTS">#REF!</definedName>
    <definedName name="Liberia">#REF!</definedName>
    <definedName name="lj">#REF!</definedName>
    <definedName name="lk" hidden="1">#REF!</definedName>
    <definedName name="lkfd">#N/A</definedName>
    <definedName name="lkjhgftdr">#REF!</definedName>
    <definedName name="LLLLLLLLLLL">#N/A</definedName>
    <definedName name="Loan_Amount">#REF!</definedName>
    <definedName name="Loan_Start">#REF!</definedName>
    <definedName name="Loan_Years">#REF!</definedName>
    <definedName name="LoanTable">#REF!</definedName>
    <definedName name="LOC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k20" hidden="1">[14]Sheet2!#REF!</definedName>
    <definedName name="locked" hidden="1">[14]Sheet2!#REF!</definedName>
    <definedName name="look">[82]DATA!$G$1:$O$1291</definedName>
    <definedName name="LOSSES_DUE_TO_THEFT__FRAUD_AND_EMBEZZLEMENT">#REF!</definedName>
    <definedName name="LossVehicleRentalFleet">'[60]Main Pack'!#REF!</definedName>
    <definedName name="LyHeader">[57]Datasheet!$A$4</definedName>
    <definedName name="LYRT">[19]Input!#REF!</definedName>
    <definedName name="m" hidden="1">'[8]FinStat (No Input)'!#REF!</definedName>
    <definedName name="MAccBSNotes">[7]summary!$U$11:$U$377</definedName>
    <definedName name="Mali">#REF!</definedName>
    <definedName name="ManAccBS">[7]summary!$M$11:$M$377</definedName>
    <definedName name="ManAccBSNotesAdd">[7]summary!$W$11:$W$377</definedName>
    <definedName name="ManAccBSSumm">[7]summary!$T$11:$T$377</definedName>
    <definedName name="ManAccISMonth">[7]summary!$M$794:$M$1204</definedName>
    <definedName name="ManAccISytd">[7]summary!$M$380:$M$791</definedName>
    <definedName name="MarginCalcBS">[7]summary!$Q$11:$Q$377</definedName>
    <definedName name="MarginCalcISMonthIntPd">[7]summary!$R$794:$R$1204</definedName>
    <definedName name="MarginCalcISMonthIntRec">[7]summary!$Q$794:$Q$1204</definedName>
    <definedName name="MarginCalcISMonthNonInt">[7]summary!$S$794:$S$1204</definedName>
    <definedName name="maria" hidden="1">[14]Sheet2!#REF!</definedName>
    <definedName name="maria19" hidden="1">[14]Sheet2!#REF!</definedName>
    <definedName name="MasterAcc">[26]Lookup!$BF:$BF</definedName>
    <definedName name="MATRIZ">#REF!</definedName>
    <definedName name="May06AveBS">[7]avebs!$B$7:$E$573</definedName>
    <definedName name="MB_Europe_Interest">'[28]Inter Company Interest'!#REF!</definedName>
    <definedName name="MB_Europe_Interest_Entity">'[71]Inter Company Interest'!$DL$5:$DL$54</definedName>
    <definedName name="MB_Europe_Interest_GL_Code">'[71]Inter Company Interest'!$DK$5:$DK$54</definedName>
    <definedName name="MB_Europe_Interest_Sum">'[71]Inter Company Interest'!$DM$5:$DM$54</definedName>
    <definedName name="MB_Lux_Interest_Entity">'[71]Inter Company Interest'!$DS$5:$DS$54</definedName>
    <definedName name="MB_Lux_Interest_GL_Code">'[71]Inter Company Interest'!$DR$5:$DR$54</definedName>
    <definedName name="MB_Lux_Interest_Sum">'[71]Inter Company Interest'!$DT$5:$DT$54</definedName>
    <definedName name="MB_Luxembourg_Interest">'[28]Inter Company Interest'!#REF!</definedName>
    <definedName name="mbnvbfjjslkmcvbhcvd">#N/A</definedName>
    <definedName name="MCISYTDIntPd">[7]summary!$R$380:$R$791</definedName>
    <definedName name="MCISYTDIntRec">[7]summary!$Q$380:$Q$791</definedName>
    <definedName name="MCISYTDNonInt">[7]summary!$S$380:$S$791</definedName>
    <definedName name="Medical" hidden="1">'[8]FinStat (No Input)'!#REF!</definedName>
    <definedName name="MENUDATA">#REF!</definedName>
    <definedName name="MENUMAIN">#REF!</definedName>
    <definedName name="MENUPRINT">#REF!</definedName>
    <definedName name="Method_abbrev">#REF!</definedName>
    <definedName name="MJ" localSheetId="2">DATE(YEAR([83]!jfghfnf),MONTH([83]!jfghfnf)+Payment_Number,DAY([83]!jfghfnf))</definedName>
    <definedName name="MJ">DATE(YEAR([83]!jfghfnf),MONTH([83]!jfghfnf)+Payment_Number,DAY([83]!jfghfnf))</definedName>
    <definedName name="mm">#N/A</definedName>
    <definedName name="MngtFees">#REF!</definedName>
    <definedName name="MngtfeesAFR">#REF!</definedName>
    <definedName name="MONTH">#REF!</definedName>
    <definedName name="Month_RF">#REF!</definedName>
    <definedName name="Monthly">#REF!</definedName>
    <definedName name="MORE">#REF!</definedName>
    <definedName name="MOREPR">#REF!</definedName>
    <definedName name="MoreThanOne" hidden="1">[32]Settings!$C$52</definedName>
    <definedName name="MoreThanOneMember" hidden="1">[32]Settings!$C$64</definedName>
    <definedName name="mus">#REF!</definedName>
    <definedName name="MUSA" hidden="1">[14]Sheet2!#REF!</definedName>
    <definedName name="mvnvbdy">IF(fhewhfwvjmebgj,tryse+lkfd,tryse)</definedName>
    <definedName name="mvnvnbcz">#N/A</definedName>
    <definedName name="myhykfs" hidden="1">[21]Sheet2!#REF!</definedName>
    <definedName name="N">#N/A</definedName>
    <definedName name="Name_CO">#REF!</definedName>
    <definedName name="Name_FP">#REF!</definedName>
    <definedName name="Name_Int">#REF!</definedName>
    <definedName name="Name_RF">#REF!</definedName>
    <definedName name="Name_ST">#REF!</definedName>
    <definedName name="Name10c">'[84]Library Procedures'!$L$113</definedName>
    <definedName name="Name1a">'[85]Library Procedures'!$K$7</definedName>
    <definedName name="Name1b">'[85]Library Procedures'!$K$8</definedName>
    <definedName name="Name1c">'[85]Library Procedures'!$K$12</definedName>
    <definedName name="Name1d">'[85]Library Procedures'!$K$17</definedName>
    <definedName name="Name1e">'[85]Library Procedures'!$K$18</definedName>
    <definedName name="Name1f">'[85]Library Procedures'!$K$19</definedName>
    <definedName name="Name1g">'[85]Library Procedures'!$K$20</definedName>
    <definedName name="Name2a">'[85]Library Procedures'!$K$28</definedName>
    <definedName name="Name2b">'[85]Library Procedures'!$K$29</definedName>
    <definedName name="Name3a">'[86]Library Procedures'!$K$46</definedName>
    <definedName name="Name3b">'[86]Library Procedures'!$K$47</definedName>
    <definedName name="Name3c">'[86]Library Procedures'!$K$52</definedName>
    <definedName name="Name3d">'[86]Library Procedures'!$K$53</definedName>
    <definedName name="Name3e">'[86]Library Procedures'!$K$56</definedName>
    <definedName name="Name3f">'[86]Library Procedures'!$K$57</definedName>
    <definedName name="Name3g">'[86]Library Procedures'!$K$64</definedName>
    <definedName name="Name3h">'[86]Library Procedures'!$K$65</definedName>
    <definedName name="Name3i">'[86]Library Procedures'!$K$69</definedName>
    <definedName name="Name3j">'[86]Library Procedures'!$K$73</definedName>
    <definedName name="Name3k">'[86]Library Procedures'!$K$74</definedName>
    <definedName name="Name4a">'[86]Library Procedures'!$K$84</definedName>
    <definedName name="Name4b">'[86]Library Procedures'!$K$88</definedName>
    <definedName name="Name4c">'[86]Library Procedures'!$K$89</definedName>
    <definedName name="Name4d">'[86]Library Procedures'!$K$93</definedName>
    <definedName name="Name5a">'[86]Library Procedures'!$K$101</definedName>
    <definedName name="Name5b">'[86]Library Procedures'!$K$105</definedName>
    <definedName name="Name5c">'[86]Library Procedures'!$K$106</definedName>
    <definedName name="Name6a">'[86]Library Procedures'!$K$119</definedName>
    <definedName name="Name6b">'[86]Library Procedures'!$K$120</definedName>
    <definedName name="Name6c">'[86]Library Procedures'!$K$124</definedName>
    <definedName name="Name6d">'[86]Library Procedures'!$K$125</definedName>
    <definedName name="Name6e">'[86]Library Procedures'!$K$126</definedName>
    <definedName name="Name7a">'[86]Library Procedures'!$K$139</definedName>
    <definedName name="Name7b">'[86]Library Procedures'!$K$140</definedName>
    <definedName name="Name8a">'[86]Library Procedures'!$K$151</definedName>
    <definedName name="Name8b">'[86]Library Procedures'!$K$152</definedName>
    <definedName name="Name8c">'[86]Library Procedures'!$K$156</definedName>
    <definedName name="Name9a">'[86]Library Procedures'!$K$167</definedName>
    <definedName name="Name9b">'[86]Library Procedures'!$K$168</definedName>
    <definedName name="NameAdd">'[87]Library Procedures'!$L$39</definedName>
    <definedName name="namerange">[7]specs!$S$11:$T$13</definedName>
    <definedName name="nb">'[88]STANBIC BANK ZKW'!#REF!</definedName>
    <definedName name="nbg" hidden="1">[39]NOTES1!#REF!</definedName>
    <definedName name="nbgvfcd" hidden="1">[77]XREF!#REF!</definedName>
    <definedName name="nbh" hidden="1">#REF!</definedName>
    <definedName name="NDR">#REF!</definedName>
    <definedName name="NETPAY">#N/A</definedName>
    <definedName name="NEW">'[70]IS Consol'!$C$58</definedName>
    <definedName name="new_printarea">#REF!</definedName>
    <definedName name="ng">[88]INDO!#REF!</definedName>
    <definedName name="NHBGFVD" hidden="1">[72]NOTES!#REF!</definedName>
    <definedName name="Niger">#REF!</definedName>
    <definedName name="Nigeria">#REF!</definedName>
    <definedName name="nj" hidden="1">'[72]BL SHT'!#REF!</definedName>
    <definedName name="NJH" hidden="1">'[89]BL SHET'!#REF!</definedName>
    <definedName name="njr" hidden="1">'[8]FinStat (No Input)'!#REF!</definedName>
    <definedName name="nm">'[88]STANBIC BANK ZKW'!#REF!</definedName>
    <definedName name="NMMHHGJ" hidden="1">[11]Sheet2!#REF!</definedName>
    <definedName name="nnnhhh">#REF!</definedName>
    <definedName name="No.">[90]EXPENDITURE!#REF!</definedName>
    <definedName name="No_Payments">#N/A</definedName>
    <definedName name="NOMO">'[51]Loan Data'!$F$22</definedName>
    <definedName name="NORMAL">#REF!</definedName>
    <definedName name="Note_Accounting.policies">[32]Notes!#REF!</definedName>
    <definedName name="Note_Computer.equipment">[91]TB!#REF!</definedName>
    <definedName name="Note_Creditors.less.than.one.year">[32]Notes!#REF!</definedName>
    <definedName name="Note_Debtors">[32]Notes!$A$192</definedName>
    <definedName name="Note_Interest.payable">[32]Notes!$A$57</definedName>
    <definedName name="Note_Profit.and.loss.account">[32]Notes!#REF!</definedName>
    <definedName name="Note_Share.capital">[32]Notes!$A$187</definedName>
    <definedName name="Note_Tangible.fixed.assets">[32]Notes!#REF!</definedName>
    <definedName name="Note_Tax.on.profit.on.ordinary.activities">#REF!</definedName>
    <definedName name="Note_Turnover">[32]Notes!#REF!</definedName>
    <definedName name="note2">#REF!</definedName>
    <definedName name="Notes_2">#REF!</definedName>
    <definedName name="NS">#REF!</definedName>
    <definedName name="NSProjectionMethodIndex">'[68]Non-Statistical Sampling Master'!$C$63</definedName>
    <definedName name="NSRequiredLevelOfEvidenceItems">'[68]Non-Statistical Sampling Master'!$C$50:$C$53</definedName>
    <definedName name="NSTargetedTestingItems">'[68]Two Step Revenue Testing Master'!$E$47</definedName>
    <definedName name="ntyufrdt">#REF!</definedName>
    <definedName name="nu" localSheetId="2">DATE(YEAR([0]!gf),MONTH([0]!gf)+Payment_Number,DAY([0]!gf))</definedName>
    <definedName name="nu">DATE(YEAR(gf),MONTH(gf)+Payment_Number,DAY(gf))</definedName>
    <definedName name="NUEVE">#REF!</definedName>
    <definedName name="Num_Pmt_Per_Year">#REF!</definedName>
    <definedName name="Number_of_Payments">MATCH(0.01,End_Bal,-1)+1</definedName>
    <definedName name="NUMCHECK">AND(ISNUMBER(#REF!),ISNUMBER(#REF!),ISNUMBER(#REF!),ISNUMBER(#REF!))</definedName>
    <definedName name="NUMENTRIES">#REF!</definedName>
    <definedName name="O">#REF!</definedName>
    <definedName name="O_D">'[24]Con BS'!$V$70</definedName>
    <definedName name="O_D1">'[17]Con BS'!$V$70</definedName>
    <definedName name="oc">'[45]STANBIC BANK ZKW'!#REF!</definedName>
    <definedName name="OCHO">#REF!</definedName>
    <definedName name="oe">#REF!</definedName>
    <definedName name="offset1">[7]summary!$B$10</definedName>
    <definedName name="offset2">[7]summary!$B$379</definedName>
    <definedName name="offset3">[7]summary!$B$793</definedName>
    <definedName name="oi" hidden="1">#REF!</definedName>
    <definedName name="oilhjluioloil">#REF!</definedName>
    <definedName name="oiuhgfd">#REF!</definedName>
    <definedName name="oiuy" hidden="1">#REF!</definedName>
    <definedName name="oiuytre">#REF!</definedName>
    <definedName name="oiyg" hidden="1">[21]Sheet2!#REF!</definedName>
    <definedName name="ojp">#REF!</definedName>
    <definedName name="OKNONOIKNKJMNP" hidden="1">#REF!</definedName>
    <definedName name="OKNPON\" hidden="1">#REF!</definedName>
    <definedName name="ONCE">#REF!</definedName>
    <definedName name="oooiiii" hidden="1">[21]Sheet2!#REF!</definedName>
    <definedName name="ooooo">#REF!</definedName>
    <definedName name="Opening_Bal">[25]Lookup!$J:$J</definedName>
    <definedName name="Originating">#REF!</definedName>
    <definedName name="OTM_Mobile_Interest">'[28]Inter Company Interest'!#REF!</definedName>
    <definedName name="otuio" hidden="1">[22]Sheet2!#REF!</definedName>
    <definedName name="ou">OFFSET(hiujhyg,0,0,gj)</definedName>
    <definedName name="OUTPUT">#REF!</definedName>
    <definedName name="p">#REF!</definedName>
    <definedName name="P_A">#N/A</definedName>
    <definedName name="page\x2dtotal">#REF!</definedName>
    <definedName name="page\x2dtotal\x2dmaster0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E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T_Bgt">#REF!</definedName>
    <definedName name="Pay_Date">#REF!</definedName>
    <definedName name="Pay_Num">#REF!</definedName>
    <definedName name="Pay_Num1">#REF!</definedName>
    <definedName name="Pay_Number">#REF!</definedName>
    <definedName name="PAYE">#N/A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ayments_per_annum">#REF!</definedName>
    <definedName name="PAYRL.2018" hidden="1">#REF!</definedName>
    <definedName name="payroll">#REF!</definedName>
    <definedName name="PBB_PAT_2007">#REF!</definedName>
    <definedName name="PD">#REF!</definedName>
    <definedName name="Pe_Date">[44]Set_Up!$A$23:$B$34</definedName>
    <definedName name="Pe_Month">[44]Set_Up!$B$5</definedName>
    <definedName name="PENSION__PROVIDENT_AND_BENEFIT_FUNDS">#REF!</definedName>
    <definedName name="PERIOD">'[69]Rates &amp; Dates'!$C$10:$C$21</definedName>
    <definedName name="PERIOD_END">[92]English!#REF!</definedName>
    <definedName name="PERIOD1">'[69]Rates &amp; Dates'!$C$10:$O$10</definedName>
    <definedName name="PERIOD10">'[69]Rates &amp; Dates'!$C$19:$O$19</definedName>
    <definedName name="PERIOD11">'[69]Rates &amp; Dates'!$C$20:$O$20</definedName>
    <definedName name="PERIOD12">'[93]Rates &amp; Dates'!$C$21:$O$21</definedName>
    <definedName name="PERIOD2">'[69]Rates &amp; Dates'!$C$11:$O$11</definedName>
    <definedName name="PERIOD3">'[69]Rates &amp; Dates'!$C$12:$O$12</definedName>
    <definedName name="PERIOD4">'[69]Rates &amp; Dates'!$C$13:$O$13</definedName>
    <definedName name="PERIOD5">'[69]Rates &amp; Dates'!$C$14:$O$14</definedName>
    <definedName name="PERIOD6">'[69]Rates &amp; Dates'!$C$15:$O$15</definedName>
    <definedName name="PERIOD7">'[69]Rates &amp; Dates'!$C$16:$O$16</definedName>
    <definedName name="PERIOD8">'[69]Rates &amp; Dates'!$C$17:$O$17</definedName>
    <definedName name="PERIOD9">'[69]Rates &amp; Dates'!$C$18:$O$18</definedName>
    <definedName name="PeriodsInYear">#REF!</definedName>
    <definedName name="PERYR">#REF!</definedName>
    <definedName name="PG">'[74]4'!#REF!</definedName>
    <definedName name="PH">#REF!</definedName>
    <definedName name="pi" hidden="1">[22]Sheet2!#REF!</definedName>
    <definedName name="PIE">'[68]Two Step Revenue Testing Master'!$C$87</definedName>
    <definedName name="PL">#REF!</definedName>
    <definedName name="PL_NPL">[7]summary!$AA$11:$AA$377</definedName>
    <definedName name="pmnt">#REF!</definedName>
    <definedName name="po" hidden="1">#REF!</definedName>
    <definedName name="poi">#REF!</definedName>
    <definedName name="Policies">#REF!</definedName>
    <definedName name="Population">[94]Disposals!#REF!</definedName>
    <definedName name="PR">#REF!</definedName>
    <definedName name="PR_DC_AveNClients">#REF!</definedName>
    <definedName name="PR_DD_01">#N/A</definedName>
    <definedName name="PR_DD_02">#N/A</definedName>
    <definedName name="PR_DD_03">#N/A</definedName>
    <definedName name="PR_DD_04">#N/A</definedName>
    <definedName name="PR_DD_05">#N/A</definedName>
    <definedName name="PR_DD_06">#N/A</definedName>
    <definedName name="PR_DD_07">#N/A</definedName>
    <definedName name="PR_DD_08">#N/A</definedName>
    <definedName name="PR_DD_09">#N/A</definedName>
    <definedName name="PR_DD_10">#N/A</definedName>
    <definedName name="PR_DD_11">#N/A</definedName>
    <definedName name="PR_DD_12">#N/A</definedName>
    <definedName name="PR_DD_13">#N/A</definedName>
    <definedName name="PR_DD_14">#N/A</definedName>
    <definedName name="PR_DD_15">#N/A</definedName>
    <definedName name="PR_DD_16">#N/A</definedName>
    <definedName name="PR_DD_17">#N/A</definedName>
    <definedName name="PR_DD_18">#N/A</definedName>
    <definedName name="PR_DD_19">#N/A</definedName>
    <definedName name="PR_DD_20">#N/A</definedName>
    <definedName name="PR_DD_21">#N/A</definedName>
    <definedName name="PR_DD_22">#N/A</definedName>
    <definedName name="PR_DD_23">#N/A</definedName>
    <definedName name="PR_DD_24">#N/A</definedName>
    <definedName name="PR_DD_25">#N/A</definedName>
    <definedName name="PR_DD_26">#N/A</definedName>
    <definedName name="PR_DD_27">#N/A</definedName>
    <definedName name="PR_DD_28">#N/A</definedName>
    <definedName name="PR_DD_29">#N/A</definedName>
    <definedName name="PR_DD_30">#N/A</definedName>
    <definedName name="PR_DD_31">#N/A</definedName>
    <definedName name="PR_DD_32">#N/A</definedName>
    <definedName name="PR_DD_33">#N/A</definedName>
    <definedName name="PRELIM_TM">#REF!</definedName>
    <definedName name="PRELIM_TM2">#REF!</definedName>
    <definedName name="PREPARAR">#REF!</definedName>
    <definedName name="PREPARAR2">#REF!</definedName>
    <definedName name="PREPARED_BY">#REF!</definedName>
    <definedName name="PREPARED_DATE">[92]English!#REF!</definedName>
    <definedName name="Present">[32]Library!$A$21</definedName>
    <definedName name="Princ">#REF!</definedName>
    <definedName name="PRINCI">#REF!</definedName>
    <definedName name="Principal">#REF!</definedName>
    <definedName name="_xlnm.Print_Area">#REF!</definedName>
    <definedName name="PRINT_AREA_MI">#REF!</definedName>
    <definedName name="PRINT_AREA_MI_15">#REF!</definedName>
    <definedName name="PRINT_AREA_MI_16">#REF!</definedName>
    <definedName name="PRINT_AREA_MI_17">#REF!</definedName>
    <definedName name="PRINT_AREA_MI_18">#REF!</definedName>
    <definedName name="PRINT_AREA_MI_20">#REF!</definedName>
    <definedName name="PRINT_AREA_MI_21">#REF!</definedName>
    <definedName name="PRINT_AREA_MI_26">#REF!</definedName>
    <definedName name="PRINT_AREA_MI_27">#REF!</definedName>
    <definedName name="PRINT_AREA_MI_29">#REF!</definedName>
    <definedName name="PRINT_AREA_MI_32">#REF!</definedName>
    <definedName name="PRINT_AREA_MI_6">#REF!</definedName>
    <definedName name="Print_Area_Reset">OFFSET(Full_Print,0,0,Last_Row)</definedName>
    <definedName name="Print_Area1">#REF!</definedName>
    <definedName name="_xlnm.Print_Titles">#REF!</definedName>
    <definedName name="PRINT_TITLES_MI">#REF!</definedName>
    <definedName name="PRINT_TITLES_MI_15">#REF!</definedName>
    <definedName name="PRINT_TITLES_MI_16">#REF!</definedName>
    <definedName name="PRINT_TITLES_MI_17">#REF!</definedName>
    <definedName name="PRINT_TITLES_MI_18">#REF!</definedName>
    <definedName name="PRINT_TITLES_MI_20">#REF!</definedName>
    <definedName name="PRINT_TITLES_MI_21">#REF!</definedName>
    <definedName name="PRINT_TITLES_MI_26">#REF!</definedName>
    <definedName name="PRINT_TITLES_MI_27">#REF!</definedName>
    <definedName name="PRINT_TITLES_MI_29">#REF!</definedName>
    <definedName name="PRINT_TITLES_MI_32">#REF!</definedName>
    <definedName name="PRINT_TITLES_MI_6">#REF!</definedName>
    <definedName name="PRINT11">'[95]TAX99-NN'!$A$1:$E$53,'[95]TAX99-NN'!$A$56:$E$78,'[95]TAX99-NN'!$A$79:$E$108,'[95]TAX99-NN'!$A$111:$E$163,'[95]TAX99-NN'!$A$166:$E$215,'[95]TAX99-NN'!$A$218:$E$277,'[95]TAX99-NN'!$A$280:$E$326,'[95]TAX99-NN'!$A$329:$E$373,'[95]TAX99-NN'!$A$374:$E$403</definedName>
    <definedName name="PRINT21">'[95]TAX99-NN'!$A$405:$E$438,'[95]TAX99-NN'!$A$439:$E$471,'[95]TAX99-NN'!$A$472:$E$492,'[95]TAX99-NN'!$A$493:$E$528,'[95]TAX99-NN'!$A$531:$E$566,'[95]TAX99-NN'!$A$568:$E$589</definedName>
    <definedName name="PRINT6">#REF!</definedName>
    <definedName name="PRINTTAX22">#REF!,#REF!,#REF!,#REF!</definedName>
    <definedName name="PRODHAR">#REF!</definedName>
    <definedName name="PRODSUB">#REF!</definedName>
    <definedName name="Product_Type">#REF!</definedName>
    <definedName name="PROF">#REF!</definedName>
    <definedName name="ProfitVehicleRentalFleet">'[60]Main Pack'!#REF!</definedName>
    <definedName name="Proofs">#REF!</definedName>
    <definedName name="PS">#REF!</definedName>
    <definedName name="PS_Home">#REF!</definedName>
    <definedName name="PS_Rep01">#REF!</definedName>
    <definedName name="PS_Rep02">#REF!</definedName>
    <definedName name="PS_Rep03">#REF!</definedName>
    <definedName name="PS_Rep04">#REF!</definedName>
    <definedName name="PS_Rep05">#REF!</definedName>
    <definedName name="PS_Rep06">#REF!</definedName>
    <definedName name="PS_Rep07">#REF!</definedName>
    <definedName name="PS_Rep08">#REF!</definedName>
    <definedName name="PS_Rep09">#REF!</definedName>
    <definedName name="PS_Rep10">#REF!</definedName>
    <definedName name="PS_Rep100">#REF!</definedName>
    <definedName name="PS_Rep101">#REF!</definedName>
    <definedName name="PS_Rep102">#REF!</definedName>
    <definedName name="PS_Rep11">#REF!</definedName>
    <definedName name="PS_Rep12">#REF!</definedName>
    <definedName name="PS_Rep13">#REF!</definedName>
    <definedName name="PS_Rep14">#REF!</definedName>
    <definedName name="PS_Rep15">#REF!</definedName>
    <definedName name="PS_Rep16">#REF!</definedName>
    <definedName name="PS_Rep17">#REF!</definedName>
    <definedName name="PS_Rep18">#REF!</definedName>
    <definedName name="PS_Rep19">#REF!</definedName>
    <definedName name="PS_Rep20">#REF!</definedName>
    <definedName name="PS_Rep21">#REF!</definedName>
    <definedName name="PS_Rep22">#REF!</definedName>
    <definedName name="PS_Rep23">#REF!</definedName>
    <definedName name="PS_Rep24">#REF!</definedName>
    <definedName name="PS_Rep25">#REF!</definedName>
    <definedName name="PS_Rep26">#REF!</definedName>
    <definedName name="PS_Rep27">#REF!</definedName>
    <definedName name="PS_Rep28">#REF!</definedName>
    <definedName name="PS_Rep29">#REF!</definedName>
    <definedName name="PS_Rep30">#REF!</definedName>
    <definedName name="PS_Rep31">#REF!</definedName>
    <definedName name="PS_Rep32">#REF!</definedName>
    <definedName name="PS_Rep33">#REF!</definedName>
    <definedName name="PS_Rep34">#REF!</definedName>
    <definedName name="PS_Rep35">#REF!</definedName>
    <definedName name="PS_Rep36">#REF!</definedName>
    <definedName name="PS_Rep37">#REF!</definedName>
    <definedName name="PS_Rep38">#REF!</definedName>
    <definedName name="PS_Rep39">#REF!</definedName>
    <definedName name="PS_Rep40">#REF!</definedName>
    <definedName name="PS_Rep41">#REF!</definedName>
    <definedName name="PS_Rep42">#REF!</definedName>
    <definedName name="PS_Rep43">#REF!</definedName>
    <definedName name="PS_Rep44">#REF!</definedName>
    <definedName name="PS_Rep45">#REF!</definedName>
    <definedName name="PS_Rep46">#REF!</definedName>
    <definedName name="PS_Rep47">#REF!</definedName>
    <definedName name="PS_Rep48">#REF!</definedName>
    <definedName name="PS_Rep49">#REF!</definedName>
    <definedName name="PS_Rep50">#REF!</definedName>
    <definedName name="PS_Rep51">#REF!</definedName>
    <definedName name="PS_Rep52">#REF!</definedName>
    <definedName name="PS_Rep53">#REF!</definedName>
    <definedName name="PS_Rep54">#REF!</definedName>
    <definedName name="PS_Rep55">#REF!</definedName>
    <definedName name="PS_Rep56">#REF!</definedName>
    <definedName name="PS_Rep57">#REF!</definedName>
    <definedName name="PS_Rep58">#REF!</definedName>
    <definedName name="PS_Rep59">#REF!</definedName>
    <definedName name="PS_Rep60">#REF!</definedName>
    <definedName name="PS_Rep61">#REF!</definedName>
    <definedName name="PS_Rep62">#REF!</definedName>
    <definedName name="PS_Rep63">#REF!</definedName>
    <definedName name="PS_Rep64">#REF!</definedName>
    <definedName name="PS_Rep65">#REF!</definedName>
    <definedName name="PS_Rep66">#REF!</definedName>
    <definedName name="PS_Rep67">#REF!</definedName>
    <definedName name="PS_Rep68">#REF!</definedName>
    <definedName name="PS_Rep69">#REF!</definedName>
    <definedName name="PS_Rep70">#REF!</definedName>
    <definedName name="PS_Rep71">#REF!</definedName>
    <definedName name="PS_Rep72">#REF!</definedName>
    <definedName name="PS_Rep73">#REF!</definedName>
    <definedName name="PS_Rep74">#REF!</definedName>
    <definedName name="PS_Rep75">#REF!</definedName>
    <definedName name="PS_Rep76">#REF!</definedName>
    <definedName name="PS_Rep77">#REF!</definedName>
    <definedName name="PS_Rep78">#REF!</definedName>
    <definedName name="PS_Rep79">#REF!</definedName>
    <definedName name="PS_Rep80">#REF!</definedName>
    <definedName name="PS_Rep81">#REF!</definedName>
    <definedName name="PS_Rep82">#REF!</definedName>
    <definedName name="PS_Rep83">#REF!</definedName>
    <definedName name="PS_Rep84">#REF!</definedName>
    <definedName name="PS_Rep85">#REF!</definedName>
    <definedName name="PS_Rep86">#REF!</definedName>
    <definedName name="PS_Rep87">#REF!</definedName>
    <definedName name="PS_Rep88">#REF!</definedName>
    <definedName name="PS_Rep89">#REF!</definedName>
    <definedName name="PS_Rep90">#REF!</definedName>
    <definedName name="PS_Rep91">#REF!</definedName>
    <definedName name="PS_Rep92">#REF!</definedName>
    <definedName name="PS_Rep93">#REF!</definedName>
    <definedName name="PS_Rep94">#REF!</definedName>
    <definedName name="PS_Rep95">#REF!</definedName>
    <definedName name="PS_Rep96">#REF!</definedName>
    <definedName name="PS_Rep97">#REF!</definedName>
    <definedName name="PS_Rep98">#REF!</definedName>
    <definedName name="PS_Rep99">#REF!</definedName>
    <definedName name="pu">#REF!</definedName>
    <definedName name="px">#REF!</definedName>
    <definedName name="PY4b2">#REF!</definedName>
    <definedName name="PY4b2Ac">#REF!</definedName>
    <definedName name="PY4c2">#REF!</definedName>
    <definedName name="PY4c2Ac">#REF!</definedName>
    <definedName name="PY5Suc">#REF!</definedName>
    <definedName name="PY5SucAc">#REF!</definedName>
    <definedName name="PYR.001" hidden="1">#REF!</definedName>
    <definedName name="q">[56]INDO!#REF!</definedName>
    <definedName name="QD">#REF!</definedName>
    <definedName name="QERF">'[28]Inter Company Interest'!#REF!</definedName>
    <definedName name="QEWRFQWRF">'[28]Inter Company Interest'!#REF!</definedName>
    <definedName name="qewrtyu">#REF!</definedName>
    <definedName name="QEWSDFC">'[28]Inter Company Interest'!#REF!</definedName>
    <definedName name="QFER">'[28]Inter Company Interest'!#REF!</definedName>
    <definedName name="qGWREHTWGRF\">'[34]Tax Comp'!#REF!</definedName>
    <definedName name="qqe">#REF!</definedName>
    <definedName name="QTR_YEAR">#REF!</definedName>
    <definedName name="qurbr">#N/A</definedName>
    <definedName name="qw">#REF!</definedName>
    <definedName name="qwd">#REF!</definedName>
    <definedName name="qwe">#REF!</definedName>
    <definedName name="qwedfc">#REF!</definedName>
    <definedName name="qweds">#REF!</definedName>
    <definedName name="QWEF">'[28]Inter Company Interest'!#REF!</definedName>
    <definedName name="qwer">#REF!</definedName>
    <definedName name="qwerewrf">#REF!</definedName>
    <definedName name="QWERF">'[28]Inter Company Interest'!#REF!</definedName>
    <definedName name="QWERFWE">'[28]Inter Company Interest'!#REF!</definedName>
    <definedName name="qwertyuiop">#REF!</definedName>
    <definedName name="QWR">'[28]Inter Company Interest'!#REF!</definedName>
    <definedName name="qwrthhye" hidden="1">[11]Sheet2!#REF!</definedName>
    <definedName name="QWSERF">'[28]Inter Company Interest'!#REF!</definedName>
    <definedName name="Ratios">'[15]Page 2'!#REF!</definedName>
    <definedName name="RawData">#REF!</definedName>
    <definedName name="RDG" hidden="1">#REF!</definedName>
    <definedName name="re">#REF!</definedName>
    <definedName name="REALISASIE">#REF!</definedName>
    <definedName name="Receivable">#REF!</definedName>
    <definedName name="RefreshArea">#REF!</definedName>
    <definedName name="REGFDG">#REF!</definedName>
    <definedName name="regrtfdrt">#REF!</definedName>
    <definedName name="repayment">'[46]loan 1'!$D$11</definedName>
    <definedName name="REPORTING">'[69]Rates &amp; Dates'!$L$10:$O$21</definedName>
    <definedName name="rerertrge">#REF!</definedName>
    <definedName name="RERREEER" hidden="1">#REF!</definedName>
    <definedName name="RES">#REF!</definedName>
    <definedName name="RESERVED_DATA" hidden="1">#REF!</definedName>
    <definedName name="Retained_Earnings">[25]Date_Lup!$D$41</definedName>
    <definedName name="Retained_EarningsPY">[25]Date_Lup!$D$47</definedName>
    <definedName name="retdj" hidden="1">[66]Movementschedule!#REF!</definedName>
    <definedName name="reterter">#REF!</definedName>
    <definedName name="RETFGXVDC">#N/A</definedName>
    <definedName name="retryty" hidden="1">[22]Sheet2!#REF!</definedName>
    <definedName name="REVISION">#REF!</definedName>
    <definedName name="rewq">#REF!</definedName>
    <definedName name="rewr">#REF!</definedName>
    <definedName name="rey" hidden="1">[22]Sheet2!#REF!</definedName>
    <definedName name="rf">#REF!</definedName>
    <definedName name="rfea">#REF!</definedName>
    <definedName name="rfefe">#REF!</definedName>
    <definedName name="rgg54sf" hidden="1">#REF!</definedName>
    <definedName name="rghjtregfhj" hidden="1">[11]Sheet2!#REF!</definedName>
    <definedName name="RGLSheetVisible" hidden="1">[32]Settings!$C$86</definedName>
    <definedName name="rhyh">#REF!</definedName>
    <definedName name="riu" hidden="1">[77]XREF!#REF!</definedName>
    <definedName name="roundOpt">#REF!</definedName>
    <definedName name="RPT_TITLE">[96]SET_UP!$E$28</definedName>
    <definedName name="RQDSEF">'[28]Inter Company Interest'!#REF!</definedName>
    <definedName name="rqfcv">#REF!</definedName>
    <definedName name="rr">'[5]Auditors Assoc'!#REF!</definedName>
    <definedName name="rrh">#REF!</definedName>
    <definedName name="rrreee">#REF!</definedName>
    <definedName name="RRRR" hidden="1">#REF!</definedName>
    <definedName name="RRTHUJY" hidden="1">'[77]Movement schedule'!#REF!</definedName>
    <definedName name="rstdyuj" hidden="1">#REF!</definedName>
    <definedName name="rt">#REF!</definedName>
    <definedName name="rtb">#REF!</definedName>
    <definedName name="rtbe">#REF!</definedName>
    <definedName name="rte">IF(gjhyhbyg*upouio*[0]!V*gf&gt;0,1,0)</definedName>
    <definedName name="rtghgb">#N/A</definedName>
    <definedName name="rth">#REF!</definedName>
    <definedName name="RTHTYJ" hidden="1">[11]Sheet2!#REF!</definedName>
    <definedName name="rthytryt">#REF!</definedName>
    <definedName name="RTJGFYTJ" hidden="1">[11]Sheet2!#REF!</definedName>
    <definedName name="rtjuu" hidden="1">[11]Sheet2!#REF!</definedName>
    <definedName name="rtsert">#REF!</definedName>
    <definedName name="rtty" hidden="1">[11]Sheet2!#REF!</definedName>
    <definedName name="rtu">#REF!</definedName>
    <definedName name="rtutyu">#REF!</definedName>
    <definedName name="rtutyuyf" hidden="1">[11]Sheet2!#REF!</definedName>
    <definedName name="rtuuty" hidden="1">[11]Sheet2!#REF!</definedName>
    <definedName name="rtuuuu" hidden="1">[11]Sheet2!#REF!</definedName>
    <definedName name="RTWETERTERT" hidden="1">#REF!</definedName>
    <definedName name="RTY">#REF!</definedName>
    <definedName name="rtyrt" hidden="1">[22]Sheet2!#REF!</definedName>
    <definedName name="rtyujtyu" hidden="1">[11]Sheet2!#REF!</definedName>
    <definedName name="ru" localSheetId="2">DATE(YEAR([0]!ertuu7i6y),MONTH([0]!ertuu7i6y)+Payment_Number,DAY([0]!ertuu7i6y))</definedName>
    <definedName name="ru">DATE(YEAR([0]!ertuu7i6y),MONTH([0]!ertuu7i6y)+Payment_Number,DAY([0]!ertuu7i6y))</definedName>
    <definedName name="rut">'[68]Non-Statistical Sampling Master'!$C$63</definedName>
    <definedName name="rw">#REF!</definedName>
    <definedName name="RWEFSDczewA">'[28]Inter Company Interest'!#REF!</definedName>
    <definedName name="rwerewrewr">#REF!</definedName>
    <definedName name="rwert">#REF!</definedName>
    <definedName name="rwrwerer">#REF!</definedName>
    <definedName name="rwth">#REF!</definedName>
    <definedName name="ryer" hidden="1">[22]Sheet2!#REF!</definedName>
    <definedName name="ryt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BO">'[24]Con BS'!$V$150</definedName>
    <definedName name="S_TBOa">'[17]Con BS'!$V$150</definedName>
    <definedName name="S_TBORR">'[24]Con BS'!$V$72</definedName>
    <definedName name="S_TBORR1">'[17]Con BS'!$V$72</definedName>
    <definedName name="SA_DD_01">#N/A</definedName>
    <definedName name="SA_DD_02">#N/A</definedName>
    <definedName name="SA_DD_03">#N/A</definedName>
    <definedName name="SA_DD_04">#N/A</definedName>
    <definedName name="SA_DD_05">#N/A</definedName>
    <definedName name="SA_DD_06">#N/A</definedName>
    <definedName name="SA_DD_07">#N/A</definedName>
    <definedName name="SA_ProfitBeforeTax">[32]PL!#REF!</definedName>
    <definedName name="SA_Sales">[32]PL!#REF!</definedName>
    <definedName name="SAaf">ROW(#REF!)</definedName>
    <definedName name="saddsada">#REF!</definedName>
    <definedName name="sadf">#REF!</definedName>
    <definedName name="SAdfcsadcfewf">'[27]INC ST'!#REF!</definedName>
    <definedName name="sADFCSEAF">'[34]DEFERRED TAXATION'!#REF!</definedName>
    <definedName name="sadfgd">#REF!</definedName>
    <definedName name="SADFSDDSF" hidden="1">#REF!</definedName>
    <definedName name="sadfvdsgbh" hidden="1">[11]Sheet2!#REF!</definedName>
    <definedName name="sadsds">#REF!</definedName>
    <definedName name="safddg">#REF!</definedName>
    <definedName name="sample_sum">#REF!</definedName>
    <definedName name="Sanceda_Rec_Interest">'[28]Inter Company Interest'!#REF!</definedName>
    <definedName name="sap" hidden="1">11</definedName>
    <definedName name="SAPBEXdnldView" hidden="1">"4VQR4JCDL8KS732PC5NY4HERN"</definedName>
    <definedName name="SAPBEXhrIndnt" hidden="1">1</definedName>
    <definedName name="SAPBEXrevision" hidden="1">15</definedName>
    <definedName name="SAPBEXsysID" hidden="1">"BP1"</definedName>
    <definedName name="SAPBEXwbID" hidden="1">"3KIOB4QEJV5TOOUQF8MK5C0HK"</definedName>
    <definedName name="SAPFuncF4Help" localSheetId="2" hidden="1">Main.SAPF4Help()</definedName>
    <definedName name="SAPFuncF4Help" hidden="1">Main.SAPF4Help()</definedName>
    <definedName name="SAPRangeKEYFIG_Tabelle1_Tabelle1D1">#REF!</definedName>
    <definedName name="SAPRangePOPER_Tabelle1_Tabelle1D1">#REF!</definedName>
    <definedName name="SAPRangeRBUNIT_Tabelle1_Tabelle1D1">#REF!</definedName>
    <definedName name="SAPRangeRBUPTR_Tabelle1_Tabelle1D1">#REF!</definedName>
    <definedName name="SAPRangeRCONGR_Tabelle1_Tabelle1D1">#REF!</definedName>
    <definedName name="SAPRangeRDIMEN_Tabelle1_Tabelle1D1">#REF!</definedName>
    <definedName name="SAPRangeRITCLG_Tabelle1_Tabelle1D1">#REF!</definedName>
    <definedName name="SAPRangeRITEM_Tabelle1_Tabelle1D1">#REF!</definedName>
    <definedName name="SAPRangeRLDNR_Tabelle1_Tabelle1D1">#REF!</definedName>
    <definedName name="SAPRangeRVERS_Tabelle1_Tabelle1D1">#REF!</definedName>
    <definedName name="SAPRangeRYEAR_Tabelle1_Tabelle1D1">#REF!</definedName>
    <definedName name="SAPRangeSITYP_Tabelle1_Tabelle1D1">#REF!</definedName>
    <definedName name="SAPRangeSUBIT_Tabelle1_Tabelle1D1">#REF!</definedName>
    <definedName name="SB">#REF!</definedName>
    <definedName name="SBNAct">[7]summary!$AF$3:$BO$7</definedName>
    <definedName name="SBNAve">[7]summary!$CQ$3:$DZ$7</definedName>
    <definedName name="SBUTAct">[7]summary!$CD$3:$CO$7</definedName>
    <definedName name="SC">#REF!</definedName>
    <definedName name="Sceduled_Payment">#REF!</definedName>
    <definedName name="Scenario">#REF!</definedName>
    <definedName name="Sch">#REF!</definedName>
    <definedName name="Sch_Monthly_Payments">#REF!</definedName>
    <definedName name="Sched_Extra_Payments">#REF!</definedName>
    <definedName name="Sched_Pay">#REF!</definedName>
    <definedName name="Schedule_12A.1">'[55]Alterations &amp; improvements'!$D$1</definedName>
    <definedName name="ScheduleA">#REF!</definedName>
    <definedName name="SCHEDULEA1">#REF!</definedName>
    <definedName name="ScheduleB">#REF!</definedName>
    <definedName name="ScheduleC">#REF!</definedName>
    <definedName name="ScheduleD">#REF!</definedName>
    <definedName name="Scheduled_Extra_Payments">#REF!</definedName>
    <definedName name="Scheduled_Interest_Rate">#REF!</definedName>
    <definedName name="Scheduled_Monthly_Payment">#REF!</definedName>
    <definedName name="ScheduleE">#REF!</definedName>
    <definedName name="ScheduleF">#REF!</definedName>
    <definedName name="ScheduleG">#REF!</definedName>
    <definedName name="ScheduleH">#REF!</definedName>
    <definedName name="SchedulesMONTH">[7]summary!$N$794:$N$1204</definedName>
    <definedName name="SchedulesYtd">[7]summary!$N$380:$N$792</definedName>
    <definedName name="SD">#REF!</definedName>
    <definedName name="SDafaC">#REF!</definedName>
    <definedName name="sdafcdsbg" hidden="1">[11]Sheet2!#REF!</definedName>
    <definedName name="SDAFDS" hidden="1">#REF!</definedName>
    <definedName name="SDAFSDDSF" hidden="1">#REF!</definedName>
    <definedName name="SDDDD">IF(tyiyuiuy*eripo*iyui*yuiuyiyu&gt;0,1,0)</definedName>
    <definedName name="SDF">'[28]Inter Company Interest'!#REF!</definedName>
    <definedName name="SDFASDSAF" hidden="1">#REF!</definedName>
    <definedName name="sdfcsdafv">#REF!</definedName>
    <definedName name="SDFDFSDS">'[68]Two Step Revenue Testing Master'!$T$45</definedName>
    <definedName name="sdfdsg">#REF!</definedName>
    <definedName name="sdfg" hidden="1">[22]Sheet2!#REF!</definedName>
    <definedName name="SDFGFDG" hidden="1">[11]Sheet2!#REF!</definedName>
    <definedName name="sdfghftdrseaw" hidden="1">[22]Sheet2!#REF!</definedName>
    <definedName name="sdfghj">OFFSET(rrh,0,0,wfvr)</definedName>
    <definedName name="sdfghjk">#REF!</definedName>
    <definedName name="SDFR" hidden="1">#REF!</definedName>
    <definedName name="SDFSD">#REF!</definedName>
    <definedName name="SDFSDDSF" hidden="1">#REF!</definedName>
    <definedName name="sdfsdfs">#REF!</definedName>
    <definedName name="SDFSDFSD">'[34]DEFERRED TAXATION'!$J$40</definedName>
    <definedName name="SDFSDFSDFS" hidden="1">#REF!</definedName>
    <definedName name="SDFSDSADFS" hidden="1">#REF!</definedName>
    <definedName name="SDFSF">#REF!</definedName>
    <definedName name="sdgf" hidden="1">[11]Sheet2!#REF!</definedName>
    <definedName name="sdre">#REF!</definedName>
    <definedName name="sdrfg" hidden="1">[22]Sheet2!#REF!</definedName>
    <definedName name="sdsd">#REF!</definedName>
    <definedName name="sdsdf">#REF!</definedName>
    <definedName name="SDSFG" hidden="1">#REF!</definedName>
    <definedName name="SE">#REF!</definedName>
    <definedName name="SEADFCSDF" hidden="1">[11]Sheet2!#REF!</definedName>
    <definedName name="sed">#REF!</definedName>
    <definedName name="sedrcsr">MATCH(0.01,wsdfe,-1)+1</definedName>
    <definedName name="sef">#REF!</definedName>
    <definedName name="SEIS">#REF!</definedName>
    <definedName name="SelectedDate">[25]Lookup!$A$1</definedName>
    <definedName name="SelectedYear">[25]Lookup!$A$2</definedName>
    <definedName name="Senegal">#REF!</definedName>
    <definedName name="sep">[97]INDO!#REF!</definedName>
    <definedName name="serdfgt" hidden="1">[22]Sheet2!#REF!</definedName>
    <definedName name="SF">'[28]Inter Company Interest'!$E$5:$E$21</definedName>
    <definedName name="sFASDF">'[68]Two Step Revenue Testing Master'!$C$85</definedName>
    <definedName name="sfdsdfsdf">#REF!</definedName>
    <definedName name="sfg" hidden="1">#REF!</definedName>
    <definedName name="sfr">#REF!</definedName>
    <definedName name="sgsdgty">#REF!</definedName>
    <definedName name="sh">#REF!</definedName>
    <definedName name="SH_Loan">[70]Sensitivities!$D$7</definedName>
    <definedName name="SH_Loan_Date">[70]Sensitivities!$D$12</definedName>
    <definedName name="sheet">'[56]STANBIC BANK ZKW'!#REF!</definedName>
    <definedName name="sht">#REF!</definedName>
    <definedName name="SIETE">#REF!</definedName>
    <definedName name="Slope">[80]InflationForecasts!$F$6</definedName>
    <definedName name="sm" hidden="1">[10]Sheet2!#REF!</definedName>
    <definedName name="SoleIsFemale" hidden="1">[32]Settings!$C$53</definedName>
    <definedName name="Spec">#REF!</definedName>
    <definedName name="Spec_15">#REF!</definedName>
    <definedName name="Spec_16">#REF!</definedName>
    <definedName name="Spec_17">#REF!</definedName>
    <definedName name="Spec_18">#REF!</definedName>
    <definedName name="Spec_20">#REF!</definedName>
    <definedName name="Spec_21">#REF!</definedName>
    <definedName name="specsrange">[7]specs!$G$7:$Q$20</definedName>
    <definedName name="specsrange2">[7]specs!$V$7:$AA$20</definedName>
    <definedName name="srdftgh" hidden="1">[22]Sheet2!#REF!</definedName>
    <definedName name="SS">#REF!</definedName>
    <definedName name="ssry">ROW(#REF!)</definedName>
    <definedName name="st" hidden="1">#REF!</definedName>
    <definedName name="Start_Date">'[61]Accounting Period'!$B$21</definedName>
    <definedName name="Start_Loan">#REF!</definedName>
    <definedName name="STLIBAct">[7]summary!$BQ$3:$CB$7</definedName>
    <definedName name="STOCK">#REF!</definedName>
    <definedName name="SubAcc">[26]Lookup!$BG:$BG</definedName>
    <definedName name="Subsidiaries">#REF!</definedName>
    <definedName name="Subsidiaries2">#REF!</definedName>
    <definedName name="SUM">#REF!</definedName>
    <definedName name="Sum_Data">#REF!</definedName>
    <definedName name="SummaryBS">[7]summary!$T$11:$T$377</definedName>
    <definedName name="SUMMATION">#REF!</definedName>
    <definedName name="SunCityCollection">[54]Tables!$A$273</definedName>
    <definedName name="suppliers">#REF!</definedName>
    <definedName name="SV_AUTO_CONN_CATALOG" hidden="1">"Mauritius Getbucks"</definedName>
    <definedName name="SV_AUTO_CONN_SERVER" hidden="1">"pastelevo"</definedName>
    <definedName name="SV_DBTYPE">"-1"</definedName>
    <definedName name="SV_ENCPT_AUTO_CONN_PASSWORD" hidden="1">"083096084083070121065050"</definedName>
    <definedName name="SV_ENCPT_AUTO_CONN_USER" hidden="1">"095094088070084121098"</definedName>
    <definedName name="SV_ENCPT_EVOCOMMON_PASSWORD" hidden="1">"083096084083070121065050"</definedName>
    <definedName name="SV_ENCPT_EVOCOMMON_USER" hidden="1">"095094088070084121098"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"pastelevo"</definedName>
    <definedName name="SV_REPORT_CODE">"E4-GL05-4-1"</definedName>
    <definedName name="SV_REPORT_ID">"45"</definedName>
    <definedName name="SV_REPORT_NAME">"GetBucks GROUP Consolidation"</definedName>
    <definedName name="SV_REPOSCODE">""</definedName>
    <definedName name="SV_SOLUTION_ID">"2"</definedName>
    <definedName name="SV_TENANT_CODE">""</definedName>
    <definedName name="SZ">'[28]Inter Company Interest'!$C$5:$C$21</definedName>
    <definedName name="t" hidden="1">[10]Sheet2!#REF!</definedName>
    <definedName name="TAX">#REF!</definedName>
    <definedName name="tax_10">'[98]TAX 2'!#REF!</definedName>
    <definedName name="tax_13">'[98]TAX 2'!#REF!</definedName>
    <definedName name="tax_15">'[99]TAX 2'!#REF!</definedName>
    <definedName name="tax_16">'[99]TAX 2'!#REF!</definedName>
    <definedName name="tax_17">'[99]TAX 2'!#REF!</definedName>
    <definedName name="tax_18">'[99]TAX 2'!#REF!</definedName>
    <definedName name="tax_20">'[99]TAX 2'!#REF!</definedName>
    <definedName name="tax_21">'[99]TAX 2'!#REF!</definedName>
    <definedName name="tax_26">'[99]TAX 2'!#REF!</definedName>
    <definedName name="tax_27">'[99]TAX 2'!#REF!</definedName>
    <definedName name="tax_28">'[98]TAX 2'!#REF!</definedName>
    <definedName name="tax_29">'[99]TAX 2'!#REF!</definedName>
    <definedName name="tax_32">'[99]TAX 2'!#REF!</definedName>
    <definedName name="tax_5">'[98]TAX 2'!#REF!</definedName>
    <definedName name="taxation">'[99]TAX 2'!#REF!</definedName>
    <definedName name="TAXCOMPUNITS">[32]TaxCompData!$G$12</definedName>
    <definedName name="taxed">'[99]TAX 2'!#REF!</definedName>
    <definedName name="Taxonomy">#REF!</definedName>
    <definedName name="Taxproof">#REF!</definedName>
    <definedName name="taxxxx">'[99]TAX 2'!#REF!</definedName>
    <definedName name="taxxxx_10">'[98]TAX 2'!#REF!</definedName>
    <definedName name="taxxxx_13">'[98]TAX 2'!#REF!</definedName>
    <definedName name="taxxxx_15">'[99]TAX 2'!#REF!</definedName>
    <definedName name="taxxxx_16">'[99]TAX 2'!#REF!</definedName>
    <definedName name="taxxxx_17">'[99]TAX 2'!#REF!</definedName>
    <definedName name="taxxxx_18">'[99]TAX 2'!#REF!</definedName>
    <definedName name="taxxxx_20">'[99]TAX 2'!#REF!</definedName>
    <definedName name="taxxxx_21">'[99]TAX 2'!#REF!</definedName>
    <definedName name="taxxxx_26">'[99]TAX 2'!#REF!</definedName>
    <definedName name="taxxxx_27">'[99]TAX 2'!#REF!</definedName>
    <definedName name="taxxxx_28">'[98]TAX 2'!#REF!</definedName>
    <definedName name="taxxxx_29">'[99]TAX 2'!#REF!</definedName>
    <definedName name="taxxxx_32">'[99]TAX 2'!#REF!</definedName>
    <definedName name="taxxxx_5">'[98]TAX 2'!#REF!</definedName>
    <definedName name="TB">[7]summary!$B$11:$B$791</definedName>
    <definedName name="TB_GL_Col">[100]TB!$A:$A</definedName>
    <definedName name="TB_Total_CY">[100]TB!$J:$J</definedName>
    <definedName name="TC">#REF!</definedName>
    <definedName name="TCACUM96">'[20]5 D'!#REF!</definedName>
    <definedName name="TCACUM97">'[20]5 D'!#REF!</definedName>
    <definedName name="TCCED6">'[20]5 D'!#REF!</definedName>
    <definedName name="TCCED6A">'[20]5 D'!#REF!</definedName>
    <definedName name="TCMP">'[20]5 D'!#REF!</definedName>
    <definedName name="TCMPA">'[20]5 D'!#REF!</definedName>
    <definedName name="TCMPAC">'[20]5 D'!#REF!</definedName>
    <definedName name="TCMPACA">'[20]5 D'!#REF!</definedName>
    <definedName name="te">#REF!</definedName>
    <definedName name="temp10" hidden="1">11</definedName>
    <definedName name="temp11" localSheetId="2" hidden="1">Main.SAPF4Help()</definedName>
    <definedName name="temp11" hidden="1">Main.SAPF4Help()</definedName>
    <definedName name="temprange1">[7]forex!$P$8:$AN$213</definedName>
    <definedName name="ter54u">#REF!</definedName>
    <definedName name="TEST1">'[5]Auditors Assoc'!$A$4:$F$438</definedName>
    <definedName name="TEST2">'[5]Auditors Assoc'!#REF!</definedName>
    <definedName name="TESTHKEY">'[5]Auditors Assoc'!$F$3:$F$3</definedName>
    <definedName name="TESTKEYS">'[5]Auditors Assoc'!$A$4:$E$438</definedName>
    <definedName name="TESTVKEY">'[5]Auditors Assoc'!$A$3:$E$3</definedName>
    <definedName name="tew" hidden="1">[22]Sheet2!#REF!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'[101]Consol BS'!#REF!</definedName>
    <definedName name="TextRefCopy14">#REF!</definedName>
    <definedName name="TextRefCopy15">#REF!</definedName>
    <definedName name="TextRefCopy16">'[102]Movement Sched'!$N$28</definedName>
    <definedName name="TextRefCopy17">'[102]Movement Sched'!$S$28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[103]Subscp!#REF!</definedName>
    <definedName name="TextRefCopy24">#REF!</definedName>
    <definedName name="TextRefCopy25">#REF!</definedName>
    <definedName name="TextRefCopy26">#REF!</definedName>
    <definedName name="TextRefCopy27">[103]Gratuity!#REF!</definedName>
    <definedName name="TextRefCopy28">#REF!</definedName>
    <definedName name="TextRefCopy3">[104]Detailed!#REF!</definedName>
    <definedName name="TextRefCopy30">#REF!</definedName>
    <definedName name="TextRefCopy31">#REF!</definedName>
    <definedName name="TextRefCopy34">[103]FBT!$E$23</definedName>
    <definedName name="TextRefCopy36">'[34]DEFERRED TAXATION'!#REF!</definedName>
    <definedName name="TextRefCopy37">'[34]Tax Comp'!#REF!</definedName>
    <definedName name="TextRefCopy4">'[101]Consol BS'!#REF!</definedName>
    <definedName name="TextRefCopy41">'[34]DEFERRED TAXATION'!$J$40</definedName>
    <definedName name="TextRefCopy49">#REF!</definedName>
    <definedName name="TextRefCopy5">'[101]Consol BS'!#REF!</definedName>
    <definedName name="TextRefCopy50">'[103]INCOME STATEMENT'!$H$22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7">[103]Gratuity!$E$9</definedName>
    <definedName name="TextRefCopy58">#REF!</definedName>
    <definedName name="TextRefCopy59">#REF!</definedName>
    <definedName name="TextRefCopy6">'[34]TAX COMPUTATION'!#REF!</definedName>
    <definedName name="TextRefCopy60">#REF!</definedName>
    <definedName name="TextRefCopy62">#REF!</definedName>
    <definedName name="TextRefCopy63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6">#REF!</definedName>
    <definedName name="TextRefCopy8">#REF!</definedName>
    <definedName name="TextRefCopy81">#REF!</definedName>
    <definedName name="TextRefCopy82">#REF!</definedName>
    <definedName name="TextRefCopy83">#REF!</definedName>
    <definedName name="TextRefCopy85">#REF!</definedName>
    <definedName name="TextRefCopy9">#REF!</definedName>
    <definedName name="TextRefCopyRangeCount" hidden="1">35</definedName>
    <definedName name="tf">[105]INDO!#REF!</definedName>
    <definedName name="tfyjuguj">#REF!</definedName>
    <definedName name="tfyjyui">#REF!</definedName>
    <definedName name="TG" hidden="1">#REF!</definedName>
    <definedName name="thnpljyul" hidden="1">[11]Sheet2!#REF!</definedName>
    <definedName name="THUJ" hidden="1">#REF!</definedName>
    <definedName name="Time">#REF!</definedName>
    <definedName name="Titles">#REF!</definedName>
    <definedName name="TITYITY" hidden="1">#REF!</definedName>
    <definedName name="TLA.003" hidden="1">#REF!</definedName>
    <definedName name="TLA.004" hidden="1">#REF!</definedName>
    <definedName name="TLA.008" hidden="1">#REF!</definedName>
    <definedName name="TLA.056" hidden="1">#REF!</definedName>
    <definedName name="TmpDALS_GrandTotal">#REF!</definedName>
    <definedName name="TmpRESERVED_DATA">#REF!</definedName>
    <definedName name="tndryydu" hidden="1">[21]Sheet2!#REF!</definedName>
    <definedName name="to" hidden="1">#REF!</definedName>
    <definedName name="TOBAL">#REF!</definedName>
    <definedName name="Togo">#REF!</definedName>
    <definedName name="TOT">#REF!</definedName>
    <definedName name="TOTAL">'[106] CONSOLIDATED '!$B$44</definedName>
    <definedName name="Total_Interest">#REF!</definedName>
    <definedName name="Total_LCY_Disclosure">#REF!</definedName>
    <definedName name="Total_Pay">#REF!</definedName>
    <definedName name="Total_Payment" localSheetId="2">Scheduled_Payment+[0]!Extra_Payment</definedName>
    <definedName name="Total_Payment">Scheduled_Payment+Extra_Payment</definedName>
    <definedName name="Total_Payments">#REF!</definedName>
    <definedName name="tr">#REF!</definedName>
    <definedName name="TRAD">#REF!</definedName>
    <definedName name="Tradeandotherdebtors_Conclusion">#REF!</definedName>
    <definedName name="TradeandotherdebtorsAudit_Work_Done">#REF!</definedName>
    <definedName name="TRANSP.HAR.">'[74]4'!#REF!</definedName>
    <definedName name="TRANSP.MOL.">'[74]4'!#REF!</definedName>
    <definedName name="TREHGF" hidden="1">#REF!</definedName>
    <definedName name="TRES">#REF!</definedName>
    <definedName name="TREY" hidden="1">#REF!</definedName>
    <definedName name="TRI" hidden="1">#REF!</definedName>
    <definedName name="TRJHG" hidden="1">[11]Sheet2!#REF!</definedName>
    <definedName name="tru">#REF!</definedName>
    <definedName name="try">#REF!</definedName>
    <definedName name="tryse">ROW(#REF!)</definedName>
    <definedName name="tryty" hidden="1">[11]Sheet2!#REF!</definedName>
    <definedName name="TTDesiredLevelOfEvidenceItems">'[68]Global Data'!$B$92:$B$95</definedName>
    <definedName name="ttt">#REF!</definedName>
    <definedName name="tttrrr">#REF!</definedName>
    <definedName name="TTY" hidden="1">#REF!</definedName>
    <definedName name="TUITYT" hidden="1">'[62]BL SHT'!#REF!</definedName>
    <definedName name="tw">#REF!</definedName>
    <definedName name="TwoStepMisstatementIdentified">'[68]Two Step Revenue Testing Master'!$C$85</definedName>
    <definedName name="TwoStepTolerableEstMisstmtCalc">'[68]Two Step Revenue Testing Master'!$T$45</definedName>
    <definedName name="ty">#REF!</definedName>
    <definedName name="tyiyuiuy">#REF!</definedName>
    <definedName name="tyj">#REF!</definedName>
    <definedName name="tyjufyg">[94]Disposals!#REF!</definedName>
    <definedName name="Type1">#REF!</definedName>
    <definedName name="Type2">#REF!</definedName>
    <definedName name="tyrtutyu" hidden="1">[11]Sheet2!#REF!</definedName>
    <definedName name="tysrt4">#REF!</definedName>
    <definedName name="TYTY" hidden="1">#REF!</definedName>
    <definedName name="TYU" hidden="1">#REF!</definedName>
    <definedName name="TYUIIU" hidden="1">#REF!</definedName>
    <definedName name="TYUITT" hidden="1">'[62]C FLO'!#REF!</definedName>
    <definedName name="TYUIY8I" hidden="1">#REF!</definedName>
    <definedName name="TYUTY" hidden="1">#REF!</definedName>
    <definedName name="TYUTYI" hidden="1">#REF!</definedName>
    <definedName name="TYUY" hidden="1">#REF!</definedName>
    <definedName name="TYUYYI" hidden="1">#REF!</definedName>
    <definedName name="TYYIT" hidden="1">#REF!</definedName>
    <definedName name="tyyuuio">#REF!</definedName>
    <definedName name="u">'[28]Inter Company Interest'!#REF!</definedName>
    <definedName name="ugu">#REF!</definedName>
    <definedName name="UH" hidden="1">#REF!</definedName>
    <definedName name="ui" hidden="1">27</definedName>
    <definedName name="UII" hidden="1">[81]Taxcomp!#REF!</definedName>
    <definedName name="UIKLO7" hidden="1">#REF!</definedName>
    <definedName name="uiktuiktyi" hidden="1">[11]Sheet2!#REF!</definedName>
    <definedName name="uiluiiu" hidden="1">[11]Sheet2!#REF!</definedName>
    <definedName name="uiouioloi98o">#REF!</definedName>
    <definedName name="uiulkujhyukguk">#REF!</definedName>
    <definedName name="uiyuytre">#REF!</definedName>
    <definedName name="uj">#REF!</definedName>
    <definedName name="ukil" hidden="1">[11]Sheet2!#REF!</definedName>
    <definedName name="ul">#REF!</definedName>
    <definedName name="UNITACC">'[107]Account Mapping'!$B$7:$B$1386</definedName>
    <definedName name="Units">[108]MBC!$B$4</definedName>
    <definedName name="UNO">#REF!</definedName>
    <definedName name="uo" hidden="1">[59]Taxcomp!#REF!</definedName>
    <definedName name="upouio">#REF!</definedName>
    <definedName name="urjty">'[68]Two Step Revenue Testing Master'!$C$87</definedName>
    <definedName name="us">[56]INDO!#REF!</definedName>
    <definedName name="UTIL">#REF!</definedName>
    <definedName name="UTILACC">#REF!</definedName>
    <definedName name="UTY" hidden="1">[62]NOTES3!#REF!</definedName>
    <definedName name="uuiiooi">#REF!</definedName>
    <definedName name="uuuyyyy">#REF!</definedName>
    <definedName name="uy">'[28]Inter Company Interest'!#REF!</definedName>
    <definedName name="UYITTY" hidden="1">#REF!</definedName>
    <definedName name="uyjiuoyuo">#REF!</definedName>
    <definedName name="uyn">OFFSET(hiujhyg,0,0,gj)</definedName>
    <definedName name="uyt" hidden="1">[22]Sheet2!#REF!</definedName>
    <definedName name="uytfrd">#REF!</definedName>
    <definedName name="UYTR" hidden="1">#REF!</definedName>
    <definedName name="V">#REF!</definedName>
    <definedName name="Values">#N/A</definedName>
    <definedName name="Values_Entered">IF(Loan_Amount*Interest_Rate*Loan_Years*Loan_Start&gt;0,1,0)</definedName>
    <definedName name="valuevx">42.314159</definedName>
    <definedName name="vb">#REF!</definedName>
    <definedName name="vbc">#N/A</definedName>
    <definedName name="VBJUYTFV" hidden="1">#REF!</definedName>
    <definedName name="VBN" hidden="1">#REF!</definedName>
    <definedName name="VBNJK" hidden="1">#REF!</definedName>
    <definedName name="vcd" hidden="1">#REF!</definedName>
    <definedName name="vdfsfar">#REF!</definedName>
    <definedName name="VehicleRentalFleetGainLossDisposal">'[60]Main Pack'!#REF!</definedName>
    <definedName name="vg" hidden="1">#REF!</definedName>
    <definedName name="vgbhi">#REF!</definedName>
    <definedName name="vghi">#REF!</definedName>
    <definedName name="vghy" hidden="1">'[8]FinStat (No Input)'!#REF!</definedName>
    <definedName name="vgv">'[109]STANBIC BANK ZKW'!#REF!</definedName>
    <definedName name="VL">#REF!</definedName>
    <definedName name="vnbdhds">#N/A</definedName>
    <definedName name="VNFGN">#REF!</definedName>
    <definedName name="VRF">'[60]Basic Cash Flow'!#REF!</definedName>
    <definedName name="VSS_Interest">'[28]Inter Company Interest'!#REF!</definedName>
    <definedName name="vv">#REF!</definedName>
    <definedName name="VW">#REF!</definedName>
    <definedName name="w">#REF!</definedName>
    <definedName name="W2D">'[28]Inter Company Interest'!#REF!</definedName>
    <definedName name="W4T5T5T5454" hidden="1">#REF!</definedName>
    <definedName name="wAESR" hidden="1">[66]Movementschedule!#REF!</definedName>
    <definedName name="warn1">#REF!</definedName>
    <definedName name="warn2">#REF!</definedName>
    <definedName name="wasde">OFFSET(rrh,0,0,wfvr)</definedName>
    <definedName name="wasdFC" hidden="1">[11]Sheet2!#REF!</definedName>
    <definedName name="wdsdsdx">#REF!</definedName>
    <definedName name="WE" hidden="1">[11]Sheet2!#REF!</definedName>
    <definedName name="wed">#REF!</definedName>
    <definedName name="wedfs">#REF!</definedName>
    <definedName name="wedsaedr" hidden="1">[11]Sheet2!#REF!</definedName>
    <definedName name="weeeeeeeeeeeeeee">#REF!</definedName>
    <definedName name="weew" hidden="1">[22]Sheet2!#REF!</definedName>
    <definedName name="weewewew">#REF!</definedName>
    <definedName name="weewrrfwfwf">'[34]TAX COMPUTATION'!#REF!</definedName>
    <definedName name="weewrwr">#REF!</definedName>
    <definedName name="weewrwwe">#REF!</definedName>
    <definedName name="wef">#REF!</definedName>
    <definedName name="wefc\">#REF!</definedName>
    <definedName name="WEFSDC">'[28]Inter Company Interest'!#REF!</definedName>
    <definedName name="wefsdf" hidden="1">[11]Sheet2!#REF!</definedName>
    <definedName name="weqedf">#REF!</definedName>
    <definedName name="wer">#REF!</definedName>
    <definedName name="werew">#REF!</definedName>
    <definedName name="werewr">#REF!</definedName>
    <definedName name="werewrwerew">#REF!</definedName>
    <definedName name="werewwer">#REF!</definedName>
    <definedName name="WERF">'[28]Inter Company Interest'!#REF!</definedName>
    <definedName name="werfewrfesrf">#REF!</definedName>
    <definedName name="werfewsfrre">#REF!</definedName>
    <definedName name="werfwerfwrf">'[110]TAX COMPUTATION'!$G$11</definedName>
    <definedName name="wert">#REF!</definedName>
    <definedName name="werthyu" hidden="1">[11]Sheet2!#REF!</definedName>
    <definedName name="werty" hidden="1">[11]Sheet2!#REF!</definedName>
    <definedName name="wertyu">#REF!</definedName>
    <definedName name="wertyui">#REF!</definedName>
    <definedName name="werweqdf">#REF!</definedName>
    <definedName name="werwere">#REF!</definedName>
    <definedName name="werwerewr">#REF!</definedName>
    <definedName name="werwerewrewr">#REF!</definedName>
    <definedName name="werwertfrefgtrd">#REF!</definedName>
    <definedName name="werwew">#REF!</definedName>
    <definedName name="wesdfr">#REF!</definedName>
    <definedName name="WETET5TT" hidden="1">#REF!</definedName>
    <definedName name="wew">#REF!</definedName>
    <definedName name="wewerewrw">#REF!</definedName>
    <definedName name="weweweew">#REF!</definedName>
    <definedName name="weyrtu" hidden="1">[22]Sheet2!#REF!</definedName>
    <definedName name="wfe3r4fgvv">#REF!</definedName>
    <definedName name="wfedsc">#REF!</definedName>
    <definedName name="WFEsdcxz">'[28]Inter Company Interest'!#REF!</definedName>
    <definedName name="WFSadc">'[34]DEFERRED TAXATION'!$G$17</definedName>
    <definedName name="wfvr">IF(fxgnv,ssry+asxdc,ssry)</definedName>
    <definedName name="wfwf" hidden="1">#REF!</definedName>
    <definedName name="Whatever">'[111]Group file-Division'!$A$2:$A$397</definedName>
    <definedName name="wq" hidden="1">[11]Sheet2!#REF!</definedName>
    <definedName name="wqdf">#REF!</definedName>
    <definedName name="wqef" hidden="1">[11]Sheet2!#REF!</definedName>
    <definedName name="wqer">#REF!</definedName>
    <definedName name="wqesrf\">#REF!</definedName>
    <definedName name="wretey">#REF!</definedName>
    <definedName name="wrewwerewr">#REF!</definedName>
    <definedName name="wrfg">#REF!</definedName>
    <definedName name="wrn.Aging._.and._.Trend._.Analysis." hidden="1">{#N/A,#N/A,FALSE,"Aging Summary";#N/A,#N/A,FALSE,"Ratio Analysis";#N/A,#N/A,FALSE,"Test 120 Day Accts";#N/A,#N/A,FALSE,"Tickmarks"}</definedName>
    <definedName name="wrrwr">#REF!</definedName>
    <definedName name="wrwer">#REF!</definedName>
    <definedName name="wrwerewr">#REF!</definedName>
    <definedName name="wrwrwrw">#REF!</definedName>
    <definedName name="WS">'[28]Inter Company Interest'!#REF!</definedName>
    <definedName name="wsd" hidden="1">[21]Sheet2!#REF!</definedName>
    <definedName name="wsdfe">#REF!</definedName>
    <definedName name="WSDFGHY" hidden="1">[66]Movementschedule!#REF!</definedName>
    <definedName name="wsdfrew">MATCH(0.01,eb,-1)+1</definedName>
    <definedName name="wsede">#REF!</definedName>
    <definedName name="wt5ey">MATCH(0.01,L,-1)+1</definedName>
    <definedName name="wterte">#REF!</definedName>
    <definedName name="WTERTER" hidden="1">#REF!</definedName>
    <definedName name="ww">#REF!</definedName>
    <definedName name="wweertyu">#REF!</definedName>
    <definedName name="WWWW" hidden="1">[29]NOTES1!#REF!</definedName>
    <definedName name="wwwwwwwwwww">#REF!</definedName>
    <definedName name="wwwwwwwwwwwwww0000000000" hidden="1">[14]Sheet2!#REF!</definedName>
    <definedName name="x" hidden="1">11</definedName>
    <definedName name="xAcqOwnSharesAmountPaid">[32]Director!#REF!</definedName>
    <definedName name="xAcqOwnSharesClass">[32]Director!#REF!</definedName>
    <definedName name="xAcqOwnSharesNominalValue">[32]Director!#REF!</definedName>
    <definedName name="xAcqOwnSharesNumber">[32]Director!#REF!</definedName>
    <definedName name="xAcqOwnSharesPercent">[32]Director!#REF!</definedName>
    <definedName name="xAcqOwnSharesReason">[32]Director!#REF!</definedName>
    <definedName name="xAcquisitionOfOwnShares">[32]Director!#REF!</definedName>
    <definedName name="xc" hidden="1">[21]Sheet2!#REF!</definedName>
    <definedName name="xcvb">#REF!</definedName>
    <definedName name="xcvbn" hidden="1">[21]Sheet2!#REF!</definedName>
    <definedName name="xDirector2">[32]Director!$B$36</definedName>
    <definedName name="xDirector3">[32]Director!#REF!</definedName>
    <definedName name="xDirector4">[32]Director!#REF!</definedName>
    <definedName name="xDirector5">[32]Director!#REF!</definedName>
    <definedName name="xDirector6">[32]Director!#REF!</definedName>
    <definedName name="xDirector7">[32]Director!#REF!</definedName>
    <definedName name="xDirector8">[32]Director!#REF!</definedName>
    <definedName name="xDirector9">[32]Director!#REF!</definedName>
    <definedName name="xDonations">[32]Director!#REF!</definedName>
    <definedName name="xDRDirector">[32]Data!$E$22</definedName>
    <definedName name="xDRSecretary">[32]Data!$E$23</definedName>
    <definedName name="xEmploymentOfDisabledPersons">[32]Director!#REF!</definedName>
    <definedName name="xfhntj" hidden="1">[21]Sheet2!#REF!</definedName>
    <definedName name="xInvestment1Percent">[32]Notes!#REF!</definedName>
    <definedName name="xInvestment2Percent">[32]Notes!#REF!</definedName>
    <definedName name="xInvestment3Percent">[32]Notes!#REF!</definedName>
    <definedName name="xInvestment4Percent">[32]Notes!#REF!</definedName>
    <definedName name="xjty" hidden="1">[21]Sheet2!#REF!</definedName>
    <definedName name="xPolicyDepnMotorRate">[32]Notes!#REF!</definedName>
    <definedName name="xPolicyDepnPlantRate">[32]Notes!#REF!</definedName>
    <definedName name="XREF_COLUMN_1" hidden="1">#REF!</definedName>
    <definedName name="XREF_COLUMN_10" hidden="1">#REF!</definedName>
    <definedName name="XREF_COLUMN_12" hidden="1">'[75]Auto Helderburg'!#REF!</definedName>
    <definedName name="XREF_COLUMN_13" hidden="1">'[66]NBV Proof'!#REF!</definedName>
    <definedName name="XREF_COLUMN_16" hidden="1">'[75]Iveco Pomona'!#REF!</definedName>
    <definedName name="XREF_COLUMN_17" hidden="1">'[75]Iveco Pomona'!#REF!</definedName>
    <definedName name="XREF_COLUMN_2" hidden="1">#REF!</definedName>
    <definedName name="XREF_COLUMN_24" hidden="1">'[77]Movement schedule'!#REF!</definedName>
    <definedName name="XREF_COLUMN_25" hidden="1">#REF!</definedName>
    <definedName name="XREF_COLUMN_26" hidden="1">'[77]Movement schedule'!#REF!</definedName>
    <definedName name="XREF_COLUMN_3" hidden="1">#REF!</definedName>
    <definedName name="XREF_COLUMN_31" hidden="1">'[77]Movement schedule'!#REF!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10</definedName>
    <definedName name="XRefCopy1" hidden="1">'[112]Minority interest'!#REF!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[103]Subscp!#REF!</definedName>
    <definedName name="XRefCopy12Row" hidden="1">#REF!</definedName>
    <definedName name="XRefCopy13" hidden="1">#REF!</definedName>
    <definedName name="XRefCopy135Row" hidden="1">[77]XREF!#REF!</definedName>
    <definedName name="XRefCopy136Row" hidden="1">[77]XREF!#REF!</definedName>
    <definedName name="XRefCopy137Row" hidden="1">[77]XREF!#REF!</definedName>
    <definedName name="XRefCopy138Row" hidden="1">[77]XREF!#REF!</definedName>
    <definedName name="XRefCopy139" hidden="1">'[77]Movement schedule'!#REF!</definedName>
    <definedName name="XRefCopy139Row" hidden="1">[77]XREF!#REF!</definedName>
    <definedName name="XRefCopy13Row" hidden="1">#REF!</definedName>
    <definedName name="XRefCopy14" hidden="1">#REF!</definedName>
    <definedName name="XRefCopy140" hidden="1">'[77]Movement schedule'!#REF!</definedName>
    <definedName name="XRefCopy141" hidden="1">'[77]Movement schedule'!#REF!</definedName>
    <definedName name="XRefCopy141Row" hidden="1">[77]XREF!#REF!</definedName>
    <definedName name="XRefCopy142Row" hidden="1">[77]XREF!#REF!</definedName>
    <definedName name="XRefCopy143Row" hidden="1">[77]XREF!#REF!</definedName>
    <definedName name="XRefCopy144Row" hidden="1">[77]XREF!#REF!</definedName>
    <definedName name="XRefCopy145Row" hidden="1">[77]XREF!#REF!</definedName>
    <definedName name="XRefCopy146" hidden="1">'[77]Movement schedule'!#REF!</definedName>
    <definedName name="XRefCopy146Row" hidden="1">[77]XREF!#REF!</definedName>
    <definedName name="XRefCopy147" hidden="1">'[77]Movement schedule'!#REF!</definedName>
    <definedName name="XRefCopy147Row" hidden="1">[77]XREF!#REF!</definedName>
    <definedName name="XRefCopy148" hidden="1">'[77]Movement schedule'!#REF!</definedName>
    <definedName name="XRefCopy148Row" hidden="1">[77]XREF!#REF!</definedName>
    <definedName name="XRefCopy149Row" hidden="1">[77]XREF!#REF!</definedName>
    <definedName name="XRefCopy14Row" hidden="1">#REF!</definedName>
    <definedName name="XRefCopy150Row" hidden="1">[77]XREF!#REF!</definedName>
    <definedName name="XRefCopy151Row" hidden="1">[77]XREF!#REF!</definedName>
    <definedName name="XRefCopy152Row" hidden="1">[77]XREF!#REF!</definedName>
    <definedName name="XRefCopy153Row" hidden="1">[77]XREF!#REF!</definedName>
    <definedName name="XRefCopy154Row" hidden="1">[77]XREF!#REF!</definedName>
    <definedName name="XRefCopy155Row" hidden="1">[77]XREF!#REF!</definedName>
    <definedName name="XRefCopy156Row" hidden="1">[77]XREF!#REF!</definedName>
    <definedName name="XRefCopy157Row" hidden="1">[77]XREF!#REF!</definedName>
    <definedName name="XRefCopy158Row" hidden="1">[77]XREF!#REF!</definedName>
    <definedName name="XRefCopy159Row" hidden="1">[77]XREF!#REF!</definedName>
    <definedName name="XRefCopy15Row" hidden="1">#REF!</definedName>
    <definedName name="XRefCopy16" hidden="1">#REF!</definedName>
    <definedName name="XRefCopy160Row" hidden="1">[77]XREF!#REF!</definedName>
    <definedName name="XRefCopy161Row" hidden="1">[77]XREF!#REF!</definedName>
    <definedName name="XRefCopy162Row" hidden="1">[77]XREF!#REF!</definedName>
    <definedName name="XRefCopy163Row" hidden="1">[77]XREF!#REF!</definedName>
    <definedName name="XRefCopy164Row" hidden="1">[77]XREF!#REF!</definedName>
    <definedName name="XRefCopy165Row" hidden="1">[77]XREF!#REF!</definedName>
    <definedName name="XRefCopy166Row" hidden="1">[77]XREF!#REF!</definedName>
    <definedName name="XRefCopy167Row" hidden="1">[77]XREF!#REF!</definedName>
    <definedName name="XRefCopy168Row" hidden="1">[77]XREF!#REF!</definedName>
    <definedName name="XRefCopy169Row" hidden="1">[77]XREF!#REF!</definedName>
    <definedName name="XRefCopy16Row" hidden="1">#REF!</definedName>
    <definedName name="XRefCopy17" hidden="1">#REF!</definedName>
    <definedName name="XRefCopy170Row" hidden="1">[77]XREF!#REF!</definedName>
    <definedName name="XRefCopy171Row" hidden="1">[77]XREF!#REF!</definedName>
    <definedName name="XRefCopy172Row" hidden="1">[77]XREF!#REF!</definedName>
    <definedName name="XRefCopy173Row" hidden="1">[77]XREF!#REF!</definedName>
    <definedName name="XRefCopy174Row" hidden="1">[77]XREF!#REF!</definedName>
    <definedName name="XRefCopy175Row" hidden="1">[77]XREF!#REF!</definedName>
    <definedName name="XRefCopy176Row" hidden="1">[77]XREF!#REF!</definedName>
    <definedName name="XRefCopy177Row" hidden="1">[77]XREF!#REF!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[81]Taxcomp!#REF!</definedName>
    <definedName name="XRefCopy20Row" hidden="1">#REF!</definedName>
    <definedName name="XRefCopy21" hidden="1">#REF!</definedName>
    <definedName name="XRefCopy22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1" hidden="1">[66]Movementschedule!#REF!</definedName>
    <definedName name="XRefCopy42" hidden="1">[66]Movementschedule!#REF!</definedName>
    <definedName name="XRefCopy43" hidden="1">[66]Movementschedule!#REF!</definedName>
    <definedName name="XRefCopy44" hidden="1">[66]Movementschedule!#REF!</definedName>
    <definedName name="XRefCopy45" hidden="1">[66]Movementschedule!#REF!</definedName>
    <definedName name="XRefCopy46" hidden="1">[66]Movementschedule!#REF!</definedName>
    <definedName name="XRefCopy47" hidden="1">[66]Movementschedule!#REF!</definedName>
    <definedName name="XRefCopy48" hidden="1">[66]Movementschedule!#REF!</definedName>
    <definedName name="XRefCopy49" hidden="1">[66]Movementschedule!#REF!</definedName>
    <definedName name="XRefCopy4Row" hidden="1">#REF!</definedName>
    <definedName name="XRefCopy5" hidden="1">#REF!</definedName>
    <definedName name="XRefCopy50" hidden="1">[66]Movementschedule!#REF!</definedName>
    <definedName name="XRefCopy51" hidden="1">[66]Movementschedule!#REF!</definedName>
    <definedName name="XRefCopy52" hidden="1">[66]Movementschedule!#REF!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3" hidden="1">'[113]Asset Verification'!#REF!</definedName>
    <definedName name="XRefCopy75" hidden="1">[102]Intro!#REF!</definedName>
    <definedName name="XRefCopy7Row" hidden="1">#REF!</definedName>
    <definedName name="XRefCopy8" hidden="1">#REF!</definedName>
    <definedName name="XRefCopy88Row" hidden="1">[113]XREF!#REF!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2" hidden="1">'[77]Movement schedule'!#REF!</definedName>
    <definedName name="XRefPaste112Row" hidden="1">[77]XREF!#REF!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[114]XREF!#REF!</definedName>
    <definedName name="XRefPaste23" hidden="1">#REF!</definedName>
    <definedName name="XRefPaste24" hidden="1">#REF!</definedName>
    <definedName name="XRefPaste2Row" hidden="1">#REF!</definedName>
    <definedName name="XRefPaste3" hidden="1">#REF!</definedName>
    <definedName name="XRefPaste32" hidden="1">[66]Movementschedule!#REF!</definedName>
    <definedName name="XRefPaste33" hidden="1">[66]Movementschedule!#REF!</definedName>
    <definedName name="XRefPaste34" hidden="1">[66]Movementschedule!#REF!</definedName>
    <definedName name="XRefPaste35" hidden="1">[66]Movementschedule!#REF!</definedName>
    <definedName name="XRefPaste36" hidden="1">[66]Movementschedule!#REF!</definedName>
    <definedName name="XRefPaste37" hidden="1">[66]Movementschedule!#REF!</definedName>
    <definedName name="XRefPaste38" hidden="1">[66]Movementschedule!#REF!</definedName>
    <definedName name="XRefPaste39" hidden="1">[66]Movementschedule!#REF!</definedName>
    <definedName name="XRefPaste3Row" hidden="1">#REF!</definedName>
    <definedName name="XRefPaste4" hidden="1">#REF!</definedName>
    <definedName name="XRefPaste40" hidden="1">[66]Movementschedule!#REF!</definedName>
    <definedName name="XRefPaste41" hidden="1">[66]Movementschedule!#REF!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0" hidden="1">[66]Movementschedule!#REF!</definedName>
    <definedName name="XRefPaste62" hidden="1">'[66]NBV Proof'!#REF!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8</definedName>
    <definedName name="xSecretary2">[32]Information!#REF!</definedName>
    <definedName name="xSecretary3">[32]Information!#REF!</definedName>
    <definedName name="xSecretary4">[32]Information!#REF!</definedName>
    <definedName name="xSecretary5">[32]Information!#REF!</definedName>
    <definedName name="xSeniorStatutoryAuditor">[32]Data!$E$27</definedName>
    <definedName name="xSharesOrdinaryNominalValue">[32]Notes!#REF!</definedName>
    <definedName name="xSharesOrdinaryNumberIssued">[32]Notes!#REF!</definedName>
    <definedName name="xSharesOrdinaryNumberIssuedInYear">[32]Notes!#REF!</definedName>
    <definedName name="xSharesPrefNumberIssued">[32]Notes!#REF!</definedName>
    <definedName name="xSharesPrefNumberIssuedInYear">[32]Notes!#REF!</definedName>
    <definedName name="xSharesSpare1NumberIssued">[32]Notes!#REF!</definedName>
    <definedName name="xSharesSpare1NumberIssuedInYear">[32]Notes!#REF!</definedName>
    <definedName name="xThirdPartyIndemnityProvisions">[32]Director!#REF!</definedName>
    <definedName name="xx">#REF!</definedName>
    <definedName name="xxx" hidden="1">#REF!</definedName>
    <definedName name="xxxx">[40]CapAllwnc!#REF!</definedName>
    <definedName name="xxxxxxxx">#N/A</definedName>
    <definedName name="xytr" hidden="1">#REF!</definedName>
    <definedName name="XZX" hidden="1">[11]Sheet2!#REF!</definedName>
    <definedName name="y" localSheetId="2" hidden="1">Main.SAPF4Help()</definedName>
    <definedName name="y" hidden="1">Main.SAPF4Help()</definedName>
    <definedName name="yb">#REF!</definedName>
    <definedName name="yc">#REF!</definedName>
    <definedName name="yd">#REF!</definedName>
    <definedName name="ydt">#REF!</definedName>
    <definedName name="ye">#REF!</definedName>
    <definedName name="year_end">[46]Summary!$B$8</definedName>
    <definedName name="Year_end_18">'[52]Jan Payroll'!#REF!</definedName>
    <definedName name="Year_end_27">'[52]Jan Payroll'!#REF!</definedName>
    <definedName name="Year_end_29">'[52]Jan Payroll'!#REF!</definedName>
    <definedName name="Year_end_32">'[52]Jan Payroll'!#REF!</definedName>
    <definedName name="Years">#REF!</definedName>
    <definedName name="yerst4">#REF!</definedName>
    <definedName name="YES">#REF!</definedName>
    <definedName name="yetr" hidden="1">[22]Sheet2!#REF!</definedName>
    <definedName name="yfy">#REF!</definedName>
    <definedName name="yhd" hidden="1">[22]Sheet2!#REF!</definedName>
    <definedName name="yhg" hidden="1">[22]Sheet2!#REF!</definedName>
    <definedName name="YHU" hidden="1">#REF!</definedName>
    <definedName name="YHUJ" hidden="1">[114]XREF!#REF!</definedName>
    <definedName name="yi">IF(hj,tryse+wsdfrew,tryse)</definedName>
    <definedName name="yijhkgtf">#REF!</definedName>
    <definedName name="YIOIYO" hidden="1">#REF!</definedName>
    <definedName name="YITY" hidden="1">#REF!</definedName>
    <definedName name="yj">#REF!</definedName>
    <definedName name="yjultyhkityk">#REF!</definedName>
    <definedName name="yr" hidden="1">[22]Sheet2!#REF!</definedName>
    <definedName name="yre" hidden="1">[22]Sheet2!#REF!</definedName>
    <definedName name="yrtyhr">#REF!</definedName>
    <definedName name="yt">#REF!</definedName>
    <definedName name="yte" hidden="1">[22]Sheet2!#REF!</definedName>
    <definedName name="YTFD" hidden="1">#REF!</definedName>
    <definedName name="ytr">#REF!</definedName>
    <definedName name="ytrrgser">#REF!</definedName>
    <definedName name="ytun">#REF!</definedName>
    <definedName name="yu">'[28]Inter Company Interest'!#REF!</definedName>
    <definedName name="YUASDFGH" hidden="1">#REF!</definedName>
    <definedName name="yuhgf">#REF!</definedName>
    <definedName name="YUI" hidden="1">#REF!</definedName>
    <definedName name="yuio">#REF!</definedName>
    <definedName name="yuiu">'[28]Inter Company Interest'!#REF!</definedName>
    <definedName name="yuiuyiyu">#REF!</definedName>
    <definedName name="yukyui" hidden="1">'[8]FinStat (No Input)'!#REF!</definedName>
    <definedName name="yur">'[28]Inter Company Interest'!#REF!</definedName>
    <definedName name="yurtyuir" hidden="1">[22]Sheet2!#REF!</definedName>
    <definedName name="YUT" hidden="1">#REF!</definedName>
    <definedName name="yutu">'[28]Inter Company Interest'!#REF!</definedName>
    <definedName name="YUUY" hidden="1">#REF!</definedName>
    <definedName name="YUUYU" hidden="1">#REF!</definedName>
    <definedName name="yuyr">'[28]Inter Company Interest'!#REF!</definedName>
    <definedName name="yuyu">'[28]Inter Company Interest'!#REF!</definedName>
    <definedName name="YUYYU" hidden="1">#REF!</definedName>
    <definedName name="yy" localSheetId="2" hidden="1">Main.SAPF4Help()</definedName>
    <definedName name="yy" hidden="1">Main.SAPF4Help()</definedName>
    <definedName name="yyttt" hidden="1">[21]Sheet2!#REF!</definedName>
    <definedName name="YYY" hidden="1">[29]NOTES1!#REF!</definedName>
    <definedName name="yyyy" hidden="1">[11]Sheet2!#REF!</definedName>
    <definedName name="yyyyy" hidden="1">[11]Sheet2!#REF!</definedName>
    <definedName name="Z">#REF!</definedName>
    <definedName name="za" hidden="1">#REF!</definedName>
    <definedName name="zAutoHide0_0007">#REF!</definedName>
    <definedName name="zAutoHide0_0008">#REF!</definedName>
    <definedName name="zAutoHide0_0010">#REF!</definedName>
    <definedName name="zAutoHide1_0041">[32]Notes!#REF!</definedName>
    <definedName name="zAutoHide2_0001">[32]PL!#REF!</definedName>
    <definedName name="zAutoHide2_0021">[32]CF!#REF!</definedName>
    <definedName name="zAutoHide2_0022">[32]CF!#REF!</definedName>
    <definedName name="zAutoHide2_0023">[32]CF!#REF!</definedName>
    <definedName name="zAutoHide2_0026">#REF!</definedName>
    <definedName name="zAutoHide2_0055">[32]Notes!#REF!</definedName>
    <definedName name="zAutoHide2_0056">[32]Notes!#REF!</definedName>
    <definedName name="zAutoHide2_0057">[32]Notes!#REF!</definedName>
    <definedName name="zAutoHide2_0058">[32]Notes!#REF!</definedName>
    <definedName name="zAutoHide2_0059">[32]Notes!#REF!</definedName>
    <definedName name="zAutoHide2_0060">[32]Notes!#REF!</definedName>
    <definedName name="zAutoHide2_0061">[32]Notes!#REF!</definedName>
    <definedName name="zAutoHide2_0062">[32]Notes!#REF!</definedName>
    <definedName name="zAutoHide2_0063">[32]Notes!#REF!</definedName>
    <definedName name="zAutoHide2_0064">[32]Notes!#REF!</definedName>
    <definedName name="zAutoHide2_0085">#REF!</definedName>
    <definedName name="zAutoHide3_0001">[32]PL!#REF!</definedName>
    <definedName name="zAutoHide3_0030">#REF!</definedName>
    <definedName name="zAutoHide3_0047">[32]Notes!#REF!</definedName>
    <definedName name="zAutoHide4_0002">[32]PL!#REF!</definedName>
    <definedName name="zAutoHide4_0004">[32]PL!#REF!</definedName>
    <definedName name="zAutoHide4_0005">[32]PL!#REF!</definedName>
    <definedName name="zAutoHide4_0006">[32]PL!#REF!</definedName>
    <definedName name="zAutoHide4_0007">[32]PL!#REF!</definedName>
    <definedName name="zAutoHide4_0029">[32]Notes!#REF!</definedName>
    <definedName name="zAutoHide4_0036">[32]Notes!#REF!</definedName>
    <definedName name="zAutoHide4_0064">[32]PL!#REF!</definedName>
    <definedName name="zAutoHide4_0078">[32]Notes!#REF!</definedName>
    <definedName name="zAutoHide4_0079">[32]Notes!#REF!</definedName>
    <definedName name="zAutoHide4_0080">[32]Notes!#REF!</definedName>
    <definedName name="zAutoHide4_0098">[32]Notes!#REF!</definedName>
    <definedName name="zAutoHide4_0100">[32]BS!#REF!</definedName>
    <definedName name="zAutoHide4_0102">[32]BS!#REF!</definedName>
    <definedName name="zAutoHide4_0103">[32]BS!#REF!</definedName>
    <definedName name="zAutoHide4_0106">[32]BS!#REF!</definedName>
    <definedName name="zAutoHide4_0107">[32]BS!#REF!</definedName>
    <definedName name="zAutoHide4_0108">[32]BS!#REF!</definedName>
    <definedName name="zAutoHide4_0110">[32]BS!#REF!</definedName>
    <definedName name="zAutoHide4_0112">[32]BS!#REF!</definedName>
    <definedName name="zAutoHide4_0158">#REF!</definedName>
    <definedName name="zAutoHide4_0190">[32]BS!#REF!</definedName>
    <definedName name="zAutoHide4_0204">[32]Notes!#REF!</definedName>
    <definedName name="zAutoHide4_0210">[32]CF!#REF!</definedName>
    <definedName name="zAutoHide4_0211">[32]CF!#REF!</definedName>
    <definedName name="zAutoHide4_0212">[32]CF!#REF!</definedName>
    <definedName name="zAutoHide4_0213">[32]CF!#REF!</definedName>
    <definedName name="zAutoHide4_0214">[32]CF!#REF!</definedName>
    <definedName name="zAutoHide4_0215">[32]CF!#REF!</definedName>
    <definedName name="zAutoHide4_0216">[32]CF!#REF!</definedName>
    <definedName name="zAutoHide4_0217">[32]CF!#REF!</definedName>
    <definedName name="zAutoHide4_0218">[32]CF!#REF!</definedName>
    <definedName name="zAutoHide4_0219">[32]CF!#REF!</definedName>
    <definedName name="zAutoHide4_0220">[32]CF!#REF!</definedName>
    <definedName name="zAutoHide4_0221">[32]CF!#REF!</definedName>
    <definedName name="zAutoHide4_0222">[32]CF!#REF!</definedName>
    <definedName name="zAutoHide4_0223">[32]CF!#REF!</definedName>
    <definedName name="zAutoHide4_0224">[32]CF!#REF!</definedName>
    <definedName name="zAutoHide4_0245">[32]Notes!#REF!</definedName>
    <definedName name="zAutoHide4_0246">[32]Notes!#REF!</definedName>
    <definedName name="zAutoHide4_0247">[32]Notes!#REF!</definedName>
    <definedName name="zAutoHide4_0248">[32]Notes!#REF!</definedName>
    <definedName name="zAutoHide4_0249">[32]Notes!#REF!</definedName>
    <definedName name="zAutoHide4_0250">[32]Notes!#REF!</definedName>
    <definedName name="zAutoHide4_0251">[32]Notes!#REF!</definedName>
    <definedName name="zAutoHide4_0252">[32]Notes!#REF!</definedName>
    <definedName name="zAutoHide4_0253">[32]Notes!#REF!</definedName>
    <definedName name="zAutoHide4_0259">#REF!</definedName>
    <definedName name="zAutoHide4_0286">#REF!</definedName>
    <definedName name="zAutoHide4_0287">#REF!</definedName>
    <definedName name="zAutoHide4_0292">[32]Notes!#REF!</definedName>
    <definedName name="zAutoHide4_0298">[32]Notes!#REF!</definedName>
    <definedName name="zAutoHide4_0309">[32]Notes!#REF!</definedName>
    <definedName name="zAutoHide4_0310">[32]Notes!#REF!</definedName>
    <definedName name="zAutoHide4_0349">[32]Notes!#REF!</definedName>
    <definedName name="zAutoHide4_0350">[32]Notes!#REF!</definedName>
    <definedName name="zAutoHide4_0351">[32]Notes!#REF!</definedName>
    <definedName name="zAutoHide4_0352">[32]Notes!#REF!</definedName>
    <definedName name="zAutoHide4_0353">[32]Notes!#REF!</definedName>
    <definedName name="zAutoHide4_0354">[32]Notes!#REF!</definedName>
    <definedName name="zAutoHide4_0355">[32]Notes!#REF!</definedName>
    <definedName name="zAutoHide4_0356">[32]Notes!#REF!</definedName>
    <definedName name="zAutoHide4_0357">[32]Notes!#REF!</definedName>
    <definedName name="zAutoHide4_0358">[32]Notes!#REF!</definedName>
    <definedName name="zAutoHide4_0359">[32]Notes!#REF!</definedName>
    <definedName name="zAutoHide4_0360">[32]Notes!#REF!</definedName>
    <definedName name="zAutoHide4_0361">[32]Notes!#REF!</definedName>
    <definedName name="zAutoHide4_0362">[32]Notes!#REF!</definedName>
    <definedName name="zAutoHide4_0363">[32]Notes!#REF!</definedName>
    <definedName name="zAutoHide4_0364">[32]Notes!#REF!</definedName>
    <definedName name="zAutoHide4_0365">[32]Notes!#REF!</definedName>
    <definedName name="zAutoHide4_0366">[32]Notes!#REF!</definedName>
    <definedName name="zAutoHide4_0373">[32]Notes!#REF!</definedName>
    <definedName name="zAutoHide4_0374">[32]Notes!#REF!</definedName>
    <definedName name="zAutoHide4_0375">[32]Notes!#REF!</definedName>
    <definedName name="zAutoHide4_0376">[32]Notes!#REF!</definedName>
    <definedName name="zAutoHide4_0467">[32]TaxComp!#REF!</definedName>
    <definedName name="zAutoHide4_0489">[32]CapAllow!$G$44</definedName>
    <definedName name="zAutoHide4_0497">[32]CapAllow!$G$62</definedName>
    <definedName name="zAutoHide4_0498">[32]CapAllow!$G$65</definedName>
    <definedName name="zAutoHide4_0511">[32]Notes!#REF!</definedName>
    <definedName name="zAutoHide5_0003">#REF!</definedName>
    <definedName name="zAutoHide5_0004">#REF!</definedName>
    <definedName name="zAutoHide5_0005">#REF!</definedName>
    <definedName name="zAutoHide5_0006">#REF!</definedName>
    <definedName name="zAutoHide5_0007">#REF!</definedName>
    <definedName name="zAutoHide5_0008">#REF!</definedName>
    <definedName name="zAutoHide5_0009">#REF!</definedName>
    <definedName name="zAutoHide5_0010">#REF!</definedName>
    <definedName name="zAutoHide5_0011">#REF!</definedName>
    <definedName name="zAutoHide5_0012">#REF!</definedName>
    <definedName name="zAutoHide5_0013">#REF!</definedName>
    <definedName name="zAutoHide5_0039">[32]Information!$A$6</definedName>
    <definedName name="zAutoHide5_0040">[115]Information!$A$7</definedName>
    <definedName name="zAutoHide5_0041">#REF!</definedName>
    <definedName name="zAutoHide5_0042">#REF!</definedName>
    <definedName name="zetxyu" hidden="1">[21]Sheet2!#REF!</definedName>
    <definedName name="zmk">'[97]STANBIC BANK ZKW'!#REF!</definedName>
    <definedName name="znjy" hidden="1">[21]Sheet2!#REF!</definedName>
    <definedName name="ztji" hidden="1">[21]Sheet2!#REF!</definedName>
    <definedName name="ZX">#REF!</definedName>
    <definedName name="zxjy" hidden="1">[21]Sheet2!#REF!</definedName>
    <definedName name="zxtgj" hidden="1">[21]Sheet2!#REF!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3" i="5" l="1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A194" i="4"/>
  <c r="H193" i="4"/>
  <c r="G193" i="4"/>
  <c r="A193" i="4"/>
  <c r="H192" i="4"/>
  <c r="G192" i="4"/>
  <c r="A192" i="4"/>
  <c r="H191" i="4"/>
  <c r="G191" i="4"/>
  <c r="A191" i="4"/>
  <c r="H190" i="4"/>
  <c r="G190" i="4"/>
  <c r="A190" i="4"/>
  <c r="H189" i="4"/>
  <c r="G189" i="4"/>
  <c r="A189" i="4"/>
  <c r="H188" i="4"/>
  <c r="G188" i="4"/>
  <c r="A188" i="4"/>
  <c r="H187" i="4"/>
  <c r="G187" i="4"/>
  <c r="A187" i="4"/>
  <c r="H186" i="4"/>
  <c r="G186" i="4"/>
  <c r="A186" i="4"/>
  <c r="H185" i="4"/>
  <c r="G185" i="4"/>
  <c r="A185" i="4"/>
  <c r="H184" i="4"/>
  <c r="G184" i="4"/>
  <c r="A184" i="4"/>
  <c r="H183" i="4"/>
  <c r="G183" i="4"/>
  <c r="A183" i="4"/>
  <c r="H182" i="4"/>
  <c r="G182" i="4"/>
  <c r="A182" i="4"/>
  <c r="H181" i="4"/>
  <c r="G181" i="4"/>
  <c r="A181" i="4"/>
  <c r="H180" i="4"/>
  <c r="G180" i="4"/>
  <c r="A180" i="4"/>
  <c r="H179" i="4"/>
  <c r="G179" i="4"/>
  <c r="A179" i="4"/>
  <c r="H178" i="4"/>
  <c r="G178" i="4"/>
  <c r="A178" i="4"/>
  <c r="H177" i="4"/>
  <c r="G177" i="4"/>
  <c r="A177" i="4"/>
  <c r="H176" i="4"/>
  <c r="G176" i="4"/>
  <c r="A176" i="4"/>
  <c r="H175" i="4"/>
  <c r="G175" i="4"/>
  <c r="A175" i="4"/>
  <c r="H174" i="4"/>
  <c r="G174" i="4"/>
  <c r="A174" i="4"/>
  <c r="H173" i="4"/>
  <c r="G173" i="4"/>
  <c r="A173" i="4"/>
  <c r="H172" i="4"/>
  <c r="G172" i="4"/>
  <c r="A172" i="4"/>
  <c r="H171" i="4"/>
  <c r="G171" i="4"/>
  <c r="A171" i="4"/>
  <c r="H170" i="4"/>
  <c r="G170" i="4"/>
  <c r="A170" i="4"/>
  <c r="H169" i="4"/>
  <c r="G169" i="4"/>
  <c r="A169" i="4"/>
  <c r="H168" i="4"/>
  <c r="G168" i="4"/>
  <c r="A168" i="4"/>
  <c r="H167" i="4"/>
  <c r="G167" i="4"/>
  <c r="A167" i="4"/>
  <c r="H166" i="4"/>
  <c r="G166" i="4"/>
  <c r="A166" i="4"/>
  <c r="H165" i="4"/>
  <c r="G165" i="4"/>
  <c r="A165" i="4"/>
  <c r="H164" i="4"/>
  <c r="G164" i="4"/>
  <c r="A164" i="4"/>
  <c r="H163" i="4"/>
  <c r="G163" i="4"/>
  <c r="A163" i="4"/>
  <c r="H162" i="4"/>
  <c r="G162" i="4"/>
  <c r="A162" i="4"/>
  <c r="H161" i="4"/>
  <c r="G161" i="4"/>
  <c r="A161" i="4"/>
  <c r="H160" i="4"/>
  <c r="G160" i="4"/>
  <c r="A160" i="4"/>
  <c r="H159" i="4"/>
  <c r="G159" i="4"/>
  <c r="A159" i="4"/>
  <c r="H158" i="4"/>
  <c r="G158" i="4"/>
  <c r="A158" i="4"/>
  <c r="H157" i="4"/>
  <c r="G157" i="4"/>
  <c r="A157" i="4"/>
  <c r="H156" i="4"/>
  <c r="G156" i="4"/>
  <c r="A156" i="4"/>
  <c r="H155" i="4"/>
  <c r="G155" i="4"/>
  <c r="A155" i="4"/>
  <c r="H154" i="4"/>
  <c r="G154" i="4"/>
  <c r="A154" i="4"/>
  <c r="H153" i="4"/>
  <c r="G153" i="4"/>
  <c r="A153" i="4"/>
  <c r="H152" i="4"/>
  <c r="G152" i="4"/>
  <c r="A152" i="4"/>
  <c r="H151" i="4"/>
  <c r="G151" i="4"/>
  <c r="A151" i="4"/>
  <c r="H150" i="4"/>
  <c r="G150" i="4"/>
  <c r="A150" i="4"/>
  <c r="H149" i="4"/>
  <c r="G149" i="4"/>
  <c r="A149" i="4"/>
  <c r="H148" i="4"/>
  <c r="G148" i="4"/>
  <c r="A148" i="4"/>
  <c r="H147" i="4"/>
  <c r="G147" i="4"/>
  <c r="A147" i="4"/>
  <c r="H146" i="4"/>
  <c r="G146" i="4"/>
  <c r="A146" i="4"/>
  <c r="H145" i="4"/>
  <c r="G145" i="4"/>
  <c r="A145" i="4"/>
  <c r="H144" i="4"/>
  <c r="G144" i="4"/>
  <c r="A144" i="4"/>
  <c r="H143" i="4"/>
  <c r="G143" i="4"/>
  <c r="A143" i="4"/>
  <c r="H142" i="4"/>
  <c r="G142" i="4"/>
  <c r="A142" i="4"/>
  <c r="H141" i="4"/>
  <c r="G141" i="4"/>
  <c r="A141" i="4"/>
  <c r="H140" i="4"/>
  <c r="G140" i="4"/>
  <c r="A140" i="4"/>
  <c r="H139" i="4"/>
  <c r="G139" i="4"/>
  <c r="A139" i="4"/>
  <c r="H138" i="4"/>
  <c r="G138" i="4"/>
  <c r="A138" i="4"/>
  <c r="H137" i="4"/>
  <c r="G137" i="4"/>
  <c r="A137" i="4"/>
  <c r="H136" i="4"/>
  <c r="O157" i="2" s="1"/>
  <c r="Q157" i="2" s="1"/>
  <c r="G136" i="4"/>
  <c r="A136" i="4"/>
  <c r="H135" i="4"/>
  <c r="G135" i="4"/>
  <c r="A135" i="4"/>
  <c r="H134" i="4"/>
  <c r="G134" i="4"/>
  <c r="A134" i="4"/>
  <c r="H133" i="4"/>
  <c r="G133" i="4"/>
  <c r="A133" i="4"/>
  <c r="H132" i="4"/>
  <c r="O156" i="2" s="1"/>
  <c r="Q156" i="2" s="1"/>
  <c r="G132" i="4"/>
  <c r="A132" i="4"/>
  <c r="H131" i="4"/>
  <c r="O154" i="2" s="1"/>
  <c r="Q154" i="2" s="1"/>
  <c r="G131" i="4"/>
  <c r="A131" i="4"/>
  <c r="H130" i="4"/>
  <c r="G130" i="4"/>
  <c r="A130" i="4"/>
  <c r="H129" i="4"/>
  <c r="G129" i="4"/>
  <c r="A129" i="4"/>
  <c r="H128" i="4"/>
  <c r="G128" i="4"/>
  <c r="A128" i="4"/>
  <c r="H127" i="4"/>
  <c r="G127" i="4"/>
  <c r="A127" i="4"/>
  <c r="H126" i="4"/>
  <c r="O150" i="2" s="1"/>
  <c r="Q150" i="2" s="1"/>
  <c r="G126" i="4"/>
  <c r="A126" i="4"/>
  <c r="H125" i="4"/>
  <c r="G125" i="4"/>
  <c r="A125" i="4"/>
  <c r="H124" i="4"/>
  <c r="G124" i="4"/>
  <c r="A124" i="4"/>
  <c r="H123" i="4"/>
  <c r="G123" i="4"/>
  <c r="A123" i="4"/>
  <c r="H122" i="4"/>
  <c r="G122" i="4"/>
  <c r="A122" i="4"/>
  <c r="H121" i="4"/>
  <c r="G121" i="4"/>
  <c r="A121" i="4"/>
  <c r="H120" i="4"/>
  <c r="G120" i="4"/>
  <c r="A120" i="4"/>
  <c r="H119" i="4"/>
  <c r="G119" i="4"/>
  <c r="A119" i="4"/>
  <c r="H118" i="4"/>
  <c r="G118" i="4"/>
  <c r="A118" i="4"/>
  <c r="H117" i="4"/>
  <c r="G117" i="4"/>
  <c r="A117" i="4"/>
  <c r="H116" i="4"/>
  <c r="G116" i="4"/>
  <c r="A116" i="4"/>
  <c r="H115" i="4"/>
  <c r="G115" i="4"/>
  <c r="A115" i="4"/>
  <c r="H114" i="4"/>
  <c r="G114" i="4"/>
  <c r="A114" i="4"/>
  <c r="H113" i="4"/>
  <c r="G113" i="4"/>
  <c r="A113" i="4"/>
  <c r="H112" i="4"/>
  <c r="G112" i="4"/>
  <c r="A112" i="4"/>
  <c r="H111" i="4"/>
  <c r="G111" i="4"/>
  <c r="A111" i="4"/>
  <c r="H110" i="4"/>
  <c r="G110" i="4"/>
  <c r="A110" i="4"/>
  <c r="H109" i="4"/>
  <c r="G109" i="4"/>
  <c r="A109" i="4"/>
  <c r="H108" i="4"/>
  <c r="G108" i="4"/>
  <c r="A108" i="4"/>
  <c r="H107" i="4"/>
  <c r="G107" i="4"/>
  <c r="A107" i="4"/>
  <c r="H106" i="4"/>
  <c r="G106" i="4"/>
  <c r="A106" i="4"/>
  <c r="H105" i="4"/>
  <c r="G105" i="4"/>
  <c r="A105" i="4"/>
  <c r="H104" i="4"/>
  <c r="G104" i="4"/>
  <c r="A104" i="4"/>
  <c r="H103" i="4"/>
  <c r="G103" i="4"/>
  <c r="N135" i="2" s="1"/>
  <c r="R135" i="2" s="1"/>
  <c r="A103" i="4"/>
  <c r="H102" i="4"/>
  <c r="G102" i="4"/>
  <c r="A102" i="4"/>
  <c r="H101" i="4"/>
  <c r="G101" i="4"/>
  <c r="A101" i="4"/>
  <c r="H100" i="4"/>
  <c r="G100" i="4"/>
  <c r="A100" i="4"/>
  <c r="H99" i="4"/>
  <c r="G99" i="4"/>
  <c r="A99" i="4"/>
  <c r="H98" i="4"/>
  <c r="G98" i="4"/>
  <c r="A98" i="4"/>
  <c r="H97" i="4"/>
  <c r="G97" i="4"/>
  <c r="A97" i="4"/>
  <c r="H96" i="4"/>
  <c r="G96" i="4"/>
  <c r="A96" i="4"/>
  <c r="H95" i="4"/>
  <c r="G95" i="4"/>
  <c r="A95" i="4"/>
  <c r="H94" i="4"/>
  <c r="G94" i="4"/>
  <c r="A94" i="4"/>
  <c r="H93" i="4"/>
  <c r="G93" i="4"/>
  <c r="A93" i="4"/>
  <c r="H92" i="4"/>
  <c r="G92" i="4"/>
  <c r="A92" i="4"/>
  <c r="H91" i="4"/>
  <c r="G91" i="4"/>
  <c r="A91" i="4"/>
  <c r="H90" i="4"/>
  <c r="G90" i="4"/>
  <c r="A90" i="4"/>
  <c r="H89" i="4"/>
  <c r="G89" i="4"/>
  <c r="A89" i="4"/>
  <c r="H88" i="4"/>
  <c r="G88" i="4"/>
  <c r="A88" i="4"/>
  <c r="H87" i="4"/>
  <c r="G87" i="4"/>
  <c r="A87" i="4"/>
  <c r="H86" i="4"/>
  <c r="G86" i="4"/>
  <c r="A86" i="4"/>
  <c r="H85" i="4"/>
  <c r="G85" i="4"/>
  <c r="A85" i="4"/>
  <c r="H84" i="4"/>
  <c r="G84" i="4"/>
  <c r="A84" i="4"/>
  <c r="H83" i="4"/>
  <c r="G83" i="4"/>
  <c r="A83" i="4"/>
  <c r="H82" i="4"/>
  <c r="G82" i="4"/>
  <c r="A82" i="4"/>
  <c r="H81" i="4"/>
  <c r="G81" i="4"/>
  <c r="A81" i="4"/>
  <c r="H80" i="4"/>
  <c r="G80" i="4"/>
  <c r="A80" i="4"/>
  <c r="H79" i="4"/>
  <c r="G79" i="4"/>
  <c r="A79" i="4"/>
  <c r="H78" i="4"/>
  <c r="G78" i="4"/>
  <c r="A78" i="4"/>
  <c r="H77" i="4"/>
  <c r="G77" i="4"/>
  <c r="A77" i="4"/>
  <c r="H76" i="4"/>
  <c r="G76" i="4"/>
  <c r="A76" i="4"/>
  <c r="H75" i="4"/>
  <c r="G75" i="4"/>
  <c r="A75" i="4"/>
  <c r="H74" i="4"/>
  <c r="G74" i="4"/>
  <c r="A74" i="4"/>
  <c r="H73" i="4"/>
  <c r="G73" i="4"/>
  <c r="A73" i="4"/>
  <c r="H72" i="4"/>
  <c r="G72" i="4"/>
  <c r="A72" i="4"/>
  <c r="H71" i="4"/>
  <c r="G71" i="4"/>
  <c r="A71" i="4"/>
  <c r="H70" i="4"/>
  <c r="G70" i="4"/>
  <c r="A70" i="4"/>
  <c r="H69" i="4"/>
  <c r="G69" i="4"/>
  <c r="A69" i="4"/>
  <c r="H68" i="4"/>
  <c r="G68" i="4"/>
  <c r="A68" i="4"/>
  <c r="H67" i="4"/>
  <c r="G67" i="4"/>
  <c r="A67" i="4"/>
  <c r="H66" i="4"/>
  <c r="G66" i="4"/>
  <c r="A66" i="4"/>
  <c r="H65" i="4"/>
  <c r="G65" i="4"/>
  <c r="A65" i="4"/>
  <c r="H64" i="4"/>
  <c r="G64" i="4"/>
  <c r="A64" i="4"/>
  <c r="H63" i="4"/>
  <c r="G63" i="4"/>
  <c r="A63" i="4"/>
  <c r="H62" i="4"/>
  <c r="G62" i="4"/>
  <c r="A62" i="4"/>
  <c r="H61" i="4"/>
  <c r="O85" i="2" s="1"/>
  <c r="Q85" i="2" s="1"/>
  <c r="G61" i="4"/>
  <c r="A61" i="4"/>
  <c r="H60" i="4"/>
  <c r="G60" i="4"/>
  <c r="A60" i="4"/>
  <c r="H59" i="4"/>
  <c r="O82" i="2" s="1"/>
  <c r="Q82" i="2" s="1"/>
  <c r="G59" i="4"/>
  <c r="A59" i="4"/>
  <c r="H58" i="4"/>
  <c r="O76" i="2" s="1"/>
  <c r="Q76" i="2" s="1"/>
  <c r="G58" i="4"/>
  <c r="A58" i="4"/>
  <c r="H57" i="4"/>
  <c r="G57" i="4"/>
  <c r="A57" i="4"/>
  <c r="H56" i="4"/>
  <c r="O80" i="2" s="1"/>
  <c r="Q80" i="2" s="1"/>
  <c r="G56" i="4"/>
  <c r="A56" i="4"/>
  <c r="H55" i="4"/>
  <c r="G55" i="4"/>
  <c r="N81" i="2" s="1"/>
  <c r="R81" i="2" s="1"/>
  <c r="A55" i="4"/>
  <c r="H54" i="4"/>
  <c r="G54" i="4"/>
  <c r="A54" i="4"/>
  <c r="H53" i="4"/>
  <c r="G53" i="4"/>
  <c r="N77" i="2" s="1"/>
  <c r="R77" i="2" s="1"/>
  <c r="A53" i="4"/>
  <c r="H52" i="4"/>
  <c r="G52" i="4"/>
  <c r="A52" i="4"/>
  <c r="H51" i="4"/>
  <c r="G51" i="4"/>
  <c r="A51" i="4"/>
  <c r="H50" i="4"/>
  <c r="G50" i="4"/>
  <c r="A50" i="4"/>
  <c r="H49" i="4"/>
  <c r="G49" i="4"/>
  <c r="A49" i="4"/>
  <c r="H48" i="4"/>
  <c r="G48" i="4"/>
  <c r="A48" i="4"/>
  <c r="H47" i="4"/>
  <c r="G47" i="4"/>
  <c r="A47" i="4"/>
  <c r="H46" i="4"/>
  <c r="G46" i="4"/>
  <c r="A46" i="4"/>
  <c r="H45" i="4"/>
  <c r="G45" i="4"/>
  <c r="A45" i="4"/>
  <c r="H44" i="4"/>
  <c r="G44" i="4"/>
  <c r="N60" i="2" s="1"/>
  <c r="R60" i="2" s="1"/>
  <c r="A44" i="4"/>
  <c r="H43" i="4"/>
  <c r="G43" i="4"/>
  <c r="N55" i="2" s="1"/>
  <c r="R55" i="2" s="1"/>
  <c r="A43" i="4"/>
  <c r="H42" i="4"/>
  <c r="G42" i="4"/>
  <c r="N54" i="2" s="1"/>
  <c r="R54" i="2" s="1"/>
  <c r="A42" i="4"/>
  <c r="H41" i="4"/>
  <c r="G41" i="4"/>
  <c r="N53" i="2" s="1"/>
  <c r="R53" i="2" s="1"/>
  <c r="A41" i="4"/>
  <c r="H40" i="4"/>
  <c r="G40" i="4"/>
  <c r="N52" i="2" s="1"/>
  <c r="R52" i="2" s="1"/>
  <c r="A40" i="4"/>
  <c r="H39" i="4"/>
  <c r="G39" i="4"/>
  <c r="N51" i="2" s="1"/>
  <c r="R51" i="2" s="1"/>
  <c r="A39" i="4"/>
  <c r="H38" i="4"/>
  <c r="G38" i="4"/>
  <c r="A38" i="4"/>
  <c r="H37" i="4"/>
  <c r="G37" i="4"/>
  <c r="A37" i="4"/>
  <c r="H36" i="4"/>
  <c r="G36" i="4"/>
  <c r="A36" i="4"/>
  <c r="H35" i="4"/>
  <c r="G35" i="4"/>
  <c r="A35" i="4"/>
  <c r="H34" i="4"/>
  <c r="G34" i="4"/>
  <c r="A34" i="4"/>
  <c r="H33" i="4"/>
  <c r="G33" i="4"/>
  <c r="A33" i="4"/>
  <c r="H32" i="4"/>
  <c r="G32" i="4"/>
  <c r="A32" i="4"/>
  <c r="H31" i="4"/>
  <c r="G31" i="4"/>
  <c r="A31" i="4"/>
  <c r="H30" i="4"/>
  <c r="G30" i="4"/>
  <c r="A30" i="4"/>
  <c r="H29" i="4"/>
  <c r="G29" i="4"/>
  <c r="A29" i="4"/>
  <c r="H28" i="4"/>
  <c r="G28" i="4"/>
  <c r="A28" i="4"/>
  <c r="H27" i="4"/>
  <c r="G27" i="4"/>
  <c r="A27" i="4"/>
  <c r="H26" i="4"/>
  <c r="G26" i="4"/>
  <c r="A26" i="4"/>
  <c r="H25" i="4"/>
  <c r="G25" i="4"/>
  <c r="A25" i="4"/>
  <c r="H24" i="4"/>
  <c r="G24" i="4"/>
  <c r="N25" i="2" s="1"/>
  <c r="R25" i="2" s="1"/>
  <c r="A24" i="4"/>
  <c r="H23" i="4"/>
  <c r="O20" i="2" s="1"/>
  <c r="Q20" i="2" s="1"/>
  <c r="G23" i="4"/>
  <c r="A23" i="4"/>
  <c r="H22" i="4"/>
  <c r="G22" i="4"/>
  <c r="A22" i="4"/>
  <c r="H21" i="4"/>
  <c r="G21" i="4"/>
  <c r="A21" i="4"/>
  <c r="H20" i="4"/>
  <c r="G20" i="4"/>
  <c r="A20" i="4"/>
  <c r="H19" i="4"/>
  <c r="G19" i="4"/>
  <c r="A19" i="4"/>
  <c r="H18" i="4"/>
  <c r="G18" i="4"/>
  <c r="A18" i="4"/>
  <c r="H17" i="4"/>
  <c r="G17" i="4"/>
  <c r="A17" i="4"/>
  <c r="H16" i="4"/>
  <c r="G16" i="4"/>
  <c r="A16" i="4"/>
  <c r="H15" i="4"/>
  <c r="G15" i="4"/>
  <c r="A15" i="4"/>
  <c r="H14" i="4"/>
  <c r="G14" i="4"/>
  <c r="A14" i="4"/>
  <c r="H13" i="4"/>
  <c r="G13" i="4"/>
  <c r="N9" i="2" s="1"/>
  <c r="R9" i="2" s="1"/>
  <c r="A13" i="4"/>
  <c r="H12" i="4"/>
  <c r="G12" i="4"/>
  <c r="A12" i="4"/>
  <c r="H11" i="4"/>
  <c r="G11" i="4"/>
  <c r="A11" i="4"/>
  <c r="H10" i="4"/>
  <c r="G10" i="4"/>
  <c r="N11" i="2" s="1"/>
  <c r="R11" i="2" s="1"/>
  <c r="A10" i="4"/>
  <c r="H9" i="4"/>
  <c r="G9" i="4"/>
  <c r="N10" i="2" s="1"/>
  <c r="R10" i="2" s="1"/>
  <c r="A9" i="4"/>
  <c r="H8" i="4"/>
  <c r="G8" i="4"/>
  <c r="A8" i="4"/>
  <c r="H7" i="4"/>
  <c r="G7" i="4"/>
  <c r="A7" i="4"/>
  <c r="H6" i="4"/>
  <c r="G6" i="4"/>
  <c r="A6" i="4"/>
  <c r="H5" i="4"/>
  <c r="G5" i="4"/>
  <c r="A5" i="4"/>
  <c r="H4" i="4"/>
  <c r="G4" i="4"/>
  <c r="A4" i="4"/>
  <c r="H3" i="4"/>
  <c r="G3" i="4"/>
  <c r="A3" i="4"/>
  <c r="E213" i="2"/>
  <c r="K212" i="2"/>
  <c r="J212" i="2" s="1"/>
  <c r="C212" i="2"/>
  <c r="H212" i="2" s="1"/>
  <c r="V211" i="2"/>
  <c r="B211" i="1" s="1"/>
  <c r="K211" i="2"/>
  <c r="J211" i="2"/>
  <c r="V210" i="2"/>
  <c r="B210" i="1" s="1"/>
  <c r="K210" i="2"/>
  <c r="J210" i="2" s="1"/>
  <c r="V209" i="2"/>
  <c r="B209" i="1" s="1"/>
  <c r="K209" i="2"/>
  <c r="J209" i="2" s="1"/>
  <c r="V208" i="2"/>
  <c r="B208" i="1" s="1"/>
  <c r="K208" i="2"/>
  <c r="J208" i="2"/>
  <c r="V207" i="2"/>
  <c r="B207" i="1" s="1"/>
  <c r="K207" i="2"/>
  <c r="V206" i="2"/>
  <c r="B206" i="1" s="1"/>
  <c r="K206" i="2"/>
  <c r="V205" i="2"/>
  <c r="B205" i="1" s="1"/>
  <c r="K205" i="2"/>
  <c r="J205" i="2" s="1"/>
  <c r="V204" i="2"/>
  <c r="B204" i="1" s="1"/>
  <c r="K204" i="2"/>
  <c r="J204" i="2" s="1"/>
  <c r="V203" i="2"/>
  <c r="B203" i="1" s="1"/>
  <c r="K203" i="2"/>
  <c r="J203" i="2"/>
  <c r="V202" i="2"/>
  <c r="B202" i="1" s="1"/>
  <c r="K202" i="2"/>
  <c r="J202" i="2" s="1"/>
  <c r="V201" i="2"/>
  <c r="B201" i="1" s="1"/>
  <c r="K201" i="2"/>
  <c r="J201" i="2" s="1"/>
  <c r="V200" i="2"/>
  <c r="K200" i="2"/>
  <c r="J200" i="2"/>
  <c r="V199" i="2"/>
  <c r="B199" i="1" s="1"/>
  <c r="K199" i="2"/>
  <c r="J199" i="2"/>
  <c r="V198" i="2"/>
  <c r="B198" i="1" s="1"/>
  <c r="K198" i="2"/>
  <c r="J198" i="2" s="1"/>
  <c r="V197" i="2"/>
  <c r="B197" i="1" s="1"/>
  <c r="K197" i="2"/>
  <c r="J197" i="2" s="1"/>
  <c r="V196" i="2"/>
  <c r="B196" i="1" s="1"/>
  <c r="K196" i="2"/>
  <c r="J196" i="2" s="1"/>
  <c r="V195" i="2"/>
  <c r="B195" i="1" s="1"/>
  <c r="K195" i="2"/>
  <c r="J195" i="2" s="1"/>
  <c r="V194" i="2"/>
  <c r="K194" i="2"/>
  <c r="J194" i="2" s="1"/>
  <c r="V193" i="2"/>
  <c r="K193" i="2"/>
  <c r="J193" i="2"/>
  <c r="V192" i="2"/>
  <c r="B192" i="1" s="1"/>
  <c r="K192" i="2"/>
  <c r="J192" i="2"/>
  <c r="V191" i="2"/>
  <c r="B191" i="1" s="1"/>
  <c r="K191" i="2"/>
  <c r="J191" i="2" s="1"/>
  <c r="F191" i="2"/>
  <c r="V190" i="2"/>
  <c r="B190" i="1" s="1"/>
  <c r="K190" i="2"/>
  <c r="J190" i="2" s="1"/>
  <c r="V189" i="2"/>
  <c r="B189" i="1" s="1"/>
  <c r="K189" i="2"/>
  <c r="J189" i="2" s="1"/>
  <c r="V188" i="2"/>
  <c r="B188" i="1" s="1"/>
  <c r="K188" i="2"/>
  <c r="J188" i="2"/>
  <c r="V187" i="2"/>
  <c r="B187" i="1" s="1"/>
  <c r="K187" i="2"/>
  <c r="J187" i="2" s="1"/>
  <c r="V186" i="2"/>
  <c r="B186" i="1" s="1"/>
  <c r="K186" i="2"/>
  <c r="J186" i="2" s="1"/>
  <c r="V185" i="2"/>
  <c r="B185" i="1" s="1"/>
  <c r="K185" i="2"/>
  <c r="J185" i="2" s="1"/>
  <c r="V184" i="2"/>
  <c r="B184" i="1" s="1"/>
  <c r="K184" i="2"/>
  <c r="J184" i="2" s="1"/>
  <c r="V183" i="2"/>
  <c r="B183" i="1" s="1"/>
  <c r="K183" i="2"/>
  <c r="J183" i="2" s="1"/>
  <c r="V182" i="2"/>
  <c r="B182" i="1" s="1"/>
  <c r="K182" i="2"/>
  <c r="J182" i="2" s="1"/>
  <c r="V181" i="2"/>
  <c r="B181" i="1" s="1"/>
  <c r="K181" i="2"/>
  <c r="J181" i="2" s="1"/>
  <c r="V180" i="2"/>
  <c r="B180" i="1" s="1"/>
  <c r="K180" i="2"/>
  <c r="J180" i="2"/>
  <c r="V179" i="2"/>
  <c r="B179" i="1" s="1"/>
  <c r="K179" i="2"/>
  <c r="J179" i="2" s="1"/>
  <c r="V178" i="2"/>
  <c r="B178" i="1" s="1"/>
  <c r="K178" i="2"/>
  <c r="J178" i="2" s="1"/>
  <c r="V177" i="2"/>
  <c r="B177" i="1" s="1"/>
  <c r="K177" i="2"/>
  <c r="J177" i="2" s="1"/>
  <c r="V176" i="2"/>
  <c r="B176" i="1" s="1"/>
  <c r="K176" i="2"/>
  <c r="J176" i="2" s="1"/>
  <c r="V175" i="2"/>
  <c r="B175" i="1" s="1"/>
  <c r="K175" i="2"/>
  <c r="V174" i="2"/>
  <c r="B174" i="1" s="1"/>
  <c r="K174" i="2"/>
  <c r="V173" i="2"/>
  <c r="K173" i="2"/>
  <c r="V172" i="2"/>
  <c r="B172" i="1" s="1"/>
  <c r="K172" i="2"/>
  <c r="V171" i="2"/>
  <c r="B171" i="1" s="1"/>
  <c r="K171" i="2"/>
  <c r="J171" i="2" s="1"/>
  <c r="V170" i="2"/>
  <c r="B170" i="1" s="1"/>
  <c r="K170" i="2"/>
  <c r="J170" i="2" s="1"/>
  <c r="V169" i="2"/>
  <c r="B169" i="1" s="1"/>
  <c r="K169" i="2"/>
  <c r="J169" i="2"/>
  <c r="V168" i="2"/>
  <c r="B168" i="1" s="1"/>
  <c r="K168" i="2"/>
  <c r="J168" i="2"/>
  <c r="V167" i="2"/>
  <c r="K167" i="2"/>
  <c r="J167" i="2" s="1"/>
  <c r="V166" i="2"/>
  <c r="B166" i="1" s="1"/>
  <c r="K166" i="2"/>
  <c r="J166" i="2" s="1"/>
  <c r="V165" i="2"/>
  <c r="B165" i="1" s="1"/>
  <c r="K165" i="2"/>
  <c r="J165" i="2"/>
  <c r="V164" i="2"/>
  <c r="B164" i="1" s="1"/>
  <c r="K164" i="2"/>
  <c r="J164" i="2" s="1"/>
  <c r="V163" i="2"/>
  <c r="B163" i="1" s="1"/>
  <c r="K163" i="2"/>
  <c r="J163" i="2" s="1"/>
  <c r="V162" i="2"/>
  <c r="B162" i="1" s="1"/>
  <c r="O162" i="2"/>
  <c r="Q162" i="2" s="1"/>
  <c r="K162" i="2"/>
  <c r="J162" i="2" s="1"/>
  <c r="V161" i="2"/>
  <c r="B161" i="1" s="1"/>
  <c r="K161" i="2"/>
  <c r="V160" i="2"/>
  <c r="B160" i="1" s="1"/>
  <c r="K160" i="2"/>
  <c r="V159" i="2"/>
  <c r="B159" i="1" s="1"/>
  <c r="K159" i="2"/>
  <c r="V158" i="2"/>
  <c r="B158" i="1" s="1"/>
  <c r="K158" i="2"/>
  <c r="V157" i="2"/>
  <c r="B157" i="1" s="1"/>
  <c r="K157" i="2"/>
  <c r="J157" i="2" s="1"/>
  <c r="V156" i="2"/>
  <c r="B156" i="1" s="1"/>
  <c r="K156" i="2"/>
  <c r="J156" i="2"/>
  <c r="V155" i="2"/>
  <c r="Q155" i="2"/>
  <c r="K155" i="2"/>
  <c r="J155" i="2"/>
  <c r="N155" i="2" s="1"/>
  <c r="R155" i="2" s="1"/>
  <c r="V154" i="2"/>
  <c r="B154" i="1" s="1"/>
  <c r="K154" i="2"/>
  <c r="J154" i="2" s="1"/>
  <c r="V153" i="2"/>
  <c r="B153" i="1" s="1"/>
  <c r="K153" i="2"/>
  <c r="J153" i="2" s="1"/>
  <c r="N153" i="2" s="1"/>
  <c r="R153" i="2" s="1"/>
  <c r="V152" i="2"/>
  <c r="B152" i="1" s="1"/>
  <c r="K152" i="2"/>
  <c r="J152" i="2" s="1"/>
  <c r="V151" i="2"/>
  <c r="K151" i="2"/>
  <c r="J151" i="2" s="1"/>
  <c r="V150" i="2"/>
  <c r="K150" i="2"/>
  <c r="J150" i="2"/>
  <c r="V149" i="2"/>
  <c r="B149" i="1" s="1"/>
  <c r="K149" i="2"/>
  <c r="J149" i="2" s="1"/>
  <c r="V148" i="2"/>
  <c r="B148" i="1" s="1"/>
  <c r="K148" i="2"/>
  <c r="J148" i="2" s="1"/>
  <c r="V147" i="2"/>
  <c r="B147" i="1" s="1"/>
  <c r="K147" i="2"/>
  <c r="J147" i="2"/>
  <c r="V146" i="2"/>
  <c r="B146" i="1" s="1"/>
  <c r="K146" i="2"/>
  <c r="J146" i="2" s="1"/>
  <c r="V145" i="2"/>
  <c r="B145" i="1" s="1"/>
  <c r="K145" i="2"/>
  <c r="J145" i="2" s="1"/>
  <c r="V144" i="2"/>
  <c r="B144" i="1" s="1"/>
  <c r="K144" i="2"/>
  <c r="J144" i="2" s="1"/>
  <c r="N144" i="2" s="1"/>
  <c r="R144" i="2" s="1"/>
  <c r="V143" i="2"/>
  <c r="B143" i="1" s="1"/>
  <c r="K143" i="2"/>
  <c r="J143" i="2"/>
  <c r="V142" i="2"/>
  <c r="B142" i="1" s="1"/>
  <c r="K142" i="2"/>
  <c r="J142" i="2" s="1"/>
  <c r="V141" i="2"/>
  <c r="B141" i="1" s="1"/>
  <c r="K141" i="2"/>
  <c r="J141" i="2" s="1"/>
  <c r="V140" i="2"/>
  <c r="B140" i="1" s="1"/>
  <c r="K140" i="2"/>
  <c r="J140" i="2" s="1"/>
  <c r="V139" i="2"/>
  <c r="B139" i="1" s="1"/>
  <c r="K139" i="2"/>
  <c r="J139" i="2" s="1"/>
  <c r="V138" i="2"/>
  <c r="B138" i="1" s="1"/>
  <c r="K138" i="2"/>
  <c r="J138" i="2" s="1"/>
  <c r="V137" i="2"/>
  <c r="B137" i="1" s="1"/>
  <c r="K137" i="2"/>
  <c r="J137" i="2" s="1"/>
  <c r="V136" i="2"/>
  <c r="B136" i="1" s="1"/>
  <c r="K136" i="2"/>
  <c r="J136" i="2" s="1"/>
  <c r="V135" i="2"/>
  <c r="B135" i="1" s="1"/>
  <c r="K135" i="2"/>
  <c r="V134" i="2"/>
  <c r="B134" i="1" s="1"/>
  <c r="K134" i="2"/>
  <c r="V133" i="2"/>
  <c r="B133" i="1" s="1"/>
  <c r="K133" i="2"/>
  <c r="V132" i="2"/>
  <c r="B132" i="1" s="1"/>
  <c r="K132" i="2"/>
  <c r="V131" i="2"/>
  <c r="B131" i="1" s="1"/>
  <c r="K131" i="2"/>
  <c r="V130" i="2"/>
  <c r="B130" i="1" s="1"/>
  <c r="K130" i="2"/>
  <c r="V129" i="2"/>
  <c r="B129" i="1" s="1"/>
  <c r="K129" i="2"/>
  <c r="V128" i="2"/>
  <c r="B128" i="1" s="1"/>
  <c r="K128" i="2"/>
  <c r="V127" i="2"/>
  <c r="K127" i="2"/>
  <c r="J127" i="2"/>
  <c r="V126" i="2"/>
  <c r="B126" i="1" s="1"/>
  <c r="K126" i="2"/>
  <c r="J126" i="2"/>
  <c r="V125" i="2"/>
  <c r="B125" i="1" s="1"/>
  <c r="K125" i="2"/>
  <c r="J125" i="2"/>
  <c r="V124" i="2"/>
  <c r="B124" i="1" s="1"/>
  <c r="K124" i="2"/>
  <c r="J124" i="2" s="1"/>
  <c r="F124" i="2"/>
  <c r="V123" i="2"/>
  <c r="B123" i="1" s="1"/>
  <c r="K123" i="2"/>
  <c r="J123" i="2" s="1"/>
  <c r="V122" i="2"/>
  <c r="K122" i="2"/>
  <c r="J122" i="2" s="1"/>
  <c r="O122" i="2" s="1"/>
  <c r="Q122" i="2" s="1"/>
  <c r="V121" i="2"/>
  <c r="K121" i="2"/>
  <c r="J121" i="2" s="1"/>
  <c r="V120" i="2"/>
  <c r="K120" i="2"/>
  <c r="J120" i="2" s="1"/>
  <c r="V119" i="2"/>
  <c r="K119" i="2"/>
  <c r="J119" i="2"/>
  <c r="O119" i="2" s="1"/>
  <c r="Q119" i="2" s="1"/>
  <c r="V118" i="2"/>
  <c r="B118" i="1" s="1"/>
  <c r="K118" i="2"/>
  <c r="J118" i="2" s="1"/>
  <c r="V117" i="2"/>
  <c r="B117" i="1" s="1"/>
  <c r="K117" i="2"/>
  <c r="J117" i="2" s="1"/>
  <c r="V116" i="2"/>
  <c r="K116" i="2"/>
  <c r="J116" i="2" s="1"/>
  <c r="F116" i="2"/>
  <c r="V115" i="2"/>
  <c r="B115" i="1" s="1"/>
  <c r="K115" i="2"/>
  <c r="J115" i="2"/>
  <c r="F115" i="2"/>
  <c r="V114" i="2"/>
  <c r="B114" i="1" s="1"/>
  <c r="K114" i="2"/>
  <c r="J114" i="2" s="1"/>
  <c r="F114" i="2"/>
  <c r="V113" i="2"/>
  <c r="B113" i="1" s="1"/>
  <c r="K113" i="2"/>
  <c r="J113" i="2" s="1"/>
  <c r="V112" i="2"/>
  <c r="B112" i="1" s="1"/>
  <c r="K112" i="2"/>
  <c r="J112" i="2" s="1"/>
  <c r="V111" i="2"/>
  <c r="K111" i="2"/>
  <c r="J111" i="2" s="1"/>
  <c r="F111" i="2"/>
  <c r="V110" i="2"/>
  <c r="B110" i="1" s="1"/>
  <c r="K110" i="2"/>
  <c r="J110" i="2" s="1"/>
  <c r="F110" i="2"/>
  <c r="V109" i="2"/>
  <c r="B109" i="1" s="1"/>
  <c r="K109" i="2"/>
  <c r="J109" i="2" s="1"/>
  <c r="O109" i="2" s="1"/>
  <c r="Q109" i="2" s="1"/>
  <c r="V108" i="2"/>
  <c r="B108" i="1" s="1"/>
  <c r="K108" i="2"/>
  <c r="J108" i="2" s="1"/>
  <c r="F108" i="2"/>
  <c r="F206" i="2" s="1"/>
  <c r="V107" i="2"/>
  <c r="B107" i="1" s="1"/>
  <c r="K107" i="2"/>
  <c r="J107" i="2" s="1"/>
  <c r="V106" i="2"/>
  <c r="K106" i="2"/>
  <c r="J106" i="2" s="1"/>
  <c r="V105" i="2"/>
  <c r="K105" i="2"/>
  <c r="J105" i="2" s="1"/>
  <c r="V104" i="2"/>
  <c r="B104" i="1" s="1"/>
  <c r="K104" i="2"/>
  <c r="J104" i="2" s="1"/>
  <c r="O104" i="2" s="1"/>
  <c r="Q104" i="2" s="1"/>
  <c r="F104" i="2"/>
  <c r="V103" i="2"/>
  <c r="B103" i="1" s="1"/>
  <c r="K103" i="2"/>
  <c r="J103" i="2" s="1"/>
  <c r="N103" i="2" s="1"/>
  <c r="R103" i="2" s="1"/>
  <c r="V102" i="2"/>
  <c r="B102" i="1" s="1"/>
  <c r="K102" i="2"/>
  <c r="J102" i="2" s="1"/>
  <c r="V101" i="2"/>
  <c r="B101" i="1" s="1"/>
  <c r="K101" i="2"/>
  <c r="J101" i="2" s="1"/>
  <c r="V100" i="2"/>
  <c r="B100" i="1" s="1"/>
  <c r="K100" i="2"/>
  <c r="J100" i="2" s="1"/>
  <c r="F100" i="2"/>
  <c r="V99" i="2"/>
  <c r="B99" i="1" s="1"/>
  <c r="K99" i="2"/>
  <c r="J99" i="2" s="1"/>
  <c r="V98" i="2"/>
  <c r="B98" i="1" s="1"/>
  <c r="K98" i="2"/>
  <c r="J98" i="2" s="1"/>
  <c r="V97" i="2"/>
  <c r="B97" i="1" s="1"/>
  <c r="K97" i="2"/>
  <c r="J97" i="2"/>
  <c r="V96" i="2"/>
  <c r="B96" i="1" s="1"/>
  <c r="K96" i="2"/>
  <c r="J96" i="2"/>
  <c r="N96" i="2" s="1"/>
  <c r="R96" i="2" s="1"/>
  <c r="V95" i="2"/>
  <c r="B95" i="1" s="1"/>
  <c r="K95" i="2"/>
  <c r="J95" i="2"/>
  <c r="V94" i="2"/>
  <c r="B94" i="1" s="1"/>
  <c r="K94" i="2"/>
  <c r="J94" i="2" s="1"/>
  <c r="O94" i="2" s="1"/>
  <c r="Q94" i="2" s="1"/>
  <c r="V93" i="2"/>
  <c r="B93" i="1" s="1"/>
  <c r="K93" i="2"/>
  <c r="J93" i="2"/>
  <c r="V92" i="2"/>
  <c r="B92" i="1" s="1"/>
  <c r="K92" i="2"/>
  <c r="J92" i="2" s="1"/>
  <c r="V91" i="2"/>
  <c r="B91" i="1" s="1"/>
  <c r="K91" i="2"/>
  <c r="J91" i="2" s="1"/>
  <c r="V90" i="2"/>
  <c r="B90" i="1" s="1"/>
  <c r="K90" i="2"/>
  <c r="J90" i="2" s="1"/>
  <c r="V89" i="2"/>
  <c r="K89" i="2"/>
  <c r="J89" i="2"/>
  <c r="V88" i="2"/>
  <c r="B88" i="1" s="1"/>
  <c r="K88" i="2"/>
  <c r="J88" i="2" s="1"/>
  <c r="V87" i="2"/>
  <c r="B87" i="1" s="1"/>
  <c r="K87" i="2"/>
  <c r="J87" i="2" s="1"/>
  <c r="V86" i="2"/>
  <c r="B86" i="1" s="1"/>
  <c r="K86" i="2"/>
  <c r="J86" i="2" s="1"/>
  <c r="V85" i="2"/>
  <c r="B85" i="1" s="1"/>
  <c r="K85" i="2"/>
  <c r="J85" i="2" s="1"/>
  <c r="N85" i="2" s="1"/>
  <c r="R85" i="2" s="1"/>
  <c r="V84" i="2"/>
  <c r="B84" i="1" s="1"/>
  <c r="N84" i="2"/>
  <c r="R84" i="2" s="1"/>
  <c r="K84" i="2"/>
  <c r="J84" i="2"/>
  <c r="V83" i="2"/>
  <c r="B83" i="1" s="1"/>
  <c r="K83" i="2"/>
  <c r="J83" i="2" s="1"/>
  <c r="V82" i="2"/>
  <c r="B82" i="1" s="1"/>
  <c r="K82" i="2"/>
  <c r="J82" i="2"/>
  <c r="V81" i="2"/>
  <c r="B81" i="1" s="1"/>
  <c r="K81" i="2"/>
  <c r="J81" i="2"/>
  <c r="V80" i="2"/>
  <c r="B80" i="1" s="1"/>
  <c r="K80" i="2"/>
  <c r="J80" i="2" s="1"/>
  <c r="V79" i="2"/>
  <c r="B79" i="1" s="1"/>
  <c r="N79" i="2"/>
  <c r="R79" i="2" s="1"/>
  <c r="K79" i="2"/>
  <c r="J79" i="2" s="1"/>
  <c r="V78" i="2"/>
  <c r="B78" i="1" s="1"/>
  <c r="O78" i="2"/>
  <c r="Q78" i="2" s="1"/>
  <c r="K78" i="2"/>
  <c r="J78" i="2" s="1"/>
  <c r="N78" i="2" s="1"/>
  <c r="R78" i="2" s="1"/>
  <c r="V77" i="2"/>
  <c r="B77" i="1" s="1"/>
  <c r="K77" i="2"/>
  <c r="J77" i="2" s="1"/>
  <c r="V76" i="2"/>
  <c r="B76" i="1" s="1"/>
  <c r="R76" i="2"/>
  <c r="K76" i="2"/>
  <c r="J76" i="2" s="1"/>
  <c r="V75" i="2"/>
  <c r="B75" i="1" s="1"/>
  <c r="N75" i="2"/>
  <c r="R75" i="2" s="1"/>
  <c r="K75" i="2"/>
  <c r="J75" i="2" s="1"/>
  <c r="V74" i="2"/>
  <c r="K74" i="2"/>
  <c r="J74" i="2" s="1"/>
  <c r="V73" i="2"/>
  <c r="B73" i="1" s="1"/>
  <c r="K73" i="2"/>
  <c r="J73" i="2" s="1"/>
  <c r="V72" i="2"/>
  <c r="B72" i="1" s="1"/>
  <c r="K72" i="2"/>
  <c r="J72" i="2" s="1"/>
  <c r="V71" i="2"/>
  <c r="B71" i="1" s="1"/>
  <c r="K71" i="2"/>
  <c r="J71" i="2" s="1"/>
  <c r="V70" i="2"/>
  <c r="B70" i="1" s="1"/>
  <c r="K70" i="2"/>
  <c r="J70" i="2"/>
  <c r="V69" i="2"/>
  <c r="B69" i="1" s="1"/>
  <c r="K69" i="2"/>
  <c r="J69" i="2" s="1"/>
  <c r="F69" i="2"/>
  <c r="F210" i="2" s="1"/>
  <c r="V68" i="2"/>
  <c r="K68" i="2"/>
  <c r="J68" i="2" s="1"/>
  <c r="V67" i="2"/>
  <c r="B67" i="1" s="1"/>
  <c r="K67" i="2"/>
  <c r="J67" i="2" s="1"/>
  <c r="V66" i="2"/>
  <c r="B66" i="1" s="1"/>
  <c r="K66" i="2"/>
  <c r="J66" i="2"/>
  <c r="V65" i="2"/>
  <c r="B65" i="1" s="1"/>
  <c r="K65" i="2"/>
  <c r="J65" i="2" s="1"/>
  <c r="V64" i="2"/>
  <c r="K64" i="2"/>
  <c r="J64" i="2" s="1"/>
  <c r="V63" i="2"/>
  <c r="B63" i="1" s="1"/>
  <c r="K63" i="2"/>
  <c r="J63" i="2"/>
  <c r="V62" i="2"/>
  <c r="B62" i="1" s="1"/>
  <c r="N62" i="2"/>
  <c r="R62" i="2" s="1"/>
  <c r="K62" i="2"/>
  <c r="J62" i="2" s="1"/>
  <c r="V61" i="2"/>
  <c r="K61" i="2"/>
  <c r="J61" i="2"/>
  <c r="F61" i="2"/>
  <c r="V60" i="2"/>
  <c r="B60" i="1" s="1"/>
  <c r="K60" i="2"/>
  <c r="J60" i="2" s="1"/>
  <c r="V59" i="2"/>
  <c r="B59" i="1" s="1"/>
  <c r="K59" i="2"/>
  <c r="J59" i="2" s="1"/>
  <c r="V58" i="2"/>
  <c r="K58" i="2"/>
  <c r="J58" i="2" s="1"/>
  <c r="V57" i="2"/>
  <c r="B57" i="1" s="1"/>
  <c r="K57" i="2"/>
  <c r="J57" i="2" s="1"/>
  <c r="V56" i="2"/>
  <c r="B56" i="1" s="1"/>
  <c r="K56" i="2"/>
  <c r="J56" i="2"/>
  <c r="V55" i="2"/>
  <c r="B55" i="1" s="1"/>
  <c r="K55" i="2"/>
  <c r="J55" i="2" s="1"/>
  <c r="O55" i="2" s="1"/>
  <c r="Q55" i="2" s="1"/>
  <c r="V54" i="2"/>
  <c r="B54" i="1" s="1"/>
  <c r="K54" i="2"/>
  <c r="J54" i="2" s="1"/>
  <c r="V53" i="2"/>
  <c r="B53" i="1" s="1"/>
  <c r="K53" i="2"/>
  <c r="J53" i="2"/>
  <c r="O53" i="2" s="1"/>
  <c r="Q53" i="2" s="1"/>
  <c r="V52" i="2"/>
  <c r="B52" i="1" s="1"/>
  <c r="K52" i="2"/>
  <c r="J52" i="2" s="1"/>
  <c r="V51" i="2"/>
  <c r="B51" i="1" s="1"/>
  <c r="K51" i="2"/>
  <c r="J51" i="2" s="1"/>
  <c r="V50" i="2"/>
  <c r="B50" i="1" s="1"/>
  <c r="K50" i="2"/>
  <c r="J50" i="2" s="1"/>
  <c r="V49" i="2"/>
  <c r="B49" i="1" s="1"/>
  <c r="O49" i="2"/>
  <c r="Q49" i="2" s="1"/>
  <c r="K49" i="2"/>
  <c r="J49" i="2" s="1"/>
  <c r="V48" i="2"/>
  <c r="B48" i="1" s="1"/>
  <c r="K48" i="2"/>
  <c r="J48" i="2" s="1"/>
  <c r="V47" i="2"/>
  <c r="B47" i="1" s="1"/>
  <c r="K47" i="2"/>
  <c r="J47" i="2" s="1"/>
  <c r="V46" i="2"/>
  <c r="B46" i="1" s="1"/>
  <c r="K46" i="2"/>
  <c r="J46" i="2"/>
  <c r="V45" i="2"/>
  <c r="B45" i="1" s="1"/>
  <c r="K45" i="2"/>
  <c r="J45" i="2" s="1"/>
  <c r="V44" i="2"/>
  <c r="K44" i="2"/>
  <c r="J44" i="2" s="1"/>
  <c r="V43" i="2"/>
  <c r="K43" i="2"/>
  <c r="J43" i="2" s="1"/>
  <c r="V42" i="2"/>
  <c r="K42" i="2"/>
  <c r="J42" i="2" s="1"/>
  <c r="O42" i="2" s="1"/>
  <c r="Q42" i="2" s="1"/>
  <c r="V41" i="2"/>
  <c r="B41" i="1" s="1"/>
  <c r="K41" i="2"/>
  <c r="J41" i="2" s="1"/>
  <c r="O41" i="2" s="1"/>
  <c r="Q41" i="2" s="1"/>
  <c r="V40" i="2"/>
  <c r="B40" i="1" s="1"/>
  <c r="K40" i="2"/>
  <c r="J40" i="2" s="1"/>
  <c r="V39" i="2"/>
  <c r="B39" i="1" s="1"/>
  <c r="K39" i="2"/>
  <c r="J39" i="2" s="1"/>
  <c r="V38" i="2"/>
  <c r="B38" i="1" s="1"/>
  <c r="K38" i="2"/>
  <c r="J38" i="2" s="1"/>
  <c r="V37" i="2"/>
  <c r="B37" i="1" s="1"/>
  <c r="K37" i="2"/>
  <c r="J37" i="2" s="1"/>
  <c r="V36" i="2"/>
  <c r="B36" i="1" s="1"/>
  <c r="K36" i="2"/>
  <c r="J36" i="2" s="1"/>
  <c r="V35" i="2"/>
  <c r="K35" i="2"/>
  <c r="J35" i="2"/>
  <c r="V34" i="2"/>
  <c r="B34" i="1" s="1"/>
  <c r="K34" i="2"/>
  <c r="J34" i="2"/>
  <c r="V33" i="2"/>
  <c r="B33" i="1" s="1"/>
  <c r="K33" i="2"/>
  <c r="J33" i="2" s="1"/>
  <c r="V32" i="2"/>
  <c r="B32" i="1" s="1"/>
  <c r="K32" i="2"/>
  <c r="J32" i="2" s="1"/>
  <c r="V31" i="2"/>
  <c r="B31" i="1" s="1"/>
  <c r="K31" i="2"/>
  <c r="V30" i="2"/>
  <c r="B30" i="1" s="1"/>
  <c r="K30" i="2"/>
  <c r="J30" i="2" s="1"/>
  <c r="V29" i="2"/>
  <c r="B29" i="1" s="1"/>
  <c r="K29" i="2"/>
  <c r="V28" i="2"/>
  <c r="B28" i="1" s="1"/>
  <c r="K28" i="2"/>
  <c r="J28" i="2"/>
  <c r="V27" i="2"/>
  <c r="B27" i="1" s="1"/>
  <c r="K27" i="2"/>
  <c r="V26" i="2"/>
  <c r="B26" i="1" s="1"/>
  <c r="K26" i="2"/>
  <c r="V25" i="2"/>
  <c r="B25" i="1" s="1"/>
  <c r="K25" i="2"/>
  <c r="V24" i="2"/>
  <c r="B24" i="1" s="1"/>
  <c r="K24" i="2"/>
  <c r="J24" i="2" s="1"/>
  <c r="V23" i="2"/>
  <c r="B23" i="1" s="1"/>
  <c r="K23" i="2"/>
  <c r="J23" i="2" s="1"/>
  <c r="N23" i="2" s="1"/>
  <c r="R23" i="2" s="1"/>
  <c r="V22" i="2"/>
  <c r="B22" i="1" s="1"/>
  <c r="K22" i="2"/>
  <c r="V21" i="2"/>
  <c r="B21" i="1" s="1"/>
  <c r="K21" i="2"/>
  <c r="V20" i="2"/>
  <c r="B20" i="1" s="1"/>
  <c r="N20" i="2"/>
  <c r="R20" i="2" s="1"/>
  <c r="K20" i="2"/>
  <c r="V19" i="2"/>
  <c r="B19" i="1" s="1"/>
  <c r="K19" i="2"/>
  <c r="V18" i="2"/>
  <c r="B18" i="1" s="1"/>
  <c r="K18" i="2"/>
  <c r="J18" i="2" s="1"/>
  <c r="V17" i="2"/>
  <c r="B17" i="1" s="1"/>
  <c r="K17" i="2"/>
  <c r="V16" i="2"/>
  <c r="B16" i="1" s="1"/>
  <c r="K16" i="2"/>
  <c r="J16" i="2" s="1"/>
  <c r="N16" i="2" s="1"/>
  <c r="R16" i="2" s="1"/>
  <c r="V15" i="2"/>
  <c r="B15" i="1" s="1"/>
  <c r="K15" i="2"/>
  <c r="J15" i="2" s="1"/>
  <c r="V14" i="2"/>
  <c r="B14" i="1" s="1"/>
  <c r="K14" i="2"/>
  <c r="J14" i="2"/>
  <c r="O14" i="2" s="1"/>
  <c r="Q14" i="2" s="1"/>
  <c r="V13" i="2"/>
  <c r="B13" i="1" s="1"/>
  <c r="K13" i="2"/>
  <c r="V12" i="2"/>
  <c r="B12" i="1" s="1"/>
  <c r="K12" i="2"/>
  <c r="J12" i="2" s="1"/>
  <c r="V11" i="2"/>
  <c r="K11" i="2"/>
  <c r="J11" i="2" s="1"/>
  <c r="V10" i="2"/>
  <c r="B10" i="1" s="1"/>
  <c r="K10" i="2"/>
  <c r="J10" i="2"/>
  <c r="V9" i="2"/>
  <c r="B9" i="1" s="1"/>
  <c r="K9" i="2"/>
  <c r="J9" i="2" s="1"/>
  <c r="V8" i="2"/>
  <c r="B8" i="1" s="1"/>
  <c r="K8" i="2"/>
  <c r="J8" i="2" s="1"/>
  <c r="V7" i="2"/>
  <c r="B7" i="1" s="1"/>
  <c r="K7" i="2"/>
  <c r="J7" i="2" s="1"/>
  <c r="V6" i="2"/>
  <c r="B6" i="1" s="1"/>
  <c r="K6" i="2"/>
  <c r="J6" i="2"/>
  <c r="V5" i="2"/>
  <c r="B5" i="1" s="1"/>
  <c r="K5" i="2"/>
  <c r="J5" i="2" s="1"/>
  <c r="O5" i="2" s="1"/>
  <c r="Q5" i="2" s="1"/>
  <c r="V4" i="2"/>
  <c r="B4" i="1" s="1"/>
  <c r="K4" i="2"/>
  <c r="J4" i="2"/>
  <c r="N4" i="2" s="1"/>
  <c r="R4" i="2" s="1"/>
  <c r="V3" i="2"/>
  <c r="B3" i="1" s="1"/>
  <c r="K3" i="2"/>
  <c r="J3" i="2"/>
  <c r="B200" i="1"/>
  <c r="B194" i="1"/>
  <c r="B193" i="1"/>
  <c r="B173" i="1"/>
  <c r="B167" i="1"/>
  <c r="B155" i="1"/>
  <c r="B151" i="1"/>
  <c r="B150" i="1"/>
  <c r="B127" i="1"/>
  <c r="B122" i="1"/>
  <c r="B121" i="1"/>
  <c r="B120" i="1"/>
  <c r="B119" i="1"/>
  <c r="B116" i="1"/>
  <c r="B111" i="1"/>
  <c r="B106" i="1"/>
  <c r="B105" i="1"/>
  <c r="B89" i="1"/>
  <c r="B74" i="1"/>
  <c r="B68" i="1"/>
  <c r="B64" i="1"/>
  <c r="B61" i="1"/>
  <c r="B58" i="1"/>
  <c r="B44" i="1"/>
  <c r="B43" i="1"/>
  <c r="B42" i="1"/>
  <c r="B35" i="1"/>
  <c r="B11" i="1"/>
  <c r="O148" i="2" l="1"/>
  <c r="Q148" i="2" s="1"/>
  <c r="N49" i="2"/>
  <c r="R49" i="2" s="1"/>
  <c r="S49" i="2" s="1"/>
  <c r="C49" i="2" s="1"/>
  <c r="N56" i="2"/>
  <c r="R56" i="2" s="1"/>
  <c r="O153" i="2"/>
  <c r="Q153" i="2" s="1"/>
  <c r="S153" i="2" s="1"/>
  <c r="C153" i="2" s="1"/>
  <c r="H153" i="2" s="1"/>
  <c r="O69" i="2"/>
  <c r="Q69" i="2" s="1"/>
  <c r="N74" i="2"/>
  <c r="R74" i="2" s="1"/>
  <c r="G194" i="4"/>
  <c r="N215" i="2" s="1"/>
  <c r="O67" i="2"/>
  <c r="Q67" i="2" s="1"/>
  <c r="N202" i="2"/>
  <c r="R202" i="2" s="1"/>
  <c r="H194" i="4"/>
  <c r="O215" i="2" s="1"/>
  <c r="O92" i="2"/>
  <c r="Q92" i="2" s="1"/>
  <c r="O181" i="2"/>
  <c r="Q181" i="2" s="1"/>
  <c r="O44" i="2"/>
  <c r="Q44" i="2" s="1"/>
  <c r="N7" i="2"/>
  <c r="R7" i="2" s="1"/>
  <c r="O6" i="2"/>
  <c r="Q6" i="2" s="1"/>
  <c r="N71" i="2"/>
  <c r="R71" i="2" s="1"/>
  <c r="N50" i="2"/>
  <c r="R50" i="2" s="1"/>
  <c r="O146" i="2"/>
  <c r="Q146" i="2" s="1"/>
  <c r="F184" i="2"/>
  <c r="S76" i="2"/>
  <c r="C76" i="2" s="1"/>
  <c r="H76" i="2" s="1"/>
  <c r="W76" i="2" s="1"/>
  <c r="C76" i="1" s="1"/>
  <c r="C76" i="5" s="1"/>
  <c r="E76" i="5" s="1"/>
  <c r="O151" i="2"/>
  <c r="Q151" i="2" s="1"/>
  <c r="N67" i="2"/>
  <c r="R67" i="2" s="1"/>
  <c r="O50" i="2"/>
  <c r="Q50" i="2" s="1"/>
  <c r="S50" i="2" s="1"/>
  <c r="C50" i="2" s="1"/>
  <c r="H50" i="2" s="1"/>
  <c r="O16" i="2"/>
  <c r="Q16" i="2" s="1"/>
  <c r="S16" i="2" s="1"/>
  <c r="C16" i="2" s="1"/>
  <c r="H16" i="2" s="1"/>
  <c r="N42" i="2"/>
  <c r="R42" i="2" s="1"/>
  <c r="S42" i="2" s="1"/>
  <c r="C42" i="2" s="1"/>
  <c r="H42" i="2" s="1"/>
  <c r="S55" i="2"/>
  <c r="C55" i="2" s="1"/>
  <c r="H55" i="2" s="1"/>
  <c r="W55" i="2" s="1"/>
  <c r="C55" i="1" s="1"/>
  <c r="C55" i="5" s="1"/>
  <c r="E55" i="5" s="1"/>
  <c r="O37" i="2"/>
  <c r="Q37" i="2" s="1"/>
  <c r="N37" i="2"/>
  <c r="R37" i="2" s="1"/>
  <c r="O15" i="2"/>
  <c r="Q15" i="2" s="1"/>
  <c r="N15" i="2"/>
  <c r="R15" i="2" s="1"/>
  <c r="S53" i="2"/>
  <c r="C53" i="2" s="1"/>
  <c r="H53" i="2" s="1"/>
  <c r="S20" i="2"/>
  <c r="C20" i="2" s="1"/>
  <c r="H20" i="2" s="1"/>
  <c r="O38" i="2"/>
  <c r="Q38" i="2" s="1"/>
  <c r="N38" i="2"/>
  <c r="R38" i="2" s="1"/>
  <c r="N122" i="2"/>
  <c r="R122" i="2" s="1"/>
  <c r="S122" i="2" s="1"/>
  <c r="C122" i="2" s="1"/>
  <c r="H122" i="2" s="1"/>
  <c r="N149" i="2"/>
  <c r="R149" i="2" s="1"/>
  <c r="O149" i="2"/>
  <c r="Q149" i="2" s="1"/>
  <c r="N181" i="2"/>
  <c r="R181" i="2" s="1"/>
  <c r="O197" i="2"/>
  <c r="Q197" i="2" s="1"/>
  <c r="N197" i="2"/>
  <c r="R197" i="2" s="1"/>
  <c r="N12" i="2"/>
  <c r="R12" i="2" s="1"/>
  <c r="N47" i="2"/>
  <c r="R47" i="2" s="1"/>
  <c r="N57" i="2"/>
  <c r="R57" i="2" s="1"/>
  <c r="O57" i="2"/>
  <c r="Q57" i="2" s="1"/>
  <c r="N63" i="2"/>
  <c r="R63" i="2" s="1"/>
  <c r="O74" i="2"/>
  <c r="Q74" i="2" s="1"/>
  <c r="O87" i="2"/>
  <c r="Q87" i="2" s="1"/>
  <c r="N92" i="2"/>
  <c r="R92" i="2" s="1"/>
  <c r="N101" i="2"/>
  <c r="R101" i="2" s="1"/>
  <c r="N138" i="2"/>
  <c r="R138" i="2" s="1"/>
  <c r="N146" i="2"/>
  <c r="R146" i="2" s="1"/>
  <c r="O173" i="2"/>
  <c r="Q173" i="2" s="1"/>
  <c r="O179" i="2"/>
  <c r="Q179" i="2" s="1"/>
  <c r="O12" i="2"/>
  <c r="Q12" i="2" s="1"/>
  <c r="O47" i="2"/>
  <c r="Q47" i="2" s="1"/>
  <c r="O63" i="2"/>
  <c r="Q63" i="2" s="1"/>
  <c r="N176" i="2"/>
  <c r="R176" i="2" s="1"/>
  <c r="N179" i="2"/>
  <c r="R179" i="2" s="1"/>
  <c r="O33" i="2"/>
  <c r="Q33" i="2" s="1"/>
  <c r="N33" i="2"/>
  <c r="R33" i="2" s="1"/>
  <c r="O65" i="2"/>
  <c r="Q65" i="2" s="1"/>
  <c r="N65" i="2"/>
  <c r="R65" i="2" s="1"/>
  <c r="O23" i="2"/>
  <c r="Q23" i="2" s="1"/>
  <c r="S23" i="2" s="1"/>
  <c r="C23" i="2" s="1"/>
  <c r="H23" i="2" s="1"/>
  <c r="O66" i="2"/>
  <c r="Q66" i="2" s="1"/>
  <c r="O3" i="2"/>
  <c r="N21" i="2"/>
  <c r="R21" i="2" s="1"/>
  <c r="O43" i="2"/>
  <c r="Q43" i="2" s="1"/>
  <c r="O118" i="2"/>
  <c r="Q118" i="2" s="1"/>
  <c r="N150" i="2"/>
  <c r="R150" i="2" s="1"/>
  <c r="S150" i="2" s="1"/>
  <c r="C150" i="2" s="1"/>
  <c r="H150" i="2" s="1"/>
  <c r="O9" i="2"/>
  <c r="Q9" i="2" s="1"/>
  <c r="S9" i="2" s="1"/>
  <c r="C9" i="2" s="1"/>
  <c r="H9" i="2" s="1"/>
  <c r="O39" i="2"/>
  <c r="Q39" i="2" s="1"/>
  <c r="N39" i="2"/>
  <c r="R39" i="2" s="1"/>
  <c r="N41" i="2"/>
  <c r="R41" i="2" s="1"/>
  <c r="S41" i="2" s="1"/>
  <c r="C41" i="2" s="1"/>
  <c r="H41" i="2" s="1"/>
  <c r="O75" i="2"/>
  <c r="Q75" i="2" s="1"/>
  <c r="S75" i="2" s="1"/>
  <c r="C75" i="2" s="1"/>
  <c r="H75" i="2" s="1"/>
  <c r="O97" i="2"/>
  <c r="Q97" i="2" s="1"/>
  <c r="O201" i="2"/>
  <c r="Q201" i="2" s="1"/>
  <c r="N201" i="2"/>
  <c r="R201" i="2" s="1"/>
  <c r="O209" i="2"/>
  <c r="Q209" i="2" s="1"/>
  <c r="N209" i="2"/>
  <c r="R209" i="2" s="1"/>
  <c r="O34" i="2"/>
  <c r="Q34" i="2" s="1"/>
  <c r="N34" i="2"/>
  <c r="R34" i="2" s="1"/>
  <c r="N3" i="2"/>
  <c r="N17" i="2"/>
  <c r="R17" i="2" s="1"/>
  <c r="O30" i="2"/>
  <c r="Q30" i="2" s="1"/>
  <c r="O54" i="2"/>
  <c r="Q54" i="2" s="1"/>
  <c r="S54" i="2" s="1"/>
  <c r="C54" i="2" s="1"/>
  <c r="H54" i="2" s="1"/>
  <c r="N64" i="2"/>
  <c r="R64" i="2" s="1"/>
  <c r="O64" i="2"/>
  <c r="Q64" i="2" s="1"/>
  <c r="O79" i="2"/>
  <c r="Q79" i="2" s="1"/>
  <c r="S79" i="2" s="1"/>
  <c r="C79" i="2" s="1"/>
  <c r="H79" i="2" s="1"/>
  <c r="O102" i="2"/>
  <c r="Q102" i="2" s="1"/>
  <c r="O107" i="2"/>
  <c r="Q107" i="2" s="1"/>
  <c r="N107" i="2"/>
  <c r="R107" i="2" s="1"/>
  <c r="O112" i="2"/>
  <c r="Q112" i="2" s="1"/>
  <c r="O185" i="2"/>
  <c r="Q185" i="2" s="1"/>
  <c r="O7" i="2"/>
  <c r="Q7" i="2" s="1"/>
  <c r="N97" i="2"/>
  <c r="R97" i="2" s="1"/>
  <c r="O144" i="2"/>
  <c r="Q144" i="2" s="1"/>
  <c r="S144" i="2" s="1"/>
  <c r="C144" i="2" s="1"/>
  <c r="H144" i="2" s="1"/>
  <c r="S85" i="2"/>
  <c r="C85" i="2" s="1"/>
  <c r="H85" i="2" s="1"/>
  <c r="N13" i="2"/>
  <c r="R13" i="2" s="1"/>
  <c r="O17" i="2"/>
  <c r="Q17" i="2" s="1"/>
  <c r="N24" i="2"/>
  <c r="R24" i="2" s="1"/>
  <c r="N28" i="2"/>
  <c r="R28" i="2" s="1"/>
  <c r="O28" i="2"/>
  <c r="Q28" i="2" s="1"/>
  <c r="N30" i="2"/>
  <c r="R30" i="2" s="1"/>
  <c r="O45" i="2"/>
  <c r="Q45" i="2" s="1"/>
  <c r="N45" i="2"/>
  <c r="R45" i="2" s="1"/>
  <c r="O68" i="2"/>
  <c r="Q68" i="2" s="1"/>
  <c r="N68" i="2"/>
  <c r="R68" i="2" s="1"/>
  <c r="N90" i="2"/>
  <c r="R90" i="2" s="1"/>
  <c r="O90" i="2"/>
  <c r="Q90" i="2" s="1"/>
  <c r="O106" i="2"/>
  <c r="Q106" i="2" s="1"/>
  <c r="N106" i="2"/>
  <c r="R106" i="2" s="1"/>
  <c r="N27" i="2"/>
  <c r="R27" i="2" s="1"/>
  <c r="O51" i="2"/>
  <c r="Q51" i="2" s="1"/>
  <c r="S51" i="2" s="1"/>
  <c r="C51" i="2" s="1"/>
  <c r="H51" i="2" s="1"/>
  <c r="O13" i="2"/>
  <c r="Q13" i="2" s="1"/>
  <c r="O46" i="2"/>
  <c r="Q46" i="2" s="1"/>
  <c r="N48" i="2"/>
  <c r="R48" i="2" s="1"/>
  <c r="O56" i="2"/>
  <c r="Q56" i="2" s="1"/>
  <c r="O62" i="2"/>
  <c r="Q62" i="2" s="1"/>
  <c r="S62" i="2" s="1"/>
  <c r="C62" i="2" s="1"/>
  <c r="H62" i="2" s="1"/>
  <c r="W62" i="2" s="1"/>
  <c r="C62" i="1" s="1"/>
  <c r="C62" i="5" s="1"/>
  <c r="E62" i="5" s="1"/>
  <c r="O73" i="2"/>
  <c r="Q73" i="2" s="1"/>
  <c r="N73" i="2"/>
  <c r="R73" i="2" s="1"/>
  <c r="O91" i="2"/>
  <c r="Q91" i="2" s="1"/>
  <c r="N91" i="2"/>
  <c r="R91" i="2" s="1"/>
  <c r="N121" i="2"/>
  <c r="R121" i="2" s="1"/>
  <c r="N204" i="2"/>
  <c r="R204" i="2" s="1"/>
  <c r="O111" i="2"/>
  <c r="Q111" i="2" s="1"/>
  <c r="N111" i="2"/>
  <c r="R111" i="2" s="1"/>
  <c r="O4" i="2"/>
  <c r="Q4" i="2" s="1"/>
  <c r="S4" i="2" s="1"/>
  <c r="C4" i="2" s="1"/>
  <c r="H4" i="2" s="1"/>
  <c r="O24" i="2"/>
  <c r="Q24" i="2" s="1"/>
  <c r="O48" i="2"/>
  <c r="Q48" i="2" s="1"/>
  <c r="O84" i="2"/>
  <c r="Q84" i="2" s="1"/>
  <c r="S84" i="2" s="1"/>
  <c r="C84" i="2" s="1"/>
  <c r="H84" i="2" s="1"/>
  <c r="O129" i="2"/>
  <c r="Q129" i="2" s="1"/>
  <c r="O178" i="2"/>
  <c r="Q178" i="2" s="1"/>
  <c r="N178" i="2"/>
  <c r="R178" i="2" s="1"/>
  <c r="O113" i="2"/>
  <c r="Q113" i="2" s="1"/>
  <c r="N113" i="2"/>
  <c r="R113" i="2" s="1"/>
  <c r="N44" i="2"/>
  <c r="R44" i="2" s="1"/>
  <c r="O25" i="2"/>
  <c r="Q25" i="2" s="1"/>
  <c r="S25" i="2" s="1"/>
  <c r="C25" i="2" s="1"/>
  <c r="H25" i="2" s="1"/>
  <c r="O36" i="2"/>
  <c r="Q36" i="2" s="1"/>
  <c r="N36" i="2"/>
  <c r="R36" i="2" s="1"/>
  <c r="O70" i="2"/>
  <c r="Q70" i="2" s="1"/>
  <c r="N70" i="2"/>
  <c r="R70" i="2" s="1"/>
  <c r="O77" i="2"/>
  <c r="Q77" i="2" s="1"/>
  <c r="S77" i="2" s="1"/>
  <c r="C77" i="2" s="1"/>
  <c r="H77" i="2" s="1"/>
  <c r="N104" i="2"/>
  <c r="R104" i="2" s="1"/>
  <c r="S104" i="2" s="1"/>
  <c r="C104" i="2" s="1"/>
  <c r="H104" i="2" s="1"/>
  <c r="N109" i="2"/>
  <c r="R109" i="2" s="1"/>
  <c r="S109" i="2" s="1"/>
  <c r="C109" i="2" s="1"/>
  <c r="H109" i="2" s="1"/>
  <c r="N118" i="2"/>
  <c r="R118" i="2" s="1"/>
  <c r="O120" i="2"/>
  <c r="Q120" i="2" s="1"/>
  <c r="N120" i="2"/>
  <c r="R120" i="2" s="1"/>
  <c r="O123" i="2"/>
  <c r="Q123" i="2" s="1"/>
  <c r="O166" i="2"/>
  <c r="Q166" i="2" s="1"/>
  <c r="N166" i="2"/>
  <c r="R166" i="2" s="1"/>
  <c r="N195" i="2"/>
  <c r="R195" i="2" s="1"/>
  <c r="O8" i="2"/>
  <c r="Q8" i="2" s="1"/>
  <c r="N8" i="2"/>
  <c r="R8" i="2" s="1"/>
  <c r="N69" i="2"/>
  <c r="R69" i="2" s="1"/>
  <c r="S69" i="2" s="1"/>
  <c r="C69" i="2" s="1"/>
  <c r="H69" i="2" s="1"/>
  <c r="O98" i="2"/>
  <c r="Q98" i="2" s="1"/>
  <c r="N98" i="2"/>
  <c r="R98" i="2" s="1"/>
  <c r="O103" i="2"/>
  <c r="Q103" i="2" s="1"/>
  <c r="S103" i="2" s="1"/>
  <c r="C103" i="2" s="1"/>
  <c r="H103" i="2" s="1"/>
  <c r="N124" i="2"/>
  <c r="R124" i="2" s="1"/>
  <c r="O124" i="2"/>
  <c r="Q124" i="2" s="1"/>
  <c r="O160" i="2"/>
  <c r="Q160" i="2" s="1"/>
  <c r="N159" i="2"/>
  <c r="R159" i="2" s="1"/>
  <c r="N160" i="2"/>
  <c r="R160" i="2" s="1"/>
  <c r="O132" i="2"/>
  <c r="Q132" i="2" s="1"/>
  <c r="N161" i="2"/>
  <c r="R161" i="2" s="1"/>
  <c r="O133" i="2"/>
  <c r="Q133" i="2" s="1"/>
  <c r="O172" i="2"/>
  <c r="Q172" i="2" s="1"/>
  <c r="O134" i="2"/>
  <c r="Q134" i="2" s="1"/>
  <c r="N133" i="2"/>
  <c r="R133" i="2" s="1"/>
  <c r="O207" i="2"/>
  <c r="Q207" i="2" s="1"/>
  <c r="N207" i="2"/>
  <c r="R207" i="2" s="1"/>
  <c r="O174" i="2"/>
  <c r="Q174" i="2" s="1"/>
  <c r="N174" i="2"/>
  <c r="R174" i="2" s="1"/>
  <c r="N134" i="2"/>
  <c r="R134" i="2" s="1"/>
  <c r="O161" i="2"/>
  <c r="Q161" i="2" s="1"/>
  <c r="O135" i="2"/>
  <c r="Q135" i="2" s="1"/>
  <c r="S135" i="2" s="1"/>
  <c r="C135" i="2" s="1"/>
  <c r="H135" i="2" s="1"/>
  <c r="O177" i="2"/>
  <c r="Q177" i="2" s="1"/>
  <c r="N151" i="2"/>
  <c r="R151" i="2" s="1"/>
  <c r="O136" i="2"/>
  <c r="Q136" i="2" s="1"/>
  <c r="O131" i="2"/>
  <c r="Q131" i="2" s="1"/>
  <c r="N29" i="2"/>
  <c r="R29" i="2" s="1"/>
  <c r="O211" i="2"/>
  <c r="Q211" i="2" s="1"/>
  <c r="O190" i="2"/>
  <c r="Q190" i="2" s="1"/>
  <c r="N177" i="2"/>
  <c r="R177" i="2" s="1"/>
  <c r="N172" i="2"/>
  <c r="R172" i="2" s="1"/>
  <c r="N136" i="2"/>
  <c r="R136" i="2" s="1"/>
  <c r="N131" i="2"/>
  <c r="R131" i="2" s="1"/>
  <c r="O128" i="2"/>
  <c r="Q128" i="2" s="1"/>
  <c r="O89" i="2"/>
  <c r="Q89" i="2" s="1"/>
  <c r="N88" i="2"/>
  <c r="R88" i="2" s="1"/>
  <c r="N211" i="2"/>
  <c r="R211" i="2" s="1"/>
  <c r="O188" i="2"/>
  <c r="Q188" i="2" s="1"/>
  <c r="N128" i="2"/>
  <c r="R128" i="2" s="1"/>
  <c r="N89" i="2"/>
  <c r="R89" i="2" s="1"/>
  <c r="O31" i="2"/>
  <c r="Q31" i="2" s="1"/>
  <c r="O199" i="2"/>
  <c r="Q199" i="2" s="1"/>
  <c r="N188" i="2"/>
  <c r="R188" i="2" s="1"/>
  <c r="O121" i="2"/>
  <c r="Q121" i="2" s="1"/>
  <c r="O101" i="2"/>
  <c r="Q101" i="2" s="1"/>
  <c r="N31" i="2"/>
  <c r="R31" i="2" s="1"/>
  <c r="O19" i="2"/>
  <c r="Q19" i="2" s="1"/>
  <c r="N206" i="2"/>
  <c r="R206" i="2" s="1"/>
  <c r="N175" i="2"/>
  <c r="R175" i="2" s="1"/>
  <c r="O26" i="2"/>
  <c r="Q26" i="2" s="1"/>
  <c r="N26" i="2"/>
  <c r="R26" i="2" s="1"/>
  <c r="N19" i="2"/>
  <c r="R19" i="2" s="1"/>
  <c r="N199" i="2"/>
  <c r="R199" i="2" s="1"/>
  <c r="O195" i="2"/>
  <c r="Q195" i="2" s="1"/>
  <c r="O193" i="2"/>
  <c r="Q193" i="2" s="1"/>
  <c r="O191" i="2"/>
  <c r="Q191" i="2" s="1"/>
  <c r="O143" i="2"/>
  <c r="Q143" i="2" s="1"/>
  <c r="O140" i="2"/>
  <c r="Q140" i="2" s="1"/>
  <c r="O138" i="2"/>
  <c r="Q138" i="2" s="1"/>
  <c r="O159" i="2"/>
  <c r="Q159" i="2" s="1"/>
  <c r="O130" i="2"/>
  <c r="Q130" i="2" s="1"/>
  <c r="O21" i="2"/>
  <c r="Q21" i="2" s="1"/>
  <c r="O176" i="2"/>
  <c r="Q176" i="2" s="1"/>
  <c r="N130" i="2"/>
  <c r="R130" i="2" s="1"/>
  <c r="O71" i="2"/>
  <c r="Q71" i="2" s="1"/>
  <c r="N82" i="2"/>
  <c r="R82" i="2" s="1"/>
  <c r="S82" i="2" s="1"/>
  <c r="C82" i="2" s="1"/>
  <c r="H82" i="2" s="1"/>
  <c r="O116" i="2"/>
  <c r="Q116" i="2" s="1"/>
  <c r="N116" i="2"/>
  <c r="R116" i="2" s="1"/>
  <c r="N125" i="2"/>
  <c r="R125" i="2" s="1"/>
  <c r="O127" i="2"/>
  <c r="Q127" i="2" s="1"/>
  <c r="N127" i="2"/>
  <c r="R127" i="2" s="1"/>
  <c r="N158" i="2"/>
  <c r="R158" i="2" s="1"/>
  <c r="N192" i="2"/>
  <c r="R192" i="2" s="1"/>
  <c r="O206" i="2"/>
  <c r="Q206" i="2" s="1"/>
  <c r="N185" i="2"/>
  <c r="R185" i="2" s="1"/>
  <c r="O59" i="2"/>
  <c r="Q59" i="2" s="1"/>
  <c r="N59" i="2"/>
  <c r="R59" i="2" s="1"/>
  <c r="N87" i="2"/>
  <c r="R87" i="2" s="1"/>
  <c r="N94" i="2"/>
  <c r="R94" i="2" s="1"/>
  <c r="S94" i="2" s="1"/>
  <c r="C94" i="2" s="1"/>
  <c r="H94" i="2" s="1"/>
  <c r="N129" i="2"/>
  <c r="R129" i="2" s="1"/>
  <c r="N140" i="2"/>
  <c r="R140" i="2" s="1"/>
  <c r="O158" i="2"/>
  <c r="Q158" i="2" s="1"/>
  <c r="O204" i="2"/>
  <c r="Q204" i="2" s="1"/>
  <c r="O27" i="2"/>
  <c r="Q27" i="2" s="1"/>
  <c r="O96" i="2"/>
  <c r="Q96" i="2" s="1"/>
  <c r="S96" i="2" s="1"/>
  <c r="C96" i="2" s="1"/>
  <c r="H96" i="2" s="1"/>
  <c r="F95" i="2"/>
  <c r="F49" i="2"/>
  <c r="N157" i="2"/>
  <c r="R157" i="2" s="1"/>
  <c r="S157" i="2" s="1"/>
  <c r="C157" i="2" s="1"/>
  <c r="H157" i="2" s="1"/>
  <c r="W157" i="2" s="1"/>
  <c r="C157" i="1" s="1"/>
  <c r="C157" i="5" s="1"/>
  <c r="E157" i="5" s="1"/>
  <c r="O168" i="2"/>
  <c r="Q168" i="2" s="1"/>
  <c r="N168" i="2"/>
  <c r="R168" i="2" s="1"/>
  <c r="O202" i="2"/>
  <c r="Q202" i="2" s="1"/>
  <c r="O212" i="2"/>
  <c r="O11" i="2"/>
  <c r="Q11" i="2" s="1"/>
  <c r="S11" i="2" s="1"/>
  <c r="C11" i="2" s="1"/>
  <c r="H11" i="2" s="1"/>
  <c r="O52" i="2"/>
  <c r="Q52" i="2" s="1"/>
  <c r="S52" i="2" s="1"/>
  <c r="C52" i="2" s="1"/>
  <c r="H52" i="2" s="1"/>
  <c r="O61" i="2"/>
  <c r="Q61" i="2" s="1"/>
  <c r="N61" i="2"/>
  <c r="R61" i="2" s="1"/>
  <c r="O81" i="2"/>
  <c r="Q81" i="2" s="1"/>
  <c r="S81" i="2" s="1"/>
  <c r="C81" i="2" s="1"/>
  <c r="H81" i="2" s="1"/>
  <c r="N93" i="2"/>
  <c r="R93" i="2" s="1"/>
  <c r="O108" i="2"/>
  <c r="Q108" i="2" s="1"/>
  <c r="N115" i="2"/>
  <c r="R115" i="2" s="1"/>
  <c r="N126" i="2"/>
  <c r="R126" i="2" s="1"/>
  <c r="O164" i="2"/>
  <c r="Q164" i="2" s="1"/>
  <c r="N164" i="2"/>
  <c r="R164" i="2" s="1"/>
  <c r="N200" i="2"/>
  <c r="R200" i="2" s="1"/>
  <c r="O200" i="2"/>
  <c r="Q200" i="2" s="1"/>
  <c r="N6" i="2"/>
  <c r="R6" i="2" s="1"/>
  <c r="N40" i="2"/>
  <c r="R40" i="2" s="1"/>
  <c r="N46" i="2"/>
  <c r="R46" i="2" s="1"/>
  <c r="S78" i="2"/>
  <c r="C78" i="2" s="1"/>
  <c r="H78" i="2" s="1"/>
  <c r="N86" i="2"/>
  <c r="R86" i="2" s="1"/>
  <c r="N108" i="2"/>
  <c r="R108" i="2" s="1"/>
  <c r="N132" i="2"/>
  <c r="R132" i="2" s="1"/>
  <c r="O145" i="2"/>
  <c r="Q145" i="2" s="1"/>
  <c r="N145" i="2"/>
  <c r="R145" i="2" s="1"/>
  <c r="O205" i="2"/>
  <c r="Q205" i="2" s="1"/>
  <c r="N205" i="2"/>
  <c r="R205" i="2" s="1"/>
  <c r="O10" i="2"/>
  <c r="Q10" i="2" s="1"/>
  <c r="S10" i="2" s="1"/>
  <c r="C10" i="2" s="1"/>
  <c r="H10" i="2" s="1"/>
  <c r="N18" i="2"/>
  <c r="R18" i="2" s="1"/>
  <c r="N22" i="2"/>
  <c r="R22" i="2" s="1"/>
  <c r="N43" i="2"/>
  <c r="R43" i="2" s="1"/>
  <c r="O58" i="2"/>
  <c r="Q58" i="2" s="1"/>
  <c r="N72" i="2"/>
  <c r="R72" i="2" s="1"/>
  <c r="O83" i="2"/>
  <c r="Q83" i="2" s="1"/>
  <c r="N83" i="2"/>
  <c r="R83" i="2" s="1"/>
  <c r="O86" i="2"/>
  <c r="Q86" i="2" s="1"/>
  <c r="O88" i="2"/>
  <c r="Q88" i="2" s="1"/>
  <c r="O93" i="2"/>
  <c r="Q93" i="2" s="1"/>
  <c r="O95" i="2"/>
  <c r="Q95" i="2" s="1"/>
  <c r="N95" i="2"/>
  <c r="R95" i="2" s="1"/>
  <c r="O100" i="2"/>
  <c r="Q100" i="2" s="1"/>
  <c r="N100" i="2"/>
  <c r="R100" i="2" s="1"/>
  <c r="O117" i="2"/>
  <c r="Q117" i="2" s="1"/>
  <c r="O139" i="2"/>
  <c r="Q139" i="2" s="1"/>
  <c r="N139" i="2"/>
  <c r="R139" i="2" s="1"/>
  <c r="O141" i="2"/>
  <c r="Q141" i="2" s="1"/>
  <c r="N184" i="2"/>
  <c r="R184" i="2" s="1"/>
  <c r="O184" i="2"/>
  <c r="Q184" i="2" s="1"/>
  <c r="O198" i="2"/>
  <c r="Q198" i="2" s="1"/>
  <c r="O35" i="2"/>
  <c r="Q35" i="2" s="1"/>
  <c r="N35" i="2"/>
  <c r="R35" i="2" s="1"/>
  <c r="O110" i="2"/>
  <c r="Q110" i="2" s="1"/>
  <c r="O126" i="2"/>
  <c r="Q126" i="2" s="1"/>
  <c r="N141" i="2"/>
  <c r="R141" i="2" s="1"/>
  <c r="N198" i="2"/>
  <c r="R198" i="2" s="1"/>
  <c r="N5" i="2"/>
  <c r="R5" i="2" s="1"/>
  <c r="S5" i="2" s="1"/>
  <c r="C5" i="2" s="1"/>
  <c r="H5" i="2" s="1"/>
  <c r="N14" i="2"/>
  <c r="R14" i="2" s="1"/>
  <c r="S14" i="2" s="1"/>
  <c r="C14" i="2" s="1"/>
  <c r="H14" i="2" s="1"/>
  <c r="O18" i="2"/>
  <c r="Q18" i="2" s="1"/>
  <c r="O22" i="2"/>
  <c r="Q22" i="2" s="1"/>
  <c r="O32" i="2"/>
  <c r="Q32" i="2" s="1"/>
  <c r="N32" i="2"/>
  <c r="R32" i="2" s="1"/>
  <c r="O40" i="2"/>
  <c r="Q40" i="2" s="1"/>
  <c r="N66" i="2"/>
  <c r="R66" i="2" s="1"/>
  <c r="O72" i="2"/>
  <c r="Q72" i="2" s="1"/>
  <c r="N105" i="2"/>
  <c r="R105" i="2" s="1"/>
  <c r="N112" i="2"/>
  <c r="R112" i="2" s="1"/>
  <c r="N117" i="2"/>
  <c r="R117" i="2" s="1"/>
  <c r="N119" i="2"/>
  <c r="R119" i="2" s="1"/>
  <c r="S119" i="2" s="1"/>
  <c r="C119" i="2" s="1"/>
  <c r="H119" i="2" s="1"/>
  <c r="N123" i="2"/>
  <c r="R123" i="2" s="1"/>
  <c r="O137" i="2"/>
  <c r="Q137" i="2" s="1"/>
  <c r="N143" i="2"/>
  <c r="R143" i="2" s="1"/>
  <c r="O175" i="2"/>
  <c r="Q175" i="2" s="1"/>
  <c r="N189" i="2"/>
  <c r="R189" i="2" s="1"/>
  <c r="O29" i="2"/>
  <c r="Q29" i="2" s="1"/>
  <c r="O60" i="2"/>
  <c r="Q60" i="2" s="1"/>
  <c r="S60" i="2" s="1"/>
  <c r="C60" i="2" s="1"/>
  <c r="H60" i="2" s="1"/>
  <c r="N114" i="2"/>
  <c r="R114" i="2" s="1"/>
  <c r="O114" i="2"/>
  <c r="Q114" i="2" s="1"/>
  <c r="N137" i="2"/>
  <c r="R137" i="2" s="1"/>
  <c r="N173" i="2"/>
  <c r="R173" i="2" s="1"/>
  <c r="O187" i="2"/>
  <c r="Q187" i="2" s="1"/>
  <c r="N187" i="2"/>
  <c r="R187" i="2" s="1"/>
  <c r="N196" i="2"/>
  <c r="R196" i="2" s="1"/>
  <c r="N203" i="2"/>
  <c r="R203" i="2" s="1"/>
  <c r="O203" i="2"/>
  <c r="Q203" i="2" s="1"/>
  <c r="N99" i="2"/>
  <c r="R99" i="2" s="1"/>
  <c r="N102" i="2"/>
  <c r="R102" i="2" s="1"/>
  <c r="O125" i="2"/>
  <c r="Q125" i="2" s="1"/>
  <c r="S155" i="2"/>
  <c r="C155" i="2" s="1"/>
  <c r="H155" i="2" s="1"/>
  <c r="O180" i="2"/>
  <c r="Q180" i="2" s="1"/>
  <c r="N180" i="2"/>
  <c r="R180" i="2" s="1"/>
  <c r="O182" i="2"/>
  <c r="Q182" i="2" s="1"/>
  <c r="N182" i="2"/>
  <c r="R182" i="2" s="1"/>
  <c r="O210" i="2"/>
  <c r="Q210" i="2" s="1"/>
  <c r="N58" i="2"/>
  <c r="R58" i="2" s="1"/>
  <c r="N80" i="2"/>
  <c r="R80" i="2" s="1"/>
  <c r="S80" i="2" s="1"/>
  <c r="C80" i="2" s="1"/>
  <c r="H80" i="2" s="1"/>
  <c r="O99" i="2"/>
  <c r="Q99" i="2" s="1"/>
  <c r="O105" i="2"/>
  <c r="Q105" i="2" s="1"/>
  <c r="O189" i="2"/>
  <c r="Q189" i="2" s="1"/>
  <c r="N191" i="2"/>
  <c r="R191" i="2" s="1"/>
  <c r="N193" i="2"/>
  <c r="R193" i="2" s="1"/>
  <c r="N210" i="2"/>
  <c r="R210" i="2" s="1"/>
  <c r="O147" i="2"/>
  <c r="Q147" i="2" s="1"/>
  <c r="N147" i="2"/>
  <c r="R147" i="2" s="1"/>
  <c r="O152" i="2"/>
  <c r="Q152" i="2" s="1"/>
  <c r="N152" i="2"/>
  <c r="R152" i="2" s="1"/>
  <c r="N154" i="2"/>
  <c r="R154" i="2" s="1"/>
  <c r="S154" i="2" s="1"/>
  <c r="C154" i="2" s="1"/>
  <c r="H154" i="2" s="1"/>
  <c r="O165" i="2"/>
  <c r="Q165" i="2" s="1"/>
  <c r="N165" i="2"/>
  <c r="R165" i="2" s="1"/>
  <c r="O208" i="2"/>
  <c r="Q208" i="2" s="1"/>
  <c r="N208" i="2"/>
  <c r="R208" i="2" s="1"/>
  <c r="N156" i="2"/>
  <c r="R156" i="2" s="1"/>
  <c r="S156" i="2" s="1"/>
  <c r="C156" i="2" s="1"/>
  <c r="H156" i="2" s="1"/>
  <c r="O163" i="2"/>
  <c r="Q163" i="2" s="1"/>
  <c r="N163" i="2"/>
  <c r="R163" i="2" s="1"/>
  <c r="N110" i="2"/>
  <c r="R110" i="2" s="1"/>
  <c r="O171" i="2"/>
  <c r="Q171" i="2" s="1"/>
  <c r="N171" i="2"/>
  <c r="R171" i="2" s="1"/>
  <c r="O183" i="2"/>
  <c r="Q183" i="2" s="1"/>
  <c r="N183" i="2"/>
  <c r="R183" i="2" s="1"/>
  <c r="N142" i="2"/>
  <c r="R142" i="2" s="1"/>
  <c r="O142" i="2"/>
  <c r="Q142" i="2" s="1"/>
  <c r="N186" i="2"/>
  <c r="R186" i="2" s="1"/>
  <c r="O186" i="2"/>
  <c r="Q186" i="2" s="1"/>
  <c r="N190" i="2"/>
  <c r="R190" i="2" s="1"/>
  <c r="O167" i="2"/>
  <c r="Q167" i="2" s="1"/>
  <c r="N167" i="2"/>
  <c r="R167" i="2" s="1"/>
  <c r="O115" i="2"/>
  <c r="Q115" i="2" s="1"/>
  <c r="O169" i="2"/>
  <c r="Q169" i="2" s="1"/>
  <c r="N169" i="2"/>
  <c r="R169" i="2" s="1"/>
  <c r="O192" i="2"/>
  <c r="Q192" i="2" s="1"/>
  <c r="O196" i="2"/>
  <c r="Q196" i="2" s="1"/>
  <c r="N148" i="2"/>
  <c r="R148" i="2" s="1"/>
  <c r="N162" i="2"/>
  <c r="R162" i="2" s="1"/>
  <c r="S162" i="2" s="1"/>
  <c r="C162" i="2" s="1"/>
  <c r="H162" i="2" s="1"/>
  <c r="O194" i="2"/>
  <c r="Q194" i="2" s="1"/>
  <c r="N194" i="2"/>
  <c r="R194" i="2" s="1"/>
  <c r="O170" i="2"/>
  <c r="Q170" i="2" s="1"/>
  <c r="N170" i="2"/>
  <c r="R170" i="2" s="1"/>
  <c r="N212" i="2"/>
  <c r="S71" i="2" l="1"/>
  <c r="C71" i="2" s="1"/>
  <c r="H71" i="2" s="1"/>
  <c r="W71" i="2" s="1"/>
  <c r="C71" i="1" s="1"/>
  <c r="C71" i="5" s="1"/>
  <c r="E71" i="5" s="1"/>
  <c r="S56" i="2"/>
  <c r="C56" i="2" s="1"/>
  <c r="H56" i="2" s="1"/>
  <c r="W56" i="2" s="1"/>
  <c r="C56" i="1" s="1"/>
  <c r="C56" i="5" s="1"/>
  <c r="E56" i="5" s="1"/>
  <c r="S148" i="2"/>
  <c r="C148" i="2" s="1"/>
  <c r="H148" i="2" s="1"/>
  <c r="S92" i="2"/>
  <c r="C92" i="2" s="1"/>
  <c r="H92" i="2" s="1"/>
  <c r="W92" i="2" s="1"/>
  <c r="C92" i="1" s="1"/>
  <c r="C92" i="5" s="1"/>
  <c r="E92" i="5" s="1"/>
  <c r="S184" i="2"/>
  <c r="C184" i="2" s="1"/>
  <c r="H184" i="2" s="1"/>
  <c r="S44" i="2"/>
  <c r="C44" i="2" s="1"/>
  <c r="H44" i="2" s="1"/>
  <c r="S74" i="2"/>
  <c r="C74" i="2" s="1"/>
  <c r="H74" i="2" s="1"/>
  <c r="S66" i="2"/>
  <c r="C66" i="2" s="1"/>
  <c r="H66" i="2" s="1"/>
  <c r="S186" i="2"/>
  <c r="C186" i="2" s="1"/>
  <c r="H186" i="2" s="1"/>
  <c r="S93" i="2"/>
  <c r="C93" i="2" s="1"/>
  <c r="H93" i="2" s="1"/>
  <c r="S7" i="2"/>
  <c r="C7" i="2" s="1"/>
  <c r="H7" i="2" s="1"/>
  <c r="S6" i="2"/>
  <c r="C6" i="2" s="1"/>
  <c r="H6" i="2" s="1"/>
  <c r="S202" i="2"/>
  <c r="C202" i="2" s="1"/>
  <c r="H202" i="2" s="1"/>
  <c r="W202" i="2" s="1"/>
  <c r="C202" i="1" s="1"/>
  <c r="C202" i="5" s="1"/>
  <c r="E202" i="5" s="1"/>
  <c r="S146" i="2"/>
  <c r="C146" i="2" s="1"/>
  <c r="H146" i="2" s="1"/>
  <c r="W146" i="2" s="1"/>
  <c r="C146" i="1" s="1"/>
  <c r="C146" i="5" s="1"/>
  <c r="E146" i="5" s="1"/>
  <c r="S181" i="2"/>
  <c r="C181" i="2" s="1"/>
  <c r="H181" i="2" s="1"/>
  <c r="W181" i="2" s="1"/>
  <c r="C181" i="1" s="1"/>
  <c r="C181" i="5" s="1"/>
  <c r="E181" i="5" s="1"/>
  <c r="S67" i="2"/>
  <c r="C67" i="2" s="1"/>
  <c r="H67" i="2" s="1"/>
  <c r="W67" i="2" s="1"/>
  <c r="C67" i="1" s="1"/>
  <c r="C67" i="5" s="1"/>
  <c r="E67" i="5" s="1"/>
  <c r="S28" i="2"/>
  <c r="C28" i="2" s="1"/>
  <c r="H28" i="2" s="1"/>
  <c r="W28" i="2" s="1"/>
  <c r="C28" i="1" s="1"/>
  <c r="C28" i="5" s="1"/>
  <c r="E28" i="5" s="1"/>
  <c r="S151" i="2"/>
  <c r="C151" i="2" s="1"/>
  <c r="H151" i="2" s="1"/>
  <c r="W151" i="2" s="1"/>
  <c r="C151" i="1" s="1"/>
  <c r="C151" i="5" s="1"/>
  <c r="E151" i="5" s="1"/>
  <c r="S175" i="2"/>
  <c r="C175" i="2" s="1"/>
  <c r="H175" i="2" s="1"/>
  <c r="W175" i="2" s="1"/>
  <c r="C175" i="1" s="1"/>
  <c r="C175" i="5" s="1"/>
  <c r="E175" i="5" s="1"/>
  <c r="S22" i="2"/>
  <c r="C22" i="2" s="1"/>
  <c r="H22" i="2" s="1"/>
  <c r="W22" i="2" s="1"/>
  <c r="C22" i="1" s="1"/>
  <c r="C22" i="5" s="1"/>
  <c r="E22" i="5" s="1"/>
  <c r="S101" i="2"/>
  <c r="C101" i="2" s="1"/>
  <c r="H101" i="2" s="1"/>
  <c r="W101" i="2" s="1"/>
  <c r="C101" i="1" s="1"/>
  <c r="C101" i="5" s="1"/>
  <c r="E101" i="5" s="1"/>
  <c r="S48" i="2"/>
  <c r="C48" i="2" s="1"/>
  <c r="H48" i="2" s="1"/>
  <c r="W48" i="2" s="1"/>
  <c r="C48" i="1" s="1"/>
  <c r="C48" i="5" s="1"/>
  <c r="E48" i="5" s="1"/>
  <c r="S206" i="2"/>
  <c r="C206" i="2" s="1"/>
  <c r="H206" i="2" s="1"/>
  <c r="S142" i="2"/>
  <c r="C142" i="2" s="1"/>
  <c r="H142" i="2" s="1"/>
  <c r="W142" i="2" s="1"/>
  <c r="C142" i="1" s="1"/>
  <c r="C142" i="5" s="1"/>
  <c r="E142" i="5" s="1"/>
  <c r="S64" i="2"/>
  <c r="C64" i="2" s="1"/>
  <c r="H64" i="2" s="1"/>
  <c r="W64" i="2" s="1"/>
  <c r="C64" i="1" s="1"/>
  <c r="C64" i="5" s="1"/>
  <c r="E64" i="5" s="1"/>
  <c r="S105" i="2"/>
  <c r="C105" i="2" s="1"/>
  <c r="H105" i="2" s="1"/>
  <c r="S168" i="2"/>
  <c r="C168" i="2" s="1"/>
  <c r="H168" i="2" s="1"/>
  <c r="W168" i="2" s="1"/>
  <c r="C168" i="1" s="1"/>
  <c r="C168" i="5" s="1"/>
  <c r="E168" i="5" s="1"/>
  <c r="S19" i="2"/>
  <c r="C19" i="2" s="1"/>
  <c r="H19" i="2" s="1"/>
  <c r="W19" i="2" s="1"/>
  <c r="C19" i="1" s="1"/>
  <c r="C19" i="5" s="1"/>
  <c r="E19" i="5" s="1"/>
  <c r="S63" i="2"/>
  <c r="C63" i="2" s="1"/>
  <c r="H63" i="2" s="1"/>
  <c r="W63" i="2" s="1"/>
  <c r="C63" i="1" s="1"/>
  <c r="C63" i="5" s="1"/>
  <c r="E63" i="5" s="1"/>
  <c r="S176" i="2"/>
  <c r="C176" i="2" s="1"/>
  <c r="H176" i="2" s="1"/>
  <c r="W176" i="2" s="1"/>
  <c r="C176" i="1" s="1"/>
  <c r="C176" i="5" s="1"/>
  <c r="E176" i="5" s="1"/>
  <c r="S99" i="2"/>
  <c r="C99" i="2" s="1"/>
  <c r="H99" i="2" s="1"/>
  <c r="W99" i="2" s="1"/>
  <c r="C99" i="1" s="1"/>
  <c r="C99" i="5" s="1"/>
  <c r="E99" i="5" s="1"/>
  <c r="F213" i="2"/>
  <c r="S138" i="2"/>
  <c r="C138" i="2" s="1"/>
  <c r="H138" i="2" s="1"/>
  <c r="W138" i="2" s="1"/>
  <c r="C138" i="1" s="1"/>
  <c r="C138" i="5" s="1"/>
  <c r="E138" i="5" s="1"/>
  <c r="S113" i="2"/>
  <c r="C113" i="2" s="1"/>
  <c r="H113" i="2" s="1"/>
  <c r="W113" i="2" s="1"/>
  <c r="C113" i="1" s="1"/>
  <c r="C113" i="5" s="1"/>
  <c r="E113" i="5" s="1"/>
  <c r="S179" i="2"/>
  <c r="C179" i="2" s="1"/>
  <c r="H179" i="2" s="1"/>
  <c r="W179" i="2" s="1"/>
  <c r="C179" i="1" s="1"/>
  <c r="C179" i="5" s="1"/>
  <c r="E179" i="5" s="1"/>
  <c r="S159" i="2"/>
  <c r="C159" i="2" s="1"/>
  <c r="H159" i="2" s="1"/>
  <c r="W159" i="2" s="1"/>
  <c r="C159" i="1" s="1"/>
  <c r="C159" i="5" s="1"/>
  <c r="E159" i="5" s="1"/>
  <c r="S121" i="2"/>
  <c r="C121" i="2" s="1"/>
  <c r="H121" i="2" s="1"/>
  <c r="W121" i="2" s="1"/>
  <c r="C121" i="1" s="1"/>
  <c r="C121" i="5" s="1"/>
  <c r="E121" i="5" s="1"/>
  <c r="S210" i="2"/>
  <c r="C210" i="2" s="1"/>
  <c r="H210" i="2" s="1"/>
  <c r="W210" i="2" s="1"/>
  <c r="C210" i="1" s="1"/>
  <c r="C210" i="5" s="1"/>
  <c r="E210" i="5" s="1"/>
  <c r="S72" i="2"/>
  <c r="C72" i="2" s="1"/>
  <c r="H72" i="2" s="1"/>
  <c r="W72" i="2" s="1"/>
  <c r="C72" i="1" s="1"/>
  <c r="C72" i="5" s="1"/>
  <c r="E72" i="5" s="1"/>
  <c r="S199" i="2"/>
  <c r="C199" i="2" s="1"/>
  <c r="H199" i="2" s="1"/>
  <c r="W199" i="2" s="1"/>
  <c r="C199" i="1" s="1"/>
  <c r="C199" i="5" s="1"/>
  <c r="E199" i="5" s="1"/>
  <c r="S140" i="2"/>
  <c r="C140" i="2" s="1"/>
  <c r="H140" i="2" s="1"/>
  <c r="W140" i="2" s="1"/>
  <c r="C140" i="1" s="1"/>
  <c r="C140" i="5" s="1"/>
  <c r="E140" i="5" s="1"/>
  <c r="S114" i="2"/>
  <c r="C114" i="2" s="1"/>
  <c r="H114" i="2" s="1"/>
  <c r="W114" i="2" s="1"/>
  <c r="C114" i="1" s="1"/>
  <c r="C114" i="5" s="1"/>
  <c r="E114" i="5" s="1"/>
  <c r="S204" i="2"/>
  <c r="C204" i="2" s="1"/>
  <c r="H204" i="2" s="1"/>
  <c r="W204" i="2" s="1"/>
  <c r="C204" i="1" s="1"/>
  <c r="C204" i="5" s="1"/>
  <c r="E204" i="5" s="1"/>
  <c r="S17" i="2"/>
  <c r="C17" i="2" s="1"/>
  <c r="H17" i="2" s="1"/>
  <c r="W17" i="2" s="1"/>
  <c r="C17" i="1" s="1"/>
  <c r="C17" i="5" s="1"/>
  <c r="E17" i="5" s="1"/>
  <c r="S112" i="2"/>
  <c r="C112" i="2" s="1"/>
  <c r="H112" i="2" s="1"/>
  <c r="W112" i="2" s="1"/>
  <c r="C112" i="1" s="1"/>
  <c r="C112" i="5" s="1"/>
  <c r="E112" i="5" s="1"/>
  <c r="S8" i="2"/>
  <c r="C8" i="2" s="1"/>
  <c r="H8" i="2" s="1"/>
  <c r="W8" i="2" s="1"/>
  <c r="C8" i="1" s="1"/>
  <c r="C8" i="5" s="1"/>
  <c r="E8" i="5" s="1"/>
  <c r="S152" i="2"/>
  <c r="C152" i="2" s="1"/>
  <c r="H152" i="2" s="1"/>
  <c r="W152" i="2" s="1"/>
  <c r="C152" i="1" s="1"/>
  <c r="C152" i="5" s="1"/>
  <c r="E152" i="5" s="1"/>
  <c r="S195" i="2"/>
  <c r="C195" i="2" s="1"/>
  <c r="H195" i="2" s="1"/>
  <c r="W195" i="2" s="1"/>
  <c r="C195" i="1" s="1"/>
  <c r="C195" i="5" s="1"/>
  <c r="E195" i="5" s="1"/>
  <c r="S131" i="2"/>
  <c r="C131" i="2" s="1"/>
  <c r="H131" i="2" s="1"/>
  <c r="W131" i="2" s="1"/>
  <c r="C131" i="1" s="1"/>
  <c r="C131" i="5" s="1"/>
  <c r="E131" i="5" s="1"/>
  <c r="S133" i="2"/>
  <c r="C133" i="2" s="1"/>
  <c r="H133" i="2" s="1"/>
  <c r="W133" i="2" s="1"/>
  <c r="C133" i="1" s="1"/>
  <c r="C133" i="5" s="1"/>
  <c r="E133" i="5" s="1"/>
  <c r="S45" i="2"/>
  <c r="C45" i="2" s="1"/>
  <c r="H45" i="2" s="1"/>
  <c r="W45" i="2" s="1"/>
  <c r="C45" i="1" s="1"/>
  <c r="C45" i="5" s="1"/>
  <c r="E45" i="5" s="1"/>
  <c r="S182" i="2"/>
  <c r="C182" i="2" s="1"/>
  <c r="H182" i="2" s="1"/>
  <c r="W182" i="2" s="1"/>
  <c r="C182" i="1" s="1"/>
  <c r="C182" i="5" s="1"/>
  <c r="E182" i="5" s="1"/>
  <c r="S29" i="2"/>
  <c r="C29" i="2" s="1"/>
  <c r="H29" i="2" s="1"/>
  <c r="W29" i="2" s="1"/>
  <c r="C29" i="1" s="1"/>
  <c r="C29" i="5" s="1"/>
  <c r="E29" i="5" s="1"/>
  <c r="S111" i="2"/>
  <c r="C111" i="2" s="1"/>
  <c r="H111" i="2" s="1"/>
  <c r="S100" i="2"/>
  <c r="C100" i="2" s="1"/>
  <c r="H100" i="2" s="1"/>
  <c r="S174" i="2"/>
  <c r="C174" i="2" s="1"/>
  <c r="H174" i="2" s="1"/>
  <c r="W174" i="2" s="1"/>
  <c r="C174" i="1" s="1"/>
  <c r="C174" i="5" s="1"/>
  <c r="E174" i="5" s="1"/>
  <c r="S32" i="2"/>
  <c r="C32" i="2" s="1"/>
  <c r="H32" i="2" s="1"/>
  <c r="S58" i="2"/>
  <c r="C58" i="2" s="1"/>
  <c r="H58" i="2" s="1"/>
  <c r="W58" i="2" s="1"/>
  <c r="C58" i="1" s="1"/>
  <c r="C58" i="5" s="1"/>
  <c r="E58" i="5" s="1"/>
  <c r="S177" i="2"/>
  <c r="C177" i="2" s="1"/>
  <c r="H177" i="2" s="1"/>
  <c r="W177" i="2" s="1"/>
  <c r="C177" i="1" s="1"/>
  <c r="C177" i="5" s="1"/>
  <c r="E177" i="5" s="1"/>
  <c r="S47" i="2"/>
  <c r="C47" i="2" s="1"/>
  <c r="H47" i="2" s="1"/>
  <c r="W47" i="2" s="1"/>
  <c r="C47" i="1" s="1"/>
  <c r="C47" i="5" s="1"/>
  <c r="E47" i="5" s="1"/>
  <c r="S208" i="2"/>
  <c r="C208" i="2" s="1"/>
  <c r="H208" i="2" s="1"/>
  <c r="W208" i="2" s="1"/>
  <c r="C208" i="1" s="1"/>
  <c r="C208" i="5" s="1"/>
  <c r="E208" i="5" s="1"/>
  <c r="S127" i="2"/>
  <c r="C127" i="2" s="1"/>
  <c r="H127" i="2" s="1"/>
  <c r="W127" i="2" s="1"/>
  <c r="C127" i="1" s="1"/>
  <c r="C127" i="5" s="1"/>
  <c r="E127" i="5" s="1"/>
  <c r="S70" i="2"/>
  <c r="C70" i="2" s="1"/>
  <c r="H70" i="2" s="1"/>
  <c r="W70" i="2" s="1"/>
  <c r="C70" i="1" s="1"/>
  <c r="C70" i="5" s="1"/>
  <c r="E70" i="5" s="1"/>
  <c r="S35" i="2"/>
  <c r="C35" i="2" s="1"/>
  <c r="H35" i="2" s="1"/>
  <c r="W35" i="2" s="1"/>
  <c r="C35" i="1" s="1"/>
  <c r="C35" i="5" s="1"/>
  <c r="E35" i="5" s="1"/>
  <c r="S125" i="2"/>
  <c r="C125" i="2" s="1"/>
  <c r="H125" i="2" s="1"/>
  <c r="W125" i="2" s="1"/>
  <c r="C125" i="1" s="1"/>
  <c r="C125" i="5" s="1"/>
  <c r="E125" i="5" s="1"/>
  <c r="S169" i="2"/>
  <c r="C169" i="2" s="1"/>
  <c r="H169" i="2" s="1"/>
  <c r="W169" i="2" s="1"/>
  <c r="C169" i="1" s="1"/>
  <c r="C169" i="5" s="1"/>
  <c r="E169" i="5" s="1"/>
  <c r="S38" i="2"/>
  <c r="C38" i="2" s="1"/>
  <c r="H38" i="2" s="1"/>
  <c r="W38" i="2" s="1"/>
  <c r="C38" i="1" s="1"/>
  <c r="C38" i="5" s="1"/>
  <c r="E38" i="5" s="1"/>
  <c r="S167" i="2"/>
  <c r="C167" i="2" s="1"/>
  <c r="H167" i="2" s="1"/>
  <c r="W167" i="2" s="1"/>
  <c r="C167" i="1" s="1"/>
  <c r="C167" i="5" s="1"/>
  <c r="E167" i="5" s="1"/>
  <c r="S164" i="2"/>
  <c r="C164" i="2" s="1"/>
  <c r="H164" i="2" s="1"/>
  <c r="W164" i="2" s="1"/>
  <c r="C164" i="1" s="1"/>
  <c r="C164" i="5" s="1"/>
  <c r="E164" i="5" s="1"/>
  <c r="S12" i="2"/>
  <c r="C12" i="2" s="1"/>
  <c r="H12" i="2" s="1"/>
  <c r="W12" i="2" s="1"/>
  <c r="C12" i="1" s="1"/>
  <c r="C12" i="5" s="1"/>
  <c r="E12" i="5" s="1"/>
  <c r="S173" i="2"/>
  <c r="C173" i="2" s="1"/>
  <c r="H173" i="2" s="1"/>
  <c r="W173" i="2" s="1"/>
  <c r="C173" i="1" s="1"/>
  <c r="C173" i="5" s="1"/>
  <c r="E173" i="5" s="1"/>
  <c r="S141" i="2"/>
  <c r="C141" i="2" s="1"/>
  <c r="H141" i="2" s="1"/>
  <c r="W141" i="2" s="1"/>
  <c r="C141" i="1" s="1"/>
  <c r="C141" i="5" s="1"/>
  <c r="E141" i="5" s="1"/>
  <c r="S115" i="2"/>
  <c r="C115" i="2" s="1"/>
  <c r="H115" i="2" s="1"/>
  <c r="W115" i="2" s="1"/>
  <c r="C115" i="1" s="1"/>
  <c r="C115" i="5" s="1"/>
  <c r="E115" i="5" s="1"/>
  <c r="S18" i="2"/>
  <c r="C18" i="2" s="1"/>
  <c r="H18" i="2" s="1"/>
  <c r="W18" i="2" s="1"/>
  <c r="C18" i="1" s="1"/>
  <c r="C18" i="5" s="1"/>
  <c r="E18" i="5" s="1"/>
  <c r="S200" i="2"/>
  <c r="C200" i="2" s="1"/>
  <c r="H200" i="2" s="1"/>
  <c r="W200" i="2" s="1"/>
  <c r="C200" i="1" s="1"/>
  <c r="C200" i="5" s="1"/>
  <c r="E200" i="5" s="1"/>
  <c r="S89" i="2"/>
  <c r="C89" i="2" s="1"/>
  <c r="H89" i="2" s="1"/>
  <c r="W89" i="2" s="1"/>
  <c r="C89" i="1" s="1"/>
  <c r="C89" i="5" s="1"/>
  <c r="E89" i="5" s="1"/>
  <c r="S161" i="2"/>
  <c r="C161" i="2" s="1"/>
  <c r="H161" i="2" s="1"/>
  <c r="W161" i="2" s="1"/>
  <c r="C161" i="1" s="1"/>
  <c r="C161" i="5" s="1"/>
  <c r="E161" i="5" s="1"/>
  <c r="S21" i="2"/>
  <c r="C21" i="2" s="1"/>
  <c r="H21" i="2" s="1"/>
  <c r="W21" i="2" s="1"/>
  <c r="C21" i="1" s="1"/>
  <c r="C21" i="5" s="1"/>
  <c r="E21" i="5" s="1"/>
  <c r="S128" i="2"/>
  <c r="C128" i="2" s="1"/>
  <c r="H128" i="2" s="1"/>
  <c r="W128" i="2" s="1"/>
  <c r="C128" i="1" s="1"/>
  <c r="C128" i="5" s="1"/>
  <c r="E128" i="5" s="1"/>
  <c r="S57" i="2"/>
  <c r="C57" i="2" s="1"/>
  <c r="H57" i="2" s="1"/>
  <c r="W57" i="2" s="1"/>
  <c r="C57" i="1" s="1"/>
  <c r="C57" i="5" s="1"/>
  <c r="E57" i="5" s="1"/>
  <c r="W94" i="2"/>
  <c r="C94" i="1" s="1"/>
  <c r="C94" i="5" s="1"/>
  <c r="E94" i="5" s="1"/>
  <c r="W6" i="2"/>
  <c r="C6" i="1" s="1"/>
  <c r="C6" i="5" s="1"/>
  <c r="E6" i="5" s="1"/>
  <c r="W44" i="2"/>
  <c r="C44" i="1" s="1"/>
  <c r="C44" i="5" s="1"/>
  <c r="E44" i="5" s="1"/>
  <c r="W41" i="2"/>
  <c r="C41" i="1" s="1"/>
  <c r="C41" i="5" s="1"/>
  <c r="E41" i="5" s="1"/>
  <c r="W80" i="2"/>
  <c r="C80" i="1" s="1"/>
  <c r="C80" i="5" s="1"/>
  <c r="E80" i="5" s="1"/>
  <c r="W69" i="2"/>
  <c r="C69" i="1" s="1"/>
  <c r="C69" i="5" s="1"/>
  <c r="E69" i="5" s="1"/>
  <c r="W150" i="2"/>
  <c r="C150" i="1" s="1"/>
  <c r="C150" i="5" s="1"/>
  <c r="E150" i="5" s="1"/>
  <c r="W154" i="2"/>
  <c r="C154" i="1" s="1"/>
  <c r="C154" i="5" s="1"/>
  <c r="E154" i="5" s="1"/>
  <c r="W14" i="2"/>
  <c r="C14" i="1" s="1"/>
  <c r="C14" i="5" s="1"/>
  <c r="E14" i="5" s="1"/>
  <c r="W156" i="2"/>
  <c r="C156" i="1" s="1"/>
  <c r="C156" i="5" s="1"/>
  <c r="E156" i="5" s="1"/>
  <c r="W119" i="2"/>
  <c r="C119" i="1" s="1"/>
  <c r="C119" i="5" s="1"/>
  <c r="E119" i="5" s="1"/>
  <c r="S166" i="2"/>
  <c r="C166" i="2" s="1"/>
  <c r="H166" i="2" s="1"/>
  <c r="W122" i="2"/>
  <c r="C122" i="1" s="1"/>
  <c r="C122" i="5" s="1"/>
  <c r="E122" i="5" s="1"/>
  <c r="W104" i="2"/>
  <c r="C104" i="1" s="1"/>
  <c r="C104" i="5" s="1"/>
  <c r="E104" i="5" s="1"/>
  <c r="W82" i="2"/>
  <c r="C82" i="1" s="1"/>
  <c r="C82" i="5" s="1"/>
  <c r="E82" i="5" s="1"/>
  <c r="S160" i="2"/>
  <c r="C160" i="2" s="1"/>
  <c r="H160" i="2" s="1"/>
  <c r="S123" i="2"/>
  <c r="C123" i="2" s="1"/>
  <c r="H123" i="2" s="1"/>
  <c r="S107" i="2"/>
  <c r="C107" i="2" s="1"/>
  <c r="H107" i="2" s="1"/>
  <c r="W23" i="2"/>
  <c r="C23" i="1" s="1"/>
  <c r="C23" i="5" s="1"/>
  <c r="E23" i="5" s="1"/>
  <c r="S197" i="2"/>
  <c r="C197" i="2" s="1"/>
  <c r="H197" i="2" s="1"/>
  <c r="W53" i="2"/>
  <c r="C53" i="1" s="1"/>
  <c r="C53" i="5" s="1"/>
  <c r="E53" i="5" s="1"/>
  <c r="W109" i="2"/>
  <c r="C109" i="1" s="1"/>
  <c r="C109" i="5" s="1"/>
  <c r="E109" i="5" s="1"/>
  <c r="S26" i="2"/>
  <c r="C26" i="2" s="1"/>
  <c r="H26" i="2" s="1"/>
  <c r="W66" i="2"/>
  <c r="C66" i="1" s="1"/>
  <c r="C66" i="5" s="1"/>
  <c r="E66" i="5" s="1"/>
  <c r="S163" i="2"/>
  <c r="C163" i="2" s="1"/>
  <c r="H163" i="2" s="1"/>
  <c r="W163" i="2" s="1"/>
  <c r="C163" i="1" s="1"/>
  <c r="C163" i="5" s="1"/>
  <c r="E163" i="5" s="1"/>
  <c r="S189" i="2"/>
  <c r="C189" i="2" s="1"/>
  <c r="H189" i="2" s="1"/>
  <c r="S139" i="2"/>
  <c r="C139" i="2" s="1"/>
  <c r="H139" i="2" s="1"/>
  <c r="S203" i="2"/>
  <c r="C203" i="2" s="1"/>
  <c r="H203" i="2" s="1"/>
  <c r="S137" i="2"/>
  <c r="C137" i="2" s="1"/>
  <c r="H137" i="2" s="1"/>
  <c r="S117" i="2"/>
  <c r="C117" i="2" s="1"/>
  <c r="H117" i="2" s="1"/>
  <c r="S59" i="2"/>
  <c r="C59" i="2" s="1"/>
  <c r="H59" i="2" s="1"/>
  <c r="W42" i="2"/>
  <c r="C42" i="1" s="1"/>
  <c r="C42" i="5" s="1"/>
  <c r="E42" i="5" s="1"/>
  <c r="S106" i="2"/>
  <c r="C106" i="2" s="1"/>
  <c r="H106" i="2" s="1"/>
  <c r="S102" i="2"/>
  <c r="C102" i="2" s="1"/>
  <c r="H102" i="2" s="1"/>
  <c r="S201" i="2"/>
  <c r="C201" i="2" s="1"/>
  <c r="H201" i="2" s="1"/>
  <c r="W148" i="2"/>
  <c r="C148" i="1" s="1"/>
  <c r="C148" i="5" s="1"/>
  <c r="E148" i="5" s="1"/>
  <c r="W135" i="2"/>
  <c r="C135" i="1" s="1"/>
  <c r="C135" i="5" s="1"/>
  <c r="E135" i="5" s="1"/>
  <c r="S209" i="2"/>
  <c r="C209" i="2" s="1"/>
  <c r="H209" i="2" s="1"/>
  <c r="W105" i="2"/>
  <c r="C105" i="1" s="1"/>
  <c r="C105" i="5" s="1"/>
  <c r="E105" i="5" s="1"/>
  <c r="W10" i="2"/>
  <c r="C10" i="1" s="1"/>
  <c r="C10" i="5" s="1"/>
  <c r="E10" i="5" s="1"/>
  <c r="S130" i="2"/>
  <c r="C130" i="2" s="1"/>
  <c r="H130" i="2" s="1"/>
  <c r="S124" i="2"/>
  <c r="C124" i="2" s="1"/>
  <c r="H124" i="2" s="1"/>
  <c r="S120" i="2"/>
  <c r="C120" i="2" s="1"/>
  <c r="H120" i="2" s="1"/>
  <c r="S90" i="2"/>
  <c r="C90" i="2" s="1"/>
  <c r="H90" i="2" s="1"/>
  <c r="W85" i="2"/>
  <c r="C85" i="1" s="1"/>
  <c r="C85" i="5" s="1"/>
  <c r="E85" i="5" s="1"/>
  <c r="W79" i="2"/>
  <c r="C79" i="1" s="1"/>
  <c r="C79" i="5" s="1"/>
  <c r="E79" i="5" s="1"/>
  <c r="S97" i="2"/>
  <c r="C97" i="2" s="1"/>
  <c r="H97" i="2" s="1"/>
  <c r="S149" i="2"/>
  <c r="C149" i="2" s="1"/>
  <c r="H149" i="2" s="1"/>
  <c r="S15" i="2"/>
  <c r="C15" i="2" s="1"/>
  <c r="H15" i="2" s="1"/>
  <c r="S91" i="2"/>
  <c r="C91" i="2" s="1"/>
  <c r="H91" i="2" s="1"/>
  <c r="S187" i="2"/>
  <c r="C187" i="2" s="1"/>
  <c r="H187" i="2" s="1"/>
  <c r="S126" i="2"/>
  <c r="C126" i="2" s="1"/>
  <c r="H126" i="2" s="1"/>
  <c r="S207" i="2"/>
  <c r="C207" i="2" s="1"/>
  <c r="H207" i="2" s="1"/>
  <c r="S178" i="2"/>
  <c r="C178" i="2" s="1"/>
  <c r="H178" i="2" s="1"/>
  <c r="S68" i="2"/>
  <c r="C68" i="2" s="1"/>
  <c r="H68" i="2" s="1"/>
  <c r="W7" i="2"/>
  <c r="C7" i="1" s="1"/>
  <c r="C7" i="5" s="1"/>
  <c r="E7" i="5" s="1"/>
  <c r="W54" i="2"/>
  <c r="C54" i="1" s="1"/>
  <c r="C54" i="5" s="1"/>
  <c r="E54" i="5" s="1"/>
  <c r="W111" i="2"/>
  <c r="C111" i="1" s="1"/>
  <c r="C111" i="5" s="1"/>
  <c r="E111" i="5" s="1"/>
  <c r="W186" i="2"/>
  <c r="C186" i="1" s="1"/>
  <c r="C186" i="5" s="1"/>
  <c r="E186" i="5" s="1"/>
  <c r="S205" i="2"/>
  <c r="C205" i="2" s="1"/>
  <c r="H205" i="2" s="1"/>
  <c r="S165" i="2"/>
  <c r="C165" i="2" s="1"/>
  <c r="H165" i="2" s="1"/>
  <c r="S95" i="2"/>
  <c r="C95" i="2" s="1"/>
  <c r="H95" i="2" s="1"/>
  <c r="S194" i="2"/>
  <c r="C194" i="2" s="1"/>
  <c r="H194" i="2" s="1"/>
  <c r="S110" i="2"/>
  <c r="C110" i="2" s="1"/>
  <c r="H110" i="2" s="1"/>
  <c r="W93" i="2"/>
  <c r="C93" i="1" s="1"/>
  <c r="C93" i="5" s="1"/>
  <c r="E93" i="5" s="1"/>
  <c r="S145" i="2"/>
  <c r="C145" i="2" s="1"/>
  <c r="H145" i="2" s="1"/>
  <c r="S108" i="2"/>
  <c r="C108" i="2" s="1"/>
  <c r="H108" i="2" s="1"/>
  <c r="W96" i="2"/>
  <c r="C96" i="1" s="1"/>
  <c r="C96" i="5" s="1"/>
  <c r="E96" i="5" s="1"/>
  <c r="S143" i="2"/>
  <c r="C143" i="2" s="1"/>
  <c r="H143" i="2" s="1"/>
  <c r="S190" i="2"/>
  <c r="C190" i="2" s="1"/>
  <c r="H190" i="2" s="1"/>
  <c r="S98" i="2"/>
  <c r="C98" i="2" s="1"/>
  <c r="H98" i="2" s="1"/>
  <c r="W77" i="2"/>
  <c r="C77" i="1" s="1"/>
  <c r="C77" i="5" s="1"/>
  <c r="E77" i="5" s="1"/>
  <c r="S129" i="2"/>
  <c r="C129" i="2" s="1"/>
  <c r="H129" i="2" s="1"/>
  <c r="S73" i="2"/>
  <c r="C73" i="2" s="1"/>
  <c r="H73" i="2" s="1"/>
  <c r="S30" i="2"/>
  <c r="C30" i="2" s="1"/>
  <c r="H30" i="2" s="1"/>
  <c r="S39" i="2"/>
  <c r="C39" i="2" s="1"/>
  <c r="H39" i="2" s="1"/>
  <c r="S33" i="2"/>
  <c r="C33" i="2" s="1"/>
  <c r="H33" i="2" s="1"/>
  <c r="W74" i="2"/>
  <c r="C74" i="1" s="1"/>
  <c r="C74" i="5" s="1"/>
  <c r="E74" i="5" s="1"/>
  <c r="W11" i="2"/>
  <c r="C11" i="1" s="1"/>
  <c r="C11" i="5" s="1"/>
  <c r="E11" i="5" s="1"/>
  <c r="W162" i="2"/>
  <c r="C162" i="1" s="1"/>
  <c r="C162" i="5" s="1"/>
  <c r="E162" i="5" s="1"/>
  <c r="S88" i="2"/>
  <c r="C88" i="2" s="1"/>
  <c r="H88" i="2" s="1"/>
  <c r="S27" i="2"/>
  <c r="C27" i="2" s="1"/>
  <c r="H27" i="2" s="1"/>
  <c r="S191" i="2"/>
  <c r="C191" i="2" s="1"/>
  <c r="H191" i="2" s="1"/>
  <c r="S211" i="2"/>
  <c r="C211" i="2" s="1"/>
  <c r="H211" i="2" s="1"/>
  <c r="S134" i="2"/>
  <c r="C134" i="2" s="1"/>
  <c r="H134" i="2" s="1"/>
  <c r="W84" i="2"/>
  <c r="C84" i="1" s="1"/>
  <c r="C84" i="5" s="1"/>
  <c r="E84" i="5" s="1"/>
  <c r="W9" i="2"/>
  <c r="C9" i="1" s="1"/>
  <c r="C9" i="5" s="1"/>
  <c r="E9" i="5" s="1"/>
  <c r="W206" i="2"/>
  <c r="C206" i="1" s="1"/>
  <c r="C206" i="5" s="1"/>
  <c r="E206" i="5" s="1"/>
  <c r="W144" i="2"/>
  <c r="C144" i="1" s="1"/>
  <c r="C144" i="5" s="1"/>
  <c r="E144" i="5" s="1"/>
  <c r="W103" i="2"/>
  <c r="C103" i="1" s="1"/>
  <c r="C103" i="5" s="1"/>
  <c r="E103" i="5" s="1"/>
  <c r="S86" i="2"/>
  <c r="C86" i="2" s="1"/>
  <c r="H86" i="2" s="1"/>
  <c r="W81" i="2"/>
  <c r="C81" i="1" s="1"/>
  <c r="C81" i="5" s="1"/>
  <c r="E81" i="5" s="1"/>
  <c r="S193" i="2"/>
  <c r="C193" i="2" s="1"/>
  <c r="H193" i="2" s="1"/>
  <c r="S31" i="2"/>
  <c r="C31" i="2" s="1"/>
  <c r="H31" i="2" s="1"/>
  <c r="W31" i="2" s="1"/>
  <c r="C31" i="1" s="1"/>
  <c r="C31" i="5" s="1"/>
  <c r="E31" i="5" s="1"/>
  <c r="S172" i="2"/>
  <c r="C172" i="2" s="1"/>
  <c r="H172" i="2" s="1"/>
  <c r="W50" i="2"/>
  <c r="C50" i="1" s="1"/>
  <c r="C50" i="5" s="1"/>
  <c r="E50" i="5" s="1"/>
  <c r="N213" i="2"/>
  <c r="N217" i="2" s="1"/>
  <c r="R3" i="2"/>
  <c r="R213" i="2" s="1"/>
  <c r="W20" i="2"/>
  <c r="C20" i="1" s="1"/>
  <c r="C20" i="5" s="1"/>
  <c r="E20" i="5" s="1"/>
  <c r="S170" i="2"/>
  <c r="C170" i="2" s="1"/>
  <c r="H170" i="2" s="1"/>
  <c r="S65" i="2"/>
  <c r="C65" i="2" s="1"/>
  <c r="H65" i="2" s="1"/>
  <c r="W65" i="2" s="1"/>
  <c r="C65" i="1" s="1"/>
  <c r="C65" i="5" s="1"/>
  <c r="E65" i="5" s="1"/>
  <c r="S183" i="2"/>
  <c r="C183" i="2" s="1"/>
  <c r="H183" i="2" s="1"/>
  <c r="S158" i="2"/>
  <c r="C158" i="2" s="1"/>
  <c r="H158" i="2" s="1"/>
  <c r="S24" i="2"/>
  <c r="C24" i="2" s="1"/>
  <c r="H24" i="2" s="1"/>
  <c r="S118" i="2"/>
  <c r="C118" i="2" s="1"/>
  <c r="H118" i="2" s="1"/>
  <c r="W16" i="2"/>
  <c r="C16" i="1" s="1"/>
  <c r="C16" i="5" s="1"/>
  <c r="E16" i="5" s="1"/>
  <c r="S37" i="2"/>
  <c r="C37" i="2" s="1"/>
  <c r="H37" i="2" s="1"/>
  <c r="O213" i="2"/>
  <c r="O217" i="2" s="1"/>
  <c r="Q3" i="2"/>
  <c r="W5" i="2"/>
  <c r="C5" i="1" s="1"/>
  <c r="C5" i="5" s="1"/>
  <c r="E5" i="5" s="1"/>
  <c r="S196" i="2"/>
  <c r="C196" i="2" s="1"/>
  <c r="H196" i="2" s="1"/>
  <c r="H49" i="2"/>
  <c r="S192" i="2"/>
  <c r="C192" i="2" s="1"/>
  <c r="H192" i="2" s="1"/>
  <c r="S147" i="2"/>
  <c r="C147" i="2" s="1"/>
  <c r="H147" i="2" s="1"/>
  <c r="S180" i="2"/>
  <c r="C180" i="2" s="1"/>
  <c r="H180" i="2" s="1"/>
  <c r="W60" i="2"/>
  <c r="C60" i="1" s="1"/>
  <c r="C60" i="5" s="1"/>
  <c r="E60" i="5" s="1"/>
  <c r="S40" i="2"/>
  <c r="C40" i="2" s="1"/>
  <c r="H40" i="2" s="1"/>
  <c r="W184" i="2"/>
  <c r="C184" i="1" s="1"/>
  <c r="C184" i="5" s="1"/>
  <c r="E184" i="5" s="1"/>
  <c r="S83" i="2"/>
  <c r="C83" i="2" s="1"/>
  <c r="H83" i="2" s="1"/>
  <c r="W78" i="2"/>
  <c r="C78" i="1" s="1"/>
  <c r="C78" i="5" s="1"/>
  <c r="E78" i="5" s="1"/>
  <c r="S61" i="2"/>
  <c r="C61" i="2" s="1"/>
  <c r="H61" i="2" s="1"/>
  <c r="S116" i="2"/>
  <c r="C116" i="2" s="1"/>
  <c r="H116" i="2" s="1"/>
  <c r="S136" i="2"/>
  <c r="C136" i="2" s="1"/>
  <c r="H136" i="2" s="1"/>
  <c r="W153" i="2"/>
  <c r="C153" i="1" s="1"/>
  <c r="C153" i="5" s="1"/>
  <c r="E153" i="5" s="1"/>
  <c r="S36" i="2"/>
  <c r="C36" i="2" s="1"/>
  <c r="H36" i="2" s="1"/>
  <c r="W4" i="2"/>
  <c r="C4" i="1" s="1"/>
  <c r="C4" i="5" s="1"/>
  <c r="E4" i="5" s="1"/>
  <c r="S46" i="2"/>
  <c r="C46" i="2" s="1"/>
  <c r="H46" i="2" s="1"/>
  <c r="S34" i="2"/>
  <c r="C34" i="2" s="1"/>
  <c r="H34" i="2" s="1"/>
  <c r="S43" i="2"/>
  <c r="C43" i="2" s="1"/>
  <c r="H43" i="2" s="1"/>
  <c r="W51" i="2"/>
  <c r="C51" i="1" s="1"/>
  <c r="C51" i="5" s="1"/>
  <c r="E51" i="5" s="1"/>
  <c r="W75" i="2"/>
  <c r="C75" i="1" s="1"/>
  <c r="C75" i="5" s="1"/>
  <c r="E75" i="5" s="1"/>
  <c r="S87" i="2"/>
  <c r="C87" i="2" s="1"/>
  <c r="H87" i="2" s="1"/>
  <c r="S198" i="2"/>
  <c r="C198" i="2" s="1"/>
  <c r="H198" i="2" s="1"/>
  <c r="W198" i="2" s="1"/>
  <c r="C198" i="1" s="1"/>
  <c r="C198" i="5" s="1"/>
  <c r="E198" i="5" s="1"/>
  <c r="S171" i="2"/>
  <c r="C171" i="2" s="1"/>
  <c r="H171" i="2" s="1"/>
  <c r="W155" i="2"/>
  <c r="C155" i="1" s="1"/>
  <c r="C155" i="5" s="1"/>
  <c r="E155" i="5" s="1"/>
  <c r="W52" i="2"/>
  <c r="C52" i="1" s="1"/>
  <c r="C52" i="5" s="1"/>
  <c r="E52" i="5" s="1"/>
  <c r="S188" i="2"/>
  <c r="C188" i="2" s="1"/>
  <c r="H188" i="2" s="1"/>
  <c r="S132" i="2"/>
  <c r="C132" i="2" s="1"/>
  <c r="H132" i="2" s="1"/>
  <c r="W25" i="2"/>
  <c r="C25" i="1" s="1"/>
  <c r="C25" i="5" s="1"/>
  <c r="E25" i="5" s="1"/>
  <c r="S13" i="2"/>
  <c r="C13" i="2" s="1"/>
  <c r="H13" i="2" s="1"/>
  <c r="S185" i="2"/>
  <c r="C185" i="2" s="1"/>
  <c r="H185" i="2" s="1"/>
  <c r="W100" i="2" l="1"/>
  <c r="C100" i="1" s="1"/>
  <c r="C100" i="5" s="1"/>
  <c r="E100" i="5" s="1"/>
  <c r="W32" i="2"/>
  <c r="C32" i="1" s="1"/>
  <c r="C32" i="5" s="1"/>
  <c r="E32" i="5" s="1"/>
  <c r="W185" i="2"/>
  <c r="C185" i="1" s="1"/>
  <c r="C185" i="5" s="1"/>
  <c r="E185" i="5" s="1"/>
  <c r="W34" i="2"/>
  <c r="C34" i="1" s="1"/>
  <c r="C34" i="5" s="1"/>
  <c r="E34" i="5" s="1"/>
  <c r="W98" i="2"/>
  <c r="C98" i="1" s="1"/>
  <c r="C98" i="5" s="1"/>
  <c r="E98" i="5" s="1"/>
  <c r="W95" i="2"/>
  <c r="C95" i="1" s="1"/>
  <c r="C95" i="5" s="1"/>
  <c r="E95" i="5" s="1"/>
  <c r="W193" i="2"/>
  <c r="C193" i="1" s="1"/>
  <c r="C193" i="5" s="1"/>
  <c r="E193" i="5" s="1"/>
  <c r="W143" i="2"/>
  <c r="C143" i="1" s="1"/>
  <c r="C143" i="5" s="1"/>
  <c r="E143" i="5" s="1"/>
  <c r="W165" i="2"/>
  <c r="C165" i="1" s="1"/>
  <c r="C165" i="5" s="1"/>
  <c r="E165" i="5" s="1"/>
  <c r="W120" i="2"/>
  <c r="C120" i="1" s="1"/>
  <c r="C120" i="5" s="1"/>
  <c r="E120" i="5" s="1"/>
  <c r="W107" i="2"/>
  <c r="C107" i="1" s="1"/>
  <c r="C107" i="5" s="1"/>
  <c r="E107" i="5" s="1"/>
  <c r="W87" i="2"/>
  <c r="C87" i="1" s="1"/>
  <c r="C87" i="5" s="1"/>
  <c r="E87" i="5" s="1"/>
  <c r="W172" i="2"/>
  <c r="C172" i="1" s="1"/>
  <c r="C172" i="5" s="1"/>
  <c r="E172" i="5" s="1"/>
  <c r="W209" i="2"/>
  <c r="C209" i="1" s="1"/>
  <c r="C209" i="5" s="1"/>
  <c r="E209" i="5" s="1"/>
  <c r="W46" i="2"/>
  <c r="C46" i="1" s="1"/>
  <c r="C46" i="5" s="1"/>
  <c r="E46" i="5" s="1"/>
  <c r="W40" i="2"/>
  <c r="C40" i="1" s="1"/>
  <c r="C40" i="5" s="1"/>
  <c r="E40" i="5" s="1"/>
  <c r="Q213" i="2"/>
  <c r="S3" i="2"/>
  <c r="W205" i="2"/>
  <c r="C205" i="1" s="1"/>
  <c r="C205" i="5" s="1"/>
  <c r="E205" i="5" s="1"/>
  <c r="W124" i="2"/>
  <c r="C124" i="1" s="1"/>
  <c r="C124" i="5" s="1"/>
  <c r="E124" i="5" s="1"/>
  <c r="W123" i="2"/>
  <c r="C123" i="1" s="1"/>
  <c r="C123" i="5" s="1"/>
  <c r="E123" i="5" s="1"/>
  <c r="W83" i="2"/>
  <c r="C83" i="1" s="1"/>
  <c r="C83" i="5" s="1"/>
  <c r="E83" i="5" s="1"/>
  <c r="W194" i="2"/>
  <c r="C194" i="1" s="1"/>
  <c r="C194" i="5" s="1"/>
  <c r="E194" i="5" s="1"/>
  <c r="W13" i="2"/>
  <c r="C13" i="1" s="1"/>
  <c r="C13" i="5" s="1"/>
  <c r="E13" i="5" s="1"/>
  <c r="W190" i="2"/>
  <c r="C190" i="1" s="1"/>
  <c r="C190" i="5" s="1"/>
  <c r="E190" i="5" s="1"/>
  <c r="W90" i="2"/>
  <c r="C90" i="1" s="1"/>
  <c r="C90" i="5" s="1"/>
  <c r="E90" i="5" s="1"/>
  <c r="W132" i="2"/>
  <c r="C132" i="1" s="1"/>
  <c r="C132" i="5" s="1"/>
  <c r="E132" i="5" s="1"/>
  <c r="W134" i="2"/>
  <c r="C134" i="1" s="1"/>
  <c r="C134" i="5" s="1"/>
  <c r="E134" i="5" s="1"/>
  <c r="W68" i="2"/>
  <c r="C68" i="1" s="1"/>
  <c r="C68" i="5" s="1"/>
  <c r="E68" i="5" s="1"/>
  <c r="W26" i="2"/>
  <c r="C26" i="1" s="1"/>
  <c r="C26" i="5" s="1"/>
  <c r="E26" i="5" s="1"/>
  <c r="W160" i="2"/>
  <c r="C160" i="1" s="1"/>
  <c r="C160" i="5" s="1"/>
  <c r="E160" i="5" s="1"/>
  <c r="W192" i="2"/>
  <c r="C192" i="1" s="1"/>
  <c r="C192" i="5" s="1"/>
  <c r="E192" i="5" s="1"/>
  <c r="W158" i="2"/>
  <c r="C158" i="1" s="1"/>
  <c r="C158" i="5" s="1"/>
  <c r="E158" i="5" s="1"/>
  <c r="W191" i="2"/>
  <c r="C191" i="1" s="1"/>
  <c r="C191" i="5" s="1"/>
  <c r="E191" i="5" s="1"/>
  <c r="W39" i="2"/>
  <c r="C39" i="1" s="1"/>
  <c r="C39" i="5" s="1"/>
  <c r="E39" i="5" s="1"/>
  <c r="W15" i="2"/>
  <c r="C15" i="1" s="1"/>
  <c r="C15" i="5" s="1"/>
  <c r="E15" i="5" s="1"/>
  <c r="W203" i="2"/>
  <c r="C203" i="1" s="1"/>
  <c r="C203" i="5" s="1"/>
  <c r="E203" i="5" s="1"/>
  <c r="W136" i="2"/>
  <c r="C136" i="1" s="1"/>
  <c r="C136" i="5" s="1"/>
  <c r="E136" i="5" s="1"/>
  <c r="W49" i="2"/>
  <c r="C49" i="1" s="1"/>
  <c r="C49" i="5" s="1"/>
  <c r="E49" i="5" s="1"/>
  <c r="W183" i="2"/>
  <c r="C183" i="1" s="1"/>
  <c r="C183" i="5" s="1"/>
  <c r="E183" i="5" s="1"/>
  <c r="W30" i="2"/>
  <c r="C30" i="1" s="1"/>
  <c r="C30" i="5" s="1"/>
  <c r="E30" i="5" s="1"/>
  <c r="W110" i="2"/>
  <c r="C110" i="1" s="1"/>
  <c r="C110" i="5" s="1"/>
  <c r="E110" i="5" s="1"/>
  <c r="W149" i="2"/>
  <c r="C149" i="1" s="1"/>
  <c r="C149" i="5" s="1"/>
  <c r="E149" i="5" s="1"/>
  <c r="W139" i="2"/>
  <c r="C139" i="1" s="1"/>
  <c r="C139" i="5" s="1"/>
  <c r="E139" i="5" s="1"/>
  <c r="W188" i="2"/>
  <c r="C188" i="1" s="1"/>
  <c r="C188" i="5" s="1"/>
  <c r="E188" i="5" s="1"/>
  <c r="W211" i="2"/>
  <c r="C211" i="1" s="1"/>
  <c r="C211" i="5" s="1"/>
  <c r="E211" i="5" s="1"/>
  <c r="W178" i="2"/>
  <c r="C178" i="1" s="1"/>
  <c r="C178" i="5" s="1"/>
  <c r="E178" i="5" s="1"/>
  <c r="W166" i="2"/>
  <c r="C166" i="1" s="1"/>
  <c r="C166" i="5" s="1"/>
  <c r="E166" i="5" s="1"/>
  <c r="W180" i="2"/>
  <c r="C180" i="1" s="1"/>
  <c r="C180" i="5" s="1"/>
  <c r="E180" i="5" s="1"/>
  <c r="W86" i="2"/>
  <c r="C86" i="1" s="1"/>
  <c r="C86" i="5" s="1"/>
  <c r="E86" i="5" s="1"/>
  <c r="W137" i="2"/>
  <c r="C137" i="1" s="1"/>
  <c r="C137" i="5" s="1"/>
  <c r="E137" i="5" s="1"/>
  <c r="W116" i="2"/>
  <c r="C116" i="1" s="1"/>
  <c r="C116" i="5" s="1"/>
  <c r="E116" i="5" s="1"/>
  <c r="W196" i="2"/>
  <c r="C196" i="1" s="1"/>
  <c r="C196" i="5" s="1"/>
  <c r="E196" i="5" s="1"/>
  <c r="W73" i="2"/>
  <c r="C73" i="1" s="1"/>
  <c r="C73" i="5" s="1"/>
  <c r="E73" i="5" s="1"/>
  <c r="W97" i="2"/>
  <c r="C97" i="1" s="1"/>
  <c r="C97" i="5" s="1"/>
  <c r="E97" i="5" s="1"/>
  <c r="W201" i="2"/>
  <c r="C201" i="1" s="1"/>
  <c r="C201" i="5" s="1"/>
  <c r="E201" i="5" s="1"/>
  <c r="W147" i="2"/>
  <c r="C147" i="1" s="1"/>
  <c r="C147" i="5" s="1"/>
  <c r="E147" i="5" s="1"/>
  <c r="W61" i="2"/>
  <c r="C61" i="1" s="1"/>
  <c r="C61" i="5" s="1"/>
  <c r="E61" i="5" s="1"/>
  <c r="W170" i="2"/>
  <c r="C170" i="1" s="1"/>
  <c r="C170" i="5" s="1"/>
  <c r="E170" i="5" s="1"/>
  <c r="W27" i="2"/>
  <c r="C27" i="1" s="1"/>
  <c r="C27" i="5" s="1"/>
  <c r="E27" i="5" s="1"/>
  <c r="W129" i="2"/>
  <c r="C129" i="1" s="1"/>
  <c r="C129" i="5" s="1"/>
  <c r="E129" i="5" s="1"/>
  <c r="W126" i="2"/>
  <c r="C126" i="1" s="1"/>
  <c r="C126" i="5" s="1"/>
  <c r="E126" i="5" s="1"/>
  <c r="W102" i="2"/>
  <c r="C102" i="1" s="1"/>
  <c r="C102" i="5" s="1"/>
  <c r="E102" i="5" s="1"/>
  <c r="W59" i="2"/>
  <c r="C59" i="1" s="1"/>
  <c r="C59" i="5" s="1"/>
  <c r="E59" i="5" s="1"/>
  <c r="W36" i="2"/>
  <c r="C36" i="1" s="1"/>
  <c r="C36" i="5" s="1"/>
  <c r="E36" i="5" s="1"/>
  <c r="W145" i="2"/>
  <c r="C145" i="1" s="1"/>
  <c r="C145" i="5" s="1"/>
  <c r="E145" i="5" s="1"/>
  <c r="W207" i="2"/>
  <c r="C207" i="1" s="1"/>
  <c r="C207" i="5" s="1"/>
  <c r="E207" i="5" s="1"/>
  <c r="W171" i="2"/>
  <c r="C171" i="1" s="1"/>
  <c r="C171" i="5" s="1"/>
  <c r="E171" i="5" s="1"/>
  <c r="W118" i="2"/>
  <c r="C118" i="1" s="1"/>
  <c r="C118" i="5" s="1"/>
  <c r="E118" i="5" s="1"/>
  <c r="W88" i="2"/>
  <c r="C88" i="1" s="1"/>
  <c r="C88" i="5" s="1"/>
  <c r="E88" i="5" s="1"/>
  <c r="W187" i="2"/>
  <c r="C187" i="1" s="1"/>
  <c r="C187" i="5" s="1"/>
  <c r="E187" i="5" s="1"/>
  <c r="W106" i="2"/>
  <c r="C106" i="1" s="1"/>
  <c r="C106" i="5" s="1"/>
  <c r="E106" i="5" s="1"/>
  <c r="W189" i="2"/>
  <c r="C189" i="1" s="1"/>
  <c r="C189" i="5" s="1"/>
  <c r="E189" i="5" s="1"/>
  <c r="W108" i="2"/>
  <c r="C108" i="1" s="1"/>
  <c r="C108" i="5" s="1"/>
  <c r="E108" i="5" s="1"/>
  <c r="W130" i="2"/>
  <c r="C130" i="1" s="1"/>
  <c r="C130" i="5" s="1"/>
  <c r="E130" i="5" s="1"/>
  <c r="W117" i="2"/>
  <c r="C117" i="1" s="1"/>
  <c r="C117" i="5" s="1"/>
  <c r="E117" i="5" s="1"/>
  <c r="W37" i="2"/>
  <c r="C37" i="1" s="1"/>
  <c r="C37" i="5" s="1"/>
  <c r="E37" i="5" s="1"/>
  <c r="W33" i="2"/>
  <c r="C33" i="1" s="1"/>
  <c r="C33" i="5" s="1"/>
  <c r="E33" i="5" s="1"/>
  <c r="W43" i="2"/>
  <c r="C43" i="1" s="1"/>
  <c r="C43" i="5" s="1"/>
  <c r="E43" i="5" s="1"/>
  <c r="W24" i="2"/>
  <c r="C24" i="1" s="1"/>
  <c r="C24" i="5" s="1"/>
  <c r="E24" i="5" s="1"/>
  <c r="W91" i="2"/>
  <c r="C91" i="1" s="1"/>
  <c r="C91" i="5" s="1"/>
  <c r="E91" i="5" s="1"/>
  <c r="W197" i="2"/>
  <c r="C197" i="1" s="1"/>
  <c r="C197" i="5" s="1"/>
  <c r="E197" i="5" s="1"/>
  <c r="S213" i="2" l="1"/>
  <c r="C3" i="2"/>
  <c r="C213" i="2" l="1"/>
  <c r="H3" i="2"/>
  <c r="H213" i="2" l="1"/>
  <c r="W3" i="2"/>
  <c r="W213" i="2" l="1"/>
  <c r="C3" i="1"/>
  <c r="C213" i="1" l="1"/>
  <c r="C3" i="5"/>
  <c r="C213" i="5" l="1"/>
  <c r="E3" i="5"/>
  <c r="E213" i="5" s="1"/>
</calcChain>
</file>

<file path=xl/sharedStrings.xml><?xml version="1.0" encoding="utf-8"?>
<sst xmlns="http://schemas.openxmlformats.org/spreadsheetml/2006/main" count="672" uniqueCount="451">
  <si>
    <t>Totals</t>
  </si>
  <si>
    <t>December 31, 25</t>
  </si>
  <si>
    <t>Journals Dec 2025</t>
  </si>
  <si>
    <t>JN No.</t>
  </si>
  <si>
    <t>Final</t>
  </si>
  <si>
    <t>Dr</t>
  </si>
  <si>
    <t>Cr</t>
  </si>
  <si>
    <t>Nett</t>
  </si>
  <si>
    <t>1001 · CDH Inv Bank 0050401042201</t>
  </si>
  <si>
    <t>1002 · CDH Inv Bank PIA 0050401044100</t>
  </si>
  <si>
    <t>1003 · FDI Project-Payments</t>
  </si>
  <si>
    <t>1005 · FDI Project payment-USD</t>
  </si>
  <si>
    <t>1006 · Petty cash</t>
  </si>
  <si>
    <t>1012 · Money Market:1008 · Alliance Capital</t>
  </si>
  <si>
    <t>1012 · Money Market:1009 · CDHIB Fixed Deposit</t>
  </si>
  <si>
    <t>1012 · Money Market:1010 · CDHIB Call Account</t>
  </si>
  <si>
    <t>1012 · Money Market:1011 · FDH Discount House</t>
  </si>
  <si>
    <t>1012 · Money Market:1013 · MyBucks</t>
  </si>
  <si>
    <t>1012 · Money Market:1014 · Continental Asset Management</t>
  </si>
  <si>
    <t>1012 · Money Market:1015 · NICO-INV1</t>
  </si>
  <si>
    <t>1012 · Money Market:1016 · Treasury Note</t>
  </si>
  <si>
    <t>1012 · Money Market:1020 · FINCA</t>
  </si>
  <si>
    <t>1012 · Money Market:1025 · CDHIB Fixed Deposit (USD)</t>
  </si>
  <si>
    <t>1012 · Money Market:1026 · NICO-INV 2</t>
  </si>
  <si>
    <t>1012 · Money Market:1027 · CDHIB Call Account FInES</t>
  </si>
  <si>
    <t>1012 · Money Market:1028 · Old Mutual Investment Group Ltd</t>
  </si>
  <si>
    <t>1012 · Money Market:1031 · CDHIB Fixed Deposit (USD) 2</t>
  </si>
  <si>
    <t>1012 · Money Market:1032 · CDHIB Fixed Deposit (USD) 3</t>
  </si>
  <si>
    <t>1012 · Money Market:1033 · NBS Bank- Mega Farms 1</t>
  </si>
  <si>
    <t>1012 · Money Market:1034 · NBS Bank Mega Farms 2</t>
  </si>
  <si>
    <t>1012 · Money Market:1035 · Continental Asset Management 2</t>
  </si>
  <si>
    <t>1012 · Money Market:1037 · CDHIB Call Account AGCOM</t>
  </si>
  <si>
    <t>1012 · Money Market:1038 · CDHIB Fixed Deposit AGCOM</t>
  </si>
  <si>
    <t>1012 · Money Market:1043 · NBS Money Market</t>
  </si>
  <si>
    <t>1012 · Money Market:1044 · FDH Discount House 2</t>
  </si>
  <si>
    <t>1012 · Money Market:1045 · FDH Discount House 3</t>
  </si>
  <si>
    <t>1012 · Money Market:1047 · NICO Asset Managers</t>
  </si>
  <si>
    <t>1017 · NBS Cash collection</t>
  </si>
  <si>
    <t>1018 · NBS Current A/C 21011223</t>
  </si>
  <si>
    <t>1019 · NBS USD A/C 21011436</t>
  </si>
  <si>
    <t>1021 · NBS Money Market</t>
  </si>
  <si>
    <t>1022 · AGRA- FCDA</t>
  </si>
  <si>
    <t>1023 · MICF- Mbora FCDA</t>
  </si>
  <si>
    <t>1024 · RBM - Treasury Bills</t>
  </si>
  <si>
    <t>1029 · NBS Money Market Acc 2</t>
  </si>
  <si>
    <t>1036 · NBS Bank Mega Farms</t>
  </si>
  <si>
    <t>1046 · First Capital Bank</t>
  </si>
  <si>
    <t>1048 · CDHIB MAIIC AGRA (MK)</t>
  </si>
  <si>
    <t>1030 · Partial Credit Guarantee Fund</t>
  </si>
  <si>
    <t>1039 · Accrued Coupon Settlements</t>
  </si>
  <si>
    <t>1040 · Accrued Interest Income- MM</t>
  </si>
  <si>
    <t>1041 · Accrued Interest income- TNote</t>
  </si>
  <si>
    <t>1042 · Accrued Interest Income- T/Bill</t>
  </si>
  <si>
    <t>1049 · Term Loan - USD</t>
  </si>
  <si>
    <t>1050 · Term Loans</t>
  </si>
  <si>
    <t>Reversal of Museco Loan Balance</t>
  </si>
  <si>
    <t>1053 · Accounts Receivables</t>
  </si>
  <si>
    <t>1054 · Mega Farms-Fertilizers-Loan</t>
  </si>
  <si>
    <t>1055 · Mega Farms-Seed Loans</t>
  </si>
  <si>
    <t>1056 · Mega Farms-Working Capital Loan</t>
  </si>
  <si>
    <t>1057 · Mega Farms-Equipment Loan</t>
  </si>
  <si>
    <t>1058 · Mega Farms-Irrigation Loan</t>
  </si>
  <si>
    <t>1059 · Mega Farm Loans Interest-Capex</t>
  </si>
  <si>
    <t>1060 · Mega Farm Loans Interest-Fertil</t>
  </si>
  <si>
    <t>1061 · Mega Farm Loans Interest-OPEX</t>
  </si>
  <si>
    <t>1062 · Mega Farm Loans Interest-Seed</t>
  </si>
  <si>
    <t>1063 · Mega Farm - Pesticides Loan</t>
  </si>
  <si>
    <t>1066 · ECL Megafarm Loans</t>
  </si>
  <si>
    <t>Additional Mega Farms ECL</t>
  </si>
  <si>
    <t>1067 · Mega Farm Loans Interest-Pestic</t>
  </si>
  <si>
    <t>1051 · Employee loan and advances</t>
  </si>
  <si>
    <t>1052 · Prepaid expenses</t>
  </si>
  <si>
    <t>1070. Mega Farms Receivable- ADMARC</t>
  </si>
  <si>
    <t>1071. Mega Farms Receivable- NFRA</t>
  </si>
  <si>
    <t>1074 . Mega Farm Receivable ACE Agriculture Limited</t>
  </si>
  <si>
    <t>1100 · Cash Collateral</t>
  </si>
  <si>
    <t>1210 · Cash passport card</t>
  </si>
  <si>
    <t>1310 · Prepaid Insurance</t>
  </si>
  <si>
    <t>1320 · Interest Suspense</t>
  </si>
  <si>
    <t>1321 · Capital Raising Prepayment</t>
  </si>
  <si>
    <t>1877 · Prepaid Loan Repayments Account</t>
  </si>
  <si>
    <t>1500 · Furniture and Fixtures</t>
  </si>
  <si>
    <t>1500 · Furniture and Fixtures:1501 · Cost</t>
  </si>
  <si>
    <t>1500 · Furniture and Fixtures:1502 · Depreciation</t>
  </si>
  <si>
    <t>1510 · Computer Equipment:1511 · Cost</t>
  </si>
  <si>
    <t>1510 · Computer Equipment:1512 · Depreciation</t>
  </si>
  <si>
    <t>1520 · Office Equipment:1521 · Cost</t>
  </si>
  <si>
    <t>1520 · Office Equipment:1522 · Depreciation</t>
  </si>
  <si>
    <t>1530 · Motor Vehicles:1531 · Cost</t>
  </si>
  <si>
    <t>1530 · Motor Vehicles:1532 · Depreciation</t>
  </si>
  <si>
    <t>1545 · Software</t>
  </si>
  <si>
    <t>1545 · Software:1546 · Cost</t>
  </si>
  <si>
    <t>1545 · Software:1547 · Depreciation</t>
  </si>
  <si>
    <t>1595 · Right of Use:1596 · Cost</t>
  </si>
  <si>
    <t>1595 · Right of Use:1597 · Amortisation/ Depreciation</t>
  </si>
  <si>
    <t>1548 · Amortization</t>
  </si>
  <si>
    <t>1549 · WIP</t>
  </si>
  <si>
    <t>1871 · Undrawn Commitment-MAIIC</t>
  </si>
  <si>
    <t>1872 · Undrawn Commitments-FInES</t>
  </si>
  <si>
    <t>1873 · Guarantees MAIIC</t>
  </si>
  <si>
    <t>1874 · Guarantees -FInES</t>
  </si>
  <si>
    <t>1875 · Guarantees -AGCOM</t>
  </si>
  <si>
    <t>1876 · ECL Write Offs</t>
  </si>
  <si>
    <t>2000 · Accounts Payable</t>
  </si>
  <si>
    <t>2001 · Accounts Payable - USD</t>
  </si>
  <si>
    <t>2002 · Accounts Payable - ZAR</t>
  </si>
  <si>
    <t>2003 · Capital Raising WIP Payables</t>
  </si>
  <si>
    <t>1064 · Term Loans Write Offs</t>
  </si>
  <si>
    <t>2010 · Loan draw down account</t>
  </si>
  <si>
    <t>2030 · Insurance Buffer</t>
  </si>
  <si>
    <t>2040 · T-Bill Provision</t>
  </si>
  <si>
    <t>2041 · ECL Preference Shares</t>
  </si>
  <si>
    <t>2042 · ECL Staff Loans</t>
  </si>
  <si>
    <t>2043 · ECL WHT Receivables</t>
  </si>
  <si>
    <t>2051 · Accruals and Provisions</t>
  </si>
  <si>
    <t>2052 · Malawi Revenue Authority- Other</t>
  </si>
  <si>
    <t>2053 · Lease Liability</t>
  </si>
  <si>
    <t>2055 · Expected Credit Losses</t>
  </si>
  <si>
    <t>2056 · ECL-Money Market Investments</t>
  </si>
  <si>
    <t>2057 · ECL Treasury Investments</t>
  </si>
  <si>
    <t>2058 · Salaries Control Account</t>
  </si>
  <si>
    <t>2059 · Mega farm Loans ECL</t>
  </si>
  <si>
    <t>2063 · Undrawn Commitments MAIIC</t>
  </si>
  <si>
    <t>2064 · Undrawn Commitments FInES</t>
  </si>
  <si>
    <t>2065 · Guarantees- MAIIC</t>
  </si>
  <si>
    <t>2068 · Guarantees FInES</t>
  </si>
  <si>
    <t>2069 · Guarantees-AGCOM</t>
  </si>
  <si>
    <t>2071 · Mega Farm Loans Interest</t>
  </si>
  <si>
    <t>2072 · Mega Farm waiting Funding</t>
  </si>
  <si>
    <t>2553 · Malawi Revenue Authority-VAT</t>
  </si>
  <si>
    <t>2554 · MRA Liabilities</t>
  </si>
  <si>
    <t>2060 · FInES Liability</t>
  </si>
  <si>
    <t>2061 · AGCOM Liability- USD</t>
  </si>
  <si>
    <t>2062 · Deferred Income</t>
  </si>
  <si>
    <t>2070 · Mega Farms- Liability</t>
  </si>
  <si>
    <t>3000 · Share Capital Account:3001 · Malawi Government</t>
  </si>
  <si>
    <t>3000 · Share Capital Account:3002 · CDH Investment Bank</t>
  </si>
  <si>
    <t>3000 · Share Capital Account:3003 · Investment Alliance</t>
  </si>
  <si>
    <t>3010 · Capital contribution:3011 · CDH Investment Bank Limited</t>
  </si>
  <si>
    <t>3010 · Capital contribution:3012 · Malawi Government</t>
  </si>
  <si>
    <t>3010 · Capital contribution:3013 · Investment Alliance</t>
  </si>
  <si>
    <t>3020 · Share Premium Account:3014 · CDH Investment Bank Limited</t>
  </si>
  <si>
    <t>3020 · Share Premium Account:3015 · Investment Alliance</t>
  </si>
  <si>
    <t>3060 · Mbora Limited</t>
  </si>
  <si>
    <t>3061 · MMC Limited</t>
  </si>
  <si>
    <t>3062 · Wijays Enterprise</t>
  </si>
  <si>
    <t>3063 · Good Hope Private Clinic Limite</t>
  </si>
  <si>
    <t>3064 · IFRS 16 Transaction Adjust</t>
  </si>
  <si>
    <t>3065 · NASCOMEX Limited</t>
  </si>
  <si>
    <t>3067 · Natures Gift</t>
  </si>
  <si>
    <t>3068 · Small Farm Cities Africa Ltd</t>
  </si>
  <si>
    <t>3069 · Kwalingana Investments Limited</t>
  </si>
  <si>
    <t>3071 · Napoleon Dzombe T/A Santhe Busi</t>
  </si>
  <si>
    <t>3200 · Retained Earnings</t>
  </si>
  <si>
    <t>4205 · Investment Interest Income MM</t>
  </si>
  <si>
    <t>4206 · Interest on Term Loans-Maiic</t>
  </si>
  <si>
    <t>4207 · Interest on Staff Loans</t>
  </si>
  <si>
    <t>4209 · Term loan interest- FInES</t>
  </si>
  <si>
    <t>4211 · Investment Income-USD MM</t>
  </si>
  <si>
    <t>4213 · Investment Income-Coupon Settle</t>
  </si>
  <si>
    <t>4214 · Interest Income-Mega Farm Capex</t>
  </si>
  <si>
    <t>4215 · Interest Income-Mega Farm Ferti</t>
  </si>
  <si>
    <t>4216 · Interest Income-Mega Farms Oper</t>
  </si>
  <si>
    <t>4217 · Interest Income-Mega Farms Seed</t>
  </si>
  <si>
    <t>4219 · Interest Income-Mega Farms Pest</t>
  </si>
  <si>
    <t>4870 · Services Income:4871 · Legal  fees</t>
  </si>
  <si>
    <t>4870 · Services Income:4873 · Arrangement Fees</t>
  </si>
  <si>
    <t>4870 · Services Income:4874 · Insurance fees</t>
  </si>
  <si>
    <t>4870 · Services Income:4875 · PCG Guarantee fees</t>
  </si>
  <si>
    <t>4890 · Sundry Income</t>
  </si>
  <si>
    <t>4892 · Grants</t>
  </si>
  <si>
    <t>5004 · Audit Fees</t>
  </si>
  <si>
    <t>5005 · Board meetings</t>
  </si>
  <si>
    <t>5006 · Directors Fees</t>
  </si>
  <si>
    <t>5007 · Conferences and Meetings</t>
  </si>
  <si>
    <t>5010 · Consultancy costs</t>
  </si>
  <si>
    <t>5012 · Office Supllies</t>
  </si>
  <si>
    <t>5014 · Recruitment expenses</t>
  </si>
  <si>
    <t>5015 · Relocation allowance</t>
  </si>
  <si>
    <t>5050 · Employee Remuneration:5051 · Employee Pension</t>
  </si>
  <si>
    <t>5050 · Employee Remuneration:5052 · Staff Salaries</t>
  </si>
  <si>
    <t>5050 · Employee Remuneration:5053 · Staff Medical</t>
  </si>
  <si>
    <t>5050 · Employee Remuneration:5056 · Other Staff Benefits</t>
  </si>
  <si>
    <t>6000 · Advertisng and Promotion</t>
  </si>
  <si>
    <t>6010 · Printing and stationery</t>
  </si>
  <si>
    <t>6020 · Vehicle Expense</t>
  </si>
  <si>
    <t>6030 · Cleaning Services</t>
  </si>
  <si>
    <t>6040 · Bank Service Charges</t>
  </si>
  <si>
    <t>6050 · Donations</t>
  </si>
  <si>
    <t>6200 · Staff Training</t>
  </si>
  <si>
    <t>6240 · Depn-Motor Vehicle Exp</t>
  </si>
  <si>
    <t>6242 · Impairement of Financial Asset</t>
  </si>
  <si>
    <t>6243 · Depn-Furniture&amp;Fittings Exp</t>
  </si>
  <si>
    <t>6244 · Depn-Computer Equip Exp</t>
  </si>
  <si>
    <t>6245 · Depn-Office Equip Exp</t>
  </si>
  <si>
    <t>6246 · Depn-Software Expe</t>
  </si>
  <si>
    <t>6250 · Dues and Subscriptions</t>
  </si>
  <si>
    <t>6330 · Insurance Expense</t>
  </si>
  <si>
    <t>6340 · Interest Expense</t>
  </si>
  <si>
    <t>6490 · Office Expense</t>
  </si>
  <si>
    <t>6650 · Postage and Delivery</t>
  </si>
  <si>
    <t>6710 · Rent and Rates</t>
  </si>
  <si>
    <t>6720 · Repairs and Maintenance</t>
  </si>
  <si>
    <t>6730 · FInES Expenses</t>
  </si>
  <si>
    <t>6740 · AGRA Expenses</t>
  </si>
  <si>
    <t>6750 · AGCOM Expenses</t>
  </si>
  <si>
    <t>6751 · Shared Interest Cost</t>
  </si>
  <si>
    <t>6752 · Legal Costs-Clients</t>
  </si>
  <si>
    <t>6754 · Mega Farms T&amp;S Allowances</t>
  </si>
  <si>
    <t>6755 · Mega farms-Vehicle Expenses</t>
  </si>
  <si>
    <t>6756 · Mega Farms-Salaries</t>
  </si>
  <si>
    <t>6757 · Mega farms-Other Expenses</t>
  </si>
  <si>
    <t>6758 · Mega Farms Board Meeting</t>
  </si>
  <si>
    <t>6800 · Taxes:6801 · Tevet levy</t>
  </si>
  <si>
    <t>6800 · Taxes:6802 · Fringe Benefits Tax</t>
  </si>
  <si>
    <t>6810 · Communication</t>
  </si>
  <si>
    <t>6820 · Disposal Acc</t>
  </si>
  <si>
    <t>6840 · Travelling and Accommodation</t>
  </si>
  <si>
    <t>6860 · Utilities</t>
  </si>
  <si>
    <t>7700 · Exchange Gain or Loss</t>
  </si>
  <si>
    <t>GL Title</t>
  </si>
  <si>
    <t>Debit</t>
  </si>
  <si>
    <t>Credit</t>
  </si>
  <si>
    <t>Grand Total :</t>
  </si>
  <si>
    <t>1017...NBS Cash Collection</t>
  </si>
  <si>
    <t>0.00</t>
  </si>
  <si>
    <t>1018...NBS Current A/C 21011223</t>
  </si>
  <si>
    <t>1046...First Capital Bank</t>
  </si>
  <si>
    <t>1001...CDH Inv Bank 0050401042201</t>
  </si>
  <si>
    <t>1048...CDH MAIIC AGRA (MK)</t>
  </si>
  <si>
    <t>1022...AGRA- FCDA</t>
  </si>
  <si>
    <t>1010...Money Market CDHIB Call Account</t>
  </si>
  <si>
    <t>1011...Money Market FDH Discount House</t>
  </si>
  <si>
    <t>1002...CDH Inv Bank PIA 0050401044100</t>
  </si>
  <si>
    <t>1005...FDI Project Payment-USD</t>
  </si>
  <si>
    <t>4.67</t>
  </si>
  <si>
    <t>1009...Money Market  CDHIB Fixed Deposit</t>
  </si>
  <si>
    <t>1014...Money Market  Continental Asset Management</t>
  </si>
  <si>
    <t>1019...NBS USD A/C 21011436</t>
  </si>
  <si>
    <t>1021...NBS Money Market</t>
  </si>
  <si>
    <t>1023...MICF- Mbora FCDA - USD</t>
  </si>
  <si>
    <t>5.46</t>
  </si>
  <si>
    <t>1025...Money Market  CDHIB Fixed Deposit (USD)</t>
  </si>
  <si>
    <t>1027...Money Market  CDHIB Call Account Fines</t>
  </si>
  <si>
    <t>1031...Money Market  CDHIB Fixed Deposit (USD) 2</t>
  </si>
  <si>
    <t>1032...Money Market  CDHIB Fixed Deposit (USD) 3</t>
  </si>
  <si>
    <t>1029...NBS Money Market Acc 2</t>
  </si>
  <si>
    <t>1028...Money Market  Old Mutual Investment Group Ltd</t>
  </si>
  <si>
    <t>0.18</t>
  </si>
  <si>
    <t>1035...Money Market  Continental Asset Management 2</t>
  </si>
  <si>
    <t>1037...CDHIB Call Account AGCOM</t>
  </si>
  <si>
    <t>1038...CDHIB Fixed Deposit AGCOM</t>
  </si>
  <si>
    <t>1044...FDH Discount House 2</t>
  </si>
  <si>
    <t>1047...NICO Asset Managers</t>
  </si>
  <si>
    <t>1006...Petty Cash</t>
  </si>
  <si>
    <t>1050...Term Loans</t>
  </si>
  <si>
    <t>1871...Undrawn Commitment-MAIIC</t>
  </si>
  <si>
    <t>1872...Undrawn Commitments-Fines</t>
  </si>
  <si>
    <t>2063...Undrawn Commitments MAIIC</t>
  </si>
  <si>
    <t>1050101...MAIIC Agricultural Loans</t>
  </si>
  <si>
    <t>1050102...MAIIC Industrial Loans</t>
  </si>
  <si>
    <t>1050401...MAIIC Term Loan</t>
  </si>
  <si>
    <t>1050201...FInES Agricultural Loans</t>
  </si>
  <si>
    <t>1050202...FInES Industrial Loans</t>
  </si>
  <si>
    <t>1050301...Mega Farm Fertilizer Loans</t>
  </si>
  <si>
    <t>1050302...Mega Farm Seed Loans</t>
  </si>
  <si>
    <t>1050303...Mega Farm Working Capital Loans</t>
  </si>
  <si>
    <t>1050304...Mega Farm Equipment Loans</t>
  </si>
  <si>
    <t>1050305...Mega Farms Irrigation</t>
  </si>
  <si>
    <t>1050307...Mega Farm-Pesticides Loans</t>
  </si>
  <si>
    <t>1051...Employee Loan And Advances</t>
  </si>
  <si>
    <t>2056...ECL-Money Market Investments</t>
  </si>
  <si>
    <t>2055...ECL Loans and Advances</t>
  </si>
  <si>
    <t>2041...ECL Preference Shares</t>
  </si>
  <si>
    <t>2042...ECL Staff Loans</t>
  </si>
  <si>
    <t>2043...ECL Preference Shares</t>
  </si>
  <si>
    <t>1521...Office Equipment Cost</t>
  </si>
  <si>
    <t>1500...Furniture And Fixtures</t>
  </si>
  <si>
    <t>1511...Computer Equipment Cost</t>
  </si>
  <si>
    <t>1501...Furniture And Fixtures Cost</t>
  </si>
  <si>
    <t>1531...Motor Vehicles  Cost</t>
  </si>
  <si>
    <t>1522...Office Equipment Depreciation</t>
  </si>
  <si>
    <t>1512...Computer Equipment Depreciation</t>
  </si>
  <si>
    <t>1502...Furniture And Fixtures Depreciation</t>
  </si>
  <si>
    <t>1532...Motor Vehicles Depreciation</t>
  </si>
  <si>
    <t>1546...Software Cost</t>
  </si>
  <si>
    <t>1547...Software Depreciation</t>
  </si>
  <si>
    <t>3065...NASCOMEX Limited</t>
  </si>
  <si>
    <t>3061...MMC Limited</t>
  </si>
  <si>
    <t>3062...Wijays Enterprise</t>
  </si>
  <si>
    <t>3063...Good Hope Private Clinic Limite</t>
  </si>
  <si>
    <t>3067...NATURES GIFT LIMITED</t>
  </si>
  <si>
    <t>3068...Small Farm Cities Africa Ltd</t>
  </si>
  <si>
    <t>3069...Kwalingana Investment Limited</t>
  </si>
  <si>
    <t>3071...Napoleon Dzombe T/A Santhe Busi</t>
  </si>
  <si>
    <t>1030...Partial Credit Guarantee Fund</t>
  </si>
  <si>
    <t>1052...Prepaid Expenses</t>
  </si>
  <si>
    <t>1310...Prepaid Insurance</t>
  </si>
  <si>
    <t>1210...Cash Passport</t>
  </si>
  <si>
    <t>2052...Malawi Revenue Authority- Other</t>
  </si>
  <si>
    <t>1549...WIP</t>
  </si>
  <si>
    <t>1053...Accounts Receivables</t>
  </si>
  <si>
    <t>1074...Mega Farm Receivable ACE Agriculture Limited</t>
  </si>
  <si>
    <t>1039...Accrued Coupon Settlements  TOTAL</t>
  </si>
  <si>
    <t>1040...Accrued Interest Income</t>
  </si>
  <si>
    <t>1320...Interest Suspense</t>
  </si>
  <si>
    <t>1070...Mega Farms Receivable -ADMARC</t>
  </si>
  <si>
    <t>1071...Mega Farms Receivable -NFRA</t>
  </si>
  <si>
    <t>105031...Interest Receivable Mega Farm Fertilizer Loans</t>
  </si>
  <si>
    <t>105032...Interest Receivable On Mega Farm Seed Loans</t>
  </si>
  <si>
    <t>105033...Interest Receivable On Mega Farm Working Capital Loans</t>
  </si>
  <si>
    <t>105034...Interest Receivable On Mega Farm OPEX</t>
  </si>
  <si>
    <t>105035...Interest Receivable On Mega Farm Irrigation</t>
  </si>
  <si>
    <t>105037...Interest Receivable On Mega Farm Pesticides Loans</t>
  </si>
  <si>
    <t>1059...Interest Receivable- Mega Farm Irrigation (Govt)</t>
  </si>
  <si>
    <t>1060...Interest Receivable- Mega Farm Fertilizer (Govt)</t>
  </si>
  <si>
    <t>1061...Interest Receivable- Mega Farm Working Capital (Govt)</t>
  </si>
  <si>
    <t>1062...Interest Receivable- Mega Farm Seed (Govt)</t>
  </si>
  <si>
    <t>1063...Interest Receivable- Mega Farm Equipment (Govt)</t>
  </si>
  <si>
    <t>1065...Interest Receivable- Mega Farm Pesticides Loans (Govt)</t>
  </si>
  <si>
    <t>1064...Term Loans Write Offs</t>
  </si>
  <si>
    <t>1066...ECL Megafarm Loans</t>
  </si>
  <si>
    <t>1873...Guarantees MAIIC</t>
  </si>
  <si>
    <t>1874...Guarantees -Fines</t>
  </si>
  <si>
    <t>1875...Guarantees -AGCOM</t>
  </si>
  <si>
    <t>3200...Retained Earnings</t>
  </si>
  <si>
    <t>3003...Investment Alliance</t>
  </si>
  <si>
    <t>3014...CDH Investment Bank Limited</t>
  </si>
  <si>
    <t>3015...Investment Alliance</t>
  </si>
  <si>
    <t>3001...Malawi Government</t>
  </si>
  <si>
    <t>3002...CDH Investment Bank</t>
  </si>
  <si>
    <t>2060...Fines Liability</t>
  </si>
  <si>
    <t>2061...AGCOM Liability- USD</t>
  </si>
  <si>
    <t>2058...Salaries Control Account</t>
  </si>
  <si>
    <t>0.01</t>
  </si>
  <si>
    <t>2065...Guarantees MAIIC</t>
  </si>
  <si>
    <t>2068...Guarantees FinES</t>
  </si>
  <si>
    <t>2069...Guarantees AGCOM</t>
  </si>
  <si>
    <t>2554...MRA Liabilities</t>
  </si>
  <si>
    <t>2002...Accounts Payable - ZAR</t>
  </si>
  <si>
    <t>0.03</t>
  </si>
  <si>
    <t>2051...Accruals And Provisions</t>
  </si>
  <si>
    <t>2030...Insurance Buffer</t>
  </si>
  <si>
    <t>1100...Cash Collateral</t>
  </si>
  <si>
    <t>2000...Accounts Payable</t>
  </si>
  <si>
    <t>2070...Mega Farms- Liability</t>
  </si>
  <si>
    <t>2064...Undrawn Commitments Fines</t>
  </si>
  <si>
    <t>1876...ECL Write Offs</t>
  </si>
  <si>
    <t>2071...Mega Farms Goverment Funds</t>
  </si>
  <si>
    <t>2059...Mega Farm Loans ECL</t>
  </si>
  <si>
    <t>2072...Mega Farm - Awaiting Funding</t>
  </si>
  <si>
    <t>4205...Investment Interest Income -Tbill</t>
  </si>
  <si>
    <t>4211...Investment Income USD CALL ACCOUNT</t>
  </si>
  <si>
    <t>4218...Interest On FInES Agricultural Loans</t>
  </si>
  <si>
    <t>4219...Interest On FInES Industrial Loans</t>
  </si>
  <si>
    <t>4207...Interest On Staff Loans</t>
  </si>
  <si>
    <t>4215...Interest On MAIIC Agricultural Loans</t>
  </si>
  <si>
    <t>4216...Interest On MAIIC Industrial Loans</t>
  </si>
  <si>
    <t>4221...Interest On Mega Farm Fertilizer Loans</t>
  </si>
  <si>
    <t>4222...Interest On Mega Farm Seed Loans</t>
  </si>
  <si>
    <t>4223...Interest On Mega Farm Working Capital Loans</t>
  </si>
  <si>
    <t>4224...Interest On Mega Farm Equipment Loans</t>
  </si>
  <si>
    <t>4260...Interest On Mega Farm Irrigation</t>
  </si>
  <si>
    <t>4262...Interest On Mega Farm Mega Farm Pesticides Loans</t>
  </si>
  <si>
    <t>4213...Investment Income-Coupon Settle</t>
  </si>
  <si>
    <t>4871...Legal  Fees</t>
  </si>
  <si>
    <t>4873...Arrangement Fees</t>
  </si>
  <si>
    <t>4874...Insurance Fees</t>
  </si>
  <si>
    <t>4875...PCG Guarantee Fees</t>
  </si>
  <si>
    <t>6751...Shared Interest Cost</t>
  </si>
  <si>
    <t>42019...Interest On MAIIC Term Loan</t>
  </si>
  <si>
    <t>6240...Depn-Motor Vehicle Exp</t>
  </si>
  <si>
    <t>6243...Depn-Furniture fittings Exp</t>
  </si>
  <si>
    <t>6244...Depn-Computer Equip Exp</t>
  </si>
  <si>
    <t>6245...Depn-Office Equip Exp</t>
  </si>
  <si>
    <t>6246...Depn-Software Expe</t>
  </si>
  <si>
    <t>6250...Dues And Subscriptions</t>
  </si>
  <si>
    <t>6330...Insurance Expense</t>
  </si>
  <si>
    <t>6490...Office Expense</t>
  </si>
  <si>
    <t>6010...Printing And Stationery</t>
  </si>
  <si>
    <t>6650...Postage And Delivery</t>
  </si>
  <si>
    <t>6710...Rent And Rates</t>
  </si>
  <si>
    <t>6720...Repairs And Maintenance</t>
  </si>
  <si>
    <t>6730...Fines Expenses</t>
  </si>
  <si>
    <t>6740...AGRA Expenses</t>
  </si>
  <si>
    <t>6750...AGCOM Expenses</t>
  </si>
  <si>
    <t>6810...Communication</t>
  </si>
  <si>
    <t>6820...Disposal Acc</t>
  </si>
  <si>
    <t>6840...Travelling And Accommodation</t>
  </si>
  <si>
    <t>5007...Conferences And Meetings</t>
  </si>
  <si>
    <t>6050...Donations</t>
  </si>
  <si>
    <t>6200...Staff Training</t>
  </si>
  <si>
    <t>6860...Utilities</t>
  </si>
  <si>
    <t>6754...Mega Farms TS Allowances</t>
  </si>
  <si>
    <t>6755...Mega Farms-Vehicle Expenses</t>
  </si>
  <si>
    <t>6756...Mega Farms-Salaries</t>
  </si>
  <si>
    <t>6757...Mega Farms-Other Expenses</t>
  </si>
  <si>
    <t>6758...Mega Farms Board Meeting</t>
  </si>
  <si>
    <t>5004...Audit Fees</t>
  </si>
  <si>
    <t>5005...Board Meetings</t>
  </si>
  <si>
    <t>5006...Directors Fees</t>
  </si>
  <si>
    <t>5010...Consultancy Costs</t>
  </si>
  <si>
    <t>5011...Legal Costs</t>
  </si>
  <si>
    <t>6752...Legal Costs-Clients</t>
  </si>
  <si>
    <t>5012...Office Supllies</t>
  </si>
  <si>
    <t>6030...Cleaning Services</t>
  </si>
  <si>
    <t>6000...Advertisng And Promotion</t>
  </si>
  <si>
    <t>6020...Vehicle Expense</t>
  </si>
  <si>
    <t>6040...Bank Service Charges</t>
  </si>
  <si>
    <t>5014...Recruitment Expenses</t>
  </si>
  <si>
    <t>5015...Relocation Allowance</t>
  </si>
  <si>
    <t>5051...Employee Pension</t>
  </si>
  <si>
    <t>5052...Staff Salaries</t>
  </si>
  <si>
    <t>5053...Staff Medical</t>
  </si>
  <si>
    <t>5056...Other Staff Benefits</t>
  </si>
  <si>
    <t>6801...Taxes Tevet Levy</t>
  </si>
  <si>
    <t>6802...Taxes Fringe Benefits Tax</t>
  </si>
  <si>
    <t>6242...Impairement Of Financial Asset</t>
  </si>
  <si>
    <t>6340...Interest Expense</t>
  </si>
  <si>
    <t>4892...Grants</t>
  </si>
  <si>
    <t>4890...Sundry Income</t>
  </si>
  <si>
    <t>QB Short Code</t>
  </si>
  <si>
    <t>QuickBooks GL Code and Description</t>
  </si>
  <si>
    <t>E-BANKER EXTRACTS ENTRIES</t>
  </si>
  <si>
    <t>Undrawn commitments</t>
  </si>
  <si>
    <t>MUSECO Write Off</t>
  </si>
  <si>
    <t>ECL Adjustment</t>
  </si>
  <si>
    <t>Tax assessement charges</t>
  </si>
  <si>
    <t>FInES Expenses</t>
  </si>
  <si>
    <t>Training Costs FInES</t>
  </si>
  <si>
    <t>Travel expenses</t>
  </si>
  <si>
    <t>Initial submitted to Auditors</t>
  </si>
  <si>
    <t>Final tie to AFS</t>
  </si>
  <si>
    <t>Journals Adjustments</t>
  </si>
  <si>
    <t>Fair Value Adjustment on Maize</t>
  </si>
  <si>
    <t>Reversal of Interest in Suspense</t>
  </si>
  <si>
    <t>Mega Farm ECL Movements plus Fair Value Loss on Maize</t>
  </si>
  <si>
    <t>Core Operating System invoice</t>
  </si>
  <si>
    <t>Additional amortisation</t>
  </si>
  <si>
    <t>Interest in suspense reversals</t>
  </si>
  <si>
    <t>Reversal of overbooked money market interest income</t>
  </si>
  <si>
    <t>Agcom fees</t>
  </si>
  <si>
    <t>reversal of excess accruals</t>
  </si>
  <si>
    <t>ECL on MAIIC Mega Farm Interest</t>
  </si>
  <si>
    <t>FInES Interest Adjustment</t>
  </si>
  <si>
    <t>Expense Adjustment</t>
  </si>
  <si>
    <t>tax adjustment on interest income</t>
  </si>
  <si>
    <t>Transfer of MAIIC Interest to Receivables</t>
  </si>
  <si>
    <t>MAIIC Interest Receivable net of Impairment</t>
  </si>
  <si>
    <t>Reversal of paid agcom fees</t>
  </si>
  <si>
    <t>MM Interest adjusment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</si>
</sst>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#,##0.00;\-#,##0.00"/>
    <numFmt numFmtId="166" formatCode="#,##0.00_ ;\-#,##0.00\ "/>
    <numFmt numFmtId="167" formatCode="#,##0.00000000_);\(#,##0.00000000\)"/>
    <numFmt numFmtId="168" formatCode="#,##0.0000000_);\(#,##0.0000000\)"/>
    <numFmt numFmtId="169" formatCode="#,##0.0_);\(#,##0.0\)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8"/>
      <color rgb="FF323232"/>
      <name val="Arial"/>
      <family val="2"/>
    </font>
    <font>
      <sz val="10"/>
      <color rgb="FF323232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color rgb="FF323232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10"/>
      <color indexed="8"/>
      <name val="SansSerif"/>
    </font>
    <font>
      <b/>
      <sz val="8"/>
      <color indexed="8"/>
      <name val="DejaVu Serif"/>
    </font>
    <font>
      <sz val="8"/>
      <color indexed="8"/>
      <name val="DejaVu Serif"/>
    </font>
    <font>
      <sz val="10"/>
      <color rgb="FFFF0000"/>
      <name val="SansSerif"/>
    </font>
    <font>
      <sz val="8"/>
      <color rgb="FFFF0000"/>
      <name val="DejaVu Serif"/>
    </font>
    <font>
      <b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rial"/>
      <family val="2"/>
    </font>
    <font>
      <sz val="9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0" applyFont="1"/>
    <xf numFmtId="17" fontId="5" fillId="0" borderId="0" xfId="0" applyNumberFormat="1" applyFont="1" applyAlignment="1">
      <alignment horizontal="center"/>
    </xf>
    <xf numFmtId="49" fontId="4" fillId="0" borderId="0" xfId="0" applyNumberFormat="1" applyFont="1"/>
    <xf numFmtId="164" fontId="4" fillId="0" borderId="0" xfId="1" applyFont="1"/>
    <xf numFmtId="49" fontId="6" fillId="0" borderId="0" xfId="0" applyNumberFormat="1" applyFont="1"/>
    <xf numFmtId="0" fontId="7" fillId="0" borderId="0" xfId="0" applyFont="1"/>
    <xf numFmtId="49" fontId="6" fillId="0" borderId="0" xfId="0" applyNumberFormat="1" applyFont="1" applyAlignment="1">
      <alignment horizontal="centerContinuous"/>
    </xf>
    <xf numFmtId="49" fontId="0" fillId="0" borderId="1" xfId="0" applyNumberFormat="1" applyBorder="1" applyAlignment="1">
      <alignment horizontal="centerContinuous"/>
    </xf>
    <xf numFmtId="49" fontId="0" fillId="0" borderId="0" xfId="0" applyNumberFormat="1" applyAlignment="1">
      <alignment horizontal="centerContinuous"/>
    </xf>
    <xf numFmtId="164" fontId="5" fillId="0" borderId="0" xfId="1" applyFont="1" applyFill="1"/>
    <xf numFmtId="164" fontId="5" fillId="0" borderId="0" xfId="1" applyFont="1"/>
    <xf numFmtId="0" fontId="5" fillId="0" borderId="0" xfId="0" applyFont="1"/>
    <xf numFmtId="0" fontId="5" fillId="0" borderId="0" xfId="0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64" fontId="10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49" fontId="11" fillId="0" borderId="0" xfId="0" applyNumberFormat="1" applyFont="1"/>
    <xf numFmtId="49" fontId="9" fillId="0" borderId="0" xfId="0" applyNumberFormat="1" applyFont="1"/>
    <xf numFmtId="165" fontId="12" fillId="0" borderId="0" xfId="0" applyNumberFormat="1" applyFont="1"/>
    <xf numFmtId="49" fontId="12" fillId="0" borderId="0" xfId="0" applyNumberFormat="1" applyFont="1"/>
    <xf numFmtId="164" fontId="9" fillId="0" borderId="0" xfId="1" applyFont="1" applyFill="1"/>
    <xf numFmtId="166" fontId="9" fillId="0" borderId="0" xfId="0" applyNumberFormat="1" applyFont="1"/>
    <xf numFmtId="4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64" fontId="9" fillId="0" borderId="0" xfId="1" applyFont="1"/>
    <xf numFmtId="164" fontId="9" fillId="0" borderId="0" xfId="0" applyNumberFormat="1" applyFont="1"/>
    <xf numFmtId="0" fontId="13" fillId="0" borderId="0" xfId="0" applyFont="1"/>
    <xf numFmtId="165" fontId="11" fillId="0" borderId="3" xfId="0" applyNumberFormat="1" applyFont="1" applyBorder="1"/>
    <xf numFmtId="164" fontId="5" fillId="0" borderId="0" xfId="1" applyFont="1" applyAlignment="1">
      <alignment horizontal="left"/>
    </xf>
    <xf numFmtId="0" fontId="6" fillId="0" borderId="0" xfId="0" applyFont="1"/>
    <xf numFmtId="43" fontId="5" fillId="0" borderId="0" xfId="0" applyNumberFormat="1" applyFont="1"/>
    <xf numFmtId="169" fontId="5" fillId="0" borderId="0" xfId="0" applyNumberFormat="1" applyFont="1"/>
    <xf numFmtId="0" fontId="8" fillId="0" borderId="0" xfId="0" applyFont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7" fillId="0" borderId="6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left" vertical="top"/>
    </xf>
    <xf numFmtId="0" fontId="19" fillId="0" borderId="6" xfId="0" applyFont="1" applyBorder="1" applyAlignment="1">
      <alignment horizontal="left" vertical="center"/>
    </xf>
    <xf numFmtId="0" fontId="2" fillId="0" borderId="0" xfId="0" applyFont="1"/>
    <xf numFmtId="0" fontId="16" fillId="0" borderId="4" xfId="0" applyFont="1" applyBorder="1" applyAlignment="1">
      <alignment horizontal="right" vertical="center"/>
    </xf>
    <xf numFmtId="0" fontId="13" fillId="0" borderId="0" xfId="1" applyNumberFormat="1" applyFont="1" applyFill="1" applyAlignment="1">
      <alignment horizontal="left"/>
    </xf>
    <xf numFmtId="164" fontId="8" fillId="0" borderId="0" xfId="1" applyFont="1" applyFill="1" applyAlignment="1">
      <alignment horizontal="left"/>
    </xf>
    <xf numFmtId="0" fontId="10" fillId="0" borderId="0" xfId="1" applyNumberFormat="1" applyFont="1" applyFill="1" applyAlignment="1">
      <alignment horizontal="left"/>
    </xf>
    <xf numFmtId="0" fontId="13" fillId="0" borderId="0" xfId="0" applyFont="1" applyAlignment="1">
      <alignment horizontal="left"/>
    </xf>
    <xf numFmtId="0" fontId="8" fillId="0" borderId="0" xfId="1" applyNumberFormat="1" applyFont="1" applyFill="1" applyAlignment="1">
      <alignment horizontal="left"/>
    </xf>
    <xf numFmtId="164" fontId="14" fillId="0" borderId="0" xfId="1" applyFont="1" applyFill="1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0" fontId="2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164" fontId="7" fillId="0" borderId="0" xfId="1" applyFont="1" applyFill="1"/>
    <xf numFmtId="167" fontId="9" fillId="0" borderId="0" xfId="0" applyNumberFormat="1" applyFont="1"/>
    <xf numFmtId="168" fontId="9" fillId="0" borderId="0" xfId="0" applyNumberFormat="1" applyFont="1"/>
    <xf numFmtId="164" fontId="22" fillId="0" borderId="0" xfId="1" applyFont="1" applyFill="1" applyAlignment="1"/>
    <xf numFmtId="164" fontId="24" fillId="0" borderId="0" xfId="1" applyFont="1" applyFill="1" applyAlignment="1"/>
    <xf numFmtId="49" fontId="21" fillId="0" borderId="0" xfId="0" applyNumberFormat="1" applyFont="1"/>
    <xf numFmtId="164" fontId="3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4" fontId="15" fillId="0" borderId="0" xfId="1" applyFont="1" applyAlignment="1">
      <alignment horizontal="left" vertical="top"/>
    </xf>
    <xf numFmtId="164" fontId="0" fillId="0" borderId="0" xfId="1" applyFont="1"/>
    <xf numFmtId="164" fontId="22" fillId="0" borderId="0" xfId="1" applyFont="1"/>
    <xf numFmtId="164" fontId="16" fillId="0" borderId="5" xfId="1" applyFont="1" applyBorder="1" applyAlignment="1">
      <alignment horizontal="right" vertical="center"/>
    </xf>
    <xf numFmtId="164" fontId="23" fillId="0" borderId="0" xfId="1" applyFont="1" applyAlignment="1">
      <alignment horizontal="center"/>
    </xf>
    <xf numFmtId="164" fontId="17" fillId="0" borderId="7" xfId="1" applyFont="1" applyBorder="1" applyAlignment="1">
      <alignment horizontal="right" vertical="center"/>
    </xf>
    <xf numFmtId="164" fontId="19" fillId="0" borderId="7" xfId="1" applyFont="1" applyBorder="1" applyAlignment="1">
      <alignment horizontal="right" vertical="center"/>
    </xf>
    <xf numFmtId="164" fontId="18" fillId="0" borderId="0" xfId="1" applyFont="1" applyAlignment="1">
      <alignment horizontal="left" vertical="top"/>
    </xf>
    <xf numFmtId="164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6" Type="http://schemas.openxmlformats.org/officeDocument/2006/relationships/externalLink" Target="externalLinks/externalLink12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90" Type="http://schemas.openxmlformats.org/officeDocument/2006/relationships/externalLink" Target="externalLinks/externalLink86.xml"/><Relationship Id="rId95" Type="http://schemas.openxmlformats.org/officeDocument/2006/relationships/externalLink" Target="externalLinks/externalLink91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18" Type="http://schemas.openxmlformats.org/officeDocument/2006/relationships/externalLink" Target="externalLinks/externalLink114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08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91" Type="http://schemas.openxmlformats.org/officeDocument/2006/relationships/externalLink" Target="externalLinks/externalLink87.xml"/><Relationship Id="rId96" Type="http://schemas.openxmlformats.org/officeDocument/2006/relationships/externalLink" Target="externalLinks/externalLink9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109" Type="http://schemas.openxmlformats.org/officeDocument/2006/relationships/externalLink" Target="externalLinks/externalLink10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04" Type="http://schemas.openxmlformats.org/officeDocument/2006/relationships/externalLink" Target="externalLinks/externalLink100.xml"/><Relationship Id="rId120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15" Type="http://schemas.openxmlformats.org/officeDocument/2006/relationships/externalLink" Target="externalLinks/externalLink111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105" Type="http://schemas.openxmlformats.org/officeDocument/2006/relationships/externalLink" Target="externalLinks/externalLink101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98" Type="http://schemas.openxmlformats.org/officeDocument/2006/relationships/externalLink" Target="externalLinks/externalLink94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116" Type="http://schemas.openxmlformats.org/officeDocument/2006/relationships/externalLink" Target="externalLinks/externalLink11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106" Type="http://schemas.openxmlformats.org/officeDocument/2006/relationships/externalLink" Target="externalLinks/externalLink102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90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82</xdr:row>
      <xdr:rowOff>0</xdr:rowOff>
    </xdr:from>
    <xdr:to>
      <xdr:col>22</xdr:col>
      <xdr:colOff>921456</xdr:colOff>
      <xdr:row>83</xdr:row>
      <xdr:rowOff>66675</xdr:rowOff>
    </xdr:to>
    <xdr:pic>
      <xdr:nvPicPr>
        <xdr:cNvPr id="2" name="FILTER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429FB07-ACEF-4E60-8032-A87F6C52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5350" y="13354050"/>
          <a:ext cx="924631" cy="22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22</xdr:col>
      <xdr:colOff>921456</xdr:colOff>
      <xdr:row>83</xdr:row>
      <xdr:rowOff>66675</xdr:rowOff>
    </xdr:to>
    <xdr:pic>
      <xdr:nvPicPr>
        <xdr:cNvPr id="3" name="HEADER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6B1F694-5157-48EE-B749-E8E7FB14D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5350" y="13354050"/>
          <a:ext cx="924631" cy="22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26</xdr:col>
      <xdr:colOff>159840</xdr:colOff>
      <xdr:row>83</xdr:row>
      <xdr:rowOff>66675</xdr:rowOff>
    </xdr:to>
    <xdr:pic>
      <xdr:nvPicPr>
        <xdr:cNvPr id="4" name="FILTER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B564E8E2-1C1F-417F-96C6-801F7BFBE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5350" y="13354050"/>
          <a:ext cx="3458665" cy="22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26</xdr:col>
      <xdr:colOff>159840</xdr:colOff>
      <xdr:row>83</xdr:row>
      <xdr:rowOff>66675</xdr:rowOff>
    </xdr:to>
    <xdr:pic>
      <xdr:nvPicPr>
        <xdr:cNvPr id="5" name="HEADER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2BD86807-904D-4273-B715-1D258E5DF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5350" y="13354050"/>
          <a:ext cx="3458665" cy="225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oosevelt\Local%20Settings\Temporary%20Internet%20Files\OLK3\Amajuba%20Farms%20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oosevelt\Local%20Settings\Temporary%20Internet%20Files\OLK3\Amajuba%20Farms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Necor%20and%20Asl\Documents%20and%20Settings\roosevelt\Local%20Settings\Temporary%20Internet%20Files\OLK3\Amajuba%20Farm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OSERVERTWO\Talitha\Documents%20and%20Settings\roosevelt\Local%20Settings\Temporary%20Internet%20Files\OLK3\Amajuba%20Farms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136175\My%20Documents\Auditors%20Asso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olivingstone_\bdoauditing\Documents%20and%20Settings\roosevelt\Local%20Settings\Temporary%20Internet%20Files\OLK3\Amajuba%20Farms%20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0blabms02\finance\Departments\Accounting\Monthly%20reports\1.%20FinRep%20from%20Jul%202005\Master%20files\FinRep%20v4%20(2006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DAGPGRP\GROUPS\1997_98\REVIEW1\FINSTAT\BUSPLA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TLS%20work\Fountain\Fountain%202002%20Tax%20comps%20(Chekwub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Documents%20and%20Settings\terblaa\Desktop\Cleanu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Documents%20and%20Settings/terblaa/Desktop/Cleanu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T%20folder\TMLEASE01(1stversion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Local\Microsoft\Windows\Temporary%20Internet%20Files\Content.Outlook\FDSSG85X\Documents%20and%20Settings\roosevelt\Local%20Settings\Temporary%20Internet%20Files\OLK3\Amajuba%20Farms%20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m-p-fl01\Documents%20and%20Settings\terblaa\Desktop\Cleanu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utema.CAIRNSFOODS\My%20Documents\docs%20from%20old%20machine\Year%20End\2008\CFL\Cairns%20Financial%20Statements%20Aug%202007-2008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matabwa001\My%20Documents\WORK\clients\Lujeri\inventories\Inventory%20Lea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Y%202010%20%20ACCOUNTS%20USD%20(edited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somba\Documents\MRA\MA%20docs\Budget\Budgets%202014-2015\Board\MRA%20Loan-K4.2bn%20(2nd%20loan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kcdata\Bplan0204\BPLF01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INANCE\Finance%20-%20Shared\Local%20Financial%20Reporting%20Packages\2002\Ecuador\P11%20(Nov02)\MOCHASA%20P11-02%20V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erblaa\Desktop\Cleanu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erblaa\Desktop\Clean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mon\Desktop\Users\Esther\Documents\asbestos\JOE%20WORKING%20on%20Sombo\Raubex\Maersk\Nemerit\Nemerit%2031%20March%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Work\Cairns%20Audit%202009\Cairns%20Foods%20Limited%202010\SAD%20&amp;%20Financial%20statements%20201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steven/Desktop/Management%20accounts/Management%20accounts/Mar%202014/GetBucks%20GROUP%20Consolidation%20-%20Mar%2014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Users\Steven%20Venter\Desktop\GetBucks%20GROUP%20Consolidation%20-%20Jun%2014%20(v6)%20-%20Nale%20(Autosaved)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\FLEMING%20GROUP\AFS\GROUP\2015%20-%20Fleming%20Group%20AFS%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7\Botswana\Botswana%20Audit\FRP\GetBucks%20Botswana%20Consolidation%20TB%20-%20June%202017%20v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kmasamba/AppData/Local/Microsoft/Windows/INetCache/Content.Outlook/H6WHDOSF/2013%20Group%20Consolidated%20AF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nip\C\Documents%20and%20Settings\Administrator\Local%20Settings\Temporary%20Internet%20Files\Content.IE5\016V8HIZ\Trinidad%20Industries\Trinidad%20Industries%20Dec%202001%20Finstats-Inflatio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asonde\Kasonde%20-%20personal\Accounts%20clients\Chainina%20Farm\Chainina%20-%20Dec%202013%20latest%2010.10.14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8D5DCF\Consolidation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Seema/The%20Bata%20Shoe%20Company/2015/The%20Bata%20Shoe%20Company%20Tax%20comp%202015%20Fi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Work\INCLEDON\Final\2014\Documents%20and%20Settings\Moonga\My%20Documents\My%20Working%20Files\Gemfields%20Holdings%20Zambia%20Ltd\Audit%20work%20schedule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5%20Combined%20Income%20Tax%20and%20DTT%20Comp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medina\MisDocumentos\henry\ESTADOS%20FINANCIEROS\FINPACK-MOLIDOR%20P12-9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3038F03\Nemerit%2031%20March%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kmasamba\AppData\Local\Microsoft\Windows\INetCache\Content.Outlook\H6WHDOSF\2013%20Group%20Consolidated%20AFS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cdata\Bplan0204\BPLF01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sanchez\SUB-CONTADOR\ESTADOS%20FINANCIEROS\FEB-98\FINPACK-MOLIDOR%20P4-20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clhamadi\AppData\Local\Temp\Deloitte.DA3\Docs\13824\1679517878100003029\24102b%20Petrologistics%20tax%202014%20pn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SharePoint/HO%20Finance/Payroll/Payroll%202016/_Payroll%20asat%20September%20%202016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orms\Newdi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08AD527\Nemerit%2031%20March%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lon1\London\Office97\Graceh\Compass%203\C3_Templates\AEG%20Docs\Loan%20spli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ysurfer\my%20documents\Life%20International\JML%20work%20files\Accounting\Accounting\Life%20International\PHD\phd%20year%20end%202003\danckwerts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roberts\Local%20Settings\Temporary%20Internet%20Files\OLKE\GRANPORSA%20P%23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Documents%20and%20Settings\Administrator\Desktop\2007\Management%20Accounts%20&amp;%20Schedules\12%20-%20December\AUDITORS\FBZ%202007%20Opening%20Year%20AUDIT%20ADJUSTMENTS.24.03.08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MAY%20FINANCIALS\TU%20Loans%20-%20Audit%20file%20-%20June%202018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ufolo\AppData\Local\Temp\Proposed%20MRA%20facility_2014-1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Trewby%20work%20in%20progress\J%20and%20J%20mgt%2031.10.07\J%20and%20J%20%2028%2002%2008%2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DOCUME~1\amwamba\LOCALS~1\Temp\Xl000003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DOCUME~1\Nonde\LOCALS~1\Temp\notes2CBB50\MASTER%20MPP\Mppbud%20-%20Complex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zala.phiri.FREIGHT\AppData\Local\Microsoft\Windows\Temporary%20Internet%20Files\Content.Outlook\00ALPCEV\Companyname%20TAXF2015Q2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D14FCA\Nemerit%2031%20March%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CREP\ADHOC\Antonio\Board%20Grids%20Sept%20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Clever/Desktop/Botswana%20%20Audit/Tax%20computation/Tax%20computation%20BU%20Bucks%20June%202016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Clever\Desktop\Botswana%20%20Audit\Tax%20computation\Tax%20computation%20BU%20Bucks%20June%202016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lse.pieterse\AppData\Local\Microsoft\Windows\Temporary%20Internet%20Files\Content.Outlook\8LDW6HCE\NameAuditPackDec2010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SOND~1\APPDATA\LOCAL\TEMP\wz280a\Fixed%20Asset%20-Necor%20Zambia%20201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amalomba\AppData\Local\Microsoft\Windows\Temporary%20Internet%20Files\Content.Outlook\J88AIVTC\DBN%20FS%20-%202008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HLB%20WORK\CHARTERED%20ACCOUNTANT%20WORK\NECOR\1.%20Financial%20statements%20and%20Reports-Final\EurAff\Budget2002\Ready\B02-Benelux(Revised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TALIGILO%20FARMS%20LTD%2031%20MARCH%202009\Mataligilo%20Farm1\MATALIGILO%20FARM%20%20LIMITED%2031%20MARCH%202009%20FINA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Documents%20and%20Settings\roosevelt\Local%20Settings\Temporary%20Internet%20Files\OLK3\Amajuba%20Farms%2020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s%20-%20Movmnt%20Sched,%20Addns,%20Disp,%20Sighting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accounts/Users/wnamalomba/Documents/WORK/Sekaname/Draf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wchitakash001/AppData/Local/Aura/6.0/Files/37/AF/16cf8b3b-3a48-e611-9ad6-028037ec0200000000000000000001059062/16cf8b3b-3a48-e611-9ad6-028037ec0200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Actuals\F2009\Fixed%20Assets%20Project\Master%20Africa%20Agg%20F2009\UNITS\LUS\Unit%20Switchboar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Users\Thomson%20Kumwenda\Documents\Forecasts%20Bank%20Wide\NFB_Model_vFinalCirculated_With%20CapitalSimulation%20Final%20for%20Management%20for%20Board%20Pack%20OutPut%20updated%20with%20Dec%202018%20AFS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2017/General/Consolidation/201706/MyBucks%20Group/MyBucks%20S.A.%20Consolidation%20-%20Jun%2017%20(detailed%20workings)%20-%20Repaired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wnamalomba\AppData\Local\Microsoft\Windows\Temporary%20Internet%20Files\Content.Outlook\J88AIVTC\DBN%20FS%20-%202008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mbia\Bien%20Donne\JOE%20WORKING%20on%20Sombo\Raubex\Maersk\Nemerit\Nemerit%2031%20March%2005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chriso.SEABOARD\My%20Documents\R%20DRIVE%20DATA\Local\2002\Ecuador\P08%20(Aug02)\MOLIDOR%20P8-2002%20v2%209-27-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%20Movement%202009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0.29\Finance-2014\@\bomfile\Users\Wesley\My%20Documents\Mozambique\OI%20Reporting\Quarterly\BOM%204Q06%20PRS2AMOZ%20final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Fixed%20Assets%20Testing%20-%202012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oe\My%20Documents\JOE%20WORKING%20on%20Sombo\Raubex\Maersk\Nemerit\Nemerit%2031%20March%200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Documents%20and%20Settings\joe\My%20Documents\JOE%20WORKING%20on%20Sombo\Raubex\Maersk\Nemerit\Nemerit%2031%20March%2005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tsitimawina_maiic_mw/Documents/Documents/Finance/ECL%20Model%20December%202022%20V2.xlsx" TargetMode="External"/><Relationship Id="rId1" Type="http://schemas.openxmlformats.org/officeDocument/2006/relationships/externalLinkPath" Target="/personal/tsitimawina_maiic_mw/Documents/Documents/Finance/ECL%20Model%20December%202022%20V2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clhamadi/AppData/Local/Temp/Deloitte.DA3/Docs/13824/1679517878100003029/24102b%20Petrologistics%20tax%202014%20pn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onbe\Dropbox\04.%20Blue_accounting\2013\03.%20May\EA_Management%20accounts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Johan/Documents/Fin%20assets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MBARON~1/AppData/Local/Temp/notesF3B52A/SL%20-%20Determine%20audit%20strategy%20and%20plan%20-%2011062014.xlsm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bang\OneDrive%20-%20VSS%20FINANCIAL%20SERVICES\Documents\Work\TU%20Employees%20Benefit\6.%20June%202018\Year%20End%20Reporting\Tax%20Workings\Ochwe%20Developers%20(Pty)%20Ltd\Obtain%20movement%20schedule%20-%20Income%20taxes%20-%20TU.xls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hramachand003/AppData/Local/Aura/6.0/Files/10/AF/d481a304-1fdd-474e-abbb-82a0af8a9752000000000000000002057221/d481a304-1fdd-474e-abbb-82a0af8a9752.xlsm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nancy%20yang/Documents/My%20file/Job/Smart%20Lite/working%20paper/Tier%201/Tie%201%20final/PSL%20-%20Initial%20audit%20engagements%20-%2003052015.xlsm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mon\Desktop\Users\Esther\Documents\asbestos\Raubex\Maersk\Nemerit\Nemerit%2031%20March%2005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ccounts\Users\wnamalomba\Documents\WORK\Sekaname\Draf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2006-7%20Accounts\Monthly%20Accounts\March%20Account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Clients\Accounts%20clients\LIEGE\31%20Dec,%2012\31%20Dec,%2012%201st%20review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kayange001\Application%20Data\Microsoft\Excel\ECO%20Bank%20Financial%20statemnets%20Dec%202009%20final%20FairvaluesMN2%20%20(version%201).xlsb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Actuals\F2009\Fixed%20Assets%20Project\Master%20Africa%20Agg%20F2009\UNITS\DAR\Unit%20Switchboard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clhamadi/AppData/Local/Temp/Deloitte.DA3/Docs/13824/1988985300100000006/23602%20Fixed%20assets%20testing%20ADV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Tax99JUNE\TAX99JUNE-N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orms\Latplm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olivingstone_\bdoauditing\Documents%20and%20Settings\Pembroke\Desktop\Ross%20Breeders%20%20%202004-05%20Tax%20Computation%20final%20for%20audit%2007-07-05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PHD\phd%20year%20end%202003\danckwerts0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HD\phd%20year%20end%202003\danckwerts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Zandile/Documents/Zandile%202017/Swaziland/Audit%20files/GB%20Swaziland%20Audit%20file%20-%20June%202017%2010%20july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Users\mngalande001\Documents\Moffat's%20Documents\Clients\Audit%20Clients\New%20Finance%20Bank\Reporting\Financials\New%20folder\NFB%20FS%20Dec%202018%20Draft%20Financials%20V%20290319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n%20Fixed%20Asset%20Movement%20Schedule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0%20Tax%20computation%20-%20Celtel%202004%20Dec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62%20Draft%20AFS%20DIMENSION%20DATA%20%20AFS%202009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6.4\wps\WINDOWS\Temporary%20Internet%20Files\OLK7004\Documents%20and%20Settings\joe\My%20Documents\JOE%20WORKING%20on%20Sombo\Raubex\Maersk\Nemerit\Nemerit%2031%20March%2005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sther\Desktop\BUTA'S%20CLIENTS\C%20&amp;%20J%20Harvey%20Farms%20Folder\C%20&amp;%20J%20Mar%202012\New%20folder%20(2)\accounts%20for%20joe%20liswaniso\C&amp;J_Harvey%20Farms%202011%20draft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Actuals\F2009\Master%20Africa%20Agg%20F2009\UNITS\MAIA\Unit%20Switchboard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OMSONK\Documents\PhD%20Analysis\BANKING%20STOCHASTIC%20MODELLING%20PhD%20Analysis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SONAL\EXTRAS\EurAff\Budget2002\Ready\B02-Benelux(Revised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ema\The%20Bata%20Shoe%20Company\2015\The%20Bata%20Shoe%20Company%20Tax%20comp%202015%20Fin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gvdwalt\LOCALS~1\Temp\C.Lotus.Notes.Data\Documents%20and%20Settings\Katrina\Local%20Settings\Temporary%20Internet%20Files\OLK5\Data\Zambia\2004\Forecast\Omzam%20Forecast%202003_04%20at%20July%2003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1%20Consolidation%202002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s%20-%20Movmnt%20Sched,%20Addns,Disp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s%20Detail%20Testing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Clients\Accounts%20clients\SICABA%20DEV\31%20Mar,%2012\SICABA%20DEV.%20LTD%20-%2031%20Mar,%2012%20Final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Page_9"/>
      <sheetName val="Page_10"/>
      <sheetName val="Tax_cover"/>
      <sheetName val="ZMK_PYMTS"/>
      <sheetName val="ZMK_RECT"/>
      <sheetName val="_USD"/>
      <sheetName val="USD_REC"/>
      <sheetName val="Fixed_assets"/>
      <sheetName val="Page_91"/>
      <sheetName val="Page_101"/>
      <sheetName val="Tax_cover1"/>
      <sheetName val="ZMK_PYMTS1"/>
      <sheetName val="ZMK_RECT1"/>
      <sheetName val="_USD1"/>
      <sheetName val="USD_REC1"/>
      <sheetName val="Fixed_assets1"/>
      <sheetName val="consol"/>
      <sheetName val="danmo"/>
      <sheetName val="Set_Up"/>
      <sheetName val="Summary"/>
      <sheetName val="Input_Sheet1"/>
      <sheetName val="loan_1"/>
      <sheetName val="Leadsheet - E"/>
      <sheetName val="Input Sheet"/>
      <sheetName val="INDO"/>
      <sheetName val="Zanaco ZMK pmt"/>
      <sheetName val="Page_92"/>
      <sheetName val="Page_102"/>
      <sheetName val="Tax_cover2"/>
      <sheetName val="ZMK_PYMTS2"/>
      <sheetName val="ZMK_RECT2"/>
      <sheetName val="_USD2"/>
      <sheetName val="USD_REC2"/>
      <sheetName val="Fixed_assets2"/>
      <sheetName val="Q_CMA"/>
      <sheetName val="Sampling_Worksheet"/>
      <sheetName val="General_data"/>
      <sheetName val="Page_93"/>
      <sheetName val="Page_103"/>
      <sheetName val="Tax_cover3"/>
      <sheetName val="ZMK_PYMTS3"/>
      <sheetName val="ZMK_RECT3"/>
      <sheetName val="_USD3"/>
      <sheetName val="USD_REC3"/>
      <sheetName val="Fixed_assets3"/>
      <sheetName val="Tax Comp 2008-09 "/>
      <sheetName val="Input_Sheet"/>
      <sheetName val="Tax_Comp_2008-09_"/>
      <sheetName val="Page_94"/>
      <sheetName val="Page_104"/>
      <sheetName val="Tax_cover4"/>
      <sheetName val="ZMK_PYMTS4"/>
      <sheetName val="ZMK_RECT4"/>
      <sheetName val="_USD4"/>
      <sheetName val="USD_REC4"/>
      <sheetName val="Fixed_assets4"/>
      <sheetName val="Input_Sheet2"/>
      <sheetName val="Zanaco_ZMK_pmt"/>
      <sheetName val="Tax_Comp_2008-09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Page_9"/>
      <sheetName val="Page_10"/>
      <sheetName val="Tax_cover"/>
      <sheetName val="ZMK_PYMTS"/>
      <sheetName val="ZMK_RECT"/>
      <sheetName val="_USD"/>
      <sheetName val="USD_REC"/>
      <sheetName val="Fixed_assets"/>
      <sheetName val="Leadsheet - E"/>
      <sheetName val="Page_91"/>
      <sheetName val="Page_101"/>
      <sheetName val="Tax_cover1"/>
      <sheetName val="ZMK_PYMTS1"/>
      <sheetName val="ZMK_RECT1"/>
      <sheetName val="_USD1"/>
      <sheetName val="USD_REC1"/>
      <sheetName val="Fixed_assets1"/>
      <sheetName val="consol"/>
      <sheetName val="danmo"/>
      <sheetName val="Set_Up"/>
      <sheetName val="Summary"/>
      <sheetName val="Input_Sheet1"/>
      <sheetName val="loan_1"/>
      <sheetName val="Input Sheet"/>
      <sheetName val="INDO"/>
      <sheetName val="Zanaco ZMK pmt"/>
      <sheetName val="Page_92"/>
      <sheetName val="Page_102"/>
      <sheetName val="Tax_cover2"/>
      <sheetName val="ZMK_PYMTS2"/>
      <sheetName val="ZMK_RECT2"/>
      <sheetName val="_USD2"/>
      <sheetName val="USD_REC2"/>
      <sheetName val="Fixed_assets2"/>
      <sheetName val="Q_CMA"/>
      <sheetName val="Sampling_Worksheet"/>
      <sheetName val="General_data"/>
      <sheetName val="Page_93"/>
      <sheetName val="Page_103"/>
      <sheetName val="Tax_cover3"/>
      <sheetName val="ZMK_PYMTS3"/>
      <sheetName val="ZMK_RECT3"/>
      <sheetName val="_USD3"/>
      <sheetName val="USD_REC3"/>
      <sheetName val="Fixed_assets3"/>
      <sheetName val="Tax Comp 2008-09 "/>
      <sheetName val="Input_Sheet"/>
      <sheetName val="Tax_Comp_2008-09_"/>
      <sheetName val="Page_94"/>
      <sheetName val="Page_104"/>
      <sheetName val="Tax_cover4"/>
      <sheetName val="ZMK_PYMTS4"/>
      <sheetName val="ZMK_RECT4"/>
      <sheetName val="_USD4"/>
      <sheetName val="USD_REC4"/>
      <sheetName val="Fixed_assets4"/>
      <sheetName val="Input_Sheet2"/>
      <sheetName val="Zanaco_ZMK_pmt"/>
      <sheetName val="Tax_Comp_2008-09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Page_9"/>
      <sheetName val="Page_10"/>
      <sheetName val="Tax_cover"/>
      <sheetName val="ZMK_PYMTS"/>
      <sheetName val="ZMK_RECT"/>
      <sheetName val="_USD"/>
      <sheetName val="USD_REC"/>
      <sheetName val="Fixed_assets"/>
      <sheetName val="Page_91"/>
      <sheetName val="Page_101"/>
      <sheetName val="Tax_cover1"/>
      <sheetName val="ZMK_PYMTS1"/>
      <sheetName val="ZMK_RECT1"/>
      <sheetName val="_USD1"/>
      <sheetName val="USD_REC1"/>
      <sheetName val="Fixed_assets1"/>
      <sheetName val="consol"/>
      <sheetName val="danmo"/>
      <sheetName val="Set_Up"/>
      <sheetName val="Summary"/>
      <sheetName val="Input_Sheet1"/>
      <sheetName val="loan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II Grap"/>
      <sheetName val="FLASH"/>
      <sheetName val="Income Statement"/>
      <sheetName val="Income Statement Pres"/>
      <sheetName val="Datasheet"/>
      <sheetName val="RepHist"/>
      <sheetName val="#REF"/>
      <sheetName val="Main"/>
      <sheetName val="Auditors Assoc"/>
      <sheetName val="Workings-Ignore but not delete"/>
      <sheetName val="NPL New combined"/>
      <sheetName val="GAC NPL1 spli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EXCO(IS)"/>
      <sheetName val="EXCO(BS)"/>
      <sheetName val="MARGIN"/>
      <sheetName val="TRENDS"/>
      <sheetName val="RATIO'S"/>
      <sheetName val="FLASH"/>
      <sheetName val="BUM"/>
      <sheetName val="TAX"/>
      <sheetName val="AFS"/>
      <sheetName val="LEAD"/>
      <sheetName val="tracking"/>
      <sheetName val="validation"/>
      <sheetName val="summary"/>
      <sheetName val="input"/>
      <sheetName val="forex"/>
      <sheetName val="work1"/>
      <sheetName val="work2"/>
      <sheetName val="work3"/>
      <sheetName val="specs"/>
      <sheetName val="is4"/>
      <sheetName val="avebs"/>
      <sheetName val="is3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3">
          <cell r="AF3">
            <v>38718</v>
          </cell>
          <cell r="AG3" t="str">
            <v>alloc</v>
          </cell>
          <cell r="AH3">
            <v>38718</v>
          </cell>
          <cell r="AI3">
            <v>38749</v>
          </cell>
          <cell r="AJ3" t="str">
            <v>alloc</v>
          </cell>
          <cell r="AK3">
            <v>38749</v>
          </cell>
          <cell r="AL3">
            <v>38777</v>
          </cell>
          <cell r="AM3" t="str">
            <v>alloc</v>
          </cell>
          <cell r="AN3">
            <v>38777</v>
          </cell>
          <cell r="AO3">
            <v>38808</v>
          </cell>
          <cell r="AP3" t="str">
            <v>alloc</v>
          </cell>
          <cell r="AQ3">
            <v>38808</v>
          </cell>
          <cell r="AR3">
            <v>38838</v>
          </cell>
          <cell r="AS3" t="str">
            <v>alloc</v>
          </cell>
          <cell r="AT3">
            <v>38838</v>
          </cell>
          <cell r="AU3">
            <v>38869</v>
          </cell>
          <cell r="AV3" t="str">
            <v>alloc</v>
          </cell>
          <cell r="AW3">
            <v>38869</v>
          </cell>
          <cell r="AX3">
            <v>38899</v>
          </cell>
          <cell r="AY3" t="str">
            <v>alloc</v>
          </cell>
          <cell r="AZ3">
            <v>38899</v>
          </cell>
          <cell r="BA3">
            <v>38930</v>
          </cell>
          <cell r="BB3" t="str">
            <v>alloc</v>
          </cell>
          <cell r="BC3">
            <v>38930</v>
          </cell>
          <cell r="BD3">
            <v>38961</v>
          </cell>
          <cell r="BE3" t="str">
            <v>alloc</v>
          </cell>
          <cell r="BF3">
            <v>38961</v>
          </cell>
          <cell r="BG3">
            <v>38991</v>
          </cell>
          <cell r="BH3" t="str">
            <v>alloc</v>
          </cell>
          <cell r="BI3">
            <v>38991</v>
          </cell>
          <cell r="BJ3">
            <v>39022</v>
          </cell>
          <cell r="BK3" t="str">
            <v>alloc</v>
          </cell>
          <cell r="BL3">
            <v>39022</v>
          </cell>
          <cell r="BM3">
            <v>39052</v>
          </cell>
          <cell r="BN3" t="str">
            <v>alloc</v>
          </cell>
          <cell r="BO3">
            <v>39052</v>
          </cell>
          <cell r="BQ3">
            <v>38718</v>
          </cell>
          <cell r="BR3">
            <v>38749</v>
          </cell>
          <cell r="BS3">
            <v>38777</v>
          </cell>
          <cell r="BT3">
            <v>38808</v>
          </cell>
          <cell r="BU3">
            <v>38838</v>
          </cell>
          <cell r="BV3">
            <v>38869</v>
          </cell>
          <cell r="BW3">
            <v>38899</v>
          </cell>
          <cell r="BX3">
            <v>38930</v>
          </cell>
          <cell r="BY3">
            <v>38961</v>
          </cell>
          <cell r="BZ3">
            <v>38991</v>
          </cell>
          <cell r="CA3">
            <v>39022</v>
          </cell>
          <cell r="CB3">
            <v>39052</v>
          </cell>
          <cell r="CD3">
            <v>38718</v>
          </cell>
          <cell r="CE3">
            <v>38749</v>
          </cell>
          <cell r="CF3">
            <v>38777</v>
          </cell>
          <cell r="CG3">
            <v>38808</v>
          </cell>
          <cell r="CH3">
            <v>38838</v>
          </cell>
          <cell r="CI3">
            <v>38869</v>
          </cell>
          <cell r="CJ3">
            <v>38899</v>
          </cell>
          <cell r="CK3">
            <v>38930</v>
          </cell>
          <cell r="CL3">
            <v>38961</v>
          </cell>
          <cell r="CM3">
            <v>38991</v>
          </cell>
          <cell r="CN3">
            <v>39022</v>
          </cell>
          <cell r="CO3">
            <v>39052</v>
          </cell>
          <cell r="CQ3">
            <v>38718</v>
          </cell>
          <cell r="CR3" t="str">
            <v>alloc</v>
          </cell>
          <cell r="CS3">
            <v>38718</v>
          </cell>
          <cell r="CT3">
            <v>38749</v>
          </cell>
          <cell r="CU3" t="str">
            <v>alloc</v>
          </cell>
          <cell r="CV3">
            <v>38749</v>
          </cell>
          <cell r="CW3">
            <v>38777</v>
          </cell>
          <cell r="CX3" t="str">
            <v>alloc</v>
          </cell>
          <cell r="CY3">
            <v>38777</v>
          </cell>
          <cell r="CZ3">
            <v>38808</v>
          </cell>
          <cell r="DA3" t="str">
            <v>alloc</v>
          </cell>
          <cell r="DB3">
            <v>38808</v>
          </cell>
          <cell r="DC3">
            <v>38838</v>
          </cell>
          <cell r="DD3" t="str">
            <v>alloc</v>
          </cell>
          <cell r="DE3">
            <v>38838</v>
          </cell>
          <cell r="DF3">
            <v>38869</v>
          </cell>
          <cell r="DG3" t="str">
            <v>alloc</v>
          </cell>
          <cell r="DH3">
            <v>38869</v>
          </cell>
          <cell r="DI3">
            <v>38899</v>
          </cell>
          <cell r="DJ3" t="str">
            <v>alloc</v>
          </cell>
          <cell r="DK3">
            <v>38899</v>
          </cell>
          <cell r="DL3">
            <v>38930</v>
          </cell>
          <cell r="DM3" t="str">
            <v>alloc</v>
          </cell>
          <cell r="DN3">
            <v>38930</v>
          </cell>
          <cell r="DO3">
            <v>38961</v>
          </cell>
          <cell r="DP3" t="str">
            <v>alloc</v>
          </cell>
          <cell r="DQ3">
            <v>38961</v>
          </cell>
          <cell r="DR3">
            <v>38991</v>
          </cell>
          <cell r="DS3" t="str">
            <v>alloc</v>
          </cell>
          <cell r="DT3">
            <v>38991</v>
          </cell>
          <cell r="DU3">
            <v>39022</v>
          </cell>
          <cell r="DV3" t="str">
            <v>alloc</v>
          </cell>
          <cell r="DW3">
            <v>39022</v>
          </cell>
          <cell r="DX3">
            <v>39052</v>
          </cell>
          <cell r="DY3" t="str">
            <v>alloc</v>
          </cell>
          <cell r="DZ3">
            <v>39052</v>
          </cell>
        </row>
        <row r="4">
          <cell r="AF4" t="str">
            <v>N$</v>
          </cell>
          <cell r="AH4" t="str">
            <v>N$</v>
          </cell>
          <cell r="AI4" t="str">
            <v>N$</v>
          </cell>
          <cell r="AK4" t="str">
            <v>N$</v>
          </cell>
          <cell r="AL4" t="str">
            <v>N$</v>
          </cell>
          <cell r="AN4" t="str">
            <v>N$</v>
          </cell>
          <cell r="AO4" t="str">
            <v>N$</v>
          </cell>
          <cell r="AQ4" t="str">
            <v>N$</v>
          </cell>
          <cell r="AR4" t="str">
            <v>N$</v>
          </cell>
          <cell r="AT4" t="str">
            <v>N$</v>
          </cell>
          <cell r="AU4" t="str">
            <v>N$</v>
          </cell>
          <cell r="AW4" t="str">
            <v>N$</v>
          </cell>
          <cell r="AX4" t="str">
            <v>N$</v>
          </cell>
          <cell r="AZ4" t="str">
            <v>N$</v>
          </cell>
          <cell r="BA4" t="str">
            <v>N$</v>
          </cell>
          <cell r="BC4" t="str">
            <v>N$</v>
          </cell>
          <cell r="BD4" t="str">
            <v>N$</v>
          </cell>
          <cell r="BF4" t="str">
            <v>N$</v>
          </cell>
          <cell r="BG4" t="str">
            <v>N$</v>
          </cell>
          <cell r="BI4" t="str">
            <v>N$</v>
          </cell>
          <cell r="BJ4" t="str">
            <v>N$</v>
          </cell>
          <cell r="BL4" t="str">
            <v>N$</v>
          </cell>
          <cell r="BM4" t="str">
            <v>N$</v>
          </cell>
          <cell r="BO4" t="str">
            <v>N$</v>
          </cell>
          <cell r="BQ4" t="str">
            <v>N$</v>
          </cell>
          <cell r="BR4" t="str">
            <v>N$</v>
          </cell>
          <cell r="BS4" t="str">
            <v>N$</v>
          </cell>
          <cell r="BT4" t="str">
            <v>N$</v>
          </cell>
          <cell r="BU4" t="str">
            <v>N$</v>
          </cell>
          <cell r="BV4" t="str">
            <v>N$</v>
          </cell>
          <cell r="BW4" t="str">
            <v>N$</v>
          </cell>
          <cell r="BX4" t="str">
            <v>N$</v>
          </cell>
          <cell r="BY4" t="str">
            <v>N$</v>
          </cell>
          <cell r="BZ4" t="str">
            <v>N$</v>
          </cell>
          <cell r="CA4" t="str">
            <v>N$</v>
          </cell>
          <cell r="CB4" t="str">
            <v>N$</v>
          </cell>
          <cell r="CD4" t="str">
            <v>N$</v>
          </cell>
          <cell r="CE4" t="str">
            <v>N$</v>
          </cell>
          <cell r="CF4" t="str">
            <v>N$</v>
          </cell>
          <cell r="CG4" t="str">
            <v>N$</v>
          </cell>
          <cell r="CH4" t="str">
            <v>N$</v>
          </cell>
          <cell r="CI4" t="str">
            <v>N$</v>
          </cell>
          <cell r="CJ4" t="str">
            <v>N$</v>
          </cell>
          <cell r="CK4" t="str">
            <v>N$</v>
          </cell>
          <cell r="CL4" t="str">
            <v>N$</v>
          </cell>
          <cell r="CM4" t="str">
            <v>N$</v>
          </cell>
          <cell r="CN4" t="str">
            <v>N$</v>
          </cell>
          <cell r="CO4" t="str">
            <v>N$</v>
          </cell>
          <cell r="CQ4" t="str">
            <v>N$</v>
          </cell>
          <cell r="CS4" t="str">
            <v>N$</v>
          </cell>
          <cell r="CT4" t="str">
            <v>N$</v>
          </cell>
          <cell r="CV4" t="str">
            <v>N$</v>
          </cell>
          <cell r="CW4" t="str">
            <v>N$</v>
          </cell>
          <cell r="CY4" t="str">
            <v>N$</v>
          </cell>
          <cell r="CZ4" t="str">
            <v>N$</v>
          </cell>
          <cell r="DB4" t="str">
            <v>N$</v>
          </cell>
          <cell r="DC4" t="str">
            <v>N$</v>
          </cell>
          <cell r="DE4" t="str">
            <v>N$</v>
          </cell>
          <cell r="DF4" t="str">
            <v>N$</v>
          </cell>
          <cell r="DH4" t="str">
            <v>N$</v>
          </cell>
          <cell r="DI4" t="str">
            <v>N$</v>
          </cell>
          <cell r="DK4" t="str">
            <v>N$</v>
          </cell>
          <cell r="DL4" t="str">
            <v>N$</v>
          </cell>
          <cell r="DN4" t="str">
            <v>N$</v>
          </cell>
          <cell r="DO4" t="str">
            <v>N$</v>
          </cell>
          <cell r="DQ4" t="str">
            <v>N$</v>
          </cell>
          <cell r="DR4" t="str">
            <v>N$</v>
          </cell>
          <cell r="DT4" t="str">
            <v>N$</v>
          </cell>
          <cell r="DU4" t="str">
            <v>N$</v>
          </cell>
          <cell r="DW4" t="str">
            <v>N$</v>
          </cell>
          <cell r="DX4" t="str">
            <v>N$</v>
          </cell>
          <cell r="DZ4" t="str">
            <v>N$</v>
          </cell>
        </row>
        <row r="5">
          <cell r="AF5">
            <v>-16726931.079999983</v>
          </cell>
          <cell r="AG5">
            <v>0</v>
          </cell>
          <cell r="AH5">
            <v>-16726931.079999968</v>
          </cell>
          <cell r="AI5">
            <v>-29239204.679999985</v>
          </cell>
          <cell r="AJ5">
            <v>0</v>
          </cell>
          <cell r="AK5">
            <v>-29239204.67999997</v>
          </cell>
          <cell r="AL5">
            <v>-47587802.519999914</v>
          </cell>
          <cell r="AM5">
            <v>0</v>
          </cell>
          <cell r="AN5">
            <v>-47587802.519999914</v>
          </cell>
          <cell r="AO5">
            <v>-59575840.00000003</v>
          </cell>
          <cell r="AP5">
            <v>0</v>
          </cell>
          <cell r="AQ5">
            <v>-59575840</v>
          </cell>
          <cell r="AR5">
            <v>-79843302.010000125</v>
          </cell>
          <cell r="AS5">
            <v>0</v>
          </cell>
          <cell r="AT5">
            <v>-79843302.010000125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Q5">
            <v>281106.54000000015</v>
          </cell>
          <cell r="BR5">
            <v>374878.17999999993</v>
          </cell>
          <cell r="BS5">
            <v>690690.62</v>
          </cell>
          <cell r="BT5">
            <v>1315726.5599999998</v>
          </cell>
          <cell r="BU5">
            <v>1664459.9599999993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D5">
            <v>-727386.32999999984</v>
          </cell>
          <cell r="CE5">
            <v>-1125952.3700000001</v>
          </cell>
          <cell r="CF5">
            <v>-1868930.13</v>
          </cell>
          <cell r="CG5">
            <v>-2569384.9799999991</v>
          </cell>
          <cell r="CH5">
            <v>-3228418.080000001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Q5">
            <v>-16726931.079999968</v>
          </cell>
          <cell r="CR5">
            <v>0</v>
          </cell>
          <cell r="CS5">
            <v>-16726931.079999978</v>
          </cell>
          <cell r="CT5">
            <v>-29239204.67999997</v>
          </cell>
          <cell r="CU5">
            <v>0</v>
          </cell>
          <cell r="CV5">
            <v>-29239204.67999997</v>
          </cell>
          <cell r="CW5">
            <v>-47587802.519999914</v>
          </cell>
          <cell r="CX5">
            <v>0</v>
          </cell>
          <cell r="CY5">
            <v>-47587802.519999914</v>
          </cell>
          <cell r="CZ5">
            <v>-59575840</v>
          </cell>
          <cell r="DA5">
            <v>0</v>
          </cell>
          <cell r="DB5">
            <v>-59575840</v>
          </cell>
          <cell r="DC5">
            <v>-79843302.010000125</v>
          </cell>
          <cell r="DD5">
            <v>0</v>
          </cell>
          <cell r="DE5">
            <v>-79843302.010000125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</row>
        <row r="6">
          <cell r="AF6">
            <v>-16726931.079999983</v>
          </cell>
          <cell r="AH6">
            <v>-16726931.079999968</v>
          </cell>
          <cell r="AI6">
            <v>-12512273.600000018</v>
          </cell>
          <cell r="AK6">
            <v>-12512273.600000003</v>
          </cell>
          <cell r="AL6">
            <v>-18348597.840000011</v>
          </cell>
          <cell r="AN6">
            <v>-18348597.840000011</v>
          </cell>
          <cell r="AO6">
            <v>-11988037.479999976</v>
          </cell>
          <cell r="AQ6">
            <v>-11988037.479999976</v>
          </cell>
          <cell r="AR6">
            <v>-20267462.010000069</v>
          </cell>
          <cell r="AT6">
            <v>-20267462.010000054</v>
          </cell>
          <cell r="AU6">
            <v>0</v>
          </cell>
          <cell r="AW6">
            <v>0</v>
          </cell>
          <cell r="AX6">
            <v>0</v>
          </cell>
          <cell r="AZ6">
            <v>0</v>
          </cell>
          <cell r="BA6">
            <v>0</v>
          </cell>
          <cell r="BC6">
            <v>0</v>
          </cell>
          <cell r="BD6">
            <v>0</v>
          </cell>
          <cell r="BF6">
            <v>0</v>
          </cell>
          <cell r="BG6">
            <v>0</v>
          </cell>
          <cell r="BI6">
            <v>0</v>
          </cell>
          <cell r="BJ6">
            <v>0</v>
          </cell>
          <cell r="BL6">
            <v>0</v>
          </cell>
          <cell r="BM6">
            <v>0</v>
          </cell>
          <cell r="BO6">
            <v>0</v>
          </cell>
          <cell r="BQ6">
            <v>281106.54000000015</v>
          </cell>
          <cell r="BR6">
            <v>93771.639999999941</v>
          </cell>
          <cell r="BS6">
            <v>315812.44</v>
          </cell>
          <cell r="BT6">
            <v>625035.93999999994</v>
          </cell>
          <cell r="BU6">
            <v>348733.4000000002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D6">
            <v>-727386.32999999984</v>
          </cell>
          <cell r="CE6">
            <v>-398566.04000000015</v>
          </cell>
          <cell r="CF6">
            <v>-742977.75999999989</v>
          </cell>
          <cell r="CG6">
            <v>-700454.84999999986</v>
          </cell>
          <cell r="CH6">
            <v>-659033.10000000044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Q6">
            <v>-16726931.079999968</v>
          </cell>
          <cell r="CR6">
            <v>0</v>
          </cell>
          <cell r="CS6">
            <v>-16726931.079999978</v>
          </cell>
          <cell r="CT6">
            <v>-12512273.600000003</v>
          </cell>
          <cell r="CU6">
            <v>0</v>
          </cell>
          <cell r="CV6">
            <v>-12512273.600000005</v>
          </cell>
          <cell r="CW6">
            <v>-18348597.840000011</v>
          </cell>
          <cell r="CX6">
            <v>0</v>
          </cell>
          <cell r="CY6">
            <v>-18348597.840000011</v>
          </cell>
          <cell r="CZ6">
            <v>-11988037.479999976</v>
          </cell>
          <cell r="DA6">
            <v>0</v>
          </cell>
          <cell r="DB6">
            <v>-11988037.479999976</v>
          </cell>
          <cell r="DC6">
            <v>-20267462.010000054</v>
          </cell>
          <cell r="DD6">
            <v>0</v>
          </cell>
          <cell r="DE6">
            <v>-20267462.010000054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</row>
        <row r="7">
          <cell r="AF7">
            <v>0</v>
          </cell>
          <cell r="AG7">
            <v>0</v>
          </cell>
          <cell r="AH7">
            <v>0</v>
          </cell>
          <cell r="AI7">
            <v>-1230223</v>
          </cell>
          <cell r="AJ7">
            <v>1230223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D7">
            <v>-7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</row>
        <row r="10">
          <cell r="B10" t="str">
            <v>offset1</v>
          </cell>
        </row>
        <row r="11">
          <cell r="M11" t="str">
            <v>n/a</v>
          </cell>
          <cell r="Q11" t="str">
            <v>n/a</v>
          </cell>
          <cell r="T11" t="str">
            <v>n/a</v>
          </cell>
          <cell r="U11" t="str">
            <v>n/a</v>
          </cell>
          <cell r="W11" t="str">
            <v>n/a</v>
          </cell>
          <cell r="X11" t="str">
            <v>n/a</v>
          </cell>
          <cell r="Y11" t="str">
            <v>n/a</v>
          </cell>
          <cell r="AA11" t="str">
            <v>n/a</v>
          </cell>
        </row>
        <row r="12">
          <cell r="M12" t="str">
            <v>n/a</v>
          </cell>
          <cell r="Q12" t="str">
            <v>n/a</v>
          </cell>
          <cell r="T12" t="str">
            <v>n/a</v>
          </cell>
          <cell r="U12" t="str">
            <v>n/a</v>
          </cell>
          <cell r="W12" t="str">
            <v>n/a</v>
          </cell>
          <cell r="X12" t="str">
            <v>n/a</v>
          </cell>
          <cell r="Y12" t="str">
            <v>n/a</v>
          </cell>
          <cell r="AA12" t="str">
            <v>n/a</v>
          </cell>
        </row>
        <row r="13">
          <cell r="M13" t="str">
            <v>n/a</v>
          </cell>
          <cell r="Q13" t="str">
            <v>n/a</v>
          </cell>
          <cell r="T13" t="str">
            <v>n/a</v>
          </cell>
          <cell r="U13" t="str">
            <v>n/a</v>
          </cell>
          <cell r="W13" t="str">
            <v>n/a</v>
          </cell>
          <cell r="X13" t="str">
            <v>n/a</v>
          </cell>
          <cell r="Y13" t="str">
            <v>n/a</v>
          </cell>
          <cell r="AA13" t="str">
            <v>n/a</v>
          </cell>
        </row>
        <row r="14">
          <cell r="M14" t="str">
            <v>n/a</v>
          </cell>
          <cell r="Q14" t="str">
            <v>n/a</v>
          </cell>
          <cell r="T14" t="str">
            <v>n/a</v>
          </cell>
          <cell r="U14" t="str">
            <v>n/a</v>
          </cell>
          <cell r="W14" t="str">
            <v>n/a</v>
          </cell>
          <cell r="X14" t="str">
            <v>n/a</v>
          </cell>
          <cell r="Y14" t="str">
            <v>n/a</v>
          </cell>
          <cell r="AA14" t="str">
            <v>n/a</v>
          </cell>
        </row>
        <row r="15">
          <cell r="B15" t="str">
            <v>2600</v>
          </cell>
          <cell r="M15" t="str">
            <v>n/a</v>
          </cell>
          <cell r="Q15" t="str">
            <v>Notes &amp; specie</v>
          </cell>
          <cell r="T15" t="str">
            <v>Cash and short-term funds</v>
          </cell>
          <cell r="U15" t="str">
            <v>Notes &amp; specie</v>
          </cell>
          <cell r="W15" t="str">
            <v>Other assets</v>
          </cell>
          <cell r="X15">
            <v>101500</v>
          </cell>
          <cell r="Y15" t="str">
            <v>n/a</v>
          </cell>
          <cell r="AA15" t="str">
            <v>n/a</v>
          </cell>
        </row>
        <row r="16">
          <cell r="B16" t="str">
            <v>8400</v>
          </cell>
          <cell r="M16" t="str">
            <v>n/a</v>
          </cell>
          <cell r="Q16" t="str">
            <v>Notes &amp; specie</v>
          </cell>
          <cell r="T16" t="str">
            <v>Cash and short-term funds</v>
          </cell>
          <cell r="U16" t="str">
            <v>Notes &amp; specie</v>
          </cell>
          <cell r="W16" t="str">
            <v>Other assets</v>
          </cell>
          <cell r="X16">
            <v>101500</v>
          </cell>
          <cell r="Y16" t="str">
            <v>n/a</v>
          </cell>
          <cell r="AA16" t="str">
            <v>n/a</v>
          </cell>
        </row>
        <row r="17">
          <cell r="B17" t="str">
            <v>9400</v>
          </cell>
          <cell r="M17" t="str">
            <v>n/a</v>
          </cell>
          <cell r="Q17" t="str">
            <v>Notes &amp; specie</v>
          </cell>
          <cell r="T17" t="str">
            <v>Cash and short-term funds</v>
          </cell>
          <cell r="U17" t="str">
            <v>Notes &amp; specie</v>
          </cell>
          <cell r="W17" t="str">
            <v>Other assets</v>
          </cell>
          <cell r="X17">
            <v>101500</v>
          </cell>
          <cell r="Y17" t="str">
            <v>n/a</v>
          </cell>
          <cell r="AA17" t="str">
            <v>n/a</v>
          </cell>
        </row>
        <row r="18">
          <cell r="B18" t="str">
            <v>500</v>
          </cell>
          <cell r="M18" t="str">
            <v>n/a</v>
          </cell>
          <cell r="Q18" t="str">
            <v>Deposits with central bank</v>
          </cell>
          <cell r="T18" t="str">
            <v>Cash and short-term funds</v>
          </cell>
          <cell r="U18" t="str">
            <v>Deposits with central bank</v>
          </cell>
          <cell r="W18" t="str">
            <v>Other assets</v>
          </cell>
          <cell r="X18">
            <v>101900</v>
          </cell>
          <cell r="Y18" t="str">
            <v>n/a</v>
          </cell>
          <cell r="AA18" t="str">
            <v>n/a</v>
          </cell>
        </row>
        <row r="19">
          <cell r="B19" t="str">
            <v>7600</v>
          </cell>
          <cell r="M19" t="str">
            <v>n/a</v>
          </cell>
          <cell r="Q19" t="str">
            <v>Deposits with central bank</v>
          </cell>
          <cell r="T19" t="str">
            <v>Cash and short-term funds</v>
          </cell>
          <cell r="U19" t="str">
            <v>Deposits with central bank</v>
          </cell>
          <cell r="W19" t="str">
            <v>Other assets</v>
          </cell>
          <cell r="X19">
            <v>101900</v>
          </cell>
          <cell r="Y19" t="str">
            <v>n/a</v>
          </cell>
          <cell r="AA19" t="str">
            <v>n/a</v>
          </cell>
        </row>
        <row r="20">
          <cell r="B20" t="str">
            <v>13800</v>
          </cell>
          <cell r="M20" t="str">
            <v>n/a</v>
          </cell>
          <cell r="Q20" t="str">
            <v>Deposits with central bank</v>
          </cell>
          <cell r="T20" t="str">
            <v>Cash and short-term funds</v>
          </cell>
          <cell r="U20" t="str">
            <v>Deposits with central bank</v>
          </cell>
          <cell r="W20" t="str">
            <v>Other assets</v>
          </cell>
          <cell r="X20">
            <v>101900</v>
          </cell>
          <cell r="Y20" t="str">
            <v>n/a</v>
          </cell>
          <cell r="AA20" t="str">
            <v>n/a</v>
          </cell>
        </row>
        <row r="21">
          <cell r="B21" t="str">
            <v>9100</v>
          </cell>
          <cell r="M21" t="str">
            <v>n/a</v>
          </cell>
          <cell r="Q21" t="str">
            <v>Other accounts (assets)</v>
          </cell>
          <cell r="T21" t="str">
            <v>Cash and short-term funds</v>
          </cell>
          <cell r="U21" t="str">
            <v>Balances with other banks (cash)</v>
          </cell>
          <cell r="W21" t="str">
            <v>Other assets</v>
          </cell>
          <cell r="X21">
            <v>102100</v>
          </cell>
          <cell r="Y21" t="str">
            <v>OA: Settlement</v>
          </cell>
          <cell r="AA21" t="str">
            <v>n/a</v>
          </cell>
        </row>
        <row r="22">
          <cell r="B22" t="str">
            <v>9101</v>
          </cell>
          <cell r="M22" t="str">
            <v>n/a</v>
          </cell>
          <cell r="Q22" t="str">
            <v>Other accounts (assets)</v>
          </cell>
          <cell r="T22" t="str">
            <v>Cash and short-term funds</v>
          </cell>
          <cell r="U22" t="str">
            <v>Balances with other banks (cash)</v>
          </cell>
          <cell r="W22" t="str">
            <v>Other assets</v>
          </cell>
          <cell r="X22">
            <v>102100</v>
          </cell>
          <cell r="Y22" t="str">
            <v>OA: Settlement</v>
          </cell>
          <cell r="AA22" t="str">
            <v>n/a</v>
          </cell>
        </row>
        <row r="23">
          <cell r="B23" t="str">
            <v>9301</v>
          </cell>
          <cell r="M23" t="str">
            <v>n/a</v>
          </cell>
          <cell r="Q23" t="str">
            <v>Other accounts (assets)</v>
          </cell>
          <cell r="T23" t="str">
            <v>Cash and short-term funds</v>
          </cell>
          <cell r="U23" t="str">
            <v>Balances with other banks (cash)</v>
          </cell>
          <cell r="W23" t="str">
            <v>Other assets</v>
          </cell>
          <cell r="X23">
            <v>102100</v>
          </cell>
          <cell r="Y23" t="str">
            <v>OA: Settlement</v>
          </cell>
          <cell r="AA23" t="str">
            <v>n/a</v>
          </cell>
        </row>
        <row r="24">
          <cell r="B24" t="str">
            <v>10100</v>
          </cell>
          <cell r="M24" t="str">
            <v>n/a</v>
          </cell>
          <cell r="Q24" t="str">
            <v>Call loans: Banks</v>
          </cell>
          <cell r="T24" t="str">
            <v>Cash and short-term funds</v>
          </cell>
          <cell r="U24" t="str">
            <v>Balances with other banks (cash)</v>
          </cell>
          <cell r="W24" t="str">
            <v>Other assets</v>
          </cell>
          <cell r="X24">
            <v>102100</v>
          </cell>
          <cell r="Y24" t="str">
            <v>n/a</v>
          </cell>
          <cell r="AA24" t="str">
            <v>n/a</v>
          </cell>
        </row>
        <row r="25">
          <cell r="B25" t="str">
            <v>112800</v>
          </cell>
          <cell r="M25" t="str">
            <v>n/a</v>
          </cell>
          <cell r="Q25" t="str">
            <v>Other accounts (assets)</v>
          </cell>
          <cell r="T25" t="str">
            <v>Cash and short-term funds</v>
          </cell>
          <cell r="U25" t="str">
            <v>Balances with other banks (cash)</v>
          </cell>
          <cell r="W25" t="str">
            <v>Other assets</v>
          </cell>
          <cell r="X25">
            <v>102100</v>
          </cell>
          <cell r="Y25" t="str">
            <v>n/a</v>
          </cell>
          <cell r="AA25" t="str">
            <v>n/a</v>
          </cell>
        </row>
        <row r="26">
          <cell r="B26" t="str">
            <v>14110</v>
          </cell>
          <cell r="M26" t="str">
            <v>n/a</v>
          </cell>
          <cell r="Q26" t="str">
            <v xml:space="preserve">SBSA: Investment call </v>
          </cell>
          <cell r="T26" t="str">
            <v>Cash and short-term funds</v>
          </cell>
          <cell r="U26" t="str">
            <v xml:space="preserve">SBSA - investment call </v>
          </cell>
          <cell r="W26" t="str">
            <v>Other assets</v>
          </cell>
          <cell r="X26">
            <v>103200</v>
          </cell>
          <cell r="Y26" t="str">
            <v>n/a</v>
          </cell>
          <cell r="AA26" t="str">
            <v>n/a</v>
          </cell>
        </row>
        <row r="27">
          <cell r="B27" t="str">
            <v>2300</v>
          </cell>
          <cell r="M27" t="str">
            <v>n/a</v>
          </cell>
          <cell r="Q27" t="str">
            <v>Notes &amp; specie</v>
          </cell>
          <cell r="T27" t="str">
            <v>Cash and short-term funds</v>
          </cell>
          <cell r="U27" t="str">
            <v>Notes &amp; specie</v>
          </cell>
          <cell r="W27" t="str">
            <v>Other assets</v>
          </cell>
          <cell r="X27">
            <v>101500</v>
          </cell>
          <cell r="Y27" t="str">
            <v>n/a</v>
          </cell>
          <cell r="AA27" t="str">
            <v>n/a</v>
          </cell>
        </row>
        <row r="28">
          <cell r="B28" t="str">
            <v>5200</v>
          </cell>
          <cell r="M28" t="str">
            <v>n/a</v>
          </cell>
          <cell r="Q28" t="str">
            <v>Treasury bills</v>
          </cell>
          <cell r="T28" t="str">
            <v>Short term negotiable securities</v>
          </cell>
          <cell r="U28" t="str">
            <v>Treasury bills</v>
          </cell>
          <cell r="W28" t="str">
            <v>Other assets</v>
          </cell>
          <cell r="X28">
            <v>102500</v>
          </cell>
          <cell r="Y28" t="str">
            <v>n/a</v>
          </cell>
          <cell r="AA28" t="str">
            <v>n/a</v>
          </cell>
        </row>
        <row r="29">
          <cell r="B29" t="str">
            <v>5300</v>
          </cell>
          <cell r="M29" t="str">
            <v>n/a</v>
          </cell>
          <cell r="Q29" t="str">
            <v>Treasury bills</v>
          </cell>
          <cell r="T29" t="str">
            <v>Short term negotiable securities</v>
          </cell>
          <cell r="U29" t="str">
            <v>Treasury bills</v>
          </cell>
          <cell r="W29" t="str">
            <v>Other assets</v>
          </cell>
          <cell r="X29">
            <v>102500</v>
          </cell>
          <cell r="Y29" t="str">
            <v>n/a</v>
          </cell>
          <cell r="AA29" t="str">
            <v>n/a</v>
          </cell>
        </row>
        <row r="30">
          <cell r="B30" t="str">
            <v>14000</v>
          </cell>
          <cell r="M30" t="str">
            <v>n/a</v>
          </cell>
          <cell r="Q30" t="str">
            <v>Treasury bills</v>
          </cell>
          <cell r="T30" t="str">
            <v>Short term negotiable securities</v>
          </cell>
          <cell r="U30" t="str">
            <v>Treasury bills</v>
          </cell>
          <cell r="W30" t="str">
            <v>Other assets</v>
          </cell>
          <cell r="X30">
            <v>102500</v>
          </cell>
          <cell r="Y30" t="str">
            <v>n/a</v>
          </cell>
          <cell r="AA30" t="str">
            <v>n/a</v>
          </cell>
        </row>
        <row r="31">
          <cell r="B31" t="str">
            <v>60205</v>
          </cell>
          <cell r="M31" t="str">
            <v>n/a</v>
          </cell>
          <cell r="Q31" t="str">
            <v>CashPlus</v>
          </cell>
          <cell r="T31" t="str">
            <v>Investment securities</v>
          </cell>
          <cell r="U31" t="str">
            <v>CashPlus</v>
          </cell>
          <cell r="W31" t="str">
            <v>Other assets</v>
          </cell>
          <cell r="X31">
            <v>102700</v>
          </cell>
          <cell r="Y31" t="str">
            <v>n/a</v>
          </cell>
          <cell r="AA31" t="str">
            <v>n/a</v>
          </cell>
        </row>
        <row r="32">
          <cell r="B32" t="str">
            <v>57500</v>
          </cell>
          <cell r="M32" t="str">
            <v>n/a</v>
          </cell>
          <cell r="Q32" t="str">
            <v>CashPlus</v>
          </cell>
          <cell r="T32" t="str">
            <v>Investment securities</v>
          </cell>
          <cell r="U32" t="str">
            <v>CashPlus</v>
          </cell>
          <cell r="W32" t="str">
            <v>Other assets</v>
          </cell>
          <cell r="X32">
            <v>102700</v>
          </cell>
          <cell r="Y32" t="str">
            <v>n/a</v>
          </cell>
          <cell r="AA32" t="str">
            <v>n/a</v>
          </cell>
        </row>
        <row r="33">
          <cell r="B33" t="str">
            <v>40040</v>
          </cell>
          <cell r="M33" t="str">
            <v>n/a</v>
          </cell>
          <cell r="Q33" t="str">
            <v>Government stock</v>
          </cell>
          <cell r="T33" t="str">
            <v>Investment securities</v>
          </cell>
          <cell r="U33" t="str">
            <v>Government stock</v>
          </cell>
          <cell r="W33" t="str">
            <v>Other assets</v>
          </cell>
          <cell r="X33">
            <v>105313</v>
          </cell>
          <cell r="Y33" t="str">
            <v>n/a</v>
          </cell>
          <cell r="AA33" t="str">
            <v>n/a</v>
          </cell>
        </row>
        <row r="34">
          <cell r="B34" t="str">
            <v>40060</v>
          </cell>
          <cell r="M34" t="str">
            <v>n/a</v>
          </cell>
          <cell r="Q34" t="str">
            <v xml:space="preserve">Road Fund Administration </v>
          </cell>
          <cell r="T34" t="str">
            <v>Investment securities</v>
          </cell>
          <cell r="U34" t="str">
            <v xml:space="preserve">Road Fund Administration </v>
          </cell>
          <cell r="W34" t="str">
            <v>Other assets</v>
          </cell>
          <cell r="X34">
            <v>105313</v>
          </cell>
          <cell r="Y34" t="str">
            <v>n/a</v>
          </cell>
          <cell r="AA34" t="str">
            <v>n/a</v>
          </cell>
        </row>
        <row r="35">
          <cell r="B35" t="str">
            <v>49400</v>
          </cell>
          <cell r="M35" t="str">
            <v>n/a</v>
          </cell>
          <cell r="Q35" t="str">
            <v>Government stock</v>
          </cell>
          <cell r="T35" t="str">
            <v>Investment securities</v>
          </cell>
          <cell r="U35" t="str">
            <v>Government stock</v>
          </cell>
          <cell r="W35" t="str">
            <v>Other assets</v>
          </cell>
          <cell r="X35">
            <v>106200</v>
          </cell>
          <cell r="Y35" t="str">
            <v>n/a</v>
          </cell>
          <cell r="AA35" t="str">
            <v>n/a</v>
          </cell>
        </row>
        <row r="36">
          <cell r="B36" t="str">
            <v>60280</v>
          </cell>
          <cell r="M36" t="str">
            <v>n/a</v>
          </cell>
          <cell r="Q36" t="str">
            <v>Government stock</v>
          </cell>
          <cell r="T36" t="str">
            <v>Investment securities</v>
          </cell>
          <cell r="U36" t="str">
            <v>Government stock</v>
          </cell>
          <cell r="W36" t="str">
            <v>Other assets</v>
          </cell>
          <cell r="X36">
            <v>105313</v>
          </cell>
          <cell r="Y36" t="str">
            <v>n/a</v>
          </cell>
          <cell r="AA36" t="str">
            <v>n/a</v>
          </cell>
        </row>
        <row r="37">
          <cell r="B37" t="str">
            <v>40420</v>
          </cell>
          <cell r="M37" t="str">
            <v>n/a</v>
          </cell>
          <cell r="Q37" t="str">
            <v>RCC debentures</v>
          </cell>
          <cell r="T37" t="str">
            <v>Investment securities</v>
          </cell>
          <cell r="U37" t="str">
            <v>RCC debentures</v>
          </cell>
          <cell r="W37" t="str">
            <v>Other assets</v>
          </cell>
          <cell r="X37">
            <v>105332</v>
          </cell>
          <cell r="Y37" t="str">
            <v>n/a</v>
          </cell>
          <cell r="AA37" t="str">
            <v>n/a</v>
          </cell>
        </row>
        <row r="38">
          <cell r="B38" t="str">
            <v>56100</v>
          </cell>
          <cell r="M38" t="str">
            <v>n/a</v>
          </cell>
          <cell r="Q38" t="str">
            <v xml:space="preserve">Road Fund Administration </v>
          </cell>
          <cell r="T38" t="str">
            <v>Investment securities</v>
          </cell>
          <cell r="U38" t="str">
            <v xml:space="preserve">Road Fund Administration </v>
          </cell>
          <cell r="W38" t="str">
            <v>Other assets</v>
          </cell>
          <cell r="X38">
            <v>108800</v>
          </cell>
          <cell r="Y38" t="str">
            <v>n/a</v>
          </cell>
          <cell r="AA38" t="str">
            <v>n/a</v>
          </cell>
        </row>
        <row r="39">
          <cell r="B39" t="str">
            <v>56200</v>
          </cell>
          <cell r="M39" t="str">
            <v>n/a</v>
          </cell>
          <cell r="Q39" t="str">
            <v>Other accounts (assets)</v>
          </cell>
          <cell r="T39" t="str">
            <v>Other assets</v>
          </cell>
          <cell r="U39" t="str">
            <v>Other accounts (assets)</v>
          </cell>
          <cell r="W39" t="str">
            <v>Other assets</v>
          </cell>
          <cell r="X39">
            <v>108200</v>
          </cell>
          <cell r="Y39" t="str">
            <v>n/a</v>
          </cell>
          <cell r="AA39" t="str">
            <v>n/a</v>
          </cell>
        </row>
        <row r="40">
          <cell r="B40" t="str">
            <v>135750</v>
          </cell>
          <cell r="M40" t="str">
            <v>n/a</v>
          </cell>
          <cell r="Q40" t="str">
            <v>Not mapped</v>
          </cell>
          <cell r="T40" t="str">
            <v>Not mapped</v>
          </cell>
          <cell r="U40" t="str">
            <v>Not mapped</v>
          </cell>
          <cell r="W40" t="str">
            <v>Not mapped</v>
          </cell>
          <cell r="X40">
            <v>108800</v>
          </cell>
          <cell r="Y40" t="str">
            <v>n/a</v>
          </cell>
          <cell r="AA40" t="str">
            <v>n/a</v>
          </cell>
        </row>
        <row r="41">
          <cell r="B41" t="str">
            <v>49600</v>
          </cell>
          <cell r="M41" t="str">
            <v>n/a</v>
          </cell>
          <cell r="Q41" t="str">
            <v xml:space="preserve">Road Fund Administration </v>
          </cell>
          <cell r="T41" t="str">
            <v>Investment securities</v>
          </cell>
          <cell r="U41" t="str">
            <v xml:space="preserve">Road Fund Administration </v>
          </cell>
          <cell r="W41" t="str">
            <v>Other assets</v>
          </cell>
          <cell r="X41">
            <v>110100</v>
          </cell>
          <cell r="Y41" t="str">
            <v>n/a</v>
          </cell>
          <cell r="AA41" t="str">
            <v>n/a</v>
          </cell>
        </row>
        <row r="42">
          <cell r="B42" t="str">
            <v>13700</v>
          </cell>
          <cell r="M42" t="str">
            <v>n/a</v>
          </cell>
          <cell r="Q42" t="str">
            <v>Foreign currency assets (customer)</v>
          </cell>
          <cell r="T42" t="str">
            <v>Loans and advances (gross)</v>
          </cell>
          <cell r="U42" t="str">
            <v>Loans and advances</v>
          </cell>
          <cell r="W42" t="str">
            <v>Loans and advances</v>
          </cell>
          <cell r="X42">
            <v>115500</v>
          </cell>
          <cell r="Y42" t="str">
            <v>n/a</v>
          </cell>
          <cell r="AA42" t="str">
            <v>LA</v>
          </cell>
        </row>
        <row r="43">
          <cell r="B43" t="str">
            <v>73700</v>
          </cell>
          <cell r="M43" t="str">
            <v>n/a</v>
          </cell>
          <cell r="Q43" t="str">
            <v>Call loans: corporate clients</v>
          </cell>
          <cell r="T43" t="str">
            <v>Loans and advances (gross)</v>
          </cell>
          <cell r="U43" t="str">
            <v>Loans and advances</v>
          </cell>
          <cell r="W43" t="str">
            <v>Loans and advances</v>
          </cell>
          <cell r="X43">
            <v>115500</v>
          </cell>
          <cell r="Y43" t="str">
            <v>n/a</v>
          </cell>
          <cell r="AA43" t="str">
            <v>LA</v>
          </cell>
        </row>
        <row r="44">
          <cell r="B44" t="str">
            <v>72350</v>
          </cell>
          <cell r="M44" t="str">
            <v>n/a</v>
          </cell>
          <cell r="Q44" t="str">
            <v>Current account debtors</v>
          </cell>
          <cell r="T44" t="str">
            <v>Loans and advances (gross)</v>
          </cell>
          <cell r="U44" t="str">
            <v>Loans and advances</v>
          </cell>
          <cell r="W44" t="str">
            <v>Loans and advances</v>
          </cell>
          <cell r="X44">
            <v>116100</v>
          </cell>
          <cell r="Y44" t="str">
            <v>n/a</v>
          </cell>
          <cell r="AA44" t="str">
            <v>LA</v>
          </cell>
        </row>
        <row r="45">
          <cell r="B45" t="str">
            <v>60010</v>
          </cell>
          <cell r="M45" t="str">
            <v>n/a</v>
          </cell>
          <cell r="Q45" t="str">
            <v>Other accounts (assets)</v>
          </cell>
          <cell r="T45" t="str">
            <v>Loans and advances (gross)</v>
          </cell>
          <cell r="U45" t="str">
            <v>Loans and advances</v>
          </cell>
          <cell r="W45" t="str">
            <v>Loans and advances</v>
          </cell>
          <cell r="X45">
            <v>115900</v>
          </cell>
          <cell r="Y45" t="str">
            <v>n/a</v>
          </cell>
          <cell r="AA45" t="str">
            <v>LA</v>
          </cell>
        </row>
        <row r="46">
          <cell r="B46" t="str">
            <v>60011</v>
          </cell>
          <cell r="M46" t="str">
            <v>n/a</v>
          </cell>
          <cell r="Q46" t="str">
            <v>Other accounts (assets)</v>
          </cell>
          <cell r="T46" t="str">
            <v>Loans and advances (gross)</v>
          </cell>
          <cell r="U46" t="str">
            <v>Loans and advances</v>
          </cell>
          <cell r="W46" t="str">
            <v>Loans and advances</v>
          </cell>
          <cell r="X46">
            <v>115900</v>
          </cell>
          <cell r="Y46" t="str">
            <v>n/a</v>
          </cell>
          <cell r="AA46" t="str">
            <v>LA</v>
          </cell>
        </row>
        <row r="47">
          <cell r="B47" t="str">
            <v>60012</v>
          </cell>
          <cell r="M47" t="str">
            <v>n/a</v>
          </cell>
          <cell r="Q47" t="str">
            <v>Other accounts (assets)</v>
          </cell>
          <cell r="T47" t="str">
            <v>Loans and advances (gross)</v>
          </cell>
          <cell r="U47" t="str">
            <v>Loans and advances</v>
          </cell>
          <cell r="W47" t="str">
            <v>Loans and advances</v>
          </cell>
          <cell r="X47">
            <v>115900</v>
          </cell>
          <cell r="Y47" t="str">
            <v>n/a</v>
          </cell>
          <cell r="AA47" t="str">
            <v>LA</v>
          </cell>
        </row>
        <row r="48">
          <cell r="B48" t="str">
            <v>60013</v>
          </cell>
          <cell r="M48" t="str">
            <v>n/a</v>
          </cell>
          <cell r="Q48" t="str">
            <v>Not mapped</v>
          </cell>
          <cell r="T48" t="str">
            <v>Loans and advances (gross)</v>
          </cell>
          <cell r="U48" t="str">
            <v>Loans and advances</v>
          </cell>
          <cell r="W48" t="str">
            <v>Loans and advances</v>
          </cell>
          <cell r="X48">
            <v>115900</v>
          </cell>
          <cell r="Y48" t="str">
            <v>n/a</v>
          </cell>
          <cell r="AA48" t="str">
            <v>n/a</v>
          </cell>
        </row>
        <row r="49">
          <cell r="B49" t="str">
            <v>60014</v>
          </cell>
          <cell r="M49" t="str">
            <v>n/a</v>
          </cell>
          <cell r="Q49" t="str">
            <v>Not mapped</v>
          </cell>
          <cell r="T49" t="str">
            <v>Loans and advances (gross)</v>
          </cell>
          <cell r="U49" t="str">
            <v>Loans and advances</v>
          </cell>
          <cell r="W49" t="str">
            <v>Loans and advances</v>
          </cell>
          <cell r="X49">
            <v>115900</v>
          </cell>
          <cell r="Y49" t="str">
            <v>n/a</v>
          </cell>
          <cell r="AA49" t="str">
            <v>n/a</v>
          </cell>
        </row>
        <row r="50">
          <cell r="B50" t="str">
            <v>60015</v>
          </cell>
          <cell r="M50" t="str">
            <v>n/a</v>
          </cell>
          <cell r="Q50" t="str">
            <v>Other accounts (assets)</v>
          </cell>
          <cell r="T50" t="str">
            <v>Loans and advances (gross)</v>
          </cell>
          <cell r="U50" t="str">
            <v>Loans and advances</v>
          </cell>
          <cell r="W50" t="str">
            <v>Loans and advances</v>
          </cell>
          <cell r="X50">
            <v>115900</v>
          </cell>
          <cell r="Y50" t="str">
            <v>n/a</v>
          </cell>
          <cell r="AA50" t="str">
            <v>LA</v>
          </cell>
        </row>
        <row r="51">
          <cell r="B51" t="str">
            <v>60016</v>
          </cell>
          <cell r="M51" t="str">
            <v>n/a</v>
          </cell>
          <cell r="Q51" t="str">
            <v>Other accounts (assets)</v>
          </cell>
          <cell r="T51" t="str">
            <v>Loans and advances (gross)</v>
          </cell>
          <cell r="U51" t="str">
            <v>Loans and advances</v>
          </cell>
          <cell r="W51" t="str">
            <v>Loans and advances</v>
          </cell>
          <cell r="X51">
            <v>115900</v>
          </cell>
          <cell r="Y51" t="str">
            <v>n/a</v>
          </cell>
          <cell r="AA51" t="str">
            <v>LA</v>
          </cell>
        </row>
        <row r="52">
          <cell r="B52" t="str">
            <v>60017</v>
          </cell>
          <cell r="M52" t="str">
            <v>n/a</v>
          </cell>
          <cell r="Q52" t="str">
            <v>Other accounts (assets)</v>
          </cell>
          <cell r="T52" t="str">
            <v>Loans and advances (gross)</v>
          </cell>
          <cell r="U52" t="str">
            <v>Loans and advances</v>
          </cell>
          <cell r="W52" t="str">
            <v>Loans and advances</v>
          </cell>
          <cell r="X52">
            <v>115900</v>
          </cell>
          <cell r="Y52" t="str">
            <v>n/a</v>
          </cell>
          <cell r="AA52" t="str">
            <v>LA</v>
          </cell>
        </row>
        <row r="53">
          <cell r="B53" t="str">
            <v>60018</v>
          </cell>
          <cell r="M53" t="str">
            <v>n/a</v>
          </cell>
          <cell r="Q53" t="str">
            <v>Other accounts (assets)</v>
          </cell>
          <cell r="T53" t="str">
            <v>Loans and advances (gross)</v>
          </cell>
          <cell r="U53" t="str">
            <v>Loans and advances</v>
          </cell>
          <cell r="W53" t="str">
            <v>Loans and advances</v>
          </cell>
          <cell r="X53">
            <v>115900</v>
          </cell>
          <cell r="Y53" t="str">
            <v>n/a</v>
          </cell>
          <cell r="AA53" t="str">
            <v>LA</v>
          </cell>
        </row>
        <row r="54">
          <cell r="B54" t="str">
            <v>60019</v>
          </cell>
          <cell r="M54" t="str">
            <v>n/a</v>
          </cell>
          <cell r="Q54" t="str">
            <v>Other accounts (assets)</v>
          </cell>
          <cell r="T54" t="str">
            <v>Loans and advances (gross)</v>
          </cell>
          <cell r="U54" t="str">
            <v>Loans and advances</v>
          </cell>
          <cell r="W54" t="str">
            <v>Loans and advances</v>
          </cell>
          <cell r="X54">
            <v>115900</v>
          </cell>
          <cell r="Y54" t="str">
            <v>n/a</v>
          </cell>
          <cell r="AA54" t="str">
            <v>LA</v>
          </cell>
        </row>
        <row r="55">
          <cell r="B55" t="str">
            <v>60472</v>
          </cell>
          <cell r="M55" t="str">
            <v>n/a</v>
          </cell>
          <cell r="Q55" t="str">
            <v>Not mapped</v>
          </cell>
          <cell r="T55" t="str">
            <v>Loans and advances (gross)</v>
          </cell>
          <cell r="U55" t="str">
            <v>Loans and advances</v>
          </cell>
          <cell r="W55" t="str">
            <v>Loans and advances</v>
          </cell>
          <cell r="X55">
            <v>115900</v>
          </cell>
          <cell r="Y55" t="str">
            <v>n/a</v>
          </cell>
          <cell r="AA55" t="str">
            <v>n/a</v>
          </cell>
        </row>
        <row r="56">
          <cell r="B56" t="str">
            <v>60481</v>
          </cell>
          <cell r="M56" t="str">
            <v>n/a</v>
          </cell>
          <cell r="Q56" t="str">
            <v>Not mapped</v>
          </cell>
          <cell r="T56" t="str">
            <v>Loans and advances (gross)</v>
          </cell>
          <cell r="U56" t="str">
            <v>Loans and advances</v>
          </cell>
          <cell r="W56" t="str">
            <v>Loans and advances</v>
          </cell>
          <cell r="X56">
            <v>115900</v>
          </cell>
          <cell r="Y56" t="str">
            <v>n/a</v>
          </cell>
          <cell r="AA56" t="str">
            <v>n/a</v>
          </cell>
        </row>
        <row r="57">
          <cell r="B57" t="str">
            <v>60486</v>
          </cell>
          <cell r="M57" t="str">
            <v>n/a</v>
          </cell>
          <cell r="Q57" t="str">
            <v>Not mapped</v>
          </cell>
          <cell r="T57" t="str">
            <v>Loans and advances (gross)</v>
          </cell>
          <cell r="U57" t="str">
            <v>Loans and advances</v>
          </cell>
          <cell r="W57" t="str">
            <v>Loans and advances</v>
          </cell>
          <cell r="X57">
            <v>115900</v>
          </cell>
          <cell r="Y57" t="str">
            <v>n/a</v>
          </cell>
          <cell r="AA57" t="str">
            <v>n/a</v>
          </cell>
        </row>
        <row r="58">
          <cell r="B58" t="str">
            <v>60491</v>
          </cell>
          <cell r="M58" t="str">
            <v>n/a</v>
          </cell>
          <cell r="Q58" t="str">
            <v>Not mapped</v>
          </cell>
          <cell r="T58" t="str">
            <v>Loans and advances (gross)</v>
          </cell>
          <cell r="U58" t="str">
            <v>Loans and advances</v>
          </cell>
          <cell r="W58" t="str">
            <v>Loans and advances</v>
          </cell>
          <cell r="X58">
            <v>115900</v>
          </cell>
          <cell r="Y58" t="str">
            <v>n/a</v>
          </cell>
          <cell r="AA58" t="str">
            <v>n/a</v>
          </cell>
        </row>
        <row r="59">
          <cell r="B59" t="str">
            <v>60496</v>
          </cell>
          <cell r="M59" t="str">
            <v>n/a</v>
          </cell>
          <cell r="Q59" t="str">
            <v>Not mapped</v>
          </cell>
          <cell r="T59" t="str">
            <v>Loans and advances (gross)</v>
          </cell>
          <cell r="U59" t="str">
            <v>Loans and advances</v>
          </cell>
          <cell r="W59" t="str">
            <v>Loans and advances</v>
          </cell>
          <cell r="X59">
            <v>115900</v>
          </cell>
          <cell r="Y59" t="str">
            <v>n/a</v>
          </cell>
          <cell r="AA59" t="str">
            <v>n/a</v>
          </cell>
        </row>
        <row r="60">
          <cell r="B60" t="str">
            <v>60751</v>
          </cell>
          <cell r="M60" t="str">
            <v>n/a</v>
          </cell>
          <cell r="Q60" t="str">
            <v>Other accounts (assets)</v>
          </cell>
          <cell r="T60" t="str">
            <v>Loans and advances (gross)</v>
          </cell>
          <cell r="U60" t="str">
            <v>Loans and advances</v>
          </cell>
          <cell r="W60" t="str">
            <v>Loans and advances</v>
          </cell>
          <cell r="X60">
            <v>115900</v>
          </cell>
          <cell r="Y60" t="str">
            <v>n/a</v>
          </cell>
          <cell r="AA60" t="str">
            <v>LA</v>
          </cell>
        </row>
        <row r="61">
          <cell r="B61" t="str">
            <v>65500</v>
          </cell>
          <cell r="M61" t="str">
            <v>n/a</v>
          </cell>
          <cell r="Q61" t="str">
            <v>Current account debtors</v>
          </cell>
          <cell r="T61" t="str">
            <v>Loans and advances (gross)</v>
          </cell>
          <cell r="U61" t="str">
            <v>Loans and advances</v>
          </cell>
          <cell r="W61" t="str">
            <v>Loans and advances</v>
          </cell>
          <cell r="X61">
            <v>116100</v>
          </cell>
          <cell r="Y61" t="str">
            <v>n/a</v>
          </cell>
          <cell r="AA61" t="str">
            <v>LA</v>
          </cell>
        </row>
        <row r="62">
          <cell r="B62" t="str">
            <v>CM(A)</v>
          </cell>
          <cell r="M62" t="str">
            <v>n/a</v>
          </cell>
          <cell r="Q62" t="str">
            <v>Cash management</v>
          </cell>
          <cell r="T62" t="str">
            <v>Loans and advances (gross)</v>
          </cell>
          <cell r="U62" t="str">
            <v>Loans and advances</v>
          </cell>
          <cell r="W62" t="str">
            <v>Loans and advances</v>
          </cell>
          <cell r="X62">
            <v>116100</v>
          </cell>
          <cell r="Y62" t="str">
            <v>n/a</v>
          </cell>
          <cell r="AA62" t="str">
            <v>LA</v>
          </cell>
        </row>
        <row r="63">
          <cell r="M63" t="str">
            <v>n/a</v>
          </cell>
          <cell r="Q63" t="str">
            <v>NPL</v>
          </cell>
          <cell r="T63" t="str">
            <v>Loans and advances (gross)</v>
          </cell>
          <cell r="U63" t="str">
            <v>NPL</v>
          </cell>
          <cell r="W63" t="str">
            <v>Loans and advances</v>
          </cell>
          <cell r="X63">
            <v>116100</v>
          </cell>
          <cell r="Y63" t="str">
            <v>n/a</v>
          </cell>
          <cell r="AA63" t="str">
            <v>NPL</v>
          </cell>
        </row>
        <row r="64">
          <cell r="B64" t="str">
            <v>72650</v>
          </cell>
          <cell r="M64" t="str">
            <v>n/a</v>
          </cell>
          <cell r="Q64" t="str">
            <v>Revolving credit plan</v>
          </cell>
          <cell r="T64" t="str">
            <v>Loans and advances (gross)</v>
          </cell>
          <cell r="U64" t="str">
            <v>Loans and advances</v>
          </cell>
          <cell r="W64" t="str">
            <v>Loans and advances</v>
          </cell>
          <cell r="X64">
            <v>116100</v>
          </cell>
          <cell r="Y64" t="str">
            <v>n/a</v>
          </cell>
          <cell r="AA64" t="str">
            <v>LA</v>
          </cell>
        </row>
        <row r="65">
          <cell r="B65" t="str">
            <v>86350</v>
          </cell>
          <cell r="M65" t="str">
            <v>n/a</v>
          </cell>
          <cell r="Q65" t="str">
            <v>Revolving credit plan</v>
          </cell>
          <cell r="T65" t="str">
            <v>Loans and advances (gross)</v>
          </cell>
          <cell r="U65" t="str">
            <v>Loans and advances</v>
          </cell>
          <cell r="W65" t="str">
            <v>Loans and advances</v>
          </cell>
          <cell r="X65">
            <v>115900</v>
          </cell>
          <cell r="Y65" t="str">
            <v>n/a</v>
          </cell>
          <cell r="AA65" t="str">
            <v>LA</v>
          </cell>
        </row>
        <row r="66">
          <cell r="B66" t="str">
            <v>86450</v>
          </cell>
          <cell r="M66" t="str">
            <v>n/a</v>
          </cell>
          <cell r="Q66" t="str">
            <v>Revolving credit plan</v>
          </cell>
          <cell r="T66" t="str">
            <v>Loans and advances (gross)</v>
          </cell>
          <cell r="U66" t="str">
            <v>Loans and advances</v>
          </cell>
          <cell r="W66" t="str">
            <v>Loans and advances</v>
          </cell>
          <cell r="X66">
            <v>115900</v>
          </cell>
          <cell r="Y66" t="str">
            <v>n/a</v>
          </cell>
          <cell r="AA66" t="str">
            <v>LA</v>
          </cell>
        </row>
        <row r="67">
          <cell r="B67" t="str">
            <v>72750</v>
          </cell>
          <cell r="M67" t="str">
            <v>n/a</v>
          </cell>
          <cell r="Q67" t="str">
            <v>Revolving credit plan</v>
          </cell>
          <cell r="T67" t="str">
            <v>Loans and advances (gross)</v>
          </cell>
          <cell r="U67" t="str">
            <v>Loans and advances</v>
          </cell>
          <cell r="W67" t="str">
            <v>Loans and advances</v>
          </cell>
          <cell r="X67">
            <v>116100</v>
          </cell>
          <cell r="Y67" t="str">
            <v>n/a</v>
          </cell>
          <cell r="AA67" t="str">
            <v>LA</v>
          </cell>
        </row>
        <row r="68">
          <cell r="B68" t="str">
            <v>65900</v>
          </cell>
          <cell r="M68" t="str">
            <v>n/a</v>
          </cell>
          <cell r="Q68" t="str">
            <v>Student loan scheme</v>
          </cell>
          <cell r="T68" t="str">
            <v>Loans and advances (gross)</v>
          </cell>
          <cell r="U68" t="str">
            <v>Loans and advances</v>
          </cell>
          <cell r="W68" t="str">
            <v>Loans and advances</v>
          </cell>
          <cell r="X68">
            <v>116100</v>
          </cell>
          <cell r="Y68" t="str">
            <v>n/a</v>
          </cell>
          <cell r="AA68" t="str">
            <v>LA</v>
          </cell>
        </row>
        <row r="69">
          <cell r="B69" t="str">
            <v>86750</v>
          </cell>
          <cell r="M69" t="str">
            <v>n/a</v>
          </cell>
          <cell r="Q69" t="str">
            <v>Student loan scheme</v>
          </cell>
          <cell r="T69" t="str">
            <v>Loans and advances (gross)</v>
          </cell>
          <cell r="U69" t="str">
            <v>Loans and advances</v>
          </cell>
          <cell r="W69" t="str">
            <v>Loans and advances</v>
          </cell>
          <cell r="X69">
            <v>115900</v>
          </cell>
          <cell r="Y69" t="str">
            <v>n/a</v>
          </cell>
          <cell r="AA69" t="str">
            <v>LA</v>
          </cell>
        </row>
        <row r="70">
          <cell r="B70" t="str">
            <v>66000</v>
          </cell>
          <cell r="M70" t="str">
            <v>n/a</v>
          </cell>
          <cell r="Q70" t="str">
            <v>Way to Pay</v>
          </cell>
          <cell r="T70" t="str">
            <v>Loans and advances (gross)</v>
          </cell>
          <cell r="U70" t="str">
            <v>Loans and advances</v>
          </cell>
          <cell r="W70" t="str">
            <v>Loans and advances</v>
          </cell>
          <cell r="X70">
            <v>116100</v>
          </cell>
          <cell r="Y70" t="str">
            <v>n/a</v>
          </cell>
          <cell r="AA70" t="str">
            <v>LA</v>
          </cell>
        </row>
        <row r="71">
          <cell r="B71" t="str">
            <v>86650</v>
          </cell>
          <cell r="M71" t="str">
            <v>n/a</v>
          </cell>
          <cell r="Q71" t="str">
            <v>Way to Pay</v>
          </cell>
          <cell r="T71" t="str">
            <v>Loans and advances (gross)</v>
          </cell>
          <cell r="U71" t="str">
            <v>Loans and advances</v>
          </cell>
          <cell r="W71" t="str">
            <v>Loans and advances</v>
          </cell>
          <cell r="X71">
            <v>115900</v>
          </cell>
          <cell r="Y71" t="str">
            <v>n/a</v>
          </cell>
          <cell r="AA71" t="str">
            <v>LA</v>
          </cell>
        </row>
        <row r="72">
          <cell r="B72" t="str">
            <v>60185</v>
          </cell>
          <cell r="M72" t="str">
            <v>n/a</v>
          </cell>
          <cell r="Q72" t="str">
            <v>Call loans: Banks</v>
          </cell>
          <cell r="T72" t="str">
            <v>Loans and advances (gross)</v>
          </cell>
          <cell r="U72" t="str">
            <v>Loans and advances</v>
          </cell>
          <cell r="W72" t="str">
            <v>Loans and advances</v>
          </cell>
          <cell r="X72">
            <v>115900</v>
          </cell>
          <cell r="Y72" t="str">
            <v>n/a</v>
          </cell>
          <cell r="AA72" t="str">
            <v>LA</v>
          </cell>
        </row>
        <row r="73">
          <cell r="B73" t="str">
            <v>60225</v>
          </cell>
          <cell r="M73" t="str">
            <v>n/a</v>
          </cell>
          <cell r="Q73" t="str">
            <v>Foreign currency assets (customer)</v>
          </cell>
          <cell r="T73" t="str">
            <v>Loans and advances (gross)</v>
          </cell>
          <cell r="U73" t="str">
            <v>Loans and advances</v>
          </cell>
          <cell r="W73" t="str">
            <v>Loans and advances</v>
          </cell>
          <cell r="X73">
            <v>115900</v>
          </cell>
          <cell r="Y73" t="str">
            <v>n/a</v>
          </cell>
          <cell r="AA73" t="str">
            <v>LA</v>
          </cell>
        </row>
        <row r="74">
          <cell r="B74" t="str">
            <v>72550</v>
          </cell>
          <cell r="M74" t="str">
            <v>n/a</v>
          </cell>
          <cell r="Q74" t="str">
            <v xml:space="preserve">Medium term loans </v>
          </cell>
          <cell r="T74" t="str">
            <v>Loans and advances (gross)</v>
          </cell>
          <cell r="U74" t="str">
            <v>Loans and advances</v>
          </cell>
          <cell r="W74" t="str">
            <v>Loans and advances</v>
          </cell>
          <cell r="X74">
            <v>115700</v>
          </cell>
          <cell r="Y74" t="str">
            <v>MTL Branches</v>
          </cell>
          <cell r="AA74" t="str">
            <v>LA</v>
          </cell>
        </row>
        <row r="75">
          <cell r="B75" t="str">
            <v>86550</v>
          </cell>
          <cell r="M75" t="str">
            <v>n/a</v>
          </cell>
          <cell r="Q75" t="str">
            <v xml:space="preserve">Medium term loans </v>
          </cell>
          <cell r="T75" t="str">
            <v>Loans and advances (gross)</v>
          </cell>
          <cell r="U75" t="str">
            <v>Loans and advances</v>
          </cell>
          <cell r="W75" t="str">
            <v>Loans and advances</v>
          </cell>
          <cell r="X75">
            <v>115700</v>
          </cell>
          <cell r="Y75" t="str">
            <v>MTL Branches</v>
          </cell>
          <cell r="AA75" t="str">
            <v>LA</v>
          </cell>
        </row>
        <row r="76">
          <cell r="B76" t="str">
            <v>94700</v>
          </cell>
          <cell r="M76" t="str">
            <v>n/a</v>
          </cell>
          <cell r="Q76" t="str">
            <v xml:space="preserve">Medium term loans </v>
          </cell>
          <cell r="T76" t="str">
            <v>Loans and advances (gross)</v>
          </cell>
          <cell r="U76" t="str">
            <v>Loans and advances</v>
          </cell>
          <cell r="W76" t="str">
            <v>Loans and advances</v>
          </cell>
          <cell r="X76">
            <v>115700</v>
          </cell>
          <cell r="Y76" t="str">
            <v>MTL H/O</v>
          </cell>
          <cell r="AA76" t="str">
            <v>LA</v>
          </cell>
        </row>
        <row r="77">
          <cell r="B77" t="str">
            <v>43500</v>
          </cell>
          <cell r="M77" t="str">
            <v>n/a</v>
          </cell>
          <cell r="Q77" t="str">
            <v>Promissory notes</v>
          </cell>
          <cell r="T77" t="str">
            <v>Loans and advances (gross)</v>
          </cell>
          <cell r="U77" t="str">
            <v>Loans and advances</v>
          </cell>
          <cell r="W77" t="str">
            <v>Loans and advances</v>
          </cell>
          <cell r="X77">
            <v>115900</v>
          </cell>
          <cell r="Y77" t="str">
            <v>43500</v>
          </cell>
          <cell r="AA77" t="str">
            <v>LA</v>
          </cell>
        </row>
        <row r="78">
          <cell r="B78" t="str">
            <v>70000</v>
          </cell>
          <cell r="M78" t="str">
            <v>n/a</v>
          </cell>
          <cell r="Q78" t="str">
            <v>Investment in preference shares</v>
          </cell>
          <cell r="T78" t="str">
            <v>Loans and advances (gross)</v>
          </cell>
          <cell r="U78" t="str">
            <v>Loans and advances</v>
          </cell>
          <cell r="W78" t="str">
            <v>Loans and advances</v>
          </cell>
          <cell r="X78">
            <v>116900</v>
          </cell>
          <cell r="Y78" t="str">
            <v>n/a</v>
          </cell>
          <cell r="AA78" t="str">
            <v>LA</v>
          </cell>
        </row>
        <row r="79">
          <cell r="B79" t="str">
            <v>60680</v>
          </cell>
          <cell r="M79" t="str">
            <v>n/a</v>
          </cell>
          <cell r="Q79" t="str">
            <v>Not mapped</v>
          </cell>
          <cell r="T79" t="str">
            <v>Loans and advances (gross)</v>
          </cell>
          <cell r="U79" t="str">
            <v>Loans and advances</v>
          </cell>
          <cell r="W79" t="str">
            <v>Loans and advances</v>
          </cell>
          <cell r="X79">
            <v>119300</v>
          </cell>
          <cell r="Y79" t="str">
            <v>n/a</v>
          </cell>
          <cell r="AA79" t="str">
            <v>LA</v>
          </cell>
        </row>
        <row r="80">
          <cell r="B80" t="str">
            <v>60340</v>
          </cell>
          <cell r="M80" t="str">
            <v>n/a</v>
          </cell>
          <cell r="Q80" t="str">
            <v>Not mapped</v>
          </cell>
          <cell r="T80" t="str">
            <v>Loans and advances (gross)</v>
          </cell>
          <cell r="U80" t="str">
            <v>Loans and advances</v>
          </cell>
          <cell r="W80" t="str">
            <v>Loans and advances</v>
          </cell>
          <cell r="X80">
            <v>119300</v>
          </cell>
          <cell r="Y80" t="str">
            <v>n/a</v>
          </cell>
          <cell r="AA80" t="str">
            <v>LA</v>
          </cell>
        </row>
        <row r="81">
          <cell r="B81" t="str">
            <v>300</v>
          </cell>
          <cell r="M81" t="str">
            <v>n/a</v>
          </cell>
          <cell r="Q81" t="str">
            <v>IC: Foreign currency assets (Mauritius)</v>
          </cell>
          <cell r="T81" t="str">
            <v>Loans and advances (gross)</v>
          </cell>
          <cell r="U81" t="str">
            <v>Loans and advances</v>
          </cell>
          <cell r="W81" t="str">
            <v>Loans and advances</v>
          </cell>
          <cell r="X81">
            <v>119200</v>
          </cell>
          <cell r="Y81" t="str">
            <v>n/a</v>
          </cell>
          <cell r="AA81" t="str">
            <v>LA</v>
          </cell>
        </row>
        <row r="82">
          <cell r="B82" t="str">
            <v>11500</v>
          </cell>
          <cell r="M82" t="str">
            <v>n/a</v>
          </cell>
          <cell r="Q82" t="str">
            <v>Cash management</v>
          </cell>
          <cell r="T82" t="str">
            <v>Loans and advances (gross)</v>
          </cell>
          <cell r="U82" t="str">
            <v>Loans and advances</v>
          </cell>
          <cell r="W82" t="str">
            <v>Loans and advances</v>
          </cell>
          <cell r="X82">
            <v>117700</v>
          </cell>
          <cell r="Y82" t="str">
            <v>n/a</v>
          </cell>
          <cell r="AA82" t="str">
            <v>LA</v>
          </cell>
        </row>
        <row r="83">
          <cell r="B83" t="str">
            <v>61550</v>
          </cell>
          <cell r="M83" t="str">
            <v>n/a</v>
          </cell>
          <cell r="Q83" t="str">
            <v>Vostro accounts foreign banks</v>
          </cell>
          <cell r="T83" t="str">
            <v>Loans and advances (gross)</v>
          </cell>
          <cell r="U83" t="str">
            <v>Loans and advances</v>
          </cell>
          <cell r="W83" t="str">
            <v>Loans and advances</v>
          </cell>
          <cell r="X83">
            <v>115905</v>
          </cell>
          <cell r="Y83" t="str">
            <v>n/a</v>
          </cell>
          <cell r="AA83" t="str">
            <v>LA</v>
          </cell>
        </row>
        <row r="84">
          <cell r="B84" t="str">
            <v>61650</v>
          </cell>
          <cell r="M84" t="str">
            <v>n/a</v>
          </cell>
          <cell r="Q84" t="str">
            <v>IC: Vostro account</v>
          </cell>
          <cell r="T84" t="str">
            <v>Loans and advances (gross)</v>
          </cell>
          <cell r="U84" t="str">
            <v>Loans and advances</v>
          </cell>
          <cell r="W84" t="str">
            <v>Loans and advances</v>
          </cell>
          <cell r="X84">
            <v>119300</v>
          </cell>
          <cell r="Y84" t="str">
            <v>n/a</v>
          </cell>
          <cell r="AA84" t="str">
            <v>LA</v>
          </cell>
        </row>
        <row r="85">
          <cell r="B85" t="str">
            <v>1900</v>
          </cell>
          <cell r="M85" t="str">
            <v>n/a</v>
          </cell>
          <cell r="Q85" t="str">
            <v>Nostro accounts foreign banks</v>
          </cell>
          <cell r="T85" t="str">
            <v>Loans and advances (gross)</v>
          </cell>
          <cell r="U85" t="str">
            <v>Loans and advances</v>
          </cell>
          <cell r="W85" t="str">
            <v>Loans and advances</v>
          </cell>
          <cell r="X85">
            <v>115905</v>
          </cell>
          <cell r="Y85" t="str">
            <v>n/a</v>
          </cell>
          <cell r="AA85" t="str">
            <v>LA</v>
          </cell>
        </row>
        <row r="86">
          <cell r="B86" t="str">
            <v>10800</v>
          </cell>
          <cell r="M86" t="str">
            <v>n/a</v>
          </cell>
          <cell r="Q86" t="str">
            <v xml:space="preserve">IC: Nostro account </v>
          </cell>
          <cell r="T86" t="str">
            <v>Loans and advances (gross)</v>
          </cell>
          <cell r="U86" t="str">
            <v>Loans and advances</v>
          </cell>
          <cell r="W86" t="str">
            <v>Loans and advances</v>
          </cell>
          <cell r="X86">
            <v>119300</v>
          </cell>
          <cell r="Y86" t="str">
            <v>n/a</v>
          </cell>
          <cell r="AA86" t="str">
            <v>LA</v>
          </cell>
        </row>
        <row r="87">
          <cell r="B87" t="str">
            <v>61060</v>
          </cell>
          <cell r="M87" t="str">
            <v>n/a</v>
          </cell>
          <cell r="Q87" t="str">
            <v>Mortgage advances</v>
          </cell>
          <cell r="T87" t="str">
            <v>Loans and advances (gross)</v>
          </cell>
          <cell r="U87" t="str">
            <v>Mortgage advances: customer</v>
          </cell>
          <cell r="W87" t="str">
            <v>Loans and advances</v>
          </cell>
          <cell r="X87">
            <v>116500</v>
          </cell>
          <cell r="Y87" t="str">
            <v>n/a</v>
          </cell>
          <cell r="AA87" t="str">
            <v>HL</v>
          </cell>
        </row>
        <row r="88">
          <cell r="B88" t="str">
            <v>73550</v>
          </cell>
          <cell r="M88" t="str">
            <v>n/a</v>
          </cell>
          <cell r="Q88" t="str">
            <v>NPL</v>
          </cell>
          <cell r="T88" t="str">
            <v>Loans and advances (gross)</v>
          </cell>
          <cell r="U88" t="str">
            <v>NPL</v>
          </cell>
          <cell r="W88" t="str">
            <v>Loans and advances</v>
          </cell>
          <cell r="X88">
            <v>116100</v>
          </cell>
          <cell r="Y88" t="str">
            <v>n/a</v>
          </cell>
          <cell r="AA88" t="str">
            <v>NPL</v>
          </cell>
        </row>
        <row r="89">
          <cell r="B89" t="str">
            <v>88000</v>
          </cell>
          <cell r="M89" t="str">
            <v>n/a</v>
          </cell>
          <cell r="Q89" t="str">
            <v>Structured finance</v>
          </cell>
          <cell r="T89" t="str">
            <v>Loans and advances (gross)</v>
          </cell>
          <cell r="U89" t="str">
            <v>Loans and advances</v>
          </cell>
          <cell r="W89" t="str">
            <v>Loans and advances</v>
          </cell>
          <cell r="X89">
            <v>116500</v>
          </cell>
          <cell r="Y89" t="str">
            <v>n/a</v>
          </cell>
          <cell r="AA89" t="str">
            <v>LA</v>
          </cell>
        </row>
        <row r="90">
          <cell r="B90" t="str">
            <v>77900</v>
          </cell>
          <cell r="M90" t="str">
            <v>n/a</v>
          </cell>
          <cell r="Q90" t="str">
            <v>Assets on lease</v>
          </cell>
          <cell r="T90" t="str">
            <v>Loans and advances (gross)</v>
          </cell>
          <cell r="U90" t="str">
            <v>Loans and advances</v>
          </cell>
          <cell r="W90" t="str">
            <v>Loans and advances</v>
          </cell>
          <cell r="X90">
            <v>128200</v>
          </cell>
          <cell r="Y90" t="str">
            <v>n/a</v>
          </cell>
          <cell r="AA90" t="str">
            <v>LA</v>
          </cell>
        </row>
        <row r="91">
          <cell r="B91" t="str">
            <v>60500</v>
          </cell>
          <cell r="M91" t="str">
            <v>n/a</v>
          </cell>
          <cell r="Q91" t="str">
            <v>Not mapped</v>
          </cell>
          <cell r="T91" t="str">
            <v>Loans and advances (gross)</v>
          </cell>
          <cell r="U91" t="str">
            <v>Loans and advances</v>
          </cell>
          <cell r="W91" t="str">
            <v>Loans and advances</v>
          </cell>
          <cell r="X91">
            <v>116700</v>
          </cell>
          <cell r="Y91" t="str">
            <v>n/a</v>
          </cell>
          <cell r="AA91" t="str">
            <v>LA</v>
          </cell>
        </row>
        <row r="92">
          <cell r="B92" t="str">
            <v>77500</v>
          </cell>
          <cell r="M92" t="str">
            <v>n/a</v>
          </cell>
          <cell r="Q92" t="str">
            <v>Not mapped</v>
          </cell>
          <cell r="T92" t="str">
            <v>Loans and advances (gross)</v>
          </cell>
          <cell r="U92" t="str">
            <v>Loans and advances</v>
          </cell>
          <cell r="W92" t="str">
            <v>Loans and advances</v>
          </cell>
          <cell r="X92">
            <v>128200</v>
          </cell>
          <cell r="Y92" t="str">
            <v>n/a</v>
          </cell>
          <cell r="AA92" t="str">
            <v>LA</v>
          </cell>
        </row>
        <row r="93">
          <cell r="B93" t="str">
            <v>93900</v>
          </cell>
          <cell r="M93" t="str">
            <v>n/a</v>
          </cell>
          <cell r="Q93" t="str">
            <v>Assets on lease</v>
          </cell>
          <cell r="T93" t="str">
            <v>Loans and advances (gross)</v>
          </cell>
          <cell r="U93" t="str">
            <v>Loans and advances</v>
          </cell>
          <cell r="W93" t="str">
            <v>Loans and advances</v>
          </cell>
          <cell r="X93">
            <v>116700</v>
          </cell>
          <cell r="Y93" t="str">
            <v>n/a</v>
          </cell>
          <cell r="AA93" t="str">
            <v>LA</v>
          </cell>
        </row>
        <row r="94">
          <cell r="B94" t="str">
            <v>69850</v>
          </cell>
          <cell r="M94" t="str">
            <v>n/a</v>
          </cell>
          <cell r="Q94" t="str">
            <v>VAF</v>
          </cell>
          <cell r="T94" t="str">
            <v>Loans and advances (gross)</v>
          </cell>
          <cell r="U94" t="str">
            <v>VAF</v>
          </cell>
          <cell r="W94" t="str">
            <v>Loans and advances</v>
          </cell>
          <cell r="X94">
            <v>128200</v>
          </cell>
          <cell r="Y94" t="str">
            <v>n/a</v>
          </cell>
          <cell r="AA94" t="str">
            <v>VAF</v>
          </cell>
        </row>
        <row r="95">
          <cell r="B95" t="str">
            <v>61250</v>
          </cell>
          <cell r="M95" t="str">
            <v>n/a</v>
          </cell>
          <cell r="Q95" t="str">
            <v>VAF</v>
          </cell>
          <cell r="T95" t="str">
            <v>Loans and advances (gross)</v>
          </cell>
          <cell r="U95" t="str">
            <v>VAF</v>
          </cell>
          <cell r="W95" t="str">
            <v>Loans and advances</v>
          </cell>
          <cell r="X95">
            <v>116700</v>
          </cell>
          <cell r="Y95" t="str">
            <v>n/a</v>
          </cell>
          <cell r="AA95" t="str">
            <v>VAF</v>
          </cell>
        </row>
        <row r="96">
          <cell r="M96" t="str">
            <v>n/a</v>
          </cell>
          <cell r="Q96" t="str">
            <v>NPL</v>
          </cell>
          <cell r="T96" t="str">
            <v>Loans and advances (gross)</v>
          </cell>
          <cell r="U96" t="str">
            <v>NPL</v>
          </cell>
          <cell r="W96" t="str">
            <v>Loans and advances</v>
          </cell>
          <cell r="X96">
            <v>116700</v>
          </cell>
          <cell r="Y96" t="str">
            <v>n/a</v>
          </cell>
          <cell r="AA96" t="str">
            <v>NPL</v>
          </cell>
        </row>
        <row r="97">
          <cell r="B97" t="str">
            <v>65800</v>
          </cell>
          <cell r="M97" t="str">
            <v>n/a</v>
          </cell>
          <cell r="Q97" t="str">
            <v>Mortgage advances</v>
          </cell>
          <cell r="T97" t="str">
            <v>Loans and advances (gross)</v>
          </cell>
          <cell r="U97" t="str">
            <v>Mortgage advances: staff</v>
          </cell>
          <cell r="W97" t="str">
            <v>Loans and advances</v>
          </cell>
          <cell r="X97">
            <v>116500</v>
          </cell>
          <cell r="Y97" t="str">
            <v>n/a</v>
          </cell>
          <cell r="AA97" t="str">
            <v>LA</v>
          </cell>
        </row>
        <row r="98">
          <cell r="B98" t="str">
            <v>73050</v>
          </cell>
          <cell r="M98" t="str">
            <v>n/a</v>
          </cell>
          <cell r="Q98" t="str">
            <v>Current account debtors</v>
          </cell>
          <cell r="T98" t="str">
            <v>Loans and advances (gross)</v>
          </cell>
          <cell r="U98" t="str">
            <v>Loans and advances</v>
          </cell>
          <cell r="W98" t="str">
            <v>Loans and advances</v>
          </cell>
          <cell r="X98">
            <v>116900</v>
          </cell>
          <cell r="Y98" t="str">
            <v>n/a</v>
          </cell>
          <cell r="AA98" t="str">
            <v>LA</v>
          </cell>
        </row>
        <row r="99">
          <cell r="B99" t="str">
            <v>61700</v>
          </cell>
          <cell r="M99" t="str">
            <v>n/a</v>
          </cell>
          <cell r="Q99" t="str">
            <v>Impairment</v>
          </cell>
          <cell r="T99" t="str">
            <v>Less: Specific provisions</v>
          </cell>
          <cell r="U99" t="str">
            <v>n/a</v>
          </cell>
          <cell r="W99" t="str">
            <v>Loans and advances</v>
          </cell>
          <cell r="X99">
            <v>120800</v>
          </cell>
          <cell r="Y99" t="str">
            <v>n/a</v>
          </cell>
          <cell r="AA99" t="str">
            <v>n/a</v>
          </cell>
        </row>
        <row r="100">
          <cell r="B100" t="str">
            <v>62100</v>
          </cell>
          <cell r="M100" t="str">
            <v>n/a</v>
          </cell>
          <cell r="Q100" t="str">
            <v>Impairment</v>
          </cell>
          <cell r="T100" t="str">
            <v>Less: Specific provisions</v>
          </cell>
          <cell r="U100" t="str">
            <v>n/a</v>
          </cell>
          <cell r="W100" t="str">
            <v>Loans and advances</v>
          </cell>
          <cell r="X100">
            <v>120800</v>
          </cell>
          <cell r="Y100" t="str">
            <v>n/a</v>
          </cell>
          <cell r="AA100" t="str">
            <v>n/a</v>
          </cell>
        </row>
        <row r="101">
          <cell r="B101" t="str">
            <v>76200</v>
          </cell>
          <cell r="M101" t="str">
            <v>n/a</v>
          </cell>
          <cell r="Q101" t="str">
            <v>Impairment</v>
          </cell>
          <cell r="T101" t="str">
            <v>Less: Specific provisions</v>
          </cell>
          <cell r="U101" t="str">
            <v>n/a</v>
          </cell>
          <cell r="W101" t="str">
            <v>Loans and advances</v>
          </cell>
          <cell r="X101">
            <v>120800</v>
          </cell>
          <cell r="Y101" t="str">
            <v>n/a</v>
          </cell>
          <cell r="AA101" t="str">
            <v>n/a</v>
          </cell>
        </row>
        <row r="102">
          <cell r="B102" t="str">
            <v>88200</v>
          </cell>
          <cell r="M102" t="str">
            <v>n/a</v>
          </cell>
          <cell r="Q102" t="str">
            <v>Impairment</v>
          </cell>
          <cell r="T102" t="str">
            <v>Less: Specific provisions</v>
          </cell>
          <cell r="U102" t="str">
            <v>n/a</v>
          </cell>
          <cell r="W102" t="str">
            <v>Loans and advances</v>
          </cell>
          <cell r="X102">
            <v>121200</v>
          </cell>
          <cell r="Y102" t="str">
            <v>n/a</v>
          </cell>
          <cell r="AA102" t="str">
            <v>n/a</v>
          </cell>
        </row>
        <row r="103">
          <cell r="B103" t="str">
            <v>88300</v>
          </cell>
          <cell r="M103" t="str">
            <v>n/a</v>
          </cell>
          <cell r="Q103" t="str">
            <v>Impairment</v>
          </cell>
          <cell r="T103" t="str">
            <v>Less: Specific provisions</v>
          </cell>
          <cell r="U103" t="str">
            <v>n/a</v>
          </cell>
          <cell r="W103" t="str">
            <v>Loans and advances</v>
          </cell>
          <cell r="X103">
            <v>121400</v>
          </cell>
          <cell r="Y103" t="str">
            <v>n/a</v>
          </cell>
          <cell r="AA103" t="str">
            <v>n/a</v>
          </cell>
        </row>
        <row r="104">
          <cell r="B104" t="str">
            <v>88800</v>
          </cell>
          <cell r="M104" t="str">
            <v>n/a</v>
          </cell>
          <cell r="Q104" t="str">
            <v>Impairment</v>
          </cell>
          <cell r="T104" t="str">
            <v>Less: Specific provisions</v>
          </cell>
          <cell r="U104" t="str">
            <v>n/a</v>
          </cell>
          <cell r="W104" t="str">
            <v>Loans and advances</v>
          </cell>
          <cell r="X104">
            <v>121400</v>
          </cell>
          <cell r="Y104" t="str">
            <v>n/a</v>
          </cell>
          <cell r="AA104" t="str">
            <v>n/a</v>
          </cell>
        </row>
        <row r="105">
          <cell r="B105" t="str">
            <v>62200</v>
          </cell>
          <cell r="M105" t="str">
            <v>n/a</v>
          </cell>
          <cell r="Q105" t="str">
            <v>Impairment</v>
          </cell>
          <cell r="T105" t="str">
            <v>Less: Specific provisions</v>
          </cell>
          <cell r="U105" t="str">
            <v>n/a</v>
          </cell>
          <cell r="W105" t="str">
            <v>Loans and advances</v>
          </cell>
          <cell r="X105">
            <v>121600</v>
          </cell>
          <cell r="Y105" t="str">
            <v>n/a</v>
          </cell>
          <cell r="AA105" t="str">
            <v>n/a</v>
          </cell>
        </row>
        <row r="106">
          <cell r="B106" t="str">
            <v>76300</v>
          </cell>
          <cell r="M106" t="str">
            <v>n/a</v>
          </cell>
          <cell r="Q106" t="str">
            <v>Impairment</v>
          </cell>
          <cell r="T106" t="str">
            <v>Less: Specific provisions</v>
          </cell>
          <cell r="U106" t="str">
            <v>n/a</v>
          </cell>
          <cell r="W106" t="str">
            <v>Loans and advances</v>
          </cell>
          <cell r="X106">
            <v>121600</v>
          </cell>
          <cell r="Y106" t="str">
            <v>n/a</v>
          </cell>
          <cell r="AA106" t="str">
            <v>n/a</v>
          </cell>
        </row>
        <row r="107">
          <cell r="B107" t="str">
            <v>60000</v>
          </cell>
          <cell r="M107" t="str">
            <v>n/a</v>
          </cell>
          <cell r="Q107" t="str">
            <v>Impairment</v>
          </cell>
          <cell r="T107" t="str">
            <v>Less : Interest in suspense</v>
          </cell>
          <cell r="U107" t="str">
            <v>n/a</v>
          </cell>
          <cell r="W107" t="str">
            <v>Loans and advances</v>
          </cell>
          <cell r="X107">
            <v>125800</v>
          </cell>
          <cell r="Y107" t="str">
            <v>n/a</v>
          </cell>
          <cell r="AA107" t="str">
            <v>n/a</v>
          </cell>
        </row>
        <row r="108">
          <cell r="B108" t="str">
            <v>324970</v>
          </cell>
          <cell r="M108" t="str">
            <v>n/a</v>
          </cell>
          <cell r="Q108" t="str">
            <v>Impairment</v>
          </cell>
          <cell r="T108" t="str">
            <v>Less : Interest in suspense</v>
          </cell>
          <cell r="U108" t="str">
            <v>n/a</v>
          </cell>
          <cell r="W108" t="str">
            <v>Loans and advances</v>
          </cell>
          <cell r="X108">
            <v>125800</v>
          </cell>
          <cell r="Y108" t="str">
            <v>n/a</v>
          </cell>
          <cell r="AA108" t="str">
            <v>n/a</v>
          </cell>
        </row>
        <row r="109">
          <cell r="B109" t="str">
            <v>68100</v>
          </cell>
          <cell r="M109" t="str">
            <v>n/a</v>
          </cell>
          <cell r="Q109" t="str">
            <v>Impairment</v>
          </cell>
          <cell r="T109" t="str">
            <v>Less: General provisions</v>
          </cell>
          <cell r="U109" t="str">
            <v>n/a</v>
          </cell>
          <cell r="W109" t="str">
            <v>Loans and advances</v>
          </cell>
          <cell r="X109">
            <v>123900</v>
          </cell>
          <cell r="Y109" t="str">
            <v>n/a</v>
          </cell>
          <cell r="AA109" t="str">
            <v>n/a</v>
          </cell>
        </row>
        <row r="110">
          <cell r="B110" t="str">
            <v>69800</v>
          </cell>
          <cell r="M110" t="str">
            <v>n/a</v>
          </cell>
          <cell r="Q110" t="str">
            <v>Other accounts (assets)</v>
          </cell>
          <cell r="T110" t="str">
            <v>Loans and advances (gross)</v>
          </cell>
          <cell r="U110" t="str">
            <v>Loans and advances</v>
          </cell>
          <cell r="W110" t="str">
            <v>Loans and advances</v>
          </cell>
          <cell r="X110">
            <v>119300</v>
          </cell>
          <cell r="Y110" t="str">
            <v>n/a</v>
          </cell>
          <cell r="AA110" t="str">
            <v>LA</v>
          </cell>
        </row>
        <row r="111">
          <cell r="B111" t="str">
            <v>129280</v>
          </cell>
          <cell r="M111" t="str">
            <v>n/a</v>
          </cell>
          <cell r="Q111" t="str">
            <v>Other accounts (assets)</v>
          </cell>
          <cell r="T111" t="str">
            <v>Loans and advances (gross)</v>
          </cell>
          <cell r="U111" t="str">
            <v>Loans and advances</v>
          </cell>
          <cell r="W111" t="str">
            <v>Other assets</v>
          </cell>
          <cell r="X111">
            <v>135200</v>
          </cell>
          <cell r="Y111" t="str">
            <v>OA: Acc Int</v>
          </cell>
          <cell r="AA111" t="str">
            <v>n/a</v>
          </cell>
        </row>
        <row r="112">
          <cell r="B112" t="str">
            <v>128980</v>
          </cell>
          <cell r="M112" t="str">
            <v>n/a</v>
          </cell>
          <cell r="Q112" t="str">
            <v>Other accounts (assets)</v>
          </cell>
          <cell r="T112" t="str">
            <v>Loans and advances (gross)</v>
          </cell>
          <cell r="U112" t="str">
            <v>Loans and advances</v>
          </cell>
          <cell r="W112" t="str">
            <v>Other assets</v>
          </cell>
          <cell r="X112">
            <v>135200</v>
          </cell>
          <cell r="Y112" t="str">
            <v>OA: Acc Int</v>
          </cell>
          <cell r="AA112" t="str">
            <v>n/a</v>
          </cell>
        </row>
        <row r="113">
          <cell r="B113" t="str">
            <v>129040</v>
          </cell>
          <cell r="M113" t="str">
            <v>n/a</v>
          </cell>
          <cell r="Q113" t="str">
            <v>Other accounts (assets)</v>
          </cell>
          <cell r="T113" t="str">
            <v>Short term negotiable securities</v>
          </cell>
          <cell r="U113" t="str">
            <v>Treasury bills</v>
          </cell>
          <cell r="W113" t="str">
            <v>Other assets</v>
          </cell>
          <cell r="X113">
            <v>135200</v>
          </cell>
          <cell r="Y113" t="str">
            <v>OA: Acc Int</v>
          </cell>
          <cell r="AA113" t="str">
            <v>n/a</v>
          </cell>
        </row>
        <row r="114">
          <cell r="B114" t="str">
            <v>101370</v>
          </cell>
          <cell r="M114" t="str">
            <v>n/a</v>
          </cell>
          <cell r="Q114" t="str">
            <v>Other accounts (assets)</v>
          </cell>
          <cell r="T114" t="str">
            <v>Loans and advances (gross)</v>
          </cell>
          <cell r="U114" t="str">
            <v>Loans and advances</v>
          </cell>
          <cell r="W114" t="str">
            <v>Other assets</v>
          </cell>
          <cell r="X114">
            <v>135200</v>
          </cell>
          <cell r="Y114" t="str">
            <v>OA: Acc Int</v>
          </cell>
          <cell r="AA114" t="str">
            <v>n/a</v>
          </cell>
        </row>
        <row r="115">
          <cell r="B115" t="str">
            <v>107600</v>
          </cell>
          <cell r="M115" t="str">
            <v>n/a</v>
          </cell>
          <cell r="Q115" t="str">
            <v>Other accounts (assets)</v>
          </cell>
          <cell r="T115" t="str">
            <v>Investment securities</v>
          </cell>
          <cell r="U115" t="str">
            <v xml:space="preserve">Road Fund Administration </v>
          </cell>
          <cell r="W115" t="str">
            <v>Other assets</v>
          </cell>
          <cell r="X115">
            <v>135200</v>
          </cell>
          <cell r="Y115" t="str">
            <v>OA: Acc Int</v>
          </cell>
          <cell r="AA115" t="str">
            <v>n/a</v>
          </cell>
        </row>
        <row r="116">
          <cell r="B116" t="str">
            <v>128840</v>
          </cell>
          <cell r="M116" t="str">
            <v>n/a</v>
          </cell>
          <cell r="Q116" t="str">
            <v>Other accounts (assets)</v>
          </cell>
          <cell r="T116" t="str">
            <v>Investment securities</v>
          </cell>
          <cell r="U116" t="str">
            <v>Government stock</v>
          </cell>
          <cell r="W116" t="str">
            <v>Other assets</v>
          </cell>
          <cell r="X116">
            <v>135200</v>
          </cell>
          <cell r="Y116" t="str">
            <v>OA: Acc Int</v>
          </cell>
          <cell r="AA116" t="str">
            <v>n/a</v>
          </cell>
        </row>
        <row r="117">
          <cell r="B117" t="str">
            <v>100305</v>
          </cell>
          <cell r="M117" t="str">
            <v>n/a</v>
          </cell>
          <cell r="Q117" t="str">
            <v>Other accounts (assets)</v>
          </cell>
          <cell r="T117" t="str">
            <v>Loans and advances (gross)</v>
          </cell>
          <cell r="U117" t="str">
            <v>Loans and advances</v>
          </cell>
          <cell r="W117" t="str">
            <v>Other assets</v>
          </cell>
          <cell r="X117">
            <v>135200</v>
          </cell>
          <cell r="Y117" t="str">
            <v>OA: Acc Int</v>
          </cell>
          <cell r="AA117" t="str">
            <v>n/a</v>
          </cell>
        </row>
        <row r="118">
          <cell r="B118" t="str">
            <v>101920</v>
          </cell>
          <cell r="M118" t="str">
            <v>n/a</v>
          </cell>
          <cell r="Q118" t="str">
            <v>Other accounts (assets)</v>
          </cell>
          <cell r="T118" t="str">
            <v>Loans and advances (gross)</v>
          </cell>
          <cell r="U118" t="str">
            <v>Loans and advances</v>
          </cell>
          <cell r="W118" t="str">
            <v>Other assets</v>
          </cell>
          <cell r="X118">
            <v>135200</v>
          </cell>
          <cell r="Y118" t="str">
            <v>OA: Acc Int</v>
          </cell>
          <cell r="AA118" t="str">
            <v>n/a</v>
          </cell>
        </row>
        <row r="119">
          <cell r="B119" t="str">
            <v>102700</v>
          </cell>
          <cell r="M119" t="str">
            <v>n/a</v>
          </cell>
          <cell r="Q119" t="str">
            <v>Other accounts (assets)</v>
          </cell>
          <cell r="T119" t="str">
            <v>Loans and advances (gross)</v>
          </cell>
          <cell r="U119" t="str">
            <v>Loans and advances</v>
          </cell>
          <cell r="W119" t="str">
            <v>Other assets</v>
          </cell>
          <cell r="X119">
            <v>135200</v>
          </cell>
          <cell r="Y119" t="str">
            <v>OA: Acc Int</v>
          </cell>
          <cell r="AA119" t="str">
            <v>n/a</v>
          </cell>
        </row>
        <row r="120">
          <cell r="B120" t="str">
            <v>104100</v>
          </cell>
          <cell r="M120" t="str">
            <v>n/a</v>
          </cell>
          <cell r="Q120" t="str">
            <v>Other accounts (assets)</v>
          </cell>
          <cell r="T120" t="str">
            <v>Loans and advances (gross)</v>
          </cell>
          <cell r="U120" t="str">
            <v>Loans and advances</v>
          </cell>
          <cell r="W120" t="str">
            <v>Other assets</v>
          </cell>
          <cell r="X120">
            <v>135200</v>
          </cell>
          <cell r="Y120" t="str">
            <v>OA: Acc Int</v>
          </cell>
          <cell r="AA120" t="str">
            <v>n/a</v>
          </cell>
        </row>
        <row r="121">
          <cell r="B121" t="str">
            <v>104500</v>
          </cell>
          <cell r="M121" t="str">
            <v>n/a</v>
          </cell>
          <cell r="Q121" t="str">
            <v>Other accounts (assets)</v>
          </cell>
          <cell r="T121" t="str">
            <v>Loans and advances (gross)</v>
          </cell>
          <cell r="U121" t="str">
            <v>Loans and advances</v>
          </cell>
          <cell r="W121" t="str">
            <v>Other assets</v>
          </cell>
          <cell r="X121">
            <v>135200</v>
          </cell>
          <cell r="Y121" t="str">
            <v>OA: Acc Int</v>
          </cell>
          <cell r="AA121" t="str">
            <v>n/a</v>
          </cell>
        </row>
        <row r="122">
          <cell r="B122" t="str">
            <v>104600</v>
          </cell>
          <cell r="M122" t="str">
            <v>n/a</v>
          </cell>
          <cell r="Q122" t="str">
            <v>Other accounts (assets)</v>
          </cell>
          <cell r="T122" t="str">
            <v>Loans and advances (gross)</v>
          </cell>
          <cell r="U122" t="str">
            <v>Loans and advances</v>
          </cell>
          <cell r="W122" t="str">
            <v>Other assets</v>
          </cell>
          <cell r="X122">
            <v>135200</v>
          </cell>
          <cell r="Y122" t="str">
            <v>OA: Acc Int</v>
          </cell>
          <cell r="AA122" t="str">
            <v>n/a</v>
          </cell>
        </row>
        <row r="123">
          <cell r="B123" t="str">
            <v>105200</v>
          </cell>
          <cell r="M123" t="str">
            <v>n/a</v>
          </cell>
          <cell r="Q123" t="str">
            <v>Other accounts (assets)</v>
          </cell>
          <cell r="T123" t="str">
            <v>Loans and advances (gross)</v>
          </cell>
          <cell r="U123" t="str">
            <v>Loans and advances</v>
          </cell>
          <cell r="W123" t="str">
            <v>Other assets</v>
          </cell>
          <cell r="X123">
            <v>135200</v>
          </cell>
          <cell r="Y123" t="str">
            <v>OA: Acc Int</v>
          </cell>
          <cell r="AA123" t="str">
            <v>n/a</v>
          </cell>
        </row>
        <row r="124">
          <cell r="B124" t="str">
            <v>106400</v>
          </cell>
          <cell r="M124" t="str">
            <v>n/a</v>
          </cell>
          <cell r="Q124" t="str">
            <v>Other accounts (assets)</v>
          </cell>
          <cell r="T124" t="str">
            <v>Loans and advances (gross)</v>
          </cell>
          <cell r="U124" t="str">
            <v>Loans and advances</v>
          </cell>
          <cell r="W124" t="str">
            <v>Other assets</v>
          </cell>
          <cell r="X124">
            <v>135200</v>
          </cell>
          <cell r="Y124" t="str">
            <v>OA: Acc Int</v>
          </cell>
          <cell r="AA124" t="str">
            <v>n/a</v>
          </cell>
        </row>
        <row r="125">
          <cell r="B125" t="str">
            <v>108500</v>
          </cell>
          <cell r="M125" t="str">
            <v>n/a</v>
          </cell>
          <cell r="Q125" t="str">
            <v>Other accounts (assets)</v>
          </cell>
          <cell r="T125" t="str">
            <v>Loans and advances (gross)</v>
          </cell>
          <cell r="U125" t="str">
            <v>Loans and advances</v>
          </cell>
          <cell r="W125" t="str">
            <v>Other assets</v>
          </cell>
          <cell r="X125">
            <v>135205</v>
          </cell>
          <cell r="Y125" t="str">
            <v>OA: Acc Int</v>
          </cell>
          <cell r="AA125" t="str">
            <v>n/a</v>
          </cell>
        </row>
        <row r="126">
          <cell r="B126" t="str">
            <v>129300</v>
          </cell>
          <cell r="M126" t="str">
            <v>n/a</v>
          </cell>
          <cell r="Q126" t="str">
            <v>Other accounts (assets)</v>
          </cell>
          <cell r="T126" t="str">
            <v>Loans and advances (gross)</v>
          </cell>
          <cell r="U126" t="str">
            <v>Loans and advances</v>
          </cell>
          <cell r="W126" t="str">
            <v>Other assets</v>
          </cell>
          <cell r="X126">
            <v>135200</v>
          </cell>
          <cell r="Y126" t="str">
            <v>OA: Acc Int</v>
          </cell>
          <cell r="AA126" t="str">
            <v>n/a</v>
          </cell>
        </row>
        <row r="127">
          <cell r="B127" t="str">
            <v>103470</v>
          </cell>
          <cell r="M127" t="str">
            <v>n/a</v>
          </cell>
          <cell r="Q127" t="str">
            <v>Other accounts (assets)</v>
          </cell>
          <cell r="T127" t="str">
            <v>Loans and advances (gross)</v>
          </cell>
          <cell r="U127" t="str">
            <v>Loans and advances</v>
          </cell>
          <cell r="W127" t="str">
            <v>Other assets</v>
          </cell>
          <cell r="X127">
            <v>135200</v>
          </cell>
          <cell r="Y127" t="str">
            <v>OA: Acc Int</v>
          </cell>
          <cell r="AA127" t="str">
            <v>n/a</v>
          </cell>
        </row>
        <row r="128">
          <cell r="B128" t="str">
            <v>100315</v>
          </cell>
          <cell r="M128" t="str">
            <v>n/a</v>
          </cell>
          <cell r="Q128" t="str">
            <v>AIA Foreign currency loans: Customer</v>
          </cell>
          <cell r="T128" t="str">
            <v>Loans and advances (gross)</v>
          </cell>
          <cell r="U128" t="str">
            <v>Loans and advances</v>
          </cell>
          <cell r="W128" t="str">
            <v>Other assets</v>
          </cell>
          <cell r="X128">
            <v>135200</v>
          </cell>
          <cell r="Y128" t="str">
            <v>OA: Acc Int</v>
          </cell>
          <cell r="AA128" t="str">
            <v>n/a</v>
          </cell>
        </row>
        <row r="129">
          <cell r="B129" t="str">
            <v>101250</v>
          </cell>
          <cell r="M129" t="str">
            <v>n/a</v>
          </cell>
          <cell r="Q129" t="str">
            <v>Other accounts (assets)</v>
          </cell>
          <cell r="T129" t="str">
            <v>Loans and advances (gross)</v>
          </cell>
          <cell r="U129" t="str">
            <v>Loans and advances</v>
          </cell>
          <cell r="W129" t="str">
            <v>Other assets</v>
          </cell>
          <cell r="X129">
            <v>135200</v>
          </cell>
          <cell r="Y129" t="str">
            <v>OA: Acc Int</v>
          </cell>
          <cell r="AA129" t="str">
            <v>n/a</v>
          </cell>
        </row>
        <row r="130">
          <cell r="B130" t="str">
            <v>127940</v>
          </cell>
          <cell r="M130" t="str">
            <v>n/a</v>
          </cell>
          <cell r="Q130" t="str">
            <v>Other accounts (assets)</v>
          </cell>
          <cell r="T130" t="str">
            <v>Other assets</v>
          </cell>
          <cell r="U130" t="str">
            <v>n/a</v>
          </cell>
          <cell r="W130" t="str">
            <v>Other assets</v>
          </cell>
          <cell r="X130">
            <v>135200</v>
          </cell>
          <cell r="Y130" t="str">
            <v>OA: Acc Int</v>
          </cell>
          <cell r="AA130" t="str">
            <v>n/a</v>
          </cell>
        </row>
        <row r="131">
          <cell r="B131" t="str">
            <v>106200</v>
          </cell>
          <cell r="M131" t="str">
            <v>n/a</v>
          </cell>
          <cell r="Q131" t="str">
            <v>Not mapped</v>
          </cell>
          <cell r="T131" t="str">
            <v>Other assets</v>
          </cell>
          <cell r="U131" t="str">
            <v>n/a</v>
          </cell>
          <cell r="W131" t="str">
            <v>Other assets</v>
          </cell>
          <cell r="X131">
            <v>136805</v>
          </cell>
          <cell r="Y131" t="str">
            <v>n/a</v>
          </cell>
          <cell r="AA131" t="str">
            <v>n/a</v>
          </cell>
        </row>
        <row r="132">
          <cell r="B132" t="str">
            <v>115090</v>
          </cell>
          <cell r="M132" t="str">
            <v>n/a</v>
          </cell>
          <cell r="Q132" t="str">
            <v>Other accounts (assets)</v>
          </cell>
          <cell r="T132" t="str">
            <v>Loans and advances (gross)</v>
          </cell>
          <cell r="U132" t="str">
            <v>Loans and advances</v>
          </cell>
          <cell r="W132" t="str">
            <v>Other assets</v>
          </cell>
          <cell r="X132">
            <v>139400</v>
          </cell>
          <cell r="Y132" t="str">
            <v>OA: Acc Int</v>
          </cell>
          <cell r="AA132" t="str">
            <v>n/a</v>
          </cell>
        </row>
        <row r="133">
          <cell r="B133" t="str">
            <v>115095</v>
          </cell>
          <cell r="M133" t="str">
            <v>n/a</v>
          </cell>
          <cell r="Q133" t="str">
            <v>IC: AIA Foreign currency loans</v>
          </cell>
          <cell r="T133" t="str">
            <v>Loans and advances (gross)</v>
          </cell>
          <cell r="U133" t="str">
            <v>Loans and advances</v>
          </cell>
          <cell r="W133" t="str">
            <v>Other assets</v>
          </cell>
          <cell r="X133">
            <v>139200</v>
          </cell>
          <cell r="Y133" t="str">
            <v>OA: Acc Int</v>
          </cell>
          <cell r="AA133" t="str">
            <v>n/a</v>
          </cell>
        </row>
        <row r="134">
          <cell r="B134" t="str">
            <v>101210</v>
          </cell>
          <cell r="M134" t="str">
            <v>n/a</v>
          </cell>
          <cell r="Q134" t="str">
            <v>IC: AIA Foreign currency loans</v>
          </cell>
          <cell r="T134" t="str">
            <v>Loans and advances (gross)</v>
          </cell>
          <cell r="U134" t="str">
            <v>Loans and advances</v>
          </cell>
          <cell r="W134" t="str">
            <v>Other assets</v>
          </cell>
          <cell r="X134">
            <v>139200</v>
          </cell>
          <cell r="Y134" t="str">
            <v>OA: Acc Int</v>
          </cell>
          <cell r="AA134" t="str">
            <v>n/a</v>
          </cell>
        </row>
        <row r="135">
          <cell r="B135" t="str">
            <v>53900</v>
          </cell>
          <cell r="M135" t="str">
            <v>n/a</v>
          </cell>
          <cell r="Q135" t="str">
            <v>Remittances in transit</v>
          </cell>
          <cell r="T135" t="str">
            <v>Other assets</v>
          </cell>
          <cell r="U135" t="str">
            <v>n/a</v>
          </cell>
          <cell r="W135" t="str">
            <v>Other assets</v>
          </cell>
          <cell r="X135">
            <v>136800</v>
          </cell>
          <cell r="Y135" t="str">
            <v>n/a</v>
          </cell>
          <cell r="AA135" t="str">
            <v>n/a</v>
          </cell>
        </row>
        <row r="136">
          <cell r="B136" t="str">
            <v>101300</v>
          </cell>
          <cell r="M136" t="str">
            <v>n/a</v>
          </cell>
          <cell r="Q136" t="str">
            <v>Other accounts (assets)</v>
          </cell>
          <cell r="T136" t="str">
            <v>Other assets</v>
          </cell>
          <cell r="U136" t="str">
            <v>n/a</v>
          </cell>
          <cell r="W136" t="str">
            <v>Other assets</v>
          </cell>
          <cell r="X136">
            <v>135600</v>
          </cell>
          <cell r="Y136" t="str">
            <v>OA: Acc Int</v>
          </cell>
          <cell r="AA136" t="str">
            <v>n/a</v>
          </cell>
        </row>
        <row r="137">
          <cell r="B137" t="str">
            <v>103210</v>
          </cell>
          <cell r="M137" t="str">
            <v>n/a</v>
          </cell>
          <cell r="Q137" t="str">
            <v>Remittances in transit</v>
          </cell>
          <cell r="T137" t="str">
            <v>Other assets</v>
          </cell>
          <cell r="U137" t="str">
            <v>n/a</v>
          </cell>
          <cell r="W137" t="str">
            <v>Other assets</v>
          </cell>
          <cell r="X137">
            <v>136800</v>
          </cell>
          <cell r="Y137" t="str">
            <v>n/a</v>
          </cell>
          <cell r="AA137" t="str">
            <v>n/a</v>
          </cell>
        </row>
        <row r="138">
          <cell r="B138" t="str">
            <v>90100</v>
          </cell>
          <cell r="M138" t="str">
            <v>n/a</v>
          </cell>
          <cell r="Q138" t="str">
            <v>Not mapped</v>
          </cell>
          <cell r="T138" t="str">
            <v>Other assets</v>
          </cell>
          <cell r="U138" t="str">
            <v>n/a</v>
          </cell>
          <cell r="W138" t="str">
            <v>Other assets</v>
          </cell>
          <cell r="X138">
            <v>117298</v>
          </cell>
          <cell r="Y138" t="str">
            <v>n/a</v>
          </cell>
          <cell r="AA138" t="str">
            <v>n/a</v>
          </cell>
        </row>
        <row r="139">
          <cell r="B139" t="str">
            <v>103270</v>
          </cell>
          <cell r="M139" t="str">
            <v>n/a</v>
          </cell>
          <cell r="Q139" t="str">
            <v>Remittances in transit</v>
          </cell>
          <cell r="T139" t="str">
            <v>Other assets</v>
          </cell>
          <cell r="U139" t="str">
            <v>n/a</v>
          </cell>
          <cell r="W139" t="str">
            <v>Other assets</v>
          </cell>
          <cell r="X139">
            <v>136800</v>
          </cell>
          <cell r="Y139" t="str">
            <v>n/a</v>
          </cell>
          <cell r="AA139" t="str">
            <v>n/a</v>
          </cell>
        </row>
        <row r="140">
          <cell r="B140" t="str">
            <v>101730</v>
          </cell>
          <cell r="M140" t="str">
            <v>n/a</v>
          </cell>
          <cell r="Q140" t="str">
            <v>Not mapped</v>
          </cell>
          <cell r="T140" t="str">
            <v>Other assets</v>
          </cell>
          <cell r="U140" t="str">
            <v>n/a</v>
          </cell>
          <cell r="W140" t="str">
            <v>Other assets</v>
          </cell>
          <cell r="X140">
            <v>136800</v>
          </cell>
          <cell r="Y140" t="str">
            <v>n/a</v>
          </cell>
          <cell r="AA140" t="str">
            <v>n/a</v>
          </cell>
        </row>
        <row r="141">
          <cell r="B141" t="str">
            <v>100600</v>
          </cell>
          <cell r="M141" t="str">
            <v>n/a</v>
          </cell>
          <cell r="Q141" t="str">
            <v>Other accounts (assets)</v>
          </cell>
          <cell r="T141" t="str">
            <v>Other assets</v>
          </cell>
          <cell r="U141" t="str">
            <v>n/a</v>
          </cell>
          <cell r="W141" t="str">
            <v>Other assets</v>
          </cell>
          <cell r="X141">
            <v>136800</v>
          </cell>
          <cell r="Y141" t="str">
            <v>OA: Sundry debtor</v>
          </cell>
          <cell r="AA141" t="str">
            <v>n/a</v>
          </cell>
        </row>
        <row r="142">
          <cell r="B142" t="str">
            <v>102020</v>
          </cell>
          <cell r="M142" t="str">
            <v>n/a</v>
          </cell>
          <cell r="Q142" t="str">
            <v>Credits in transit</v>
          </cell>
          <cell r="T142" t="str">
            <v>Other assets</v>
          </cell>
          <cell r="U142" t="str">
            <v>n/a</v>
          </cell>
          <cell r="W142" t="str">
            <v>Other assets</v>
          </cell>
          <cell r="X142">
            <v>135400</v>
          </cell>
          <cell r="Y142" t="str">
            <v>n/a</v>
          </cell>
          <cell r="AA142" t="str">
            <v>n/a</v>
          </cell>
        </row>
        <row r="143">
          <cell r="B143" t="str">
            <v>104590</v>
          </cell>
          <cell r="M143" t="str">
            <v>n/a</v>
          </cell>
          <cell r="Q143" t="str">
            <v>Remittances in transit</v>
          </cell>
          <cell r="T143" t="str">
            <v>Other assets</v>
          </cell>
          <cell r="U143" t="str">
            <v>n/a</v>
          </cell>
          <cell r="W143" t="str">
            <v>Other assets</v>
          </cell>
          <cell r="X143">
            <v>135400</v>
          </cell>
          <cell r="Y143" t="str">
            <v>n/a</v>
          </cell>
          <cell r="AA143" t="str">
            <v>n/a</v>
          </cell>
        </row>
        <row r="144">
          <cell r="B144" t="str">
            <v>107720</v>
          </cell>
          <cell r="M144" t="str">
            <v>n/a</v>
          </cell>
          <cell r="Q144" t="str">
            <v>Remittances in transit</v>
          </cell>
          <cell r="T144" t="str">
            <v>Other assets</v>
          </cell>
          <cell r="U144" t="str">
            <v>n/a</v>
          </cell>
          <cell r="W144" t="str">
            <v>Other assets</v>
          </cell>
          <cell r="X144">
            <v>135400</v>
          </cell>
          <cell r="Y144" t="str">
            <v>n/a</v>
          </cell>
          <cell r="AA144" t="str">
            <v>n/a</v>
          </cell>
        </row>
        <row r="145">
          <cell r="B145" t="str">
            <v>107760</v>
          </cell>
          <cell r="M145" t="str">
            <v>n/a</v>
          </cell>
          <cell r="Q145" t="str">
            <v>Remittances in transit</v>
          </cell>
          <cell r="T145" t="str">
            <v>Other assets</v>
          </cell>
          <cell r="U145" t="str">
            <v>n/a</v>
          </cell>
          <cell r="W145" t="str">
            <v>Other assets</v>
          </cell>
          <cell r="X145">
            <v>135400</v>
          </cell>
          <cell r="Y145" t="str">
            <v>n/a</v>
          </cell>
          <cell r="AA145" t="str">
            <v>n/a</v>
          </cell>
        </row>
        <row r="146">
          <cell r="B146" t="str">
            <v>108400</v>
          </cell>
          <cell r="M146" t="str">
            <v>n/a</v>
          </cell>
          <cell r="Q146" t="str">
            <v>Remittances in transit</v>
          </cell>
          <cell r="T146" t="str">
            <v>Other assets</v>
          </cell>
          <cell r="U146" t="str">
            <v>n/a</v>
          </cell>
          <cell r="W146" t="str">
            <v>Other assets</v>
          </cell>
          <cell r="X146">
            <v>135400</v>
          </cell>
          <cell r="Y146" t="str">
            <v>n/a</v>
          </cell>
          <cell r="AA146" t="str">
            <v>n/a</v>
          </cell>
        </row>
        <row r="147">
          <cell r="B147" t="str">
            <v>113600</v>
          </cell>
          <cell r="M147" t="str">
            <v>n/a</v>
          </cell>
          <cell r="Q147" t="str">
            <v>Remittances in transit</v>
          </cell>
          <cell r="T147" t="str">
            <v>Other assets</v>
          </cell>
          <cell r="U147" t="str">
            <v>n/a</v>
          </cell>
          <cell r="W147" t="str">
            <v>Other assets</v>
          </cell>
          <cell r="X147">
            <v>135400</v>
          </cell>
          <cell r="Y147" t="str">
            <v>n/a</v>
          </cell>
          <cell r="AA147" t="str">
            <v>n/a</v>
          </cell>
        </row>
        <row r="148">
          <cell r="B148" t="str">
            <v>114100</v>
          </cell>
          <cell r="M148" t="str">
            <v>n/a</v>
          </cell>
          <cell r="Q148" t="str">
            <v>Remittances in transit</v>
          </cell>
          <cell r="T148" t="str">
            <v>Other assets</v>
          </cell>
          <cell r="U148" t="str">
            <v>n/a</v>
          </cell>
          <cell r="W148" t="str">
            <v>Other assets</v>
          </cell>
          <cell r="X148">
            <v>135400</v>
          </cell>
          <cell r="Y148" t="str">
            <v>n/a</v>
          </cell>
          <cell r="AA148" t="str">
            <v>n/a</v>
          </cell>
        </row>
        <row r="149">
          <cell r="B149" t="str">
            <v>115500</v>
          </cell>
          <cell r="M149" t="str">
            <v>n/a</v>
          </cell>
          <cell r="Q149" t="str">
            <v>Remittances in transit</v>
          </cell>
          <cell r="T149" t="str">
            <v>Other assets</v>
          </cell>
          <cell r="U149" t="str">
            <v>n/a</v>
          </cell>
          <cell r="W149" t="str">
            <v>Other assets</v>
          </cell>
          <cell r="X149">
            <v>135400</v>
          </cell>
          <cell r="Y149" t="str">
            <v>n/a</v>
          </cell>
          <cell r="AA149" t="str">
            <v>n/a</v>
          </cell>
        </row>
        <row r="150">
          <cell r="B150" t="str">
            <v>115600</v>
          </cell>
          <cell r="M150" t="str">
            <v>n/a</v>
          </cell>
          <cell r="Q150" t="str">
            <v>Remittances in transit</v>
          </cell>
          <cell r="T150" t="str">
            <v>Other assets</v>
          </cell>
          <cell r="U150" t="str">
            <v>n/a</v>
          </cell>
          <cell r="W150" t="str">
            <v>Other assets</v>
          </cell>
          <cell r="X150">
            <v>135400</v>
          </cell>
          <cell r="Y150" t="str">
            <v>n/a</v>
          </cell>
          <cell r="AA150" t="str">
            <v>n/a</v>
          </cell>
        </row>
        <row r="151">
          <cell r="B151" t="str">
            <v>115900</v>
          </cell>
          <cell r="M151" t="str">
            <v>n/a</v>
          </cell>
          <cell r="Q151" t="str">
            <v>Remittances in transit</v>
          </cell>
          <cell r="T151" t="str">
            <v>Other assets</v>
          </cell>
          <cell r="U151" t="str">
            <v>n/a</v>
          </cell>
          <cell r="W151" t="str">
            <v>Other assets</v>
          </cell>
          <cell r="X151">
            <v>135400</v>
          </cell>
          <cell r="Y151" t="str">
            <v>n/a</v>
          </cell>
          <cell r="AA151" t="str">
            <v>n/a</v>
          </cell>
        </row>
        <row r="152">
          <cell r="B152" t="str">
            <v>119200</v>
          </cell>
          <cell r="M152" t="str">
            <v>n/a</v>
          </cell>
          <cell r="Q152" t="str">
            <v>Remittances in transit</v>
          </cell>
          <cell r="T152" t="str">
            <v>Other assets</v>
          </cell>
          <cell r="U152" t="str">
            <v>n/a</v>
          </cell>
          <cell r="W152" t="str">
            <v>Other assets</v>
          </cell>
          <cell r="X152">
            <v>135401</v>
          </cell>
          <cell r="Y152" t="str">
            <v>n/a</v>
          </cell>
          <cell r="AA152" t="str">
            <v>n/a</v>
          </cell>
        </row>
        <row r="153">
          <cell r="B153" t="str">
            <v>123000</v>
          </cell>
          <cell r="M153" t="str">
            <v>n/a</v>
          </cell>
          <cell r="Q153" t="str">
            <v>Remittances in transit</v>
          </cell>
          <cell r="T153" t="str">
            <v>Other assets</v>
          </cell>
          <cell r="U153" t="str">
            <v>n/a</v>
          </cell>
          <cell r="W153" t="str">
            <v>Other assets</v>
          </cell>
          <cell r="X153">
            <v>135400</v>
          </cell>
          <cell r="Y153" t="str">
            <v>n/a</v>
          </cell>
          <cell r="AA153" t="str">
            <v>n/a</v>
          </cell>
        </row>
        <row r="154">
          <cell r="B154" t="str">
            <v>318100</v>
          </cell>
          <cell r="M154" t="str">
            <v>n/a</v>
          </cell>
          <cell r="Q154" t="str">
            <v>Remittances in transit</v>
          </cell>
          <cell r="T154" t="str">
            <v>Other assets</v>
          </cell>
          <cell r="U154" t="str">
            <v>n/a</v>
          </cell>
          <cell r="W154" t="str">
            <v>Other assets</v>
          </cell>
          <cell r="X154">
            <v>135400</v>
          </cell>
          <cell r="Y154" t="str">
            <v>n/a</v>
          </cell>
          <cell r="AA154" t="str">
            <v>n/a</v>
          </cell>
        </row>
        <row r="155">
          <cell r="B155" t="str">
            <v>328470</v>
          </cell>
          <cell r="M155" t="str">
            <v>n/a</v>
          </cell>
          <cell r="Q155" t="str">
            <v>Remittances in transit</v>
          </cell>
          <cell r="T155" t="str">
            <v>Other assets</v>
          </cell>
          <cell r="U155" t="str">
            <v>n/a</v>
          </cell>
          <cell r="W155" t="str">
            <v>Other assets</v>
          </cell>
          <cell r="X155">
            <v>135400</v>
          </cell>
          <cell r="Y155" t="str">
            <v>n/a</v>
          </cell>
          <cell r="AA155" t="str">
            <v>n/a</v>
          </cell>
        </row>
        <row r="156">
          <cell r="B156" t="str">
            <v>338040</v>
          </cell>
          <cell r="M156" t="str">
            <v>n/a</v>
          </cell>
          <cell r="Q156" t="str">
            <v>Remittances in transit</v>
          </cell>
          <cell r="T156" t="str">
            <v>Other assets</v>
          </cell>
          <cell r="U156" t="str">
            <v>n/a</v>
          </cell>
          <cell r="W156" t="str">
            <v>Other assets</v>
          </cell>
          <cell r="X156">
            <v>135400</v>
          </cell>
          <cell r="Y156" t="str">
            <v>n/a</v>
          </cell>
          <cell r="AA156" t="str">
            <v>n/a</v>
          </cell>
        </row>
        <row r="157">
          <cell r="B157" t="str">
            <v>100200</v>
          </cell>
          <cell r="M157" t="str">
            <v>n/a</v>
          </cell>
          <cell r="Q157" t="str">
            <v>Remittances in transit</v>
          </cell>
          <cell r="T157" t="str">
            <v>Other assets</v>
          </cell>
          <cell r="U157" t="str">
            <v>n/a</v>
          </cell>
          <cell r="W157" t="str">
            <v>Other assets</v>
          </cell>
          <cell r="X157">
            <v>135405</v>
          </cell>
          <cell r="Y157" t="str">
            <v>n/a</v>
          </cell>
          <cell r="AA157" t="str">
            <v>n/a</v>
          </cell>
        </row>
        <row r="158">
          <cell r="B158" t="str">
            <v>107740</v>
          </cell>
          <cell r="M158" t="str">
            <v>n/a</v>
          </cell>
          <cell r="Q158" t="str">
            <v>Remittances in transit</v>
          </cell>
          <cell r="T158" t="str">
            <v>Other assets</v>
          </cell>
          <cell r="U158" t="str">
            <v>n/a</v>
          </cell>
          <cell r="W158" t="str">
            <v>Other assets</v>
          </cell>
          <cell r="X158">
            <v>135405</v>
          </cell>
          <cell r="Y158" t="str">
            <v>n/a</v>
          </cell>
          <cell r="AA158" t="str">
            <v>n/a</v>
          </cell>
        </row>
        <row r="159">
          <cell r="B159" t="str">
            <v>124500</v>
          </cell>
          <cell r="M159" t="str">
            <v>n/a</v>
          </cell>
          <cell r="Q159" t="str">
            <v>Not mapped</v>
          </cell>
          <cell r="T159" t="str">
            <v>Other assets</v>
          </cell>
          <cell r="U159" t="str">
            <v>n/a</v>
          </cell>
          <cell r="W159" t="str">
            <v>Other assets</v>
          </cell>
          <cell r="X159">
            <v>135400</v>
          </cell>
          <cell r="Y159" t="str">
            <v>n/a</v>
          </cell>
          <cell r="AA159" t="str">
            <v>n/a</v>
          </cell>
        </row>
        <row r="160">
          <cell r="B160" t="str">
            <v>125600</v>
          </cell>
          <cell r="M160" t="str">
            <v>n/a</v>
          </cell>
          <cell r="Q160" t="str">
            <v>Other accounts (liabilities)</v>
          </cell>
          <cell r="T160" t="str">
            <v>Other assets</v>
          </cell>
          <cell r="U160" t="str">
            <v>n/a</v>
          </cell>
          <cell r="W160" t="str">
            <v>Other assets</v>
          </cell>
          <cell r="X160">
            <v>140200</v>
          </cell>
          <cell r="Y160" t="str">
            <v>n/a</v>
          </cell>
          <cell r="AA160" t="str">
            <v>n/a</v>
          </cell>
        </row>
        <row r="161">
          <cell r="B161" t="str">
            <v>600</v>
          </cell>
          <cell r="M161" t="str">
            <v>n/a</v>
          </cell>
          <cell r="Q161" t="str">
            <v>Credits in transit</v>
          </cell>
          <cell r="T161" t="str">
            <v>Other assets</v>
          </cell>
          <cell r="U161" t="str">
            <v>n/a</v>
          </cell>
          <cell r="W161" t="str">
            <v>Other assets</v>
          </cell>
          <cell r="X161">
            <v>136800</v>
          </cell>
          <cell r="Y161" t="str">
            <v>n/a</v>
          </cell>
          <cell r="AA161" t="str">
            <v>n/a</v>
          </cell>
        </row>
        <row r="162">
          <cell r="B162" t="str">
            <v>126720</v>
          </cell>
          <cell r="M162" t="str">
            <v>n/a</v>
          </cell>
          <cell r="Q162" t="str">
            <v>Other accounts (assets)</v>
          </cell>
          <cell r="T162" t="str">
            <v>Other assets</v>
          </cell>
          <cell r="U162" t="str">
            <v>n/a</v>
          </cell>
          <cell r="W162" t="str">
            <v>Other assets</v>
          </cell>
          <cell r="X162">
            <v>136800</v>
          </cell>
          <cell r="Y162" t="str">
            <v>n/a</v>
          </cell>
          <cell r="AA162" t="str">
            <v>n/a</v>
          </cell>
        </row>
        <row r="163">
          <cell r="B163" t="str">
            <v>231900</v>
          </cell>
          <cell r="M163" t="str">
            <v>n/a</v>
          </cell>
          <cell r="Q163" t="str">
            <v>Other accounts (assets)</v>
          </cell>
          <cell r="T163" t="str">
            <v>Other assets</v>
          </cell>
          <cell r="U163" t="str">
            <v>n/a</v>
          </cell>
          <cell r="W163" t="str">
            <v>Other assets</v>
          </cell>
          <cell r="X163">
            <v>136800</v>
          </cell>
          <cell r="Y163" t="str">
            <v>n/a</v>
          </cell>
          <cell r="AA163" t="str">
            <v>n/a</v>
          </cell>
        </row>
        <row r="164">
          <cell r="B164" t="str">
            <v>100295</v>
          </cell>
          <cell r="M164" t="str">
            <v>n/a</v>
          </cell>
          <cell r="Q164" t="str">
            <v>Other accounts (assets)</v>
          </cell>
          <cell r="T164" t="str">
            <v>Other assets</v>
          </cell>
          <cell r="U164" t="str">
            <v>n/a</v>
          </cell>
          <cell r="W164" t="str">
            <v>Other assets</v>
          </cell>
          <cell r="X164">
            <v>136800</v>
          </cell>
          <cell r="Y164" t="str">
            <v>n/a</v>
          </cell>
          <cell r="AA164" t="str">
            <v>n/a</v>
          </cell>
        </row>
        <row r="165">
          <cell r="B165" t="str">
            <v>102060</v>
          </cell>
          <cell r="M165" t="str">
            <v>n/a</v>
          </cell>
          <cell r="Q165" t="str">
            <v>Other accounts (assets)</v>
          </cell>
          <cell r="T165" t="str">
            <v>Other assets</v>
          </cell>
          <cell r="U165" t="str">
            <v>n/a</v>
          </cell>
          <cell r="W165" t="str">
            <v>Other assets</v>
          </cell>
          <cell r="X165">
            <v>136805</v>
          </cell>
          <cell r="Y165" t="str">
            <v>n/a</v>
          </cell>
          <cell r="AA165" t="str">
            <v>n/a</v>
          </cell>
        </row>
        <row r="166">
          <cell r="B166" t="str">
            <v>100535</v>
          </cell>
          <cell r="M166" t="str">
            <v>n/a</v>
          </cell>
          <cell r="Q166" t="str">
            <v>Other accounts (assets)</v>
          </cell>
          <cell r="T166" t="str">
            <v>Other assets</v>
          </cell>
          <cell r="U166" t="str">
            <v>n/a</v>
          </cell>
          <cell r="W166" t="str">
            <v>Other assets</v>
          </cell>
          <cell r="X166">
            <v>136806</v>
          </cell>
          <cell r="Y166" t="str">
            <v>n/a</v>
          </cell>
          <cell r="AA166" t="str">
            <v>n/a</v>
          </cell>
        </row>
        <row r="167">
          <cell r="B167" t="str">
            <v>101110</v>
          </cell>
          <cell r="M167" t="str">
            <v>n/a</v>
          </cell>
          <cell r="Q167" t="str">
            <v>Other accounts (assets)</v>
          </cell>
          <cell r="T167" t="str">
            <v>Other assets</v>
          </cell>
          <cell r="U167" t="str">
            <v>n/a</v>
          </cell>
          <cell r="W167" t="str">
            <v>Other assets</v>
          </cell>
          <cell r="X167">
            <v>136800</v>
          </cell>
          <cell r="Y167" t="str">
            <v>n/a</v>
          </cell>
          <cell r="AA167" t="str">
            <v>n/a</v>
          </cell>
        </row>
        <row r="168">
          <cell r="B168" t="str">
            <v>104110</v>
          </cell>
          <cell r="M168" t="str">
            <v>n/a</v>
          </cell>
          <cell r="Q168" t="str">
            <v>Other accounts (assets)</v>
          </cell>
          <cell r="T168" t="str">
            <v>Other assets</v>
          </cell>
          <cell r="U168" t="str">
            <v>n/a</v>
          </cell>
          <cell r="W168" t="str">
            <v>Other assets</v>
          </cell>
          <cell r="X168">
            <v>136800</v>
          </cell>
          <cell r="Y168" t="str">
            <v>n/a</v>
          </cell>
          <cell r="AA168" t="str">
            <v>n/a</v>
          </cell>
        </row>
        <row r="169">
          <cell r="B169" t="str">
            <v>240500</v>
          </cell>
          <cell r="M169" t="str">
            <v>n/a</v>
          </cell>
          <cell r="Q169" t="str">
            <v>Other accounts (assets)</v>
          </cell>
          <cell r="T169" t="str">
            <v>Other assets</v>
          </cell>
          <cell r="U169" t="str">
            <v>n/a</v>
          </cell>
          <cell r="W169" t="str">
            <v>Other assets</v>
          </cell>
          <cell r="X169">
            <v>136800</v>
          </cell>
          <cell r="Y169" t="str">
            <v>n/a</v>
          </cell>
          <cell r="AA169" t="str">
            <v>n/a</v>
          </cell>
        </row>
        <row r="170">
          <cell r="B170" t="str">
            <v>240600</v>
          </cell>
          <cell r="M170" t="str">
            <v>n/a</v>
          </cell>
          <cell r="Q170" t="str">
            <v>Other accounts (assets)</v>
          </cell>
          <cell r="T170" t="str">
            <v>Other assets</v>
          </cell>
          <cell r="U170" t="str">
            <v>n/a</v>
          </cell>
          <cell r="W170" t="str">
            <v>Other assets</v>
          </cell>
          <cell r="X170">
            <v>136800</v>
          </cell>
          <cell r="Y170" t="str">
            <v>n/a</v>
          </cell>
          <cell r="AA170" t="str">
            <v>n/a</v>
          </cell>
        </row>
        <row r="171">
          <cell r="B171" t="str">
            <v>240900</v>
          </cell>
          <cell r="M171" t="str">
            <v>n/a</v>
          </cell>
          <cell r="Q171" t="str">
            <v>Other accounts (assets)</v>
          </cell>
          <cell r="T171" t="str">
            <v>Other assets</v>
          </cell>
          <cell r="U171" t="str">
            <v>n/a</v>
          </cell>
          <cell r="W171" t="str">
            <v>Other assets</v>
          </cell>
          <cell r="X171">
            <v>136800</v>
          </cell>
          <cell r="Y171" t="str">
            <v>n/a</v>
          </cell>
          <cell r="AA171" t="str">
            <v>n/a</v>
          </cell>
        </row>
        <row r="172">
          <cell r="B172" t="str">
            <v>247300</v>
          </cell>
          <cell r="M172" t="str">
            <v>n/a</v>
          </cell>
          <cell r="Q172" t="str">
            <v>Other accounts (assets)</v>
          </cell>
          <cell r="T172" t="str">
            <v>Other assets</v>
          </cell>
          <cell r="U172" t="str">
            <v>n/a</v>
          </cell>
          <cell r="W172" t="str">
            <v>Other assets</v>
          </cell>
          <cell r="X172">
            <v>136800</v>
          </cell>
          <cell r="Y172" t="str">
            <v>n/a</v>
          </cell>
          <cell r="AA172" t="str">
            <v>n/a</v>
          </cell>
        </row>
        <row r="173">
          <cell r="B173" t="str">
            <v>247400</v>
          </cell>
          <cell r="M173" t="str">
            <v>n/a</v>
          </cell>
          <cell r="Q173" t="str">
            <v>Other accounts (assets)</v>
          </cell>
          <cell r="T173" t="str">
            <v>Other assets</v>
          </cell>
          <cell r="U173" t="str">
            <v>n/a</v>
          </cell>
          <cell r="W173" t="str">
            <v>Other assets</v>
          </cell>
          <cell r="X173">
            <v>136800</v>
          </cell>
          <cell r="Y173" t="str">
            <v>n/a</v>
          </cell>
          <cell r="AA173" t="str">
            <v>n/a</v>
          </cell>
        </row>
        <row r="174">
          <cell r="B174" t="str">
            <v>247600</v>
          </cell>
          <cell r="M174" t="str">
            <v>n/a</v>
          </cell>
          <cell r="Q174" t="str">
            <v>Other accounts (assets)</v>
          </cell>
          <cell r="T174" t="str">
            <v>Other assets</v>
          </cell>
          <cell r="U174" t="str">
            <v>n/a</v>
          </cell>
          <cell r="W174" t="str">
            <v>Other assets</v>
          </cell>
          <cell r="X174">
            <v>136800</v>
          </cell>
          <cell r="Y174" t="str">
            <v>n/a</v>
          </cell>
          <cell r="AA174" t="str">
            <v>n/a</v>
          </cell>
        </row>
        <row r="175">
          <cell r="B175" t="str">
            <v>247700</v>
          </cell>
          <cell r="M175" t="str">
            <v>n/a</v>
          </cell>
          <cell r="Q175" t="str">
            <v>Other accounts (assets)</v>
          </cell>
          <cell r="T175" t="str">
            <v>Other assets</v>
          </cell>
          <cell r="U175" t="str">
            <v>n/a</v>
          </cell>
          <cell r="W175" t="str">
            <v>Other assets</v>
          </cell>
          <cell r="X175">
            <v>136800</v>
          </cell>
          <cell r="Y175" t="str">
            <v>n/a</v>
          </cell>
          <cell r="AA175" t="str">
            <v>n/a</v>
          </cell>
        </row>
        <row r="176">
          <cell r="B176" t="str">
            <v>248300</v>
          </cell>
          <cell r="M176" t="str">
            <v>n/a</v>
          </cell>
          <cell r="Q176" t="str">
            <v>Other accounts (assets)</v>
          </cell>
          <cell r="T176" t="str">
            <v>Other assets</v>
          </cell>
          <cell r="U176" t="str">
            <v>n/a</v>
          </cell>
          <cell r="W176" t="str">
            <v>Other assets</v>
          </cell>
          <cell r="X176">
            <v>136800</v>
          </cell>
          <cell r="Y176" t="str">
            <v>n/a</v>
          </cell>
          <cell r="AA176" t="str">
            <v>n/a</v>
          </cell>
        </row>
        <row r="177">
          <cell r="B177" t="str">
            <v>312950</v>
          </cell>
          <cell r="M177" t="str">
            <v>n/a</v>
          </cell>
          <cell r="Q177" t="str">
            <v>Other accounts (assets)</v>
          </cell>
          <cell r="T177" t="str">
            <v>Other assets</v>
          </cell>
          <cell r="U177" t="str">
            <v>n/a</v>
          </cell>
          <cell r="W177" t="str">
            <v>Other assets</v>
          </cell>
          <cell r="X177">
            <v>136800</v>
          </cell>
          <cell r="Y177" t="str">
            <v>n/a</v>
          </cell>
          <cell r="AA177" t="str">
            <v>n/a</v>
          </cell>
        </row>
        <row r="178">
          <cell r="B178" t="str">
            <v>312951</v>
          </cell>
          <cell r="M178" t="str">
            <v>n/a</v>
          </cell>
          <cell r="Q178" t="str">
            <v>Other accounts (assets)</v>
          </cell>
          <cell r="T178" t="str">
            <v>Other assets</v>
          </cell>
          <cell r="U178" t="str">
            <v>n/a</v>
          </cell>
          <cell r="W178" t="str">
            <v>Other assets</v>
          </cell>
          <cell r="X178">
            <v>136800</v>
          </cell>
          <cell r="Y178" t="str">
            <v>n/a</v>
          </cell>
          <cell r="AA178" t="str">
            <v>n/a</v>
          </cell>
        </row>
        <row r="179">
          <cell r="B179" t="str">
            <v>120300</v>
          </cell>
          <cell r="M179" t="str">
            <v>n/a</v>
          </cell>
          <cell r="Q179" t="str">
            <v>Other accounts (assets)</v>
          </cell>
          <cell r="T179" t="str">
            <v>Other assets</v>
          </cell>
          <cell r="U179" t="str">
            <v>n/a</v>
          </cell>
          <cell r="W179" t="str">
            <v>Other assets</v>
          </cell>
          <cell r="X179">
            <v>136800</v>
          </cell>
          <cell r="Y179" t="str">
            <v>n/a</v>
          </cell>
          <cell r="AA179" t="str">
            <v>n/a</v>
          </cell>
        </row>
        <row r="180">
          <cell r="B180" t="str">
            <v>166800</v>
          </cell>
          <cell r="M180" t="str">
            <v>n/a</v>
          </cell>
          <cell r="Q180" t="str">
            <v>Other accounts (assets)</v>
          </cell>
          <cell r="T180" t="str">
            <v>Fixed assets</v>
          </cell>
          <cell r="U180" t="str">
            <v>n/a</v>
          </cell>
          <cell r="W180" t="str">
            <v>Other assets</v>
          </cell>
          <cell r="X180">
            <v>136800</v>
          </cell>
          <cell r="Y180" t="str">
            <v>n/a</v>
          </cell>
          <cell r="AA180" t="str">
            <v>n/a</v>
          </cell>
        </row>
        <row r="181">
          <cell r="B181" t="str">
            <v>167200</v>
          </cell>
          <cell r="M181" t="str">
            <v>n/a</v>
          </cell>
          <cell r="Q181" t="str">
            <v>Other accounts (assets)</v>
          </cell>
          <cell r="T181" t="str">
            <v>Other assets</v>
          </cell>
          <cell r="U181" t="str">
            <v>n/a</v>
          </cell>
          <cell r="W181" t="str">
            <v>Other assets</v>
          </cell>
          <cell r="X181">
            <v>136800</v>
          </cell>
          <cell r="Y181" t="str">
            <v>n/a</v>
          </cell>
          <cell r="AA181" t="str">
            <v>n/a</v>
          </cell>
        </row>
        <row r="182">
          <cell r="B182" t="str">
            <v>990400</v>
          </cell>
          <cell r="M182" t="str">
            <v>n/a</v>
          </cell>
          <cell r="Q182" t="str">
            <v>Other accounts (assets)</v>
          </cell>
          <cell r="T182" t="str">
            <v>Other assets</v>
          </cell>
          <cell r="U182" t="str">
            <v>n/a</v>
          </cell>
          <cell r="W182" t="str">
            <v>Other assets</v>
          </cell>
          <cell r="X182">
            <v>136800</v>
          </cell>
          <cell r="Y182" t="str">
            <v>n/a</v>
          </cell>
          <cell r="AA182" t="str">
            <v>n/a</v>
          </cell>
        </row>
        <row r="183">
          <cell r="B183" t="str">
            <v>280450</v>
          </cell>
          <cell r="M183" t="str">
            <v>n/a</v>
          </cell>
          <cell r="Q183" t="str">
            <v>Other accounts (assets)</v>
          </cell>
          <cell r="T183" t="str">
            <v>Other assets</v>
          </cell>
          <cell r="U183" t="str">
            <v>n/a</v>
          </cell>
          <cell r="W183" t="str">
            <v>Other assets</v>
          </cell>
          <cell r="X183">
            <v>139400</v>
          </cell>
          <cell r="Y183" t="str">
            <v>n/a</v>
          </cell>
          <cell r="AA183" t="str">
            <v>n/a</v>
          </cell>
        </row>
        <row r="184">
          <cell r="B184" t="str">
            <v>280471</v>
          </cell>
          <cell r="M184" t="str">
            <v>n/a</v>
          </cell>
          <cell r="Q184" t="str">
            <v>Other accounts (assets)</v>
          </cell>
          <cell r="T184" t="str">
            <v>Other assets</v>
          </cell>
          <cell r="U184" t="str">
            <v>n/a</v>
          </cell>
          <cell r="W184" t="str">
            <v>Other assets</v>
          </cell>
          <cell r="X184">
            <v>139400</v>
          </cell>
          <cell r="Y184" t="str">
            <v>n/a</v>
          </cell>
          <cell r="AA184" t="str">
            <v>n/a</v>
          </cell>
        </row>
        <row r="185">
          <cell r="B185" t="str">
            <v>280470</v>
          </cell>
          <cell r="M185" t="str">
            <v>n/a</v>
          </cell>
          <cell r="Q185" t="str">
            <v>Other accounts (assets)</v>
          </cell>
          <cell r="T185" t="str">
            <v>Other assets</v>
          </cell>
          <cell r="U185" t="str">
            <v>n/a</v>
          </cell>
          <cell r="W185" t="str">
            <v>Other assets</v>
          </cell>
          <cell r="X185">
            <v>139800</v>
          </cell>
          <cell r="Y185" t="str">
            <v>n/a</v>
          </cell>
          <cell r="AA185" t="str">
            <v>n/a</v>
          </cell>
        </row>
        <row r="186">
          <cell r="B186" t="str">
            <v>113200</v>
          </cell>
          <cell r="M186" t="str">
            <v>n/a</v>
          </cell>
          <cell r="Q186" t="str">
            <v>Other accounts (assets)</v>
          </cell>
          <cell r="T186" t="str">
            <v>Other assets</v>
          </cell>
          <cell r="U186" t="str">
            <v>n/a</v>
          </cell>
          <cell r="W186" t="str">
            <v>Other assets</v>
          </cell>
          <cell r="X186">
            <v>136600</v>
          </cell>
          <cell r="Y186" t="str">
            <v>n/a</v>
          </cell>
          <cell r="AA186" t="str">
            <v>n/a</v>
          </cell>
        </row>
        <row r="187">
          <cell r="B187" t="str">
            <v>131500</v>
          </cell>
          <cell r="M187" t="str">
            <v>n/a</v>
          </cell>
          <cell r="Q187" t="str">
            <v>Other accounts (assets)</v>
          </cell>
          <cell r="T187" t="str">
            <v>Investment in group companies &amp; associates</v>
          </cell>
          <cell r="U187" t="str">
            <v>n/a</v>
          </cell>
          <cell r="W187" t="str">
            <v>Other assets</v>
          </cell>
          <cell r="X187">
            <v>145000</v>
          </cell>
          <cell r="Y187" t="str">
            <v>n/a</v>
          </cell>
          <cell r="AA187" t="str">
            <v>n/a</v>
          </cell>
        </row>
        <row r="188">
          <cell r="B188" t="str">
            <v>131900</v>
          </cell>
          <cell r="M188" t="str">
            <v>n/a</v>
          </cell>
          <cell r="Q188" t="str">
            <v>Other accounts (assets)</v>
          </cell>
          <cell r="T188" t="str">
            <v>Investment in group companies &amp; associates</v>
          </cell>
          <cell r="U188" t="str">
            <v>n/a</v>
          </cell>
          <cell r="W188" t="str">
            <v>Other assets</v>
          </cell>
          <cell r="X188">
            <v>145300</v>
          </cell>
          <cell r="Y188" t="str">
            <v>n/a</v>
          </cell>
          <cell r="AA188" t="str">
            <v>n/a</v>
          </cell>
        </row>
        <row r="189">
          <cell r="B189" t="str">
            <v>100915</v>
          </cell>
          <cell r="M189" t="str">
            <v>n/a</v>
          </cell>
          <cell r="Q189" t="str">
            <v>Not mapped</v>
          </cell>
          <cell r="T189" t="str">
            <v>Other assets</v>
          </cell>
          <cell r="U189" t="str">
            <v>n/a</v>
          </cell>
          <cell r="W189" t="str">
            <v>Other assets</v>
          </cell>
          <cell r="X189">
            <v>136800</v>
          </cell>
          <cell r="Y189" t="str">
            <v>n/a</v>
          </cell>
          <cell r="AA189" t="str">
            <v>n/a</v>
          </cell>
        </row>
        <row r="190">
          <cell r="B190" t="str">
            <v>100917</v>
          </cell>
          <cell r="M190" t="str">
            <v>n/a</v>
          </cell>
          <cell r="Q190" t="str">
            <v>Not mapped</v>
          </cell>
          <cell r="T190" t="str">
            <v>Other assets</v>
          </cell>
          <cell r="U190" t="str">
            <v>n/a</v>
          </cell>
          <cell r="W190" t="str">
            <v>Other assets</v>
          </cell>
          <cell r="X190">
            <v>136800</v>
          </cell>
          <cell r="Y190" t="str">
            <v>n/a</v>
          </cell>
          <cell r="AA190" t="str">
            <v>n/a</v>
          </cell>
        </row>
        <row r="191">
          <cell r="B191" t="str">
            <v>100215</v>
          </cell>
          <cell r="M191" t="str">
            <v>n/a</v>
          </cell>
          <cell r="Q191" t="str">
            <v>Not mapped</v>
          </cell>
          <cell r="T191" t="str">
            <v>Other assets</v>
          </cell>
          <cell r="U191" t="str">
            <v>n/a</v>
          </cell>
          <cell r="W191" t="str">
            <v>Other assets</v>
          </cell>
          <cell r="X191">
            <v>136800</v>
          </cell>
          <cell r="Y191" t="str">
            <v>n/a</v>
          </cell>
          <cell r="AA191" t="str">
            <v>n/a</v>
          </cell>
        </row>
        <row r="192">
          <cell r="B192" t="str">
            <v>100575</v>
          </cell>
          <cell r="M192" t="str">
            <v>n/a</v>
          </cell>
          <cell r="Q192" t="str">
            <v>Not mapped</v>
          </cell>
          <cell r="T192" t="str">
            <v>Other assets</v>
          </cell>
          <cell r="U192" t="str">
            <v>n/a</v>
          </cell>
          <cell r="W192" t="str">
            <v>Other assets</v>
          </cell>
          <cell r="X192">
            <v>136800</v>
          </cell>
          <cell r="Y192" t="str">
            <v>n/a</v>
          </cell>
          <cell r="AA192" t="str">
            <v>n/a</v>
          </cell>
        </row>
        <row r="193">
          <cell r="B193" t="str">
            <v>100585</v>
          </cell>
          <cell r="M193" t="str">
            <v>n/a</v>
          </cell>
          <cell r="Q193" t="str">
            <v>Not mapped</v>
          </cell>
          <cell r="T193" t="str">
            <v>Other assets</v>
          </cell>
          <cell r="U193" t="str">
            <v>n/a</v>
          </cell>
          <cell r="W193" t="str">
            <v>Other assets</v>
          </cell>
          <cell r="X193">
            <v>136800</v>
          </cell>
          <cell r="Y193" t="str">
            <v>n/a</v>
          </cell>
          <cell r="AA193" t="str">
            <v>n/a</v>
          </cell>
        </row>
        <row r="194">
          <cell r="B194" t="str">
            <v>100890</v>
          </cell>
          <cell r="M194" t="str">
            <v>n/a</v>
          </cell>
          <cell r="Q194" t="str">
            <v>Not mapped</v>
          </cell>
          <cell r="T194" t="str">
            <v>Other assets</v>
          </cell>
          <cell r="U194" t="str">
            <v>n/a</v>
          </cell>
          <cell r="W194" t="str">
            <v>Other assets</v>
          </cell>
          <cell r="X194">
            <v>136800</v>
          </cell>
          <cell r="Y194" t="str">
            <v>n/a</v>
          </cell>
          <cell r="AA194" t="str">
            <v>n/a</v>
          </cell>
        </row>
        <row r="195">
          <cell r="B195" t="str">
            <v>100910</v>
          </cell>
          <cell r="M195" t="str">
            <v>n/a</v>
          </cell>
          <cell r="Q195" t="str">
            <v>Not mapped</v>
          </cell>
          <cell r="T195" t="str">
            <v>Other assets</v>
          </cell>
          <cell r="U195" t="str">
            <v>n/a</v>
          </cell>
          <cell r="W195" t="str">
            <v>Other assets</v>
          </cell>
          <cell r="X195">
            <v>136800</v>
          </cell>
          <cell r="Y195" t="str">
            <v>n/a</v>
          </cell>
          <cell r="AA195" t="str">
            <v>n/a</v>
          </cell>
        </row>
        <row r="196">
          <cell r="B196" t="str">
            <v>162700</v>
          </cell>
          <cell r="M196" t="str">
            <v>n/a</v>
          </cell>
          <cell r="Q196" t="str">
            <v>Fixed assets: premises</v>
          </cell>
          <cell r="T196" t="str">
            <v>Fixed assets</v>
          </cell>
          <cell r="U196" t="str">
            <v>n/a</v>
          </cell>
          <cell r="W196" t="str">
            <v>Other assets</v>
          </cell>
          <cell r="X196">
            <v>156200</v>
          </cell>
          <cell r="Y196" t="str">
            <v>n/a</v>
          </cell>
          <cell r="AA196" t="str">
            <v>n/a</v>
          </cell>
        </row>
        <row r="197">
          <cell r="B197" t="str">
            <v>163000</v>
          </cell>
          <cell r="M197" t="str">
            <v>n/a</v>
          </cell>
          <cell r="Q197" t="str">
            <v>Fixed assets: premises</v>
          </cell>
          <cell r="T197" t="str">
            <v>Fixed assets</v>
          </cell>
          <cell r="U197" t="str">
            <v>n/a</v>
          </cell>
          <cell r="W197" t="str">
            <v>Other assets</v>
          </cell>
          <cell r="X197">
            <v>156200</v>
          </cell>
          <cell r="Y197" t="str">
            <v>n/a</v>
          </cell>
          <cell r="AA197" t="str">
            <v>n/a</v>
          </cell>
        </row>
        <row r="198">
          <cell r="B198" t="str">
            <v>163500</v>
          </cell>
          <cell r="M198" t="str">
            <v>n/a</v>
          </cell>
          <cell r="Q198" t="str">
            <v>Fixed assets: premises</v>
          </cell>
          <cell r="T198" t="str">
            <v>Fixed assets</v>
          </cell>
          <cell r="U198" t="str">
            <v>n/a</v>
          </cell>
          <cell r="W198" t="str">
            <v>Other assets</v>
          </cell>
          <cell r="X198">
            <v>156200</v>
          </cell>
          <cell r="Y198" t="str">
            <v>n/a</v>
          </cell>
          <cell r="AA198" t="str">
            <v>n/a</v>
          </cell>
        </row>
        <row r="199">
          <cell r="B199" t="str">
            <v>163800</v>
          </cell>
          <cell r="M199" t="str">
            <v>n/a</v>
          </cell>
          <cell r="Q199" t="str">
            <v>Fixed assets: premises</v>
          </cell>
          <cell r="T199" t="str">
            <v>Fixed assets</v>
          </cell>
          <cell r="U199" t="str">
            <v>n/a</v>
          </cell>
          <cell r="W199" t="str">
            <v>Other assets</v>
          </cell>
          <cell r="X199">
            <v>156200</v>
          </cell>
          <cell r="Y199" t="str">
            <v>n/a</v>
          </cell>
          <cell r="AA199" t="str">
            <v>n/a</v>
          </cell>
        </row>
        <row r="200">
          <cell r="B200" t="str">
            <v>172100</v>
          </cell>
          <cell r="M200" t="str">
            <v>n/a</v>
          </cell>
          <cell r="Q200" t="str">
            <v>Fixed assets: premises</v>
          </cell>
          <cell r="T200" t="str">
            <v>Fixed assets</v>
          </cell>
          <cell r="U200" t="str">
            <v>n/a</v>
          </cell>
          <cell r="W200" t="str">
            <v>Other assets</v>
          </cell>
          <cell r="X200">
            <v>158200</v>
          </cell>
          <cell r="Y200" t="str">
            <v>n/a</v>
          </cell>
          <cell r="AA200" t="str">
            <v>n/a</v>
          </cell>
        </row>
        <row r="201">
          <cell r="B201" t="str">
            <v>163100</v>
          </cell>
          <cell r="M201" t="str">
            <v>n/a</v>
          </cell>
          <cell r="Q201" t="str">
            <v>Fixed assets: equipment</v>
          </cell>
          <cell r="T201" t="str">
            <v>Fixed assets</v>
          </cell>
          <cell r="U201" t="str">
            <v>n/a</v>
          </cell>
          <cell r="W201" t="str">
            <v>Other assets</v>
          </cell>
          <cell r="X201">
            <v>156300</v>
          </cell>
          <cell r="Y201" t="str">
            <v>n/a</v>
          </cell>
          <cell r="AA201" t="str">
            <v>n/a</v>
          </cell>
        </row>
        <row r="202">
          <cell r="B202" t="str">
            <v>163200</v>
          </cell>
          <cell r="M202" t="str">
            <v>n/a</v>
          </cell>
          <cell r="Q202" t="str">
            <v>Fixed assets: equipment</v>
          </cell>
          <cell r="T202" t="str">
            <v>Fixed assets</v>
          </cell>
          <cell r="U202" t="str">
            <v>n/a</v>
          </cell>
          <cell r="W202" t="str">
            <v>Other assets</v>
          </cell>
          <cell r="X202">
            <v>156300</v>
          </cell>
          <cell r="Y202" t="str">
            <v>n/a</v>
          </cell>
          <cell r="AA202" t="str">
            <v>n/a</v>
          </cell>
        </row>
        <row r="203">
          <cell r="B203" t="str">
            <v>164700</v>
          </cell>
          <cell r="M203" t="str">
            <v>n/a</v>
          </cell>
          <cell r="Q203" t="str">
            <v>Fixed assets: equipment</v>
          </cell>
          <cell r="T203" t="str">
            <v>Fixed assets</v>
          </cell>
          <cell r="U203" t="str">
            <v>n/a</v>
          </cell>
          <cell r="W203" t="str">
            <v>Other assets</v>
          </cell>
          <cell r="X203">
            <v>156300</v>
          </cell>
          <cell r="Y203" t="str">
            <v>n/a</v>
          </cell>
          <cell r="AA203" t="str">
            <v>n/a</v>
          </cell>
        </row>
        <row r="204">
          <cell r="B204" t="str">
            <v>164300</v>
          </cell>
          <cell r="M204" t="str">
            <v>n/a</v>
          </cell>
          <cell r="Q204" t="str">
            <v>Fixed assets: equipment</v>
          </cell>
          <cell r="T204" t="str">
            <v>Fixed assets</v>
          </cell>
          <cell r="U204" t="str">
            <v>n/a</v>
          </cell>
          <cell r="W204" t="str">
            <v>Other assets</v>
          </cell>
          <cell r="X204">
            <v>156400</v>
          </cell>
          <cell r="Y204" t="str">
            <v>n/a</v>
          </cell>
          <cell r="AA204" t="str">
            <v>n/a</v>
          </cell>
        </row>
        <row r="205">
          <cell r="B205" t="str">
            <v>164400</v>
          </cell>
          <cell r="M205" t="str">
            <v>n/a</v>
          </cell>
          <cell r="Q205" t="str">
            <v>Fixed assets: equipment</v>
          </cell>
          <cell r="T205" t="str">
            <v>Fixed assets</v>
          </cell>
          <cell r="U205" t="str">
            <v>n/a</v>
          </cell>
          <cell r="W205" t="str">
            <v>Other assets</v>
          </cell>
          <cell r="X205">
            <v>156400</v>
          </cell>
          <cell r="Y205" t="str">
            <v>n/a</v>
          </cell>
          <cell r="AA205" t="str">
            <v>n/a</v>
          </cell>
        </row>
        <row r="206">
          <cell r="B206" t="str">
            <v>163900</v>
          </cell>
          <cell r="M206" t="str">
            <v>n/a</v>
          </cell>
          <cell r="Q206" t="str">
            <v>Fixed assets: equipment</v>
          </cell>
          <cell r="T206" t="str">
            <v>Fixed assets</v>
          </cell>
          <cell r="U206" t="str">
            <v>n/a</v>
          </cell>
          <cell r="W206" t="str">
            <v>Other assets</v>
          </cell>
          <cell r="X206">
            <v>156200</v>
          </cell>
          <cell r="Y206" t="str">
            <v>n/a</v>
          </cell>
          <cell r="AA206" t="str">
            <v>n/a</v>
          </cell>
        </row>
        <row r="207">
          <cell r="B207" t="str">
            <v>164600</v>
          </cell>
          <cell r="M207" t="str">
            <v>n/a</v>
          </cell>
          <cell r="Q207" t="str">
            <v>Fixed assets: equipment</v>
          </cell>
          <cell r="T207" t="str">
            <v>Fixed assets</v>
          </cell>
          <cell r="U207" t="str">
            <v>n/a</v>
          </cell>
          <cell r="W207" t="str">
            <v>Other assets</v>
          </cell>
          <cell r="X207">
            <v>156500</v>
          </cell>
          <cell r="Y207" t="str">
            <v>n/a</v>
          </cell>
          <cell r="AA207" t="str">
            <v>n/a</v>
          </cell>
        </row>
        <row r="208">
          <cell r="B208" t="str">
            <v>163700</v>
          </cell>
          <cell r="M208" t="str">
            <v>n/a</v>
          </cell>
          <cell r="Q208" t="str">
            <v>Fixed assets: equipment</v>
          </cell>
          <cell r="T208" t="str">
            <v>Fixed assets</v>
          </cell>
          <cell r="U208" t="str">
            <v>n/a</v>
          </cell>
          <cell r="W208" t="str">
            <v>Other assets</v>
          </cell>
          <cell r="X208">
            <v>156600</v>
          </cell>
          <cell r="Y208" t="str">
            <v>n/a</v>
          </cell>
          <cell r="AA208" t="str">
            <v>n/a</v>
          </cell>
        </row>
        <row r="209">
          <cell r="B209" t="str">
            <v>164100</v>
          </cell>
          <cell r="M209" t="str">
            <v>n/a</v>
          </cell>
          <cell r="Q209" t="str">
            <v>Fixed assets: equipment</v>
          </cell>
          <cell r="T209" t="str">
            <v>Fixed assets</v>
          </cell>
          <cell r="U209" t="str">
            <v>n/a</v>
          </cell>
          <cell r="W209" t="str">
            <v>Other assets</v>
          </cell>
          <cell r="X209">
            <v>156600</v>
          </cell>
          <cell r="Y209" t="str">
            <v>n/a</v>
          </cell>
          <cell r="AA209" t="str">
            <v>n/a</v>
          </cell>
        </row>
        <row r="210">
          <cell r="B210" t="str">
            <v>164800</v>
          </cell>
          <cell r="M210" t="str">
            <v>n/a</v>
          </cell>
          <cell r="Q210" t="str">
            <v>Fixed assets: equipment</v>
          </cell>
          <cell r="T210" t="str">
            <v>Fixed assets</v>
          </cell>
          <cell r="U210" t="str">
            <v>n/a</v>
          </cell>
          <cell r="W210" t="str">
            <v>Other assets</v>
          </cell>
          <cell r="X210">
            <v>156600</v>
          </cell>
          <cell r="Y210" t="str">
            <v>n/a</v>
          </cell>
          <cell r="AA210" t="str">
            <v>n/a</v>
          </cell>
        </row>
        <row r="211">
          <cell r="B211" t="str">
            <v>164900</v>
          </cell>
          <cell r="M211" t="str">
            <v>n/a</v>
          </cell>
          <cell r="Q211" t="str">
            <v>Fixed assets: equipment</v>
          </cell>
          <cell r="T211" t="str">
            <v>Fixed assets</v>
          </cell>
          <cell r="U211" t="str">
            <v>n/a</v>
          </cell>
          <cell r="W211" t="str">
            <v>Other assets</v>
          </cell>
          <cell r="X211">
            <v>156600</v>
          </cell>
          <cell r="Y211" t="str">
            <v>n/a</v>
          </cell>
          <cell r="AA211" t="str">
            <v>n/a</v>
          </cell>
        </row>
        <row r="212">
          <cell r="B212" t="str">
            <v>165000</v>
          </cell>
          <cell r="M212" t="str">
            <v>n/a</v>
          </cell>
          <cell r="Q212" t="str">
            <v>Fixed assets: equipment</v>
          </cell>
          <cell r="T212" t="str">
            <v>Fixed assets</v>
          </cell>
          <cell r="U212" t="str">
            <v>n/a</v>
          </cell>
          <cell r="W212" t="str">
            <v>Other assets</v>
          </cell>
          <cell r="X212">
            <v>156600</v>
          </cell>
          <cell r="Y212" t="str">
            <v>n/a</v>
          </cell>
          <cell r="AA212" t="str">
            <v>n/a</v>
          </cell>
        </row>
        <row r="213">
          <cell r="B213" t="str">
            <v>165100</v>
          </cell>
          <cell r="M213" t="str">
            <v>n/a</v>
          </cell>
          <cell r="Q213" t="str">
            <v>Fixed assets: equipment</v>
          </cell>
          <cell r="T213" t="str">
            <v>Fixed assets</v>
          </cell>
          <cell r="U213" t="str">
            <v>n/a</v>
          </cell>
          <cell r="W213" t="str">
            <v>Other assets</v>
          </cell>
          <cell r="X213">
            <v>156600</v>
          </cell>
          <cell r="Y213" t="str">
            <v>n/a</v>
          </cell>
          <cell r="AA213" t="str">
            <v>n/a</v>
          </cell>
        </row>
        <row r="214">
          <cell r="B214" t="str">
            <v>165200</v>
          </cell>
          <cell r="M214" t="str">
            <v>n/a</v>
          </cell>
          <cell r="Q214" t="str">
            <v>Fixed assets: equipment</v>
          </cell>
          <cell r="T214" t="str">
            <v>Fixed assets</v>
          </cell>
          <cell r="U214" t="str">
            <v>n/a</v>
          </cell>
          <cell r="W214" t="str">
            <v>Other assets</v>
          </cell>
          <cell r="X214">
            <v>156600</v>
          </cell>
          <cell r="Y214" t="str">
            <v>n/a</v>
          </cell>
          <cell r="AA214" t="str">
            <v>n/a</v>
          </cell>
        </row>
        <row r="215">
          <cell r="B215" t="str">
            <v>166300</v>
          </cell>
          <cell r="M215" t="str">
            <v>n/a</v>
          </cell>
          <cell r="Q215" t="str">
            <v>Fixed assets: equipment</v>
          </cell>
          <cell r="T215" t="str">
            <v>Fixed assets</v>
          </cell>
          <cell r="U215" t="str">
            <v>n/a</v>
          </cell>
          <cell r="W215" t="str">
            <v>Other assets</v>
          </cell>
          <cell r="X215">
            <v>156600</v>
          </cell>
          <cell r="Y215" t="str">
            <v>n/a</v>
          </cell>
          <cell r="AA215" t="str">
            <v>n/a</v>
          </cell>
        </row>
        <row r="216">
          <cell r="B216" t="str">
            <v>161800</v>
          </cell>
          <cell r="M216" t="str">
            <v>n/a</v>
          </cell>
          <cell r="Q216" t="str">
            <v>Fixed assets: premises</v>
          </cell>
          <cell r="T216" t="str">
            <v>Fixed assets</v>
          </cell>
          <cell r="U216" t="str">
            <v>n/a</v>
          </cell>
          <cell r="W216" t="str">
            <v>Other assets</v>
          </cell>
          <cell r="X216">
            <v>157100</v>
          </cell>
          <cell r="Y216" t="str">
            <v>n/a</v>
          </cell>
          <cell r="AA216" t="str">
            <v>n/a</v>
          </cell>
        </row>
        <row r="217">
          <cell r="B217" t="str">
            <v>161900</v>
          </cell>
          <cell r="M217" t="str">
            <v>n/a</v>
          </cell>
          <cell r="Q217" t="str">
            <v>Fixed assets: premises</v>
          </cell>
          <cell r="T217" t="str">
            <v>Fixed assets</v>
          </cell>
          <cell r="U217" t="str">
            <v>n/a</v>
          </cell>
          <cell r="W217" t="str">
            <v>Other assets</v>
          </cell>
          <cell r="X217">
            <v>157100</v>
          </cell>
          <cell r="Y217" t="str">
            <v>n/a</v>
          </cell>
          <cell r="AA217" t="str">
            <v>n/a</v>
          </cell>
        </row>
        <row r="218">
          <cell r="B218" t="str">
            <v>171600</v>
          </cell>
          <cell r="M218" t="str">
            <v>n/a</v>
          </cell>
          <cell r="Q218" t="str">
            <v>Fixed assets: premises</v>
          </cell>
          <cell r="T218" t="str">
            <v>Fixed assets</v>
          </cell>
          <cell r="U218" t="str">
            <v>n/a</v>
          </cell>
          <cell r="W218" t="str">
            <v>Other assets</v>
          </cell>
          <cell r="X218">
            <v>157100</v>
          </cell>
          <cell r="Y218" t="str">
            <v>n/a</v>
          </cell>
          <cell r="AA218" t="str">
            <v>n/a</v>
          </cell>
        </row>
        <row r="219">
          <cell r="B219" t="str">
            <v>172000</v>
          </cell>
          <cell r="M219" t="str">
            <v>n/a</v>
          </cell>
          <cell r="Q219" t="str">
            <v>Fixed assets: premises</v>
          </cell>
          <cell r="T219" t="str">
            <v>Fixed assets</v>
          </cell>
          <cell r="U219" t="str">
            <v>n/a</v>
          </cell>
          <cell r="W219" t="str">
            <v>Other assets</v>
          </cell>
          <cell r="X219">
            <v>159100</v>
          </cell>
          <cell r="Y219" t="str">
            <v>n/a</v>
          </cell>
          <cell r="AA219" t="str">
            <v>n/a</v>
          </cell>
        </row>
        <row r="220">
          <cell r="B220" t="str">
            <v>160100</v>
          </cell>
          <cell r="M220" t="str">
            <v>n/a</v>
          </cell>
          <cell r="Q220" t="str">
            <v>Fixed assets: equipment</v>
          </cell>
          <cell r="T220" t="str">
            <v>Fixed assets</v>
          </cell>
          <cell r="U220" t="str">
            <v>n/a</v>
          </cell>
          <cell r="W220" t="str">
            <v>Other assets</v>
          </cell>
          <cell r="X220">
            <v>157200</v>
          </cell>
          <cell r="Y220" t="str">
            <v>n/a</v>
          </cell>
          <cell r="AA220" t="str">
            <v>n/a</v>
          </cell>
        </row>
        <row r="221">
          <cell r="B221" t="str">
            <v>160600</v>
          </cell>
          <cell r="M221" t="str">
            <v>n/a</v>
          </cell>
          <cell r="Q221" t="str">
            <v>Fixed assets: equipment</v>
          </cell>
          <cell r="T221" t="str">
            <v>Fixed assets</v>
          </cell>
          <cell r="U221" t="str">
            <v>n/a</v>
          </cell>
          <cell r="W221" t="str">
            <v>Other assets</v>
          </cell>
          <cell r="X221">
            <v>157200</v>
          </cell>
          <cell r="Y221" t="str">
            <v>n/a</v>
          </cell>
          <cell r="AA221" t="str">
            <v>n/a</v>
          </cell>
        </row>
        <row r="222">
          <cell r="B222" t="str">
            <v>161200</v>
          </cell>
          <cell r="M222" t="str">
            <v>n/a</v>
          </cell>
          <cell r="Q222" t="str">
            <v>Fixed assets: equipment</v>
          </cell>
          <cell r="T222" t="str">
            <v>Fixed assets</v>
          </cell>
          <cell r="U222" t="str">
            <v>n/a</v>
          </cell>
          <cell r="W222" t="str">
            <v>Other assets</v>
          </cell>
          <cell r="X222">
            <v>157200</v>
          </cell>
          <cell r="Y222" t="str">
            <v>n/a</v>
          </cell>
          <cell r="AA222" t="str">
            <v>n/a</v>
          </cell>
        </row>
        <row r="223">
          <cell r="B223" t="str">
            <v>160700</v>
          </cell>
          <cell r="M223" t="str">
            <v>n/a</v>
          </cell>
          <cell r="Q223" t="str">
            <v>Fixed assets: equipment</v>
          </cell>
          <cell r="T223" t="str">
            <v>Fixed assets</v>
          </cell>
          <cell r="U223" t="str">
            <v>n/a</v>
          </cell>
          <cell r="W223" t="str">
            <v>Other assets</v>
          </cell>
          <cell r="X223">
            <v>157300</v>
          </cell>
          <cell r="Y223" t="str">
            <v>n/a</v>
          </cell>
          <cell r="AA223" t="str">
            <v>n/a</v>
          </cell>
        </row>
        <row r="224">
          <cell r="B224" t="str">
            <v>160702</v>
          </cell>
          <cell r="M224" t="str">
            <v>n/a</v>
          </cell>
          <cell r="Q224" t="str">
            <v>Fixed assets: equipment</v>
          </cell>
          <cell r="T224" t="str">
            <v>Fixed assets</v>
          </cell>
          <cell r="U224" t="str">
            <v>n/a</v>
          </cell>
          <cell r="W224" t="str">
            <v>Other assets</v>
          </cell>
          <cell r="X224">
            <v>157300</v>
          </cell>
          <cell r="Y224" t="str">
            <v>n/a</v>
          </cell>
          <cell r="AA224" t="str">
            <v>n/a</v>
          </cell>
        </row>
        <row r="225">
          <cell r="B225" t="str">
            <v>160900</v>
          </cell>
          <cell r="M225" t="str">
            <v>n/a</v>
          </cell>
          <cell r="Q225" t="str">
            <v>Fixed assets: equipment</v>
          </cell>
          <cell r="T225" t="str">
            <v>Fixed assets</v>
          </cell>
          <cell r="U225" t="str">
            <v>n/a</v>
          </cell>
          <cell r="W225" t="str">
            <v>Other assets</v>
          </cell>
          <cell r="X225">
            <v>157300</v>
          </cell>
          <cell r="Y225" t="str">
            <v>n/a</v>
          </cell>
          <cell r="AA225" t="str">
            <v>n/a</v>
          </cell>
        </row>
        <row r="226">
          <cell r="B226" t="str">
            <v>161100</v>
          </cell>
          <cell r="M226" t="str">
            <v>n/a</v>
          </cell>
          <cell r="Q226" t="str">
            <v>Fixed assets: equipment</v>
          </cell>
          <cell r="T226" t="str">
            <v>Fixed assets</v>
          </cell>
          <cell r="U226" t="str">
            <v>n/a</v>
          </cell>
          <cell r="W226" t="str">
            <v>Other assets</v>
          </cell>
          <cell r="X226">
            <v>157400</v>
          </cell>
          <cell r="Y226" t="str">
            <v>n/a</v>
          </cell>
          <cell r="AA226" t="str">
            <v>n/a</v>
          </cell>
        </row>
        <row r="227">
          <cell r="B227" t="str">
            <v>160300</v>
          </cell>
          <cell r="M227" t="str">
            <v>n/a</v>
          </cell>
          <cell r="Q227" t="str">
            <v>Fixed assets: equipment</v>
          </cell>
          <cell r="T227" t="str">
            <v>Fixed assets</v>
          </cell>
          <cell r="U227" t="str">
            <v>n/a</v>
          </cell>
          <cell r="W227" t="str">
            <v>Other assets</v>
          </cell>
          <cell r="X227">
            <v>157500</v>
          </cell>
          <cell r="Y227" t="str">
            <v>n/a</v>
          </cell>
          <cell r="AA227" t="str">
            <v>n/a</v>
          </cell>
        </row>
        <row r="228">
          <cell r="B228" t="str">
            <v>160500</v>
          </cell>
          <cell r="M228" t="str">
            <v>n/a</v>
          </cell>
          <cell r="Q228" t="str">
            <v>Fixed assets: equipment</v>
          </cell>
          <cell r="T228" t="str">
            <v>Fixed assets</v>
          </cell>
          <cell r="U228" t="str">
            <v>n/a</v>
          </cell>
          <cell r="W228" t="str">
            <v>Other assets</v>
          </cell>
          <cell r="X228">
            <v>157500</v>
          </cell>
          <cell r="Y228" t="str">
            <v>n/a</v>
          </cell>
          <cell r="AA228" t="str">
            <v>n/a</v>
          </cell>
        </row>
        <row r="229">
          <cell r="B229" t="str">
            <v>161300</v>
          </cell>
          <cell r="M229" t="str">
            <v>n/a</v>
          </cell>
          <cell r="Q229" t="str">
            <v>Fixed assets: equipment</v>
          </cell>
          <cell r="T229" t="str">
            <v>Fixed assets</v>
          </cell>
          <cell r="U229" t="str">
            <v>n/a</v>
          </cell>
          <cell r="W229" t="str">
            <v>Other assets</v>
          </cell>
          <cell r="X229">
            <v>157500</v>
          </cell>
          <cell r="Y229" t="str">
            <v>n/a</v>
          </cell>
          <cell r="AA229" t="str">
            <v>n/a</v>
          </cell>
        </row>
        <row r="230">
          <cell r="B230" t="str">
            <v>161400</v>
          </cell>
          <cell r="M230" t="str">
            <v>n/a</v>
          </cell>
          <cell r="Q230" t="str">
            <v>Fixed assets: equipment</v>
          </cell>
          <cell r="T230" t="str">
            <v>Fixed assets</v>
          </cell>
          <cell r="U230" t="str">
            <v>n/a</v>
          </cell>
          <cell r="W230" t="str">
            <v>Other assets</v>
          </cell>
          <cell r="X230">
            <v>157500</v>
          </cell>
          <cell r="Y230" t="str">
            <v>n/a</v>
          </cell>
          <cell r="AA230" t="str">
            <v>n/a</v>
          </cell>
        </row>
        <row r="231">
          <cell r="B231" t="str">
            <v>161500</v>
          </cell>
          <cell r="M231" t="str">
            <v>n/a</v>
          </cell>
          <cell r="Q231" t="str">
            <v>Fixed assets: equipment</v>
          </cell>
          <cell r="T231" t="str">
            <v>Fixed assets</v>
          </cell>
          <cell r="U231" t="str">
            <v>n/a</v>
          </cell>
          <cell r="W231" t="str">
            <v>Other assets</v>
          </cell>
          <cell r="X231">
            <v>157500</v>
          </cell>
          <cell r="Y231" t="str">
            <v>n/a</v>
          </cell>
          <cell r="AA231" t="str">
            <v>n/a</v>
          </cell>
        </row>
        <row r="232">
          <cell r="B232" t="str">
            <v>161600</v>
          </cell>
          <cell r="M232" t="str">
            <v>n/a</v>
          </cell>
          <cell r="Q232" t="str">
            <v>Fixed assets: equipment</v>
          </cell>
          <cell r="T232" t="str">
            <v>Fixed assets</v>
          </cell>
          <cell r="U232" t="str">
            <v>n/a</v>
          </cell>
          <cell r="W232" t="str">
            <v>Other assets</v>
          </cell>
          <cell r="X232">
            <v>157500</v>
          </cell>
          <cell r="Y232" t="str">
            <v>n/a</v>
          </cell>
          <cell r="AA232" t="str">
            <v>n/a</v>
          </cell>
        </row>
        <row r="233">
          <cell r="B233" t="str">
            <v>239100</v>
          </cell>
          <cell r="M233" t="str">
            <v>n/a</v>
          </cell>
          <cell r="Q233" t="str">
            <v>Call deposists</v>
          </cell>
          <cell r="T233" t="str">
            <v>Deposit and current accounts</v>
          </cell>
          <cell r="U233" t="str">
            <v>Overnight deposists</v>
          </cell>
          <cell r="W233" t="str">
            <v>Call account balances</v>
          </cell>
          <cell r="X233">
            <v>225600</v>
          </cell>
          <cell r="Y233" t="str">
            <v>n/a</v>
          </cell>
          <cell r="AA233" t="str">
            <v>n/a</v>
          </cell>
        </row>
        <row r="234">
          <cell r="B234" t="str">
            <v>239200</v>
          </cell>
          <cell r="M234" t="str">
            <v>n/a</v>
          </cell>
          <cell r="Q234" t="str">
            <v>Call deposists</v>
          </cell>
          <cell r="T234" t="str">
            <v>Deposit and current accounts</v>
          </cell>
          <cell r="U234" t="str">
            <v>Overnight deposists</v>
          </cell>
          <cell r="W234" t="str">
            <v>Call account balances</v>
          </cell>
          <cell r="X234">
            <v>225600</v>
          </cell>
          <cell r="Y234" t="str">
            <v>n/a</v>
          </cell>
          <cell r="AA234" t="str">
            <v>n/a</v>
          </cell>
        </row>
        <row r="235">
          <cell r="B235" t="str">
            <v>242100</v>
          </cell>
          <cell r="M235" t="str">
            <v>n/a</v>
          </cell>
          <cell r="Q235" t="str">
            <v>Call deposists</v>
          </cell>
          <cell r="T235" t="str">
            <v>Deposit and current accounts</v>
          </cell>
          <cell r="U235" t="str">
            <v>Overnight deposists</v>
          </cell>
          <cell r="W235" t="str">
            <v>Call account balances</v>
          </cell>
          <cell r="X235">
            <v>225400</v>
          </cell>
          <cell r="Y235" t="str">
            <v>n/a</v>
          </cell>
          <cell r="AA235" t="str">
            <v>n/a</v>
          </cell>
        </row>
        <row r="236">
          <cell r="B236" t="str">
            <v>252900</v>
          </cell>
          <cell r="M236" t="str">
            <v>n/a</v>
          </cell>
          <cell r="Q236" t="str">
            <v>Call deposists</v>
          </cell>
          <cell r="T236" t="str">
            <v>Deposit and current accounts</v>
          </cell>
          <cell r="U236" t="str">
            <v>Overnight deposists</v>
          </cell>
          <cell r="W236" t="str">
            <v>Call account balances</v>
          </cell>
          <cell r="X236">
            <v>225400</v>
          </cell>
          <cell r="Y236" t="str">
            <v>n/a</v>
          </cell>
          <cell r="AA236" t="str">
            <v>n/a</v>
          </cell>
        </row>
        <row r="237">
          <cell r="B237" t="str">
            <v>250100</v>
          </cell>
          <cell r="M237" t="str">
            <v>n/a</v>
          </cell>
          <cell r="Q237" t="str">
            <v>Notice deposits</v>
          </cell>
          <cell r="T237" t="str">
            <v>Deposit and current accounts</v>
          </cell>
          <cell r="U237" t="str">
            <v>Term deposists</v>
          </cell>
          <cell r="W237" t="str">
            <v>n/a</v>
          </cell>
          <cell r="X237">
            <v>225400</v>
          </cell>
          <cell r="Y237" t="str">
            <v>n/a</v>
          </cell>
          <cell r="AA237" t="str">
            <v>n/a</v>
          </cell>
        </row>
        <row r="238">
          <cell r="B238" t="str">
            <v>220085</v>
          </cell>
          <cell r="M238" t="str">
            <v>n/a</v>
          </cell>
          <cell r="Q238" t="str">
            <v>NCD's</v>
          </cell>
          <cell r="T238" t="str">
            <v>Deposit and current accounts</v>
          </cell>
          <cell r="U238" t="str">
            <v>Term deposists</v>
          </cell>
          <cell r="W238" t="str">
            <v>n/a</v>
          </cell>
          <cell r="X238">
            <v>225800</v>
          </cell>
          <cell r="Y238" t="str">
            <v>n/a</v>
          </cell>
          <cell r="AA238" t="str">
            <v>n/a</v>
          </cell>
        </row>
        <row r="239">
          <cell r="B239" t="str">
            <v>226400</v>
          </cell>
          <cell r="M239" t="str">
            <v>n/a</v>
          </cell>
          <cell r="Q239" t="str">
            <v>NCD's</v>
          </cell>
          <cell r="T239" t="str">
            <v>Deposit and current accounts</v>
          </cell>
          <cell r="U239" t="str">
            <v>Term deposists</v>
          </cell>
          <cell r="W239" t="str">
            <v>n/a</v>
          </cell>
          <cell r="X239">
            <v>228500</v>
          </cell>
          <cell r="Y239" t="str">
            <v>n/a</v>
          </cell>
          <cell r="AA239" t="str">
            <v>n/a</v>
          </cell>
        </row>
        <row r="240">
          <cell r="B240" t="str">
            <v>226100</v>
          </cell>
          <cell r="M240" t="str">
            <v>n/a</v>
          </cell>
          <cell r="Q240" t="str">
            <v>NCD's</v>
          </cell>
          <cell r="T240" t="str">
            <v>Deposit and current accounts</v>
          </cell>
          <cell r="U240" t="str">
            <v>Term deposists</v>
          </cell>
          <cell r="W240" t="str">
            <v>n/a</v>
          </cell>
          <cell r="X240">
            <v>225800</v>
          </cell>
          <cell r="Y240" t="str">
            <v>n/a</v>
          </cell>
          <cell r="AA240" t="str">
            <v>n/a</v>
          </cell>
        </row>
        <row r="241">
          <cell r="B241" t="str">
            <v>238500</v>
          </cell>
          <cell r="M241" t="str">
            <v>n/a</v>
          </cell>
          <cell r="Q241" t="str">
            <v>Fixed deposits</v>
          </cell>
          <cell r="T241" t="str">
            <v>Deposit and current accounts</v>
          </cell>
          <cell r="U241" t="str">
            <v>Term deposists</v>
          </cell>
          <cell r="W241" t="str">
            <v>n/a</v>
          </cell>
          <cell r="X241">
            <v>225600</v>
          </cell>
          <cell r="Y241" t="str">
            <v>n/a</v>
          </cell>
          <cell r="AA241" t="str">
            <v>n/a</v>
          </cell>
        </row>
        <row r="242">
          <cell r="B242" t="str">
            <v>238600</v>
          </cell>
          <cell r="M242" t="str">
            <v>n/a</v>
          </cell>
          <cell r="Q242" t="str">
            <v>Fixed deposits: Other banks</v>
          </cell>
          <cell r="T242" t="str">
            <v>Deposit and current accounts</v>
          </cell>
          <cell r="U242" t="str">
            <v>Term deposists</v>
          </cell>
          <cell r="W242" t="str">
            <v>n/a</v>
          </cell>
          <cell r="X242">
            <v>225600</v>
          </cell>
          <cell r="Y242" t="str">
            <v>n/a</v>
          </cell>
          <cell r="AA242" t="str">
            <v>n/a</v>
          </cell>
        </row>
        <row r="243">
          <cell r="B243" t="str">
            <v>227400</v>
          </cell>
          <cell r="M243" t="str">
            <v>n/a</v>
          </cell>
          <cell r="Q243" t="str">
            <v>Cash management (c)</v>
          </cell>
          <cell r="T243" t="str">
            <v>Deposit and current accounts</v>
          </cell>
          <cell r="U243" t="str">
            <v>Overnight deposists</v>
          </cell>
          <cell r="W243" t="str">
            <v>Current account balances</v>
          </cell>
          <cell r="X243">
            <v>225600</v>
          </cell>
          <cell r="Y243" t="str">
            <v>n/a</v>
          </cell>
          <cell r="AA243" t="str">
            <v>n/a</v>
          </cell>
        </row>
        <row r="244">
          <cell r="B244" t="str">
            <v>250300</v>
          </cell>
          <cell r="M244" t="str">
            <v>n/a</v>
          </cell>
          <cell r="Q244" t="str">
            <v>Other group banks: Call deposists</v>
          </cell>
          <cell r="T244" t="str">
            <v>Deposit and current accounts</v>
          </cell>
          <cell r="U244" t="str">
            <v>Intercompany</v>
          </cell>
          <cell r="W244" t="str">
            <v>n/a</v>
          </cell>
          <cell r="X244">
            <v>228400</v>
          </cell>
          <cell r="Y244" t="str">
            <v>n/a</v>
          </cell>
          <cell r="AA244" t="str">
            <v>n/a</v>
          </cell>
        </row>
        <row r="245">
          <cell r="B245" t="str">
            <v>252700</v>
          </cell>
          <cell r="M245" t="str">
            <v>n/a</v>
          </cell>
          <cell r="Q245" t="str">
            <v>Other group banks: Fixed deposists</v>
          </cell>
          <cell r="T245" t="str">
            <v>Deposit and current accounts</v>
          </cell>
          <cell r="U245" t="str">
            <v>Intercompany</v>
          </cell>
          <cell r="W245" t="str">
            <v>n/a</v>
          </cell>
          <cell r="X245">
            <v>228350</v>
          </cell>
          <cell r="Y245" t="str">
            <v>n/a</v>
          </cell>
          <cell r="AA245" t="str">
            <v>n/a</v>
          </cell>
        </row>
        <row r="246">
          <cell r="B246" t="str">
            <v>229600</v>
          </cell>
          <cell r="M246" t="str">
            <v>n/a</v>
          </cell>
          <cell r="Q246" t="str">
            <v>Vostro accounts with foreign banks</v>
          </cell>
          <cell r="T246" t="str">
            <v>Deposit and current accounts</v>
          </cell>
          <cell r="U246" t="str">
            <v>Intercompany</v>
          </cell>
          <cell r="W246" t="str">
            <v>n/a</v>
          </cell>
          <cell r="X246">
            <v>227200</v>
          </cell>
          <cell r="Y246" t="str">
            <v>n/a</v>
          </cell>
          <cell r="AA246" t="str">
            <v>n/a</v>
          </cell>
        </row>
        <row r="247">
          <cell r="B247" t="str">
            <v>229500</v>
          </cell>
          <cell r="M247" t="str">
            <v>n/a</v>
          </cell>
          <cell r="Q247" t="str">
            <v>Nostro accounts with foreign banks</v>
          </cell>
          <cell r="T247" t="str">
            <v>Deposit and current accounts</v>
          </cell>
          <cell r="U247" t="str">
            <v>Intercompany</v>
          </cell>
          <cell r="W247" t="str">
            <v>n/a</v>
          </cell>
          <cell r="X247">
            <v>227200</v>
          </cell>
          <cell r="Y247" t="str">
            <v>n/a</v>
          </cell>
          <cell r="AA247" t="str">
            <v>n/a</v>
          </cell>
        </row>
        <row r="248">
          <cell r="B248" t="str">
            <v>229400</v>
          </cell>
          <cell r="M248" t="str">
            <v>n/a</v>
          </cell>
          <cell r="Q248" t="str">
            <v>SBSA: Vostro Account</v>
          </cell>
          <cell r="T248" t="str">
            <v>Deposit and current accounts</v>
          </cell>
          <cell r="U248" t="str">
            <v>Intercompany</v>
          </cell>
          <cell r="W248" t="str">
            <v>n/a</v>
          </cell>
          <cell r="X248">
            <v>228500</v>
          </cell>
          <cell r="Y248" t="str">
            <v>n/a</v>
          </cell>
          <cell r="AA248" t="str">
            <v>n/a</v>
          </cell>
        </row>
        <row r="249">
          <cell r="B249" t="str">
            <v>220005</v>
          </cell>
          <cell r="M249" t="str">
            <v>n/a</v>
          </cell>
          <cell r="Q249" t="str">
            <v>Foreign currency deposits (banks &amp; customers)</v>
          </cell>
          <cell r="T249" t="str">
            <v>Deposit and current accounts</v>
          </cell>
          <cell r="U249" t="str">
            <v>Intercompany</v>
          </cell>
          <cell r="W249" t="str">
            <v>n/a</v>
          </cell>
          <cell r="X249">
            <v>225400</v>
          </cell>
          <cell r="Y249" t="str">
            <v>n/a</v>
          </cell>
          <cell r="AA249" t="str">
            <v>n/a</v>
          </cell>
        </row>
        <row r="250">
          <cell r="B250" t="str">
            <v>228000</v>
          </cell>
          <cell r="M250" t="str">
            <v>n/a</v>
          </cell>
          <cell r="Q250" t="str">
            <v>SBSA: Call deposits</v>
          </cell>
          <cell r="T250" t="str">
            <v>Deposit and current accounts</v>
          </cell>
          <cell r="U250" t="str">
            <v>Intercompany</v>
          </cell>
          <cell r="W250" t="str">
            <v>n/a</v>
          </cell>
          <cell r="X250">
            <v>228140</v>
          </cell>
          <cell r="Y250" t="str">
            <v>n/a</v>
          </cell>
          <cell r="AA250" t="str">
            <v>n/a</v>
          </cell>
        </row>
        <row r="251">
          <cell r="B251" t="str">
            <v>252400</v>
          </cell>
          <cell r="M251" t="str">
            <v>n/a</v>
          </cell>
          <cell r="Q251" t="str">
            <v>IC: foreign currency deposits (Mauritius)</v>
          </cell>
          <cell r="T251" t="str">
            <v>Deposit and current accounts</v>
          </cell>
          <cell r="U251" t="str">
            <v>Intercompany</v>
          </cell>
          <cell r="W251" t="str">
            <v>n/a</v>
          </cell>
          <cell r="X251">
            <v>228140</v>
          </cell>
          <cell r="Y251" t="str">
            <v>n/a</v>
          </cell>
          <cell r="AA251" t="str">
            <v>n/a</v>
          </cell>
        </row>
        <row r="252">
          <cell r="B252" t="str">
            <v>212200</v>
          </cell>
          <cell r="M252" t="str">
            <v>n/a</v>
          </cell>
          <cell r="Q252" t="str">
            <v>Current account creditors</v>
          </cell>
          <cell r="T252" t="str">
            <v>Deposit and current accounts</v>
          </cell>
          <cell r="U252" t="str">
            <v>Overnight deposists</v>
          </cell>
          <cell r="W252" t="str">
            <v>Current account balances</v>
          </cell>
          <cell r="X252">
            <v>225200</v>
          </cell>
          <cell r="Y252" t="str">
            <v>n/a</v>
          </cell>
          <cell r="AA252" t="str">
            <v>n/a</v>
          </cell>
        </row>
        <row r="253">
          <cell r="B253" t="str">
            <v>229800</v>
          </cell>
          <cell r="M253" t="str">
            <v>n/a</v>
          </cell>
          <cell r="Q253" t="str">
            <v>Current account creditors</v>
          </cell>
          <cell r="T253" t="str">
            <v>Deposit and current accounts</v>
          </cell>
          <cell r="U253" t="str">
            <v>Overnight deposists</v>
          </cell>
          <cell r="W253" t="str">
            <v>Current account balances</v>
          </cell>
          <cell r="X253">
            <v>225200</v>
          </cell>
          <cell r="Y253" t="str">
            <v>n/a</v>
          </cell>
          <cell r="AA253" t="str">
            <v>n/a</v>
          </cell>
        </row>
        <row r="254">
          <cell r="B254" t="str">
            <v>CM(L)</v>
          </cell>
          <cell r="M254" t="str">
            <v>n/a</v>
          </cell>
          <cell r="Q254" t="str">
            <v>Cash management (c)</v>
          </cell>
          <cell r="T254" t="str">
            <v>Deposit and current accounts</v>
          </cell>
          <cell r="U254" t="str">
            <v>Overnight deposists</v>
          </cell>
          <cell r="W254" t="str">
            <v>Current account balances</v>
          </cell>
          <cell r="X254">
            <v>225200</v>
          </cell>
          <cell r="Y254" t="str">
            <v>n/a</v>
          </cell>
          <cell r="AA254" t="str">
            <v>n/a</v>
          </cell>
        </row>
        <row r="255">
          <cell r="B255" t="str">
            <v>230200</v>
          </cell>
          <cell r="M255" t="str">
            <v>n/a</v>
          </cell>
          <cell r="Q255" t="str">
            <v>Current account creditors</v>
          </cell>
          <cell r="T255" t="str">
            <v>Deposit and current accounts</v>
          </cell>
          <cell r="U255" t="str">
            <v>Overnight deposists</v>
          </cell>
          <cell r="W255" t="str">
            <v>Current account balances</v>
          </cell>
          <cell r="X255">
            <v>225200</v>
          </cell>
          <cell r="Y255" t="str">
            <v>n/a</v>
          </cell>
          <cell r="AA255" t="str">
            <v>n/a</v>
          </cell>
        </row>
        <row r="256">
          <cell r="B256" t="str">
            <v>222200</v>
          </cell>
          <cell r="M256" t="str">
            <v>n/a</v>
          </cell>
          <cell r="Q256" t="str">
            <v>Call deposists</v>
          </cell>
          <cell r="T256" t="str">
            <v>Deposit and current accounts</v>
          </cell>
          <cell r="U256" t="str">
            <v>Overnight deposists</v>
          </cell>
          <cell r="W256" t="str">
            <v>Call account balances</v>
          </cell>
          <cell r="X256">
            <v>225600</v>
          </cell>
          <cell r="Y256" t="str">
            <v>n/a</v>
          </cell>
          <cell r="AA256" t="str">
            <v>n/a</v>
          </cell>
        </row>
        <row r="257">
          <cell r="B257" t="str">
            <v>226900</v>
          </cell>
          <cell r="M257" t="str">
            <v>n/a</v>
          </cell>
          <cell r="Q257" t="str">
            <v>Plusplan</v>
          </cell>
          <cell r="T257" t="str">
            <v>Deposit and current accounts</v>
          </cell>
          <cell r="U257" t="str">
            <v>Overnight deposists</v>
          </cell>
          <cell r="W257" t="str">
            <v>Savings account balances</v>
          </cell>
          <cell r="X257">
            <v>225400</v>
          </cell>
          <cell r="Y257" t="str">
            <v>n/a</v>
          </cell>
          <cell r="AA257" t="str">
            <v>n/a</v>
          </cell>
        </row>
        <row r="258">
          <cell r="B258" t="str">
            <v>226500</v>
          </cell>
          <cell r="M258" t="str">
            <v>n/a</v>
          </cell>
          <cell r="Q258" t="str">
            <v>Notice deposits</v>
          </cell>
          <cell r="T258" t="str">
            <v>Deposit and current accounts</v>
          </cell>
          <cell r="U258" t="str">
            <v>Term deposists</v>
          </cell>
          <cell r="W258" t="str">
            <v>n/a</v>
          </cell>
          <cell r="X258">
            <v>225600</v>
          </cell>
          <cell r="Y258" t="str">
            <v>n/a</v>
          </cell>
          <cell r="AA258" t="str">
            <v>n/a</v>
          </cell>
        </row>
        <row r="259">
          <cell r="B259" t="str">
            <v>222900</v>
          </cell>
          <cell r="M259" t="str">
            <v>n/a</v>
          </cell>
          <cell r="Q259" t="str">
            <v>Other accounts (assets)</v>
          </cell>
          <cell r="T259" t="str">
            <v>Deposit and current accounts</v>
          </cell>
          <cell r="U259" t="str">
            <v>Overnight deposists</v>
          </cell>
          <cell r="W259" t="str">
            <v>n/a</v>
          </cell>
          <cell r="X259">
            <v>225600</v>
          </cell>
          <cell r="Y259" t="str">
            <v>n/a</v>
          </cell>
          <cell r="AA259" t="str">
            <v>n/a</v>
          </cell>
        </row>
        <row r="260">
          <cell r="B260" t="str">
            <v>238200</v>
          </cell>
          <cell r="M260" t="str">
            <v>n/a</v>
          </cell>
          <cell r="Q260" t="str">
            <v>Fixed deposits</v>
          </cell>
          <cell r="T260" t="str">
            <v>Deposit and current accounts</v>
          </cell>
          <cell r="U260" t="str">
            <v>Term deposists</v>
          </cell>
          <cell r="W260" t="str">
            <v>n/a</v>
          </cell>
          <cell r="X260">
            <v>225600</v>
          </cell>
          <cell r="Y260" t="str">
            <v>n/a</v>
          </cell>
          <cell r="AA260" t="str">
            <v>n/a</v>
          </cell>
        </row>
        <row r="261">
          <cell r="B261" t="str">
            <v>212900</v>
          </cell>
          <cell r="M261" t="str">
            <v>n/a</v>
          </cell>
          <cell r="Q261" t="str">
            <v>Bonusplan</v>
          </cell>
          <cell r="T261" t="str">
            <v>Deposit and current accounts</v>
          </cell>
          <cell r="U261" t="str">
            <v>Overnight deposists</v>
          </cell>
          <cell r="W261" t="str">
            <v>n/a</v>
          </cell>
          <cell r="X261">
            <v>225400</v>
          </cell>
          <cell r="Y261" t="str">
            <v>n/a</v>
          </cell>
          <cell r="AA261" t="str">
            <v>n/a</v>
          </cell>
        </row>
        <row r="262">
          <cell r="B262" t="str">
            <v>220040</v>
          </cell>
          <cell r="M262" t="str">
            <v>n/a</v>
          </cell>
          <cell r="Q262" t="str">
            <v>Subordinated callable bond</v>
          </cell>
          <cell r="T262" t="str">
            <v>Tier 2 capital</v>
          </cell>
          <cell r="U262" t="str">
            <v>n/a</v>
          </cell>
          <cell r="W262" t="str">
            <v>n/a</v>
          </cell>
          <cell r="X262">
            <v>245200</v>
          </cell>
          <cell r="Y262" t="str">
            <v>n/a</v>
          </cell>
          <cell r="AA262" t="str">
            <v>n/a</v>
          </cell>
        </row>
        <row r="263">
          <cell r="B263" t="str">
            <v>220020</v>
          </cell>
          <cell r="M263" t="str">
            <v>n/a</v>
          </cell>
          <cell r="Q263" t="str">
            <v>Not mapped</v>
          </cell>
          <cell r="T263" t="str">
            <v>Deposit and current accounts</v>
          </cell>
          <cell r="U263" t="str">
            <v>Intercompany</v>
          </cell>
          <cell r="W263" t="str">
            <v>n/a</v>
          </cell>
          <cell r="X263">
            <v>228500</v>
          </cell>
          <cell r="Y263" t="str">
            <v>n/a</v>
          </cell>
          <cell r="AA263" t="str">
            <v>n/a</v>
          </cell>
        </row>
        <row r="264">
          <cell r="B264" t="str">
            <v>220060</v>
          </cell>
          <cell r="M264" t="str">
            <v>n/a</v>
          </cell>
          <cell r="Q264" t="str">
            <v>Not mapped</v>
          </cell>
          <cell r="T264" t="str">
            <v>Deposit and current accounts</v>
          </cell>
          <cell r="U264" t="str">
            <v>Overnight deposists</v>
          </cell>
          <cell r="W264" t="str">
            <v>n/a</v>
          </cell>
          <cell r="X264">
            <v>241200</v>
          </cell>
          <cell r="Y264" t="str">
            <v>n/a</v>
          </cell>
          <cell r="AA264" t="str">
            <v>n/a</v>
          </cell>
        </row>
        <row r="265">
          <cell r="B265" t="str">
            <v>300190</v>
          </cell>
          <cell r="M265" t="str">
            <v>n/a</v>
          </cell>
          <cell r="Q265" t="str">
            <v>Other accounts (liabilities)</v>
          </cell>
          <cell r="T265" t="str">
            <v>Deposit and current accounts</v>
          </cell>
          <cell r="U265" t="str">
            <v>Overnight deposists</v>
          </cell>
          <cell r="W265" t="str">
            <v>n/a</v>
          </cell>
          <cell r="X265">
            <v>235400</v>
          </cell>
          <cell r="Y265" t="str">
            <v>n/a</v>
          </cell>
          <cell r="AA265" t="str">
            <v>n/a</v>
          </cell>
        </row>
        <row r="266">
          <cell r="B266" t="str">
            <v>327970</v>
          </cell>
          <cell r="M266" t="str">
            <v>n/a</v>
          </cell>
          <cell r="Q266" t="str">
            <v>Other accounts (liabilities)</v>
          </cell>
          <cell r="T266" t="str">
            <v>Deposit and current accounts</v>
          </cell>
          <cell r="U266" t="str">
            <v>Overnight deposists</v>
          </cell>
          <cell r="W266" t="str">
            <v>n/a</v>
          </cell>
          <cell r="X266">
            <v>241200</v>
          </cell>
          <cell r="Y266" t="str">
            <v>n/a</v>
          </cell>
          <cell r="AA266" t="str">
            <v>n/a</v>
          </cell>
        </row>
        <row r="267">
          <cell r="B267" t="str">
            <v>302860</v>
          </cell>
          <cell r="M267" t="str">
            <v>n/a</v>
          </cell>
          <cell r="Q267" t="str">
            <v>Other accounts (liabilities)</v>
          </cell>
          <cell r="T267" t="str">
            <v>Deposit and current accounts</v>
          </cell>
          <cell r="U267" t="str">
            <v>Overnight deposists</v>
          </cell>
          <cell r="W267" t="str">
            <v>n/a</v>
          </cell>
          <cell r="X267">
            <v>235400</v>
          </cell>
          <cell r="Y267" t="str">
            <v>n/a</v>
          </cell>
          <cell r="AA267" t="str">
            <v>n/a</v>
          </cell>
        </row>
        <row r="268">
          <cell r="B268" t="str">
            <v>311250</v>
          </cell>
          <cell r="M268" t="str">
            <v>n/a</v>
          </cell>
          <cell r="Q268" t="str">
            <v>Other accounts (liabilities)</v>
          </cell>
          <cell r="T268" t="str">
            <v>Deposit and current accounts</v>
          </cell>
          <cell r="U268" t="str">
            <v>Overnight deposists</v>
          </cell>
          <cell r="W268" t="str">
            <v>n/a</v>
          </cell>
          <cell r="X268">
            <v>235400</v>
          </cell>
          <cell r="Y268" t="str">
            <v>n/a</v>
          </cell>
          <cell r="AA268" t="str">
            <v>n/a</v>
          </cell>
        </row>
        <row r="269">
          <cell r="B269" t="str">
            <v>323470</v>
          </cell>
          <cell r="M269" t="str">
            <v>n/a</v>
          </cell>
          <cell r="Q269" t="str">
            <v>Other accounts (liabilities)</v>
          </cell>
          <cell r="T269" t="str">
            <v>Deposit and current accounts</v>
          </cell>
          <cell r="U269" t="str">
            <v>Overnight deposists</v>
          </cell>
          <cell r="W269" t="str">
            <v>n/a</v>
          </cell>
          <cell r="X269">
            <v>235400</v>
          </cell>
          <cell r="Y269" t="str">
            <v>n/a</v>
          </cell>
          <cell r="AA269" t="str">
            <v>n/a</v>
          </cell>
        </row>
        <row r="270">
          <cell r="B270" t="str">
            <v>323670</v>
          </cell>
          <cell r="M270" t="str">
            <v>n/a</v>
          </cell>
          <cell r="Q270" t="str">
            <v>Other accounts (liabilities)</v>
          </cell>
          <cell r="T270" t="str">
            <v>Deposit and current accounts</v>
          </cell>
          <cell r="U270" t="str">
            <v>Overnight deposists</v>
          </cell>
          <cell r="W270" t="str">
            <v>n/a</v>
          </cell>
          <cell r="X270">
            <v>235400</v>
          </cell>
          <cell r="Y270" t="str">
            <v>n/a</v>
          </cell>
          <cell r="AA270" t="str">
            <v>n/a</v>
          </cell>
        </row>
        <row r="271">
          <cell r="B271" t="str">
            <v>323770</v>
          </cell>
          <cell r="M271" t="str">
            <v>n/a</v>
          </cell>
          <cell r="Q271" t="str">
            <v>Other accounts (liabilities)</v>
          </cell>
          <cell r="T271" t="str">
            <v>Deposit and current accounts</v>
          </cell>
          <cell r="U271" t="str">
            <v>Overnight deposists</v>
          </cell>
          <cell r="W271" t="str">
            <v>n/a</v>
          </cell>
          <cell r="X271">
            <v>235400</v>
          </cell>
          <cell r="Y271" t="str">
            <v>n/a</v>
          </cell>
          <cell r="AA271" t="str">
            <v>n/a</v>
          </cell>
        </row>
        <row r="272">
          <cell r="B272" t="str">
            <v>323970</v>
          </cell>
          <cell r="M272" t="str">
            <v>n/a</v>
          </cell>
          <cell r="Q272" t="str">
            <v>Other accounts (liabilities)</v>
          </cell>
          <cell r="T272" t="str">
            <v>Deposit and current accounts</v>
          </cell>
          <cell r="U272" t="str">
            <v>Overnight deposists</v>
          </cell>
          <cell r="W272" t="str">
            <v>n/a</v>
          </cell>
          <cell r="X272">
            <v>235400</v>
          </cell>
          <cell r="Y272" t="str">
            <v>n/a</v>
          </cell>
          <cell r="AA272" t="str">
            <v>n/a</v>
          </cell>
        </row>
        <row r="273">
          <cell r="B273" t="str">
            <v>324070</v>
          </cell>
          <cell r="M273" t="str">
            <v>n/a</v>
          </cell>
          <cell r="Q273" t="str">
            <v>Other accounts (liabilities)</v>
          </cell>
          <cell r="T273" t="str">
            <v>Deposit and current accounts</v>
          </cell>
          <cell r="U273" t="str">
            <v>Overnight deposists</v>
          </cell>
          <cell r="W273" t="str">
            <v>n/a</v>
          </cell>
          <cell r="X273">
            <v>235400</v>
          </cell>
          <cell r="Y273" t="str">
            <v>n/a</v>
          </cell>
          <cell r="AA273" t="str">
            <v>n/a</v>
          </cell>
        </row>
        <row r="274">
          <cell r="B274" t="str">
            <v>337440</v>
          </cell>
          <cell r="M274" t="str">
            <v>n/a</v>
          </cell>
          <cell r="Q274" t="str">
            <v>Other accounts (liabilities)</v>
          </cell>
          <cell r="T274" t="str">
            <v>Deposit and current accounts</v>
          </cell>
          <cell r="U274" t="str">
            <v>Overnight deposists</v>
          </cell>
          <cell r="W274" t="str">
            <v>n/a</v>
          </cell>
          <cell r="X274">
            <v>235400</v>
          </cell>
          <cell r="Y274" t="str">
            <v>n/a</v>
          </cell>
          <cell r="AA274" t="str">
            <v>n/a</v>
          </cell>
        </row>
        <row r="275">
          <cell r="B275" t="str">
            <v>325770</v>
          </cell>
          <cell r="M275" t="str">
            <v>n/a</v>
          </cell>
          <cell r="Q275" t="str">
            <v>AIA Foreign currency loans: Other banks</v>
          </cell>
          <cell r="T275" t="str">
            <v>Deposit and current accounts</v>
          </cell>
          <cell r="U275" t="str">
            <v>Overnight deposists</v>
          </cell>
          <cell r="W275" t="str">
            <v>n/a</v>
          </cell>
          <cell r="X275">
            <v>235400</v>
          </cell>
          <cell r="Y275" t="str">
            <v>n/a</v>
          </cell>
          <cell r="AA275" t="str">
            <v>n/a</v>
          </cell>
        </row>
        <row r="276">
          <cell r="B276" t="str">
            <v>330700</v>
          </cell>
          <cell r="M276" t="str">
            <v>n/a</v>
          </cell>
          <cell r="Q276" t="str">
            <v>Other accounts (liabilities)</v>
          </cell>
          <cell r="T276" t="str">
            <v>Deposit and current accounts</v>
          </cell>
          <cell r="U276" t="str">
            <v>Overnight deposists</v>
          </cell>
          <cell r="W276" t="str">
            <v>n/a</v>
          </cell>
          <cell r="X276">
            <v>235400</v>
          </cell>
          <cell r="Y276" t="str">
            <v>n/a</v>
          </cell>
          <cell r="AA276" t="str">
            <v>n/a</v>
          </cell>
        </row>
        <row r="277">
          <cell r="B277" t="str">
            <v>300700</v>
          </cell>
          <cell r="M277" t="str">
            <v>n/a</v>
          </cell>
          <cell r="Q277" t="str">
            <v>Other accounts (liabilities)</v>
          </cell>
          <cell r="T277" t="str">
            <v>Deposit and current accounts</v>
          </cell>
          <cell r="U277" t="str">
            <v>Overnight deposists</v>
          </cell>
          <cell r="W277" t="str">
            <v>n/a</v>
          </cell>
          <cell r="X277">
            <v>235400</v>
          </cell>
          <cell r="Y277" t="str">
            <v>n/a</v>
          </cell>
          <cell r="AA277" t="str">
            <v>n/a</v>
          </cell>
        </row>
        <row r="278">
          <cell r="B278" t="str">
            <v>301300</v>
          </cell>
          <cell r="M278" t="str">
            <v>n/a</v>
          </cell>
          <cell r="Q278" t="str">
            <v>Other accounts (liabilities)</v>
          </cell>
          <cell r="T278" t="str">
            <v>Deposit and current accounts</v>
          </cell>
          <cell r="U278" t="str">
            <v>Overnight deposists</v>
          </cell>
          <cell r="W278" t="str">
            <v>n/a</v>
          </cell>
          <cell r="X278">
            <v>235400</v>
          </cell>
          <cell r="Y278" t="str">
            <v>n/a</v>
          </cell>
          <cell r="AA278" t="str">
            <v>n/a</v>
          </cell>
        </row>
        <row r="279">
          <cell r="B279" t="str">
            <v>302300</v>
          </cell>
          <cell r="M279" t="str">
            <v>n/a</v>
          </cell>
          <cell r="Q279" t="str">
            <v>Other accounts (liabilities)</v>
          </cell>
          <cell r="T279" t="str">
            <v>Deposit and current accounts</v>
          </cell>
          <cell r="U279" t="str">
            <v>Overnight deposists</v>
          </cell>
          <cell r="W279" t="str">
            <v>n/a</v>
          </cell>
          <cell r="X279">
            <v>235400</v>
          </cell>
          <cell r="Y279" t="str">
            <v>n/a</v>
          </cell>
          <cell r="AA279" t="str">
            <v>n/a</v>
          </cell>
        </row>
        <row r="280">
          <cell r="B280" t="str">
            <v>336340</v>
          </cell>
          <cell r="M280" t="str">
            <v>n/a</v>
          </cell>
          <cell r="Q280" t="str">
            <v>Other accounts (liabilities)</v>
          </cell>
          <cell r="T280" t="str">
            <v>Deposit and current accounts</v>
          </cell>
          <cell r="U280" t="str">
            <v>Overnight deposists</v>
          </cell>
          <cell r="W280" t="str">
            <v>n/a</v>
          </cell>
          <cell r="X280">
            <v>235400</v>
          </cell>
          <cell r="Y280" t="str">
            <v>n/a</v>
          </cell>
          <cell r="AA280" t="str">
            <v>n/a</v>
          </cell>
        </row>
        <row r="281">
          <cell r="B281" t="str">
            <v>302400</v>
          </cell>
          <cell r="M281" t="str">
            <v>n/a</v>
          </cell>
          <cell r="Q281" t="str">
            <v>Other accounts (liabilities)</v>
          </cell>
          <cell r="T281" t="str">
            <v>Deposit and current accounts</v>
          </cell>
          <cell r="U281" t="str">
            <v>Overnight deposists</v>
          </cell>
          <cell r="W281" t="str">
            <v>n/a</v>
          </cell>
          <cell r="X281">
            <v>235400</v>
          </cell>
          <cell r="Y281" t="str">
            <v>n/a</v>
          </cell>
          <cell r="AA281" t="str">
            <v>n/a</v>
          </cell>
        </row>
        <row r="282">
          <cell r="B282" t="str">
            <v>300215</v>
          </cell>
          <cell r="M282" t="str">
            <v>n/a</v>
          </cell>
          <cell r="Q282" t="str">
            <v>IC: AIA Foreign currency deposits</v>
          </cell>
          <cell r="T282" t="str">
            <v>Deposit and current accounts</v>
          </cell>
          <cell r="U282" t="str">
            <v>Overnight deposists</v>
          </cell>
          <cell r="W282" t="str">
            <v>n/a</v>
          </cell>
          <cell r="X282">
            <v>241050</v>
          </cell>
          <cell r="Y282" t="str">
            <v>n/a</v>
          </cell>
          <cell r="AA282" t="str">
            <v>n/a</v>
          </cell>
        </row>
        <row r="283">
          <cell r="B283" t="str">
            <v>300225</v>
          </cell>
          <cell r="M283" t="str">
            <v>n/a</v>
          </cell>
          <cell r="Q283" t="str">
            <v>Other accounts (liabilities)</v>
          </cell>
          <cell r="T283" t="str">
            <v>Deposit and current accounts</v>
          </cell>
          <cell r="U283" t="str">
            <v>Overnight deposists</v>
          </cell>
          <cell r="W283" t="str">
            <v>n/a</v>
          </cell>
          <cell r="X283">
            <v>241050</v>
          </cell>
          <cell r="Y283" t="str">
            <v>n/a</v>
          </cell>
          <cell r="AA283" t="str">
            <v>n/a</v>
          </cell>
        </row>
        <row r="284">
          <cell r="B284" t="str">
            <v>301420</v>
          </cell>
          <cell r="M284" t="str">
            <v>n/a</v>
          </cell>
          <cell r="Q284" t="str">
            <v>Other accounts (liabilities)</v>
          </cell>
          <cell r="T284" t="str">
            <v>Deposit and current accounts</v>
          </cell>
          <cell r="U284" t="str">
            <v>Overnight deposists</v>
          </cell>
          <cell r="W284" t="str">
            <v>n/a</v>
          </cell>
          <cell r="X284">
            <v>241051</v>
          </cell>
          <cell r="Y284" t="str">
            <v>n/a</v>
          </cell>
          <cell r="AA284" t="str">
            <v>n/a</v>
          </cell>
        </row>
        <row r="285">
          <cell r="B285" t="str">
            <v>300205</v>
          </cell>
          <cell r="M285" t="str">
            <v>n/a</v>
          </cell>
          <cell r="Q285" t="str">
            <v>Not mapped</v>
          </cell>
          <cell r="T285" t="str">
            <v>Deposit and current accounts</v>
          </cell>
          <cell r="U285" t="str">
            <v>Overnight deposists</v>
          </cell>
          <cell r="W285" t="str">
            <v>n/a</v>
          </cell>
          <cell r="X285">
            <v>241050</v>
          </cell>
          <cell r="Y285" t="str">
            <v>n/a</v>
          </cell>
          <cell r="AA285" t="str">
            <v>n/a</v>
          </cell>
        </row>
        <row r="286">
          <cell r="B286" t="str">
            <v>303020</v>
          </cell>
          <cell r="M286" t="str">
            <v>n/a</v>
          </cell>
          <cell r="Q286" t="str">
            <v>IC: AIA Foreign currency deposits</v>
          </cell>
          <cell r="T286" t="str">
            <v>Deposit and current accounts</v>
          </cell>
          <cell r="U286" t="str">
            <v>Overnight deposists</v>
          </cell>
          <cell r="W286" t="str">
            <v>n/a</v>
          </cell>
          <cell r="X286">
            <v>241050</v>
          </cell>
          <cell r="Y286" t="str">
            <v>n/a</v>
          </cell>
          <cell r="AA286" t="str">
            <v>n/a</v>
          </cell>
        </row>
        <row r="287">
          <cell r="B287" t="str">
            <v>237200</v>
          </cell>
          <cell r="M287" t="str">
            <v>n/a</v>
          </cell>
          <cell r="Q287" t="str">
            <v>Not mapped</v>
          </cell>
          <cell r="T287" t="str">
            <v>Deposit and current accounts</v>
          </cell>
          <cell r="U287" t="str">
            <v>Overnight deposists</v>
          </cell>
          <cell r="W287" t="str">
            <v>n/a</v>
          </cell>
          <cell r="X287">
            <v>241050</v>
          </cell>
          <cell r="Y287" t="str">
            <v>n/a</v>
          </cell>
          <cell r="AA287" t="str">
            <v>n/a</v>
          </cell>
        </row>
        <row r="288">
          <cell r="B288" t="str">
            <v>336440</v>
          </cell>
          <cell r="M288" t="str">
            <v>n/a</v>
          </cell>
          <cell r="Q288" t="str">
            <v>IC: AIA Foreign currency deposits</v>
          </cell>
          <cell r="T288" t="str">
            <v>Deposit and current accounts</v>
          </cell>
          <cell r="U288" t="str">
            <v>Overnight deposists</v>
          </cell>
          <cell r="W288" t="str">
            <v>n/a</v>
          </cell>
          <cell r="X288">
            <v>241050</v>
          </cell>
          <cell r="Y288" t="str">
            <v>n/a</v>
          </cell>
          <cell r="AA288" t="str">
            <v>n/a</v>
          </cell>
        </row>
        <row r="289">
          <cell r="B289" t="str">
            <v>336840</v>
          </cell>
          <cell r="M289" t="str">
            <v>n/a</v>
          </cell>
          <cell r="Q289" t="str">
            <v>Other accounts (liabilities)</v>
          </cell>
          <cell r="T289" t="str">
            <v>Deposit and current accounts</v>
          </cell>
          <cell r="U289" t="str">
            <v>Overnight deposists</v>
          </cell>
          <cell r="W289" t="str">
            <v>n/a</v>
          </cell>
          <cell r="X289">
            <v>241050</v>
          </cell>
          <cell r="Y289" t="str">
            <v>n/a</v>
          </cell>
          <cell r="AA289" t="str">
            <v>n/a</v>
          </cell>
        </row>
        <row r="290">
          <cell r="B290" t="str">
            <v>324600</v>
          </cell>
          <cell r="M290" t="str">
            <v>n/a</v>
          </cell>
          <cell r="Q290" t="str">
            <v>Credits in transit</v>
          </cell>
          <cell r="T290" t="str">
            <v>Other creditors and provisions</v>
          </cell>
          <cell r="U290" t="str">
            <v>n/a</v>
          </cell>
          <cell r="W290" t="str">
            <v>n/a</v>
          </cell>
          <cell r="X290">
            <v>236400</v>
          </cell>
          <cell r="Y290" t="str">
            <v>n/a</v>
          </cell>
          <cell r="AA290" t="str">
            <v>n/a</v>
          </cell>
        </row>
        <row r="291">
          <cell r="B291" t="str">
            <v>340000</v>
          </cell>
          <cell r="M291" t="str">
            <v>n/a</v>
          </cell>
          <cell r="Q291" t="str">
            <v>Not mapped</v>
          </cell>
          <cell r="T291" t="str">
            <v>Other creditors and provisions</v>
          </cell>
          <cell r="U291" t="str">
            <v>n/a</v>
          </cell>
          <cell r="W291" t="str">
            <v>n/a</v>
          </cell>
          <cell r="X291">
            <v>241200</v>
          </cell>
          <cell r="Y291" t="str">
            <v>n/a</v>
          </cell>
          <cell r="AA291" t="str">
            <v>n/a</v>
          </cell>
        </row>
        <row r="292">
          <cell r="B292" t="str">
            <v>322300</v>
          </cell>
          <cell r="M292" t="str">
            <v>n/a</v>
          </cell>
          <cell r="Q292" t="str">
            <v>Credits in transit</v>
          </cell>
          <cell r="T292" t="str">
            <v>Other creditors and provisions</v>
          </cell>
          <cell r="U292" t="str">
            <v>n/a</v>
          </cell>
          <cell r="W292" t="str">
            <v>n/a</v>
          </cell>
          <cell r="X292">
            <v>236400</v>
          </cell>
          <cell r="Y292" t="str">
            <v>n/a</v>
          </cell>
          <cell r="AA292" t="str">
            <v>n/a</v>
          </cell>
        </row>
        <row r="293">
          <cell r="B293" t="str">
            <v>114700</v>
          </cell>
          <cell r="M293" t="str">
            <v>n/a</v>
          </cell>
          <cell r="Q293" t="str">
            <v>Other accounts (liabilities)</v>
          </cell>
          <cell r="T293" t="str">
            <v>Other creditors and provisions</v>
          </cell>
          <cell r="U293" t="str">
            <v>n/a</v>
          </cell>
          <cell r="W293" t="str">
            <v>n/a</v>
          </cell>
          <cell r="X293">
            <v>242000</v>
          </cell>
          <cell r="Y293" t="str">
            <v>n/a</v>
          </cell>
          <cell r="AA293" t="str">
            <v>n/a</v>
          </cell>
        </row>
        <row r="294">
          <cell r="B294" t="str">
            <v>327600</v>
          </cell>
          <cell r="M294" t="str">
            <v>n/a</v>
          </cell>
          <cell r="Q294" t="str">
            <v>Other accounts (liabilities)</v>
          </cell>
          <cell r="T294" t="str">
            <v>Other creditors and provisions</v>
          </cell>
          <cell r="U294" t="str">
            <v>n/a</v>
          </cell>
          <cell r="W294" t="str">
            <v>n/a</v>
          </cell>
          <cell r="X294">
            <v>242000</v>
          </cell>
          <cell r="Y294" t="str">
            <v>n/a</v>
          </cell>
          <cell r="AA294" t="str">
            <v>n/a</v>
          </cell>
        </row>
        <row r="295">
          <cell r="B295" t="str">
            <v>306400</v>
          </cell>
          <cell r="M295" t="str">
            <v>n/a</v>
          </cell>
          <cell r="Q295" t="str">
            <v>Other accounts (liabilities)</v>
          </cell>
          <cell r="T295" t="str">
            <v>Other creditors and provisions</v>
          </cell>
          <cell r="U295" t="str">
            <v>n/a</v>
          </cell>
          <cell r="W295" t="str">
            <v>n/a</v>
          </cell>
          <cell r="X295">
            <v>236400</v>
          </cell>
          <cell r="Y295" t="str">
            <v>n/a</v>
          </cell>
          <cell r="AA295" t="str">
            <v>n/a</v>
          </cell>
        </row>
        <row r="296">
          <cell r="B296" t="str">
            <v>316850</v>
          </cell>
          <cell r="M296" t="str">
            <v>n/a</v>
          </cell>
          <cell r="Q296" t="str">
            <v>Other accounts (liabilities)</v>
          </cell>
          <cell r="T296" t="str">
            <v>Other creditors and provisions</v>
          </cell>
          <cell r="U296" t="str">
            <v>n/a</v>
          </cell>
          <cell r="W296" t="str">
            <v>n/a</v>
          </cell>
          <cell r="X296">
            <v>242000</v>
          </cell>
          <cell r="Y296" t="str">
            <v>n/a</v>
          </cell>
          <cell r="AA296" t="str">
            <v>n/a</v>
          </cell>
        </row>
        <row r="297">
          <cell r="B297" t="str">
            <v>319800</v>
          </cell>
          <cell r="M297" t="str">
            <v>n/a</v>
          </cell>
          <cell r="Q297" t="str">
            <v>Other accounts (liabilities)</v>
          </cell>
          <cell r="T297" t="str">
            <v>Other creditors and provisions</v>
          </cell>
          <cell r="U297" t="str">
            <v>n/a</v>
          </cell>
          <cell r="W297" t="str">
            <v>n/a</v>
          </cell>
          <cell r="X297">
            <v>236400</v>
          </cell>
          <cell r="Y297" t="str">
            <v>n/a</v>
          </cell>
          <cell r="AA297" t="str">
            <v>n/a</v>
          </cell>
        </row>
        <row r="298">
          <cell r="B298" t="str">
            <v>319801</v>
          </cell>
          <cell r="M298" t="str">
            <v>n/a</v>
          </cell>
          <cell r="Q298" t="str">
            <v>Other accounts (liabilities)</v>
          </cell>
          <cell r="T298" t="str">
            <v>Other creditors and provisions</v>
          </cell>
          <cell r="U298" t="str">
            <v>n/a</v>
          </cell>
          <cell r="W298" t="str">
            <v>n/a</v>
          </cell>
          <cell r="X298">
            <v>236400</v>
          </cell>
          <cell r="Y298" t="str">
            <v>n/a</v>
          </cell>
          <cell r="AA298" t="str">
            <v>n/a</v>
          </cell>
        </row>
        <row r="299">
          <cell r="B299" t="str">
            <v>321501</v>
          </cell>
          <cell r="M299" t="str">
            <v>n/a</v>
          </cell>
          <cell r="Q299" t="str">
            <v>Other accounts (liabilities)</v>
          </cell>
          <cell r="T299" t="str">
            <v>Other creditors and provisions</v>
          </cell>
          <cell r="U299" t="str">
            <v>n/a</v>
          </cell>
          <cell r="W299" t="str">
            <v>n/a</v>
          </cell>
          <cell r="X299">
            <v>236405</v>
          </cell>
          <cell r="Y299" t="str">
            <v>n/a</v>
          </cell>
          <cell r="AA299" t="str">
            <v>n/a</v>
          </cell>
        </row>
        <row r="300">
          <cell r="B300" t="str">
            <v>322200</v>
          </cell>
          <cell r="M300" t="str">
            <v>n/a</v>
          </cell>
          <cell r="Q300" t="str">
            <v>Other accounts (liabilities)</v>
          </cell>
          <cell r="T300" t="str">
            <v>Other creditors and provisions</v>
          </cell>
          <cell r="U300" t="str">
            <v>n/a</v>
          </cell>
          <cell r="W300" t="str">
            <v>n/a</v>
          </cell>
          <cell r="X300">
            <v>236400</v>
          </cell>
          <cell r="Y300" t="str">
            <v>n/a</v>
          </cell>
          <cell r="AA300" t="str">
            <v>n/a</v>
          </cell>
        </row>
        <row r="301">
          <cell r="B301" t="str">
            <v>322201</v>
          </cell>
          <cell r="M301" t="str">
            <v>n/a</v>
          </cell>
          <cell r="Q301" t="str">
            <v>Other accounts (liabilities)</v>
          </cell>
          <cell r="T301" t="str">
            <v>Other creditors and provisions</v>
          </cell>
          <cell r="U301" t="str">
            <v>n/a</v>
          </cell>
          <cell r="W301" t="str">
            <v>n/a</v>
          </cell>
          <cell r="X301">
            <v>236400</v>
          </cell>
          <cell r="Y301" t="str">
            <v>n/a</v>
          </cell>
          <cell r="AA301" t="str">
            <v>n/a</v>
          </cell>
        </row>
        <row r="302">
          <cell r="B302" t="str">
            <v>327700</v>
          </cell>
          <cell r="M302" t="str">
            <v>n/a</v>
          </cell>
          <cell r="Q302" t="str">
            <v>Other accounts (liabilities)</v>
          </cell>
          <cell r="T302" t="str">
            <v>Other creditors and provisions</v>
          </cell>
          <cell r="U302" t="str">
            <v>n/a</v>
          </cell>
          <cell r="W302" t="str">
            <v>n/a</v>
          </cell>
          <cell r="X302">
            <v>236400</v>
          </cell>
          <cell r="Y302" t="str">
            <v>n/a</v>
          </cell>
          <cell r="AA302" t="str">
            <v>n/a</v>
          </cell>
        </row>
        <row r="303">
          <cell r="B303" t="str">
            <v>327800</v>
          </cell>
          <cell r="M303" t="str">
            <v>n/a</v>
          </cell>
          <cell r="Q303" t="str">
            <v>Other accounts (liabilities)</v>
          </cell>
          <cell r="T303" t="str">
            <v>Other creditors and provisions</v>
          </cell>
          <cell r="U303" t="str">
            <v>n/a</v>
          </cell>
          <cell r="W303" t="str">
            <v>n/a</v>
          </cell>
          <cell r="X303">
            <v>236400</v>
          </cell>
          <cell r="Y303" t="str">
            <v>n/a</v>
          </cell>
          <cell r="AA303" t="str">
            <v>n/a</v>
          </cell>
        </row>
        <row r="304">
          <cell r="B304" t="str">
            <v>300100</v>
          </cell>
          <cell r="M304" t="str">
            <v>n/a</v>
          </cell>
          <cell r="Q304" t="str">
            <v>Other accounts (liabilities)</v>
          </cell>
          <cell r="T304" t="str">
            <v>Other creditors and provisions</v>
          </cell>
          <cell r="U304" t="str">
            <v>n/a</v>
          </cell>
          <cell r="W304" t="str">
            <v>n/a</v>
          </cell>
          <cell r="X304">
            <v>236400</v>
          </cell>
          <cell r="Y304" t="str">
            <v>n/a</v>
          </cell>
          <cell r="AA304" t="str">
            <v>n/a</v>
          </cell>
        </row>
        <row r="305">
          <cell r="B305" t="str">
            <v>312500</v>
          </cell>
          <cell r="M305" t="str">
            <v>n/a</v>
          </cell>
          <cell r="Q305" t="str">
            <v>Other accounts (liabilities)</v>
          </cell>
          <cell r="T305" t="str">
            <v>Other creditors and provisions</v>
          </cell>
          <cell r="U305" t="str">
            <v>n/a</v>
          </cell>
          <cell r="W305" t="str">
            <v>n/a</v>
          </cell>
          <cell r="X305">
            <v>236400</v>
          </cell>
          <cell r="Y305" t="str">
            <v>n/a</v>
          </cell>
          <cell r="AA305" t="str">
            <v>n/a</v>
          </cell>
        </row>
        <row r="306">
          <cell r="B306" t="str">
            <v>317550</v>
          </cell>
          <cell r="M306" t="str">
            <v>n/a</v>
          </cell>
          <cell r="Q306" t="str">
            <v>Other accounts (liabilities)</v>
          </cell>
          <cell r="T306" t="str">
            <v>Other creditors and provisions</v>
          </cell>
          <cell r="U306" t="str">
            <v>n/a</v>
          </cell>
          <cell r="W306" t="str">
            <v>n/a</v>
          </cell>
          <cell r="X306">
            <v>236400</v>
          </cell>
          <cell r="Y306" t="str">
            <v>n/a</v>
          </cell>
          <cell r="AA306" t="str">
            <v>n/a</v>
          </cell>
        </row>
        <row r="307">
          <cell r="B307" t="str">
            <v>326304</v>
          </cell>
          <cell r="M307" t="str">
            <v>n/a</v>
          </cell>
          <cell r="Q307" t="str">
            <v>Credits in transit</v>
          </cell>
          <cell r="T307" t="str">
            <v>Other creditors and provisions</v>
          </cell>
          <cell r="U307" t="str">
            <v>n/a</v>
          </cell>
          <cell r="W307" t="str">
            <v>n/a</v>
          </cell>
          <cell r="X307">
            <v>236400</v>
          </cell>
          <cell r="Y307" t="str">
            <v>n/a</v>
          </cell>
          <cell r="AA307" t="str">
            <v>n/a</v>
          </cell>
        </row>
        <row r="308">
          <cell r="B308" t="str">
            <v>318800</v>
          </cell>
          <cell r="M308" t="str">
            <v>n/a</v>
          </cell>
          <cell r="Q308" t="str">
            <v>Other accounts (liabilities)</v>
          </cell>
          <cell r="T308" t="str">
            <v>Other creditors and provisions</v>
          </cell>
          <cell r="U308" t="str">
            <v>n/a</v>
          </cell>
          <cell r="W308" t="str">
            <v>n/a</v>
          </cell>
          <cell r="X308">
            <v>236400</v>
          </cell>
          <cell r="Y308" t="str">
            <v>n/a</v>
          </cell>
          <cell r="AA308" t="str">
            <v>n/a</v>
          </cell>
        </row>
        <row r="309">
          <cell r="B309" t="str">
            <v>319400</v>
          </cell>
          <cell r="M309" t="str">
            <v>n/a</v>
          </cell>
          <cell r="Q309" t="str">
            <v>Other accounts (liabilities)</v>
          </cell>
          <cell r="T309" t="str">
            <v>Other creditors and provisions</v>
          </cell>
          <cell r="U309" t="str">
            <v>n/a</v>
          </cell>
          <cell r="W309" t="str">
            <v>n/a</v>
          </cell>
          <cell r="X309">
            <v>236400</v>
          </cell>
          <cell r="Y309" t="str">
            <v>n/a</v>
          </cell>
          <cell r="AA309" t="str">
            <v>n/a</v>
          </cell>
        </row>
        <row r="310">
          <cell r="B310" t="str">
            <v>300175</v>
          </cell>
          <cell r="M310" t="str">
            <v>n/a</v>
          </cell>
          <cell r="Q310" t="str">
            <v>Not mapped</v>
          </cell>
          <cell r="T310" t="str">
            <v>Other creditors and provisions</v>
          </cell>
          <cell r="U310" t="str">
            <v>n/a</v>
          </cell>
          <cell r="W310" t="str">
            <v>n/a</v>
          </cell>
          <cell r="X310">
            <v>236400</v>
          </cell>
          <cell r="Y310" t="str">
            <v>n/a</v>
          </cell>
          <cell r="AA310" t="str">
            <v>n/a</v>
          </cell>
        </row>
        <row r="311">
          <cell r="B311" t="str">
            <v>3200</v>
          </cell>
          <cell r="M311" t="str">
            <v>n/a</v>
          </cell>
          <cell r="Q311" t="str">
            <v>Credits in transit</v>
          </cell>
          <cell r="T311" t="str">
            <v>Other creditors and provisions</v>
          </cell>
          <cell r="U311" t="str">
            <v>n/a</v>
          </cell>
          <cell r="W311" t="str">
            <v>n/a</v>
          </cell>
          <cell r="X311">
            <v>235900</v>
          </cell>
          <cell r="Y311" t="str">
            <v>n/a</v>
          </cell>
          <cell r="AA311" t="str">
            <v>n/a</v>
          </cell>
        </row>
        <row r="312">
          <cell r="B312" t="str">
            <v>113001</v>
          </cell>
          <cell r="M312" t="str">
            <v>n/a</v>
          </cell>
          <cell r="Q312" t="str">
            <v>Credits in transit</v>
          </cell>
          <cell r="T312" t="str">
            <v>Other creditors and provisions</v>
          </cell>
          <cell r="U312" t="str">
            <v>n/a</v>
          </cell>
          <cell r="W312" t="str">
            <v>n/a</v>
          </cell>
          <cell r="X312">
            <v>235900</v>
          </cell>
          <cell r="Y312" t="str">
            <v>n/a</v>
          </cell>
          <cell r="AA312" t="str">
            <v>n/a</v>
          </cell>
        </row>
        <row r="313">
          <cell r="B313" t="str">
            <v>240100</v>
          </cell>
          <cell r="M313" t="str">
            <v>n/a</v>
          </cell>
          <cell r="Q313" t="str">
            <v>Credits in transit</v>
          </cell>
          <cell r="T313" t="str">
            <v>Other creditors and provisions</v>
          </cell>
          <cell r="U313" t="str">
            <v>n/a</v>
          </cell>
          <cell r="W313" t="str">
            <v>n/a</v>
          </cell>
          <cell r="X313">
            <v>235900</v>
          </cell>
          <cell r="Y313" t="str">
            <v>n/a</v>
          </cell>
          <cell r="AA313" t="str">
            <v>n/a</v>
          </cell>
        </row>
        <row r="314">
          <cell r="B314" t="str">
            <v>308800</v>
          </cell>
          <cell r="M314" t="str">
            <v>n/a</v>
          </cell>
          <cell r="Q314" t="str">
            <v>Credits in transit</v>
          </cell>
          <cell r="T314" t="str">
            <v>Other creditors and provisions</v>
          </cell>
          <cell r="U314" t="str">
            <v>n/a</v>
          </cell>
          <cell r="W314" t="str">
            <v>n/a</v>
          </cell>
          <cell r="X314">
            <v>235900</v>
          </cell>
          <cell r="Y314" t="str">
            <v>n/a</v>
          </cell>
          <cell r="AA314" t="str">
            <v>n/a</v>
          </cell>
        </row>
        <row r="315">
          <cell r="B315" t="str">
            <v>328770</v>
          </cell>
          <cell r="M315" t="str">
            <v>n/a</v>
          </cell>
          <cell r="Q315" t="str">
            <v>Other accounts (liabilities)</v>
          </cell>
          <cell r="T315" t="str">
            <v>Other creditors and provisions</v>
          </cell>
          <cell r="U315" t="str">
            <v>n/a</v>
          </cell>
          <cell r="W315" t="str">
            <v>n/a</v>
          </cell>
          <cell r="X315">
            <v>235905</v>
          </cell>
          <cell r="Y315" t="str">
            <v>n/a</v>
          </cell>
          <cell r="AA315" t="str">
            <v>n/a</v>
          </cell>
        </row>
        <row r="316">
          <cell r="B316" t="str">
            <v>3100</v>
          </cell>
          <cell r="M316" t="str">
            <v>n/a</v>
          </cell>
          <cell r="Q316" t="str">
            <v>Credits in transit</v>
          </cell>
          <cell r="T316" t="str">
            <v>Other creditors and provisions</v>
          </cell>
          <cell r="U316" t="str">
            <v>n/a</v>
          </cell>
          <cell r="W316" t="str">
            <v>n/a</v>
          </cell>
          <cell r="X316">
            <v>235805</v>
          </cell>
          <cell r="Y316" t="str">
            <v>n/a</v>
          </cell>
          <cell r="AA316" t="str">
            <v>n/a</v>
          </cell>
        </row>
        <row r="317">
          <cell r="B317" t="str">
            <v>303300</v>
          </cell>
          <cell r="M317" t="str">
            <v>n/a</v>
          </cell>
          <cell r="Q317" t="str">
            <v>Credits in transit</v>
          </cell>
          <cell r="T317" t="str">
            <v>Other creditors and provisions</v>
          </cell>
          <cell r="U317" t="str">
            <v>n/a</v>
          </cell>
          <cell r="W317" t="str">
            <v>n/a</v>
          </cell>
          <cell r="X317">
            <v>235805</v>
          </cell>
          <cell r="Y317" t="str">
            <v>n/a</v>
          </cell>
          <cell r="AA317" t="str">
            <v>n/a</v>
          </cell>
        </row>
        <row r="318">
          <cell r="B318" t="str">
            <v>303400</v>
          </cell>
          <cell r="M318" t="str">
            <v>n/a</v>
          </cell>
          <cell r="Q318" t="str">
            <v>Credits in transit</v>
          </cell>
          <cell r="T318" t="str">
            <v>Other creditors and provisions</v>
          </cell>
          <cell r="U318" t="str">
            <v>n/a</v>
          </cell>
          <cell r="W318" t="str">
            <v>n/a</v>
          </cell>
          <cell r="X318">
            <v>235805</v>
          </cell>
          <cell r="Y318" t="str">
            <v>n/a</v>
          </cell>
          <cell r="AA318" t="str">
            <v>n/a</v>
          </cell>
        </row>
        <row r="319">
          <cell r="B319" t="str">
            <v>304800</v>
          </cell>
          <cell r="M319" t="str">
            <v>n/a</v>
          </cell>
          <cell r="Q319" t="str">
            <v>Credits in transit</v>
          </cell>
          <cell r="T319" t="str">
            <v>Other creditors and provisions</v>
          </cell>
          <cell r="U319" t="str">
            <v>n/a</v>
          </cell>
          <cell r="W319" t="str">
            <v>n/a</v>
          </cell>
          <cell r="X319">
            <v>235805</v>
          </cell>
          <cell r="Y319" t="str">
            <v>n/a</v>
          </cell>
          <cell r="AA319" t="str">
            <v>n/a</v>
          </cell>
        </row>
        <row r="320">
          <cell r="B320" t="str">
            <v>306108</v>
          </cell>
          <cell r="M320" t="str">
            <v>n/a</v>
          </cell>
          <cell r="Q320" t="str">
            <v>Credits in transit</v>
          </cell>
          <cell r="T320" t="str">
            <v>Other creditors and provisions</v>
          </cell>
          <cell r="U320" t="str">
            <v>n/a</v>
          </cell>
          <cell r="W320" t="str">
            <v>n/a</v>
          </cell>
          <cell r="X320">
            <v>235800</v>
          </cell>
          <cell r="Y320" t="str">
            <v>n/a</v>
          </cell>
          <cell r="AA320" t="str">
            <v>n/a</v>
          </cell>
        </row>
        <row r="321">
          <cell r="B321" t="str">
            <v>310300</v>
          </cell>
          <cell r="M321" t="str">
            <v>n/a</v>
          </cell>
          <cell r="Q321" t="str">
            <v>Credits in transit</v>
          </cell>
          <cell r="T321" t="str">
            <v>Other creditors and provisions</v>
          </cell>
          <cell r="U321" t="str">
            <v>n/a</v>
          </cell>
          <cell r="W321" t="str">
            <v>n/a</v>
          </cell>
          <cell r="X321">
            <v>235805</v>
          </cell>
          <cell r="Y321" t="str">
            <v>n/a</v>
          </cell>
          <cell r="AA321" t="str">
            <v>n/a</v>
          </cell>
        </row>
        <row r="322">
          <cell r="B322" t="str">
            <v>318300</v>
          </cell>
          <cell r="M322" t="str">
            <v>n/a</v>
          </cell>
          <cell r="Q322" t="str">
            <v>Credits in transit</v>
          </cell>
          <cell r="T322" t="str">
            <v>Other creditors and provisions</v>
          </cell>
          <cell r="U322" t="str">
            <v>n/a</v>
          </cell>
          <cell r="W322" t="str">
            <v>n/a</v>
          </cell>
          <cell r="X322">
            <v>235805</v>
          </cell>
          <cell r="Y322" t="str">
            <v>n/a</v>
          </cell>
          <cell r="AA322" t="str">
            <v>n/a</v>
          </cell>
        </row>
        <row r="323">
          <cell r="B323" t="str">
            <v>318500</v>
          </cell>
          <cell r="M323" t="str">
            <v>n/a</v>
          </cell>
          <cell r="Q323" t="str">
            <v>Credits in transit</v>
          </cell>
          <cell r="T323" t="str">
            <v>Other creditors and provisions</v>
          </cell>
          <cell r="U323" t="str">
            <v>n/a</v>
          </cell>
          <cell r="W323" t="str">
            <v>n/a</v>
          </cell>
          <cell r="X323">
            <v>235810</v>
          </cell>
          <cell r="Y323" t="str">
            <v>n/a</v>
          </cell>
          <cell r="AA323" t="str">
            <v>n/a</v>
          </cell>
        </row>
        <row r="324">
          <cell r="B324" t="str">
            <v>300025</v>
          </cell>
          <cell r="M324" t="str">
            <v>n/a</v>
          </cell>
          <cell r="Q324" t="str">
            <v>Other accounts (liabilities)</v>
          </cell>
          <cell r="T324" t="str">
            <v>Other creditors and provisions</v>
          </cell>
          <cell r="U324" t="str">
            <v>n/a</v>
          </cell>
          <cell r="W324" t="str">
            <v>n/a</v>
          </cell>
          <cell r="X324">
            <v>235600</v>
          </cell>
          <cell r="Y324" t="str">
            <v>n/a</v>
          </cell>
          <cell r="AA324" t="str">
            <v>n/a</v>
          </cell>
        </row>
        <row r="325">
          <cell r="B325" t="str">
            <v>313200</v>
          </cell>
          <cell r="M325" t="str">
            <v>n/a</v>
          </cell>
          <cell r="Q325" t="str">
            <v>Other accounts (liabilities)</v>
          </cell>
          <cell r="T325" t="str">
            <v>Other creditors and provisions</v>
          </cell>
          <cell r="U325" t="str">
            <v>n/a</v>
          </cell>
          <cell r="W325" t="str">
            <v>n/a</v>
          </cell>
          <cell r="X325">
            <v>236400</v>
          </cell>
          <cell r="Y325" t="str">
            <v>n/a</v>
          </cell>
          <cell r="AA325" t="str">
            <v>n/a</v>
          </cell>
        </row>
        <row r="326">
          <cell r="B326" t="str">
            <v>313800</v>
          </cell>
          <cell r="M326" t="str">
            <v>n/a</v>
          </cell>
          <cell r="Q326" t="str">
            <v>Other accounts (liabilities)</v>
          </cell>
          <cell r="T326" t="str">
            <v>Other creditors and provisions</v>
          </cell>
          <cell r="U326" t="str">
            <v>n/a</v>
          </cell>
          <cell r="W326" t="str">
            <v>n/a</v>
          </cell>
          <cell r="X326">
            <v>235600</v>
          </cell>
          <cell r="Y326" t="str">
            <v>n/a</v>
          </cell>
          <cell r="AA326" t="str">
            <v>n/a</v>
          </cell>
        </row>
        <row r="327">
          <cell r="B327" t="str">
            <v>314100</v>
          </cell>
          <cell r="M327" t="str">
            <v>n/a</v>
          </cell>
          <cell r="Q327" t="str">
            <v>Other accounts (liabilities)</v>
          </cell>
          <cell r="T327" t="str">
            <v>Other creditors and provisions</v>
          </cell>
          <cell r="U327" t="str">
            <v>n/a</v>
          </cell>
          <cell r="W327" t="str">
            <v>n/a</v>
          </cell>
          <cell r="X327">
            <v>235600</v>
          </cell>
          <cell r="Y327" t="str">
            <v>n/a</v>
          </cell>
          <cell r="AA327" t="str">
            <v>n/a</v>
          </cell>
        </row>
        <row r="328">
          <cell r="B328" t="str">
            <v>314900</v>
          </cell>
          <cell r="M328" t="str">
            <v>n/a</v>
          </cell>
          <cell r="Q328" t="str">
            <v>Other accounts (liabilities)</v>
          </cell>
          <cell r="T328" t="str">
            <v>Other creditors and provisions</v>
          </cell>
          <cell r="U328" t="str">
            <v>n/a</v>
          </cell>
          <cell r="W328" t="str">
            <v>n/a</v>
          </cell>
          <cell r="X328">
            <v>236400</v>
          </cell>
          <cell r="Y328" t="str">
            <v>n/a</v>
          </cell>
          <cell r="AA328" t="str">
            <v>n/a</v>
          </cell>
        </row>
        <row r="329">
          <cell r="B329" t="str">
            <v>327170</v>
          </cell>
          <cell r="M329" t="str">
            <v>n/a</v>
          </cell>
          <cell r="Q329" t="str">
            <v>Other accounts (liabilities)</v>
          </cell>
          <cell r="T329" t="str">
            <v>Other creditors and provisions</v>
          </cell>
          <cell r="U329" t="str">
            <v>n/a</v>
          </cell>
          <cell r="W329" t="str">
            <v>n/a</v>
          </cell>
          <cell r="X329">
            <v>235300</v>
          </cell>
          <cell r="Y329" t="str">
            <v>n/a</v>
          </cell>
          <cell r="AA329" t="str">
            <v>n/a</v>
          </cell>
        </row>
        <row r="330">
          <cell r="B330" t="str">
            <v>121500</v>
          </cell>
          <cell r="M330" t="str">
            <v>n/a</v>
          </cell>
          <cell r="Q330" t="str">
            <v>Other accounts (liabilities)</v>
          </cell>
          <cell r="T330" t="str">
            <v>Other creditors and provisions</v>
          </cell>
          <cell r="U330" t="str">
            <v>n/a</v>
          </cell>
          <cell r="W330" t="str">
            <v>n/a</v>
          </cell>
          <cell r="X330">
            <v>242200</v>
          </cell>
          <cell r="Y330" t="str">
            <v>n/a</v>
          </cell>
          <cell r="AA330" t="str">
            <v>n/a</v>
          </cell>
        </row>
        <row r="331">
          <cell r="B331" t="str">
            <v>121600</v>
          </cell>
          <cell r="M331" t="str">
            <v>n/a</v>
          </cell>
          <cell r="Q331" t="str">
            <v>Other accounts (liabilities)</v>
          </cell>
          <cell r="T331" t="str">
            <v>Other creditors and provisions</v>
          </cell>
          <cell r="U331" t="str">
            <v>n/a</v>
          </cell>
          <cell r="W331" t="str">
            <v>n/a</v>
          </cell>
          <cell r="X331">
            <v>242200</v>
          </cell>
          <cell r="Y331" t="str">
            <v>n/a</v>
          </cell>
          <cell r="AA331" t="str">
            <v>n/a</v>
          </cell>
        </row>
        <row r="332">
          <cell r="B332" t="str">
            <v>331700</v>
          </cell>
          <cell r="M332" t="str">
            <v>n/a</v>
          </cell>
          <cell r="Q332" t="str">
            <v>Other accounts (liabilities)</v>
          </cell>
          <cell r="T332" t="str">
            <v>Other creditors and provisions</v>
          </cell>
          <cell r="U332" t="str">
            <v>n/a</v>
          </cell>
          <cell r="W332" t="str">
            <v>n/a</v>
          </cell>
          <cell r="X332">
            <v>235400</v>
          </cell>
          <cell r="Y332" t="str">
            <v>n/a</v>
          </cell>
          <cell r="AA332" t="str">
            <v>n/a</v>
          </cell>
        </row>
        <row r="333">
          <cell r="B333" t="str">
            <v>65400</v>
          </cell>
          <cell r="M333" t="str">
            <v>n/a</v>
          </cell>
          <cell r="Q333" t="str">
            <v>Other accounts (liabilities)</v>
          </cell>
          <cell r="T333" t="str">
            <v>Other creditors and provisions</v>
          </cell>
          <cell r="U333" t="str">
            <v>n/a</v>
          </cell>
          <cell r="W333" t="str">
            <v>n/a</v>
          </cell>
          <cell r="X333">
            <v>236405</v>
          </cell>
          <cell r="Y333" t="str">
            <v>n/a</v>
          </cell>
          <cell r="AA333" t="str">
            <v>n/a</v>
          </cell>
        </row>
        <row r="334">
          <cell r="B334" t="str">
            <v>300015</v>
          </cell>
          <cell r="M334" t="str">
            <v>n/a</v>
          </cell>
          <cell r="Q334" t="str">
            <v>Credits in transit</v>
          </cell>
          <cell r="T334" t="str">
            <v>Other creditors and provisions</v>
          </cell>
          <cell r="U334" t="str">
            <v>n/a</v>
          </cell>
          <cell r="W334" t="str">
            <v>n/a</v>
          </cell>
          <cell r="X334">
            <v>235400</v>
          </cell>
          <cell r="Y334" t="str">
            <v>n/a</v>
          </cell>
          <cell r="AA334" t="str">
            <v>n/a</v>
          </cell>
        </row>
        <row r="335">
          <cell r="B335" t="str">
            <v>303800</v>
          </cell>
          <cell r="M335" t="str">
            <v>n/a</v>
          </cell>
          <cell r="Q335" t="str">
            <v>Other accounts (liabilities)</v>
          </cell>
          <cell r="T335" t="str">
            <v>Other creditors and provisions</v>
          </cell>
          <cell r="U335" t="str">
            <v>n/a</v>
          </cell>
          <cell r="W335" t="str">
            <v>n/a</v>
          </cell>
          <cell r="X335">
            <v>236400</v>
          </cell>
          <cell r="Y335" t="str">
            <v>n/a</v>
          </cell>
          <cell r="AA335" t="str">
            <v>n/a</v>
          </cell>
        </row>
        <row r="336">
          <cell r="B336" t="str">
            <v>304040</v>
          </cell>
          <cell r="M336" t="str">
            <v>n/a</v>
          </cell>
          <cell r="Q336" t="str">
            <v>Other accounts (liabilities)</v>
          </cell>
          <cell r="T336" t="str">
            <v>Other creditors and provisions</v>
          </cell>
          <cell r="U336" t="str">
            <v>n/a</v>
          </cell>
          <cell r="W336" t="str">
            <v>n/a</v>
          </cell>
          <cell r="X336">
            <v>236400</v>
          </cell>
          <cell r="Y336" t="str">
            <v>n/a</v>
          </cell>
          <cell r="AA336" t="str">
            <v>n/a</v>
          </cell>
        </row>
        <row r="337">
          <cell r="B337" t="str">
            <v>305000</v>
          </cell>
          <cell r="M337" t="str">
            <v>n/a</v>
          </cell>
          <cell r="Q337" t="str">
            <v>Other accounts (liabilities)</v>
          </cell>
          <cell r="T337" t="str">
            <v>Other creditors and provisions</v>
          </cell>
          <cell r="U337" t="str">
            <v>n/a</v>
          </cell>
          <cell r="W337" t="str">
            <v>n/a</v>
          </cell>
          <cell r="X337">
            <v>236400</v>
          </cell>
          <cell r="Y337" t="str">
            <v>n/a</v>
          </cell>
          <cell r="AA337" t="str">
            <v>n/a</v>
          </cell>
        </row>
        <row r="338">
          <cell r="B338" t="str">
            <v>317300</v>
          </cell>
          <cell r="M338" t="str">
            <v>n/a</v>
          </cell>
          <cell r="Q338" t="str">
            <v>Other accounts (liabilities)</v>
          </cell>
          <cell r="T338" t="str">
            <v>Other creditors and provisions</v>
          </cell>
          <cell r="U338" t="str">
            <v>n/a</v>
          </cell>
          <cell r="W338" t="str">
            <v>n/a</v>
          </cell>
          <cell r="X338">
            <v>236400</v>
          </cell>
          <cell r="Y338" t="str">
            <v>n/a</v>
          </cell>
          <cell r="AA338" t="str">
            <v>n/a</v>
          </cell>
        </row>
        <row r="339">
          <cell r="B339" t="str">
            <v>319950</v>
          </cell>
          <cell r="M339" t="str">
            <v>n/a</v>
          </cell>
          <cell r="Q339" t="str">
            <v>Credits in transit</v>
          </cell>
          <cell r="T339" t="str">
            <v>Other creditors and provisions</v>
          </cell>
          <cell r="U339" t="str">
            <v>n/a</v>
          </cell>
          <cell r="W339" t="str">
            <v>n/a</v>
          </cell>
          <cell r="X339">
            <v>236400</v>
          </cell>
          <cell r="Y339" t="str">
            <v>n/a</v>
          </cell>
          <cell r="AA339" t="str">
            <v>n/a</v>
          </cell>
        </row>
        <row r="340">
          <cell r="B340" t="str">
            <v>320100</v>
          </cell>
          <cell r="M340" t="str">
            <v>n/a</v>
          </cell>
          <cell r="Q340" t="str">
            <v>Credits in transit</v>
          </cell>
          <cell r="T340" t="str">
            <v>Other creditors and provisions</v>
          </cell>
          <cell r="U340" t="str">
            <v>n/a</v>
          </cell>
          <cell r="W340" t="str">
            <v>n/a</v>
          </cell>
          <cell r="X340">
            <v>236400</v>
          </cell>
          <cell r="Y340" t="str">
            <v>n/a</v>
          </cell>
          <cell r="AA340" t="str">
            <v>n/a</v>
          </cell>
        </row>
        <row r="341">
          <cell r="B341" t="str">
            <v>320200</v>
          </cell>
          <cell r="M341" t="str">
            <v>n/a</v>
          </cell>
          <cell r="Q341" t="str">
            <v>Credits in transit</v>
          </cell>
          <cell r="T341" t="str">
            <v>Other creditors and provisions</v>
          </cell>
          <cell r="U341" t="str">
            <v>n/a</v>
          </cell>
          <cell r="W341" t="str">
            <v>n/a</v>
          </cell>
          <cell r="X341">
            <v>236400</v>
          </cell>
          <cell r="Y341" t="str">
            <v>n/a</v>
          </cell>
          <cell r="AA341" t="str">
            <v>n/a</v>
          </cell>
        </row>
        <row r="342">
          <cell r="B342" t="str">
            <v>320600</v>
          </cell>
          <cell r="M342" t="str">
            <v>n/a</v>
          </cell>
          <cell r="Q342" t="str">
            <v>Credits in transit</v>
          </cell>
          <cell r="T342" t="str">
            <v>Other creditors and provisions</v>
          </cell>
          <cell r="U342" t="str">
            <v>n/a</v>
          </cell>
          <cell r="W342" t="str">
            <v>n/a</v>
          </cell>
          <cell r="X342">
            <v>236400</v>
          </cell>
          <cell r="Y342" t="str">
            <v>n/a</v>
          </cell>
          <cell r="AA342" t="str">
            <v>n/a</v>
          </cell>
        </row>
        <row r="343">
          <cell r="B343" t="str">
            <v>326600</v>
          </cell>
          <cell r="M343" t="str">
            <v>n/a</v>
          </cell>
          <cell r="Q343" t="str">
            <v>Other accounts (liabilities)</v>
          </cell>
          <cell r="T343" t="str">
            <v>Other creditors and provisions</v>
          </cell>
          <cell r="U343" t="str">
            <v>n/a</v>
          </cell>
          <cell r="W343" t="str">
            <v>n/a</v>
          </cell>
          <cell r="X343">
            <v>236405</v>
          </cell>
          <cell r="Y343" t="str">
            <v>n/a</v>
          </cell>
          <cell r="AA343" t="str">
            <v>n/a</v>
          </cell>
        </row>
        <row r="344">
          <cell r="B344" t="str">
            <v>327070</v>
          </cell>
          <cell r="M344" t="str">
            <v>n/a</v>
          </cell>
          <cell r="Q344" t="str">
            <v>Other accounts (liabilities)</v>
          </cell>
          <cell r="T344" t="str">
            <v>Other creditors and provisions</v>
          </cell>
          <cell r="U344" t="str">
            <v>n/a</v>
          </cell>
          <cell r="W344" t="str">
            <v>n/a</v>
          </cell>
          <cell r="X344">
            <v>236405</v>
          </cell>
          <cell r="Y344" t="str">
            <v>n/a</v>
          </cell>
          <cell r="AA344" t="str">
            <v>n/a</v>
          </cell>
        </row>
        <row r="345">
          <cell r="B345" t="str">
            <v>330070</v>
          </cell>
          <cell r="M345" t="str">
            <v>n/a</v>
          </cell>
          <cell r="Q345" t="str">
            <v>Other accounts (liabilities)</v>
          </cell>
          <cell r="T345" t="str">
            <v>Other creditors and provisions</v>
          </cell>
          <cell r="U345" t="str">
            <v>n/a</v>
          </cell>
          <cell r="W345" t="str">
            <v>n/a</v>
          </cell>
          <cell r="Y345" t="str">
            <v>n/a</v>
          </cell>
          <cell r="AA345" t="str">
            <v>n/a</v>
          </cell>
        </row>
        <row r="346">
          <cell r="B346" t="str">
            <v>249800</v>
          </cell>
          <cell r="M346" t="str">
            <v>n/a</v>
          </cell>
          <cell r="Q346" t="str">
            <v>SBSA: Nostro account</v>
          </cell>
          <cell r="T346" t="str">
            <v>Other creditors and provisions</v>
          </cell>
          <cell r="U346" t="str">
            <v>n/a</v>
          </cell>
          <cell r="W346" t="str">
            <v>n/a</v>
          </cell>
          <cell r="X346">
            <v>241200</v>
          </cell>
          <cell r="Y346" t="str">
            <v>n/a</v>
          </cell>
          <cell r="AA346" t="str">
            <v>n/a</v>
          </cell>
        </row>
        <row r="347">
          <cell r="B347" t="str">
            <v>280570</v>
          </cell>
          <cell r="M347" t="str">
            <v>n/a</v>
          </cell>
          <cell r="Q347" t="str">
            <v>Other accounts (liabilities)</v>
          </cell>
          <cell r="T347" t="str">
            <v>Other creditors and provisions</v>
          </cell>
          <cell r="U347" t="str">
            <v>n/a</v>
          </cell>
          <cell r="W347" t="str">
            <v>n/a</v>
          </cell>
          <cell r="X347">
            <v>241200</v>
          </cell>
          <cell r="Y347" t="str">
            <v>n/a</v>
          </cell>
          <cell r="AA347" t="str">
            <v>n/a</v>
          </cell>
        </row>
        <row r="348">
          <cell r="B348" t="str">
            <v>280571</v>
          </cell>
          <cell r="M348" t="str">
            <v>n/a</v>
          </cell>
          <cell r="Q348" t="str">
            <v>Other accounts (liabilities)</v>
          </cell>
          <cell r="T348" t="str">
            <v>Other creditors and provisions</v>
          </cell>
          <cell r="U348" t="str">
            <v>n/a</v>
          </cell>
          <cell r="W348" t="str">
            <v>n/a</v>
          </cell>
          <cell r="X348">
            <v>241200</v>
          </cell>
          <cell r="Y348" t="str">
            <v>n/a</v>
          </cell>
          <cell r="AA348" t="str">
            <v>n/a</v>
          </cell>
        </row>
        <row r="349">
          <cell r="B349" t="str">
            <v>319300</v>
          </cell>
          <cell r="M349" t="str">
            <v>n/a</v>
          </cell>
          <cell r="Q349" t="str">
            <v>Other accounts (liabilities)</v>
          </cell>
          <cell r="T349" t="str">
            <v>Other creditors and provisions</v>
          </cell>
          <cell r="U349" t="str">
            <v>n/a</v>
          </cell>
          <cell r="W349" t="str">
            <v>n/a</v>
          </cell>
          <cell r="X349">
            <v>241100</v>
          </cell>
          <cell r="Y349" t="str">
            <v>n/a</v>
          </cell>
          <cell r="AA349" t="str">
            <v>n/a</v>
          </cell>
        </row>
        <row r="350">
          <cell r="B350" t="str">
            <v>253760</v>
          </cell>
          <cell r="M350" t="str">
            <v>n/a</v>
          </cell>
          <cell r="Q350" t="str">
            <v>Subordinated callable bond</v>
          </cell>
          <cell r="T350" t="str">
            <v>Tier 2 capital</v>
          </cell>
          <cell r="U350" t="str">
            <v>n/a</v>
          </cell>
          <cell r="W350" t="str">
            <v>n/a</v>
          </cell>
          <cell r="X350">
            <v>245200</v>
          </cell>
          <cell r="Y350" t="str">
            <v>n/a</v>
          </cell>
          <cell r="AA350" t="str">
            <v>n/a</v>
          </cell>
        </row>
        <row r="351">
          <cell r="B351" t="str">
            <v>200000</v>
          </cell>
          <cell r="M351" t="str">
            <v>n/a</v>
          </cell>
          <cell r="Q351" t="str">
            <v>Issued share capital</v>
          </cell>
          <cell r="T351" t="str">
            <v>Share capital</v>
          </cell>
          <cell r="U351" t="str">
            <v>n/a</v>
          </cell>
          <cell r="W351" t="str">
            <v>Shareholders funds</v>
          </cell>
          <cell r="X351">
            <v>201300</v>
          </cell>
          <cell r="Y351" t="str">
            <v>n/a</v>
          </cell>
          <cell r="AA351" t="str">
            <v>n/a</v>
          </cell>
        </row>
        <row r="352">
          <cell r="B352" t="str">
            <v>205000</v>
          </cell>
          <cell r="M352" t="str">
            <v>n/a</v>
          </cell>
          <cell r="Q352" t="str">
            <v>Reserves share premium</v>
          </cell>
          <cell r="T352" t="str">
            <v>Share premium</v>
          </cell>
          <cell r="U352" t="str">
            <v>n/a</v>
          </cell>
          <cell r="W352" t="str">
            <v>Shareholders funds</v>
          </cell>
          <cell r="X352">
            <v>202600</v>
          </cell>
          <cell r="Y352" t="str">
            <v>n/a</v>
          </cell>
          <cell r="AA352" t="str">
            <v>n/a</v>
          </cell>
        </row>
        <row r="353">
          <cell r="B353" t="str">
            <v>211400</v>
          </cell>
          <cell r="M353" t="str">
            <v>n/a</v>
          </cell>
          <cell r="Q353" t="str">
            <v>Reserves non distributable</v>
          </cell>
          <cell r="T353" t="str">
            <v>Reserves</v>
          </cell>
          <cell r="U353" t="str">
            <v>n/a</v>
          </cell>
          <cell r="W353" t="str">
            <v>Shareholders funds</v>
          </cell>
          <cell r="X353">
            <v>206400</v>
          </cell>
          <cell r="Y353" t="str">
            <v>n/a</v>
          </cell>
          <cell r="AA353" t="str">
            <v>n/a</v>
          </cell>
        </row>
        <row r="354">
          <cell r="B354" t="str">
            <v>211800</v>
          </cell>
          <cell r="M354" t="str">
            <v>n/a</v>
          </cell>
          <cell r="Q354" t="str">
            <v>Reserves non distributable</v>
          </cell>
          <cell r="T354" t="str">
            <v>Reserves</v>
          </cell>
          <cell r="U354" t="str">
            <v>n/a</v>
          </cell>
          <cell r="W354" t="str">
            <v>Shareholders funds</v>
          </cell>
          <cell r="X354">
            <v>206900</v>
          </cell>
          <cell r="Y354" t="str">
            <v>n/a</v>
          </cell>
          <cell r="AA354" t="str">
            <v>n/a</v>
          </cell>
        </row>
        <row r="355">
          <cell r="B355" t="str">
            <v>214100</v>
          </cell>
          <cell r="M355" t="str">
            <v>n/a</v>
          </cell>
          <cell r="Q355" t="str">
            <v>Reserves non distributable</v>
          </cell>
          <cell r="T355" t="str">
            <v>Reserves</v>
          </cell>
          <cell r="U355" t="str">
            <v>n/a</v>
          </cell>
          <cell r="W355" t="str">
            <v>Shareholders funds</v>
          </cell>
          <cell r="X355">
            <v>206710</v>
          </cell>
          <cell r="Y355" t="str">
            <v>n/a</v>
          </cell>
          <cell r="AA355" t="str">
            <v>n/a</v>
          </cell>
        </row>
        <row r="356">
          <cell r="B356" t="str">
            <v>210700</v>
          </cell>
          <cell r="M356" t="str">
            <v>n/a</v>
          </cell>
          <cell r="Q356" t="str">
            <v>Reserves distributable</v>
          </cell>
          <cell r="T356" t="str">
            <v>Reserves</v>
          </cell>
          <cell r="U356" t="str">
            <v>n/a</v>
          </cell>
          <cell r="W356" t="str">
            <v>Shareholders funds</v>
          </cell>
          <cell r="X356">
            <v>207400</v>
          </cell>
          <cell r="Y356" t="str">
            <v>n/a</v>
          </cell>
          <cell r="AA356" t="str">
            <v>n/a</v>
          </cell>
        </row>
        <row r="357">
          <cell r="B357" t="str">
            <v>211000</v>
          </cell>
          <cell r="M357" t="str">
            <v>n/a</v>
          </cell>
          <cell r="Q357" t="str">
            <v>Reserves distributable</v>
          </cell>
          <cell r="T357" t="str">
            <v>Reserves</v>
          </cell>
          <cell r="U357" t="str">
            <v>n/a</v>
          </cell>
          <cell r="W357" t="str">
            <v>Shareholders funds</v>
          </cell>
          <cell r="X357">
            <v>207300</v>
          </cell>
          <cell r="Y357" t="str">
            <v>n/a</v>
          </cell>
          <cell r="AA357" t="str">
            <v>n/a</v>
          </cell>
        </row>
        <row r="358">
          <cell r="B358" t="str">
            <v>211200</v>
          </cell>
          <cell r="M358" t="str">
            <v>n/a</v>
          </cell>
          <cell r="Q358" t="str">
            <v>Reserves distributable</v>
          </cell>
          <cell r="T358" t="str">
            <v>Reserves</v>
          </cell>
          <cell r="U358" t="str">
            <v>n/a</v>
          </cell>
          <cell r="W358" t="str">
            <v>Shareholders funds</v>
          </cell>
          <cell r="X358">
            <v>207300</v>
          </cell>
          <cell r="Y358" t="str">
            <v>n/a</v>
          </cell>
          <cell r="AA358" t="str">
            <v>n/a</v>
          </cell>
        </row>
        <row r="359">
          <cell r="B359" t="str">
            <v>214200</v>
          </cell>
          <cell r="M359" t="str">
            <v>n/a</v>
          </cell>
          <cell r="Q359" t="str">
            <v>Reserves distributable</v>
          </cell>
          <cell r="T359" t="str">
            <v>Reserves</v>
          </cell>
          <cell r="U359" t="str">
            <v>n/a</v>
          </cell>
          <cell r="W359" t="str">
            <v>Shareholders funds</v>
          </cell>
          <cell r="X359">
            <v>207300</v>
          </cell>
          <cell r="Y359" t="str">
            <v>n/a</v>
          </cell>
          <cell r="AA359" t="str">
            <v>n/a</v>
          </cell>
        </row>
        <row r="360">
          <cell r="B360" t="str">
            <v>900000</v>
          </cell>
          <cell r="M360" t="str">
            <v>n/a</v>
          </cell>
          <cell r="Q360" t="str">
            <v>Not mapped</v>
          </cell>
          <cell r="T360" t="str">
            <v>Reserves</v>
          </cell>
          <cell r="U360" t="str">
            <v>n/a</v>
          </cell>
          <cell r="W360" t="str">
            <v>Shareholders funds</v>
          </cell>
          <cell r="X360">
            <v>207300</v>
          </cell>
          <cell r="Y360" t="str">
            <v>n/a</v>
          </cell>
          <cell r="AA360" t="str">
            <v>n/a</v>
          </cell>
        </row>
        <row r="361">
          <cell r="B361" t="str">
            <v>280301</v>
          </cell>
          <cell r="M361" t="str">
            <v>n/a</v>
          </cell>
          <cell r="Q361" t="str">
            <v>Credits in transit</v>
          </cell>
          <cell r="T361" t="str">
            <v>Other creditors and provisions</v>
          </cell>
          <cell r="U361" t="str">
            <v>n/a</v>
          </cell>
          <cell r="W361" t="str">
            <v>n/a</v>
          </cell>
          <cell r="X361">
            <v>236700</v>
          </cell>
          <cell r="Y361" t="str">
            <v>n/a</v>
          </cell>
          <cell r="AA361" t="str">
            <v>n/a</v>
          </cell>
        </row>
        <row r="362">
          <cell r="B362" t="str">
            <v>102170</v>
          </cell>
          <cell r="M362" t="str">
            <v>n/a</v>
          </cell>
          <cell r="Q362" t="str">
            <v>Credits in transit</v>
          </cell>
          <cell r="T362" t="str">
            <v>n/a</v>
          </cell>
          <cell r="U362" t="str">
            <v>n/a</v>
          </cell>
          <cell r="W362" t="str">
            <v>n/a</v>
          </cell>
          <cell r="X362">
            <v>236700</v>
          </cell>
          <cell r="Y362" t="str">
            <v>n/a</v>
          </cell>
          <cell r="AA362" t="str">
            <v>n/a</v>
          </cell>
        </row>
        <row r="363">
          <cell r="B363" t="str">
            <v>102190</v>
          </cell>
          <cell r="M363" t="str">
            <v>n/a</v>
          </cell>
          <cell r="Q363" t="str">
            <v>Credits in transit</v>
          </cell>
          <cell r="T363" t="str">
            <v>Other creditors and provisions</v>
          </cell>
          <cell r="U363" t="str">
            <v>n/a</v>
          </cell>
          <cell r="W363" t="str">
            <v>n/a</v>
          </cell>
          <cell r="X363">
            <v>236700</v>
          </cell>
          <cell r="Y363" t="str">
            <v>n/a</v>
          </cell>
          <cell r="AA363" t="str">
            <v>n/a</v>
          </cell>
        </row>
        <row r="364">
          <cell r="B364" t="str">
            <v>240800</v>
          </cell>
          <cell r="M364" t="str">
            <v>n/a</v>
          </cell>
          <cell r="Q364" t="str">
            <v>Other accounts (assets)</v>
          </cell>
          <cell r="T364" t="str">
            <v>Other creditors and provisions</v>
          </cell>
          <cell r="U364" t="str">
            <v>n/a</v>
          </cell>
          <cell r="W364" t="str">
            <v>n/a</v>
          </cell>
          <cell r="X364">
            <v>236700</v>
          </cell>
          <cell r="Y364" t="str">
            <v>n/a</v>
          </cell>
          <cell r="AA364" t="str">
            <v>n/a</v>
          </cell>
        </row>
        <row r="365">
          <cell r="B365" t="str">
            <v>280000</v>
          </cell>
          <cell r="M365" t="str">
            <v>n/a</v>
          </cell>
          <cell r="Q365" t="str">
            <v>Other accounts (assets)</v>
          </cell>
          <cell r="T365" t="str">
            <v>Other assets</v>
          </cell>
          <cell r="U365" t="str">
            <v>n/a</v>
          </cell>
          <cell r="W365" t="str">
            <v>n/a</v>
          </cell>
          <cell r="X365">
            <v>236700</v>
          </cell>
          <cell r="Y365" t="str">
            <v>n/a</v>
          </cell>
          <cell r="AA365" t="str">
            <v>n/a</v>
          </cell>
        </row>
        <row r="366">
          <cell r="B366" t="str">
            <v>280700</v>
          </cell>
          <cell r="M366" t="str">
            <v>n/a</v>
          </cell>
          <cell r="Q366" t="str">
            <v>Credits in transit</v>
          </cell>
          <cell r="T366" t="str">
            <v>Other creditors and provisions</v>
          </cell>
          <cell r="U366" t="str">
            <v>n/a</v>
          </cell>
          <cell r="W366" t="str">
            <v>n/a</v>
          </cell>
          <cell r="X366">
            <v>236700</v>
          </cell>
          <cell r="Y366" t="str">
            <v>n/a</v>
          </cell>
          <cell r="AA366" t="str">
            <v>n/a</v>
          </cell>
        </row>
        <row r="367">
          <cell r="B367" t="str">
            <v>310550</v>
          </cell>
          <cell r="M367" t="str">
            <v>n/a</v>
          </cell>
          <cell r="Q367" t="str">
            <v>Credits in transit</v>
          </cell>
          <cell r="T367" t="str">
            <v>n/a</v>
          </cell>
          <cell r="U367" t="str">
            <v>n/a</v>
          </cell>
          <cell r="W367" t="str">
            <v>n/a</v>
          </cell>
          <cell r="X367">
            <v>236700</v>
          </cell>
          <cell r="Y367" t="str">
            <v>n/a</v>
          </cell>
          <cell r="AA367" t="str">
            <v>n/a</v>
          </cell>
        </row>
        <row r="368">
          <cell r="B368" t="str">
            <v>324300</v>
          </cell>
          <cell r="M368" t="str">
            <v>n/a</v>
          </cell>
          <cell r="Q368" t="str">
            <v>Credits in transit</v>
          </cell>
          <cell r="T368" t="str">
            <v>Other creditors and provisions</v>
          </cell>
          <cell r="U368" t="str">
            <v>n/a</v>
          </cell>
          <cell r="W368" t="str">
            <v>n/a</v>
          </cell>
          <cell r="X368">
            <v>236700</v>
          </cell>
          <cell r="Y368" t="str">
            <v>n/a</v>
          </cell>
          <cell r="AA368" t="str">
            <v>n/a</v>
          </cell>
        </row>
        <row r="369">
          <cell r="B369" t="str">
            <v>132200</v>
          </cell>
          <cell r="M369" t="str">
            <v>n/a</v>
          </cell>
          <cell r="Q369" t="str">
            <v>Not mapped</v>
          </cell>
          <cell r="T369" t="str">
            <v>Other creditors and provisions</v>
          </cell>
          <cell r="U369" t="str">
            <v>n/a</v>
          </cell>
          <cell r="W369" t="str">
            <v>n/a</v>
          </cell>
          <cell r="X369">
            <v>241300</v>
          </cell>
          <cell r="Y369" t="str">
            <v>n/a</v>
          </cell>
          <cell r="AA369" t="str">
            <v>n/a</v>
          </cell>
        </row>
        <row r="370">
          <cell r="B370" t="str">
            <v>105750</v>
          </cell>
          <cell r="M370" t="str">
            <v>n/a</v>
          </cell>
          <cell r="Q370" t="str">
            <v>Not mapped</v>
          </cell>
          <cell r="T370" t="str">
            <v>Other creditors and provisions</v>
          </cell>
          <cell r="U370" t="str">
            <v>n/a</v>
          </cell>
          <cell r="W370" t="str">
            <v>n/a</v>
          </cell>
          <cell r="X370">
            <v>236700</v>
          </cell>
          <cell r="Y370" t="str">
            <v>n/a</v>
          </cell>
          <cell r="AA370" t="str">
            <v>n/a</v>
          </cell>
        </row>
        <row r="371">
          <cell r="B371" t="str">
            <v>220095</v>
          </cell>
          <cell r="M371" t="str">
            <v>n/a</v>
          </cell>
          <cell r="Q371" t="str">
            <v>Structured finance</v>
          </cell>
          <cell r="T371" t="str">
            <v>Other creditors and provisions</v>
          </cell>
          <cell r="U371" t="str">
            <v>n/a</v>
          </cell>
          <cell r="W371" t="str">
            <v>n/a</v>
          </cell>
          <cell r="X371">
            <v>225600</v>
          </cell>
          <cell r="Y371" t="str">
            <v>n/a</v>
          </cell>
          <cell r="AA371" t="str">
            <v>n/a</v>
          </cell>
        </row>
        <row r="372">
          <cell r="B372" t="str">
            <v>302940</v>
          </cell>
          <cell r="M372" t="str">
            <v>n/a</v>
          </cell>
          <cell r="Q372" t="str">
            <v>Other accounts (liabilities)</v>
          </cell>
          <cell r="T372" t="str">
            <v>Other creditors and provisions</v>
          </cell>
          <cell r="U372" t="str">
            <v>n/a</v>
          </cell>
          <cell r="W372" t="str">
            <v>n/a</v>
          </cell>
          <cell r="X372">
            <v>236405</v>
          </cell>
          <cell r="Y372" t="str">
            <v>n/a</v>
          </cell>
          <cell r="AA372" t="str">
            <v>n/a</v>
          </cell>
        </row>
        <row r="373">
          <cell r="B373" t="str">
            <v>10105</v>
          </cell>
          <cell r="M373" t="str">
            <v>n/a</v>
          </cell>
          <cell r="Q373" t="str">
            <v>IC: Call loans</v>
          </cell>
          <cell r="T373" t="str">
            <v>Other creditors and provisions</v>
          </cell>
          <cell r="U373" t="str">
            <v>n/a</v>
          </cell>
          <cell r="W373" t="str">
            <v>n/a</v>
          </cell>
          <cell r="X373">
            <v>119270</v>
          </cell>
          <cell r="Y373" t="str">
            <v>n/a</v>
          </cell>
          <cell r="AA373" t="str">
            <v>n/a</v>
          </cell>
        </row>
        <row r="374">
          <cell r="M374" t="str">
            <v>n/a</v>
          </cell>
          <cell r="Q374" t="str">
            <v>US$50m SBSA swap  loan</v>
          </cell>
          <cell r="T374" t="str">
            <v>n/a</v>
          </cell>
          <cell r="U374" t="str">
            <v>n/a</v>
          </cell>
          <cell r="W374" t="str">
            <v>n/a</v>
          </cell>
          <cell r="X374" t="str">
            <v>n/a</v>
          </cell>
          <cell r="Y374" t="str">
            <v>n/a</v>
          </cell>
          <cell r="AA374" t="str">
            <v>n/a</v>
          </cell>
        </row>
        <row r="375">
          <cell r="M375" t="str">
            <v>n/a</v>
          </cell>
          <cell r="Q375" t="str">
            <v>Income Fund</v>
          </cell>
          <cell r="T375" t="str">
            <v>Investment securities</v>
          </cell>
          <cell r="U375" t="str">
            <v>Income Fund</v>
          </cell>
          <cell r="W375" t="str">
            <v>n/a</v>
          </cell>
          <cell r="X375" t="str">
            <v>n/a</v>
          </cell>
          <cell r="Y375" t="str">
            <v>n/a</v>
          </cell>
          <cell r="AA375" t="str">
            <v>n/a</v>
          </cell>
        </row>
        <row r="376">
          <cell r="M376" t="str">
            <v>n/a</v>
          </cell>
          <cell r="Q376" t="str">
            <v>Other accounts (liabilities)</v>
          </cell>
          <cell r="T376" t="str">
            <v>Other creditors and provisions</v>
          </cell>
          <cell r="U376" t="str">
            <v>n/a</v>
          </cell>
          <cell r="W376" t="str">
            <v>n/a</v>
          </cell>
          <cell r="X376" t="str">
            <v>n/a</v>
          </cell>
          <cell r="Y376" t="str">
            <v>n/a</v>
          </cell>
          <cell r="AA376" t="str">
            <v>n/a</v>
          </cell>
        </row>
        <row r="377">
          <cell r="M377" t="str">
            <v>n/a</v>
          </cell>
          <cell r="Q377" t="str">
            <v>Not mapped</v>
          </cell>
          <cell r="T377" t="str">
            <v>Not mapped</v>
          </cell>
          <cell r="U377" t="str">
            <v>n/a</v>
          </cell>
          <cell r="W377" t="str">
            <v>n/a</v>
          </cell>
          <cell r="X377" t="str">
            <v>n/a</v>
          </cell>
          <cell r="Y377" t="str">
            <v>n/a</v>
          </cell>
          <cell r="AA377" t="str">
            <v>n/a</v>
          </cell>
        </row>
        <row r="379">
          <cell r="B379" t="str">
            <v>offset2</v>
          </cell>
        </row>
        <row r="380">
          <cell r="M380" t="str">
            <v>n/a</v>
          </cell>
          <cell r="N380" t="str">
            <v>n/a</v>
          </cell>
          <cell r="Q380" t="str">
            <v>n/a</v>
          </cell>
          <cell r="R380" t="str">
            <v>n/a</v>
          </cell>
          <cell r="S380" t="str">
            <v>n/a</v>
          </cell>
          <cell r="X380" t="str">
            <v>n/a</v>
          </cell>
          <cell r="Y380" t="str">
            <v>n/a</v>
          </cell>
        </row>
        <row r="381">
          <cell r="B381" t="str">
            <v>700130</v>
          </cell>
          <cell r="M381" t="str">
            <v>Interest on investment securities</v>
          </cell>
          <cell r="N381" t="str">
            <v>n/a</v>
          </cell>
          <cell r="Q381" t="str">
            <v xml:space="preserve">Road Fund Administration </v>
          </cell>
          <cell r="R381" t="str">
            <v>n/a</v>
          </cell>
          <cell r="S381" t="str">
            <v>n/a</v>
          </cell>
          <cell r="X381">
            <v>306100</v>
          </cell>
          <cell r="Y381" t="str">
            <v>n/a</v>
          </cell>
        </row>
        <row r="382">
          <cell r="B382" t="str">
            <v>700125</v>
          </cell>
          <cell r="M382" t="str">
            <v>Interest on investment securities</v>
          </cell>
          <cell r="N382" t="str">
            <v>n/a</v>
          </cell>
          <cell r="Q382" t="str">
            <v>RCC debentures</v>
          </cell>
          <cell r="R382" t="str">
            <v>n/a</v>
          </cell>
          <cell r="S382" t="str">
            <v>n/a</v>
          </cell>
          <cell r="X382">
            <v>306100</v>
          </cell>
          <cell r="Y382" t="str">
            <v>n/a</v>
          </cell>
        </row>
        <row r="383">
          <cell r="B383" t="str">
            <v>702300</v>
          </cell>
          <cell r="M383" t="str">
            <v>Interest on L &amp; A and short-term funds</v>
          </cell>
          <cell r="N383" t="str">
            <v>n/a</v>
          </cell>
          <cell r="Q383" t="str">
            <v>Current account debtors</v>
          </cell>
          <cell r="R383" t="str">
            <v>n/a</v>
          </cell>
          <cell r="S383" t="str">
            <v>n/a</v>
          </cell>
          <cell r="X383">
            <v>307100</v>
          </cell>
          <cell r="Y383" t="str">
            <v>n/a</v>
          </cell>
        </row>
        <row r="384">
          <cell r="M384" t="str">
            <v>Interest on L &amp; A and short-term funds</v>
          </cell>
          <cell r="N384" t="str">
            <v>n/a</v>
          </cell>
          <cell r="Q384" t="str">
            <v>Cash management</v>
          </cell>
          <cell r="R384" t="str">
            <v>n/a</v>
          </cell>
          <cell r="S384" t="str">
            <v>n/a</v>
          </cell>
          <cell r="X384">
            <v>307100</v>
          </cell>
          <cell r="Y384" t="str">
            <v>n/a</v>
          </cell>
        </row>
        <row r="385">
          <cell r="B385" t="str">
            <v>703100</v>
          </cell>
          <cell r="M385" t="str">
            <v>Interest on L &amp; A and short-term funds</v>
          </cell>
          <cell r="N385" t="str">
            <v>n/a</v>
          </cell>
          <cell r="Q385" t="str">
            <v>VAF</v>
          </cell>
          <cell r="R385" t="str">
            <v>n/a</v>
          </cell>
          <cell r="S385" t="str">
            <v>n/a</v>
          </cell>
          <cell r="X385">
            <v>307360</v>
          </cell>
          <cell r="Y385" t="str">
            <v>n/a</v>
          </cell>
        </row>
        <row r="386">
          <cell r="B386" t="str">
            <v>703200</v>
          </cell>
          <cell r="M386" t="str">
            <v>Interest on L &amp; A and short-term funds</v>
          </cell>
          <cell r="N386" t="str">
            <v>n/a</v>
          </cell>
          <cell r="Q386" t="str">
            <v>Not mapped</v>
          </cell>
          <cell r="R386" t="str">
            <v>n/a</v>
          </cell>
          <cell r="S386" t="str">
            <v>n/a</v>
          </cell>
          <cell r="X386">
            <v>307160</v>
          </cell>
          <cell r="Y386" t="str">
            <v>n/a</v>
          </cell>
        </row>
        <row r="387">
          <cell r="B387" t="str">
            <v>703900</v>
          </cell>
          <cell r="M387" t="str">
            <v>Interest on L &amp; A and short-term funds</v>
          </cell>
          <cell r="N387" t="str">
            <v>n/a</v>
          </cell>
          <cell r="Q387" t="str">
            <v>Student loan scheme</v>
          </cell>
          <cell r="R387" t="str">
            <v>n/a</v>
          </cell>
          <cell r="S387" t="str">
            <v>n/a</v>
          </cell>
          <cell r="X387">
            <v>307100</v>
          </cell>
          <cell r="Y387" t="str">
            <v>n/a</v>
          </cell>
        </row>
        <row r="388">
          <cell r="B388" t="str">
            <v>705200</v>
          </cell>
          <cell r="M388" t="str">
            <v>Interest on L &amp; A and short-term funds</v>
          </cell>
          <cell r="N388" t="str">
            <v>n/a</v>
          </cell>
          <cell r="Q388" t="str">
            <v>Current account debtors</v>
          </cell>
          <cell r="R388" t="str">
            <v>n/a</v>
          </cell>
          <cell r="S388" t="str">
            <v>n/a</v>
          </cell>
          <cell r="X388">
            <v>307280</v>
          </cell>
          <cell r="Y388" t="str">
            <v>n/a</v>
          </cell>
        </row>
        <row r="389">
          <cell r="B389" t="str">
            <v>705600</v>
          </cell>
          <cell r="M389" t="str">
            <v>Interest on L &amp; A and short-term funds</v>
          </cell>
          <cell r="N389" t="str">
            <v>n/a</v>
          </cell>
          <cell r="Q389" t="str">
            <v>Not mapped</v>
          </cell>
          <cell r="R389" t="str">
            <v>n/a</v>
          </cell>
          <cell r="S389" t="str">
            <v>n/a</v>
          </cell>
          <cell r="X389">
            <v>307240</v>
          </cell>
          <cell r="Y389" t="str">
            <v>n/a</v>
          </cell>
        </row>
        <row r="390">
          <cell r="B390" t="str">
            <v>705900</v>
          </cell>
          <cell r="M390" t="str">
            <v>Interest on L &amp; A and short-term funds</v>
          </cell>
          <cell r="N390" t="str">
            <v>n/a</v>
          </cell>
          <cell r="Q390" t="str">
            <v>Revolving credit plan</v>
          </cell>
          <cell r="R390" t="str">
            <v>n/a</v>
          </cell>
          <cell r="S390" t="str">
            <v>n/a</v>
          </cell>
          <cell r="X390">
            <v>307100</v>
          </cell>
          <cell r="Y390" t="str">
            <v>n/a</v>
          </cell>
        </row>
        <row r="391">
          <cell r="B391" t="str">
            <v>708500</v>
          </cell>
          <cell r="M391" t="str">
            <v>Interest on L &amp; A and short-term funds</v>
          </cell>
          <cell r="N391" t="str">
            <v>n/a</v>
          </cell>
          <cell r="Q391" t="str">
            <v>Mortgage advances</v>
          </cell>
          <cell r="R391" t="str">
            <v>n/a</v>
          </cell>
          <cell r="S391" t="str">
            <v>n/a</v>
          </cell>
          <cell r="X391">
            <v>307140</v>
          </cell>
          <cell r="Y391" t="str">
            <v>n/a</v>
          </cell>
        </row>
        <row r="392">
          <cell r="B392" t="str">
            <v>708600</v>
          </cell>
          <cell r="M392" t="str">
            <v>Interest on L &amp; A and short-term funds</v>
          </cell>
          <cell r="N392" t="str">
            <v>n/a</v>
          </cell>
          <cell r="Q392" t="str">
            <v xml:space="preserve">Medium term loans </v>
          </cell>
          <cell r="R392" t="str">
            <v>n/a</v>
          </cell>
          <cell r="S392" t="str">
            <v>n/a</v>
          </cell>
          <cell r="X392">
            <v>307060</v>
          </cell>
          <cell r="Y392" t="str">
            <v>MTL Branches</v>
          </cell>
        </row>
        <row r="393">
          <cell r="B393" t="str">
            <v>708700</v>
          </cell>
          <cell r="M393" t="str">
            <v>Interest on L &amp; A and short-term funds</v>
          </cell>
          <cell r="N393" t="str">
            <v>n/a</v>
          </cell>
          <cell r="Q393" t="str">
            <v xml:space="preserve">Medium term loans </v>
          </cell>
          <cell r="R393" t="str">
            <v>n/a</v>
          </cell>
          <cell r="S393" t="str">
            <v>n/a</v>
          </cell>
          <cell r="X393">
            <v>307060</v>
          </cell>
          <cell r="Y393" t="str">
            <v>MTL H/O</v>
          </cell>
        </row>
        <row r="394">
          <cell r="B394" t="str">
            <v>720400</v>
          </cell>
          <cell r="M394" t="str">
            <v>Dividends on Pref shares &amp; CashPlus</v>
          </cell>
          <cell r="N394" t="str">
            <v>n/a</v>
          </cell>
          <cell r="Q394" t="str">
            <v>CashPlus</v>
          </cell>
          <cell r="R394" t="str">
            <v>n/a</v>
          </cell>
          <cell r="S394" t="str">
            <v>n/a</v>
          </cell>
          <cell r="Y394">
            <v>720400</v>
          </cell>
        </row>
        <row r="395">
          <cell r="B395" t="str">
            <v>709100</v>
          </cell>
          <cell r="M395" t="str">
            <v>Interest on L &amp; A and short-term funds</v>
          </cell>
          <cell r="N395" t="str">
            <v>n/a</v>
          </cell>
          <cell r="Q395" t="str">
            <v>Current account debtors</v>
          </cell>
          <cell r="R395" t="str">
            <v>n/a</v>
          </cell>
          <cell r="S395" t="str">
            <v>n/a</v>
          </cell>
          <cell r="X395">
            <v>307300</v>
          </cell>
          <cell r="Y395" t="str">
            <v>n/a</v>
          </cell>
        </row>
        <row r="396">
          <cell r="B396" t="str">
            <v>709300</v>
          </cell>
          <cell r="M396" t="str">
            <v>Interest on L &amp; A and short-term funds</v>
          </cell>
          <cell r="N396" t="str">
            <v>n/a</v>
          </cell>
          <cell r="Q396" t="str">
            <v>Promissory notes</v>
          </cell>
          <cell r="R396" t="str">
            <v>n/a</v>
          </cell>
          <cell r="S396" t="str">
            <v>n/a</v>
          </cell>
          <cell r="X396">
            <v>307020</v>
          </cell>
          <cell r="Y396" t="str">
            <v>n/a</v>
          </cell>
        </row>
        <row r="397">
          <cell r="B397" t="str">
            <v>735800</v>
          </cell>
          <cell r="M397" t="str">
            <v>Dividends on Pref shares &amp; CashPlus</v>
          </cell>
          <cell r="N397" t="str">
            <v>n/a</v>
          </cell>
          <cell r="Q397" t="str">
            <v>Income Fund</v>
          </cell>
          <cell r="R397" t="str">
            <v>n/a</v>
          </cell>
          <cell r="S397" t="str">
            <v>n/a</v>
          </cell>
          <cell r="X397">
            <v>307020</v>
          </cell>
          <cell r="Y397">
            <v>735380</v>
          </cell>
        </row>
        <row r="398">
          <cell r="B398" t="str">
            <v>709500</v>
          </cell>
          <cell r="M398" t="str">
            <v>Interest on L &amp; A and short-term funds</v>
          </cell>
          <cell r="N398" t="str">
            <v>n/a</v>
          </cell>
          <cell r="Q398" t="str">
            <v>Revolving credit plan</v>
          </cell>
          <cell r="R398" t="str">
            <v>n/a</v>
          </cell>
          <cell r="S398" t="str">
            <v>n/a</v>
          </cell>
          <cell r="X398">
            <v>307100</v>
          </cell>
          <cell r="Y398" t="str">
            <v>n/a</v>
          </cell>
        </row>
        <row r="399">
          <cell r="B399" t="str">
            <v>709800</v>
          </cell>
          <cell r="M399" t="str">
            <v>Interest on L &amp; A and short-term funds</v>
          </cell>
          <cell r="N399" t="str">
            <v>n/a</v>
          </cell>
          <cell r="Q399" t="str">
            <v>Mortgage advances</v>
          </cell>
          <cell r="R399" t="str">
            <v>n/a</v>
          </cell>
          <cell r="S399" t="str">
            <v>n/a</v>
          </cell>
          <cell r="X399">
            <v>307340</v>
          </cell>
          <cell r="Y399" t="str">
            <v>n/a</v>
          </cell>
        </row>
        <row r="400">
          <cell r="B400" t="str">
            <v>709900</v>
          </cell>
          <cell r="M400" t="str">
            <v>Interest on L &amp; A and short-term funds</v>
          </cell>
          <cell r="N400" t="str">
            <v>n/a</v>
          </cell>
          <cell r="Q400" t="str">
            <v>Structured finance</v>
          </cell>
          <cell r="R400" t="str">
            <v>n/a</v>
          </cell>
          <cell r="S400" t="str">
            <v>n/a</v>
          </cell>
          <cell r="X400">
            <v>307060</v>
          </cell>
          <cell r="Y400" t="str">
            <v>n/a</v>
          </cell>
        </row>
        <row r="401">
          <cell r="B401" t="str">
            <v>710000</v>
          </cell>
          <cell r="M401" t="str">
            <v>Interest on investment securities</v>
          </cell>
          <cell r="N401" t="str">
            <v>n/a</v>
          </cell>
          <cell r="Q401" t="str">
            <v>Treasury bills</v>
          </cell>
          <cell r="R401" t="str">
            <v>n/a</v>
          </cell>
          <cell r="S401" t="str">
            <v>n/a</v>
          </cell>
          <cell r="X401">
            <v>306100</v>
          </cell>
          <cell r="Y401" t="str">
            <v>n/a</v>
          </cell>
        </row>
        <row r="402">
          <cell r="B402" t="str">
            <v>710300</v>
          </cell>
          <cell r="M402" t="str">
            <v>Interest on L &amp; A and short-term funds</v>
          </cell>
          <cell r="N402" t="str">
            <v>n/a</v>
          </cell>
          <cell r="Q402" t="str">
            <v>Way to Pay</v>
          </cell>
          <cell r="R402" t="str">
            <v>n/a</v>
          </cell>
          <cell r="S402" t="str">
            <v>n/a</v>
          </cell>
          <cell r="X402">
            <v>307100</v>
          </cell>
          <cell r="Y402" t="str">
            <v>n/a</v>
          </cell>
        </row>
        <row r="403">
          <cell r="B403" t="str">
            <v>710600</v>
          </cell>
          <cell r="M403" t="str">
            <v>Interest on L &amp; A and short-term funds</v>
          </cell>
          <cell r="N403" t="str">
            <v>n/a</v>
          </cell>
          <cell r="Q403" t="str">
            <v>Call loans: corporate clients</v>
          </cell>
          <cell r="R403" t="str">
            <v>n/a</v>
          </cell>
          <cell r="S403" t="str">
            <v>n/a</v>
          </cell>
          <cell r="X403">
            <v>307040</v>
          </cell>
          <cell r="Y403" t="str">
            <v>n/a</v>
          </cell>
        </row>
        <row r="404">
          <cell r="B404" t="str">
            <v>711200</v>
          </cell>
          <cell r="M404" t="str">
            <v>Interest on L &amp; A and short-term funds</v>
          </cell>
          <cell r="N404" t="str">
            <v>n/a</v>
          </cell>
          <cell r="Q404" t="str">
            <v>Assets on lease</v>
          </cell>
          <cell r="R404" t="str">
            <v>n/a</v>
          </cell>
          <cell r="S404" t="str">
            <v>n/a</v>
          </cell>
          <cell r="X404">
            <v>307160</v>
          </cell>
          <cell r="Y404" t="str">
            <v>n/a</v>
          </cell>
        </row>
        <row r="405">
          <cell r="B405" t="str">
            <v>727500</v>
          </cell>
          <cell r="M405" t="str">
            <v>Interest on L &amp; A and short-term funds</v>
          </cell>
          <cell r="N405" t="str">
            <v>n/a</v>
          </cell>
          <cell r="Q405" t="str">
            <v>Vostro accounts foreign banks</v>
          </cell>
          <cell r="R405" t="str">
            <v>n/a</v>
          </cell>
          <cell r="S405" t="str">
            <v>n/a</v>
          </cell>
          <cell r="X405">
            <v>307080</v>
          </cell>
          <cell r="Y405" t="str">
            <v>n/a</v>
          </cell>
        </row>
        <row r="406">
          <cell r="B406" t="str">
            <v>712000</v>
          </cell>
          <cell r="M406" t="str">
            <v>Interest on investment securities</v>
          </cell>
          <cell r="N406" t="str">
            <v>n/a</v>
          </cell>
          <cell r="Q406" t="str">
            <v>Government stock</v>
          </cell>
          <cell r="R406" t="str">
            <v>n/a</v>
          </cell>
          <cell r="S406" t="str">
            <v>n/a</v>
          </cell>
          <cell r="X406">
            <v>307080</v>
          </cell>
          <cell r="Y406" t="str">
            <v>n/a</v>
          </cell>
        </row>
        <row r="407">
          <cell r="B407" t="str">
            <v>715800</v>
          </cell>
          <cell r="M407" t="str">
            <v>Interest on L &amp; A and short-term funds</v>
          </cell>
          <cell r="N407" t="str">
            <v>n/a</v>
          </cell>
          <cell r="Q407" t="str">
            <v>Not mapped</v>
          </cell>
          <cell r="R407" t="str">
            <v>n/a</v>
          </cell>
          <cell r="S407" t="str">
            <v>n/a</v>
          </cell>
          <cell r="X407">
            <v>307400</v>
          </cell>
          <cell r="Y407" t="str">
            <v>n/a</v>
          </cell>
        </row>
        <row r="408">
          <cell r="B408" t="str">
            <v>717000</v>
          </cell>
          <cell r="M408" t="str">
            <v>Interest on L &amp; A and short-term funds</v>
          </cell>
          <cell r="N408" t="str">
            <v>n/a</v>
          </cell>
          <cell r="Q408" t="str">
            <v>Not mapped</v>
          </cell>
          <cell r="R408" t="str">
            <v>n/a</v>
          </cell>
          <cell r="S408" t="str">
            <v>n/a</v>
          </cell>
          <cell r="X408">
            <v>307080</v>
          </cell>
          <cell r="Y408" t="str">
            <v>n/a</v>
          </cell>
        </row>
        <row r="409">
          <cell r="B409" t="str">
            <v>723200</v>
          </cell>
          <cell r="M409" t="str">
            <v>Interest on L &amp; A and short-term funds</v>
          </cell>
          <cell r="N409" t="str">
            <v>n/a</v>
          </cell>
          <cell r="Q409" t="str">
            <v>Call loans: Banks</v>
          </cell>
          <cell r="R409" t="str">
            <v>n/a</v>
          </cell>
          <cell r="S409" t="str">
            <v>n/a</v>
          </cell>
          <cell r="X409">
            <v>307040</v>
          </cell>
          <cell r="Y409" t="str">
            <v>n/a</v>
          </cell>
        </row>
        <row r="410">
          <cell r="B410" t="str">
            <v>725400</v>
          </cell>
          <cell r="M410" t="str">
            <v>Interest on L &amp; A and short-term funds</v>
          </cell>
          <cell r="N410" t="str">
            <v>n/a</v>
          </cell>
          <cell r="Q410" t="str">
            <v>Not mapped</v>
          </cell>
          <cell r="R410" t="str">
            <v>n/a</v>
          </cell>
          <cell r="S410" t="str">
            <v>n/a</v>
          </cell>
          <cell r="X410">
            <v>306100</v>
          </cell>
          <cell r="Y410" t="str">
            <v>n/a</v>
          </cell>
        </row>
        <row r="411">
          <cell r="B411" t="str">
            <v>700005</v>
          </cell>
          <cell r="M411" t="str">
            <v>Interest on L &amp; A and short-term funds</v>
          </cell>
          <cell r="N411" t="str">
            <v>n/a</v>
          </cell>
          <cell r="Q411" t="str">
            <v>Nostro accounts foreign banks</v>
          </cell>
          <cell r="R411" t="str">
            <v>n/a</v>
          </cell>
          <cell r="S411" t="str">
            <v>n/a</v>
          </cell>
          <cell r="X411">
            <v>307300</v>
          </cell>
          <cell r="Y411" t="str">
            <v>n/a</v>
          </cell>
        </row>
        <row r="412">
          <cell r="B412" t="str">
            <v>730200</v>
          </cell>
          <cell r="M412" t="str">
            <v>Interest on L &amp; A and short-term funds</v>
          </cell>
          <cell r="N412" t="str">
            <v>n/a</v>
          </cell>
          <cell r="Q412" t="str">
            <v>Promissory notes</v>
          </cell>
          <cell r="R412" t="str">
            <v>n/a</v>
          </cell>
          <cell r="S412" t="str">
            <v>n/a</v>
          </cell>
          <cell r="X412">
            <v>307300</v>
          </cell>
          <cell r="Y412" t="str">
            <v>n/a</v>
          </cell>
        </row>
        <row r="413">
          <cell r="B413" t="str">
            <v>735340</v>
          </cell>
          <cell r="M413" t="str">
            <v>Dividends on Pref shares &amp; CashPlus</v>
          </cell>
          <cell r="N413" t="str">
            <v>n/a</v>
          </cell>
          <cell r="Q413" t="str">
            <v>CashPlus</v>
          </cell>
          <cell r="R413" t="str">
            <v>n/a</v>
          </cell>
          <cell r="S413" t="str">
            <v>n/a</v>
          </cell>
          <cell r="X413">
            <v>307080</v>
          </cell>
          <cell r="Y413" t="str">
            <v>735340</v>
          </cell>
        </row>
        <row r="414">
          <cell r="B414" t="str">
            <v>735360</v>
          </cell>
          <cell r="M414" t="str">
            <v>Interest on L &amp; A and short-term funds</v>
          </cell>
          <cell r="N414" t="str">
            <v>n/a</v>
          </cell>
          <cell r="Q414" t="str">
            <v>Foreign currency assets (customer)</v>
          </cell>
          <cell r="R414" t="str">
            <v>n/a</v>
          </cell>
          <cell r="S414" t="str">
            <v>n/a</v>
          </cell>
          <cell r="X414">
            <v>307080</v>
          </cell>
          <cell r="Y414" t="str">
            <v>n/a</v>
          </cell>
        </row>
        <row r="415">
          <cell r="B415" t="str">
            <v>735380</v>
          </cell>
          <cell r="M415" t="str">
            <v>Interest on L &amp; A and short-term funds</v>
          </cell>
          <cell r="N415" t="str">
            <v>n/a</v>
          </cell>
          <cell r="Q415" t="str">
            <v>Call loans: Banks</v>
          </cell>
          <cell r="R415" t="str">
            <v>n/a</v>
          </cell>
          <cell r="S415" t="str">
            <v>n/a</v>
          </cell>
          <cell r="X415">
            <v>307080</v>
          </cell>
          <cell r="Y415" t="str">
            <v>n/a</v>
          </cell>
        </row>
        <row r="416">
          <cell r="B416" t="str">
            <v>735420</v>
          </cell>
          <cell r="M416" t="str">
            <v>Interest on investment securities</v>
          </cell>
          <cell r="N416" t="str">
            <v>n/a</v>
          </cell>
          <cell r="Q416" t="str">
            <v>Government stock</v>
          </cell>
          <cell r="R416" t="str">
            <v>n/a</v>
          </cell>
          <cell r="S416" t="str">
            <v>n/a</v>
          </cell>
          <cell r="X416">
            <v>307080</v>
          </cell>
          <cell r="Y416" t="str">
            <v>n/a</v>
          </cell>
        </row>
        <row r="417">
          <cell r="B417" t="str">
            <v>735720</v>
          </cell>
          <cell r="M417" t="str">
            <v>Interest on L &amp; A and short-term funds</v>
          </cell>
          <cell r="N417" t="str">
            <v>n/a</v>
          </cell>
          <cell r="Q417" t="str">
            <v>Not mapped</v>
          </cell>
          <cell r="R417" t="str">
            <v>n/a</v>
          </cell>
          <cell r="S417" t="str">
            <v>n/a</v>
          </cell>
          <cell r="X417">
            <v>307100</v>
          </cell>
          <cell r="Y417" t="str">
            <v>n/a</v>
          </cell>
        </row>
        <row r="418">
          <cell r="B418" t="str">
            <v>770100</v>
          </cell>
          <cell r="M418" t="str">
            <v>Interest on L &amp; A and short-term funds</v>
          </cell>
          <cell r="N418" t="str">
            <v>n/a</v>
          </cell>
          <cell r="Q418" t="str">
            <v>NPL</v>
          </cell>
          <cell r="R418" t="str">
            <v>n/a</v>
          </cell>
          <cell r="S418" t="str">
            <v>n/a</v>
          </cell>
          <cell r="X418">
            <v>307080</v>
          </cell>
          <cell r="Y418" t="str">
            <v>n/a</v>
          </cell>
        </row>
        <row r="419">
          <cell r="B419" t="str">
            <v>701300</v>
          </cell>
          <cell r="M419" t="str">
            <v>Dividends on Pref shares &amp; CashPlus</v>
          </cell>
          <cell r="N419" t="str">
            <v>n/a</v>
          </cell>
          <cell r="Q419" t="str">
            <v>Investment in preference shares</v>
          </cell>
          <cell r="R419" t="str">
            <v>n/a</v>
          </cell>
          <cell r="S419" t="str">
            <v>n/a</v>
          </cell>
          <cell r="X419">
            <v>310620</v>
          </cell>
          <cell r="Y419" t="str">
            <v>701300</v>
          </cell>
        </row>
        <row r="420">
          <cell r="B420" t="str">
            <v>700010</v>
          </cell>
          <cell r="M420" t="str">
            <v>Interest on L &amp; A and short-term funds</v>
          </cell>
          <cell r="N420" t="str">
            <v>n/a</v>
          </cell>
          <cell r="Q420" t="str">
            <v xml:space="preserve">IC: Nostro account </v>
          </cell>
          <cell r="R420" t="str">
            <v>n/a</v>
          </cell>
          <cell r="S420" t="str">
            <v>n/a</v>
          </cell>
          <cell r="X420">
            <v>319400</v>
          </cell>
          <cell r="Y420" t="str">
            <v>n/a</v>
          </cell>
        </row>
        <row r="421">
          <cell r="B421" t="str">
            <v>700120</v>
          </cell>
          <cell r="M421" t="str">
            <v>Interest on L &amp; A and short-term funds</v>
          </cell>
          <cell r="N421" t="str">
            <v>n/a</v>
          </cell>
          <cell r="Q421" t="str">
            <v>Not mapped</v>
          </cell>
          <cell r="R421" t="str">
            <v>n/a</v>
          </cell>
          <cell r="S421" t="str">
            <v>n/a</v>
          </cell>
          <cell r="X421">
            <v>309080</v>
          </cell>
          <cell r="Y421" t="str">
            <v>n/a</v>
          </cell>
        </row>
        <row r="422">
          <cell r="B422" t="str">
            <v>702000</v>
          </cell>
          <cell r="M422" t="str">
            <v>Interest on L &amp; A and short-term funds</v>
          </cell>
          <cell r="N422" t="str">
            <v>n/a</v>
          </cell>
          <cell r="Q422" t="str">
            <v>IC: Foreign currency assets (Mauritius)</v>
          </cell>
          <cell r="R422" t="str">
            <v>n/a</v>
          </cell>
          <cell r="S422" t="str">
            <v>n/a</v>
          </cell>
          <cell r="X422">
            <v>309040</v>
          </cell>
          <cell r="Y422" t="str">
            <v>n/a</v>
          </cell>
        </row>
        <row r="423">
          <cell r="B423" t="str">
            <v>705400</v>
          </cell>
          <cell r="M423" t="str">
            <v>Interest on L &amp; A and short-term funds</v>
          </cell>
          <cell r="N423" t="str">
            <v>n/a</v>
          </cell>
          <cell r="Q423" t="str">
            <v>Not mapped</v>
          </cell>
          <cell r="R423" t="str">
            <v>n/a</v>
          </cell>
          <cell r="S423" t="str">
            <v>n/a</v>
          </cell>
          <cell r="X423">
            <v>309260</v>
          </cell>
          <cell r="Y423" t="str">
            <v>n/a</v>
          </cell>
        </row>
        <row r="424">
          <cell r="B424" t="str">
            <v>707100</v>
          </cell>
          <cell r="M424" t="str">
            <v>Interest on L &amp; A and short-term funds</v>
          </cell>
          <cell r="N424" t="str">
            <v>n/a</v>
          </cell>
          <cell r="Q424" t="str">
            <v>Not mapped</v>
          </cell>
          <cell r="R424" t="str">
            <v>n/a</v>
          </cell>
          <cell r="S424" t="str">
            <v>n/a</v>
          </cell>
          <cell r="X424">
            <v>309080</v>
          </cell>
          <cell r="Y424" t="str">
            <v>n/a</v>
          </cell>
        </row>
        <row r="425">
          <cell r="B425" t="str">
            <v>726800</v>
          </cell>
          <cell r="M425" t="str">
            <v>Interest on L &amp; A and short-term funds</v>
          </cell>
          <cell r="N425" t="str">
            <v>n/a</v>
          </cell>
          <cell r="Q425" t="str">
            <v>IC: Call loans</v>
          </cell>
          <cell r="R425" t="str">
            <v>n/a</v>
          </cell>
          <cell r="S425" t="str">
            <v>n/a</v>
          </cell>
          <cell r="X425">
            <v>309080</v>
          </cell>
          <cell r="Y425" t="str">
            <v>n/a</v>
          </cell>
        </row>
        <row r="426">
          <cell r="B426" t="str">
            <v>729100</v>
          </cell>
          <cell r="M426" t="str">
            <v>Interest on L &amp; A and short-term funds</v>
          </cell>
          <cell r="N426" t="str">
            <v>n/a</v>
          </cell>
          <cell r="Q426" t="str">
            <v>IC: Vostro account</v>
          </cell>
          <cell r="R426" t="str">
            <v>n/a</v>
          </cell>
          <cell r="S426" t="str">
            <v>n/a</v>
          </cell>
          <cell r="X426">
            <v>309280</v>
          </cell>
          <cell r="Y426" t="str">
            <v>n/a</v>
          </cell>
        </row>
        <row r="427">
          <cell r="B427" t="str">
            <v>735260</v>
          </cell>
          <cell r="M427" t="str">
            <v>Interest on L &amp; A and short-term funds</v>
          </cell>
          <cell r="N427" t="str">
            <v>n/a</v>
          </cell>
          <cell r="Q427" t="str">
            <v>Not mapped</v>
          </cell>
          <cell r="R427" t="str">
            <v>n/a</v>
          </cell>
          <cell r="S427" t="str">
            <v>n/a</v>
          </cell>
          <cell r="X427">
            <v>309080</v>
          </cell>
          <cell r="Y427" t="str">
            <v>n/a</v>
          </cell>
        </row>
        <row r="428">
          <cell r="B428" t="str">
            <v>735740</v>
          </cell>
          <cell r="M428" t="str">
            <v>Interest on L &amp; A and short-term funds</v>
          </cell>
          <cell r="N428" t="str">
            <v>n/a</v>
          </cell>
          <cell r="Q428" t="str">
            <v xml:space="preserve">SBSA: Investment call </v>
          </cell>
          <cell r="R428" t="str">
            <v>n/a</v>
          </cell>
          <cell r="S428" t="str">
            <v>n/a</v>
          </cell>
          <cell r="X428">
            <v>309040</v>
          </cell>
          <cell r="Y428" t="str">
            <v>n/a</v>
          </cell>
        </row>
        <row r="429">
          <cell r="B429" t="str">
            <v>723240</v>
          </cell>
          <cell r="M429" t="str">
            <v>Interest on L &amp; A and short-term funds</v>
          </cell>
          <cell r="N429" t="str">
            <v>n/a</v>
          </cell>
          <cell r="Q429" t="str">
            <v>IC: Call loans</v>
          </cell>
          <cell r="R429" t="str">
            <v>n/a</v>
          </cell>
          <cell r="S429" t="str">
            <v>n/a</v>
          </cell>
          <cell r="X429" t="str">
            <v>Not mapped</v>
          </cell>
          <cell r="Y429" t="str">
            <v>n/a</v>
          </cell>
        </row>
        <row r="430">
          <cell r="B430" t="str">
            <v>700500</v>
          </cell>
          <cell r="M430" t="str">
            <v>Interest on L &amp; A and short-term funds</v>
          </cell>
          <cell r="N430" t="str">
            <v>n/a</v>
          </cell>
          <cell r="Q430" t="str">
            <v>n/a</v>
          </cell>
          <cell r="R430" t="str">
            <v>n/a</v>
          </cell>
          <cell r="S430" t="str">
            <v>n/a</v>
          </cell>
          <cell r="X430">
            <v>310730</v>
          </cell>
          <cell r="Y430" t="str">
            <v>n/a</v>
          </cell>
        </row>
        <row r="431">
          <cell r="B431" t="str">
            <v>740700</v>
          </cell>
          <cell r="M431" t="str">
            <v xml:space="preserve">Interest expense </v>
          </cell>
          <cell r="N431" t="str">
            <v>n/a</v>
          </cell>
          <cell r="Q431" t="str">
            <v>n/a</v>
          </cell>
          <cell r="R431" t="str">
            <v>Bonusplan</v>
          </cell>
          <cell r="S431" t="str">
            <v>n/a</v>
          </cell>
          <cell r="X431">
            <v>312440</v>
          </cell>
          <cell r="Y431" t="str">
            <v>n/a</v>
          </cell>
        </row>
        <row r="432">
          <cell r="B432" t="str">
            <v>741000</v>
          </cell>
          <cell r="M432" t="str">
            <v xml:space="preserve">Interest expense </v>
          </cell>
          <cell r="N432" t="str">
            <v>n/a</v>
          </cell>
          <cell r="Q432" t="str">
            <v>n/a</v>
          </cell>
          <cell r="R432" t="str">
            <v>Current account creditors</v>
          </cell>
          <cell r="S432" t="str">
            <v>n/a</v>
          </cell>
          <cell r="X432">
            <v>312460</v>
          </cell>
          <cell r="Y432" t="str">
            <v>n/a</v>
          </cell>
        </row>
        <row r="433">
          <cell r="B433" t="str">
            <v>741100</v>
          </cell>
          <cell r="M433" t="str">
            <v xml:space="preserve">Interest expense </v>
          </cell>
          <cell r="N433" t="str">
            <v>n/a</v>
          </cell>
          <cell r="Q433" t="str">
            <v>n/a</v>
          </cell>
          <cell r="R433" t="str">
            <v>Not mapped</v>
          </cell>
          <cell r="S433" t="str">
            <v>n/a</v>
          </cell>
          <cell r="X433">
            <v>312460</v>
          </cell>
          <cell r="Y433" t="str">
            <v>n/a</v>
          </cell>
        </row>
        <row r="434">
          <cell r="B434" t="str">
            <v>741200</v>
          </cell>
          <cell r="M434" t="str">
            <v xml:space="preserve">Interest expense </v>
          </cell>
          <cell r="N434" t="str">
            <v>n/a</v>
          </cell>
          <cell r="Q434" t="str">
            <v>n/a</v>
          </cell>
          <cell r="R434" t="str">
            <v>Current account creditors</v>
          </cell>
          <cell r="S434" t="str">
            <v>n/a</v>
          </cell>
          <cell r="X434">
            <v>312460</v>
          </cell>
          <cell r="Y434" t="str">
            <v>n/a</v>
          </cell>
        </row>
        <row r="435">
          <cell r="M435" t="str">
            <v xml:space="preserve">Interest expense </v>
          </cell>
          <cell r="N435" t="str">
            <v>n/a</v>
          </cell>
          <cell r="Q435" t="str">
            <v>n/a</v>
          </cell>
          <cell r="R435" t="str">
            <v>Cash management (c)</v>
          </cell>
          <cell r="S435" t="str">
            <v>n/a</v>
          </cell>
          <cell r="X435">
            <v>312460</v>
          </cell>
          <cell r="Y435" t="str">
            <v>n/a</v>
          </cell>
        </row>
        <row r="436">
          <cell r="B436" t="str">
            <v>741300</v>
          </cell>
          <cell r="M436" t="str">
            <v xml:space="preserve">Interest expense </v>
          </cell>
          <cell r="N436" t="str">
            <v>n/a</v>
          </cell>
          <cell r="Q436" t="str">
            <v>n/a</v>
          </cell>
          <cell r="R436" t="str">
            <v>Current account creditors</v>
          </cell>
          <cell r="S436" t="str">
            <v>n/a</v>
          </cell>
          <cell r="X436">
            <v>312460</v>
          </cell>
          <cell r="Y436" t="str">
            <v>n/a</v>
          </cell>
        </row>
        <row r="437">
          <cell r="B437" t="str">
            <v>741400</v>
          </cell>
          <cell r="M437" t="str">
            <v xml:space="preserve">Interest expense </v>
          </cell>
          <cell r="N437" t="str">
            <v>n/a</v>
          </cell>
          <cell r="Q437" t="str">
            <v>n/a</v>
          </cell>
          <cell r="R437" t="str">
            <v>Call deposists</v>
          </cell>
          <cell r="S437" t="str">
            <v>n/a</v>
          </cell>
          <cell r="X437">
            <v>312040</v>
          </cell>
          <cell r="Y437" t="str">
            <v>n/a</v>
          </cell>
        </row>
        <row r="438">
          <cell r="B438" t="str">
            <v>741700</v>
          </cell>
          <cell r="M438" t="str">
            <v xml:space="preserve">Interest expense </v>
          </cell>
          <cell r="N438" t="str">
            <v>n/a</v>
          </cell>
          <cell r="Q438" t="str">
            <v>n/a</v>
          </cell>
          <cell r="R438" t="str">
            <v>Not mapped</v>
          </cell>
          <cell r="S438" t="str">
            <v>n/a</v>
          </cell>
          <cell r="X438">
            <v>312300</v>
          </cell>
          <cell r="Y438" t="str">
            <v>n/a</v>
          </cell>
        </row>
        <row r="439">
          <cell r="B439" t="str">
            <v>741900</v>
          </cell>
          <cell r="M439" t="str">
            <v xml:space="preserve">Interest expense </v>
          </cell>
          <cell r="N439" t="str">
            <v>n/a</v>
          </cell>
          <cell r="Q439" t="str">
            <v>n/a</v>
          </cell>
          <cell r="R439" t="str">
            <v>Subordinated callable bond</v>
          </cell>
          <cell r="S439" t="str">
            <v>n/a</v>
          </cell>
          <cell r="X439">
            <v>312240</v>
          </cell>
          <cell r="Y439" t="str">
            <v>n/a</v>
          </cell>
        </row>
        <row r="440">
          <cell r="B440" t="str">
            <v>742200</v>
          </cell>
          <cell r="M440" t="str">
            <v xml:space="preserve">Interest expense </v>
          </cell>
          <cell r="N440" t="str">
            <v>n/a</v>
          </cell>
          <cell r="Q440" t="str">
            <v>n/a</v>
          </cell>
          <cell r="R440" t="str">
            <v>Fixed deposits</v>
          </cell>
          <cell r="S440" t="str">
            <v>n/a</v>
          </cell>
          <cell r="X440">
            <v>312440</v>
          </cell>
          <cell r="Y440" t="str">
            <v>n/a</v>
          </cell>
        </row>
        <row r="441">
          <cell r="B441" t="str">
            <v>742900</v>
          </cell>
          <cell r="M441" t="str">
            <v xml:space="preserve">Interest expense </v>
          </cell>
          <cell r="N441" t="str">
            <v>n/a</v>
          </cell>
          <cell r="Q441" t="str">
            <v>n/a</v>
          </cell>
          <cell r="R441" t="str">
            <v>Notice deposits</v>
          </cell>
          <cell r="S441" t="str">
            <v>n/a</v>
          </cell>
          <cell r="X441">
            <v>312520</v>
          </cell>
          <cell r="Y441" t="str">
            <v>n/a</v>
          </cell>
        </row>
        <row r="442">
          <cell r="B442" t="str">
            <v>743100</v>
          </cell>
          <cell r="M442" t="str">
            <v xml:space="preserve">Interest expense </v>
          </cell>
          <cell r="N442" t="str">
            <v>n/a</v>
          </cell>
          <cell r="Q442" t="str">
            <v>n/a</v>
          </cell>
          <cell r="R442" t="str">
            <v>Structured finance</v>
          </cell>
          <cell r="S442" t="str">
            <v>n/a</v>
          </cell>
          <cell r="X442">
            <v>312320</v>
          </cell>
          <cell r="Y442" t="str">
            <v>n/a</v>
          </cell>
        </row>
        <row r="443">
          <cell r="B443" t="str">
            <v>743400</v>
          </cell>
          <cell r="M443" t="str">
            <v xml:space="preserve">Interest expense </v>
          </cell>
          <cell r="N443" t="str">
            <v>n/a</v>
          </cell>
          <cell r="Q443" t="str">
            <v>n/a</v>
          </cell>
          <cell r="R443" t="str">
            <v>Plusplan</v>
          </cell>
          <cell r="S443" t="str">
            <v>n/a</v>
          </cell>
          <cell r="X443">
            <v>312440</v>
          </cell>
          <cell r="Y443" t="str">
            <v>n/a</v>
          </cell>
        </row>
        <row r="444">
          <cell r="B444" t="str">
            <v>743900</v>
          </cell>
          <cell r="M444" t="str">
            <v xml:space="preserve">Interest expense </v>
          </cell>
          <cell r="N444" t="str">
            <v>n/a</v>
          </cell>
          <cell r="Q444" t="str">
            <v>n/a</v>
          </cell>
          <cell r="R444" t="str">
            <v>Not mapped</v>
          </cell>
          <cell r="S444" t="str">
            <v>n/a</v>
          </cell>
          <cell r="X444">
            <v>312460</v>
          </cell>
          <cell r="Y444" t="str">
            <v>n/a</v>
          </cell>
        </row>
        <row r="445">
          <cell r="B445" t="str">
            <v>744200</v>
          </cell>
          <cell r="M445" t="str">
            <v xml:space="preserve">Interest expense </v>
          </cell>
          <cell r="N445" t="str">
            <v>n/a</v>
          </cell>
          <cell r="Q445" t="str">
            <v>n/a</v>
          </cell>
          <cell r="R445" t="str">
            <v>Vostro accounts with foreign banks</v>
          </cell>
          <cell r="S445" t="str">
            <v>n/a</v>
          </cell>
          <cell r="X445">
            <v>312480</v>
          </cell>
          <cell r="Y445" t="str">
            <v>n/a</v>
          </cell>
        </row>
        <row r="446">
          <cell r="B446" t="str">
            <v>763800</v>
          </cell>
          <cell r="M446" t="str">
            <v>Intercompany interest expense</v>
          </cell>
          <cell r="N446" t="str">
            <v>n/a</v>
          </cell>
          <cell r="Q446" t="str">
            <v>n/a</v>
          </cell>
          <cell r="R446" t="str">
            <v>US$50m SBSA swap  loan</v>
          </cell>
          <cell r="S446" t="str">
            <v>n/a</v>
          </cell>
          <cell r="X446">
            <v>312481</v>
          </cell>
          <cell r="Y446" t="str">
            <v>n/a</v>
          </cell>
        </row>
        <row r="447">
          <cell r="B447" t="str">
            <v>748700</v>
          </cell>
          <cell r="M447" t="str">
            <v xml:space="preserve">Interest expense </v>
          </cell>
          <cell r="N447" t="str">
            <v>n/a</v>
          </cell>
          <cell r="Q447" t="str">
            <v>n/a</v>
          </cell>
          <cell r="R447" t="str">
            <v>Call deposists</v>
          </cell>
          <cell r="S447" t="str">
            <v>n/a</v>
          </cell>
          <cell r="X447">
            <v>312540</v>
          </cell>
          <cell r="Y447" t="str">
            <v>n/a</v>
          </cell>
        </row>
        <row r="448">
          <cell r="B448" t="str">
            <v>749300</v>
          </cell>
          <cell r="M448" t="str">
            <v xml:space="preserve">Interest expense </v>
          </cell>
          <cell r="N448" t="str">
            <v>n/a</v>
          </cell>
          <cell r="Q448" t="str">
            <v>n/a</v>
          </cell>
          <cell r="R448" t="str">
            <v>Fixed deposits</v>
          </cell>
          <cell r="S448" t="str">
            <v>n/a</v>
          </cell>
          <cell r="X448">
            <v>312320</v>
          </cell>
          <cell r="Y448" t="str">
            <v>n/a</v>
          </cell>
        </row>
        <row r="449">
          <cell r="B449" t="str">
            <v>749400</v>
          </cell>
          <cell r="M449" t="str">
            <v xml:space="preserve">Interest expense </v>
          </cell>
          <cell r="N449" t="str">
            <v>n/a</v>
          </cell>
          <cell r="Q449" t="str">
            <v>n/a</v>
          </cell>
          <cell r="R449" t="str">
            <v>Fixed deposits: Other banks</v>
          </cell>
          <cell r="S449" t="str">
            <v>n/a</v>
          </cell>
          <cell r="X449">
            <v>312540</v>
          </cell>
          <cell r="Y449" t="str">
            <v>n/a</v>
          </cell>
        </row>
        <row r="450">
          <cell r="B450" t="str">
            <v>749700</v>
          </cell>
          <cell r="M450" t="str">
            <v xml:space="preserve">Interest expense </v>
          </cell>
          <cell r="N450" t="str">
            <v>n/a</v>
          </cell>
          <cell r="Q450" t="str">
            <v>n/a</v>
          </cell>
          <cell r="R450" t="str">
            <v>Not mapped</v>
          </cell>
          <cell r="S450" t="str">
            <v>n/a</v>
          </cell>
          <cell r="X450">
            <v>312320</v>
          </cell>
          <cell r="Y450" t="str">
            <v>n/a</v>
          </cell>
        </row>
        <row r="451">
          <cell r="B451" t="str">
            <v>750100</v>
          </cell>
          <cell r="M451" t="str">
            <v xml:space="preserve">Interest expense </v>
          </cell>
          <cell r="N451" t="str">
            <v>n/a</v>
          </cell>
          <cell r="Q451" t="str">
            <v>n/a</v>
          </cell>
          <cell r="R451" t="str">
            <v>NCD's</v>
          </cell>
          <cell r="S451" t="str">
            <v>n/a</v>
          </cell>
          <cell r="X451">
            <v>312280</v>
          </cell>
          <cell r="Y451" t="str">
            <v>n/a</v>
          </cell>
        </row>
        <row r="452">
          <cell r="B452" t="str">
            <v>740005</v>
          </cell>
          <cell r="M452" t="str">
            <v xml:space="preserve">Interest expense </v>
          </cell>
          <cell r="N452" t="str">
            <v>n/a</v>
          </cell>
          <cell r="Q452" t="str">
            <v>n/a</v>
          </cell>
          <cell r="R452" t="str">
            <v>Not mapped</v>
          </cell>
          <cell r="S452" t="str">
            <v>n/a</v>
          </cell>
          <cell r="X452">
            <v>312040</v>
          </cell>
          <cell r="Y452" t="str">
            <v>n/a</v>
          </cell>
        </row>
        <row r="453">
          <cell r="B453" t="str">
            <v>740010</v>
          </cell>
          <cell r="M453" t="str">
            <v xml:space="preserve">Interest expense </v>
          </cell>
          <cell r="N453" t="str">
            <v>n/a</v>
          </cell>
          <cell r="Q453" t="str">
            <v>n/a</v>
          </cell>
          <cell r="R453" t="str">
            <v>Not mapped</v>
          </cell>
          <cell r="S453" t="str">
            <v>n/a</v>
          </cell>
          <cell r="X453">
            <v>312040</v>
          </cell>
          <cell r="Y453" t="str">
            <v>n/a</v>
          </cell>
        </row>
        <row r="454">
          <cell r="B454" t="str">
            <v>753600</v>
          </cell>
          <cell r="M454" t="str">
            <v xml:space="preserve">Interest expense </v>
          </cell>
          <cell r="N454" t="str">
            <v>n/a</v>
          </cell>
          <cell r="Q454" t="str">
            <v>n/a</v>
          </cell>
          <cell r="R454" t="str">
            <v>Not mapped</v>
          </cell>
          <cell r="S454" t="str">
            <v>n/a</v>
          </cell>
          <cell r="X454">
            <v>312440</v>
          </cell>
          <cell r="Y454" t="str">
            <v>n/a</v>
          </cell>
        </row>
        <row r="455">
          <cell r="B455" t="str">
            <v>754400</v>
          </cell>
          <cell r="M455" t="str">
            <v xml:space="preserve">Interest expense </v>
          </cell>
          <cell r="N455" t="str">
            <v>n/a</v>
          </cell>
          <cell r="Q455" t="str">
            <v>n/a</v>
          </cell>
          <cell r="R455" t="str">
            <v>Not mapped</v>
          </cell>
          <cell r="S455" t="str">
            <v>n/a</v>
          </cell>
          <cell r="X455">
            <v>312080</v>
          </cell>
          <cell r="Y455" t="str">
            <v>n/a</v>
          </cell>
        </row>
        <row r="456">
          <cell r="B456" t="str">
            <v>755800</v>
          </cell>
          <cell r="M456" t="str">
            <v xml:space="preserve">Interest expense </v>
          </cell>
          <cell r="N456" t="str">
            <v>n/a</v>
          </cell>
          <cell r="Q456" t="str">
            <v>n/a</v>
          </cell>
          <cell r="R456" t="str">
            <v>Not mapped</v>
          </cell>
          <cell r="S456" t="str">
            <v>n/a</v>
          </cell>
          <cell r="X456">
            <v>312040</v>
          </cell>
          <cell r="Y456" t="str">
            <v>n/a</v>
          </cell>
        </row>
        <row r="457">
          <cell r="B457" t="str">
            <v>756900</v>
          </cell>
          <cell r="M457" t="str">
            <v xml:space="preserve">Interest expense </v>
          </cell>
          <cell r="N457" t="str">
            <v>n/a</v>
          </cell>
          <cell r="Q457" t="str">
            <v>n/a</v>
          </cell>
          <cell r="R457" t="str">
            <v>Notice deposits</v>
          </cell>
          <cell r="S457" t="str">
            <v>n/a</v>
          </cell>
          <cell r="X457">
            <v>312040</v>
          </cell>
          <cell r="Y457" t="str">
            <v>n/a</v>
          </cell>
        </row>
        <row r="458">
          <cell r="B458" t="str">
            <v>757300</v>
          </cell>
          <cell r="M458" t="str">
            <v xml:space="preserve">Interest expense </v>
          </cell>
          <cell r="N458" t="str">
            <v>n/a</v>
          </cell>
          <cell r="Q458" t="str">
            <v>n/a</v>
          </cell>
          <cell r="R458" t="str">
            <v>Call deposists</v>
          </cell>
          <cell r="S458" t="str">
            <v>n/a</v>
          </cell>
          <cell r="X458">
            <v>312080</v>
          </cell>
          <cell r="Y458" t="str">
            <v>n/a</v>
          </cell>
        </row>
        <row r="459">
          <cell r="B459" t="str">
            <v>758700</v>
          </cell>
          <cell r="M459" t="str">
            <v xml:space="preserve">Interest expense </v>
          </cell>
          <cell r="N459" t="str">
            <v>n/a</v>
          </cell>
          <cell r="Q459" t="str">
            <v>n/a</v>
          </cell>
          <cell r="R459" t="str">
            <v>Call deposists</v>
          </cell>
          <cell r="S459" t="str">
            <v>n/a</v>
          </cell>
          <cell r="X459">
            <v>312040</v>
          </cell>
          <cell r="Y459" t="str">
            <v>n/a</v>
          </cell>
        </row>
        <row r="460">
          <cell r="B460" t="str">
            <v>751100</v>
          </cell>
          <cell r="M460" t="str">
            <v xml:space="preserve">Interest expense </v>
          </cell>
          <cell r="N460" t="str">
            <v>n/a</v>
          </cell>
          <cell r="Q460" t="str">
            <v>n/a</v>
          </cell>
          <cell r="R460" t="str">
            <v>Call deposists</v>
          </cell>
          <cell r="S460" t="str">
            <v>n/a</v>
          </cell>
          <cell r="X460">
            <v>312040</v>
          </cell>
          <cell r="Y460" t="str">
            <v>n/a</v>
          </cell>
        </row>
        <row r="461">
          <cell r="B461" t="str">
            <v>759100</v>
          </cell>
          <cell r="M461" t="str">
            <v xml:space="preserve">Interest expense </v>
          </cell>
          <cell r="N461" t="str">
            <v>n/a</v>
          </cell>
          <cell r="Q461" t="str">
            <v>n/a</v>
          </cell>
          <cell r="R461" t="str">
            <v>Nostro accounts with foreign banks</v>
          </cell>
          <cell r="S461" t="str">
            <v>n/a</v>
          </cell>
          <cell r="X461">
            <v>312080</v>
          </cell>
          <cell r="Y461" t="str">
            <v>n/a</v>
          </cell>
        </row>
        <row r="462">
          <cell r="B462" t="str">
            <v>763300</v>
          </cell>
          <cell r="M462" t="str">
            <v xml:space="preserve">Interest expense </v>
          </cell>
          <cell r="N462" t="str">
            <v>n/a</v>
          </cell>
          <cell r="Q462" t="str">
            <v>n/a</v>
          </cell>
          <cell r="R462" t="str">
            <v>Not mapped</v>
          </cell>
          <cell r="S462" t="str">
            <v>n/a</v>
          </cell>
          <cell r="X462">
            <v>312440</v>
          </cell>
          <cell r="Y462" t="str">
            <v>n/a</v>
          </cell>
        </row>
        <row r="463">
          <cell r="B463" t="str">
            <v>764400</v>
          </cell>
          <cell r="M463" t="str">
            <v xml:space="preserve">Interest expense </v>
          </cell>
          <cell r="N463" t="str">
            <v>n/a</v>
          </cell>
          <cell r="Q463" t="str">
            <v>n/a</v>
          </cell>
          <cell r="R463" t="str">
            <v>Call deposists</v>
          </cell>
          <cell r="S463" t="str">
            <v>n/a</v>
          </cell>
          <cell r="X463">
            <v>312020</v>
          </cell>
          <cell r="Y463" t="str">
            <v>n/a</v>
          </cell>
        </row>
        <row r="464">
          <cell r="B464" t="str">
            <v>765800</v>
          </cell>
          <cell r="M464" t="str">
            <v xml:space="preserve">Interest expense </v>
          </cell>
          <cell r="N464" t="str">
            <v>n/a</v>
          </cell>
          <cell r="Q464" t="str">
            <v>n/a</v>
          </cell>
          <cell r="R464" t="str">
            <v>Foreign currency deposits (banks &amp; customers)</v>
          </cell>
          <cell r="S464" t="str">
            <v>n/a</v>
          </cell>
          <cell r="X464">
            <v>312040</v>
          </cell>
          <cell r="Y464" t="str">
            <v>n/a</v>
          </cell>
        </row>
        <row r="465">
          <cell r="B465" t="str">
            <v>766110</v>
          </cell>
          <cell r="M465" t="str">
            <v xml:space="preserve">Interest expense </v>
          </cell>
          <cell r="N465" t="str">
            <v>n/a</v>
          </cell>
          <cell r="Q465" t="str">
            <v>n/a</v>
          </cell>
          <cell r="R465" t="str">
            <v>NCD's</v>
          </cell>
          <cell r="S465" t="str">
            <v>n/a</v>
          </cell>
          <cell r="X465">
            <v>312500</v>
          </cell>
          <cell r="Y465" t="str">
            <v>n/a</v>
          </cell>
        </row>
        <row r="466">
          <cell r="B466" t="str">
            <v>745800</v>
          </cell>
          <cell r="M466" t="str">
            <v xml:space="preserve">Interest expense </v>
          </cell>
          <cell r="N466" t="str">
            <v>n/a</v>
          </cell>
          <cell r="Q466" t="str">
            <v>n/a</v>
          </cell>
          <cell r="R466" t="str">
            <v>Not mapped</v>
          </cell>
          <cell r="S466" t="str">
            <v>n/a</v>
          </cell>
          <cell r="X466">
            <v>312600</v>
          </cell>
          <cell r="Y466" t="str">
            <v>n/a</v>
          </cell>
        </row>
        <row r="467">
          <cell r="B467" t="str">
            <v>740020</v>
          </cell>
          <cell r="M467" t="str">
            <v>Intercompany interest expense</v>
          </cell>
          <cell r="N467" t="str">
            <v>n/a</v>
          </cell>
          <cell r="Q467" t="str">
            <v>n/a</v>
          </cell>
          <cell r="R467" t="str">
            <v>Not mapped</v>
          </cell>
          <cell r="S467" t="str">
            <v>n/a</v>
          </cell>
          <cell r="X467">
            <v>313340</v>
          </cell>
          <cell r="Y467" t="str">
            <v>n/a</v>
          </cell>
        </row>
        <row r="468">
          <cell r="B468" t="str">
            <v>747000</v>
          </cell>
          <cell r="M468" t="str">
            <v>Intercompany interest expense</v>
          </cell>
          <cell r="N468" t="str">
            <v>n/a</v>
          </cell>
          <cell r="Q468" t="str">
            <v>n/a</v>
          </cell>
          <cell r="R468" t="str">
            <v>Other group banks: Fixed deposists</v>
          </cell>
          <cell r="S468" t="str">
            <v>n/a</v>
          </cell>
          <cell r="X468">
            <v>313140</v>
          </cell>
          <cell r="Y468" t="str">
            <v>n/a</v>
          </cell>
        </row>
        <row r="469">
          <cell r="B469" t="str">
            <v>756800</v>
          </cell>
          <cell r="M469" t="str">
            <v>Intercompany interest expense</v>
          </cell>
          <cell r="N469" t="str">
            <v>n/a</v>
          </cell>
          <cell r="Q469" t="str">
            <v>n/a</v>
          </cell>
          <cell r="R469" t="str">
            <v>Not mapped</v>
          </cell>
          <cell r="S469" t="str">
            <v>n/a</v>
          </cell>
          <cell r="X469">
            <v>313040</v>
          </cell>
          <cell r="Y469" t="str">
            <v>n/a</v>
          </cell>
        </row>
        <row r="470">
          <cell r="B470" t="str">
            <v>759400</v>
          </cell>
          <cell r="M470" t="str">
            <v>Intercompany interest expense</v>
          </cell>
          <cell r="N470" t="str">
            <v>n/a</v>
          </cell>
          <cell r="Q470" t="str">
            <v>n/a</v>
          </cell>
          <cell r="R470" t="str">
            <v>IC: foreign currency deposits (Mauritius)</v>
          </cell>
          <cell r="S470" t="str">
            <v>n/a</v>
          </cell>
          <cell r="X470">
            <v>313340</v>
          </cell>
          <cell r="Y470" t="str">
            <v>n/a</v>
          </cell>
        </row>
        <row r="471">
          <cell r="B471" t="str">
            <v>759800</v>
          </cell>
          <cell r="M471" t="str">
            <v>Intercompany interest expense</v>
          </cell>
          <cell r="N471" t="str">
            <v>n/a</v>
          </cell>
          <cell r="Q471" t="str">
            <v>n/a</v>
          </cell>
          <cell r="R471" t="str">
            <v>SBSA: Vostro Account</v>
          </cell>
          <cell r="S471" t="str">
            <v>n/a</v>
          </cell>
          <cell r="X471">
            <v>313340</v>
          </cell>
          <cell r="Y471" t="str">
            <v>n/a</v>
          </cell>
        </row>
        <row r="472">
          <cell r="B472" t="str">
            <v>762900</v>
          </cell>
          <cell r="M472" t="str">
            <v>Intercompany interest expense</v>
          </cell>
          <cell r="N472" t="str">
            <v>n/a</v>
          </cell>
          <cell r="Q472" t="str">
            <v>n/a</v>
          </cell>
          <cell r="R472" t="str">
            <v>Other group banks: Call deposists</v>
          </cell>
          <cell r="S472" t="str">
            <v>n/a</v>
          </cell>
          <cell r="X472">
            <v>313320</v>
          </cell>
          <cell r="Y472" t="str">
            <v>n/a</v>
          </cell>
        </row>
        <row r="473">
          <cell r="B473" t="str">
            <v>763400</v>
          </cell>
          <cell r="M473" t="str">
            <v>Intercompany interest expense</v>
          </cell>
          <cell r="N473" t="str">
            <v>n/a</v>
          </cell>
          <cell r="Q473" t="str">
            <v>n/a</v>
          </cell>
          <cell r="R473" t="str">
            <v>Not mapped</v>
          </cell>
          <cell r="S473" t="str">
            <v>n/a</v>
          </cell>
          <cell r="X473">
            <v>313440</v>
          </cell>
          <cell r="Y473" t="str">
            <v>n/a</v>
          </cell>
        </row>
        <row r="474">
          <cell r="B474" t="str">
            <v>763700</v>
          </cell>
          <cell r="M474" t="str">
            <v>Intercompany interest expense</v>
          </cell>
          <cell r="N474" t="str">
            <v>n/a</v>
          </cell>
          <cell r="Q474" t="str">
            <v>n/a</v>
          </cell>
          <cell r="R474" t="str">
            <v>IC: foreign currency deposits (Mauritius)</v>
          </cell>
          <cell r="S474" t="str">
            <v>n/a</v>
          </cell>
          <cell r="X474">
            <v>313320</v>
          </cell>
          <cell r="Y474" t="str">
            <v>n/a</v>
          </cell>
        </row>
        <row r="475">
          <cell r="B475" t="str">
            <v>766130</v>
          </cell>
          <cell r="M475" t="str">
            <v>Intercompany interest expense</v>
          </cell>
          <cell r="N475" t="str">
            <v>n/a</v>
          </cell>
          <cell r="Q475" t="str">
            <v>n/a</v>
          </cell>
          <cell r="R475" t="str">
            <v>SBSA: Call deposits</v>
          </cell>
          <cell r="S475" t="str">
            <v>n/a</v>
          </cell>
          <cell r="X475">
            <v>313320</v>
          </cell>
          <cell r="Y475" t="str">
            <v>n/a</v>
          </cell>
        </row>
        <row r="476">
          <cell r="B476" t="str">
            <v>770400</v>
          </cell>
          <cell r="M476" t="str">
            <v>Specific impairment (non-performing loans)</v>
          </cell>
          <cell r="N476" t="str">
            <v>n/a</v>
          </cell>
          <cell r="Q476" t="str">
            <v>n/a</v>
          </cell>
          <cell r="R476" t="str">
            <v>n/a</v>
          </cell>
          <cell r="S476" t="str">
            <v>n/a</v>
          </cell>
          <cell r="X476">
            <v>314300</v>
          </cell>
          <cell r="Y476" t="str">
            <v>n/a</v>
          </cell>
        </row>
        <row r="477">
          <cell r="B477" t="str">
            <v>770600</v>
          </cell>
          <cell r="M477" t="str">
            <v>Specific impairment (non-performing loans)</v>
          </cell>
          <cell r="N477" t="str">
            <v>n/a</v>
          </cell>
          <cell r="Q477" t="str">
            <v>n/a</v>
          </cell>
          <cell r="R477" t="str">
            <v>n/a</v>
          </cell>
          <cell r="S477" t="str">
            <v>n/a</v>
          </cell>
          <cell r="X477">
            <v>314350</v>
          </cell>
          <cell r="Y477" t="str">
            <v>n/a</v>
          </cell>
        </row>
        <row r="478">
          <cell r="B478" t="str">
            <v>770800</v>
          </cell>
          <cell r="M478" t="str">
            <v>Specific impairment (non-performing loans)</v>
          </cell>
          <cell r="N478" t="str">
            <v>n/a</v>
          </cell>
          <cell r="Q478" t="str">
            <v>n/a</v>
          </cell>
          <cell r="R478" t="str">
            <v>n/a</v>
          </cell>
          <cell r="S478" t="str">
            <v>n/a</v>
          </cell>
          <cell r="X478">
            <v>314150</v>
          </cell>
          <cell r="Y478" t="str">
            <v>n/a</v>
          </cell>
        </row>
        <row r="479">
          <cell r="B479" t="str">
            <v>772200</v>
          </cell>
          <cell r="M479" t="str">
            <v>Specific impairment (non-performing loans)</v>
          </cell>
          <cell r="N479" t="str">
            <v>n/a</v>
          </cell>
          <cell r="Q479" t="str">
            <v>n/a</v>
          </cell>
          <cell r="R479" t="str">
            <v>n/a</v>
          </cell>
          <cell r="S479" t="str">
            <v>n/a</v>
          </cell>
          <cell r="X479">
            <v>314350</v>
          </cell>
          <cell r="Y479" t="str">
            <v>n/a</v>
          </cell>
        </row>
        <row r="480">
          <cell r="B480" t="str">
            <v>774200</v>
          </cell>
          <cell r="M480" t="str">
            <v>Specific impairment (non-performing loans)</v>
          </cell>
          <cell r="N480" t="str">
            <v>n/a</v>
          </cell>
          <cell r="Q480" t="str">
            <v>n/a</v>
          </cell>
          <cell r="R480" t="str">
            <v>n/a</v>
          </cell>
          <cell r="S480" t="str">
            <v>n/a</v>
          </cell>
          <cell r="X480">
            <v>314200</v>
          </cell>
          <cell r="Y480" t="str">
            <v>n/a</v>
          </cell>
        </row>
        <row r="481">
          <cell r="B481" t="str">
            <v>774500</v>
          </cell>
          <cell r="M481" t="str">
            <v>Specific impairment (non-performing loans)</v>
          </cell>
          <cell r="N481" t="str">
            <v>n/a</v>
          </cell>
          <cell r="Q481" t="str">
            <v>n/a</v>
          </cell>
          <cell r="R481" t="str">
            <v>n/a</v>
          </cell>
          <cell r="S481" t="str">
            <v>n/a</v>
          </cell>
          <cell r="X481">
            <v>314200</v>
          </cell>
          <cell r="Y481" t="str">
            <v>n/a</v>
          </cell>
        </row>
        <row r="482">
          <cell r="B482" t="str">
            <v>771300</v>
          </cell>
          <cell r="M482" t="str">
            <v>Specific impairment (non-performing loans)</v>
          </cell>
          <cell r="N482" t="str">
            <v>n/a</v>
          </cell>
          <cell r="Q482" t="str">
            <v>n/a</v>
          </cell>
          <cell r="R482" t="str">
            <v>n/a</v>
          </cell>
          <cell r="S482" t="str">
            <v>n/a</v>
          </cell>
          <cell r="X482">
            <v>314350</v>
          </cell>
          <cell r="Y482" t="str">
            <v>n/a</v>
          </cell>
        </row>
        <row r="483">
          <cell r="B483" t="str">
            <v>771600</v>
          </cell>
          <cell r="M483" t="str">
            <v>Specific impairment (non-performing loans)</v>
          </cell>
          <cell r="N483" t="str">
            <v>n/a</v>
          </cell>
          <cell r="Q483" t="str">
            <v>n/a</v>
          </cell>
          <cell r="R483" t="str">
            <v>n/a</v>
          </cell>
          <cell r="S483" t="str">
            <v>n/a</v>
          </cell>
          <cell r="X483">
            <v>314300</v>
          </cell>
          <cell r="Y483" t="str">
            <v>n/a</v>
          </cell>
        </row>
        <row r="484">
          <cell r="B484" t="str">
            <v>793100</v>
          </cell>
          <cell r="M484" t="str">
            <v>Unidentified impairment (performing loans)</v>
          </cell>
          <cell r="N484" t="str">
            <v>n/a</v>
          </cell>
          <cell r="Q484" t="str">
            <v>n/a</v>
          </cell>
          <cell r="R484" t="str">
            <v>n/a</v>
          </cell>
          <cell r="S484" t="str">
            <v>n/a</v>
          </cell>
          <cell r="X484">
            <v>315200</v>
          </cell>
          <cell r="Y484" t="str">
            <v>n/a</v>
          </cell>
        </row>
        <row r="485">
          <cell r="B485" t="str">
            <v>802910</v>
          </cell>
          <cell r="M485" t="str">
            <v>Fees and commission income</v>
          </cell>
          <cell r="N485" t="str">
            <v>Point of representation transactions</v>
          </cell>
          <cell r="Q485" t="str">
            <v>n/a</v>
          </cell>
          <cell r="R485" t="str">
            <v>n/a</v>
          </cell>
          <cell r="S485" t="str">
            <v>Plusplan</v>
          </cell>
          <cell r="X485">
            <v>317050</v>
          </cell>
          <cell r="Y485" t="str">
            <v>n/a</v>
          </cell>
        </row>
        <row r="486">
          <cell r="B486" t="str">
            <v>804600</v>
          </cell>
          <cell r="M486" t="str">
            <v>Fees and commission income</v>
          </cell>
          <cell r="N486" t="str">
            <v>Point of representation transactions</v>
          </cell>
          <cell r="Q486" t="str">
            <v>n/a</v>
          </cell>
          <cell r="R486" t="str">
            <v>n/a</v>
          </cell>
          <cell r="S486" t="str">
            <v>Current account debtors</v>
          </cell>
          <cell r="X486">
            <v>317050</v>
          </cell>
          <cell r="Y486" t="str">
            <v>n/a</v>
          </cell>
        </row>
        <row r="487">
          <cell r="B487" t="str">
            <v>806100</v>
          </cell>
          <cell r="M487" t="str">
            <v>Fees and commission income</v>
          </cell>
          <cell r="N487" t="str">
            <v>Point of representation transactions</v>
          </cell>
          <cell r="Q487" t="str">
            <v>n/a</v>
          </cell>
          <cell r="R487" t="str">
            <v>n/a</v>
          </cell>
          <cell r="S487" t="str">
            <v>Cross-product fees</v>
          </cell>
          <cell r="X487">
            <v>317050</v>
          </cell>
          <cell r="Y487" t="str">
            <v>n/a</v>
          </cell>
        </row>
        <row r="488">
          <cell r="B488" t="str">
            <v>813300</v>
          </cell>
          <cell r="M488" t="str">
            <v>Fees and commission income</v>
          </cell>
          <cell r="N488" t="str">
            <v>Point of representation transactions</v>
          </cell>
          <cell r="Q488" t="str">
            <v>n/a</v>
          </cell>
          <cell r="R488" t="str">
            <v>n/a</v>
          </cell>
          <cell r="S488" t="str">
            <v>Cross-product fees</v>
          </cell>
          <cell r="X488">
            <v>317050</v>
          </cell>
          <cell r="Y488" t="str">
            <v>n/a</v>
          </cell>
        </row>
        <row r="489">
          <cell r="B489" t="str">
            <v>813400</v>
          </cell>
          <cell r="M489" t="str">
            <v>Fees and commission income</v>
          </cell>
          <cell r="N489" t="str">
            <v>Point of representation transactions</v>
          </cell>
          <cell r="Q489" t="str">
            <v>n/a</v>
          </cell>
          <cell r="R489" t="str">
            <v>n/a</v>
          </cell>
          <cell r="S489" t="str">
            <v>Current account debtors</v>
          </cell>
          <cell r="X489">
            <v>317050</v>
          </cell>
          <cell r="Y489" t="str">
            <v>n/a</v>
          </cell>
        </row>
        <row r="490">
          <cell r="B490" t="str">
            <v>813500</v>
          </cell>
          <cell r="M490" t="str">
            <v>Fees and commission income</v>
          </cell>
          <cell r="N490" t="str">
            <v>Point of representation transactions</v>
          </cell>
          <cell r="Q490" t="str">
            <v>n/a</v>
          </cell>
          <cell r="R490" t="str">
            <v>n/a</v>
          </cell>
          <cell r="S490" t="str">
            <v>Plusplan</v>
          </cell>
          <cell r="X490">
            <v>317050</v>
          </cell>
          <cell r="Y490" t="str">
            <v>n/a</v>
          </cell>
        </row>
        <row r="491">
          <cell r="B491" t="str">
            <v>813900</v>
          </cell>
          <cell r="M491" t="str">
            <v>Fees and commission income</v>
          </cell>
          <cell r="N491" t="str">
            <v>Point of representation transactions</v>
          </cell>
          <cell r="Q491" t="str">
            <v>n/a</v>
          </cell>
          <cell r="R491" t="str">
            <v>n/a</v>
          </cell>
          <cell r="S491" t="str">
            <v>Cross-product fees</v>
          </cell>
          <cell r="X491">
            <v>317050</v>
          </cell>
          <cell r="Y491" t="str">
            <v>n/a</v>
          </cell>
        </row>
        <row r="492">
          <cell r="B492" t="str">
            <v>814000</v>
          </cell>
          <cell r="M492" t="str">
            <v>Fees and commission income</v>
          </cell>
          <cell r="N492" t="str">
            <v>Point of representation transactions</v>
          </cell>
          <cell r="Q492" t="str">
            <v>n/a</v>
          </cell>
          <cell r="R492" t="str">
            <v>n/a</v>
          </cell>
          <cell r="S492" t="str">
            <v>Plusplan</v>
          </cell>
          <cell r="X492">
            <v>317050</v>
          </cell>
          <cell r="Y492" t="str">
            <v>n/a</v>
          </cell>
        </row>
        <row r="493">
          <cell r="B493" t="str">
            <v>814100</v>
          </cell>
          <cell r="M493" t="str">
            <v>Fees and commission income</v>
          </cell>
          <cell r="N493" t="str">
            <v>Point of representation transactions</v>
          </cell>
          <cell r="Q493" t="str">
            <v>n/a</v>
          </cell>
          <cell r="R493" t="str">
            <v>n/a</v>
          </cell>
          <cell r="S493" t="str">
            <v>Cross-product fees</v>
          </cell>
          <cell r="X493">
            <v>317050</v>
          </cell>
          <cell r="Y493" t="str">
            <v>n/a</v>
          </cell>
        </row>
        <row r="494">
          <cell r="B494" t="str">
            <v>814200</v>
          </cell>
          <cell r="M494" t="str">
            <v>Fees and commission income</v>
          </cell>
          <cell r="N494" t="str">
            <v>Point of representation transactions</v>
          </cell>
          <cell r="Q494" t="str">
            <v>n/a</v>
          </cell>
          <cell r="R494" t="str">
            <v>n/a</v>
          </cell>
          <cell r="S494" t="str">
            <v>Cross-product fees</v>
          </cell>
          <cell r="X494">
            <v>317050</v>
          </cell>
          <cell r="Y494" t="str">
            <v>n/a</v>
          </cell>
        </row>
        <row r="495">
          <cell r="B495" t="str">
            <v>814300</v>
          </cell>
          <cell r="M495" t="str">
            <v>Fees and commission income</v>
          </cell>
          <cell r="N495" t="str">
            <v>Point of representation transactions</v>
          </cell>
          <cell r="Q495" t="str">
            <v>n/a</v>
          </cell>
          <cell r="R495" t="str">
            <v>n/a</v>
          </cell>
          <cell r="S495" t="str">
            <v>Cross-product fees</v>
          </cell>
          <cell r="X495">
            <v>317050</v>
          </cell>
          <cell r="Y495" t="str">
            <v>n/a</v>
          </cell>
        </row>
        <row r="496">
          <cell r="B496" t="str">
            <v>814400</v>
          </cell>
          <cell r="M496" t="str">
            <v>Fees and commission income</v>
          </cell>
          <cell r="N496" t="str">
            <v>Point of representation transactions</v>
          </cell>
          <cell r="Q496" t="str">
            <v>n/a</v>
          </cell>
          <cell r="R496" t="str">
            <v>n/a</v>
          </cell>
          <cell r="S496" t="str">
            <v>Cross-product fees</v>
          </cell>
          <cell r="X496">
            <v>317050</v>
          </cell>
          <cell r="Y496" t="str">
            <v>n/a</v>
          </cell>
        </row>
        <row r="497">
          <cell r="B497" t="str">
            <v>814600</v>
          </cell>
          <cell r="M497" t="str">
            <v>Fees and commission income</v>
          </cell>
          <cell r="N497" t="str">
            <v>Point of representation transactions</v>
          </cell>
          <cell r="Q497" t="str">
            <v>n/a</v>
          </cell>
          <cell r="R497" t="str">
            <v>n/a</v>
          </cell>
          <cell r="S497" t="str">
            <v>Cross-product fees</v>
          </cell>
          <cell r="X497">
            <v>317050</v>
          </cell>
          <cell r="Y497" t="str">
            <v>n/a</v>
          </cell>
        </row>
        <row r="498">
          <cell r="B498" t="str">
            <v>814700</v>
          </cell>
          <cell r="M498" t="str">
            <v>Fees and commission income</v>
          </cell>
          <cell r="N498" t="str">
            <v>Point of representation transactions</v>
          </cell>
          <cell r="Q498" t="str">
            <v>n/a</v>
          </cell>
          <cell r="R498" t="str">
            <v>n/a</v>
          </cell>
          <cell r="S498" t="str">
            <v>Cross-product fees</v>
          </cell>
          <cell r="X498">
            <v>317050</v>
          </cell>
          <cell r="Y498" t="str">
            <v>n/a</v>
          </cell>
        </row>
        <row r="499">
          <cell r="B499" t="str">
            <v>814800</v>
          </cell>
          <cell r="M499" t="str">
            <v>Fees and commission income</v>
          </cell>
          <cell r="N499" t="str">
            <v>Point of representation transactions</v>
          </cell>
          <cell r="Q499" t="str">
            <v>n/a</v>
          </cell>
          <cell r="R499" t="str">
            <v>n/a</v>
          </cell>
          <cell r="S499" t="str">
            <v>Current account debtors</v>
          </cell>
          <cell r="X499">
            <v>317050</v>
          </cell>
          <cell r="Y499" t="str">
            <v>n/a</v>
          </cell>
        </row>
        <row r="500">
          <cell r="B500" t="str">
            <v>814900</v>
          </cell>
          <cell r="M500" t="str">
            <v>Fees and commission income</v>
          </cell>
          <cell r="N500" t="str">
            <v>Point of representation transactions</v>
          </cell>
          <cell r="Q500" t="str">
            <v>n/a</v>
          </cell>
          <cell r="R500" t="str">
            <v>n/a</v>
          </cell>
          <cell r="S500" t="str">
            <v>Current account debtors</v>
          </cell>
          <cell r="X500">
            <v>317050</v>
          </cell>
          <cell r="Y500" t="str">
            <v>n/a</v>
          </cell>
        </row>
        <row r="501">
          <cell r="B501" t="str">
            <v>815100</v>
          </cell>
          <cell r="M501" t="str">
            <v>Fees and commission income</v>
          </cell>
          <cell r="N501" t="str">
            <v>Point of representation transactions</v>
          </cell>
          <cell r="Q501" t="str">
            <v>n/a</v>
          </cell>
          <cell r="R501" t="str">
            <v>n/a</v>
          </cell>
          <cell r="S501" t="str">
            <v>Current account debtors</v>
          </cell>
          <cell r="X501">
            <v>317050</v>
          </cell>
          <cell r="Y501" t="str">
            <v>n/a</v>
          </cell>
        </row>
        <row r="502">
          <cell r="B502" t="str">
            <v>815200</v>
          </cell>
          <cell r="M502" t="str">
            <v>Fees and commission income</v>
          </cell>
          <cell r="N502" t="str">
            <v>Point of representation transactions</v>
          </cell>
          <cell r="Q502" t="str">
            <v>n/a</v>
          </cell>
          <cell r="R502" t="str">
            <v>n/a</v>
          </cell>
          <cell r="S502" t="str">
            <v>Cross-product fees</v>
          </cell>
          <cell r="X502">
            <v>317050</v>
          </cell>
          <cell r="Y502" t="str">
            <v>n/a</v>
          </cell>
        </row>
        <row r="503">
          <cell r="B503" t="str">
            <v>815300</v>
          </cell>
          <cell r="M503" t="str">
            <v>Fees and commission income</v>
          </cell>
          <cell r="N503" t="str">
            <v>Point of representation transactions</v>
          </cell>
          <cell r="Q503" t="str">
            <v>n/a</v>
          </cell>
          <cell r="R503" t="str">
            <v>n/a</v>
          </cell>
          <cell r="S503" t="str">
            <v>Cross-product fees</v>
          </cell>
          <cell r="X503">
            <v>317050</v>
          </cell>
          <cell r="Y503" t="str">
            <v>n/a</v>
          </cell>
        </row>
        <row r="504">
          <cell r="B504" t="str">
            <v>815500</v>
          </cell>
          <cell r="M504" t="str">
            <v>Fees and commission income</v>
          </cell>
          <cell r="N504" t="str">
            <v>Point of representation transactions</v>
          </cell>
          <cell r="Q504" t="str">
            <v>n/a</v>
          </cell>
          <cell r="R504" t="str">
            <v>n/a</v>
          </cell>
          <cell r="S504" t="str">
            <v>Cross-product fees</v>
          </cell>
          <cell r="X504">
            <v>317050</v>
          </cell>
          <cell r="Y504" t="str">
            <v>n/a</v>
          </cell>
        </row>
        <row r="505">
          <cell r="B505" t="str">
            <v>815600</v>
          </cell>
          <cell r="M505" t="str">
            <v>Fees and commission income</v>
          </cell>
          <cell r="N505" t="str">
            <v>Point of representation transactions</v>
          </cell>
          <cell r="Q505" t="str">
            <v>n/a</v>
          </cell>
          <cell r="R505" t="str">
            <v>n/a</v>
          </cell>
          <cell r="S505" t="str">
            <v>Cross-product fees</v>
          </cell>
          <cell r="X505">
            <v>317050</v>
          </cell>
          <cell r="Y505" t="str">
            <v>n/a</v>
          </cell>
        </row>
        <row r="506">
          <cell r="B506" t="str">
            <v>815700</v>
          </cell>
          <cell r="M506" t="str">
            <v>Fees and commission income</v>
          </cell>
          <cell r="N506" t="str">
            <v>Point of representation transactions</v>
          </cell>
          <cell r="Q506" t="str">
            <v>n/a</v>
          </cell>
          <cell r="R506" t="str">
            <v>n/a</v>
          </cell>
          <cell r="S506" t="str">
            <v>Cross-product fees</v>
          </cell>
          <cell r="X506">
            <v>317050</v>
          </cell>
          <cell r="Y506" t="str">
            <v>n/a</v>
          </cell>
        </row>
        <row r="507">
          <cell r="B507" t="str">
            <v>815800</v>
          </cell>
          <cell r="M507" t="str">
            <v>Fees and commission income</v>
          </cell>
          <cell r="N507" t="str">
            <v>Point of representation transactions</v>
          </cell>
          <cell r="Q507" t="str">
            <v>n/a</v>
          </cell>
          <cell r="R507" t="str">
            <v>n/a</v>
          </cell>
          <cell r="S507" t="str">
            <v>Plusplan</v>
          </cell>
          <cell r="X507">
            <v>317050</v>
          </cell>
          <cell r="Y507" t="str">
            <v>n/a</v>
          </cell>
        </row>
        <row r="508">
          <cell r="B508" t="str">
            <v>815900</v>
          </cell>
          <cell r="M508" t="str">
            <v>Fees and commission income</v>
          </cell>
          <cell r="N508" t="str">
            <v>Point of representation transactions</v>
          </cell>
          <cell r="Q508" t="str">
            <v>n/a</v>
          </cell>
          <cell r="R508" t="str">
            <v>n/a</v>
          </cell>
          <cell r="S508" t="str">
            <v>Cross-product fees</v>
          </cell>
          <cell r="X508">
            <v>317050</v>
          </cell>
          <cell r="Y508" t="str">
            <v>n/a</v>
          </cell>
        </row>
        <row r="509">
          <cell r="B509" t="str">
            <v>817700</v>
          </cell>
          <cell r="M509" t="str">
            <v>Fees and commission income</v>
          </cell>
          <cell r="N509" t="str">
            <v>Point of representation transactions</v>
          </cell>
          <cell r="Q509" t="str">
            <v>n/a</v>
          </cell>
          <cell r="R509" t="str">
            <v>n/a</v>
          </cell>
          <cell r="S509" t="str">
            <v>Cross-product fees</v>
          </cell>
          <cell r="X509">
            <v>317050</v>
          </cell>
          <cell r="Y509" t="str">
            <v>n/a</v>
          </cell>
        </row>
        <row r="510">
          <cell r="B510" t="str">
            <v>835475</v>
          </cell>
          <cell r="M510" t="str">
            <v>Fees and commission income</v>
          </cell>
          <cell r="N510" t="str">
            <v>Point of representation transactions</v>
          </cell>
          <cell r="Q510" t="str">
            <v>n/a</v>
          </cell>
          <cell r="R510" t="str">
            <v>n/a</v>
          </cell>
          <cell r="S510" t="str">
            <v>Cross-product fees</v>
          </cell>
          <cell r="Y510" t="str">
            <v>n/a</v>
          </cell>
        </row>
        <row r="511">
          <cell r="B511" t="str">
            <v>816100</v>
          </cell>
          <cell r="M511" t="str">
            <v>Fees and commission income</v>
          </cell>
          <cell r="N511" t="str">
            <v>Documentation &amp; administration fees</v>
          </cell>
          <cell r="Q511" t="str">
            <v>n/a</v>
          </cell>
          <cell r="R511" t="str">
            <v>n/a</v>
          </cell>
          <cell r="S511" t="str">
            <v>Mortgage advances</v>
          </cell>
          <cell r="X511">
            <v>317100</v>
          </cell>
          <cell r="Y511" t="str">
            <v>n/a</v>
          </cell>
        </row>
        <row r="512">
          <cell r="B512" t="str">
            <v>816300</v>
          </cell>
          <cell r="M512" t="str">
            <v>Fees and commission income</v>
          </cell>
          <cell r="N512" t="str">
            <v>Documentation &amp; administration fees</v>
          </cell>
          <cell r="Q512" t="str">
            <v>n/a</v>
          </cell>
          <cell r="R512" t="str">
            <v>n/a</v>
          </cell>
          <cell r="S512" t="str">
            <v>VAF</v>
          </cell>
          <cell r="X512">
            <v>317100</v>
          </cell>
          <cell r="Y512" t="str">
            <v>n/a</v>
          </cell>
        </row>
        <row r="513">
          <cell r="B513" t="str">
            <v>816400</v>
          </cell>
          <cell r="M513" t="str">
            <v>Fees and commission income</v>
          </cell>
          <cell r="N513" t="str">
            <v>Documentation &amp; administration fees</v>
          </cell>
          <cell r="Q513" t="str">
            <v>n/a</v>
          </cell>
          <cell r="R513" t="str">
            <v>n/a</v>
          </cell>
          <cell r="S513" t="str">
            <v>Revolving credit plan</v>
          </cell>
          <cell r="X513">
            <v>317100</v>
          </cell>
          <cell r="Y513" t="str">
            <v>n/a</v>
          </cell>
        </row>
        <row r="514">
          <cell r="B514" t="str">
            <v>791880</v>
          </cell>
          <cell r="M514" t="str">
            <v>Fees and commission income</v>
          </cell>
          <cell r="N514" t="str">
            <v>Electronic banking transaction fees</v>
          </cell>
          <cell r="Q514" t="str">
            <v>n/a</v>
          </cell>
          <cell r="R514" t="str">
            <v>n/a</v>
          </cell>
          <cell r="S514" t="str">
            <v>Cross-product fees</v>
          </cell>
          <cell r="X514">
            <v>317150</v>
          </cell>
          <cell r="Y514" t="str">
            <v>Multi/Saswitch</v>
          </cell>
        </row>
        <row r="515">
          <cell r="B515" t="str">
            <v>816900</v>
          </cell>
          <cell r="M515" t="str">
            <v>Fees and commission income</v>
          </cell>
          <cell r="N515" t="str">
            <v>Electronic banking transaction fees</v>
          </cell>
          <cell r="Q515" t="str">
            <v>n/a</v>
          </cell>
          <cell r="R515" t="str">
            <v>n/a</v>
          </cell>
          <cell r="S515" t="str">
            <v>Cross-product fees</v>
          </cell>
          <cell r="X515">
            <v>317150</v>
          </cell>
          <cell r="Y515" t="str">
            <v>Consol Pay</v>
          </cell>
        </row>
        <row r="516">
          <cell r="B516" t="str">
            <v>817100</v>
          </cell>
          <cell r="M516" t="str">
            <v>Fees and commission income</v>
          </cell>
          <cell r="N516" t="str">
            <v>Electronic banking transaction fees</v>
          </cell>
          <cell r="Q516" t="str">
            <v>n/a</v>
          </cell>
          <cell r="R516" t="str">
            <v>n/a</v>
          </cell>
          <cell r="S516" t="str">
            <v>Cross-product fees</v>
          </cell>
          <cell r="X516">
            <v>317150</v>
          </cell>
          <cell r="Y516" t="str">
            <v>Internet</v>
          </cell>
        </row>
        <row r="517">
          <cell r="B517" t="str">
            <v>817300</v>
          </cell>
          <cell r="M517" t="str">
            <v>Fees and commission income</v>
          </cell>
          <cell r="N517" t="str">
            <v>Electronic banking transaction fees</v>
          </cell>
          <cell r="Q517" t="str">
            <v>n/a</v>
          </cell>
          <cell r="R517" t="str">
            <v>n/a</v>
          </cell>
          <cell r="S517" t="str">
            <v>Cross-product fees</v>
          </cell>
          <cell r="X517">
            <v>317150</v>
          </cell>
          <cell r="Y517" t="str">
            <v>Multi/Saswitch</v>
          </cell>
        </row>
        <row r="518">
          <cell r="B518" t="str">
            <v>817400</v>
          </cell>
          <cell r="M518" t="str">
            <v>Fees and commission income</v>
          </cell>
          <cell r="N518" t="str">
            <v>Electronic banking transaction fees</v>
          </cell>
          <cell r="Q518" t="str">
            <v>n/a</v>
          </cell>
          <cell r="R518" t="str">
            <v>n/a</v>
          </cell>
          <cell r="S518" t="str">
            <v>Cross-product fees</v>
          </cell>
          <cell r="X518">
            <v>317150</v>
          </cell>
          <cell r="Y518" t="str">
            <v>Rec/Unr Sasw</v>
          </cell>
        </row>
        <row r="519">
          <cell r="B519" t="str">
            <v>817800</v>
          </cell>
          <cell r="M519" t="str">
            <v>Fees and commission income</v>
          </cell>
          <cell r="N519" t="str">
            <v>Electronic banking transaction fees</v>
          </cell>
          <cell r="Q519" t="str">
            <v>n/a</v>
          </cell>
          <cell r="R519" t="str">
            <v>n/a</v>
          </cell>
          <cell r="S519" t="str">
            <v>Cross-product fees</v>
          </cell>
          <cell r="X519">
            <v>317150</v>
          </cell>
          <cell r="Y519" t="str">
            <v>UnrChrg-Mult</v>
          </cell>
        </row>
        <row r="520">
          <cell r="B520" t="str">
            <v>817900</v>
          </cell>
          <cell r="M520" t="str">
            <v>Fees and commission income</v>
          </cell>
          <cell r="N520" t="str">
            <v>Electronic banking transaction fees</v>
          </cell>
          <cell r="Q520" t="str">
            <v>n/a</v>
          </cell>
          <cell r="R520" t="str">
            <v>n/a</v>
          </cell>
          <cell r="S520" t="str">
            <v>Current account debtors</v>
          </cell>
          <cell r="X520">
            <v>317150</v>
          </cell>
          <cell r="Y520" t="str">
            <v>CATS Mnth Rent</v>
          </cell>
        </row>
        <row r="521">
          <cell r="B521" t="str">
            <v>814500</v>
          </cell>
          <cell r="M521" t="str">
            <v>Fees and commission income</v>
          </cell>
          <cell r="N521" t="str">
            <v>Card based commission</v>
          </cell>
          <cell r="Q521" t="str">
            <v>n/a</v>
          </cell>
          <cell r="R521" t="str">
            <v>n/a</v>
          </cell>
          <cell r="S521" t="str">
            <v>Cross-product fees</v>
          </cell>
          <cell r="X521">
            <v>317250</v>
          </cell>
          <cell r="Y521" t="str">
            <v>n/a</v>
          </cell>
        </row>
        <row r="522">
          <cell r="B522" t="str">
            <v>821700</v>
          </cell>
          <cell r="M522" t="str">
            <v>Fees and commission income</v>
          </cell>
          <cell r="N522" t="str">
            <v>Card based commission</v>
          </cell>
          <cell r="Q522" t="str">
            <v>n/a</v>
          </cell>
          <cell r="R522" t="str">
            <v>n/a</v>
          </cell>
          <cell r="S522" t="str">
            <v>Cross-product fees</v>
          </cell>
          <cell r="X522">
            <v>317250</v>
          </cell>
          <cell r="Y522" t="str">
            <v>n/a</v>
          </cell>
        </row>
        <row r="523">
          <cell r="B523" t="str">
            <v>822100</v>
          </cell>
          <cell r="M523" t="str">
            <v>Fees and commission income</v>
          </cell>
          <cell r="N523" t="str">
            <v>Card based commission</v>
          </cell>
          <cell r="Q523" t="str">
            <v>n/a</v>
          </cell>
          <cell r="R523" t="str">
            <v>n/a</v>
          </cell>
          <cell r="S523" t="str">
            <v>Cross-product fees</v>
          </cell>
          <cell r="X523">
            <v>317250</v>
          </cell>
          <cell r="Y523" t="str">
            <v>n/a</v>
          </cell>
        </row>
        <row r="524">
          <cell r="B524" t="str">
            <v>822400</v>
          </cell>
          <cell r="M524" t="str">
            <v>Fees and commission income</v>
          </cell>
          <cell r="N524" t="str">
            <v>Card based commission</v>
          </cell>
          <cell r="Q524" t="str">
            <v>n/a</v>
          </cell>
          <cell r="R524" t="str">
            <v>n/a</v>
          </cell>
          <cell r="S524" t="str">
            <v>Cross-product fees</v>
          </cell>
          <cell r="X524">
            <v>317250</v>
          </cell>
          <cell r="Y524" t="str">
            <v>n/a</v>
          </cell>
        </row>
        <row r="525">
          <cell r="B525" t="str">
            <v>823200</v>
          </cell>
          <cell r="M525" t="str">
            <v>Fees and commission income</v>
          </cell>
          <cell r="N525" t="str">
            <v>Card based commission</v>
          </cell>
          <cell r="Q525" t="str">
            <v>n/a</v>
          </cell>
          <cell r="R525" t="str">
            <v>n/a</v>
          </cell>
          <cell r="S525" t="str">
            <v>Cross-product fees</v>
          </cell>
          <cell r="X525">
            <v>317250</v>
          </cell>
          <cell r="Y525" t="str">
            <v>n/a</v>
          </cell>
        </row>
        <row r="526">
          <cell r="B526" t="str">
            <v>813800</v>
          </cell>
          <cell r="M526" t="str">
            <v>Fees and commission income</v>
          </cell>
          <cell r="N526" t="str">
            <v>Penalty based fees</v>
          </cell>
          <cell r="Q526" t="str">
            <v>n/a</v>
          </cell>
          <cell r="R526" t="str">
            <v>n/a</v>
          </cell>
          <cell r="S526" t="str">
            <v>Current account debtors</v>
          </cell>
          <cell r="X526">
            <v>317300</v>
          </cell>
          <cell r="Y526" t="str">
            <v>n/a</v>
          </cell>
        </row>
        <row r="527">
          <cell r="B527" t="str">
            <v>823800</v>
          </cell>
          <cell r="M527" t="str">
            <v>Fees and commission income</v>
          </cell>
          <cell r="N527" t="str">
            <v>Penalty based fees</v>
          </cell>
          <cell r="Q527" t="str">
            <v>n/a</v>
          </cell>
          <cell r="R527" t="str">
            <v>n/a</v>
          </cell>
          <cell r="S527" t="str">
            <v>Current account debtors</v>
          </cell>
          <cell r="X527">
            <v>317300</v>
          </cell>
          <cell r="Y527" t="str">
            <v>n/a</v>
          </cell>
        </row>
        <row r="528">
          <cell r="B528" t="str">
            <v>800055</v>
          </cell>
          <cell r="M528" t="str">
            <v>Fees and commission income</v>
          </cell>
          <cell r="N528" t="str">
            <v>Foreign service fees</v>
          </cell>
          <cell r="Q528" t="str">
            <v>n/a</v>
          </cell>
          <cell r="R528" t="str">
            <v>n/a</v>
          </cell>
          <cell r="S528" t="str">
            <v>Cross-product fees</v>
          </cell>
          <cell r="X528">
            <v>317350</v>
          </cell>
          <cell r="Y528" t="str">
            <v>n/a</v>
          </cell>
        </row>
        <row r="529">
          <cell r="B529" t="str">
            <v>800065</v>
          </cell>
          <cell r="M529" t="str">
            <v>Fees and commission income</v>
          </cell>
          <cell r="N529" t="str">
            <v>Foreign service fees</v>
          </cell>
          <cell r="Q529" t="str">
            <v>n/a</v>
          </cell>
          <cell r="R529" t="str">
            <v>n/a</v>
          </cell>
          <cell r="S529" t="str">
            <v>Cross-product fees</v>
          </cell>
          <cell r="X529">
            <v>317350</v>
          </cell>
          <cell r="Y529" t="str">
            <v>n/a</v>
          </cell>
        </row>
        <row r="530">
          <cell r="B530" t="str">
            <v>800150</v>
          </cell>
          <cell r="M530" t="str">
            <v>Fees and commission income</v>
          </cell>
          <cell r="N530" t="str">
            <v>Foreign service fees</v>
          </cell>
          <cell r="Q530" t="str">
            <v>n/a</v>
          </cell>
          <cell r="R530" t="str">
            <v>n/a</v>
          </cell>
          <cell r="S530" t="str">
            <v>Cross-product fees</v>
          </cell>
          <cell r="X530">
            <v>317350</v>
          </cell>
          <cell r="Y530" t="str">
            <v>n/a</v>
          </cell>
        </row>
        <row r="531">
          <cell r="B531" t="str">
            <v>809100</v>
          </cell>
          <cell r="M531" t="str">
            <v>Fees and commission income</v>
          </cell>
          <cell r="N531" t="str">
            <v>Foreign service fees</v>
          </cell>
          <cell r="Q531" t="str">
            <v>n/a</v>
          </cell>
          <cell r="R531" t="str">
            <v>n/a</v>
          </cell>
          <cell r="S531" t="str">
            <v>Cross-product fees</v>
          </cell>
          <cell r="X531">
            <v>317350</v>
          </cell>
          <cell r="Y531" t="str">
            <v>n/a</v>
          </cell>
        </row>
        <row r="532">
          <cell r="B532" t="str">
            <v>824100</v>
          </cell>
          <cell r="M532" t="str">
            <v>Fees and commission income</v>
          </cell>
          <cell r="N532" t="str">
            <v>Foreign service fees</v>
          </cell>
          <cell r="Q532" t="str">
            <v>n/a</v>
          </cell>
          <cell r="R532" t="str">
            <v>n/a</v>
          </cell>
          <cell r="S532" t="str">
            <v>Cross-product fees</v>
          </cell>
          <cell r="X532">
            <v>317350</v>
          </cell>
          <cell r="Y532" t="str">
            <v>n/a</v>
          </cell>
        </row>
        <row r="533">
          <cell r="B533" t="str">
            <v>824600</v>
          </cell>
          <cell r="M533" t="str">
            <v>Fees and commission income</v>
          </cell>
          <cell r="N533" t="str">
            <v>Foreign service fees</v>
          </cell>
          <cell r="Q533" t="str">
            <v>n/a</v>
          </cell>
          <cell r="R533" t="str">
            <v>n/a</v>
          </cell>
          <cell r="S533" t="str">
            <v>Cross-product fees</v>
          </cell>
          <cell r="X533">
            <v>317350</v>
          </cell>
          <cell r="Y533" t="str">
            <v>n/a</v>
          </cell>
        </row>
        <row r="534">
          <cell r="B534" t="str">
            <v>824700</v>
          </cell>
          <cell r="M534" t="str">
            <v>Fees and commission income</v>
          </cell>
          <cell r="N534" t="str">
            <v>Foreign service fees</v>
          </cell>
          <cell r="Q534" t="str">
            <v>n/a</v>
          </cell>
          <cell r="R534" t="str">
            <v>n/a</v>
          </cell>
          <cell r="S534" t="str">
            <v>Cross-product fees</v>
          </cell>
          <cell r="X534">
            <v>317350</v>
          </cell>
          <cell r="Y534" t="str">
            <v>n/a</v>
          </cell>
        </row>
        <row r="535">
          <cell r="B535" t="str">
            <v>824800</v>
          </cell>
          <cell r="M535" t="str">
            <v>Fees and commission income</v>
          </cell>
          <cell r="N535" t="str">
            <v>Foreign service fees</v>
          </cell>
          <cell r="Q535" t="str">
            <v>n/a</v>
          </cell>
          <cell r="R535" t="str">
            <v>n/a</v>
          </cell>
          <cell r="S535" t="str">
            <v>Cross-product fees</v>
          </cell>
          <cell r="X535">
            <v>317350</v>
          </cell>
          <cell r="Y535" t="str">
            <v>n/a</v>
          </cell>
        </row>
        <row r="536">
          <cell r="B536" t="str">
            <v>824900</v>
          </cell>
          <cell r="M536" t="str">
            <v>Fees and commission income</v>
          </cell>
          <cell r="N536" t="str">
            <v>Foreign service fees</v>
          </cell>
          <cell r="Q536" t="str">
            <v>n/a</v>
          </cell>
          <cell r="R536" t="str">
            <v>n/a</v>
          </cell>
          <cell r="S536" t="str">
            <v>Cross-product fees</v>
          </cell>
          <cell r="X536">
            <v>317350</v>
          </cell>
          <cell r="Y536" t="str">
            <v>n/a</v>
          </cell>
        </row>
        <row r="537">
          <cell r="B537" t="str">
            <v>825000</v>
          </cell>
          <cell r="M537" t="str">
            <v>Fees and commission income</v>
          </cell>
          <cell r="N537" t="str">
            <v>Foreign service fees</v>
          </cell>
          <cell r="Q537" t="str">
            <v>n/a</v>
          </cell>
          <cell r="R537" t="str">
            <v>n/a</v>
          </cell>
          <cell r="S537" t="str">
            <v>Cross-product fees</v>
          </cell>
          <cell r="X537">
            <v>317350</v>
          </cell>
          <cell r="Y537" t="str">
            <v>n/a</v>
          </cell>
        </row>
        <row r="538">
          <cell r="B538" t="str">
            <v>825300</v>
          </cell>
          <cell r="M538" t="str">
            <v>Fees and commission income</v>
          </cell>
          <cell r="N538" t="str">
            <v>Foreign service fees</v>
          </cell>
          <cell r="Q538" t="str">
            <v>n/a</v>
          </cell>
          <cell r="R538" t="str">
            <v>n/a</v>
          </cell>
          <cell r="S538" t="str">
            <v>Cross-product fees</v>
          </cell>
          <cell r="X538">
            <v>317350</v>
          </cell>
          <cell r="Y538" t="str">
            <v>n/a</v>
          </cell>
        </row>
        <row r="539">
          <cell r="B539" t="str">
            <v>803110</v>
          </cell>
          <cell r="M539" t="str">
            <v>Fees and commission income</v>
          </cell>
          <cell r="N539" t="str">
            <v>Other bank related fees &amp; commission</v>
          </cell>
          <cell r="Q539" t="str">
            <v>n/a</v>
          </cell>
          <cell r="R539" t="str">
            <v>n/a</v>
          </cell>
          <cell r="S539" t="str">
            <v>Cross-product fees</v>
          </cell>
          <cell r="X539">
            <v>317550</v>
          </cell>
          <cell r="Y539" t="str">
            <v>n/a</v>
          </cell>
        </row>
        <row r="540">
          <cell r="B540" t="str">
            <v>811700</v>
          </cell>
          <cell r="M540" t="str">
            <v>Fees and commission income</v>
          </cell>
          <cell r="N540" t="str">
            <v>Other bank related fees &amp; commission</v>
          </cell>
          <cell r="Q540" t="str">
            <v>n/a</v>
          </cell>
          <cell r="R540" t="str">
            <v>n/a</v>
          </cell>
          <cell r="S540" t="str">
            <v>Cross-product fees</v>
          </cell>
          <cell r="X540">
            <v>317550</v>
          </cell>
          <cell r="Y540" t="str">
            <v>Commit fees</v>
          </cell>
        </row>
        <row r="541">
          <cell r="B541" t="str">
            <v>826200</v>
          </cell>
          <cell r="M541" t="str">
            <v>Fees and commission income</v>
          </cell>
          <cell r="N541" t="str">
            <v>Other bank related fees &amp; commission</v>
          </cell>
          <cell r="Q541" t="str">
            <v>n/a</v>
          </cell>
          <cell r="R541" t="str">
            <v>n/a</v>
          </cell>
          <cell r="S541" t="str">
            <v>Cross-product fees</v>
          </cell>
          <cell r="X541">
            <v>317550</v>
          </cell>
          <cell r="Y541" t="str">
            <v>Agency fees</v>
          </cell>
        </row>
        <row r="542">
          <cell r="B542" t="str">
            <v>827100</v>
          </cell>
          <cell r="M542" t="str">
            <v>Fees and commission income</v>
          </cell>
          <cell r="N542" t="str">
            <v>Other bank related fees &amp; commission</v>
          </cell>
          <cell r="Q542" t="str">
            <v>n/a</v>
          </cell>
          <cell r="R542" t="str">
            <v>n/a</v>
          </cell>
          <cell r="S542" t="str">
            <v>Cross-product fees</v>
          </cell>
          <cell r="X542">
            <v>317550</v>
          </cell>
          <cell r="Y542" t="str">
            <v>Executors</v>
          </cell>
        </row>
        <row r="543">
          <cell r="B543" t="str">
            <v>828100</v>
          </cell>
          <cell r="M543" t="str">
            <v>Fees and commission income</v>
          </cell>
          <cell r="N543" t="str">
            <v>Other bank related fees &amp; commission</v>
          </cell>
          <cell r="Q543" t="str">
            <v>n/a</v>
          </cell>
          <cell r="R543" t="str">
            <v>n/a</v>
          </cell>
          <cell r="S543" t="str">
            <v>Cross-product fees</v>
          </cell>
          <cell r="X543">
            <v>317550</v>
          </cell>
          <cell r="Y543" t="str">
            <v>Rpts on party</v>
          </cell>
        </row>
        <row r="544">
          <cell r="B544" t="str">
            <v>828200</v>
          </cell>
          <cell r="M544" t="str">
            <v>Fees and commission income</v>
          </cell>
          <cell r="N544" t="str">
            <v>Other bank related fees &amp; commission</v>
          </cell>
          <cell r="Q544" t="str">
            <v>n/a</v>
          </cell>
          <cell r="R544" t="str">
            <v>n/a</v>
          </cell>
          <cell r="S544" t="str">
            <v>Cross-product fees</v>
          </cell>
          <cell r="X544">
            <v>317551</v>
          </cell>
          <cell r="Y544" t="str">
            <v>Safe custody</v>
          </cell>
        </row>
        <row r="545">
          <cell r="B545" t="str">
            <v>828400</v>
          </cell>
          <cell r="M545" t="str">
            <v>Fees and commission income</v>
          </cell>
          <cell r="N545" t="str">
            <v>Other bank related fees &amp; commission</v>
          </cell>
          <cell r="Q545" t="str">
            <v>n/a</v>
          </cell>
          <cell r="R545" t="str">
            <v>n/a</v>
          </cell>
          <cell r="S545" t="str">
            <v>Cross-product fees</v>
          </cell>
          <cell r="X545">
            <v>317550</v>
          </cell>
          <cell r="Y545" t="str">
            <v>Unclaimed balances</v>
          </cell>
        </row>
        <row r="546">
          <cell r="B546" t="str">
            <v>870250</v>
          </cell>
          <cell r="M546" t="str">
            <v>Fees and commission income</v>
          </cell>
          <cell r="N546" t="str">
            <v>Other bank related fees &amp; commission</v>
          </cell>
          <cell r="Q546" t="str">
            <v>n/a</v>
          </cell>
          <cell r="R546" t="str">
            <v>n/a</v>
          </cell>
          <cell r="S546" t="str">
            <v>Cross-product fees</v>
          </cell>
          <cell r="X546">
            <v>317550</v>
          </cell>
          <cell r="Y546" t="str">
            <v>Guarantees</v>
          </cell>
        </row>
        <row r="547">
          <cell r="B547" t="str">
            <v>819000</v>
          </cell>
          <cell r="M547" t="str">
            <v>Fees and commission income</v>
          </cell>
          <cell r="N547" t="str">
            <v>Other bank related fees &amp; commission</v>
          </cell>
          <cell r="Q547" t="str">
            <v>n/a</v>
          </cell>
          <cell r="R547" t="str">
            <v>n/a</v>
          </cell>
          <cell r="S547" t="str">
            <v>Cross-product fees</v>
          </cell>
          <cell r="X547">
            <v>317550</v>
          </cell>
          <cell r="Y547" t="str">
            <v>Stocks&amp;shares</v>
          </cell>
        </row>
        <row r="548">
          <cell r="B548" t="str">
            <v>819300</v>
          </cell>
          <cell r="M548" t="str">
            <v>Fees and commission income</v>
          </cell>
          <cell r="N548" t="str">
            <v>Other bank related fees &amp; commission</v>
          </cell>
          <cell r="Q548" t="str">
            <v>n/a</v>
          </cell>
          <cell r="R548" t="str">
            <v>n/a</v>
          </cell>
          <cell r="S548" t="str">
            <v>Cross-product fees</v>
          </cell>
          <cell r="X548">
            <v>317551</v>
          </cell>
          <cell r="Y548" t="str">
            <v>Trustees</v>
          </cell>
        </row>
        <row r="549">
          <cell r="B549" t="str">
            <v>495830</v>
          </cell>
          <cell r="M549" t="str">
            <v>Fees and commission income</v>
          </cell>
          <cell r="N549" t="str">
            <v>Other bank related fees &amp; commission</v>
          </cell>
          <cell r="Q549" t="str">
            <v>n/a</v>
          </cell>
          <cell r="R549" t="str">
            <v>n/a</v>
          </cell>
          <cell r="S549" t="str">
            <v>Cross-product fees</v>
          </cell>
          <cell r="X549">
            <v>317600</v>
          </cell>
          <cell r="Y549" t="str">
            <v>Tfex</v>
          </cell>
        </row>
        <row r="550">
          <cell r="B550" t="str">
            <v>790600</v>
          </cell>
          <cell r="M550" t="str">
            <v>Fees and commission income</v>
          </cell>
          <cell r="N550" t="str">
            <v>Card based commission</v>
          </cell>
          <cell r="Q550" t="str">
            <v>n/a</v>
          </cell>
          <cell r="R550" t="str">
            <v>n/a</v>
          </cell>
          <cell r="S550" t="str">
            <v>Cross-product fees</v>
          </cell>
          <cell r="X550">
            <v>318250</v>
          </cell>
          <cell r="Y550" t="str">
            <v>n/a</v>
          </cell>
        </row>
        <row r="551">
          <cell r="B551" t="str">
            <v>812200</v>
          </cell>
          <cell r="M551" t="str">
            <v>Fees and commission income</v>
          </cell>
          <cell r="N551" t="str">
            <v>Other bank related fees &amp; commission</v>
          </cell>
          <cell r="Q551" t="str">
            <v>n/a</v>
          </cell>
          <cell r="R551" t="str">
            <v>n/a</v>
          </cell>
          <cell r="S551" t="str">
            <v>Cross-product fees</v>
          </cell>
          <cell r="X551">
            <v>318550</v>
          </cell>
          <cell r="Y551" t="str">
            <v>SBSA fleet</v>
          </cell>
        </row>
        <row r="552">
          <cell r="B552" t="str">
            <v>829600</v>
          </cell>
          <cell r="M552" t="str">
            <v>Fees and commission income</v>
          </cell>
          <cell r="N552" t="str">
            <v>Insurance  fees &amp; commission</v>
          </cell>
          <cell r="Q552" t="str">
            <v>n/a</v>
          </cell>
          <cell r="R552" t="str">
            <v>n/a</v>
          </cell>
          <cell r="S552" t="str">
            <v>Cross-product fees</v>
          </cell>
          <cell r="X552">
            <v>318400</v>
          </cell>
          <cell r="Y552" t="str">
            <v>n/a</v>
          </cell>
        </row>
        <row r="553">
          <cell r="B553" t="str">
            <v>840500</v>
          </cell>
          <cell r="M553" t="str">
            <v>Trading income</v>
          </cell>
          <cell r="N553" t="str">
            <v>Forex trading income</v>
          </cell>
          <cell r="Q553" t="str">
            <v>n/a</v>
          </cell>
          <cell r="R553" t="str">
            <v>n/a</v>
          </cell>
          <cell r="S553" t="str">
            <v>n/a</v>
          </cell>
          <cell r="X553">
            <v>319600</v>
          </cell>
          <cell r="Y553" t="str">
            <v>n/a</v>
          </cell>
        </row>
        <row r="554">
          <cell r="B554" t="str">
            <v>843600</v>
          </cell>
          <cell r="M554" t="str">
            <v>Trading income</v>
          </cell>
          <cell r="N554" t="str">
            <v>Trading P&amp;L Treasury Bills</v>
          </cell>
          <cell r="Q554" t="str">
            <v>n/a</v>
          </cell>
          <cell r="R554" t="str">
            <v>n/a</v>
          </cell>
          <cell r="S554" t="str">
            <v>n/a</v>
          </cell>
          <cell r="X554">
            <v>319900</v>
          </cell>
          <cell r="Y554" t="str">
            <v>n/a</v>
          </cell>
        </row>
        <row r="555">
          <cell r="B555" t="str">
            <v>897400</v>
          </cell>
          <cell r="M555" t="str">
            <v>Trading income</v>
          </cell>
          <cell r="N555" t="str">
            <v>Trading income other (MTM)</v>
          </cell>
          <cell r="Q555" t="str">
            <v>n/a</v>
          </cell>
          <cell r="R555" t="str">
            <v>n/a</v>
          </cell>
          <cell r="S555" t="str">
            <v>n/a</v>
          </cell>
          <cell r="X555">
            <v>320100</v>
          </cell>
          <cell r="Y555" t="str">
            <v>n/a</v>
          </cell>
        </row>
        <row r="556">
          <cell r="B556" t="str">
            <v>883400</v>
          </cell>
          <cell r="M556" t="str">
            <v>Other income</v>
          </cell>
          <cell r="N556" t="str">
            <v>Revenue Unit Trust/Stanlib</v>
          </cell>
          <cell r="Q556" t="str">
            <v>n/a</v>
          </cell>
          <cell r="R556" t="str">
            <v>n/a</v>
          </cell>
          <cell r="S556" t="str">
            <v>n/a</v>
          </cell>
          <cell r="X556">
            <v>322100</v>
          </cell>
          <cell r="Y556" t="str">
            <v>n/a</v>
          </cell>
        </row>
        <row r="557">
          <cell r="B557" t="str">
            <v>883700</v>
          </cell>
          <cell r="M557" t="str">
            <v>Other income</v>
          </cell>
          <cell r="N557" t="str">
            <v>Revenue Unit Trust/Stanlib</v>
          </cell>
          <cell r="Q557" t="str">
            <v>n/a</v>
          </cell>
          <cell r="R557" t="str">
            <v>n/a</v>
          </cell>
          <cell r="S557" t="str">
            <v>n/a</v>
          </cell>
          <cell r="X557">
            <v>322100</v>
          </cell>
          <cell r="Y557" t="str">
            <v>n/a</v>
          </cell>
        </row>
        <row r="558">
          <cell r="B558" t="str">
            <v>893200</v>
          </cell>
          <cell r="M558" t="str">
            <v>Other income</v>
          </cell>
          <cell r="N558" t="str">
            <v>Sundry income</v>
          </cell>
          <cell r="Q558" t="str">
            <v>n/a</v>
          </cell>
          <cell r="R558" t="str">
            <v>n/a</v>
          </cell>
          <cell r="S558" t="str">
            <v>n/a</v>
          </cell>
          <cell r="X558">
            <v>322100</v>
          </cell>
          <cell r="Y558" t="str">
            <v>n/a</v>
          </cell>
        </row>
        <row r="559">
          <cell r="B559" t="str">
            <v>871500</v>
          </cell>
          <cell r="M559" t="str">
            <v>Other income</v>
          </cell>
          <cell r="N559" t="str">
            <v>Revenue Unit Trust/Stanlib</v>
          </cell>
          <cell r="Q559" t="str">
            <v>n/a</v>
          </cell>
          <cell r="R559" t="str">
            <v>n/a</v>
          </cell>
          <cell r="S559" t="str">
            <v>n/a</v>
          </cell>
          <cell r="X559">
            <v>322200</v>
          </cell>
          <cell r="Y559" t="str">
            <v>n/a</v>
          </cell>
        </row>
        <row r="560">
          <cell r="B560" t="str">
            <v>802000</v>
          </cell>
          <cell r="M560" t="str">
            <v>Other income</v>
          </cell>
          <cell r="N560" t="str">
            <v>Revenue Unit Trust/Stanlib</v>
          </cell>
          <cell r="Q560" t="str">
            <v>n/a</v>
          </cell>
          <cell r="R560" t="str">
            <v>n/a</v>
          </cell>
          <cell r="S560" t="str">
            <v>n/a</v>
          </cell>
          <cell r="X560">
            <v>322300</v>
          </cell>
          <cell r="Y560" t="str">
            <v>n/a</v>
          </cell>
        </row>
        <row r="561">
          <cell r="B561" t="str">
            <v>883100</v>
          </cell>
          <cell r="M561" t="str">
            <v>Other income</v>
          </cell>
          <cell r="N561" t="str">
            <v>Rents received other</v>
          </cell>
          <cell r="Q561" t="str">
            <v>n/a</v>
          </cell>
          <cell r="R561" t="str">
            <v>n/a</v>
          </cell>
          <cell r="S561" t="str">
            <v>n/a</v>
          </cell>
          <cell r="X561">
            <v>322300</v>
          </cell>
          <cell r="Y561" t="str">
            <v>n/a</v>
          </cell>
        </row>
        <row r="562">
          <cell r="B562" t="str">
            <v>892200</v>
          </cell>
          <cell r="M562" t="str">
            <v>Other income</v>
          </cell>
          <cell r="N562" t="str">
            <v>Revenue Unit Trust/Stanlib</v>
          </cell>
          <cell r="Q562" t="str">
            <v>n/a</v>
          </cell>
          <cell r="R562" t="str">
            <v>n/a</v>
          </cell>
          <cell r="S562" t="str">
            <v>n/a</v>
          </cell>
          <cell r="X562">
            <v>322800</v>
          </cell>
          <cell r="Y562" t="str">
            <v>n/a</v>
          </cell>
        </row>
        <row r="563">
          <cell r="B563" t="str">
            <v>812100</v>
          </cell>
          <cell r="M563" t="str">
            <v>Other income</v>
          </cell>
          <cell r="N563" t="str">
            <v>Sundry income</v>
          </cell>
          <cell r="Q563" t="str">
            <v>n/a</v>
          </cell>
          <cell r="R563" t="str">
            <v>n/a</v>
          </cell>
          <cell r="S563" t="str">
            <v>n/a</v>
          </cell>
          <cell r="X563">
            <v>322800</v>
          </cell>
          <cell r="Y563" t="str">
            <v>n/a</v>
          </cell>
        </row>
        <row r="564">
          <cell r="B564" t="str">
            <v>870170</v>
          </cell>
          <cell r="M564" t="str">
            <v>Other income</v>
          </cell>
          <cell r="N564" t="str">
            <v>Sundry income</v>
          </cell>
          <cell r="Q564" t="str">
            <v>n/a</v>
          </cell>
          <cell r="R564" t="str">
            <v>n/a</v>
          </cell>
          <cell r="S564" t="str">
            <v>n/a</v>
          </cell>
          <cell r="X564">
            <v>322800</v>
          </cell>
          <cell r="Y564" t="str">
            <v>n/a</v>
          </cell>
        </row>
        <row r="565">
          <cell r="B565" t="str">
            <v>870190</v>
          </cell>
          <cell r="M565" t="str">
            <v>Other income</v>
          </cell>
          <cell r="N565" t="str">
            <v>Sundry income</v>
          </cell>
          <cell r="Q565" t="str">
            <v>n/a</v>
          </cell>
          <cell r="R565" t="str">
            <v>n/a</v>
          </cell>
          <cell r="S565" t="str">
            <v>n/a</v>
          </cell>
          <cell r="X565">
            <v>322800</v>
          </cell>
          <cell r="Y565" t="str">
            <v>n/a</v>
          </cell>
        </row>
        <row r="566">
          <cell r="B566" t="str">
            <v>870210</v>
          </cell>
          <cell r="M566" t="str">
            <v>Other income</v>
          </cell>
          <cell r="N566" t="str">
            <v>Revenue Unit Trust/Stanlib</v>
          </cell>
          <cell r="Q566" t="str">
            <v>n/a</v>
          </cell>
          <cell r="R566" t="str">
            <v>n/a</v>
          </cell>
          <cell r="S566" t="str">
            <v>n/a</v>
          </cell>
          <cell r="X566">
            <v>322800</v>
          </cell>
          <cell r="Y566" t="str">
            <v>n/a</v>
          </cell>
        </row>
        <row r="567">
          <cell r="B567" t="str">
            <v>870230</v>
          </cell>
          <cell r="M567" t="str">
            <v>Other income</v>
          </cell>
          <cell r="N567" t="str">
            <v>Revenue Unit Trust/Stanlib</v>
          </cell>
          <cell r="Q567" t="str">
            <v>n/a</v>
          </cell>
          <cell r="R567" t="str">
            <v>n/a</v>
          </cell>
          <cell r="S567" t="str">
            <v>n/a</v>
          </cell>
          <cell r="X567">
            <v>322800</v>
          </cell>
          <cell r="Y567" t="str">
            <v>n/a</v>
          </cell>
        </row>
        <row r="568">
          <cell r="B568" t="str">
            <v>870450</v>
          </cell>
          <cell r="M568" t="str">
            <v>Other income</v>
          </cell>
          <cell r="N568" t="str">
            <v>Sundry income</v>
          </cell>
          <cell r="Q568" t="str">
            <v>n/a</v>
          </cell>
          <cell r="R568" t="str">
            <v>n/a</v>
          </cell>
          <cell r="S568" t="str">
            <v>n/a</v>
          </cell>
          <cell r="X568">
            <v>322800</v>
          </cell>
          <cell r="Y568" t="str">
            <v>n/a</v>
          </cell>
        </row>
        <row r="569">
          <cell r="B569" t="str">
            <v>872000</v>
          </cell>
          <cell r="M569" t="str">
            <v>Fees and commission income</v>
          </cell>
          <cell r="N569" t="str">
            <v>Documentation &amp; administration fees</v>
          </cell>
          <cell r="Q569" t="str">
            <v>n/a</v>
          </cell>
          <cell r="R569" t="str">
            <v>n/a</v>
          </cell>
          <cell r="S569" t="str">
            <v>n/a</v>
          </cell>
          <cell r="X569">
            <v>317100</v>
          </cell>
          <cell r="Y569" t="str">
            <v>n/a</v>
          </cell>
        </row>
        <row r="570">
          <cell r="B570" t="str">
            <v>883800</v>
          </cell>
          <cell r="M570" t="str">
            <v>Other income</v>
          </cell>
          <cell r="N570" t="str">
            <v>Sundry income</v>
          </cell>
          <cell r="Q570" t="str">
            <v>n/a</v>
          </cell>
          <cell r="R570" t="str">
            <v>n/a</v>
          </cell>
          <cell r="S570" t="str">
            <v>n/a</v>
          </cell>
          <cell r="X570">
            <v>322800</v>
          </cell>
          <cell r="Y570" t="str">
            <v>n/a</v>
          </cell>
        </row>
        <row r="571">
          <cell r="B571" t="str">
            <v>884200</v>
          </cell>
          <cell r="M571" t="str">
            <v>Other income</v>
          </cell>
          <cell r="N571" t="str">
            <v>Revenue Unit Trust/Stanlib</v>
          </cell>
          <cell r="Q571" t="str">
            <v>n/a</v>
          </cell>
          <cell r="R571" t="str">
            <v>n/a</v>
          </cell>
          <cell r="S571" t="str">
            <v>n/a</v>
          </cell>
          <cell r="X571">
            <v>322800</v>
          </cell>
          <cell r="Y571" t="str">
            <v>n/a</v>
          </cell>
        </row>
        <row r="572">
          <cell r="B572" t="str">
            <v>884300</v>
          </cell>
          <cell r="M572" t="str">
            <v>Other income</v>
          </cell>
          <cell r="N572" t="str">
            <v>Sundry income</v>
          </cell>
          <cell r="Q572" t="str">
            <v>n/a</v>
          </cell>
          <cell r="R572" t="str">
            <v>n/a</v>
          </cell>
          <cell r="S572" t="str">
            <v>n/a</v>
          </cell>
          <cell r="X572">
            <v>322800</v>
          </cell>
          <cell r="Y572" t="str">
            <v>n/a</v>
          </cell>
        </row>
        <row r="573">
          <cell r="B573" t="str">
            <v>885400</v>
          </cell>
          <cell r="M573" t="str">
            <v>Other income</v>
          </cell>
          <cell r="N573" t="str">
            <v>Sundry income</v>
          </cell>
          <cell r="Q573" t="str">
            <v>n/a</v>
          </cell>
          <cell r="R573" t="str">
            <v>n/a</v>
          </cell>
          <cell r="S573" t="str">
            <v>n/a</v>
          </cell>
          <cell r="X573">
            <v>322800</v>
          </cell>
          <cell r="Y573" t="str">
            <v>n/a</v>
          </cell>
        </row>
        <row r="574">
          <cell r="B574" t="str">
            <v>885500</v>
          </cell>
          <cell r="M574" t="str">
            <v>Other income</v>
          </cell>
          <cell r="N574" t="str">
            <v>Sundry income</v>
          </cell>
          <cell r="Q574" t="str">
            <v>n/a</v>
          </cell>
          <cell r="R574" t="str">
            <v>n/a</v>
          </cell>
          <cell r="S574" t="str">
            <v>n/a</v>
          </cell>
          <cell r="X574">
            <v>322800</v>
          </cell>
          <cell r="Y574" t="str">
            <v>n/a</v>
          </cell>
        </row>
        <row r="575">
          <cell r="B575" t="str">
            <v>885600</v>
          </cell>
          <cell r="M575" t="str">
            <v>Other income</v>
          </cell>
          <cell r="N575" t="str">
            <v>Revenue Unit Trust/Stanlib</v>
          </cell>
          <cell r="Q575" t="str">
            <v>n/a</v>
          </cell>
          <cell r="R575" t="str">
            <v>n/a</v>
          </cell>
          <cell r="S575" t="str">
            <v>n/a</v>
          </cell>
          <cell r="X575">
            <v>322800</v>
          </cell>
          <cell r="Y575" t="str">
            <v>n/a</v>
          </cell>
        </row>
        <row r="576">
          <cell r="B576" t="str">
            <v>888100</v>
          </cell>
          <cell r="M576" t="str">
            <v>Other income</v>
          </cell>
          <cell r="N576" t="str">
            <v>Revenue Unit Trust/Stanlib</v>
          </cell>
          <cell r="Q576" t="str">
            <v>n/a</v>
          </cell>
          <cell r="R576" t="str">
            <v>n/a</v>
          </cell>
          <cell r="S576" t="str">
            <v>n/a</v>
          </cell>
          <cell r="X576">
            <v>322800</v>
          </cell>
          <cell r="Y576" t="str">
            <v>n/a</v>
          </cell>
        </row>
        <row r="577">
          <cell r="B577" t="str">
            <v>890100</v>
          </cell>
          <cell r="M577" t="str">
            <v>Other income</v>
          </cell>
          <cell r="N577" t="str">
            <v>Revenue Unit Trust/Stanlib</v>
          </cell>
          <cell r="Q577" t="str">
            <v>n/a</v>
          </cell>
          <cell r="R577" t="str">
            <v>n/a</v>
          </cell>
          <cell r="S577" t="str">
            <v>n/a</v>
          </cell>
          <cell r="X577">
            <v>322800</v>
          </cell>
          <cell r="Y577" t="str">
            <v>n/a</v>
          </cell>
        </row>
        <row r="578">
          <cell r="B578" t="str">
            <v>800200</v>
          </cell>
          <cell r="M578" t="str">
            <v>Other income</v>
          </cell>
          <cell r="N578" t="str">
            <v>Sundry income</v>
          </cell>
          <cell r="Q578" t="str">
            <v>n/a</v>
          </cell>
          <cell r="R578" t="str">
            <v>n/a</v>
          </cell>
          <cell r="S578" t="str">
            <v>n/a</v>
          </cell>
          <cell r="X578">
            <v>322850</v>
          </cell>
          <cell r="Y578" t="str">
            <v>n/a</v>
          </cell>
        </row>
        <row r="579">
          <cell r="B579" t="str">
            <v>870050</v>
          </cell>
          <cell r="M579" t="str">
            <v>Other income</v>
          </cell>
          <cell r="N579" t="str">
            <v>Sundry income</v>
          </cell>
          <cell r="Q579" t="str">
            <v>n/a</v>
          </cell>
          <cell r="R579" t="str">
            <v>n/a</v>
          </cell>
          <cell r="S579" t="str">
            <v>n/a</v>
          </cell>
          <cell r="X579">
            <v>322825</v>
          </cell>
          <cell r="Y579" t="str">
            <v>n/a</v>
          </cell>
        </row>
        <row r="580">
          <cell r="B580" t="str">
            <v>401300</v>
          </cell>
          <cell r="M580" t="str">
            <v>Employee compensation and benefits</v>
          </cell>
          <cell r="N580" t="str">
            <v>Salaries: Bankmed Contributions</v>
          </cell>
          <cell r="Q580" t="str">
            <v>n/a</v>
          </cell>
          <cell r="R580" t="str">
            <v>n/a</v>
          </cell>
          <cell r="S580" t="str">
            <v>n/a</v>
          </cell>
          <cell r="X580">
            <v>326100</v>
          </cell>
          <cell r="Y580" t="str">
            <v>n/a</v>
          </cell>
        </row>
        <row r="581">
          <cell r="B581" t="str">
            <v>401500</v>
          </cell>
          <cell r="M581" t="str">
            <v>Employee compensation and benefits</v>
          </cell>
          <cell r="N581" t="str">
            <v>Salaries: Basic Pensionable</v>
          </cell>
          <cell r="Q581" t="str">
            <v>n/a</v>
          </cell>
          <cell r="R581" t="str">
            <v>n/a</v>
          </cell>
          <cell r="S581" t="str">
            <v>n/a</v>
          </cell>
          <cell r="X581">
            <v>326100</v>
          </cell>
          <cell r="Y581" t="str">
            <v>n/a</v>
          </cell>
        </row>
        <row r="582">
          <cell r="B582" t="str">
            <v>401600</v>
          </cell>
          <cell r="M582" t="str">
            <v>Employee compensation and benefits</v>
          </cell>
          <cell r="N582" t="str">
            <v>Salaries: Basic Non-Pensionable</v>
          </cell>
          <cell r="Q582" t="str">
            <v>n/a</v>
          </cell>
          <cell r="R582" t="str">
            <v>n/a</v>
          </cell>
          <cell r="S582" t="str">
            <v>n/a</v>
          </cell>
          <cell r="X582">
            <v>326100</v>
          </cell>
          <cell r="Y582" t="str">
            <v>n/a</v>
          </cell>
        </row>
        <row r="583">
          <cell r="B583" t="str">
            <v>401900</v>
          </cell>
          <cell r="M583" t="str">
            <v>Employee compensation and benefits</v>
          </cell>
          <cell r="N583" t="str">
            <v>Salaries: Car Allowance</v>
          </cell>
          <cell r="Q583" t="str">
            <v>n/a</v>
          </cell>
          <cell r="R583" t="str">
            <v>n/a</v>
          </cell>
          <cell r="S583" t="str">
            <v>n/a</v>
          </cell>
          <cell r="X583">
            <v>327000</v>
          </cell>
          <cell r="Y583" t="str">
            <v>n/a</v>
          </cell>
        </row>
        <row r="584">
          <cell r="B584" t="str">
            <v>402000</v>
          </cell>
          <cell r="M584" t="str">
            <v>Employee compensation and benefits</v>
          </cell>
          <cell r="N584" t="str">
            <v>Salaries: December Allowance Pensionable</v>
          </cell>
          <cell r="Q584" t="str">
            <v>n/a</v>
          </cell>
          <cell r="R584" t="str">
            <v>n/a</v>
          </cell>
          <cell r="S584" t="str">
            <v>n/a</v>
          </cell>
          <cell r="X584">
            <v>326100</v>
          </cell>
          <cell r="Y584" t="str">
            <v>n/a</v>
          </cell>
        </row>
        <row r="585">
          <cell r="B585" t="str">
            <v>402200</v>
          </cell>
          <cell r="M585" t="str">
            <v>Employee compensation and benefits</v>
          </cell>
          <cell r="N585" t="str">
            <v>Salaries: December Allowance Pensionable</v>
          </cell>
          <cell r="Q585" t="str">
            <v>n/a</v>
          </cell>
          <cell r="R585" t="str">
            <v>n/a</v>
          </cell>
          <cell r="S585" t="str">
            <v>n/a</v>
          </cell>
          <cell r="X585">
            <v>326100</v>
          </cell>
          <cell r="Y585" t="str">
            <v>n/a</v>
          </cell>
        </row>
        <row r="586">
          <cell r="B586" t="str">
            <v>403500</v>
          </cell>
          <cell r="M586" t="str">
            <v>Employee compensation and benefits</v>
          </cell>
          <cell r="N586" t="str">
            <v>Salaries: Pension Fund Contribution</v>
          </cell>
          <cell r="Q586" t="str">
            <v>n/a</v>
          </cell>
          <cell r="R586" t="str">
            <v>n/a</v>
          </cell>
          <cell r="S586" t="str">
            <v>n/a</v>
          </cell>
          <cell r="X586">
            <v>326400</v>
          </cell>
          <cell r="Y586" t="str">
            <v>n/a</v>
          </cell>
        </row>
        <row r="587">
          <cell r="B587" t="str">
            <v>400005</v>
          </cell>
          <cell r="M587" t="str">
            <v>Employee compensation and benefits</v>
          </cell>
          <cell r="N587" t="str">
            <v>Salaries: Seconded Staff</v>
          </cell>
          <cell r="Q587" t="str">
            <v>n/a</v>
          </cell>
          <cell r="R587" t="str">
            <v>n/a</v>
          </cell>
          <cell r="S587" t="str">
            <v>n/a</v>
          </cell>
          <cell r="X587">
            <v>326100</v>
          </cell>
          <cell r="Y587" t="str">
            <v>n/a</v>
          </cell>
        </row>
        <row r="588">
          <cell r="B588" t="str">
            <v>400700</v>
          </cell>
          <cell r="M588" t="str">
            <v>Employee compensation and benefits</v>
          </cell>
          <cell r="N588" t="str">
            <v>Motor Vehicle Expenses: Fringe Benefits</v>
          </cell>
          <cell r="Q588" t="str">
            <v>n/a</v>
          </cell>
          <cell r="R588" t="str">
            <v>n/a</v>
          </cell>
          <cell r="S588" t="str">
            <v>n/a</v>
          </cell>
          <cell r="X588">
            <v>327000</v>
          </cell>
          <cell r="Y588" t="str">
            <v>n/a</v>
          </cell>
        </row>
        <row r="589">
          <cell r="B589" t="str">
            <v>401000</v>
          </cell>
          <cell r="M589" t="str">
            <v>Employee compensation and benefits</v>
          </cell>
          <cell r="N589" t="str">
            <v>Payments to Pensioners &amp; Annuitants</v>
          </cell>
          <cell r="Q589" t="str">
            <v>n/a</v>
          </cell>
          <cell r="R589" t="str">
            <v>n/a</v>
          </cell>
          <cell r="S589" t="str">
            <v>n/a</v>
          </cell>
          <cell r="X589">
            <v>326400</v>
          </cell>
          <cell r="Y589" t="str">
            <v>n/a</v>
          </cell>
        </row>
        <row r="590">
          <cell r="B590" t="str">
            <v>402600</v>
          </cell>
          <cell r="M590" t="str">
            <v>Employee compensation and benefits</v>
          </cell>
          <cell r="N590" t="str">
            <v>Salaries: Flex Housing</v>
          </cell>
          <cell r="Q590" t="str">
            <v>n/a</v>
          </cell>
          <cell r="R590" t="str">
            <v>n/a</v>
          </cell>
          <cell r="S590" t="str">
            <v>n/a</v>
          </cell>
          <cell r="X590">
            <v>326100</v>
          </cell>
          <cell r="Y590" t="str">
            <v>n/a</v>
          </cell>
        </row>
        <row r="591">
          <cell r="B591" t="str">
            <v>402700</v>
          </cell>
          <cell r="M591" t="str">
            <v>Employee compensation and benefits</v>
          </cell>
          <cell r="N591" t="str">
            <v>Salaries: Flex Medical</v>
          </cell>
          <cell r="Q591" t="str">
            <v>n/a</v>
          </cell>
          <cell r="R591" t="str">
            <v>n/a</v>
          </cell>
          <cell r="S591" t="str">
            <v>n/a</v>
          </cell>
          <cell r="X591">
            <v>326100</v>
          </cell>
          <cell r="Y591" t="str">
            <v>n/a</v>
          </cell>
        </row>
        <row r="592">
          <cell r="B592" t="str">
            <v>402900</v>
          </cell>
          <cell r="M592" t="str">
            <v>Employee compensation and benefits</v>
          </cell>
          <cell r="N592" t="str">
            <v>Salaries: Maternity Allowance</v>
          </cell>
          <cell r="Q592" t="str">
            <v>n/a</v>
          </cell>
          <cell r="R592" t="str">
            <v>n/a</v>
          </cell>
          <cell r="S592" t="str">
            <v>n/a</v>
          </cell>
          <cell r="X592">
            <v>326100</v>
          </cell>
          <cell r="Y592" t="str">
            <v>n/a</v>
          </cell>
        </row>
        <row r="593">
          <cell r="B593" t="str">
            <v>403100</v>
          </cell>
          <cell r="M593" t="str">
            <v>Employee compensation and benefits</v>
          </cell>
          <cell r="N593" t="str">
            <v>Salaries: Overtime</v>
          </cell>
          <cell r="Q593" t="str">
            <v>n/a</v>
          </cell>
          <cell r="R593" t="str">
            <v>n/a</v>
          </cell>
          <cell r="S593" t="str">
            <v>n/a</v>
          </cell>
          <cell r="X593">
            <v>326100</v>
          </cell>
          <cell r="Y593" t="str">
            <v>n/a</v>
          </cell>
        </row>
        <row r="594">
          <cell r="B594" t="str">
            <v>403700</v>
          </cell>
          <cell r="M594" t="str">
            <v>Employee compensation and benefits</v>
          </cell>
          <cell r="N594" t="str">
            <v>Salaries: Pension Fund Contribution</v>
          </cell>
          <cell r="Q594" t="str">
            <v>n/a</v>
          </cell>
          <cell r="R594" t="str">
            <v>n/a</v>
          </cell>
          <cell r="S594" t="str">
            <v>n/a</v>
          </cell>
          <cell r="X594">
            <v>326400</v>
          </cell>
          <cell r="Y594" t="str">
            <v>n/a</v>
          </cell>
        </row>
        <row r="595">
          <cell r="B595" t="str">
            <v>403900</v>
          </cell>
          <cell r="M595" t="str">
            <v>Employee compensation and benefits</v>
          </cell>
          <cell r="N595" t="str">
            <v>Salaries: Saturday Pay</v>
          </cell>
          <cell r="Q595" t="str">
            <v>n/a</v>
          </cell>
          <cell r="R595" t="str">
            <v>n/a</v>
          </cell>
          <cell r="S595" t="str">
            <v>n/a</v>
          </cell>
          <cell r="X595">
            <v>326100</v>
          </cell>
          <cell r="Y595" t="str">
            <v>n/a</v>
          </cell>
        </row>
        <row r="596">
          <cell r="B596" t="str">
            <v>404100</v>
          </cell>
          <cell r="M596" t="str">
            <v>Employee compensation and benefits</v>
          </cell>
          <cell r="N596" t="str">
            <v>Salaries: Statutory Contributions</v>
          </cell>
          <cell r="Q596" t="str">
            <v>n/a</v>
          </cell>
          <cell r="R596" t="str">
            <v>n/a</v>
          </cell>
          <cell r="S596" t="str">
            <v>n/a</v>
          </cell>
          <cell r="X596">
            <v>326100</v>
          </cell>
          <cell r="Y596" t="str">
            <v>n/a</v>
          </cell>
        </row>
        <row r="597">
          <cell r="B597" t="str">
            <v>404300</v>
          </cell>
          <cell r="M597" t="str">
            <v>Employee compensation and benefits</v>
          </cell>
          <cell r="N597" t="str">
            <v>Salaries: Sundry Allowances &amp; Payments</v>
          </cell>
          <cell r="Q597" t="str">
            <v>n/a</v>
          </cell>
          <cell r="R597" t="str">
            <v>n/a</v>
          </cell>
          <cell r="S597" t="str">
            <v>n/a</v>
          </cell>
          <cell r="X597">
            <v>326100</v>
          </cell>
          <cell r="Y597" t="str">
            <v>n/a</v>
          </cell>
        </row>
        <row r="598">
          <cell r="B598" t="str">
            <v>404500</v>
          </cell>
          <cell r="M598" t="str">
            <v>Employee compensation and benefits</v>
          </cell>
          <cell r="N598" t="str">
            <v>Salaries: Temporary Staff</v>
          </cell>
          <cell r="Q598" t="str">
            <v>n/a</v>
          </cell>
          <cell r="R598" t="str">
            <v>n/a</v>
          </cell>
          <cell r="S598" t="str">
            <v>n/a</v>
          </cell>
          <cell r="X598">
            <v>326100</v>
          </cell>
          <cell r="Y598" t="str">
            <v>n/a</v>
          </cell>
        </row>
        <row r="599">
          <cell r="B599" t="str">
            <v>406100</v>
          </cell>
          <cell r="M599" t="str">
            <v>Employee compensation and benefits</v>
          </cell>
          <cell r="N599" t="str">
            <v>Salaries: Leave Pay</v>
          </cell>
          <cell r="Q599" t="str">
            <v>n/a</v>
          </cell>
          <cell r="R599" t="str">
            <v>n/a</v>
          </cell>
          <cell r="S599" t="str">
            <v>n/a</v>
          </cell>
          <cell r="X599">
            <v>326100</v>
          </cell>
          <cell r="Y599" t="str">
            <v>n/a</v>
          </cell>
        </row>
        <row r="600">
          <cell r="B600" t="str">
            <v>406500</v>
          </cell>
          <cell r="M600" t="str">
            <v>Employee compensation and benefits</v>
          </cell>
          <cell r="N600" t="str">
            <v>Performance Bonuses</v>
          </cell>
          <cell r="Q600" t="str">
            <v>n/a</v>
          </cell>
          <cell r="R600" t="str">
            <v>n/a</v>
          </cell>
          <cell r="S600" t="str">
            <v>n/a</v>
          </cell>
          <cell r="X600">
            <v>326300</v>
          </cell>
          <cell r="Y600" t="str">
            <v>n/a</v>
          </cell>
        </row>
        <row r="601">
          <cell r="B601" t="str">
            <v>406700</v>
          </cell>
          <cell r="M601" t="str">
            <v>Employee compensation and benefits</v>
          </cell>
          <cell r="N601" t="str">
            <v>Cost of Relief Staff</v>
          </cell>
          <cell r="Q601" t="str">
            <v>n/a</v>
          </cell>
          <cell r="R601" t="str">
            <v>n/a</v>
          </cell>
          <cell r="S601" t="str">
            <v>n/a</v>
          </cell>
          <cell r="X601">
            <v>326100</v>
          </cell>
          <cell r="Y601" t="str">
            <v>n/a</v>
          </cell>
        </row>
        <row r="602">
          <cell r="B602" t="str">
            <v>400500</v>
          </cell>
          <cell r="M602" t="str">
            <v>Employee compensation and benefits</v>
          </cell>
          <cell r="N602" t="str">
            <v>Insurance GPA Premiums</v>
          </cell>
          <cell r="Q602" t="str">
            <v>n/a</v>
          </cell>
          <cell r="R602" t="str">
            <v>n/a</v>
          </cell>
          <cell r="S602" t="str">
            <v>n/a</v>
          </cell>
          <cell r="X602">
            <v>327000</v>
          </cell>
          <cell r="Y602" t="str">
            <v>n/a</v>
          </cell>
        </row>
        <row r="603">
          <cell r="B603" t="str">
            <v>400900</v>
          </cell>
          <cell r="M603" t="str">
            <v>Employee compensation and benefits</v>
          </cell>
          <cell r="N603" t="str">
            <v>Insurance GPA Premiums</v>
          </cell>
          <cell r="Q603" t="str">
            <v>n/a</v>
          </cell>
          <cell r="R603" t="str">
            <v>n/a</v>
          </cell>
          <cell r="S603" t="str">
            <v>n/a</v>
          </cell>
          <cell r="X603">
            <v>327000</v>
          </cell>
          <cell r="Y603" t="str">
            <v>n/a</v>
          </cell>
        </row>
        <row r="604">
          <cell r="B604" t="str">
            <v>404900</v>
          </cell>
          <cell r="M604" t="str">
            <v>Employee compensation and benefits</v>
          </cell>
          <cell r="N604" t="str">
            <v>Staff Expenses Sundries</v>
          </cell>
          <cell r="Q604" t="str">
            <v>n/a</v>
          </cell>
          <cell r="R604" t="str">
            <v>n/a</v>
          </cell>
          <cell r="S604" t="str">
            <v>n/a</v>
          </cell>
          <cell r="X604">
            <v>327000</v>
          </cell>
          <cell r="Y604" t="str">
            <v>n/a</v>
          </cell>
        </row>
        <row r="605">
          <cell r="B605" t="str">
            <v>405100</v>
          </cell>
          <cell r="M605" t="str">
            <v>Employee compensation and benefits</v>
          </cell>
          <cell r="N605" t="str">
            <v>Staff Procurement Costs</v>
          </cell>
          <cell r="Q605" t="str">
            <v>n/a</v>
          </cell>
          <cell r="R605" t="str">
            <v>n/a</v>
          </cell>
          <cell r="S605" t="str">
            <v>n/a</v>
          </cell>
          <cell r="X605">
            <v>327000</v>
          </cell>
          <cell r="Y605" t="str">
            <v>n/a</v>
          </cell>
        </row>
        <row r="606">
          <cell r="B606" t="str">
            <v>406400</v>
          </cell>
          <cell r="M606" t="str">
            <v>Employee compensation and benefits</v>
          </cell>
          <cell r="N606" t="str">
            <v>Parking</v>
          </cell>
          <cell r="Q606" t="str">
            <v>n/a</v>
          </cell>
          <cell r="R606" t="str">
            <v>n/a</v>
          </cell>
          <cell r="S606" t="str">
            <v>n/a</v>
          </cell>
          <cell r="X606">
            <v>327000</v>
          </cell>
          <cell r="Y606" t="str">
            <v>n/a</v>
          </cell>
        </row>
        <row r="607">
          <cell r="B607" t="str">
            <v>492200</v>
          </cell>
          <cell r="M607" t="str">
            <v>Employee compensation and benefits</v>
          </cell>
          <cell r="N607" t="str">
            <v>Officer Moving Expenses: Other</v>
          </cell>
          <cell r="Q607" t="str">
            <v>n/a</v>
          </cell>
          <cell r="R607" t="str">
            <v>n/a</v>
          </cell>
          <cell r="S607" t="str">
            <v>n/a</v>
          </cell>
          <cell r="X607">
            <v>327000</v>
          </cell>
          <cell r="Y607" t="str">
            <v>n/a</v>
          </cell>
        </row>
        <row r="608">
          <cell r="B608" t="str">
            <v>492220</v>
          </cell>
          <cell r="M608" t="str">
            <v>Employee compensation and benefits</v>
          </cell>
          <cell r="N608" t="str">
            <v>Officer Moving Expenses: Other</v>
          </cell>
          <cell r="Q608" t="str">
            <v>n/a</v>
          </cell>
          <cell r="R608" t="str">
            <v>n/a</v>
          </cell>
          <cell r="S608" t="str">
            <v>n/a</v>
          </cell>
          <cell r="X608">
            <v>327000</v>
          </cell>
          <cell r="Y608" t="str">
            <v>n/a</v>
          </cell>
        </row>
        <row r="609">
          <cell r="B609" t="str">
            <v>493340</v>
          </cell>
          <cell r="M609" t="str">
            <v>Employee compensation and benefits</v>
          </cell>
          <cell r="N609" t="str">
            <v>Uniforms</v>
          </cell>
          <cell r="Q609" t="str">
            <v>n/a</v>
          </cell>
          <cell r="R609" t="str">
            <v>n/a</v>
          </cell>
          <cell r="S609" t="str">
            <v>n/a</v>
          </cell>
          <cell r="X609">
            <v>327000</v>
          </cell>
          <cell r="Y609" t="str">
            <v>n/a</v>
          </cell>
        </row>
        <row r="610">
          <cell r="B610" t="str">
            <v>495709</v>
          </cell>
          <cell r="M610" t="str">
            <v>Employee compensation and benefits</v>
          </cell>
          <cell r="N610" t="str">
            <v>Relief Supplied</v>
          </cell>
          <cell r="Q610" t="str">
            <v>n/a</v>
          </cell>
          <cell r="R610" t="str">
            <v>n/a</v>
          </cell>
          <cell r="S610" t="str">
            <v>n/a</v>
          </cell>
          <cell r="X610">
            <v>327000</v>
          </cell>
          <cell r="Y610" t="str">
            <v>n/a</v>
          </cell>
        </row>
        <row r="611">
          <cell r="B611" t="str">
            <v>455500</v>
          </cell>
          <cell r="M611" t="str">
            <v>Other operating expenses</v>
          </cell>
          <cell r="N611" t="str">
            <v>Information technology</v>
          </cell>
          <cell r="Q611" t="str">
            <v>n/a</v>
          </cell>
          <cell r="R611" t="str">
            <v>n/a</v>
          </cell>
          <cell r="S611" t="str">
            <v>n/a</v>
          </cell>
          <cell r="X611">
            <v>340070</v>
          </cell>
          <cell r="Y611" t="str">
            <v>n/a</v>
          </cell>
        </row>
        <row r="612">
          <cell r="B612" t="str">
            <v>456600</v>
          </cell>
          <cell r="M612" t="str">
            <v>Other operating expenses</v>
          </cell>
          <cell r="N612" t="str">
            <v>Information technology</v>
          </cell>
          <cell r="Q612" t="str">
            <v>n/a</v>
          </cell>
          <cell r="R612" t="str">
            <v>n/a</v>
          </cell>
          <cell r="S612" t="str">
            <v>n/a</v>
          </cell>
          <cell r="X612">
            <v>340050</v>
          </cell>
          <cell r="Y612" t="str">
            <v>n/a</v>
          </cell>
        </row>
        <row r="613">
          <cell r="B613" t="str">
            <v>457000</v>
          </cell>
          <cell r="M613" t="str">
            <v>Other operating expenses</v>
          </cell>
          <cell r="N613" t="str">
            <v>Information technology</v>
          </cell>
          <cell r="Q613" t="str">
            <v>n/a</v>
          </cell>
          <cell r="R613" t="str">
            <v>n/a</v>
          </cell>
          <cell r="S613" t="str">
            <v>n/a</v>
          </cell>
          <cell r="X613">
            <v>340450</v>
          </cell>
          <cell r="Y613" t="str">
            <v>n/a</v>
          </cell>
        </row>
        <row r="614">
          <cell r="B614" t="str">
            <v>457300</v>
          </cell>
          <cell r="M614" t="str">
            <v>Other operating expenses</v>
          </cell>
          <cell r="N614" t="str">
            <v>Information technology</v>
          </cell>
          <cell r="Q614" t="str">
            <v>n/a</v>
          </cell>
          <cell r="R614" t="str">
            <v>n/a</v>
          </cell>
          <cell r="S614" t="str">
            <v>n/a</v>
          </cell>
          <cell r="X614">
            <v>340350</v>
          </cell>
          <cell r="Y614" t="str">
            <v>n/a</v>
          </cell>
        </row>
        <row r="615">
          <cell r="B615" t="str">
            <v>490720</v>
          </cell>
          <cell r="M615" t="str">
            <v>Other operating expenses</v>
          </cell>
          <cell r="N615" t="str">
            <v>Information technology</v>
          </cell>
          <cell r="Q615" t="str">
            <v>n/a</v>
          </cell>
          <cell r="R615" t="str">
            <v>n/a</v>
          </cell>
          <cell r="S615" t="str">
            <v>n/a</v>
          </cell>
          <cell r="X615">
            <v>340050</v>
          </cell>
          <cell r="Y615" t="str">
            <v>n/a</v>
          </cell>
        </row>
        <row r="616">
          <cell r="B616" t="str">
            <v>490740</v>
          </cell>
          <cell r="M616" t="str">
            <v>Other operating expenses</v>
          </cell>
          <cell r="N616" t="str">
            <v>Information technology</v>
          </cell>
          <cell r="Q616" t="str">
            <v>n/a</v>
          </cell>
          <cell r="R616" t="str">
            <v>n/a</v>
          </cell>
          <cell r="S616" t="str">
            <v>n/a</v>
          </cell>
          <cell r="X616">
            <v>340050</v>
          </cell>
          <cell r="Y616" t="str">
            <v>n/a</v>
          </cell>
        </row>
        <row r="617">
          <cell r="B617" t="str">
            <v>490760</v>
          </cell>
          <cell r="M617" t="str">
            <v>Other operating expenses</v>
          </cell>
          <cell r="N617" t="str">
            <v>Information technology</v>
          </cell>
          <cell r="Q617" t="str">
            <v>n/a</v>
          </cell>
          <cell r="R617" t="str">
            <v>n/a</v>
          </cell>
          <cell r="S617" t="str">
            <v>n/a</v>
          </cell>
          <cell r="X617">
            <v>340050</v>
          </cell>
          <cell r="Y617" t="str">
            <v>n/a</v>
          </cell>
        </row>
        <row r="618">
          <cell r="B618" t="str">
            <v>440180</v>
          </cell>
          <cell r="M618" t="str">
            <v>Other operating expenses</v>
          </cell>
          <cell r="N618" t="str">
            <v>Depreciation</v>
          </cell>
          <cell r="Q618" t="str">
            <v>n/a</v>
          </cell>
          <cell r="R618" t="str">
            <v>n/a</v>
          </cell>
          <cell r="S618" t="str">
            <v>n/a</v>
          </cell>
          <cell r="X618">
            <v>329660</v>
          </cell>
          <cell r="Y618" t="str">
            <v>n/a</v>
          </cell>
        </row>
        <row r="619">
          <cell r="B619" t="str">
            <v>440220</v>
          </cell>
          <cell r="M619" t="str">
            <v>Other operating expenses</v>
          </cell>
          <cell r="N619" t="str">
            <v>Depreciation</v>
          </cell>
          <cell r="Q619" t="str">
            <v>n/a</v>
          </cell>
          <cell r="R619" t="str">
            <v>n/a</v>
          </cell>
          <cell r="S619" t="str">
            <v>n/a</v>
          </cell>
          <cell r="X619">
            <v>329670</v>
          </cell>
          <cell r="Y619" t="str">
            <v>n/a</v>
          </cell>
        </row>
        <row r="620">
          <cell r="B620" t="str">
            <v>440340</v>
          </cell>
          <cell r="M620" t="str">
            <v>Other operating expenses</v>
          </cell>
          <cell r="N620" t="str">
            <v>Depreciation</v>
          </cell>
          <cell r="Q620" t="str">
            <v>n/a</v>
          </cell>
          <cell r="R620" t="str">
            <v>n/a</v>
          </cell>
          <cell r="S620" t="str">
            <v>n/a</v>
          </cell>
          <cell r="X620">
            <v>329660</v>
          </cell>
          <cell r="Y620" t="str">
            <v>n/a</v>
          </cell>
        </row>
        <row r="621">
          <cell r="B621" t="str">
            <v>440440</v>
          </cell>
          <cell r="M621" t="str">
            <v>Other operating expenses</v>
          </cell>
          <cell r="N621" t="str">
            <v>Depreciation</v>
          </cell>
          <cell r="Q621" t="str">
            <v>n/a</v>
          </cell>
          <cell r="R621" t="str">
            <v>n/a</v>
          </cell>
          <cell r="S621" t="str">
            <v>n/a</v>
          </cell>
          <cell r="X621">
            <v>329700</v>
          </cell>
          <cell r="Y621" t="str">
            <v>n/a</v>
          </cell>
        </row>
        <row r="622">
          <cell r="B622" t="str">
            <v>440500</v>
          </cell>
          <cell r="M622" t="str">
            <v>Other operating expenses</v>
          </cell>
          <cell r="N622" t="str">
            <v>Depreciation</v>
          </cell>
          <cell r="Q622" t="str">
            <v>n/a</v>
          </cell>
          <cell r="R622" t="str">
            <v>n/a</v>
          </cell>
          <cell r="S622" t="str">
            <v>n/a</v>
          </cell>
          <cell r="X622">
            <v>329610</v>
          </cell>
          <cell r="Y622" t="str">
            <v>n/a</v>
          </cell>
        </row>
        <row r="623">
          <cell r="B623" t="str">
            <v>440620</v>
          </cell>
          <cell r="M623" t="str">
            <v>Other operating expenses</v>
          </cell>
          <cell r="N623" t="str">
            <v>Depreciation</v>
          </cell>
          <cell r="Q623" t="str">
            <v>n/a</v>
          </cell>
          <cell r="R623" t="str">
            <v>n/a</v>
          </cell>
          <cell r="S623" t="str">
            <v>n/a</v>
          </cell>
          <cell r="X623">
            <v>329660</v>
          </cell>
          <cell r="Y623" t="str">
            <v>n/a</v>
          </cell>
        </row>
        <row r="624">
          <cell r="B624" t="str">
            <v>440640</v>
          </cell>
          <cell r="M624" t="str">
            <v>Other operating expenses</v>
          </cell>
          <cell r="N624" t="str">
            <v>Depreciation</v>
          </cell>
          <cell r="Q624" t="str">
            <v>n/a</v>
          </cell>
          <cell r="R624" t="str">
            <v>n/a</v>
          </cell>
          <cell r="S624" t="str">
            <v>n/a</v>
          </cell>
          <cell r="X624">
            <v>329670</v>
          </cell>
          <cell r="Y624" t="str">
            <v>n/a</v>
          </cell>
        </row>
        <row r="625">
          <cell r="B625" t="str">
            <v>440660</v>
          </cell>
          <cell r="M625" t="str">
            <v>Other operating expenses</v>
          </cell>
          <cell r="N625" t="str">
            <v>Depreciation</v>
          </cell>
          <cell r="Q625" t="str">
            <v>n/a</v>
          </cell>
          <cell r="R625" t="str">
            <v>n/a</v>
          </cell>
          <cell r="S625" t="str">
            <v>n/a</v>
          </cell>
          <cell r="X625">
            <v>329680</v>
          </cell>
          <cell r="Y625" t="str">
            <v>n/a</v>
          </cell>
        </row>
        <row r="626">
          <cell r="B626" t="str">
            <v>440700</v>
          </cell>
          <cell r="M626" t="str">
            <v>Other operating expenses</v>
          </cell>
          <cell r="N626" t="str">
            <v>Depreciation</v>
          </cell>
          <cell r="Q626" t="str">
            <v>n/a</v>
          </cell>
          <cell r="R626" t="str">
            <v>n/a</v>
          </cell>
          <cell r="S626" t="str">
            <v>n/a</v>
          </cell>
          <cell r="X626">
            <v>329680</v>
          </cell>
          <cell r="Y626" t="str">
            <v>n/a</v>
          </cell>
        </row>
        <row r="627">
          <cell r="B627" t="str">
            <v>440780</v>
          </cell>
          <cell r="M627" t="str">
            <v>Other operating expenses</v>
          </cell>
          <cell r="N627" t="str">
            <v>Depreciation</v>
          </cell>
          <cell r="Q627" t="str">
            <v>n/a</v>
          </cell>
          <cell r="R627" t="str">
            <v>n/a</v>
          </cell>
          <cell r="S627" t="str">
            <v>n/a</v>
          </cell>
          <cell r="X627">
            <v>329690</v>
          </cell>
          <cell r="Y627" t="str">
            <v>n/a</v>
          </cell>
        </row>
        <row r="628">
          <cell r="B628" t="str">
            <v>440800</v>
          </cell>
          <cell r="M628" t="str">
            <v>Other operating expenses</v>
          </cell>
          <cell r="N628" t="str">
            <v>Depreciation</v>
          </cell>
          <cell r="Q628" t="str">
            <v>n/a</v>
          </cell>
          <cell r="R628" t="str">
            <v>n/a</v>
          </cell>
          <cell r="S628" t="str">
            <v>n/a</v>
          </cell>
          <cell r="X628">
            <v>329670</v>
          </cell>
          <cell r="Y628" t="str">
            <v>n/a</v>
          </cell>
        </row>
        <row r="629">
          <cell r="B629" t="str">
            <v>440860</v>
          </cell>
          <cell r="M629" t="str">
            <v>Other operating expenses</v>
          </cell>
          <cell r="N629" t="str">
            <v>Depreciation</v>
          </cell>
          <cell r="Q629" t="str">
            <v>n/a</v>
          </cell>
          <cell r="R629" t="str">
            <v>n/a</v>
          </cell>
          <cell r="S629" t="str">
            <v>n/a</v>
          </cell>
          <cell r="X629">
            <v>329700</v>
          </cell>
          <cell r="Y629" t="str">
            <v>n/a</v>
          </cell>
        </row>
        <row r="630">
          <cell r="B630" t="str">
            <v>440880</v>
          </cell>
          <cell r="M630" t="str">
            <v>Other operating expenses</v>
          </cell>
          <cell r="N630" t="str">
            <v>Depreciation</v>
          </cell>
          <cell r="Q630" t="str">
            <v>n/a</v>
          </cell>
          <cell r="R630" t="str">
            <v>n/a</v>
          </cell>
          <cell r="S630" t="str">
            <v>n/a</v>
          </cell>
          <cell r="X630">
            <v>329700</v>
          </cell>
          <cell r="Y630" t="str">
            <v>n/a</v>
          </cell>
        </row>
        <row r="631">
          <cell r="B631" t="str">
            <v>440920</v>
          </cell>
          <cell r="M631" t="str">
            <v>Other operating expenses</v>
          </cell>
          <cell r="N631" t="str">
            <v>Depreciation</v>
          </cell>
          <cell r="Q631" t="str">
            <v>n/a</v>
          </cell>
          <cell r="R631" t="str">
            <v>n/a</v>
          </cell>
          <cell r="S631" t="str">
            <v>n/a</v>
          </cell>
          <cell r="X631">
            <v>329700</v>
          </cell>
          <cell r="Y631" t="str">
            <v>n/a</v>
          </cell>
        </row>
        <row r="632">
          <cell r="B632" t="str">
            <v>440980</v>
          </cell>
          <cell r="M632" t="str">
            <v>Other operating expenses</v>
          </cell>
          <cell r="N632" t="str">
            <v>Depreciation</v>
          </cell>
          <cell r="Q632" t="str">
            <v>n/a</v>
          </cell>
          <cell r="R632" t="str">
            <v>n/a</v>
          </cell>
          <cell r="S632" t="str">
            <v>n/a</v>
          </cell>
          <cell r="X632">
            <v>329700</v>
          </cell>
          <cell r="Y632" t="str">
            <v>n/a</v>
          </cell>
        </row>
        <row r="633">
          <cell r="B633" t="str">
            <v>441050</v>
          </cell>
          <cell r="M633" t="str">
            <v>Other operating expenses</v>
          </cell>
          <cell r="N633" t="str">
            <v>Depreciation</v>
          </cell>
          <cell r="Q633" t="str">
            <v>n/a</v>
          </cell>
          <cell r="R633" t="str">
            <v>n/a</v>
          </cell>
          <cell r="S633" t="str">
            <v>n/a</v>
          </cell>
          <cell r="X633">
            <v>330100</v>
          </cell>
          <cell r="Y633" t="str">
            <v>441050</v>
          </cell>
        </row>
        <row r="634">
          <cell r="B634" t="str">
            <v>441055</v>
          </cell>
          <cell r="M634" t="str">
            <v>Other operating expenses</v>
          </cell>
          <cell r="N634" t="str">
            <v>Depreciation</v>
          </cell>
          <cell r="Q634" t="str">
            <v>n/a</v>
          </cell>
          <cell r="R634" t="str">
            <v>n/a</v>
          </cell>
          <cell r="S634" t="str">
            <v>n/a</v>
          </cell>
          <cell r="X634">
            <v>329700</v>
          </cell>
          <cell r="Y634" t="str">
            <v>n/a</v>
          </cell>
        </row>
        <row r="635">
          <cell r="B635" t="str">
            <v>441060</v>
          </cell>
          <cell r="M635" t="str">
            <v>Other operating expenses</v>
          </cell>
          <cell r="N635" t="str">
            <v>Depreciation</v>
          </cell>
          <cell r="Q635" t="str">
            <v>n/a</v>
          </cell>
          <cell r="R635" t="str">
            <v>n/a</v>
          </cell>
          <cell r="S635" t="str">
            <v>n/a</v>
          </cell>
          <cell r="X635">
            <v>330100</v>
          </cell>
          <cell r="Y635" t="str">
            <v>441060</v>
          </cell>
        </row>
        <row r="636">
          <cell r="B636" t="str">
            <v>441065</v>
          </cell>
          <cell r="M636" t="str">
            <v>Other operating expenses</v>
          </cell>
          <cell r="N636" t="str">
            <v>Depreciation</v>
          </cell>
          <cell r="Q636" t="str">
            <v>n/a</v>
          </cell>
          <cell r="R636" t="str">
            <v>n/a</v>
          </cell>
          <cell r="S636" t="str">
            <v>n/a</v>
          </cell>
          <cell r="X636">
            <v>329700</v>
          </cell>
          <cell r="Y636" t="str">
            <v>n/a</v>
          </cell>
        </row>
        <row r="637">
          <cell r="B637" t="str">
            <v>441120</v>
          </cell>
          <cell r="M637" t="str">
            <v>Other operating expenses</v>
          </cell>
          <cell r="N637" t="str">
            <v>Depreciation</v>
          </cell>
          <cell r="Q637" t="str">
            <v>n/a</v>
          </cell>
          <cell r="R637" t="str">
            <v>n/a</v>
          </cell>
          <cell r="S637" t="str">
            <v>n/a</v>
          </cell>
          <cell r="X637">
            <v>329700</v>
          </cell>
          <cell r="Y637" t="str">
            <v>n/a</v>
          </cell>
        </row>
        <row r="638">
          <cell r="B638" t="str">
            <v>441200</v>
          </cell>
          <cell r="M638" t="str">
            <v>Other operating expenses</v>
          </cell>
          <cell r="N638" t="str">
            <v>Depreciation</v>
          </cell>
          <cell r="Q638" t="str">
            <v>n/a</v>
          </cell>
          <cell r="R638" t="str">
            <v>n/a</v>
          </cell>
          <cell r="S638" t="str">
            <v>n/a</v>
          </cell>
          <cell r="X638">
            <v>329660</v>
          </cell>
          <cell r="Y638" t="str">
            <v>n/a</v>
          </cell>
        </row>
        <row r="639">
          <cell r="B639" t="str">
            <v>441640</v>
          </cell>
          <cell r="M639" t="str">
            <v>Other operating expenses</v>
          </cell>
          <cell r="N639" t="str">
            <v>Depreciation</v>
          </cell>
          <cell r="Q639" t="str">
            <v>n/a</v>
          </cell>
          <cell r="R639" t="str">
            <v>n/a</v>
          </cell>
          <cell r="S639" t="str">
            <v>n/a</v>
          </cell>
          <cell r="X639">
            <v>329610</v>
          </cell>
          <cell r="Y639" t="str">
            <v>n/a</v>
          </cell>
        </row>
        <row r="640">
          <cell r="B640" t="str">
            <v>451000</v>
          </cell>
          <cell r="M640" t="str">
            <v>Other operating expenses</v>
          </cell>
          <cell r="N640" t="str">
            <v>Depreciation</v>
          </cell>
          <cell r="Q640" t="str">
            <v>n/a</v>
          </cell>
          <cell r="R640" t="str">
            <v>n/a</v>
          </cell>
          <cell r="S640" t="str">
            <v>n/a</v>
          </cell>
          <cell r="X640">
            <v>330100</v>
          </cell>
          <cell r="Y640" t="str">
            <v>n/a</v>
          </cell>
        </row>
        <row r="641">
          <cell r="B641" t="str">
            <v>460700</v>
          </cell>
          <cell r="M641" t="str">
            <v>Other operating expenses</v>
          </cell>
          <cell r="N641" t="str">
            <v>Communication expenses</v>
          </cell>
          <cell r="Q641" t="str">
            <v>n/a</v>
          </cell>
          <cell r="R641" t="str">
            <v>n/a</v>
          </cell>
          <cell r="S641" t="str">
            <v>n/a</v>
          </cell>
          <cell r="X641">
            <v>340150</v>
          </cell>
          <cell r="Y641" t="str">
            <v>n/a</v>
          </cell>
        </row>
        <row r="642">
          <cell r="B642" t="str">
            <v>460300</v>
          </cell>
          <cell r="M642" t="str">
            <v>Other operating expenses</v>
          </cell>
          <cell r="N642" t="str">
            <v>Communication expenses</v>
          </cell>
          <cell r="Q642" t="str">
            <v>n/a</v>
          </cell>
          <cell r="R642" t="str">
            <v>n/a</v>
          </cell>
          <cell r="S642" t="str">
            <v>n/a</v>
          </cell>
          <cell r="X642">
            <v>340150</v>
          </cell>
          <cell r="Y642" t="str">
            <v>n/a</v>
          </cell>
        </row>
        <row r="643">
          <cell r="B643" t="str">
            <v>460800</v>
          </cell>
          <cell r="M643" t="str">
            <v>Other operating expenses</v>
          </cell>
          <cell r="N643" t="str">
            <v>Communication expenses</v>
          </cell>
          <cell r="Q643" t="str">
            <v>n/a</v>
          </cell>
          <cell r="R643" t="str">
            <v>n/a</v>
          </cell>
          <cell r="S643" t="str">
            <v>n/a</v>
          </cell>
          <cell r="X643">
            <v>340150</v>
          </cell>
          <cell r="Y643" t="str">
            <v>n/a</v>
          </cell>
        </row>
        <row r="644">
          <cell r="B644" t="str">
            <v>460900</v>
          </cell>
          <cell r="M644" t="str">
            <v>Other operating expenses</v>
          </cell>
          <cell r="N644" t="str">
            <v>Communication expenses</v>
          </cell>
          <cell r="Q644" t="str">
            <v>n/a</v>
          </cell>
          <cell r="R644" t="str">
            <v>n/a</v>
          </cell>
          <cell r="S644" t="str">
            <v>n/a</v>
          </cell>
          <cell r="X644">
            <v>340150</v>
          </cell>
          <cell r="Y644" t="str">
            <v>n/a</v>
          </cell>
        </row>
        <row r="645">
          <cell r="B645" t="str">
            <v>462200</v>
          </cell>
          <cell r="M645" t="str">
            <v>Other operating expenses</v>
          </cell>
          <cell r="N645" t="str">
            <v>Communication expenses</v>
          </cell>
          <cell r="Q645" t="str">
            <v>n/a</v>
          </cell>
          <cell r="R645" t="str">
            <v>n/a</v>
          </cell>
          <cell r="S645" t="str">
            <v>n/a</v>
          </cell>
          <cell r="X645">
            <v>340150</v>
          </cell>
          <cell r="Y645" t="str">
            <v>n/a</v>
          </cell>
        </row>
        <row r="646">
          <cell r="B646" t="str">
            <v>462600</v>
          </cell>
          <cell r="M646" t="str">
            <v>Other operating expenses</v>
          </cell>
          <cell r="N646" t="str">
            <v>Communication expenses</v>
          </cell>
          <cell r="Q646" t="str">
            <v>n/a</v>
          </cell>
          <cell r="R646" t="str">
            <v>n/a</v>
          </cell>
          <cell r="S646" t="str">
            <v>n/a</v>
          </cell>
          <cell r="X646">
            <v>340150</v>
          </cell>
          <cell r="Y646" t="str">
            <v>n/a</v>
          </cell>
        </row>
        <row r="647">
          <cell r="B647" t="str">
            <v>887600</v>
          </cell>
          <cell r="M647" t="str">
            <v>Other operating expenses</v>
          </cell>
          <cell r="N647" t="str">
            <v>Communication expenses</v>
          </cell>
          <cell r="Q647" t="str">
            <v>n/a</v>
          </cell>
          <cell r="R647" t="str">
            <v>n/a</v>
          </cell>
          <cell r="S647" t="str">
            <v>n/a</v>
          </cell>
          <cell r="X647">
            <v>340150</v>
          </cell>
          <cell r="Y647" t="str">
            <v>n/a</v>
          </cell>
        </row>
        <row r="648">
          <cell r="B648" t="str">
            <v>465200</v>
          </cell>
          <cell r="M648" t="str">
            <v>Other operating expenses</v>
          </cell>
          <cell r="N648" t="str">
            <v>Travel &amp; entertainment</v>
          </cell>
          <cell r="Q648" t="str">
            <v>n/a</v>
          </cell>
          <cell r="R648" t="str">
            <v>n/a</v>
          </cell>
          <cell r="S648" t="str">
            <v>n/a</v>
          </cell>
          <cell r="X648">
            <v>340250</v>
          </cell>
          <cell r="Y648" t="str">
            <v>n/a</v>
          </cell>
        </row>
        <row r="649">
          <cell r="B649" t="str">
            <v>465400</v>
          </cell>
          <cell r="M649" t="str">
            <v>Other operating expenses</v>
          </cell>
          <cell r="N649" t="str">
            <v>Travel &amp; entertainment</v>
          </cell>
          <cell r="Q649" t="str">
            <v>n/a</v>
          </cell>
          <cell r="R649" t="str">
            <v>n/a</v>
          </cell>
          <cell r="S649" t="str">
            <v>n/a</v>
          </cell>
          <cell r="X649">
            <v>340250</v>
          </cell>
          <cell r="Y649" t="str">
            <v>n/a</v>
          </cell>
        </row>
        <row r="650">
          <cell r="B650" t="str">
            <v>465500</v>
          </cell>
          <cell r="M650" t="str">
            <v>Other operating expenses</v>
          </cell>
          <cell r="N650" t="str">
            <v>Travel &amp; entertainment</v>
          </cell>
          <cell r="Q650" t="str">
            <v>n/a</v>
          </cell>
          <cell r="R650" t="str">
            <v>n/a</v>
          </cell>
          <cell r="S650" t="str">
            <v>n/a</v>
          </cell>
          <cell r="X650">
            <v>340250</v>
          </cell>
          <cell r="Y650" t="str">
            <v>n/a</v>
          </cell>
        </row>
        <row r="651">
          <cell r="B651" t="str">
            <v>466300</v>
          </cell>
          <cell r="M651" t="str">
            <v>Other operating expenses</v>
          </cell>
          <cell r="N651" t="str">
            <v>Travel &amp; entertainment</v>
          </cell>
          <cell r="Q651" t="str">
            <v>n/a</v>
          </cell>
          <cell r="R651" t="str">
            <v>n/a</v>
          </cell>
          <cell r="S651" t="str">
            <v>n/a</v>
          </cell>
          <cell r="X651">
            <v>340250</v>
          </cell>
          <cell r="Y651" t="str">
            <v>n/a</v>
          </cell>
        </row>
        <row r="652">
          <cell r="B652" t="str">
            <v>466400</v>
          </cell>
          <cell r="M652" t="str">
            <v>Other operating expenses</v>
          </cell>
          <cell r="N652" t="str">
            <v>Travel &amp; entertainment</v>
          </cell>
          <cell r="Q652" t="str">
            <v>n/a</v>
          </cell>
          <cell r="R652" t="str">
            <v>n/a</v>
          </cell>
          <cell r="S652" t="str">
            <v>n/a</v>
          </cell>
          <cell r="X652">
            <v>340250</v>
          </cell>
          <cell r="Y652" t="str">
            <v>n/a</v>
          </cell>
        </row>
        <row r="653">
          <cell r="B653" t="str">
            <v>466600</v>
          </cell>
          <cell r="M653" t="str">
            <v>Other operating expenses</v>
          </cell>
          <cell r="N653" t="str">
            <v>Travel &amp; entertainment</v>
          </cell>
          <cell r="Q653" t="str">
            <v>n/a</v>
          </cell>
          <cell r="R653" t="str">
            <v>n/a</v>
          </cell>
          <cell r="S653" t="str">
            <v>n/a</v>
          </cell>
          <cell r="X653">
            <v>340250</v>
          </cell>
          <cell r="Y653" t="str">
            <v>n/a</v>
          </cell>
        </row>
        <row r="654">
          <cell r="B654" t="str">
            <v>420300</v>
          </cell>
          <cell r="M654" t="str">
            <v>Other operating expenses</v>
          </cell>
          <cell r="N654" t="str">
            <v>Premises expenses</v>
          </cell>
          <cell r="Q654" t="str">
            <v>n/a</v>
          </cell>
          <cell r="R654" t="str">
            <v>n/a</v>
          </cell>
          <cell r="S654" t="str">
            <v>n/a</v>
          </cell>
          <cell r="X654">
            <v>328100</v>
          </cell>
          <cell r="Y654" t="str">
            <v>n/a</v>
          </cell>
        </row>
        <row r="655">
          <cell r="B655" t="str">
            <v>421300</v>
          </cell>
          <cell r="M655" t="str">
            <v>Other operating expenses</v>
          </cell>
          <cell r="N655" t="str">
            <v>Premises expenses</v>
          </cell>
          <cell r="Q655" t="str">
            <v>n/a</v>
          </cell>
          <cell r="R655" t="str">
            <v>n/a</v>
          </cell>
          <cell r="S655" t="str">
            <v>n/a</v>
          </cell>
          <cell r="X655">
            <v>328500</v>
          </cell>
          <cell r="Y655" t="str">
            <v>n/a</v>
          </cell>
        </row>
        <row r="656">
          <cell r="B656" t="str">
            <v>421400</v>
          </cell>
          <cell r="M656" t="str">
            <v>Other operating expenses</v>
          </cell>
          <cell r="N656" t="str">
            <v>Premises expenses</v>
          </cell>
          <cell r="Q656" t="str">
            <v>n/a</v>
          </cell>
          <cell r="R656" t="str">
            <v>n/a</v>
          </cell>
          <cell r="S656" t="str">
            <v>n/a</v>
          </cell>
          <cell r="X656">
            <v>328500</v>
          </cell>
          <cell r="Y656" t="str">
            <v>n/a</v>
          </cell>
        </row>
        <row r="657">
          <cell r="B657" t="str">
            <v>420100</v>
          </cell>
          <cell r="M657" t="str">
            <v>Other operating expenses</v>
          </cell>
          <cell r="N657" t="str">
            <v>Premises expenses</v>
          </cell>
          <cell r="Q657" t="str">
            <v>n/a</v>
          </cell>
          <cell r="R657" t="str">
            <v>n/a</v>
          </cell>
          <cell r="S657" t="str">
            <v>n/a</v>
          </cell>
          <cell r="X657">
            <v>328100</v>
          </cell>
          <cell r="Y657" t="str">
            <v>n/a</v>
          </cell>
        </row>
        <row r="658">
          <cell r="B658" t="str">
            <v>423700</v>
          </cell>
          <cell r="M658" t="str">
            <v>Other operating expenses</v>
          </cell>
          <cell r="N658" t="str">
            <v>Premises expenses</v>
          </cell>
          <cell r="Q658" t="str">
            <v>n/a</v>
          </cell>
          <cell r="R658" t="str">
            <v>n/a</v>
          </cell>
          <cell r="S658" t="str">
            <v>n/a</v>
          </cell>
          <cell r="X658">
            <v>328500</v>
          </cell>
          <cell r="Y658" t="str">
            <v>n/a</v>
          </cell>
        </row>
        <row r="659">
          <cell r="B659" t="str">
            <v>423800</v>
          </cell>
          <cell r="M659" t="str">
            <v>Other operating expenses</v>
          </cell>
          <cell r="N659" t="str">
            <v>Premises expenses</v>
          </cell>
          <cell r="Q659" t="str">
            <v>n/a</v>
          </cell>
          <cell r="R659" t="str">
            <v>n/a</v>
          </cell>
          <cell r="S659" t="str">
            <v>n/a</v>
          </cell>
          <cell r="X659">
            <v>328500</v>
          </cell>
          <cell r="Y659" t="str">
            <v>n/a</v>
          </cell>
        </row>
        <row r="660">
          <cell r="B660" t="str">
            <v>423900</v>
          </cell>
          <cell r="M660" t="str">
            <v>Other operating expenses</v>
          </cell>
          <cell r="N660" t="str">
            <v>Premises expenses</v>
          </cell>
          <cell r="Q660" t="str">
            <v>n/a</v>
          </cell>
          <cell r="R660" t="str">
            <v>n/a</v>
          </cell>
          <cell r="S660" t="str">
            <v>n/a</v>
          </cell>
          <cell r="X660">
            <v>328500</v>
          </cell>
          <cell r="Y660" t="str">
            <v>n/a</v>
          </cell>
        </row>
        <row r="661">
          <cell r="B661" t="str">
            <v>424000</v>
          </cell>
          <cell r="M661" t="str">
            <v>Other operating expenses</v>
          </cell>
          <cell r="N661" t="str">
            <v>Premises expenses</v>
          </cell>
          <cell r="Q661" t="str">
            <v>n/a</v>
          </cell>
          <cell r="R661" t="str">
            <v>n/a</v>
          </cell>
          <cell r="S661" t="str">
            <v>n/a</v>
          </cell>
          <cell r="X661">
            <v>328500</v>
          </cell>
          <cell r="Y661" t="str">
            <v>n/a</v>
          </cell>
        </row>
        <row r="662">
          <cell r="B662" t="str">
            <v>424100</v>
          </cell>
          <cell r="M662" t="str">
            <v>Other operating expenses</v>
          </cell>
          <cell r="N662" t="str">
            <v>Premises expenses</v>
          </cell>
          <cell r="Q662" t="str">
            <v>n/a</v>
          </cell>
          <cell r="R662" t="str">
            <v>n/a</v>
          </cell>
          <cell r="S662" t="str">
            <v>n/a</v>
          </cell>
          <cell r="X662">
            <v>328300</v>
          </cell>
          <cell r="Y662" t="str">
            <v>n/a</v>
          </cell>
        </row>
        <row r="663">
          <cell r="B663" t="str">
            <v>424500</v>
          </cell>
          <cell r="M663" t="str">
            <v>Other operating expenses</v>
          </cell>
          <cell r="N663" t="str">
            <v>Premises expenses</v>
          </cell>
          <cell r="Q663" t="str">
            <v>n/a</v>
          </cell>
          <cell r="R663" t="str">
            <v>n/a</v>
          </cell>
          <cell r="S663" t="str">
            <v>n/a</v>
          </cell>
          <cell r="X663">
            <v>328600</v>
          </cell>
          <cell r="Y663" t="str">
            <v>n/a</v>
          </cell>
        </row>
        <row r="664">
          <cell r="B664" t="str">
            <v>424900</v>
          </cell>
          <cell r="M664" t="str">
            <v>Other operating expenses</v>
          </cell>
          <cell r="N664" t="str">
            <v>Premises expenses</v>
          </cell>
          <cell r="Q664" t="str">
            <v>n/a</v>
          </cell>
          <cell r="R664" t="str">
            <v>n/a</v>
          </cell>
          <cell r="S664" t="str">
            <v>n/a</v>
          </cell>
          <cell r="X664">
            <v>328100</v>
          </cell>
          <cell r="Y664" t="str">
            <v>n/a</v>
          </cell>
        </row>
        <row r="665">
          <cell r="B665" t="str">
            <v>425100</v>
          </cell>
          <cell r="M665" t="str">
            <v>Other operating expenses</v>
          </cell>
          <cell r="N665" t="str">
            <v>Premises expenses</v>
          </cell>
          <cell r="Q665" t="str">
            <v>n/a</v>
          </cell>
          <cell r="R665" t="str">
            <v>n/a</v>
          </cell>
          <cell r="S665" t="str">
            <v>n/a</v>
          </cell>
          <cell r="X665">
            <v>328400</v>
          </cell>
          <cell r="Y665" t="str">
            <v>n/a</v>
          </cell>
        </row>
        <row r="666">
          <cell r="B666" t="str">
            <v>426800</v>
          </cell>
          <cell r="M666" t="str">
            <v>Other operating expenses</v>
          </cell>
          <cell r="N666" t="str">
            <v>Premises expenses</v>
          </cell>
          <cell r="Q666" t="str">
            <v>n/a</v>
          </cell>
          <cell r="R666" t="str">
            <v>n/a</v>
          </cell>
          <cell r="S666" t="str">
            <v>n/a</v>
          </cell>
          <cell r="X666">
            <v>328500</v>
          </cell>
          <cell r="Y666" t="str">
            <v>n/a</v>
          </cell>
        </row>
        <row r="667">
          <cell r="B667" t="str">
            <v>441100</v>
          </cell>
          <cell r="M667" t="str">
            <v>Other operating expenses</v>
          </cell>
          <cell r="N667" t="str">
            <v>Premises expenses</v>
          </cell>
          <cell r="Q667" t="str">
            <v>n/a</v>
          </cell>
          <cell r="R667" t="str">
            <v>n/a</v>
          </cell>
          <cell r="S667" t="str">
            <v>n/a</v>
          </cell>
          <cell r="X667">
            <v>328100</v>
          </cell>
          <cell r="Y667" t="str">
            <v>n/a</v>
          </cell>
        </row>
        <row r="668">
          <cell r="B668" t="str">
            <v>490830</v>
          </cell>
          <cell r="M668" t="str">
            <v>Other operating expenses</v>
          </cell>
          <cell r="N668" t="str">
            <v>Premises expenses</v>
          </cell>
          <cell r="Q668" t="str">
            <v>n/a</v>
          </cell>
          <cell r="R668" t="str">
            <v>n/a</v>
          </cell>
          <cell r="S668" t="str">
            <v>n/a</v>
          </cell>
          <cell r="X668">
            <v>328500</v>
          </cell>
          <cell r="Y668" t="str">
            <v>n/a</v>
          </cell>
        </row>
        <row r="669">
          <cell r="B669" t="str">
            <v>491640</v>
          </cell>
          <cell r="M669" t="str">
            <v>Other operating expenses</v>
          </cell>
          <cell r="N669" t="str">
            <v>Premises expenses</v>
          </cell>
          <cell r="Q669" t="str">
            <v>n/a</v>
          </cell>
          <cell r="R669" t="str">
            <v>n/a</v>
          </cell>
          <cell r="S669" t="str">
            <v>n/a</v>
          </cell>
          <cell r="X669">
            <v>340850</v>
          </cell>
          <cell r="Y669" t="str">
            <v>n/a</v>
          </cell>
        </row>
        <row r="670">
          <cell r="B670" t="str">
            <v>491660</v>
          </cell>
          <cell r="M670" t="str">
            <v>Other operating expenses</v>
          </cell>
          <cell r="N670" t="str">
            <v>Premises expenses</v>
          </cell>
          <cell r="Q670" t="str">
            <v>n/a</v>
          </cell>
          <cell r="R670" t="str">
            <v>n/a</v>
          </cell>
          <cell r="S670" t="str">
            <v>n/a</v>
          </cell>
          <cell r="X670">
            <v>340850</v>
          </cell>
          <cell r="Y670" t="str">
            <v>n/a</v>
          </cell>
        </row>
        <row r="671">
          <cell r="B671" t="str">
            <v>492260</v>
          </cell>
          <cell r="M671" t="str">
            <v>Other operating expenses</v>
          </cell>
          <cell r="N671" t="str">
            <v>Premises expenses</v>
          </cell>
          <cell r="Q671" t="str">
            <v>n/a</v>
          </cell>
          <cell r="R671" t="str">
            <v>n/a</v>
          </cell>
          <cell r="S671" t="str">
            <v>n/a</v>
          </cell>
          <cell r="X671">
            <v>340850</v>
          </cell>
          <cell r="Y671" t="str">
            <v>n/a</v>
          </cell>
        </row>
        <row r="672">
          <cell r="B672" t="str">
            <v>492280</v>
          </cell>
          <cell r="M672" t="str">
            <v>Other operating expenses</v>
          </cell>
          <cell r="N672" t="str">
            <v>Premises expenses</v>
          </cell>
          <cell r="Q672" t="str">
            <v>n/a</v>
          </cell>
          <cell r="R672" t="str">
            <v>n/a</v>
          </cell>
          <cell r="S672" t="str">
            <v>n/a</v>
          </cell>
          <cell r="X672">
            <v>340850</v>
          </cell>
          <cell r="Y672" t="str">
            <v>n/a</v>
          </cell>
        </row>
        <row r="673">
          <cell r="B673" t="str">
            <v>492940</v>
          </cell>
          <cell r="M673" t="str">
            <v>Other operating expenses</v>
          </cell>
          <cell r="N673" t="str">
            <v>Premises expenses</v>
          </cell>
          <cell r="Q673" t="str">
            <v>n/a</v>
          </cell>
          <cell r="R673" t="str">
            <v>n/a</v>
          </cell>
          <cell r="S673" t="str">
            <v>n/a</v>
          </cell>
          <cell r="X673">
            <v>340850</v>
          </cell>
          <cell r="Y673" t="str">
            <v>n/a</v>
          </cell>
        </row>
        <row r="674">
          <cell r="B674" t="str">
            <v>421900</v>
          </cell>
          <cell r="M674" t="str">
            <v>Other operating expenses</v>
          </cell>
          <cell r="N674" t="str">
            <v>Premises expenses</v>
          </cell>
          <cell r="Q674" t="str">
            <v>n/a</v>
          </cell>
          <cell r="R674" t="str">
            <v>n/a</v>
          </cell>
          <cell r="S674" t="str">
            <v>n/a</v>
          </cell>
          <cell r="X674">
            <v>328500</v>
          </cell>
          <cell r="Y674" t="str">
            <v>n/a</v>
          </cell>
        </row>
        <row r="675">
          <cell r="B675" t="str">
            <v>428400</v>
          </cell>
          <cell r="M675" t="str">
            <v>Other operating expenses</v>
          </cell>
          <cell r="N675" t="str">
            <v>Premises expenses</v>
          </cell>
          <cell r="Q675" t="str">
            <v>n/a</v>
          </cell>
          <cell r="R675" t="str">
            <v>n/a</v>
          </cell>
          <cell r="S675" t="str">
            <v>n/a</v>
          </cell>
          <cell r="X675">
            <v>328500</v>
          </cell>
          <cell r="Y675" t="str">
            <v>n/a</v>
          </cell>
        </row>
        <row r="676">
          <cell r="B676" t="str">
            <v>422000</v>
          </cell>
          <cell r="M676" t="str">
            <v>Other operating expenses</v>
          </cell>
          <cell r="N676" t="str">
            <v>Premises expenses</v>
          </cell>
          <cell r="Q676" t="str">
            <v>n/a</v>
          </cell>
          <cell r="R676" t="str">
            <v>n/a</v>
          </cell>
          <cell r="S676" t="str">
            <v>n/a</v>
          </cell>
          <cell r="X676">
            <v>328500</v>
          </cell>
          <cell r="Y676" t="str">
            <v>n/a</v>
          </cell>
        </row>
        <row r="677">
          <cell r="B677" t="str">
            <v>422800</v>
          </cell>
          <cell r="M677" t="str">
            <v>Other operating expenses</v>
          </cell>
          <cell r="N677" t="str">
            <v>Premises expenses</v>
          </cell>
          <cell r="Q677" t="str">
            <v>n/a</v>
          </cell>
          <cell r="R677" t="str">
            <v>n/a</v>
          </cell>
          <cell r="S677" t="str">
            <v>n/a</v>
          </cell>
          <cell r="X677">
            <v>328500</v>
          </cell>
          <cell r="Y677" t="str">
            <v>n/a</v>
          </cell>
        </row>
        <row r="678">
          <cell r="B678" t="str">
            <v>423200</v>
          </cell>
          <cell r="M678" t="str">
            <v>Other operating expenses</v>
          </cell>
          <cell r="N678" t="str">
            <v>Premises expenses</v>
          </cell>
          <cell r="Q678" t="str">
            <v>n/a</v>
          </cell>
          <cell r="R678" t="str">
            <v>n/a</v>
          </cell>
          <cell r="S678" t="str">
            <v>n/a</v>
          </cell>
          <cell r="X678">
            <v>328500</v>
          </cell>
          <cell r="Y678" t="str">
            <v>n/a</v>
          </cell>
        </row>
        <row r="679">
          <cell r="B679" t="str">
            <v>423300</v>
          </cell>
          <cell r="M679" t="str">
            <v>Other operating expenses</v>
          </cell>
          <cell r="N679" t="str">
            <v>Premises expenses</v>
          </cell>
          <cell r="Q679" t="str">
            <v>n/a</v>
          </cell>
          <cell r="R679" t="str">
            <v>n/a</v>
          </cell>
          <cell r="S679" t="str">
            <v>n/a</v>
          </cell>
          <cell r="X679">
            <v>328500</v>
          </cell>
          <cell r="Y679" t="str">
            <v>n/a</v>
          </cell>
        </row>
        <row r="680">
          <cell r="B680" t="str">
            <v>426000</v>
          </cell>
          <cell r="M680" t="str">
            <v>Other operating expenses</v>
          </cell>
          <cell r="N680" t="str">
            <v>Premises expenses</v>
          </cell>
          <cell r="Q680" t="str">
            <v>n/a</v>
          </cell>
          <cell r="R680" t="str">
            <v>n/a</v>
          </cell>
          <cell r="S680" t="str">
            <v>n/a</v>
          </cell>
          <cell r="X680">
            <v>328500</v>
          </cell>
          <cell r="Y680" t="str">
            <v>n/a</v>
          </cell>
        </row>
        <row r="681">
          <cell r="B681" t="str">
            <v>426300</v>
          </cell>
          <cell r="M681" t="str">
            <v>Other operating expenses</v>
          </cell>
          <cell r="N681" t="str">
            <v>Premises expenses</v>
          </cell>
          <cell r="Q681" t="str">
            <v>n/a</v>
          </cell>
          <cell r="R681" t="str">
            <v>n/a</v>
          </cell>
          <cell r="S681" t="str">
            <v>n/a</v>
          </cell>
          <cell r="X681">
            <v>328500</v>
          </cell>
          <cell r="Y681" t="str">
            <v>n/a</v>
          </cell>
        </row>
        <row r="682">
          <cell r="B682" t="str">
            <v>476200</v>
          </cell>
          <cell r="M682" t="str">
            <v>Other operating expenses</v>
          </cell>
          <cell r="N682" t="str">
            <v>Stationery &amp; printing</v>
          </cell>
          <cell r="Q682" t="str">
            <v>n/a</v>
          </cell>
          <cell r="R682" t="str">
            <v>n/a</v>
          </cell>
          <cell r="S682" t="str">
            <v>n/a</v>
          </cell>
          <cell r="X682">
            <v>340450</v>
          </cell>
          <cell r="Y682" t="str">
            <v>n/a</v>
          </cell>
        </row>
        <row r="683">
          <cell r="B683" t="str">
            <v>476300</v>
          </cell>
          <cell r="M683" t="str">
            <v>Other operating expenses</v>
          </cell>
          <cell r="N683" t="str">
            <v>Stationery &amp; printing</v>
          </cell>
          <cell r="Q683" t="str">
            <v>n/a</v>
          </cell>
          <cell r="R683" t="str">
            <v>n/a</v>
          </cell>
          <cell r="S683" t="str">
            <v>n/a</v>
          </cell>
          <cell r="X683">
            <v>340450</v>
          </cell>
          <cell r="Y683" t="str">
            <v>n/a</v>
          </cell>
        </row>
        <row r="684">
          <cell r="B684" t="str">
            <v>476500</v>
          </cell>
          <cell r="M684" t="str">
            <v>Other operating expenses</v>
          </cell>
          <cell r="N684" t="str">
            <v>Stationery &amp; printing</v>
          </cell>
          <cell r="Q684" t="str">
            <v>n/a</v>
          </cell>
          <cell r="R684" t="str">
            <v>n/a</v>
          </cell>
          <cell r="S684" t="str">
            <v>n/a</v>
          </cell>
          <cell r="X684">
            <v>340450</v>
          </cell>
          <cell r="Y684" t="str">
            <v>n/a</v>
          </cell>
        </row>
        <row r="685">
          <cell r="B685" t="str">
            <v>476600</v>
          </cell>
          <cell r="M685" t="str">
            <v>Other operating expenses</v>
          </cell>
          <cell r="N685" t="str">
            <v>Stationery &amp; printing</v>
          </cell>
          <cell r="Q685" t="str">
            <v>n/a</v>
          </cell>
          <cell r="R685" t="str">
            <v>n/a</v>
          </cell>
          <cell r="S685" t="str">
            <v>n/a</v>
          </cell>
          <cell r="X685">
            <v>340450</v>
          </cell>
          <cell r="Y685" t="str">
            <v>n/a</v>
          </cell>
        </row>
        <row r="686">
          <cell r="B686" t="str">
            <v>477200</v>
          </cell>
          <cell r="M686" t="str">
            <v>Other operating expenses</v>
          </cell>
          <cell r="N686" t="str">
            <v>Stationery &amp; printing</v>
          </cell>
          <cell r="Q686" t="str">
            <v>n/a</v>
          </cell>
          <cell r="R686" t="str">
            <v>n/a</v>
          </cell>
          <cell r="S686" t="str">
            <v>n/a</v>
          </cell>
          <cell r="X686">
            <v>340450</v>
          </cell>
          <cell r="Y686" t="str">
            <v>n/a</v>
          </cell>
        </row>
        <row r="687">
          <cell r="B687" t="str">
            <v>480100</v>
          </cell>
          <cell r="M687" t="str">
            <v>Other operating expenses</v>
          </cell>
          <cell r="N687" t="str">
            <v>Marketing &amp; advertising</v>
          </cell>
          <cell r="Q687" t="str">
            <v>n/a</v>
          </cell>
          <cell r="R687" t="str">
            <v>n/a</v>
          </cell>
          <cell r="S687" t="str">
            <v>n/a</v>
          </cell>
          <cell r="X687">
            <v>340550</v>
          </cell>
          <cell r="Y687" t="str">
            <v>n/a</v>
          </cell>
        </row>
        <row r="688">
          <cell r="B688" t="str">
            <v>480800</v>
          </cell>
          <cell r="M688" t="str">
            <v>Other operating expenses</v>
          </cell>
          <cell r="N688" t="str">
            <v>Marketing &amp; advertising</v>
          </cell>
          <cell r="Q688" t="str">
            <v>n/a</v>
          </cell>
          <cell r="R688" t="str">
            <v>n/a</v>
          </cell>
          <cell r="S688" t="str">
            <v>n/a</v>
          </cell>
          <cell r="X688">
            <v>340550</v>
          </cell>
          <cell r="Y688" t="str">
            <v>n/a</v>
          </cell>
        </row>
        <row r="689">
          <cell r="B689" t="str">
            <v>481200</v>
          </cell>
          <cell r="M689" t="str">
            <v>Other operating expenses</v>
          </cell>
          <cell r="N689" t="str">
            <v>Marketing &amp; advertising</v>
          </cell>
          <cell r="Q689" t="str">
            <v>n/a</v>
          </cell>
          <cell r="R689" t="str">
            <v>n/a</v>
          </cell>
          <cell r="S689" t="str">
            <v>n/a</v>
          </cell>
          <cell r="X689">
            <v>340550</v>
          </cell>
          <cell r="Y689" t="str">
            <v>n/a</v>
          </cell>
        </row>
        <row r="690">
          <cell r="B690" t="str">
            <v>481500</v>
          </cell>
          <cell r="M690" t="str">
            <v>Other operating expenses</v>
          </cell>
          <cell r="N690" t="str">
            <v>Marketing &amp; advertising</v>
          </cell>
          <cell r="Q690" t="str">
            <v>n/a</v>
          </cell>
          <cell r="R690" t="str">
            <v>n/a</v>
          </cell>
          <cell r="S690" t="str">
            <v>n/a</v>
          </cell>
          <cell r="X690">
            <v>340550</v>
          </cell>
          <cell r="Y690" t="str">
            <v>n/a</v>
          </cell>
        </row>
        <row r="691">
          <cell r="B691" t="str">
            <v>481700</v>
          </cell>
          <cell r="M691" t="str">
            <v>Other operating expenses</v>
          </cell>
          <cell r="N691" t="str">
            <v>Marketing &amp; advertising</v>
          </cell>
          <cell r="Q691" t="str">
            <v>n/a</v>
          </cell>
          <cell r="R691" t="str">
            <v>n/a</v>
          </cell>
          <cell r="S691" t="str">
            <v>n/a</v>
          </cell>
          <cell r="X691">
            <v>340550</v>
          </cell>
          <cell r="Y691" t="str">
            <v>n/a</v>
          </cell>
        </row>
        <row r="692">
          <cell r="B692" t="str">
            <v>482700</v>
          </cell>
          <cell r="M692" t="str">
            <v>Other operating expenses</v>
          </cell>
          <cell r="N692" t="str">
            <v>Marketing &amp; advertising</v>
          </cell>
          <cell r="Q692" t="str">
            <v>n/a</v>
          </cell>
          <cell r="R692" t="str">
            <v>n/a</v>
          </cell>
          <cell r="S692" t="str">
            <v>n/a</v>
          </cell>
          <cell r="X692">
            <v>340550</v>
          </cell>
          <cell r="Y692" t="str">
            <v>n/a</v>
          </cell>
        </row>
        <row r="693">
          <cell r="B693" t="str">
            <v>483100</v>
          </cell>
          <cell r="M693" t="str">
            <v>Other operating expenses</v>
          </cell>
          <cell r="N693" t="str">
            <v>Marketing &amp; advertising</v>
          </cell>
          <cell r="Q693" t="str">
            <v>n/a</v>
          </cell>
          <cell r="R693" t="str">
            <v>n/a</v>
          </cell>
          <cell r="S693" t="str">
            <v>n/a</v>
          </cell>
          <cell r="X693">
            <v>340550</v>
          </cell>
          <cell r="Y693" t="str">
            <v>n/a</v>
          </cell>
        </row>
        <row r="694">
          <cell r="B694" t="str">
            <v>492960</v>
          </cell>
          <cell r="M694" t="str">
            <v>Other operating expenses</v>
          </cell>
          <cell r="N694" t="str">
            <v>Marketing &amp; advertising</v>
          </cell>
          <cell r="Q694" t="str">
            <v>n/a</v>
          </cell>
          <cell r="R694" t="str">
            <v>n/a</v>
          </cell>
          <cell r="S694" t="str">
            <v>n/a</v>
          </cell>
          <cell r="X694">
            <v>340550</v>
          </cell>
          <cell r="Y694" t="str">
            <v>n/a</v>
          </cell>
        </row>
        <row r="695">
          <cell r="B695" t="str">
            <v>485000</v>
          </cell>
          <cell r="M695" t="str">
            <v>Other operating expenses</v>
          </cell>
          <cell r="N695" t="str">
            <v>Operational risk losses</v>
          </cell>
          <cell r="Q695" t="str">
            <v>n/a</v>
          </cell>
          <cell r="R695" t="str">
            <v>n/a</v>
          </cell>
          <cell r="S695" t="str">
            <v>n/a</v>
          </cell>
          <cell r="X695">
            <v>340650</v>
          </cell>
          <cell r="Y695" t="str">
            <v>n/a</v>
          </cell>
        </row>
        <row r="696">
          <cell r="B696" t="str">
            <v>485800</v>
          </cell>
          <cell r="M696" t="str">
            <v>Other operating expenses</v>
          </cell>
          <cell r="N696" t="str">
            <v>Operational risk losses</v>
          </cell>
          <cell r="Q696" t="str">
            <v>n/a</v>
          </cell>
          <cell r="R696" t="str">
            <v>n/a</v>
          </cell>
          <cell r="S696" t="str">
            <v>n/a</v>
          </cell>
          <cell r="X696">
            <v>340650</v>
          </cell>
          <cell r="Y696" t="str">
            <v>n/a</v>
          </cell>
        </row>
        <row r="697">
          <cell r="B697" t="str">
            <v>485900</v>
          </cell>
          <cell r="M697" t="str">
            <v>Other operating expenses</v>
          </cell>
          <cell r="N697" t="str">
            <v>Operational risk losses</v>
          </cell>
          <cell r="Q697" t="str">
            <v>n/a</v>
          </cell>
          <cell r="R697" t="str">
            <v>n/a</v>
          </cell>
          <cell r="S697" t="str">
            <v>n/a</v>
          </cell>
          <cell r="X697">
            <v>340651</v>
          </cell>
          <cell r="Y697" t="str">
            <v>n/a</v>
          </cell>
        </row>
        <row r="698">
          <cell r="B698" t="str">
            <v>486000</v>
          </cell>
          <cell r="M698" t="str">
            <v>Other operating expenses</v>
          </cell>
          <cell r="N698" t="str">
            <v>Operational risk losses</v>
          </cell>
          <cell r="Q698" t="str">
            <v>n/a</v>
          </cell>
          <cell r="R698" t="str">
            <v>n/a</v>
          </cell>
          <cell r="S698" t="str">
            <v>n/a</v>
          </cell>
          <cell r="X698">
            <v>340650</v>
          </cell>
          <cell r="Y698" t="str">
            <v>n/a</v>
          </cell>
        </row>
        <row r="699">
          <cell r="B699" t="str">
            <v>486200</v>
          </cell>
          <cell r="M699" t="str">
            <v>Other operating expenses</v>
          </cell>
          <cell r="N699" t="str">
            <v>Operational risk losses</v>
          </cell>
          <cell r="Q699" t="str">
            <v>n/a</v>
          </cell>
          <cell r="R699" t="str">
            <v>n/a</v>
          </cell>
          <cell r="S699" t="str">
            <v>n/a</v>
          </cell>
          <cell r="X699">
            <v>340650</v>
          </cell>
          <cell r="Y699" t="str">
            <v>n/a</v>
          </cell>
        </row>
        <row r="700">
          <cell r="B700" t="str">
            <v>486210</v>
          </cell>
          <cell r="M700" t="str">
            <v>Other operating expenses</v>
          </cell>
          <cell r="N700" t="str">
            <v>Operational risk losses</v>
          </cell>
          <cell r="Q700" t="str">
            <v>n/a</v>
          </cell>
          <cell r="R700" t="str">
            <v>n/a</v>
          </cell>
          <cell r="S700" t="str">
            <v>n/a</v>
          </cell>
          <cell r="X700">
            <v>340650</v>
          </cell>
          <cell r="Y700" t="str">
            <v>n/a</v>
          </cell>
        </row>
        <row r="701">
          <cell r="B701" t="str">
            <v>486300</v>
          </cell>
          <cell r="M701" t="str">
            <v>Other operating expenses</v>
          </cell>
          <cell r="N701" t="str">
            <v>Operational risk losses</v>
          </cell>
          <cell r="Q701" t="str">
            <v>n/a</v>
          </cell>
          <cell r="R701" t="str">
            <v>n/a</v>
          </cell>
          <cell r="S701" t="str">
            <v>n/a</v>
          </cell>
          <cell r="X701">
            <v>340650</v>
          </cell>
          <cell r="Y701" t="str">
            <v>n/a</v>
          </cell>
        </row>
        <row r="702">
          <cell r="B702" t="str">
            <v>486400</v>
          </cell>
          <cell r="M702" t="str">
            <v>Other operating expenses</v>
          </cell>
          <cell r="N702" t="str">
            <v>Operational risk losses</v>
          </cell>
          <cell r="Q702" t="str">
            <v>n/a</v>
          </cell>
          <cell r="R702" t="str">
            <v>n/a</v>
          </cell>
          <cell r="S702" t="str">
            <v>n/a</v>
          </cell>
          <cell r="X702">
            <v>340650</v>
          </cell>
          <cell r="Y702" t="str">
            <v>n/a</v>
          </cell>
        </row>
        <row r="703">
          <cell r="B703" t="str">
            <v>486500</v>
          </cell>
          <cell r="M703" t="str">
            <v>Other operating expenses</v>
          </cell>
          <cell r="N703" t="str">
            <v>Operational risk losses</v>
          </cell>
          <cell r="Q703" t="str">
            <v>n/a</v>
          </cell>
          <cell r="R703" t="str">
            <v>n/a</v>
          </cell>
          <cell r="S703" t="str">
            <v>n/a</v>
          </cell>
          <cell r="X703">
            <v>340650</v>
          </cell>
          <cell r="Y703" t="str">
            <v>n/a</v>
          </cell>
        </row>
        <row r="704">
          <cell r="B704" t="str">
            <v>486600</v>
          </cell>
          <cell r="M704" t="str">
            <v>Other operating expenses</v>
          </cell>
          <cell r="N704" t="str">
            <v>Operational risk losses</v>
          </cell>
          <cell r="Q704" t="str">
            <v>n/a</v>
          </cell>
          <cell r="R704" t="str">
            <v>n/a</v>
          </cell>
          <cell r="S704" t="str">
            <v>n/a</v>
          </cell>
          <cell r="X704">
            <v>340650</v>
          </cell>
          <cell r="Y704" t="str">
            <v>n/a</v>
          </cell>
        </row>
        <row r="705">
          <cell r="B705" t="str">
            <v>486700</v>
          </cell>
          <cell r="M705" t="str">
            <v>Other operating expenses</v>
          </cell>
          <cell r="N705" t="str">
            <v>Operational risk losses</v>
          </cell>
          <cell r="Q705" t="str">
            <v>n/a</v>
          </cell>
          <cell r="R705" t="str">
            <v>n/a</v>
          </cell>
          <cell r="S705" t="str">
            <v>n/a</v>
          </cell>
          <cell r="X705">
            <v>340650</v>
          </cell>
          <cell r="Y705" t="str">
            <v>n/a</v>
          </cell>
        </row>
        <row r="706">
          <cell r="B706" t="str">
            <v>486701</v>
          </cell>
          <cell r="M706" t="str">
            <v>Other operating expenses</v>
          </cell>
          <cell r="N706" t="str">
            <v>Operational risk losses</v>
          </cell>
          <cell r="Q706" t="str">
            <v>n/a</v>
          </cell>
          <cell r="R706" t="str">
            <v>n/a</v>
          </cell>
          <cell r="S706" t="str">
            <v>n/a</v>
          </cell>
          <cell r="X706">
            <v>340650</v>
          </cell>
          <cell r="Y706" t="str">
            <v>n/a</v>
          </cell>
        </row>
        <row r="707">
          <cell r="B707" t="str">
            <v>486800</v>
          </cell>
          <cell r="M707" t="str">
            <v>Other operating expenses</v>
          </cell>
          <cell r="N707" t="str">
            <v>Operational risk losses</v>
          </cell>
          <cell r="Q707" t="str">
            <v>n/a</v>
          </cell>
          <cell r="R707" t="str">
            <v>n/a</v>
          </cell>
          <cell r="S707" t="str">
            <v>n/a</v>
          </cell>
          <cell r="X707">
            <v>340650</v>
          </cell>
          <cell r="Y707" t="str">
            <v>n/a</v>
          </cell>
        </row>
        <row r="708">
          <cell r="B708" t="str">
            <v>486900</v>
          </cell>
          <cell r="M708" t="str">
            <v>Other operating expenses</v>
          </cell>
          <cell r="N708" t="str">
            <v>Operational risk losses</v>
          </cell>
          <cell r="Q708" t="str">
            <v>n/a</v>
          </cell>
          <cell r="R708" t="str">
            <v>n/a</v>
          </cell>
          <cell r="S708" t="str">
            <v>n/a</v>
          </cell>
          <cell r="Y708" t="str">
            <v>n/a</v>
          </cell>
        </row>
        <row r="709">
          <cell r="B709" t="str">
            <v>487000</v>
          </cell>
          <cell r="M709" t="str">
            <v>Other operating expenses</v>
          </cell>
          <cell r="N709" t="str">
            <v>Operational risk losses</v>
          </cell>
          <cell r="Q709" t="str">
            <v>n/a</v>
          </cell>
          <cell r="R709" t="str">
            <v>n/a</v>
          </cell>
          <cell r="S709" t="str">
            <v>n/a</v>
          </cell>
          <cell r="X709">
            <v>340650</v>
          </cell>
          <cell r="Y709" t="str">
            <v>n/a</v>
          </cell>
        </row>
        <row r="710">
          <cell r="B710" t="str">
            <v>487100</v>
          </cell>
          <cell r="M710" t="str">
            <v>Other operating expenses</v>
          </cell>
          <cell r="N710" t="str">
            <v>Operational risk losses</v>
          </cell>
          <cell r="Q710" t="str">
            <v>n/a</v>
          </cell>
          <cell r="R710" t="str">
            <v>n/a</v>
          </cell>
          <cell r="S710" t="str">
            <v>n/a</v>
          </cell>
          <cell r="X710">
            <v>340650</v>
          </cell>
          <cell r="Y710" t="str">
            <v>n/a</v>
          </cell>
        </row>
        <row r="711">
          <cell r="B711" t="str">
            <v>491160</v>
          </cell>
          <cell r="M711" t="str">
            <v>Other operating expenses</v>
          </cell>
          <cell r="N711" t="str">
            <v>Operational risk losses</v>
          </cell>
          <cell r="Q711" t="str">
            <v>n/a</v>
          </cell>
          <cell r="R711" t="str">
            <v>n/a</v>
          </cell>
          <cell r="S711" t="str">
            <v>n/a</v>
          </cell>
          <cell r="Y711" t="str">
            <v>n/a</v>
          </cell>
        </row>
        <row r="712">
          <cell r="B712" t="str">
            <v>491180</v>
          </cell>
          <cell r="M712" t="str">
            <v>Other operating expenses</v>
          </cell>
          <cell r="N712" t="str">
            <v>Operational risk losses</v>
          </cell>
          <cell r="Q712" t="str">
            <v>n/a</v>
          </cell>
          <cell r="R712" t="str">
            <v>n/a</v>
          </cell>
          <cell r="S712" t="str">
            <v>n/a</v>
          </cell>
          <cell r="X712">
            <v>340870</v>
          </cell>
          <cell r="Y712" t="str">
            <v>n/a</v>
          </cell>
        </row>
        <row r="713">
          <cell r="B713" t="str">
            <v>491220</v>
          </cell>
          <cell r="M713" t="str">
            <v>Other operating expenses</v>
          </cell>
          <cell r="N713" t="str">
            <v>Operational risk losses</v>
          </cell>
          <cell r="Q713" t="str">
            <v>n/a</v>
          </cell>
          <cell r="R713" t="str">
            <v>n/a</v>
          </cell>
          <cell r="S713" t="str">
            <v>n/a</v>
          </cell>
          <cell r="X713">
            <v>340870</v>
          </cell>
          <cell r="Y713" t="str">
            <v>n/a</v>
          </cell>
        </row>
        <row r="714">
          <cell r="B714" t="str">
            <v>491240</v>
          </cell>
          <cell r="M714" t="str">
            <v>Other operating expenses</v>
          </cell>
          <cell r="N714" t="str">
            <v>Operational risk losses</v>
          </cell>
          <cell r="Q714" t="str">
            <v>n/a</v>
          </cell>
          <cell r="R714" t="str">
            <v>n/a</v>
          </cell>
          <cell r="S714" t="str">
            <v>n/a</v>
          </cell>
          <cell r="X714">
            <v>340870</v>
          </cell>
          <cell r="Y714" t="str">
            <v>n/a</v>
          </cell>
        </row>
        <row r="715">
          <cell r="B715" t="str">
            <v>491820</v>
          </cell>
          <cell r="M715" t="str">
            <v>Other operating expenses</v>
          </cell>
          <cell r="N715" t="str">
            <v>Insurance: bank general</v>
          </cell>
          <cell r="Q715" t="str">
            <v>n/a</v>
          </cell>
          <cell r="R715" t="str">
            <v>n/a</v>
          </cell>
          <cell r="S715" t="str">
            <v>n/a</v>
          </cell>
          <cell r="X715">
            <v>340870</v>
          </cell>
          <cell r="Y715" t="str">
            <v>n/a</v>
          </cell>
        </row>
        <row r="716">
          <cell r="B716" t="str">
            <v>490180</v>
          </cell>
          <cell r="M716" t="str">
            <v>Fees and commission income</v>
          </cell>
          <cell r="N716" t="str">
            <v>Documentation &amp; administration fees</v>
          </cell>
          <cell r="Q716" t="str">
            <v>n/a</v>
          </cell>
          <cell r="R716" t="str">
            <v>n/a</v>
          </cell>
          <cell r="S716" t="str">
            <v>Mortgage advances</v>
          </cell>
          <cell r="X716">
            <v>317100</v>
          </cell>
          <cell r="Y716" t="str">
            <v>n/a</v>
          </cell>
        </row>
        <row r="717">
          <cell r="B717" t="str">
            <v>450500</v>
          </cell>
          <cell r="M717" t="str">
            <v>Other operating expenses</v>
          </cell>
          <cell r="N717" t="str">
            <v>Professional fees</v>
          </cell>
          <cell r="Q717" t="str">
            <v>n/a</v>
          </cell>
          <cell r="R717" t="str">
            <v>n/a</v>
          </cell>
          <cell r="S717" t="str">
            <v>n/a</v>
          </cell>
          <cell r="X717">
            <v>334550</v>
          </cell>
          <cell r="Y717" t="str">
            <v>n/a</v>
          </cell>
        </row>
        <row r="718">
          <cell r="B718" t="str">
            <v>450800</v>
          </cell>
          <cell r="M718" t="str">
            <v>Other operating expenses</v>
          </cell>
          <cell r="N718" t="str">
            <v>Professional fees</v>
          </cell>
          <cell r="Q718" t="str">
            <v>n/a</v>
          </cell>
          <cell r="R718" t="str">
            <v>n/a</v>
          </cell>
          <cell r="S718" t="str">
            <v>n/a</v>
          </cell>
          <cell r="X718">
            <v>334550</v>
          </cell>
          <cell r="Y718" t="str">
            <v>450800</v>
          </cell>
        </row>
        <row r="719">
          <cell r="B719" t="str">
            <v>450700</v>
          </cell>
          <cell r="M719" t="str">
            <v>Other operating expenses</v>
          </cell>
          <cell r="N719" t="str">
            <v>Professional fees</v>
          </cell>
          <cell r="Q719" t="str">
            <v>n/a</v>
          </cell>
          <cell r="R719" t="str">
            <v>n/a</v>
          </cell>
          <cell r="S719" t="str">
            <v>n/a</v>
          </cell>
          <cell r="X719">
            <v>334550</v>
          </cell>
          <cell r="Y719" t="str">
            <v>n/a</v>
          </cell>
        </row>
        <row r="720">
          <cell r="B720" t="str">
            <v>450900</v>
          </cell>
          <cell r="M720" t="str">
            <v>Other operating expenses</v>
          </cell>
          <cell r="N720" t="str">
            <v>Professional fees</v>
          </cell>
          <cell r="Q720" t="str">
            <v>n/a</v>
          </cell>
          <cell r="R720" t="str">
            <v>n/a</v>
          </cell>
          <cell r="S720" t="str">
            <v>n/a</v>
          </cell>
          <cell r="X720">
            <v>334550</v>
          </cell>
          <cell r="Y720" t="str">
            <v>450900</v>
          </cell>
        </row>
        <row r="721">
          <cell r="B721" t="str">
            <v>451200</v>
          </cell>
          <cell r="M721" t="str">
            <v>Other operating expenses</v>
          </cell>
          <cell r="N721" t="str">
            <v>Professional fees - management fees Stanlib</v>
          </cell>
          <cell r="Q721" t="str">
            <v>n/a</v>
          </cell>
          <cell r="R721" t="str">
            <v>n/a</v>
          </cell>
          <cell r="S721" t="str">
            <v>n/a</v>
          </cell>
          <cell r="X721">
            <v>334550</v>
          </cell>
          <cell r="Y721" t="str">
            <v>n/a</v>
          </cell>
        </row>
        <row r="722">
          <cell r="B722" t="str">
            <v>451400</v>
          </cell>
          <cell r="M722" t="str">
            <v>Other operating expenses</v>
          </cell>
          <cell r="N722" t="str">
            <v>Professional fees</v>
          </cell>
          <cell r="Q722" t="str">
            <v>n/a</v>
          </cell>
          <cell r="R722" t="str">
            <v>n/a</v>
          </cell>
          <cell r="S722" t="str">
            <v>n/a</v>
          </cell>
          <cell r="X722">
            <v>334550</v>
          </cell>
          <cell r="Y722" t="str">
            <v>n/a</v>
          </cell>
        </row>
        <row r="723">
          <cell r="B723" t="str">
            <v>451800</v>
          </cell>
          <cell r="M723" t="str">
            <v>Other operating expenses</v>
          </cell>
          <cell r="N723" t="str">
            <v>Professional fees</v>
          </cell>
          <cell r="Q723" t="str">
            <v>n/a</v>
          </cell>
          <cell r="R723" t="str">
            <v>n/a</v>
          </cell>
          <cell r="S723" t="str">
            <v>n/a</v>
          </cell>
          <cell r="X723">
            <v>331100</v>
          </cell>
          <cell r="Y723" t="str">
            <v>n/a</v>
          </cell>
        </row>
        <row r="724">
          <cell r="B724" t="str">
            <v>404200</v>
          </cell>
          <cell r="M724" t="str">
            <v>Other operating expenses</v>
          </cell>
          <cell r="N724" t="str">
            <v>Administration &amp; membership fees</v>
          </cell>
          <cell r="Q724" t="str">
            <v>n/a</v>
          </cell>
          <cell r="R724" t="str">
            <v>n/a</v>
          </cell>
          <cell r="S724" t="str">
            <v>n/a</v>
          </cell>
          <cell r="X724">
            <v>340900</v>
          </cell>
          <cell r="Y724" t="str">
            <v>n/a</v>
          </cell>
        </row>
        <row r="725">
          <cell r="B725" t="str">
            <v>491810</v>
          </cell>
          <cell r="M725" t="str">
            <v>Other operating expenses</v>
          </cell>
          <cell r="N725" t="str">
            <v>Administration &amp; membership fees</v>
          </cell>
          <cell r="Q725" t="str">
            <v>n/a</v>
          </cell>
          <cell r="R725" t="str">
            <v>n/a</v>
          </cell>
          <cell r="S725" t="str">
            <v>n/a</v>
          </cell>
          <cell r="X725">
            <v>340900</v>
          </cell>
          <cell r="Y725" t="str">
            <v>n/a</v>
          </cell>
        </row>
        <row r="726">
          <cell r="B726" t="str">
            <v>490100</v>
          </cell>
          <cell r="M726" t="str">
            <v>Other operating expenses</v>
          </cell>
          <cell r="N726" t="str">
            <v>Administration &amp; membership fees</v>
          </cell>
          <cell r="Q726" t="str">
            <v>n/a</v>
          </cell>
          <cell r="R726" t="str">
            <v>n/a</v>
          </cell>
          <cell r="S726" t="str">
            <v>n/a</v>
          </cell>
          <cell r="X726">
            <v>340900</v>
          </cell>
          <cell r="Y726" t="str">
            <v>n/a</v>
          </cell>
        </row>
        <row r="727">
          <cell r="B727" t="str">
            <v>493060</v>
          </cell>
          <cell r="M727" t="str">
            <v>Other operating expenses</v>
          </cell>
          <cell r="N727" t="str">
            <v>Administration &amp; membership fees</v>
          </cell>
          <cell r="Q727" t="str">
            <v>n/a</v>
          </cell>
          <cell r="R727" t="str">
            <v>n/a</v>
          </cell>
          <cell r="S727" t="str">
            <v>n/a</v>
          </cell>
          <cell r="X727">
            <v>340900</v>
          </cell>
          <cell r="Y727" t="str">
            <v>n/a</v>
          </cell>
        </row>
        <row r="728">
          <cell r="B728" t="str">
            <v>493100</v>
          </cell>
          <cell r="M728" t="str">
            <v>Other operating expenses</v>
          </cell>
          <cell r="N728" t="str">
            <v>Administration &amp; membership fees</v>
          </cell>
          <cell r="Q728" t="str">
            <v>n/a</v>
          </cell>
          <cell r="R728" t="str">
            <v>n/a</v>
          </cell>
          <cell r="S728" t="str">
            <v>n/a</v>
          </cell>
          <cell r="X728">
            <v>340900</v>
          </cell>
          <cell r="Y728" t="str">
            <v>n/a</v>
          </cell>
        </row>
        <row r="729">
          <cell r="B729" t="str">
            <v>491560</v>
          </cell>
          <cell r="M729" t="str">
            <v>Other operating expenses</v>
          </cell>
          <cell r="N729" t="str">
            <v>Training expenses</v>
          </cell>
          <cell r="Q729" t="str">
            <v>n/a</v>
          </cell>
          <cell r="R729" t="str">
            <v>n/a</v>
          </cell>
          <cell r="S729" t="str">
            <v>n/a</v>
          </cell>
          <cell r="X729">
            <v>340900</v>
          </cell>
          <cell r="Y729" t="str">
            <v>n/a</v>
          </cell>
        </row>
        <row r="730">
          <cell r="B730" t="str">
            <v>491800</v>
          </cell>
          <cell r="M730" t="str">
            <v>Other operating expenses</v>
          </cell>
          <cell r="N730" t="str">
            <v>Training expenses</v>
          </cell>
          <cell r="Q730" t="str">
            <v>n/a</v>
          </cell>
          <cell r="R730" t="str">
            <v>n/a</v>
          </cell>
          <cell r="S730" t="str">
            <v>n/a</v>
          </cell>
          <cell r="X730">
            <v>340900</v>
          </cell>
          <cell r="Y730" t="str">
            <v>n/a</v>
          </cell>
        </row>
        <row r="731">
          <cell r="B731" t="str">
            <v>493200</v>
          </cell>
          <cell r="M731" t="str">
            <v>Other operating expenses</v>
          </cell>
          <cell r="N731" t="str">
            <v>Training expenses</v>
          </cell>
          <cell r="Q731" t="str">
            <v>n/a</v>
          </cell>
          <cell r="R731" t="str">
            <v>n/a</v>
          </cell>
          <cell r="S731" t="str">
            <v>n/a</v>
          </cell>
          <cell r="X731">
            <v>340900</v>
          </cell>
          <cell r="Y731" t="str">
            <v>n/a</v>
          </cell>
        </row>
        <row r="732">
          <cell r="B732" t="str">
            <v>493220</v>
          </cell>
          <cell r="M732" t="str">
            <v>Other operating expenses</v>
          </cell>
          <cell r="N732" t="str">
            <v>Training expenses</v>
          </cell>
          <cell r="Q732" t="str">
            <v>n/a</v>
          </cell>
          <cell r="R732" t="str">
            <v>n/a</v>
          </cell>
          <cell r="S732" t="str">
            <v>n/a</v>
          </cell>
          <cell r="X732">
            <v>340900</v>
          </cell>
          <cell r="Y732" t="str">
            <v>n/a</v>
          </cell>
        </row>
        <row r="733">
          <cell r="B733" t="str">
            <v>493260</v>
          </cell>
          <cell r="M733" t="str">
            <v>Other operating expenses</v>
          </cell>
          <cell r="N733" t="str">
            <v>Training expenses</v>
          </cell>
          <cell r="Q733" t="str">
            <v>n/a</v>
          </cell>
          <cell r="R733" t="str">
            <v>n/a</v>
          </cell>
          <cell r="S733" t="str">
            <v>n/a</v>
          </cell>
          <cell r="X733">
            <v>340900</v>
          </cell>
          <cell r="Y733" t="str">
            <v>n/a</v>
          </cell>
        </row>
        <row r="734">
          <cell r="B734" t="str">
            <v>493280</v>
          </cell>
          <cell r="M734" t="str">
            <v>Other operating expenses</v>
          </cell>
          <cell r="N734" t="str">
            <v>Training expenses</v>
          </cell>
          <cell r="Q734" t="str">
            <v>n/a</v>
          </cell>
          <cell r="R734" t="str">
            <v>n/a</v>
          </cell>
          <cell r="S734" t="str">
            <v>n/a</v>
          </cell>
          <cell r="X734">
            <v>340900</v>
          </cell>
          <cell r="Y734" t="str">
            <v>n/a</v>
          </cell>
        </row>
        <row r="735">
          <cell r="B735" t="str">
            <v>450300</v>
          </cell>
          <cell r="M735" t="str">
            <v>Other operating expenses</v>
          </cell>
          <cell r="N735" t="str">
            <v>Commission paid</v>
          </cell>
          <cell r="Q735" t="str">
            <v>n/a</v>
          </cell>
          <cell r="R735" t="str">
            <v>n/a</v>
          </cell>
          <cell r="S735" t="str">
            <v>n/a</v>
          </cell>
          <cell r="X735">
            <v>339100</v>
          </cell>
          <cell r="Y735" t="str">
            <v>n/a</v>
          </cell>
        </row>
        <row r="736">
          <cell r="B736" t="str">
            <v>490030</v>
          </cell>
          <cell r="M736" t="str">
            <v>Other operating expenses</v>
          </cell>
          <cell r="N736" t="str">
            <v>Commission paid</v>
          </cell>
          <cell r="Q736" t="str">
            <v>n/a</v>
          </cell>
          <cell r="R736" t="str">
            <v>n/a</v>
          </cell>
          <cell r="S736" t="str">
            <v>n/a</v>
          </cell>
          <cell r="X736">
            <v>339100</v>
          </cell>
          <cell r="Y736" t="str">
            <v>n/a</v>
          </cell>
        </row>
        <row r="737">
          <cell r="B737" t="str">
            <v>490520</v>
          </cell>
          <cell r="M737" t="str">
            <v>Other operating expenses</v>
          </cell>
          <cell r="N737" t="str">
            <v>Commission paid</v>
          </cell>
          <cell r="Q737" t="str">
            <v>n/a</v>
          </cell>
          <cell r="R737" t="str">
            <v>n/a</v>
          </cell>
          <cell r="S737" t="str">
            <v>n/a</v>
          </cell>
          <cell r="X737">
            <v>339100</v>
          </cell>
          <cell r="Y737" t="str">
            <v>n/a</v>
          </cell>
        </row>
        <row r="738">
          <cell r="B738" t="str">
            <v>492740</v>
          </cell>
          <cell r="M738" t="str">
            <v>Other operating expenses</v>
          </cell>
          <cell r="N738" t="str">
            <v>Security expenses</v>
          </cell>
          <cell r="Q738" t="str">
            <v>n/a</v>
          </cell>
          <cell r="R738" t="str">
            <v>n/a</v>
          </cell>
          <cell r="S738" t="str">
            <v>n/a</v>
          </cell>
          <cell r="X738">
            <v>340810</v>
          </cell>
          <cell r="Y738" t="str">
            <v>n/a</v>
          </cell>
        </row>
        <row r="739">
          <cell r="B739" t="str">
            <v>492760</v>
          </cell>
          <cell r="M739" t="str">
            <v>Other operating expenses</v>
          </cell>
          <cell r="N739" t="str">
            <v>Security expenses</v>
          </cell>
          <cell r="Q739" t="str">
            <v>n/a</v>
          </cell>
          <cell r="R739" t="str">
            <v>n/a</v>
          </cell>
          <cell r="S739" t="str">
            <v>n/a</v>
          </cell>
          <cell r="X739">
            <v>340810</v>
          </cell>
          <cell r="Y739" t="str">
            <v>n/a</v>
          </cell>
        </row>
        <row r="740">
          <cell r="B740" t="str">
            <v>492840</v>
          </cell>
          <cell r="M740" t="str">
            <v>Other operating expenses</v>
          </cell>
          <cell r="N740" t="str">
            <v>Security expenses</v>
          </cell>
          <cell r="Q740" t="str">
            <v>n/a</v>
          </cell>
          <cell r="R740" t="str">
            <v>n/a</v>
          </cell>
          <cell r="S740" t="str">
            <v>n/a</v>
          </cell>
          <cell r="X740">
            <v>340810</v>
          </cell>
          <cell r="Y740" t="str">
            <v>n/a</v>
          </cell>
        </row>
        <row r="741">
          <cell r="B741" t="str">
            <v>492860</v>
          </cell>
          <cell r="M741" t="str">
            <v>Other operating expenses</v>
          </cell>
          <cell r="N741" t="str">
            <v>Security expenses</v>
          </cell>
          <cell r="Q741" t="str">
            <v>n/a</v>
          </cell>
          <cell r="R741" t="str">
            <v>n/a</v>
          </cell>
          <cell r="S741" t="str">
            <v>n/a</v>
          </cell>
          <cell r="X741">
            <v>340810</v>
          </cell>
          <cell r="Y741" t="str">
            <v>n/a</v>
          </cell>
        </row>
        <row r="742">
          <cell r="B742" t="str">
            <v>490000</v>
          </cell>
          <cell r="M742" t="str">
            <v>Other operating expenses</v>
          </cell>
          <cell r="N742" t="str">
            <v>Other operating costs</v>
          </cell>
          <cell r="Q742" t="str">
            <v>n/a</v>
          </cell>
          <cell r="R742" t="str">
            <v>n/a</v>
          </cell>
          <cell r="S742" t="str">
            <v>n/a</v>
          </cell>
          <cell r="X742">
            <v>340880</v>
          </cell>
          <cell r="Y742" t="str">
            <v>n/a</v>
          </cell>
        </row>
        <row r="743">
          <cell r="B743" t="str">
            <v>490020</v>
          </cell>
          <cell r="M743" t="str">
            <v>Other operating expenses</v>
          </cell>
          <cell r="N743" t="str">
            <v>Other operating costs</v>
          </cell>
          <cell r="Q743" t="str">
            <v>n/a</v>
          </cell>
          <cell r="R743" t="str">
            <v>n/a</v>
          </cell>
          <cell r="S743" t="str">
            <v>n/a</v>
          </cell>
          <cell r="X743">
            <v>340880</v>
          </cell>
          <cell r="Y743" t="str">
            <v>n/a</v>
          </cell>
        </row>
        <row r="744">
          <cell r="B744" t="str">
            <v>490160</v>
          </cell>
          <cell r="M744" t="str">
            <v>Other operating expenses</v>
          </cell>
          <cell r="N744" t="str">
            <v>Other operating costs</v>
          </cell>
          <cell r="Q744" t="str">
            <v>n/a</v>
          </cell>
          <cell r="R744" t="str">
            <v>n/a</v>
          </cell>
          <cell r="S744" t="str">
            <v>n/a</v>
          </cell>
          <cell r="X744">
            <v>340900</v>
          </cell>
          <cell r="Y744">
            <v>490160</v>
          </cell>
        </row>
        <row r="745">
          <cell r="B745" t="str">
            <v>490220</v>
          </cell>
          <cell r="M745" t="str">
            <v>Other operating expenses</v>
          </cell>
          <cell r="N745" t="str">
            <v>Other operating costs</v>
          </cell>
          <cell r="Q745" t="str">
            <v>n/a</v>
          </cell>
          <cell r="R745" t="str">
            <v>n/a</v>
          </cell>
          <cell r="S745" t="str">
            <v>n/a</v>
          </cell>
          <cell r="X745">
            <v>340900</v>
          </cell>
          <cell r="Y745" t="str">
            <v>n/a</v>
          </cell>
        </row>
        <row r="746">
          <cell r="B746" t="str">
            <v>490280</v>
          </cell>
          <cell r="M746" t="str">
            <v>Other operating expenses</v>
          </cell>
          <cell r="N746" t="str">
            <v>Other operating costs</v>
          </cell>
          <cell r="Q746" t="str">
            <v>n/a</v>
          </cell>
          <cell r="R746" t="str">
            <v>n/a</v>
          </cell>
          <cell r="S746" t="str">
            <v>n/a</v>
          </cell>
          <cell r="X746">
            <v>340900</v>
          </cell>
          <cell r="Y746" t="str">
            <v>n/a</v>
          </cell>
        </row>
        <row r="747">
          <cell r="B747" t="str">
            <v>490940</v>
          </cell>
          <cell r="M747" t="str">
            <v>Other operating expenses</v>
          </cell>
          <cell r="N747" t="str">
            <v>Other operating costs</v>
          </cell>
          <cell r="Q747" t="str">
            <v>n/a</v>
          </cell>
          <cell r="R747" t="str">
            <v>n/a</v>
          </cell>
          <cell r="S747" t="str">
            <v>n/a</v>
          </cell>
          <cell r="X747">
            <v>340890</v>
          </cell>
          <cell r="Y747" t="str">
            <v>n/a</v>
          </cell>
        </row>
        <row r="748">
          <cell r="B748" t="str">
            <v>491020</v>
          </cell>
          <cell r="M748" t="str">
            <v>Other operating expenses</v>
          </cell>
          <cell r="N748" t="str">
            <v>Other operating costs</v>
          </cell>
          <cell r="Q748" t="str">
            <v>n/a</v>
          </cell>
          <cell r="R748" t="str">
            <v>n/a</v>
          </cell>
          <cell r="S748" t="str">
            <v>n/a</v>
          </cell>
          <cell r="X748">
            <v>340900</v>
          </cell>
          <cell r="Y748" t="str">
            <v>n/a</v>
          </cell>
        </row>
        <row r="749">
          <cell r="B749" t="str">
            <v>491140</v>
          </cell>
          <cell r="M749" t="str">
            <v>Other operating expenses</v>
          </cell>
          <cell r="N749" t="str">
            <v>Other operating costs</v>
          </cell>
          <cell r="Q749" t="str">
            <v>n/a</v>
          </cell>
          <cell r="R749" t="str">
            <v>n/a</v>
          </cell>
          <cell r="S749" t="str">
            <v>n/a</v>
          </cell>
          <cell r="X749">
            <v>340900</v>
          </cell>
          <cell r="Y749" t="str">
            <v>n/a</v>
          </cell>
        </row>
        <row r="750">
          <cell r="B750" t="str">
            <v>492140</v>
          </cell>
          <cell r="M750" t="str">
            <v>Other operating expenses</v>
          </cell>
          <cell r="N750" t="str">
            <v>Other operating costs</v>
          </cell>
          <cell r="Q750" t="str">
            <v>n/a</v>
          </cell>
          <cell r="R750" t="str">
            <v>n/a</v>
          </cell>
          <cell r="S750" t="str">
            <v>n/a</v>
          </cell>
          <cell r="X750">
            <v>340900</v>
          </cell>
          <cell r="Y750" t="str">
            <v>n/a</v>
          </cell>
        </row>
        <row r="751">
          <cell r="B751" t="str">
            <v>492160</v>
          </cell>
          <cell r="M751" t="str">
            <v>Other operating expenses</v>
          </cell>
          <cell r="N751" t="str">
            <v>Other operating costs</v>
          </cell>
          <cell r="Q751" t="str">
            <v>n/a</v>
          </cell>
          <cell r="R751" t="str">
            <v>n/a</v>
          </cell>
          <cell r="S751" t="str">
            <v>n/a</v>
          </cell>
          <cell r="X751">
            <v>340900</v>
          </cell>
          <cell r="Y751" t="str">
            <v>n/a</v>
          </cell>
        </row>
        <row r="752">
          <cell r="B752" t="str">
            <v>888500</v>
          </cell>
          <cell r="M752" t="str">
            <v>Other operating expenses</v>
          </cell>
          <cell r="N752" t="str">
            <v>Other operating costs</v>
          </cell>
          <cell r="Q752" t="str">
            <v>n/a</v>
          </cell>
          <cell r="R752" t="str">
            <v>n/a</v>
          </cell>
          <cell r="S752" t="str">
            <v>n/a</v>
          </cell>
          <cell r="X752">
            <v>340905</v>
          </cell>
          <cell r="Y752" t="str">
            <v>n/a</v>
          </cell>
        </row>
        <row r="753">
          <cell r="B753" t="str">
            <v>492320</v>
          </cell>
          <cell r="M753" t="str">
            <v>Other operating expenses</v>
          </cell>
          <cell r="N753" t="str">
            <v>Other operating costs</v>
          </cell>
          <cell r="Q753" t="str">
            <v>n/a</v>
          </cell>
          <cell r="R753" t="str">
            <v>n/a</v>
          </cell>
          <cell r="S753" t="str">
            <v>n/a</v>
          </cell>
          <cell r="X753">
            <v>340900</v>
          </cell>
          <cell r="Y753" t="str">
            <v>n/a</v>
          </cell>
        </row>
        <row r="754">
          <cell r="B754" t="str">
            <v>492440</v>
          </cell>
          <cell r="M754" t="str">
            <v>Other operating expenses</v>
          </cell>
          <cell r="N754" t="str">
            <v>Other operating costs</v>
          </cell>
          <cell r="Q754" t="str">
            <v>n/a</v>
          </cell>
          <cell r="R754" t="str">
            <v>n/a</v>
          </cell>
          <cell r="S754" t="str">
            <v>n/a</v>
          </cell>
          <cell r="X754">
            <v>340900</v>
          </cell>
          <cell r="Y754" t="str">
            <v>492440</v>
          </cell>
        </row>
        <row r="755">
          <cell r="B755" t="str">
            <v>492640</v>
          </cell>
          <cell r="M755" t="str">
            <v>Other operating expenses</v>
          </cell>
          <cell r="N755" t="str">
            <v>Other operating costs</v>
          </cell>
          <cell r="Q755" t="str">
            <v>n/a</v>
          </cell>
          <cell r="R755" t="str">
            <v>n/a</v>
          </cell>
          <cell r="S755" t="str">
            <v>n/a</v>
          </cell>
          <cell r="X755">
            <v>340900</v>
          </cell>
          <cell r="Y755" t="str">
            <v>n/a</v>
          </cell>
        </row>
        <row r="756">
          <cell r="B756" t="str">
            <v>493160</v>
          </cell>
          <cell r="M756" t="str">
            <v>Other operating expenses</v>
          </cell>
          <cell r="N756" t="str">
            <v>Other operating costs</v>
          </cell>
          <cell r="Q756" t="str">
            <v>n/a</v>
          </cell>
          <cell r="R756" t="str">
            <v>n/a</v>
          </cell>
          <cell r="S756" t="str">
            <v>n/a</v>
          </cell>
          <cell r="X756">
            <v>340900</v>
          </cell>
          <cell r="Y756" t="str">
            <v>n/a</v>
          </cell>
        </row>
        <row r="757">
          <cell r="B757" t="str">
            <v>493320</v>
          </cell>
          <cell r="M757" t="str">
            <v>Other operating expenses</v>
          </cell>
          <cell r="N757" t="str">
            <v>Other operating costs</v>
          </cell>
          <cell r="Q757" t="str">
            <v>n/a</v>
          </cell>
          <cell r="R757" t="str">
            <v>n/a</v>
          </cell>
          <cell r="S757" t="str">
            <v>n/a</v>
          </cell>
          <cell r="X757">
            <v>340900</v>
          </cell>
          <cell r="Y757" t="str">
            <v>n/a</v>
          </cell>
        </row>
        <row r="758">
          <cell r="B758" t="str">
            <v>493460</v>
          </cell>
          <cell r="M758" t="str">
            <v>Other operating expenses</v>
          </cell>
          <cell r="N758" t="str">
            <v>Other operating costs</v>
          </cell>
          <cell r="Q758" t="str">
            <v>n/a</v>
          </cell>
          <cell r="R758" t="str">
            <v>n/a</v>
          </cell>
          <cell r="S758" t="str">
            <v>n/a</v>
          </cell>
          <cell r="X758">
            <v>340905</v>
          </cell>
          <cell r="Y758" t="str">
            <v>n/a</v>
          </cell>
        </row>
        <row r="759">
          <cell r="B759" t="str">
            <v>441220</v>
          </cell>
          <cell r="M759" t="str">
            <v>Other operating expenses</v>
          </cell>
          <cell r="N759" t="str">
            <v>Other operating costs</v>
          </cell>
          <cell r="Q759" t="str">
            <v>n/a</v>
          </cell>
          <cell r="R759" t="str">
            <v>n/a</v>
          </cell>
          <cell r="S759" t="str">
            <v>n/a</v>
          </cell>
          <cell r="X759">
            <v>340905</v>
          </cell>
          <cell r="Y759" t="str">
            <v>n/a</v>
          </cell>
        </row>
        <row r="760">
          <cell r="B760" t="str">
            <v>466100</v>
          </cell>
          <cell r="M760" t="str">
            <v>Other operating expenses</v>
          </cell>
          <cell r="N760" t="str">
            <v>Other operating costs</v>
          </cell>
          <cell r="Q760" t="str">
            <v>n/a</v>
          </cell>
          <cell r="R760" t="str">
            <v>n/a</v>
          </cell>
          <cell r="S760" t="str">
            <v>n/a</v>
          </cell>
          <cell r="X760">
            <v>340900</v>
          </cell>
          <cell r="Y760" t="str">
            <v>n/a</v>
          </cell>
        </row>
        <row r="761">
          <cell r="B761" t="str">
            <v>492020</v>
          </cell>
          <cell r="M761" t="str">
            <v>Other operating expenses</v>
          </cell>
          <cell r="N761" t="str">
            <v>Other operating costs</v>
          </cell>
          <cell r="Q761" t="str">
            <v>n/a</v>
          </cell>
          <cell r="R761" t="str">
            <v>n/a</v>
          </cell>
          <cell r="S761" t="str">
            <v>n/a</v>
          </cell>
          <cell r="X761">
            <v>340070</v>
          </cell>
          <cell r="Y761" t="str">
            <v>n/a</v>
          </cell>
        </row>
        <row r="762">
          <cell r="B762" t="str">
            <v>492130</v>
          </cell>
          <cell r="M762" t="str">
            <v>Other operating expenses</v>
          </cell>
          <cell r="N762" t="str">
            <v>Other operating costs</v>
          </cell>
          <cell r="Q762" t="str">
            <v>n/a</v>
          </cell>
          <cell r="R762" t="str">
            <v>n/a</v>
          </cell>
          <cell r="S762" t="str">
            <v>n/a</v>
          </cell>
          <cell r="X762">
            <v>340900</v>
          </cell>
          <cell r="Y762" t="str">
            <v>n/a</v>
          </cell>
        </row>
        <row r="763">
          <cell r="B763" t="str">
            <v>492275</v>
          </cell>
          <cell r="M763" t="str">
            <v>Other operating expenses</v>
          </cell>
          <cell r="N763" t="str">
            <v>Other operating costs</v>
          </cell>
          <cell r="Q763" t="str">
            <v>n/a</v>
          </cell>
          <cell r="R763" t="str">
            <v>n/a</v>
          </cell>
          <cell r="S763" t="str">
            <v>n/a</v>
          </cell>
          <cell r="X763">
            <v>340900</v>
          </cell>
          <cell r="Y763" t="str">
            <v>n/a</v>
          </cell>
        </row>
        <row r="764">
          <cell r="B764" t="str">
            <v>492390</v>
          </cell>
          <cell r="M764" t="str">
            <v>Other operating expenses</v>
          </cell>
          <cell r="N764" t="str">
            <v>Other operating costs</v>
          </cell>
          <cell r="Q764" t="str">
            <v>n/a</v>
          </cell>
          <cell r="R764" t="str">
            <v>n/a</v>
          </cell>
          <cell r="S764" t="str">
            <v>n/a</v>
          </cell>
          <cell r="X764">
            <v>340900</v>
          </cell>
          <cell r="Y764" t="str">
            <v>n/a</v>
          </cell>
        </row>
        <row r="765">
          <cell r="B765" t="str">
            <v>493860</v>
          </cell>
          <cell r="M765" t="str">
            <v>Other operating expenses</v>
          </cell>
          <cell r="N765" t="str">
            <v>Other operating costs</v>
          </cell>
          <cell r="Q765" t="str">
            <v>n/a</v>
          </cell>
          <cell r="R765" t="str">
            <v>n/a</v>
          </cell>
          <cell r="S765" t="str">
            <v>n/a</v>
          </cell>
          <cell r="X765">
            <v>340920</v>
          </cell>
          <cell r="Y765" t="str">
            <v>n/a</v>
          </cell>
        </row>
        <row r="766">
          <cell r="B766" t="str">
            <v>494300</v>
          </cell>
          <cell r="M766" t="str">
            <v>Other operating expenses</v>
          </cell>
          <cell r="N766" t="str">
            <v>Other operating costs</v>
          </cell>
          <cell r="Q766" t="str">
            <v>n/a</v>
          </cell>
          <cell r="R766" t="str">
            <v>n/a</v>
          </cell>
          <cell r="S766" t="str">
            <v>n/a</v>
          </cell>
          <cell r="X766">
            <v>340900</v>
          </cell>
          <cell r="Y766" t="str">
            <v>n/a</v>
          </cell>
        </row>
        <row r="767">
          <cell r="B767" t="str">
            <v>494740</v>
          </cell>
          <cell r="M767" t="str">
            <v>Other operating expenses</v>
          </cell>
          <cell r="N767" t="str">
            <v>Other operating costs</v>
          </cell>
          <cell r="Q767" t="str">
            <v>n/a</v>
          </cell>
          <cell r="R767" t="str">
            <v>n/a</v>
          </cell>
          <cell r="S767" t="str">
            <v>n/a</v>
          </cell>
          <cell r="X767">
            <v>340900</v>
          </cell>
          <cell r="Y767" t="str">
            <v>n/a</v>
          </cell>
        </row>
        <row r="768">
          <cell r="B768" t="str">
            <v>490105</v>
          </cell>
          <cell r="M768" t="str">
            <v>Other operating expenses</v>
          </cell>
          <cell r="N768" t="str">
            <v xml:space="preserve">IC operating expenses </v>
          </cell>
          <cell r="Q768" t="str">
            <v>n/a</v>
          </cell>
          <cell r="R768" t="str">
            <v>n/a</v>
          </cell>
          <cell r="S768" t="str">
            <v>n/a</v>
          </cell>
          <cell r="X768">
            <v>328200</v>
          </cell>
          <cell r="Y768" t="str">
            <v>n/a</v>
          </cell>
        </row>
        <row r="769">
          <cell r="B769" t="str">
            <v>490190</v>
          </cell>
          <cell r="M769" t="str">
            <v>Other operating expenses</v>
          </cell>
          <cell r="N769" t="str">
            <v>IC operating expenses management fees</v>
          </cell>
          <cell r="Q769" t="str">
            <v>n/a</v>
          </cell>
          <cell r="R769" t="str">
            <v>n/a</v>
          </cell>
          <cell r="S769" t="str">
            <v>n/a</v>
          </cell>
          <cell r="X769">
            <v>339650</v>
          </cell>
          <cell r="Y769" t="str">
            <v>n/a</v>
          </cell>
        </row>
        <row r="770">
          <cell r="B770" t="str">
            <v>490195</v>
          </cell>
          <cell r="M770" t="str">
            <v>Other operating expenses</v>
          </cell>
          <cell r="N770" t="str">
            <v>Information technology</v>
          </cell>
          <cell r="Q770" t="str">
            <v>n/a</v>
          </cell>
          <cell r="R770" t="str">
            <v>n/a</v>
          </cell>
          <cell r="S770" t="str">
            <v>n/a</v>
          </cell>
          <cell r="X770">
            <v>340060</v>
          </cell>
          <cell r="Y770" t="str">
            <v>n/a</v>
          </cell>
        </row>
        <row r="771">
          <cell r="B771" t="str">
            <v>491250</v>
          </cell>
          <cell r="M771" t="str">
            <v>Other operating expenses</v>
          </cell>
          <cell r="N771" t="str">
            <v>Other operating costs</v>
          </cell>
          <cell r="Q771" t="str">
            <v>n/a</v>
          </cell>
          <cell r="R771" t="str">
            <v>n/a</v>
          </cell>
          <cell r="S771" t="str">
            <v>n/a</v>
          </cell>
          <cell r="X771">
            <v>340750</v>
          </cell>
          <cell r="Y771" t="str">
            <v>n/a</v>
          </cell>
        </row>
        <row r="772">
          <cell r="B772" t="str">
            <v>829100</v>
          </cell>
          <cell r="M772" t="str">
            <v>Other operating expenses</v>
          </cell>
          <cell r="N772" t="str">
            <v>Other operating costs</v>
          </cell>
          <cell r="Q772" t="str">
            <v>n/a</v>
          </cell>
          <cell r="R772" t="str">
            <v>n/a</v>
          </cell>
          <cell r="S772" t="str">
            <v>n/a</v>
          </cell>
          <cell r="X772">
            <v>339650</v>
          </cell>
          <cell r="Y772" t="str">
            <v>n/a</v>
          </cell>
        </row>
        <row r="773">
          <cell r="B773" t="str">
            <v>495035</v>
          </cell>
          <cell r="M773" t="str">
            <v>Other operating expenses</v>
          </cell>
          <cell r="N773" t="str">
            <v>Other operating costs</v>
          </cell>
          <cell r="Q773" t="str">
            <v>n/a</v>
          </cell>
          <cell r="R773" t="str">
            <v>n/a</v>
          </cell>
          <cell r="S773" t="str">
            <v>n/a</v>
          </cell>
          <cell r="X773">
            <v>340900</v>
          </cell>
          <cell r="Y773" t="str">
            <v>n/a</v>
          </cell>
        </row>
        <row r="774">
          <cell r="B774" t="str">
            <v>426900</v>
          </cell>
          <cell r="M774" t="str">
            <v>Other operating expenses</v>
          </cell>
          <cell r="N774" t="str">
            <v>Other operating costs</v>
          </cell>
          <cell r="Q774" t="str">
            <v>n/a</v>
          </cell>
          <cell r="R774" t="str">
            <v>n/a</v>
          </cell>
          <cell r="S774" t="str">
            <v>n/a</v>
          </cell>
          <cell r="Y774" t="str">
            <v>n/a</v>
          </cell>
        </row>
        <row r="775">
          <cell r="B775" t="str">
            <v>499025</v>
          </cell>
          <cell r="M775" t="str">
            <v>Taxation</v>
          </cell>
          <cell r="N775" t="str">
            <v>n/a</v>
          </cell>
          <cell r="Q775" t="str">
            <v>n/a</v>
          </cell>
          <cell r="R775" t="str">
            <v>n/a</v>
          </cell>
          <cell r="S775" t="str">
            <v>n/a</v>
          </cell>
          <cell r="X775">
            <v>347100</v>
          </cell>
          <cell r="Y775" t="str">
            <v>n/a</v>
          </cell>
        </row>
        <row r="776">
          <cell r="B776" t="str">
            <v>499035</v>
          </cell>
          <cell r="M776" t="str">
            <v>Taxation</v>
          </cell>
          <cell r="N776" t="str">
            <v>n/a</v>
          </cell>
          <cell r="Q776" t="str">
            <v>n/a</v>
          </cell>
          <cell r="R776" t="str">
            <v>n/a</v>
          </cell>
          <cell r="S776" t="str">
            <v>n/a</v>
          </cell>
          <cell r="X776">
            <v>352100</v>
          </cell>
          <cell r="Y776" t="str">
            <v>n/a</v>
          </cell>
        </row>
        <row r="777">
          <cell r="B777" t="str">
            <v>490430</v>
          </cell>
          <cell r="M777" t="str">
            <v>Taxation</v>
          </cell>
          <cell r="N777" t="str">
            <v>n/a</v>
          </cell>
          <cell r="Q777" t="str">
            <v>n/a</v>
          </cell>
          <cell r="R777" t="str">
            <v>n/a</v>
          </cell>
          <cell r="S777" t="str">
            <v>n/a</v>
          </cell>
          <cell r="X777">
            <v>353400</v>
          </cell>
          <cell r="Y777" t="str">
            <v>490430</v>
          </cell>
        </row>
        <row r="778">
          <cell r="B778" t="str">
            <v>499005</v>
          </cell>
          <cell r="M778" t="str">
            <v>Taxation</v>
          </cell>
          <cell r="N778" t="str">
            <v>n/a</v>
          </cell>
          <cell r="Q778" t="str">
            <v>n/a</v>
          </cell>
          <cell r="R778" t="str">
            <v>n/a</v>
          </cell>
          <cell r="S778" t="str">
            <v>n/a</v>
          </cell>
          <cell r="X778">
            <v>353500</v>
          </cell>
          <cell r="Y778" t="str">
            <v>499005</v>
          </cell>
        </row>
        <row r="779">
          <cell r="B779" t="str">
            <v>499010</v>
          </cell>
          <cell r="M779" t="str">
            <v>Taxation</v>
          </cell>
          <cell r="N779" t="str">
            <v>n/a</v>
          </cell>
          <cell r="Q779" t="str">
            <v>n/a</v>
          </cell>
          <cell r="R779" t="str">
            <v>n/a</v>
          </cell>
          <cell r="S779" t="str">
            <v>n/a</v>
          </cell>
          <cell r="X779">
            <v>353400</v>
          </cell>
          <cell r="Y779" t="str">
            <v>499010</v>
          </cell>
        </row>
        <row r="780">
          <cell r="B780" t="str">
            <v>499020</v>
          </cell>
          <cell r="M780" t="str">
            <v>Taxation</v>
          </cell>
          <cell r="N780" t="str">
            <v>n/a</v>
          </cell>
          <cell r="Q780" t="str">
            <v>n/a</v>
          </cell>
          <cell r="R780" t="str">
            <v>n/a</v>
          </cell>
          <cell r="S780" t="str">
            <v>n/a</v>
          </cell>
          <cell r="X780">
            <v>353100</v>
          </cell>
          <cell r="Y780" t="str">
            <v>499020</v>
          </cell>
        </row>
        <row r="781">
          <cell r="B781" t="str">
            <v>490250</v>
          </cell>
          <cell r="M781" t="str">
            <v>Taxation</v>
          </cell>
          <cell r="N781" t="str">
            <v>n/a</v>
          </cell>
          <cell r="Q781" t="str">
            <v>n/a</v>
          </cell>
          <cell r="R781" t="str">
            <v>n/a</v>
          </cell>
          <cell r="S781" t="str">
            <v>n/a</v>
          </cell>
          <cell r="X781">
            <v>354100</v>
          </cell>
          <cell r="Y781" t="str">
            <v>n/a</v>
          </cell>
        </row>
        <row r="782">
          <cell r="B782" t="str">
            <v>491870</v>
          </cell>
          <cell r="M782" t="str">
            <v>Dividend</v>
          </cell>
          <cell r="N782" t="str">
            <v>n/a</v>
          </cell>
          <cell r="Q782" t="str">
            <v>n/a</v>
          </cell>
          <cell r="R782" t="str">
            <v>n/a</v>
          </cell>
          <cell r="S782" t="str">
            <v>n/a</v>
          </cell>
          <cell r="X782">
            <v>362100</v>
          </cell>
          <cell r="Y782" t="str">
            <v>n/a</v>
          </cell>
        </row>
        <row r="783">
          <cell r="B783" t="str">
            <v>492310</v>
          </cell>
          <cell r="M783" t="str">
            <v>Dividend</v>
          </cell>
          <cell r="N783" t="str">
            <v>n/a</v>
          </cell>
          <cell r="Q783" t="str">
            <v>n/a</v>
          </cell>
          <cell r="R783" t="str">
            <v>n/a</v>
          </cell>
          <cell r="S783" t="str">
            <v>n/a</v>
          </cell>
          <cell r="X783">
            <v>362100</v>
          </cell>
          <cell r="Y783" t="str">
            <v>n/a</v>
          </cell>
        </row>
        <row r="784">
          <cell r="B784" t="str">
            <v>870500</v>
          </cell>
          <cell r="M784" t="str">
            <v>Other income</v>
          </cell>
          <cell r="N784" t="str">
            <v>Sundry income</v>
          </cell>
          <cell r="Q784" t="str">
            <v>n/a</v>
          </cell>
          <cell r="R784" t="str">
            <v>n/a</v>
          </cell>
          <cell r="S784" t="str">
            <v>n/a</v>
          </cell>
          <cell r="X784">
            <v>363400</v>
          </cell>
          <cell r="Y784" t="str">
            <v>870500</v>
          </cell>
        </row>
        <row r="785">
          <cell r="M785" t="str">
            <v>n/a</v>
          </cell>
          <cell r="N785" t="str">
            <v>n/a</v>
          </cell>
          <cell r="Q785" t="str">
            <v>n/a</v>
          </cell>
          <cell r="R785" t="str">
            <v>n/a</v>
          </cell>
          <cell r="S785" t="str">
            <v>n/a</v>
          </cell>
          <cell r="X785" t="str">
            <v>n/a</v>
          </cell>
          <cell r="Y785" t="str">
            <v>n/a</v>
          </cell>
        </row>
        <row r="786">
          <cell r="B786" t="str">
            <v>temp1</v>
          </cell>
          <cell r="M786" t="str">
            <v>n/a</v>
          </cell>
          <cell r="N786" t="str">
            <v>n/a</v>
          </cell>
          <cell r="Q786" t="str">
            <v>n/a</v>
          </cell>
          <cell r="R786" t="str">
            <v>US$50m SBSA swap  loan</v>
          </cell>
          <cell r="S786" t="str">
            <v>n/a</v>
          </cell>
          <cell r="X786" t="str">
            <v>n/a</v>
          </cell>
          <cell r="Y786" t="str">
            <v>n/a</v>
          </cell>
        </row>
        <row r="787">
          <cell r="M787" t="str">
            <v>n/a</v>
          </cell>
          <cell r="N787" t="str">
            <v>n/a</v>
          </cell>
          <cell r="Q787" t="str">
            <v>Income Fund</v>
          </cell>
          <cell r="R787" t="str">
            <v>n/a</v>
          </cell>
          <cell r="S787" t="str">
            <v>n/a</v>
          </cell>
          <cell r="X787" t="str">
            <v>n/a</v>
          </cell>
          <cell r="Y787" t="str">
            <v>n/a</v>
          </cell>
        </row>
        <row r="788">
          <cell r="M788" t="str">
            <v>n/a</v>
          </cell>
          <cell r="N788" t="str">
            <v>n/a</v>
          </cell>
          <cell r="Q788" t="str">
            <v>n/a</v>
          </cell>
          <cell r="R788" t="str">
            <v>n/a</v>
          </cell>
          <cell r="S788" t="str">
            <v>n/a</v>
          </cell>
          <cell r="X788" t="str">
            <v>n/a</v>
          </cell>
          <cell r="Y788" t="str">
            <v>n/a</v>
          </cell>
        </row>
        <row r="789">
          <cell r="M789" t="str">
            <v>n/a</v>
          </cell>
          <cell r="N789" t="str">
            <v>n/a</v>
          </cell>
          <cell r="Q789" t="str">
            <v>n/a</v>
          </cell>
          <cell r="R789" t="str">
            <v>n/a</v>
          </cell>
          <cell r="S789" t="str">
            <v>n/a</v>
          </cell>
          <cell r="X789" t="str">
            <v>n/a</v>
          </cell>
          <cell r="Y789" t="str">
            <v>NPBT</v>
          </cell>
        </row>
        <row r="790">
          <cell r="M790" t="str">
            <v>n/a</v>
          </cell>
          <cell r="N790" t="str">
            <v>n/a</v>
          </cell>
          <cell r="Q790" t="str">
            <v>n/a</v>
          </cell>
          <cell r="R790" t="str">
            <v>n/a</v>
          </cell>
          <cell r="S790" t="str">
            <v>n/a</v>
          </cell>
          <cell r="X790" t="str">
            <v>n/a</v>
          </cell>
          <cell r="Y790" t="str">
            <v>TC</v>
          </cell>
        </row>
        <row r="791">
          <cell r="M791" t="str">
            <v>n/a</v>
          </cell>
          <cell r="N791" t="str">
            <v>n/a</v>
          </cell>
          <cell r="Q791" t="str">
            <v>n/a</v>
          </cell>
          <cell r="R791" t="str">
            <v>n/a</v>
          </cell>
          <cell r="S791" t="str">
            <v>n/a</v>
          </cell>
          <cell r="X791" t="str">
            <v>n/a</v>
          </cell>
          <cell r="Y791" t="str">
            <v>n/a</v>
          </cell>
        </row>
        <row r="793">
          <cell r="B793" t="str">
            <v>offset3</v>
          </cell>
        </row>
        <row r="794">
          <cell r="M794" t="str">
            <v>n/a</v>
          </cell>
          <cell r="N794" t="str">
            <v>n/a</v>
          </cell>
          <cell r="Q794" t="str">
            <v>n/a</v>
          </cell>
          <cell r="R794" t="str">
            <v>n/a</v>
          </cell>
          <cell r="S794" t="str">
            <v>n/a</v>
          </cell>
          <cell r="Y794" t="str">
            <v>n/a</v>
          </cell>
        </row>
        <row r="795">
          <cell r="M795" t="str">
            <v>Interest on investment securities</v>
          </cell>
          <cell r="N795" t="str">
            <v>n/a</v>
          </cell>
          <cell r="Q795" t="str">
            <v xml:space="preserve">Road Fund Administration </v>
          </cell>
          <cell r="R795" t="str">
            <v>n/a</v>
          </cell>
          <cell r="S795" t="str">
            <v>n/a</v>
          </cell>
          <cell r="Y795" t="str">
            <v>n/a</v>
          </cell>
        </row>
        <row r="796">
          <cell r="M796" t="str">
            <v>Interest on investment securities</v>
          </cell>
          <cell r="N796" t="str">
            <v>n/a</v>
          </cell>
          <cell r="Q796" t="str">
            <v>RCC debentures</v>
          </cell>
          <cell r="R796" t="str">
            <v>n/a</v>
          </cell>
          <cell r="S796" t="str">
            <v>n/a</v>
          </cell>
          <cell r="Y796" t="str">
            <v>n/a</v>
          </cell>
        </row>
        <row r="797">
          <cell r="M797" t="str">
            <v>Interest on L &amp; A and short-term funds</v>
          </cell>
          <cell r="N797" t="str">
            <v>n/a</v>
          </cell>
          <cell r="Q797" t="str">
            <v>Current account debtors</v>
          </cell>
          <cell r="R797" t="str">
            <v>n/a</v>
          </cell>
          <cell r="S797" t="str">
            <v>n/a</v>
          </cell>
          <cell r="Y797" t="str">
            <v>n/a</v>
          </cell>
        </row>
        <row r="798">
          <cell r="M798" t="str">
            <v>Interest on L &amp; A and short-term funds</v>
          </cell>
          <cell r="N798" t="str">
            <v>n/a</v>
          </cell>
          <cell r="Q798" t="str">
            <v>Cash management</v>
          </cell>
          <cell r="R798" t="str">
            <v>n/a</v>
          </cell>
          <cell r="S798" t="str">
            <v>n/a</v>
          </cell>
          <cell r="Y798" t="str">
            <v>n/a</v>
          </cell>
        </row>
        <row r="799">
          <cell r="M799" t="str">
            <v>Interest on L &amp; A and short-term funds</v>
          </cell>
          <cell r="N799" t="str">
            <v>n/a</v>
          </cell>
          <cell r="Q799" t="str">
            <v>VAF</v>
          </cell>
          <cell r="R799" t="str">
            <v>n/a</v>
          </cell>
          <cell r="S799" t="str">
            <v>n/a</v>
          </cell>
          <cell r="Y799" t="str">
            <v>n/a</v>
          </cell>
        </row>
        <row r="800">
          <cell r="M800" t="str">
            <v>Interest on L &amp; A and short-term funds</v>
          </cell>
          <cell r="N800" t="str">
            <v>n/a</v>
          </cell>
          <cell r="Q800" t="str">
            <v>Not mapped</v>
          </cell>
          <cell r="R800" t="str">
            <v>n/a</v>
          </cell>
          <cell r="S800" t="str">
            <v>n/a</v>
          </cell>
          <cell r="Y800" t="str">
            <v>n/a</v>
          </cell>
        </row>
        <row r="801">
          <cell r="M801" t="str">
            <v>Interest on L &amp; A and short-term funds</v>
          </cell>
          <cell r="N801" t="str">
            <v>n/a</v>
          </cell>
          <cell r="Q801" t="str">
            <v>Student loan scheme</v>
          </cell>
          <cell r="R801" t="str">
            <v>n/a</v>
          </cell>
          <cell r="S801" t="str">
            <v>n/a</v>
          </cell>
          <cell r="Y801" t="str">
            <v>n/a</v>
          </cell>
        </row>
        <row r="802">
          <cell r="M802" t="str">
            <v>Interest on L &amp; A and short-term funds</v>
          </cell>
          <cell r="N802" t="str">
            <v>n/a</v>
          </cell>
          <cell r="Q802" t="str">
            <v>Current account debtors</v>
          </cell>
          <cell r="R802" t="str">
            <v>n/a</v>
          </cell>
          <cell r="S802" t="str">
            <v>n/a</v>
          </cell>
          <cell r="Y802" t="str">
            <v>n/a</v>
          </cell>
        </row>
        <row r="803">
          <cell r="M803" t="str">
            <v>Interest on L &amp; A and short-term funds</v>
          </cell>
          <cell r="N803" t="str">
            <v>n/a</v>
          </cell>
          <cell r="Q803" t="str">
            <v>Not mapped</v>
          </cell>
          <cell r="R803" t="str">
            <v>n/a</v>
          </cell>
          <cell r="S803" t="str">
            <v>n/a</v>
          </cell>
          <cell r="Y803" t="str">
            <v>n/a</v>
          </cell>
        </row>
        <row r="804">
          <cell r="M804" t="str">
            <v>Interest on L &amp; A and short-term funds</v>
          </cell>
          <cell r="N804" t="str">
            <v>n/a</v>
          </cell>
          <cell r="Q804" t="str">
            <v>Revolving credit plan</v>
          </cell>
          <cell r="R804" t="str">
            <v>n/a</v>
          </cell>
          <cell r="S804" t="str">
            <v>n/a</v>
          </cell>
          <cell r="Y804" t="str">
            <v>n/a</v>
          </cell>
        </row>
        <row r="805">
          <cell r="M805" t="str">
            <v>Interest on L &amp; A and short-term funds</v>
          </cell>
          <cell r="N805" t="str">
            <v>n/a</v>
          </cell>
          <cell r="Q805" t="str">
            <v>Mortgage advances</v>
          </cell>
          <cell r="R805" t="str">
            <v>n/a</v>
          </cell>
          <cell r="S805" t="str">
            <v>n/a</v>
          </cell>
          <cell r="Y805" t="str">
            <v>n/a</v>
          </cell>
        </row>
        <row r="806">
          <cell r="M806" t="str">
            <v>Interest on L &amp; A and short-term funds</v>
          </cell>
          <cell r="N806" t="str">
            <v>n/a</v>
          </cell>
          <cell r="Q806" t="str">
            <v xml:space="preserve">Medium term loans </v>
          </cell>
          <cell r="R806" t="str">
            <v>n/a</v>
          </cell>
          <cell r="S806" t="str">
            <v>n/a</v>
          </cell>
          <cell r="Y806" t="str">
            <v>MTL Branches</v>
          </cell>
        </row>
        <row r="807">
          <cell r="M807" t="str">
            <v>Interest on L &amp; A and short-term funds</v>
          </cell>
          <cell r="N807" t="str">
            <v>n/a</v>
          </cell>
          <cell r="Q807" t="str">
            <v xml:space="preserve">Medium term loans </v>
          </cell>
          <cell r="R807" t="str">
            <v>n/a</v>
          </cell>
          <cell r="S807" t="str">
            <v>n/a</v>
          </cell>
          <cell r="Y807" t="str">
            <v>MTL H/O</v>
          </cell>
        </row>
        <row r="808">
          <cell r="M808" t="str">
            <v>Dividends on Pref shares &amp; CashPlus</v>
          </cell>
          <cell r="N808" t="str">
            <v>n/a</v>
          </cell>
          <cell r="Q808" t="str">
            <v>CashPlus</v>
          </cell>
          <cell r="R808" t="str">
            <v>n/a</v>
          </cell>
          <cell r="S808" t="str">
            <v>n/a</v>
          </cell>
          <cell r="Y808">
            <v>720400</v>
          </cell>
        </row>
        <row r="809">
          <cell r="M809" t="str">
            <v>Interest on L &amp; A and short-term funds</v>
          </cell>
          <cell r="N809" t="str">
            <v>n/a</v>
          </cell>
          <cell r="Q809" t="str">
            <v>Current account debtors</v>
          </cell>
          <cell r="R809" t="str">
            <v>n/a</v>
          </cell>
          <cell r="S809" t="str">
            <v>n/a</v>
          </cell>
          <cell r="Y809" t="str">
            <v>n/a</v>
          </cell>
        </row>
        <row r="810">
          <cell r="M810" t="str">
            <v>Interest on L &amp; A and short-term funds</v>
          </cell>
          <cell r="N810" t="str">
            <v>n/a</v>
          </cell>
          <cell r="Q810" t="str">
            <v>Promissory notes</v>
          </cell>
          <cell r="R810" t="str">
            <v>n/a</v>
          </cell>
          <cell r="S810" t="str">
            <v>n/a</v>
          </cell>
          <cell r="Y810" t="str">
            <v>n/a</v>
          </cell>
        </row>
        <row r="811">
          <cell r="M811" t="str">
            <v>Dividends on Pref shares &amp; CashPlus</v>
          </cell>
          <cell r="N811" t="str">
            <v>n/a</v>
          </cell>
          <cell r="Q811" t="str">
            <v>Income Fund</v>
          </cell>
          <cell r="R811" t="str">
            <v>n/a</v>
          </cell>
          <cell r="S811" t="str">
            <v>n/a</v>
          </cell>
          <cell r="Y811">
            <v>735380</v>
          </cell>
        </row>
        <row r="812">
          <cell r="M812" t="str">
            <v>Interest on L &amp; A and short-term funds</v>
          </cell>
          <cell r="N812" t="str">
            <v>n/a</v>
          </cell>
          <cell r="Q812" t="str">
            <v>Revolving credit plan</v>
          </cell>
          <cell r="R812" t="str">
            <v>n/a</v>
          </cell>
          <cell r="S812" t="str">
            <v>n/a</v>
          </cell>
          <cell r="Y812" t="str">
            <v>n/a</v>
          </cell>
        </row>
        <row r="813">
          <cell r="M813" t="str">
            <v>Interest on L &amp; A and short-term funds</v>
          </cell>
          <cell r="N813" t="str">
            <v>n/a</v>
          </cell>
          <cell r="Q813" t="str">
            <v>Mortgage advances</v>
          </cell>
          <cell r="R813" t="str">
            <v>n/a</v>
          </cell>
          <cell r="S813" t="str">
            <v>n/a</v>
          </cell>
          <cell r="Y813" t="str">
            <v>n/a</v>
          </cell>
        </row>
        <row r="814">
          <cell r="M814" t="str">
            <v>Interest on L &amp; A and short-term funds</v>
          </cell>
          <cell r="N814" t="str">
            <v>n/a</v>
          </cell>
          <cell r="Q814" t="str">
            <v>Structured finance</v>
          </cell>
          <cell r="R814" t="str">
            <v>n/a</v>
          </cell>
          <cell r="S814" t="str">
            <v>n/a</v>
          </cell>
          <cell r="Y814" t="str">
            <v>n/a</v>
          </cell>
        </row>
        <row r="815">
          <cell r="M815" t="str">
            <v>Interest on investment securities</v>
          </cell>
          <cell r="N815" t="str">
            <v>n/a</v>
          </cell>
          <cell r="Q815" t="str">
            <v>Treasury bills</v>
          </cell>
          <cell r="R815" t="str">
            <v>n/a</v>
          </cell>
          <cell r="S815" t="str">
            <v>n/a</v>
          </cell>
          <cell r="Y815" t="str">
            <v>n/a</v>
          </cell>
        </row>
        <row r="816">
          <cell r="M816" t="str">
            <v>Interest on L &amp; A and short-term funds</v>
          </cell>
          <cell r="N816" t="str">
            <v>n/a</v>
          </cell>
          <cell r="Q816" t="str">
            <v>Way to Pay</v>
          </cell>
          <cell r="R816" t="str">
            <v>n/a</v>
          </cell>
          <cell r="S816" t="str">
            <v>n/a</v>
          </cell>
          <cell r="Y816" t="str">
            <v>n/a</v>
          </cell>
        </row>
        <row r="817">
          <cell r="M817" t="str">
            <v>Interest on L &amp; A and short-term funds</v>
          </cell>
          <cell r="N817" t="str">
            <v>n/a</v>
          </cell>
          <cell r="Q817" t="str">
            <v>Call loans: corporate clients</v>
          </cell>
          <cell r="R817" t="str">
            <v>n/a</v>
          </cell>
          <cell r="S817" t="str">
            <v>n/a</v>
          </cell>
          <cell r="Y817" t="str">
            <v>n/a</v>
          </cell>
        </row>
        <row r="818">
          <cell r="M818" t="str">
            <v>Interest on L &amp; A and short-term funds</v>
          </cell>
          <cell r="N818" t="str">
            <v>n/a</v>
          </cell>
          <cell r="Q818" t="str">
            <v>Assets on lease</v>
          </cell>
          <cell r="R818" t="str">
            <v>n/a</v>
          </cell>
          <cell r="S818" t="str">
            <v>n/a</v>
          </cell>
          <cell r="Y818" t="str">
            <v>n/a</v>
          </cell>
        </row>
        <row r="819">
          <cell r="M819" t="str">
            <v>Interest on L &amp; A and short-term funds</v>
          </cell>
          <cell r="N819" t="str">
            <v>n/a</v>
          </cell>
          <cell r="Q819" t="str">
            <v>Vostro accounts foreign banks</v>
          </cell>
          <cell r="R819" t="str">
            <v>n/a</v>
          </cell>
          <cell r="S819" t="str">
            <v>n/a</v>
          </cell>
          <cell r="Y819" t="str">
            <v>n/a</v>
          </cell>
        </row>
        <row r="820">
          <cell r="M820" t="str">
            <v>Interest on investment securities</v>
          </cell>
          <cell r="N820" t="str">
            <v>n/a</v>
          </cell>
          <cell r="Q820" t="str">
            <v>Government stock</v>
          </cell>
          <cell r="R820" t="str">
            <v>n/a</v>
          </cell>
          <cell r="S820" t="str">
            <v>n/a</v>
          </cell>
          <cell r="Y820" t="str">
            <v>n/a</v>
          </cell>
        </row>
        <row r="821">
          <cell r="M821" t="str">
            <v>Interest on L &amp; A and short-term funds</v>
          </cell>
          <cell r="N821" t="str">
            <v>n/a</v>
          </cell>
          <cell r="Q821" t="str">
            <v>Not mapped</v>
          </cell>
          <cell r="R821" t="str">
            <v>n/a</v>
          </cell>
          <cell r="S821" t="str">
            <v>n/a</v>
          </cell>
          <cell r="Y821" t="str">
            <v>n/a</v>
          </cell>
        </row>
        <row r="822">
          <cell r="M822" t="str">
            <v>Interest on L &amp; A and short-term funds</v>
          </cell>
          <cell r="N822" t="str">
            <v>n/a</v>
          </cell>
          <cell r="Q822" t="str">
            <v>Not mapped</v>
          </cell>
          <cell r="R822" t="str">
            <v>n/a</v>
          </cell>
          <cell r="S822" t="str">
            <v>n/a</v>
          </cell>
          <cell r="Y822" t="str">
            <v>n/a</v>
          </cell>
        </row>
        <row r="823">
          <cell r="M823" t="str">
            <v>Interest on L &amp; A and short-term funds</v>
          </cell>
          <cell r="N823" t="str">
            <v>n/a</v>
          </cell>
          <cell r="Q823" t="str">
            <v>Call loans: Banks</v>
          </cell>
          <cell r="R823" t="str">
            <v>n/a</v>
          </cell>
          <cell r="S823" t="str">
            <v>n/a</v>
          </cell>
          <cell r="Y823" t="str">
            <v>n/a</v>
          </cell>
        </row>
        <row r="824">
          <cell r="M824" t="str">
            <v>Interest on L &amp; A and short-term funds</v>
          </cell>
          <cell r="N824" t="str">
            <v>n/a</v>
          </cell>
          <cell r="Q824" t="str">
            <v>Not mapped</v>
          </cell>
          <cell r="R824" t="str">
            <v>n/a</v>
          </cell>
          <cell r="S824" t="str">
            <v>n/a</v>
          </cell>
          <cell r="Y824" t="str">
            <v>n/a</v>
          </cell>
        </row>
        <row r="825">
          <cell r="M825" t="str">
            <v>Interest on L &amp; A and short-term funds</v>
          </cell>
          <cell r="N825" t="str">
            <v>n/a</v>
          </cell>
          <cell r="Q825" t="str">
            <v>Nostro accounts foreign banks</v>
          </cell>
          <cell r="R825" t="str">
            <v>n/a</v>
          </cell>
          <cell r="S825" t="str">
            <v>n/a</v>
          </cell>
          <cell r="Y825" t="str">
            <v>n/a</v>
          </cell>
        </row>
        <row r="826">
          <cell r="M826" t="str">
            <v>Interest on L &amp; A and short-term funds</v>
          </cell>
          <cell r="N826" t="str">
            <v>n/a</v>
          </cell>
          <cell r="Q826" t="str">
            <v>Promissory notes</v>
          </cell>
          <cell r="R826" t="str">
            <v>n/a</v>
          </cell>
          <cell r="S826" t="str">
            <v>n/a</v>
          </cell>
          <cell r="Y826" t="str">
            <v>n/a</v>
          </cell>
        </row>
        <row r="827">
          <cell r="M827" t="str">
            <v>Dividends on Pref shares &amp; CashPlus</v>
          </cell>
          <cell r="N827" t="str">
            <v>n/a</v>
          </cell>
          <cell r="Q827" t="str">
            <v>CashPlus</v>
          </cell>
          <cell r="R827" t="str">
            <v>n/a</v>
          </cell>
          <cell r="S827" t="str">
            <v>n/a</v>
          </cell>
          <cell r="Y827" t="str">
            <v>735340</v>
          </cell>
        </row>
        <row r="828">
          <cell r="M828" t="str">
            <v>Interest on L &amp; A and short-term funds</v>
          </cell>
          <cell r="N828" t="str">
            <v>n/a</v>
          </cell>
          <cell r="Q828" t="str">
            <v>Foreign currency assets (customer)</v>
          </cell>
          <cell r="R828" t="str">
            <v>n/a</v>
          </cell>
          <cell r="S828" t="str">
            <v>n/a</v>
          </cell>
          <cell r="Y828" t="str">
            <v>n/a</v>
          </cell>
        </row>
        <row r="829">
          <cell r="M829" t="str">
            <v>Interest on L &amp; A and short-term funds</v>
          </cell>
          <cell r="N829" t="str">
            <v>n/a</v>
          </cell>
          <cell r="Q829" t="str">
            <v>Call loans: Banks</v>
          </cell>
          <cell r="R829" t="str">
            <v>n/a</v>
          </cell>
          <cell r="S829" t="str">
            <v>n/a</v>
          </cell>
          <cell r="Y829" t="str">
            <v>n/a</v>
          </cell>
        </row>
        <row r="830">
          <cell r="M830" t="str">
            <v>Interest on investment securities</v>
          </cell>
          <cell r="N830" t="str">
            <v>n/a</v>
          </cell>
          <cell r="Q830" t="str">
            <v>Government stock</v>
          </cell>
          <cell r="R830" t="str">
            <v>n/a</v>
          </cell>
          <cell r="S830" t="str">
            <v>n/a</v>
          </cell>
          <cell r="Y830" t="str">
            <v>n/a</v>
          </cell>
        </row>
        <row r="831">
          <cell r="M831" t="str">
            <v>Interest on L &amp; A and short-term funds</v>
          </cell>
          <cell r="N831" t="str">
            <v>n/a</v>
          </cell>
          <cell r="Q831" t="str">
            <v>Not mapped</v>
          </cell>
          <cell r="R831" t="str">
            <v>n/a</v>
          </cell>
          <cell r="S831" t="str">
            <v>n/a</v>
          </cell>
          <cell r="Y831" t="str">
            <v>n/a</v>
          </cell>
        </row>
        <row r="832">
          <cell r="M832" t="str">
            <v>Interest on L &amp; A and short-term funds</v>
          </cell>
          <cell r="N832" t="str">
            <v>n/a</v>
          </cell>
          <cell r="Q832" t="str">
            <v>NPL</v>
          </cell>
          <cell r="R832" t="str">
            <v>n/a</v>
          </cell>
          <cell r="S832" t="str">
            <v>n/a</v>
          </cell>
          <cell r="Y832" t="str">
            <v>n/a</v>
          </cell>
        </row>
        <row r="833">
          <cell r="M833" t="str">
            <v>Dividends on Pref shares &amp; CashPlus</v>
          </cell>
          <cell r="N833" t="str">
            <v>n/a</v>
          </cell>
          <cell r="Q833" t="str">
            <v>Investment in preference shares</v>
          </cell>
          <cell r="R833" t="str">
            <v>n/a</v>
          </cell>
          <cell r="S833" t="str">
            <v>n/a</v>
          </cell>
          <cell r="Y833" t="str">
            <v>701300</v>
          </cell>
        </row>
        <row r="834">
          <cell r="M834" t="str">
            <v>Interest on L &amp; A and short-term funds</v>
          </cell>
          <cell r="N834" t="str">
            <v>n/a</v>
          </cell>
          <cell r="Q834" t="str">
            <v xml:space="preserve">IC: Nostro account </v>
          </cell>
          <cell r="R834" t="str">
            <v>n/a</v>
          </cell>
          <cell r="S834" t="str">
            <v>n/a</v>
          </cell>
          <cell r="Y834" t="str">
            <v>n/a</v>
          </cell>
        </row>
        <row r="835">
          <cell r="M835" t="str">
            <v>Interest on L &amp; A and short-term funds</v>
          </cell>
          <cell r="N835" t="str">
            <v>n/a</v>
          </cell>
          <cell r="Q835" t="str">
            <v>Not mapped</v>
          </cell>
          <cell r="R835" t="str">
            <v>n/a</v>
          </cell>
          <cell r="S835" t="str">
            <v>n/a</v>
          </cell>
          <cell r="Y835" t="str">
            <v>n/a</v>
          </cell>
        </row>
        <row r="836">
          <cell r="M836" t="str">
            <v>Interest on L &amp; A and short-term funds</v>
          </cell>
          <cell r="N836" t="str">
            <v>n/a</v>
          </cell>
          <cell r="Q836" t="str">
            <v>IC: Foreign currency assets (Mauritius)</v>
          </cell>
          <cell r="R836" t="str">
            <v>n/a</v>
          </cell>
          <cell r="S836" t="str">
            <v>n/a</v>
          </cell>
          <cell r="Y836" t="str">
            <v>n/a</v>
          </cell>
        </row>
        <row r="837">
          <cell r="M837" t="str">
            <v>Interest on L &amp; A and short-term funds</v>
          </cell>
          <cell r="N837" t="str">
            <v>n/a</v>
          </cell>
          <cell r="Q837" t="str">
            <v>Not mapped</v>
          </cell>
          <cell r="R837" t="str">
            <v>n/a</v>
          </cell>
          <cell r="S837" t="str">
            <v>n/a</v>
          </cell>
          <cell r="Y837" t="str">
            <v>n/a</v>
          </cell>
        </row>
        <row r="838">
          <cell r="M838" t="str">
            <v>Interest on L &amp; A and short-term funds</v>
          </cell>
          <cell r="N838" t="str">
            <v>n/a</v>
          </cell>
          <cell r="Q838" t="str">
            <v>Not mapped</v>
          </cell>
          <cell r="R838" t="str">
            <v>n/a</v>
          </cell>
          <cell r="S838" t="str">
            <v>n/a</v>
          </cell>
          <cell r="Y838" t="str">
            <v>n/a</v>
          </cell>
        </row>
        <row r="839">
          <cell r="M839" t="str">
            <v>Interest on L &amp; A and short-term funds</v>
          </cell>
          <cell r="N839" t="str">
            <v>n/a</v>
          </cell>
          <cell r="Q839" t="str">
            <v>IC: Call loans</v>
          </cell>
          <cell r="R839" t="str">
            <v>n/a</v>
          </cell>
          <cell r="S839" t="str">
            <v>n/a</v>
          </cell>
          <cell r="Y839" t="str">
            <v>n/a</v>
          </cell>
        </row>
        <row r="840">
          <cell r="M840" t="str">
            <v>Interest on L &amp; A and short-term funds</v>
          </cell>
          <cell r="N840" t="str">
            <v>n/a</v>
          </cell>
          <cell r="Q840" t="str">
            <v>IC: Vostro account</v>
          </cell>
          <cell r="R840" t="str">
            <v>n/a</v>
          </cell>
          <cell r="S840" t="str">
            <v>n/a</v>
          </cell>
          <cell r="Y840" t="str">
            <v>n/a</v>
          </cell>
        </row>
        <row r="841">
          <cell r="M841" t="str">
            <v>Interest on L &amp; A and short-term funds</v>
          </cell>
          <cell r="N841" t="str">
            <v>n/a</v>
          </cell>
          <cell r="Q841" t="str">
            <v>Not mapped</v>
          </cell>
          <cell r="R841" t="str">
            <v>n/a</v>
          </cell>
          <cell r="S841" t="str">
            <v>n/a</v>
          </cell>
          <cell r="Y841" t="str">
            <v>n/a</v>
          </cell>
        </row>
        <row r="842">
          <cell r="M842" t="str">
            <v>Interest on L &amp; A and short-term funds</v>
          </cell>
          <cell r="N842" t="str">
            <v>n/a</v>
          </cell>
          <cell r="Q842" t="str">
            <v xml:space="preserve">SBSA: Investment call </v>
          </cell>
          <cell r="R842" t="str">
            <v>n/a</v>
          </cell>
          <cell r="S842" t="str">
            <v>n/a</v>
          </cell>
          <cell r="Y842" t="str">
            <v>n/a</v>
          </cell>
        </row>
        <row r="843">
          <cell r="M843" t="str">
            <v>Interest on L &amp; A and short-term funds</v>
          </cell>
          <cell r="N843" t="str">
            <v>n/a</v>
          </cell>
          <cell r="Q843" t="str">
            <v>IC: Call loans</v>
          </cell>
          <cell r="R843" t="str">
            <v>n/a</v>
          </cell>
          <cell r="S843" t="str">
            <v>n/a</v>
          </cell>
          <cell r="Y843" t="str">
            <v>n/a</v>
          </cell>
        </row>
        <row r="844">
          <cell r="M844" t="str">
            <v>Interest on L &amp; A and short-term funds</v>
          </cell>
          <cell r="N844" t="str">
            <v>n/a</v>
          </cell>
          <cell r="Q844" t="str">
            <v>n/a</v>
          </cell>
          <cell r="R844" t="str">
            <v>n/a</v>
          </cell>
          <cell r="S844" t="str">
            <v>n/a</v>
          </cell>
          <cell r="Y844" t="str">
            <v>n/a</v>
          </cell>
        </row>
        <row r="845">
          <cell r="M845" t="str">
            <v xml:space="preserve">Interest expense </v>
          </cell>
          <cell r="N845" t="str">
            <v>n/a</v>
          </cell>
          <cell r="Q845" t="str">
            <v>n/a</v>
          </cell>
          <cell r="R845" t="str">
            <v>Bonusplan</v>
          </cell>
          <cell r="S845" t="str">
            <v>n/a</v>
          </cell>
          <cell r="Y845" t="str">
            <v>n/a</v>
          </cell>
        </row>
        <row r="846">
          <cell r="M846" t="str">
            <v xml:space="preserve">Interest expense </v>
          </cell>
          <cell r="N846" t="str">
            <v>n/a</v>
          </cell>
          <cell r="Q846" t="str">
            <v>n/a</v>
          </cell>
          <cell r="R846" t="str">
            <v>Current account creditors</v>
          </cell>
          <cell r="S846" t="str">
            <v>n/a</v>
          </cell>
          <cell r="Y846" t="str">
            <v>n/a</v>
          </cell>
        </row>
        <row r="847">
          <cell r="M847" t="str">
            <v xml:space="preserve">Interest expense </v>
          </cell>
          <cell r="N847" t="str">
            <v>n/a</v>
          </cell>
          <cell r="Q847" t="str">
            <v>n/a</v>
          </cell>
          <cell r="R847" t="str">
            <v>Not mapped</v>
          </cell>
          <cell r="S847" t="str">
            <v>n/a</v>
          </cell>
          <cell r="Y847" t="str">
            <v>n/a</v>
          </cell>
        </row>
        <row r="848">
          <cell r="M848" t="str">
            <v xml:space="preserve">Interest expense </v>
          </cell>
          <cell r="N848" t="str">
            <v>n/a</v>
          </cell>
          <cell r="Q848" t="str">
            <v>n/a</v>
          </cell>
          <cell r="R848" t="str">
            <v>Current account creditors</v>
          </cell>
          <cell r="S848" t="str">
            <v>n/a</v>
          </cell>
          <cell r="Y848" t="str">
            <v>n/a</v>
          </cell>
        </row>
        <row r="849">
          <cell r="M849" t="str">
            <v xml:space="preserve">Interest expense </v>
          </cell>
          <cell r="N849" t="str">
            <v>n/a</v>
          </cell>
          <cell r="Q849" t="str">
            <v>n/a</v>
          </cell>
          <cell r="R849" t="str">
            <v>Cash management (c)</v>
          </cell>
          <cell r="S849" t="str">
            <v>n/a</v>
          </cell>
          <cell r="Y849" t="str">
            <v>n/a</v>
          </cell>
        </row>
        <row r="850">
          <cell r="M850" t="str">
            <v xml:space="preserve">Interest expense </v>
          </cell>
          <cell r="N850" t="str">
            <v>n/a</v>
          </cell>
          <cell r="Q850" t="str">
            <v>n/a</v>
          </cell>
          <cell r="R850" t="str">
            <v>Current account creditors</v>
          </cell>
          <cell r="S850" t="str">
            <v>n/a</v>
          </cell>
          <cell r="Y850" t="str">
            <v>n/a</v>
          </cell>
        </row>
        <row r="851">
          <cell r="M851" t="str">
            <v xml:space="preserve">Interest expense </v>
          </cell>
          <cell r="N851" t="str">
            <v>n/a</v>
          </cell>
          <cell r="Q851" t="str">
            <v>n/a</v>
          </cell>
          <cell r="R851" t="str">
            <v>Call deposists</v>
          </cell>
          <cell r="S851" t="str">
            <v>n/a</v>
          </cell>
          <cell r="Y851" t="str">
            <v>n/a</v>
          </cell>
        </row>
        <row r="852">
          <cell r="M852" t="str">
            <v xml:space="preserve">Interest expense </v>
          </cell>
          <cell r="N852" t="str">
            <v>n/a</v>
          </cell>
          <cell r="Q852" t="str">
            <v>n/a</v>
          </cell>
          <cell r="R852" t="str">
            <v>Not mapped</v>
          </cell>
          <cell r="S852" t="str">
            <v>n/a</v>
          </cell>
          <cell r="Y852" t="str">
            <v>n/a</v>
          </cell>
        </row>
        <row r="853">
          <cell r="M853" t="str">
            <v xml:space="preserve">Interest expense </v>
          </cell>
          <cell r="N853" t="str">
            <v>n/a</v>
          </cell>
          <cell r="Q853" t="str">
            <v>n/a</v>
          </cell>
          <cell r="R853" t="str">
            <v>Subordinated callable bond</v>
          </cell>
          <cell r="S853" t="str">
            <v>n/a</v>
          </cell>
          <cell r="Y853" t="str">
            <v>n/a</v>
          </cell>
        </row>
        <row r="854">
          <cell r="M854" t="str">
            <v xml:space="preserve">Interest expense </v>
          </cell>
          <cell r="N854" t="str">
            <v>n/a</v>
          </cell>
          <cell r="Q854" t="str">
            <v>n/a</v>
          </cell>
          <cell r="R854" t="str">
            <v>Fixed deposits</v>
          </cell>
          <cell r="S854" t="str">
            <v>n/a</v>
          </cell>
          <cell r="Y854" t="str">
            <v>n/a</v>
          </cell>
        </row>
        <row r="855">
          <cell r="M855" t="str">
            <v xml:space="preserve">Interest expense </v>
          </cell>
          <cell r="N855" t="str">
            <v>n/a</v>
          </cell>
          <cell r="Q855" t="str">
            <v>n/a</v>
          </cell>
          <cell r="R855" t="str">
            <v>Notice deposits</v>
          </cell>
          <cell r="S855" t="str">
            <v>n/a</v>
          </cell>
          <cell r="Y855" t="str">
            <v>n/a</v>
          </cell>
        </row>
        <row r="856">
          <cell r="M856" t="str">
            <v xml:space="preserve">Interest expense </v>
          </cell>
          <cell r="N856" t="str">
            <v>n/a</v>
          </cell>
          <cell r="Q856" t="str">
            <v>n/a</v>
          </cell>
          <cell r="R856" t="str">
            <v>Structured finance</v>
          </cell>
          <cell r="S856" t="str">
            <v>n/a</v>
          </cell>
          <cell r="Y856" t="str">
            <v>n/a</v>
          </cell>
        </row>
        <row r="857">
          <cell r="M857" t="str">
            <v xml:space="preserve">Interest expense </v>
          </cell>
          <cell r="N857" t="str">
            <v>n/a</v>
          </cell>
          <cell r="Q857" t="str">
            <v>n/a</v>
          </cell>
          <cell r="R857" t="str">
            <v>Plusplan</v>
          </cell>
          <cell r="S857" t="str">
            <v>n/a</v>
          </cell>
          <cell r="Y857" t="str">
            <v>n/a</v>
          </cell>
        </row>
        <row r="858">
          <cell r="M858" t="str">
            <v xml:space="preserve">Interest expense </v>
          </cell>
          <cell r="N858" t="str">
            <v>n/a</v>
          </cell>
          <cell r="Q858" t="str">
            <v>n/a</v>
          </cell>
          <cell r="R858" t="str">
            <v>Not mapped</v>
          </cell>
          <cell r="S858" t="str">
            <v>n/a</v>
          </cell>
          <cell r="Y858" t="str">
            <v>n/a</v>
          </cell>
        </row>
        <row r="859">
          <cell r="M859" t="str">
            <v xml:space="preserve">Interest expense </v>
          </cell>
          <cell r="N859" t="str">
            <v>n/a</v>
          </cell>
          <cell r="Q859" t="str">
            <v>n/a</v>
          </cell>
          <cell r="R859" t="str">
            <v>Vostro accounts with foreign banks</v>
          </cell>
          <cell r="S859" t="str">
            <v>n/a</v>
          </cell>
          <cell r="Y859" t="str">
            <v>n/a</v>
          </cell>
        </row>
        <row r="860">
          <cell r="M860" t="str">
            <v>Intercompany interest expense</v>
          </cell>
          <cell r="N860" t="str">
            <v>n/a</v>
          </cell>
          <cell r="Q860" t="str">
            <v>n/a</v>
          </cell>
          <cell r="R860" t="str">
            <v>US$50m SBSA swap  loan</v>
          </cell>
          <cell r="S860" t="str">
            <v>n/a</v>
          </cell>
          <cell r="Y860" t="str">
            <v>n/a</v>
          </cell>
        </row>
        <row r="861">
          <cell r="M861" t="str">
            <v xml:space="preserve">Interest expense </v>
          </cell>
          <cell r="N861" t="str">
            <v>n/a</v>
          </cell>
          <cell r="Q861" t="str">
            <v>n/a</v>
          </cell>
          <cell r="R861" t="str">
            <v>Call deposists</v>
          </cell>
          <cell r="S861" t="str">
            <v>n/a</v>
          </cell>
          <cell r="Y861" t="str">
            <v>n/a</v>
          </cell>
        </row>
        <row r="862">
          <cell r="M862" t="str">
            <v xml:space="preserve">Interest expense </v>
          </cell>
          <cell r="N862" t="str">
            <v>n/a</v>
          </cell>
          <cell r="Q862" t="str">
            <v>n/a</v>
          </cell>
          <cell r="R862" t="str">
            <v>Fixed deposits</v>
          </cell>
          <cell r="S862" t="str">
            <v>n/a</v>
          </cell>
          <cell r="Y862" t="str">
            <v>n/a</v>
          </cell>
        </row>
        <row r="863">
          <cell r="M863" t="str">
            <v xml:space="preserve">Interest expense </v>
          </cell>
          <cell r="N863" t="str">
            <v>n/a</v>
          </cell>
          <cell r="Q863" t="str">
            <v>n/a</v>
          </cell>
          <cell r="R863" t="str">
            <v>Fixed deposits: Other banks</v>
          </cell>
          <cell r="S863" t="str">
            <v>n/a</v>
          </cell>
          <cell r="Y863" t="str">
            <v>n/a</v>
          </cell>
        </row>
        <row r="864">
          <cell r="M864" t="str">
            <v xml:space="preserve">Interest expense </v>
          </cell>
          <cell r="N864" t="str">
            <v>n/a</v>
          </cell>
          <cell r="Q864" t="str">
            <v>n/a</v>
          </cell>
          <cell r="R864" t="str">
            <v>Not mapped</v>
          </cell>
          <cell r="S864" t="str">
            <v>n/a</v>
          </cell>
          <cell r="Y864" t="str">
            <v>n/a</v>
          </cell>
        </row>
        <row r="865">
          <cell r="M865" t="str">
            <v xml:space="preserve">Interest expense </v>
          </cell>
          <cell r="N865" t="str">
            <v>n/a</v>
          </cell>
          <cell r="Q865" t="str">
            <v>n/a</v>
          </cell>
          <cell r="R865" t="str">
            <v>NCD's</v>
          </cell>
          <cell r="S865" t="str">
            <v>n/a</v>
          </cell>
          <cell r="Y865" t="str">
            <v>n/a</v>
          </cell>
        </row>
        <row r="866">
          <cell r="M866" t="str">
            <v xml:space="preserve">Interest expense </v>
          </cell>
          <cell r="N866" t="str">
            <v>n/a</v>
          </cell>
          <cell r="Q866" t="str">
            <v>n/a</v>
          </cell>
          <cell r="R866" t="str">
            <v>Not mapped</v>
          </cell>
          <cell r="S866" t="str">
            <v>n/a</v>
          </cell>
          <cell r="Y866" t="str">
            <v>n/a</v>
          </cell>
        </row>
        <row r="867">
          <cell r="M867" t="str">
            <v xml:space="preserve">Interest expense </v>
          </cell>
          <cell r="N867" t="str">
            <v>n/a</v>
          </cell>
          <cell r="Q867" t="str">
            <v>n/a</v>
          </cell>
          <cell r="R867" t="str">
            <v>Not mapped</v>
          </cell>
          <cell r="S867" t="str">
            <v>n/a</v>
          </cell>
          <cell r="Y867" t="str">
            <v>n/a</v>
          </cell>
        </row>
        <row r="868">
          <cell r="M868" t="str">
            <v xml:space="preserve">Interest expense </v>
          </cell>
          <cell r="N868" t="str">
            <v>n/a</v>
          </cell>
          <cell r="Q868" t="str">
            <v>n/a</v>
          </cell>
          <cell r="R868" t="str">
            <v>Not mapped</v>
          </cell>
          <cell r="S868" t="str">
            <v>n/a</v>
          </cell>
          <cell r="Y868" t="str">
            <v>n/a</v>
          </cell>
        </row>
        <row r="869">
          <cell r="M869" t="str">
            <v xml:space="preserve">Interest expense </v>
          </cell>
          <cell r="N869" t="str">
            <v>n/a</v>
          </cell>
          <cell r="Q869" t="str">
            <v>n/a</v>
          </cell>
          <cell r="R869" t="str">
            <v>Not mapped</v>
          </cell>
          <cell r="S869" t="str">
            <v>n/a</v>
          </cell>
          <cell r="Y869" t="str">
            <v>n/a</v>
          </cell>
        </row>
        <row r="870">
          <cell r="M870" t="str">
            <v xml:space="preserve">Interest expense </v>
          </cell>
          <cell r="N870" t="str">
            <v>n/a</v>
          </cell>
          <cell r="Q870" t="str">
            <v>n/a</v>
          </cell>
          <cell r="R870" t="str">
            <v>Not mapped</v>
          </cell>
          <cell r="S870" t="str">
            <v>n/a</v>
          </cell>
          <cell r="Y870" t="str">
            <v>n/a</v>
          </cell>
        </row>
        <row r="871">
          <cell r="M871" t="str">
            <v xml:space="preserve">Interest expense </v>
          </cell>
          <cell r="N871" t="str">
            <v>n/a</v>
          </cell>
          <cell r="Q871" t="str">
            <v>n/a</v>
          </cell>
          <cell r="R871" t="str">
            <v>Notice deposits</v>
          </cell>
          <cell r="S871" t="str">
            <v>n/a</v>
          </cell>
          <cell r="Y871" t="str">
            <v>n/a</v>
          </cell>
        </row>
        <row r="872">
          <cell r="M872" t="str">
            <v xml:space="preserve">Interest expense </v>
          </cell>
          <cell r="N872" t="str">
            <v>n/a</v>
          </cell>
          <cell r="Q872" t="str">
            <v>n/a</v>
          </cell>
          <cell r="R872" t="str">
            <v>Call deposists</v>
          </cell>
          <cell r="S872" t="str">
            <v>n/a</v>
          </cell>
          <cell r="Y872" t="str">
            <v>n/a</v>
          </cell>
        </row>
        <row r="873">
          <cell r="M873" t="str">
            <v xml:space="preserve">Interest expense </v>
          </cell>
          <cell r="N873" t="str">
            <v>n/a</v>
          </cell>
          <cell r="Q873" t="str">
            <v>n/a</v>
          </cell>
          <cell r="R873" t="str">
            <v>Call deposists</v>
          </cell>
          <cell r="S873" t="str">
            <v>n/a</v>
          </cell>
          <cell r="Y873" t="str">
            <v>n/a</v>
          </cell>
        </row>
        <row r="874">
          <cell r="M874" t="str">
            <v xml:space="preserve">Interest expense </v>
          </cell>
          <cell r="N874" t="str">
            <v>n/a</v>
          </cell>
          <cell r="Q874" t="str">
            <v>n/a</v>
          </cell>
          <cell r="R874" t="str">
            <v>Call deposists</v>
          </cell>
          <cell r="S874" t="str">
            <v>n/a</v>
          </cell>
          <cell r="Y874" t="str">
            <v>n/a</v>
          </cell>
        </row>
        <row r="875">
          <cell r="M875" t="str">
            <v xml:space="preserve">Interest expense </v>
          </cell>
          <cell r="N875" t="str">
            <v>n/a</v>
          </cell>
          <cell r="Q875" t="str">
            <v>n/a</v>
          </cell>
          <cell r="R875" t="str">
            <v>Nostro accounts with foreign banks</v>
          </cell>
          <cell r="S875" t="str">
            <v>n/a</v>
          </cell>
          <cell r="Y875" t="str">
            <v>n/a</v>
          </cell>
        </row>
        <row r="876">
          <cell r="M876" t="str">
            <v xml:space="preserve">Interest expense </v>
          </cell>
          <cell r="N876" t="str">
            <v>n/a</v>
          </cell>
          <cell r="Q876" t="str">
            <v>n/a</v>
          </cell>
          <cell r="R876" t="str">
            <v>Not mapped</v>
          </cell>
          <cell r="S876" t="str">
            <v>n/a</v>
          </cell>
          <cell r="Y876" t="str">
            <v>n/a</v>
          </cell>
        </row>
        <row r="877">
          <cell r="M877" t="str">
            <v xml:space="preserve">Interest expense </v>
          </cell>
          <cell r="N877" t="str">
            <v>n/a</v>
          </cell>
          <cell r="Q877" t="str">
            <v>n/a</v>
          </cell>
          <cell r="R877" t="str">
            <v>Call deposists</v>
          </cell>
          <cell r="S877" t="str">
            <v>n/a</v>
          </cell>
          <cell r="Y877" t="str">
            <v>n/a</v>
          </cell>
        </row>
        <row r="878">
          <cell r="M878" t="str">
            <v xml:space="preserve">Interest expense </v>
          </cell>
          <cell r="N878" t="str">
            <v>n/a</v>
          </cell>
          <cell r="Q878" t="str">
            <v>n/a</v>
          </cell>
          <cell r="R878" t="str">
            <v>Foreign currency deposits (banks &amp; customers)</v>
          </cell>
          <cell r="S878" t="str">
            <v>n/a</v>
          </cell>
          <cell r="Y878" t="str">
            <v>n/a</v>
          </cell>
        </row>
        <row r="879">
          <cell r="M879" t="str">
            <v xml:space="preserve">Interest expense </v>
          </cell>
          <cell r="N879" t="str">
            <v>n/a</v>
          </cell>
          <cell r="Q879" t="str">
            <v>n/a</v>
          </cell>
          <cell r="R879" t="str">
            <v>NCD's</v>
          </cell>
          <cell r="S879" t="str">
            <v>n/a</v>
          </cell>
          <cell r="Y879" t="str">
            <v>n/a</v>
          </cell>
        </row>
        <row r="880">
          <cell r="M880" t="str">
            <v xml:space="preserve">Interest expense </v>
          </cell>
          <cell r="N880" t="str">
            <v>n/a</v>
          </cell>
          <cell r="Q880" t="str">
            <v>n/a</v>
          </cell>
          <cell r="R880" t="str">
            <v>Not mapped</v>
          </cell>
          <cell r="S880" t="str">
            <v>n/a</v>
          </cell>
          <cell r="Y880" t="str">
            <v>n/a</v>
          </cell>
        </row>
        <row r="881">
          <cell r="M881" t="str">
            <v>Intercompany interest expense</v>
          </cell>
          <cell r="N881" t="str">
            <v>n/a</v>
          </cell>
          <cell r="Q881" t="str">
            <v>n/a</v>
          </cell>
          <cell r="R881" t="str">
            <v>Not mapped</v>
          </cell>
          <cell r="S881" t="str">
            <v>n/a</v>
          </cell>
          <cell r="Y881" t="str">
            <v>n/a</v>
          </cell>
        </row>
        <row r="882">
          <cell r="M882" t="str">
            <v>Intercompany interest expense</v>
          </cell>
          <cell r="N882" t="str">
            <v>n/a</v>
          </cell>
          <cell r="Q882" t="str">
            <v>n/a</v>
          </cell>
          <cell r="R882" t="str">
            <v>Other group banks: Fixed deposists</v>
          </cell>
          <cell r="S882" t="str">
            <v>n/a</v>
          </cell>
          <cell r="Y882" t="str">
            <v>n/a</v>
          </cell>
        </row>
        <row r="883">
          <cell r="M883" t="str">
            <v>Intercompany interest expense</v>
          </cell>
          <cell r="N883" t="str">
            <v>n/a</v>
          </cell>
          <cell r="Q883" t="str">
            <v>n/a</v>
          </cell>
          <cell r="R883" t="str">
            <v>Not mapped</v>
          </cell>
          <cell r="S883" t="str">
            <v>n/a</v>
          </cell>
          <cell r="Y883" t="str">
            <v>n/a</v>
          </cell>
        </row>
        <row r="884">
          <cell r="M884" t="str">
            <v>Intercompany interest expense</v>
          </cell>
          <cell r="N884" t="str">
            <v>n/a</v>
          </cell>
          <cell r="Q884" t="str">
            <v>n/a</v>
          </cell>
          <cell r="R884" t="str">
            <v>IC: foreign currency deposits (Mauritius)</v>
          </cell>
          <cell r="S884" t="str">
            <v>n/a</v>
          </cell>
          <cell r="Y884" t="str">
            <v>n/a</v>
          </cell>
        </row>
        <row r="885">
          <cell r="M885" t="str">
            <v>Intercompany interest expense</v>
          </cell>
          <cell r="N885" t="str">
            <v>n/a</v>
          </cell>
          <cell r="Q885" t="str">
            <v>n/a</v>
          </cell>
          <cell r="R885" t="str">
            <v>SBSA: Vostro Account</v>
          </cell>
          <cell r="S885" t="str">
            <v>n/a</v>
          </cell>
          <cell r="Y885" t="str">
            <v>n/a</v>
          </cell>
        </row>
        <row r="886">
          <cell r="M886" t="str">
            <v>Intercompany interest expense</v>
          </cell>
          <cell r="N886" t="str">
            <v>n/a</v>
          </cell>
          <cell r="Q886" t="str">
            <v>n/a</v>
          </cell>
          <cell r="R886" t="str">
            <v>Other group banks: Call deposists</v>
          </cell>
          <cell r="S886" t="str">
            <v>n/a</v>
          </cell>
          <cell r="Y886" t="str">
            <v>n/a</v>
          </cell>
        </row>
        <row r="887">
          <cell r="M887" t="str">
            <v>Intercompany interest expense</v>
          </cell>
          <cell r="N887" t="str">
            <v>n/a</v>
          </cell>
          <cell r="Q887" t="str">
            <v>n/a</v>
          </cell>
          <cell r="R887" t="str">
            <v>Not mapped</v>
          </cell>
          <cell r="S887" t="str">
            <v>n/a</v>
          </cell>
          <cell r="Y887" t="str">
            <v>n/a</v>
          </cell>
        </row>
        <row r="888">
          <cell r="M888" t="str">
            <v>Intercompany interest expense</v>
          </cell>
          <cell r="N888" t="str">
            <v>n/a</v>
          </cell>
          <cell r="Q888" t="str">
            <v>n/a</v>
          </cell>
          <cell r="R888" t="str">
            <v>IC: foreign currency deposits (Mauritius)</v>
          </cell>
          <cell r="S888" t="str">
            <v>n/a</v>
          </cell>
          <cell r="Y888" t="str">
            <v>n/a</v>
          </cell>
        </row>
        <row r="889">
          <cell r="M889" t="str">
            <v>Intercompany interest expense</v>
          </cell>
          <cell r="N889" t="str">
            <v>n/a</v>
          </cell>
          <cell r="Q889" t="str">
            <v>n/a</v>
          </cell>
          <cell r="R889" t="str">
            <v>SBSA: Call deposits</v>
          </cell>
          <cell r="S889" t="str">
            <v>n/a</v>
          </cell>
          <cell r="Y889" t="str">
            <v>n/a</v>
          </cell>
        </row>
        <row r="890">
          <cell r="M890" t="str">
            <v>Specific impairment (non-performing loans)</v>
          </cell>
          <cell r="N890" t="str">
            <v>n/a</v>
          </cell>
          <cell r="Q890" t="str">
            <v>n/a</v>
          </cell>
          <cell r="R890" t="str">
            <v>n/a</v>
          </cell>
          <cell r="S890" t="str">
            <v>n/a</v>
          </cell>
          <cell r="Y890" t="str">
            <v>n/a</v>
          </cell>
        </row>
        <row r="891">
          <cell r="M891" t="str">
            <v>Specific impairment (non-performing loans)</v>
          </cell>
          <cell r="N891" t="str">
            <v>n/a</v>
          </cell>
          <cell r="Q891" t="str">
            <v>n/a</v>
          </cell>
          <cell r="R891" t="str">
            <v>n/a</v>
          </cell>
          <cell r="S891" t="str">
            <v>n/a</v>
          </cell>
          <cell r="Y891" t="str">
            <v>n/a</v>
          </cell>
        </row>
        <row r="892">
          <cell r="M892" t="str">
            <v>Specific impairment (non-performing loans)</v>
          </cell>
          <cell r="N892" t="str">
            <v>n/a</v>
          </cell>
          <cell r="Q892" t="str">
            <v>n/a</v>
          </cell>
          <cell r="R892" t="str">
            <v>n/a</v>
          </cell>
          <cell r="S892" t="str">
            <v>n/a</v>
          </cell>
          <cell r="Y892" t="str">
            <v>n/a</v>
          </cell>
        </row>
        <row r="893">
          <cell r="M893" t="str">
            <v>Specific impairment (non-performing loans)</v>
          </cell>
          <cell r="N893" t="str">
            <v>n/a</v>
          </cell>
          <cell r="Q893" t="str">
            <v>n/a</v>
          </cell>
          <cell r="R893" t="str">
            <v>n/a</v>
          </cell>
          <cell r="S893" t="str">
            <v>n/a</v>
          </cell>
          <cell r="Y893" t="str">
            <v>n/a</v>
          </cell>
        </row>
        <row r="894">
          <cell r="M894" t="str">
            <v>Specific impairment (non-performing loans)</v>
          </cell>
          <cell r="N894" t="str">
            <v>n/a</v>
          </cell>
          <cell r="Q894" t="str">
            <v>n/a</v>
          </cell>
          <cell r="R894" t="str">
            <v>n/a</v>
          </cell>
          <cell r="S894" t="str">
            <v>n/a</v>
          </cell>
          <cell r="Y894" t="str">
            <v>n/a</v>
          </cell>
        </row>
        <row r="895">
          <cell r="M895" t="str">
            <v>Specific impairment (non-performing loans)</v>
          </cell>
          <cell r="N895" t="str">
            <v>n/a</v>
          </cell>
          <cell r="Q895" t="str">
            <v>n/a</v>
          </cell>
          <cell r="R895" t="str">
            <v>n/a</v>
          </cell>
          <cell r="S895" t="str">
            <v>n/a</v>
          </cell>
          <cell r="Y895" t="str">
            <v>n/a</v>
          </cell>
        </row>
        <row r="896">
          <cell r="M896" t="str">
            <v>Specific impairment (non-performing loans)</v>
          </cell>
          <cell r="N896" t="str">
            <v>n/a</v>
          </cell>
          <cell r="Q896" t="str">
            <v>n/a</v>
          </cell>
          <cell r="R896" t="str">
            <v>n/a</v>
          </cell>
          <cell r="S896" t="str">
            <v>n/a</v>
          </cell>
          <cell r="Y896" t="str">
            <v>n/a</v>
          </cell>
        </row>
        <row r="897">
          <cell r="M897" t="str">
            <v>Specific impairment (non-performing loans)</v>
          </cell>
          <cell r="N897" t="str">
            <v>n/a</v>
          </cell>
          <cell r="Q897" t="str">
            <v>n/a</v>
          </cell>
          <cell r="R897" t="str">
            <v>n/a</v>
          </cell>
          <cell r="S897" t="str">
            <v>n/a</v>
          </cell>
          <cell r="Y897" t="str">
            <v>n/a</v>
          </cell>
        </row>
        <row r="898">
          <cell r="M898" t="str">
            <v>Unidentified impairment (performing loans)</v>
          </cell>
          <cell r="N898" t="str">
            <v>n/a</v>
          </cell>
          <cell r="Q898" t="str">
            <v>n/a</v>
          </cell>
          <cell r="R898" t="str">
            <v>n/a</v>
          </cell>
          <cell r="S898" t="str">
            <v>n/a</v>
          </cell>
          <cell r="Y898" t="str">
            <v>n/a</v>
          </cell>
        </row>
        <row r="899">
          <cell r="M899" t="str">
            <v>Fees and commission income</v>
          </cell>
          <cell r="N899" t="str">
            <v>Point of representation transactions</v>
          </cell>
          <cell r="Q899" t="str">
            <v>n/a</v>
          </cell>
          <cell r="R899" t="str">
            <v>n/a</v>
          </cell>
          <cell r="S899" t="str">
            <v>Plusplan</v>
          </cell>
          <cell r="Y899" t="str">
            <v>TR4</v>
          </cell>
        </row>
        <row r="900">
          <cell r="M900" t="str">
            <v>Fees and commission income</v>
          </cell>
          <cell r="N900" t="str">
            <v>Point of representation transactions</v>
          </cell>
          <cell r="Q900" t="str">
            <v>n/a</v>
          </cell>
          <cell r="R900" t="str">
            <v>n/a</v>
          </cell>
          <cell r="S900" t="str">
            <v>Current account debtors</v>
          </cell>
          <cell r="Y900" t="str">
            <v>n/a</v>
          </cell>
        </row>
        <row r="901">
          <cell r="M901" t="str">
            <v>Fees and commission income</v>
          </cell>
          <cell r="N901" t="str">
            <v>Point of representation transactions</v>
          </cell>
          <cell r="Q901" t="str">
            <v>n/a</v>
          </cell>
          <cell r="R901" t="str">
            <v>n/a</v>
          </cell>
          <cell r="S901" t="str">
            <v>Cross-product fees</v>
          </cell>
          <cell r="Y901" t="str">
            <v>n/a</v>
          </cell>
        </row>
        <row r="902">
          <cell r="M902" t="str">
            <v>Fees and commission income</v>
          </cell>
          <cell r="N902" t="str">
            <v>Point of representation transactions</v>
          </cell>
          <cell r="Q902" t="str">
            <v>n/a</v>
          </cell>
          <cell r="R902" t="str">
            <v>n/a</v>
          </cell>
          <cell r="S902" t="str">
            <v>Cross-product fees</v>
          </cell>
          <cell r="Y902" t="str">
            <v>n/a</v>
          </cell>
        </row>
        <row r="903">
          <cell r="M903" t="str">
            <v>Fees and commission income</v>
          </cell>
          <cell r="N903" t="str">
            <v>Point of representation transactions</v>
          </cell>
          <cell r="Q903" t="str">
            <v>n/a</v>
          </cell>
          <cell r="R903" t="str">
            <v>n/a</v>
          </cell>
          <cell r="S903" t="str">
            <v>Current account debtors</v>
          </cell>
          <cell r="Y903" t="str">
            <v>TR1</v>
          </cell>
        </row>
        <row r="904">
          <cell r="M904" t="str">
            <v>Fees and commission income</v>
          </cell>
          <cell r="N904" t="str">
            <v>Point of representation transactions</v>
          </cell>
          <cell r="Q904" t="str">
            <v>n/a</v>
          </cell>
          <cell r="R904" t="str">
            <v>n/a</v>
          </cell>
          <cell r="S904" t="str">
            <v>Plusplan</v>
          </cell>
          <cell r="Y904" t="str">
            <v>TR5</v>
          </cell>
        </row>
        <row r="905">
          <cell r="M905" t="str">
            <v>Fees and commission income</v>
          </cell>
          <cell r="N905" t="str">
            <v>Point of representation transactions</v>
          </cell>
          <cell r="Q905" t="str">
            <v>n/a</v>
          </cell>
          <cell r="R905" t="str">
            <v>n/a</v>
          </cell>
          <cell r="S905" t="str">
            <v>Cross-product fees</v>
          </cell>
          <cell r="Y905" t="str">
            <v>n/a</v>
          </cell>
        </row>
        <row r="906">
          <cell r="M906" t="str">
            <v>Fees and commission income</v>
          </cell>
          <cell r="N906" t="str">
            <v>Point of representation transactions</v>
          </cell>
          <cell r="Q906" t="str">
            <v>n/a</v>
          </cell>
          <cell r="R906" t="str">
            <v>n/a</v>
          </cell>
          <cell r="S906" t="str">
            <v>Plusplan</v>
          </cell>
          <cell r="Y906" t="str">
            <v>TR2</v>
          </cell>
        </row>
        <row r="907">
          <cell r="M907" t="str">
            <v>Fees and commission income</v>
          </cell>
          <cell r="N907" t="str">
            <v>Point of representation transactions</v>
          </cell>
          <cell r="Q907" t="str">
            <v>n/a</v>
          </cell>
          <cell r="R907" t="str">
            <v>n/a</v>
          </cell>
          <cell r="S907" t="str">
            <v>Cross-product fees</v>
          </cell>
          <cell r="Y907" t="str">
            <v>n/a</v>
          </cell>
        </row>
        <row r="908">
          <cell r="M908" t="str">
            <v>Fees and commission income</v>
          </cell>
          <cell r="N908" t="str">
            <v>Point of representation transactions</v>
          </cell>
          <cell r="Q908" t="str">
            <v>n/a</v>
          </cell>
          <cell r="R908" t="str">
            <v>n/a</v>
          </cell>
          <cell r="S908" t="str">
            <v>Cross-product fees</v>
          </cell>
          <cell r="Y908" t="str">
            <v>n/a</v>
          </cell>
        </row>
        <row r="909">
          <cell r="M909" t="str">
            <v>Fees and commission income</v>
          </cell>
          <cell r="N909" t="str">
            <v>Point of representation transactions</v>
          </cell>
          <cell r="Q909" t="str">
            <v>n/a</v>
          </cell>
          <cell r="R909" t="str">
            <v>n/a</v>
          </cell>
          <cell r="S909" t="str">
            <v>Cross-product fees</v>
          </cell>
          <cell r="Y909" t="str">
            <v>n/a</v>
          </cell>
        </row>
        <row r="910">
          <cell r="M910" t="str">
            <v>Fees and commission income</v>
          </cell>
          <cell r="N910" t="str">
            <v>Point of representation transactions</v>
          </cell>
          <cell r="Q910" t="str">
            <v>n/a</v>
          </cell>
          <cell r="R910" t="str">
            <v>n/a</v>
          </cell>
          <cell r="S910" t="str">
            <v>Cross-product fees</v>
          </cell>
          <cell r="Y910" t="str">
            <v>n/a</v>
          </cell>
        </row>
        <row r="911">
          <cell r="M911" t="str">
            <v>Fees and commission income</v>
          </cell>
          <cell r="N911" t="str">
            <v>Point of representation transactions</v>
          </cell>
          <cell r="Q911" t="str">
            <v>n/a</v>
          </cell>
          <cell r="R911" t="str">
            <v>n/a</v>
          </cell>
          <cell r="S911" t="str">
            <v>Cross-product fees</v>
          </cell>
          <cell r="Y911" t="str">
            <v>n/a</v>
          </cell>
        </row>
        <row r="912">
          <cell r="M912" t="str">
            <v>Fees and commission income</v>
          </cell>
          <cell r="N912" t="str">
            <v>Point of representation transactions</v>
          </cell>
          <cell r="Q912" t="str">
            <v>n/a</v>
          </cell>
          <cell r="R912" t="str">
            <v>n/a</v>
          </cell>
          <cell r="S912" t="str">
            <v>Cross-product fees</v>
          </cell>
          <cell r="Y912" t="str">
            <v>n/a</v>
          </cell>
        </row>
        <row r="913">
          <cell r="M913" t="str">
            <v>Fees and commission income</v>
          </cell>
          <cell r="N913" t="str">
            <v>Point of representation transactions</v>
          </cell>
          <cell r="Q913" t="str">
            <v>n/a</v>
          </cell>
          <cell r="R913" t="str">
            <v>n/a</v>
          </cell>
          <cell r="S913" t="str">
            <v>Current account debtors</v>
          </cell>
          <cell r="Y913" t="str">
            <v>n/a</v>
          </cell>
        </row>
        <row r="914">
          <cell r="M914" t="str">
            <v>Fees and commission income</v>
          </cell>
          <cell r="N914" t="str">
            <v>Point of representation transactions</v>
          </cell>
          <cell r="Q914" t="str">
            <v>n/a</v>
          </cell>
          <cell r="R914" t="str">
            <v>n/a</v>
          </cell>
          <cell r="S914" t="str">
            <v>Current account debtors</v>
          </cell>
          <cell r="Y914" t="str">
            <v>TR3</v>
          </cell>
        </row>
        <row r="915">
          <cell r="M915" t="str">
            <v>Fees and commission income</v>
          </cell>
          <cell r="N915" t="str">
            <v>Point of representation transactions</v>
          </cell>
          <cell r="Q915" t="str">
            <v>n/a</v>
          </cell>
          <cell r="R915" t="str">
            <v>n/a</v>
          </cell>
          <cell r="S915" t="str">
            <v>Current account debtors</v>
          </cell>
          <cell r="Y915" t="str">
            <v>n/a</v>
          </cell>
        </row>
        <row r="916">
          <cell r="M916" t="str">
            <v>Fees and commission income</v>
          </cell>
          <cell r="N916" t="str">
            <v>Point of representation transactions</v>
          </cell>
          <cell r="Q916" t="str">
            <v>n/a</v>
          </cell>
          <cell r="R916" t="str">
            <v>n/a</v>
          </cell>
          <cell r="S916" t="str">
            <v>Cross-product fees</v>
          </cell>
          <cell r="Y916" t="str">
            <v>n/a</v>
          </cell>
        </row>
        <row r="917">
          <cell r="M917" t="str">
            <v>Fees and commission income</v>
          </cell>
          <cell r="N917" t="str">
            <v>Point of representation transactions</v>
          </cell>
          <cell r="Q917" t="str">
            <v>n/a</v>
          </cell>
          <cell r="R917" t="str">
            <v>n/a</v>
          </cell>
          <cell r="S917" t="str">
            <v>Cross-product fees</v>
          </cell>
          <cell r="Y917" t="str">
            <v>n/a</v>
          </cell>
        </row>
        <row r="918">
          <cell r="M918" t="str">
            <v>Fees and commission income</v>
          </cell>
          <cell r="N918" t="str">
            <v>Point of representation transactions</v>
          </cell>
          <cell r="Q918" t="str">
            <v>n/a</v>
          </cell>
          <cell r="R918" t="str">
            <v>n/a</v>
          </cell>
          <cell r="S918" t="str">
            <v>Cross-product fees</v>
          </cell>
          <cell r="Y918" t="str">
            <v>n/a</v>
          </cell>
        </row>
        <row r="919">
          <cell r="M919" t="str">
            <v>Fees and commission income</v>
          </cell>
          <cell r="N919" t="str">
            <v>Point of representation transactions</v>
          </cell>
          <cell r="Q919" t="str">
            <v>n/a</v>
          </cell>
          <cell r="R919" t="str">
            <v>n/a</v>
          </cell>
          <cell r="S919" t="str">
            <v>Cross-product fees</v>
          </cell>
          <cell r="Y919" t="str">
            <v>n/a</v>
          </cell>
        </row>
        <row r="920">
          <cell r="M920" t="str">
            <v>Fees and commission income</v>
          </cell>
          <cell r="N920" t="str">
            <v>Point of representation transactions</v>
          </cell>
          <cell r="Q920" t="str">
            <v>n/a</v>
          </cell>
          <cell r="R920" t="str">
            <v>n/a</v>
          </cell>
          <cell r="S920" t="str">
            <v>Cross-product fees</v>
          </cell>
          <cell r="Y920" t="str">
            <v>n/a</v>
          </cell>
        </row>
        <row r="921">
          <cell r="M921" t="str">
            <v>Fees and commission income</v>
          </cell>
          <cell r="N921" t="str">
            <v>Point of representation transactions</v>
          </cell>
          <cell r="Q921" t="str">
            <v>n/a</v>
          </cell>
          <cell r="R921" t="str">
            <v>n/a</v>
          </cell>
          <cell r="S921" t="str">
            <v>Plusplan</v>
          </cell>
          <cell r="Y921" t="str">
            <v>TR6</v>
          </cell>
        </row>
        <row r="922">
          <cell r="M922" t="str">
            <v>Fees and commission income</v>
          </cell>
          <cell r="N922" t="str">
            <v>Point of representation transactions</v>
          </cell>
          <cell r="Q922" t="str">
            <v>n/a</v>
          </cell>
          <cell r="R922" t="str">
            <v>n/a</v>
          </cell>
          <cell r="S922" t="str">
            <v>Cross-product fees</v>
          </cell>
          <cell r="Y922" t="str">
            <v>n/a</v>
          </cell>
        </row>
        <row r="923">
          <cell r="M923" t="str">
            <v>Fees and commission income</v>
          </cell>
          <cell r="N923" t="str">
            <v>Point of representation transactions</v>
          </cell>
          <cell r="Q923" t="str">
            <v>n/a</v>
          </cell>
          <cell r="R923" t="str">
            <v>n/a</v>
          </cell>
          <cell r="S923" t="str">
            <v>Cross-product fees</v>
          </cell>
          <cell r="Y923" t="str">
            <v>n/a</v>
          </cell>
        </row>
        <row r="924">
          <cell r="M924" t="str">
            <v>Fees and commission income</v>
          </cell>
          <cell r="N924" t="str">
            <v>Point of representation transactions</v>
          </cell>
          <cell r="Q924" t="str">
            <v>n/a</v>
          </cell>
          <cell r="R924" t="str">
            <v>n/a</v>
          </cell>
          <cell r="S924" t="str">
            <v>Cross-product fees</v>
          </cell>
          <cell r="Y924" t="str">
            <v>n/a</v>
          </cell>
        </row>
        <row r="925">
          <cell r="M925" t="str">
            <v>Fees and commission income</v>
          </cell>
          <cell r="N925" t="str">
            <v>Documentation &amp; administration fees</v>
          </cell>
          <cell r="Q925" t="str">
            <v>n/a</v>
          </cell>
          <cell r="R925" t="str">
            <v>n/a</v>
          </cell>
          <cell r="S925" t="str">
            <v>Mortgage advances</v>
          </cell>
          <cell r="Y925" t="str">
            <v>n/a</v>
          </cell>
        </row>
        <row r="926">
          <cell r="M926" t="str">
            <v>Fees and commission income</v>
          </cell>
          <cell r="N926" t="str">
            <v>Documentation &amp; administration fees</v>
          </cell>
          <cell r="Q926" t="str">
            <v>n/a</v>
          </cell>
          <cell r="R926" t="str">
            <v>n/a</v>
          </cell>
          <cell r="S926" t="str">
            <v>VAF</v>
          </cell>
          <cell r="Y926" t="str">
            <v>n/a</v>
          </cell>
        </row>
        <row r="927">
          <cell r="M927" t="str">
            <v>Fees and commission income</v>
          </cell>
          <cell r="N927" t="str">
            <v>Documentation &amp; administration fees</v>
          </cell>
          <cell r="Q927" t="str">
            <v>n/a</v>
          </cell>
          <cell r="R927" t="str">
            <v>n/a</v>
          </cell>
          <cell r="S927" t="str">
            <v>Revolving credit plan</v>
          </cell>
          <cell r="Y927" t="str">
            <v>n/a</v>
          </cell>
        </row>
        <row r="928">
          <cell r="M928" t="str">
            <v>Fees and commission income</v>
          </cell>
          <cell r="N928" t="str">
            <v>Electronic banking transaction fees</v>
          </cell>
          <cell r="Q928" t="str">
            <v>n/a</v>
          </cell>
          <cell r="R928" t="str">
            <v>n/a</v>
          </cell>
          <cell r="S928" t="str">
            <v>Cross-product fees</v>
          </cell>
          <cell r="Y928" t="str">
            <v>Multi/Saswitch</v>
          </cell>
        </row>
        <row r="929">
          <cell r="M929" t="str">
            <v>Fees and commission income</v>
          </cell>
          <cell r="N929" t="str">
            <v>Electronic banking transaction fees</v>
          </cell>
          <cell r="Q929" t="str">
            <v>n/a</v>
          </cell>
          <cell r="R929" t="str">
            <v>n/a</v>
          </cell>
          <cell r="S929" t="str">
            <v>Cross-product fees</v>
          </cell>
          <cell r="Y929" t="str">
            <v>Consol Pay</v>
          </cell>
        </row>
        <row r="930">
          <cell r="M930" t="str">
            <v>Fees and commission income</v>
          </cell>
          <cell r="N930" t="str">
            <v>Electronic banking transaction fees</v>
          </cell>
          <cell r="Q930" t="str">
            <v>n/a</v>
          </cell>
          <cell r="R930" t="str">
            <v>n/a</v>
          </cell>
          <cell r="S930" t="str">
            <v>Cross-product fees</v>
          </cell>
          <cell r="Y930" t="str">
            <v>Internet</v>
          </cell>
        </row>
        <row r="931">
          <cell r="M931" t="str">
            <v>Fees and commission income</v>
          </cell>
          <cell r="N931" t="str">
            <v>Electronic banking transaction fees</v>
          </cell>
          <cell r="Q931" t="str">
            <v>n/a</v>
          </cell>
          <cell r="R931" t="str">
            <v>n/a</v>
          </cell>
          <cell r="S931" t="str">
            <v>Cross-product fees</v>
          </cell>
          <cell r="Y931" t="str">
            <v>Multi/Saswitch</v>
          </cell>
        </row>
        <row r="932">
          <cell r="M932" t="str">
            <v>Fees and commission income</v>
          </cell>
          <cell r="N932" t="str">
            <v>Electronic banking transaction fees</v>
          </cell>
          <cell r="Q932" t="str">
            <v>n/a</v>
          </cell>
          <cell r="R932" t="str">
            <v>n/a</v>
          </cell>
          <cell r="S932" t="str">
            <v>Cross-product fees</v>
          </cell>
          <cell r="Y932" t="str">
            <v>Rec/Unr Sasw</v>
          </cell>
        </row>
        <row r="933">
          <cell r="M933" t="str">
            <v>Fees and commission income</v>
          </cell>
          <cell r="N933" t="str">
            <v>Electronic banking transaction fees</v>
          </cell>
          <cell r="Q933" t="str">
            <v>n/a</v>
          </cell>
          <cell r="R933" t="str">
            <v>n/a</v>
          </cell>
          <cell r="S933" t="str">
            <v>Cross-product fees</v>
          </cell>
          <cell r="Y933" t="str">
            <v>UnrChrg-Mult</v>
          </cell>
        </row>
        <row r="934">
          <cell r="M934" t="str">
            <v>Fees and commission income</v>
          </cell>
          <cell r="N934" t="str">
            <v>Electronic banking transaction fees</v>
          </cell>
          <cell r="Q934" t="str">
            <v>n/a</v>
          </cell>
          <cell r="R934" t="str">
            <v>n/a</v>
          </cell>
          <cell r="S934" t="str">
            <v>Current account debtors</v>
          </cell>
          <cell r="Y934" t="str">
            <v>CATS Mnth Rent</v>
          </cell>
        </row>
        <row r="935">
          <cell r="M935" t="str">
            <v>Fees and commission income</v>
          </cell>
          <cell r="N935" t="str">
            <v>Card based commission</v>
          </cell>
          <cell r="Q935" t="str">
            <v>n/a</v>
          </cell>
          <cell r="R935" t="str">
            <v>n/a</v>
          </cell>
          <cell r="S935" t="str">
            <v>Cross-product fees</v>
          </cell>
          <cell r="Y935" t="str">
            <v>n/a</v>
          </cell>
        </row>
        <row r="936">
          <cell r="M936" t="str">
            <v>Fees and commission income</v>
          </cell>
          <cell r="N936" t="str">
            <v>Card based commission</v>
          </cell>
          <cell r="Q936" t="str">
            <v>n/a</v>
          </cell>
          <cell r="R936" t="str">
            <v>n/a</v>
          </cell>
          <cell r="S936" t="str">
            <v>Cross-product fees</v>
          </cell>
          <cell r="Y936" t="str">
            <v>n/a</v>
          </cell>
        </row>
        <row r="937">
          <cell r="M937" t="str">
            <v>Fees and commission income</v>
          </cell>
          <cell r="N937" t="str">
            <v>Card based commission</v>
          </cell>
          <cell r="Q937" t="str">
            <v>n/a</v>
          </cell>
          <cell r="R937" t="str">
            <v>n/a</v>
          </cell>
          <cell r="S937" t="str">
            <v>Cross-product fees</v>
          </cell>
          <cell r="Y937" t="str">
            <v>n/a</v>
          </cell>
        </row>
        <row r="938">
          <cell r="M938" t="str">
            <v>Fees and commission income</v>
          </cell>
          <cell r="N938" t="str">
            <v>Card based commission</v>
          </cell>
          <cell r="Q938" t="str">
            <v>n/a</v>
          </cell>
          <cell r="R938" t="str">
            <v>n/a</v>
          </cell>
          <cell r="S938" t="str">
            <v>Cross-product fees</v>
          </cell>
          <cell r="Y938" t="str">
            <v>n/a</v>
          </cell>
        </row>
        <row r="939">
          <cell r="M939" t="str">
            <v>Fees and commission income</v>
          </cell>
          <cell r="N939" t="str">
            <v>Card based commission</v>
          </cell>
          <cell r="Q939" t="str">
            <v>n/a</v>
          </cell>
          <cell r="R939" t="str">
            <v>n/a</v>
          </cell>
          <cell r="S939" t="str">
            <v>Cross-product fees</v>
          </cell>
          <cell r="Y939" t="str">
            <v>n/a</v>
          </cell>
        </row>
        <row r="940">
          <cell r="M940" t="str">
            <v>Fees and commission income</v>
          </cell>
          <cell r="N940" t="str">
            <v>Penalty based fees</v>
          </cell>
          <cell r="Q940" t="str">
            <v>n/a</v>
          </cell>
          <cell r="R940" t="str">
            <v>n/a</v>
          </cell>
          <cell r="S940" t="str">
            <v>Current account debtors</v>
          </cell>
          <cell r="Y940" t="str">
            <v>n/a</v>
          </cell>
        </row>
        <row r="941">
          <cell r="M941" t="str">
            <v>Fees and commission income</v>
          </cell>
          <cell r="N941" t="str">
            <v>Penalty based fees</v>
          </cell>
          <cell r="Q941" t="str">
            <v>n/a</v>
          </cell>
          <cell r="R941" t="str">
            <v>n/a</v>
          </cell>
          <cell r="S941" t="str">
            <v>Current account debtors</v>
          </cell>
          <cell r="Y941" t="str">
            <v>n/a</v>
          </cell>
        </row>
        <row r="942">
          <cell r="M942" t="str">
            <v>Fees and commission income</v>
          </cell>
          <cell r="N942" t="str">
            <v>Foreign service fees</v>
          </cell>
          <cell r="Q942" t="str">
            <v>n/a</v>
          </cell>
          <cell r="R942" t="str">
            <v>n/a</v>
          </cell>
          <cell r="S942" t="str">
            <v>Cross-product fees</v>
          </cell>
          <cell r="Y942" t="str">
            <v>n/a</v>
          </cell>
        </row>
        <row r="943">
          <cell r="M943" t="str">
            <v>Fees and commission income</v>
          </cell>
          <cell r="N943" t="str">
            <v>Foreign service fees</v>
          </cell>
          <cell r="Q943" t="str">
            <v>n/a</v>
          </cell>
          <cell r="R943" t="str">
            <v>n/a</v>
          </cell>
          <cell r="S943" t="str">
            <v>Cross-product fees</v>
          </cell>
          <cell r="Y943" t="str">
            <v>n/a</v>
          </cell>
        </row>
        <row r="944">
          <cell r="M944" t="str">
            <v>Fees and commission income</v>
          </cell>
          <cell r="N944" t="str">
            <v>Foreign service fees</v>
          </cell>
          <cell r="Q944" t="str">
            <v>n/a</v>
          </cell>
          <cell r="R944" t="str">
            <v>n/a</v>
          </cell>
          <cell r="S944" t="str">
            <v>Cross-product fees</v>
          </cell>
          <cell r="Y944" t="str">
            <v>n/a</v>
          </cell>
        </row>
        <row r="945">
          <cell r="M945" t="str">
            <v>Fees and commission income</v>
          </cell>
          <cell r="N945" t="str">
            <v>Foreign service fees</v>
          </cell>
          <cell r="Q945" t="str">
            <v>n/a</v>
          </cell>
          <cell r="R945" t="str">
            <v>n/a</v>
          </cell>
          <cell r="S945" t="str">
            <v>Cross-product fees</v>
          </cell>
          <cell r="Y945" t="str">
            <v>n/a</v>
          </cell>
        </row>
        <row r="946">
          <cell r="M946" t="str">
            <v>Fees and commission income</v>
          </cell>
          <cell r="N946" t="str">
            <v>Foreign service fees</v>
          </cell>
          <cell r="Q946" t="str">
            <v>n/a</v>
          </cell>
          <cell r="R946" t="str">
            <v>n/a</v>
          </cell>
          <cell r="S946" t="str">
            <v>Cross-product fees</v>
          </cell>
          <cell r="Y946" t="str">
            <v>n/a</v>
          </cell>
        </row>
        <row r="947">
          <cell r="M947" t="str">
            <v>Fees and commission income</v>
          </cell>
          <cell r="N947" t="str">
            <v>Foreign service fees</v>
          </cell>
          <cell r="Q947" t="str">
            <v>n/a</v>
          </cell>
          <cell r="R947" t="str">
            <v>n/a</v>
          </cell>
          <cell r="S947" t="str">
            <v>Cross-product fees</v>
          </cell>
          <cell r="Y947" t="str">
            <v>n/a</v>
          </cell>
        </row>
        <row r="948">
          <cell r="M948" t="str">
            <v>Fees and commission income</v>
          </cell>
          <cell r="N948" t="str">
            <v>Foreign service fees</v>
          </cell>
          <cell r="Q948" t="str">
            <v>n/a</v>
          </cell>
          <cell r="R948" t="str">
            <v>n/a</v>
          </cell>
          <cell r="S948" t="str">
            <v>Cross-product fees</v>
          </cell>
          <cell r="Y948" t="str">
            <v>n/a</v>
          </cell>
        </row>
        <row r="949">
          <cell r="M949" t="str">
            <v>Fees and commission income</v>
          </cell>
          <cell r="N949" t="str">
            <v>Foreign service fees</v>
          </cell>
          <cell r="Q949" t="str">
            <v>n/a</v>
          </cell>
          <cell r="R949" t="str">
            <v>n/a</v>
          </cell>
          <cell r="S949" t="str">
            <v>Cross-product fees</v>
          </cell>
          <cell r="Y949" t="str">
            <v>n/a</v>
          </cell>
        </row>
        <row r="950">
          <cell r="M950" t="str">
            <v>Fees and commission income</v>
          </cell>
          <cell r="N950" t="str">
            <v>Foreign service fees</v>
          </cell>
          <cell r="Q950" t="str">
            <v>n/a</v>
          </cell>
          <cell r="R950" t="str">
            <v>n/a</v>
          </cell>
          <cell r="S950" t="str">
            <v>Cross-product fees</v>
          </cell>
          <cell r="Y950" t="str">
            <v>n/a</v>
          </cell>
        </row>
        <row r="951">
          <cell r="M951" t="str">
            <v>Fees and commission income</v>
          </cell>
          <cell r="N951" t="str">
            <v>Foreign service fees</v>
          </cell>
          <cell r="Q951" t="str">
            <v>n/a</v>
          </cell>
          <cell r="R951" t="str">
            <v>n/a</v>
          </cell>
          <cell r="S951" t="str">
            <v>Cross-product fees</v>
          </cell>
          <cell r="Y951" t="str">
            <v>n/a</v>
          </cell>
        </row>
        <row r="952">
          <cell r="M952" t="str">
            <v>Fees and commission income</v>
          </cell>
          <cell r="N952" t="str">
            <v>Foreign service fees</v>
          </cell>
          <cell r="Q952" t="str">
            <v>n/a</v>
          </cell>
          <cell r="R952" t="str">
            <v>n/a</v>
          </cell>
          <cell r="S952" t="str">
            <v>Cross-product fees</v>
          </cell>
          <cell r="Y952" t="str">
            <v>n/a</v>
          </cell>
        </row>
        <row r="953">
          <cell r="M953" t="str">
            <v>Fees and commission income</v>
          </cell>
          <cell r="N953" t="str">
            <v>Other bank related fees &amp; commission</v>
          </cell>
          <cell r="Q953" t="str">
            <v>n/a</v>
          </cell>
          <cell r="R953" t="str">
            <v>n/a</v>
          </cell>
          <cell r="S953" t="str">
            <v>Cross-product fees</v>
          </cell>
          <cell r="Y953" t="str">
            <v>n/a</v>
          </cell>
        </row>
        <row r="954">
          <cell r="M954" t="str">
            <v>Fees and commission income</v>
          </cell>
          <cell r="N954" t="str">
            <v>Other bank related fees &amp; commission</v>
          </cell>
          <cell r="Q954" t="str">
            <v>n/a</v>
          </cell>
          <cell r="R954" t="str">
            <v>n/a</v>
          </cell>
          <cell r="S954" t="str">
            <v>Cross-product fees</v>
          </cell>
          <cell r="Y954" t="str">
            <v>Commit fees</v>
          </cell>
        </row>
        <row r="955">
          <cell r="M955" t="str">
            <v>Fees and commission income</v>
          </cell>
          <cell r="N955" t="str">
            <v>Other bank related fees &amp; commission</v>
          </cell>
          <cell r="Q955" t="str">
            <v>n/a</v>
          </cell>
          <cell r="R955" t="str">
            <v>n/a</v>
          </cell>
          <cell r="S955" t="str">
            <v>Cross-product fees</v>
          </cell>
          <cell r="Y955" t="str">
            <v>Agency fees</v>
          </cell>
        </row>
        <row r="956">
          <cell r="M956" t="str">
            <v>Fees and commission income</v>
          </cell>
          <cell r="N956" t="str">
            <v>Other bank related fees &amp; commission</v>
          </cell>
          <cell r="Q956" t="str">
            <v>n/a</v>
          </cell>
          <cell r="R956" t="str">
            <v>n/a</v>
          </cell>
          <cell r="S956" t="str">
            <v>Cross-product fees</v>
          </cell>
          <cell r="Y956" t="str">
            <v>Executors</v>
          </cell>
        </row>
        <row r="957">
          <cell r="M957" t="str">
            <v>Fees and commission income</v>
          </cell>
          <cell r="N957" t="str">
            <v>Other bank related fees &amp; commission</v>
          </cell>
          <cell r="Q957" t="str">
            <v>n/a</v>
          </cell>
          <cell r="R957" t="str">
            <v>n/a</v>
          </cell>
          <cell r="S957" t="str">
            <v>Cross-product fees</v>
          </cell>
          <cell r="Y957" t="str">
            <v>Rpts on party</v>
          </cell>
        </row>
        <row r="958">
          <cell r="M958" t="str">
            <v>Fees and commission income</v>
          </cell>
          <cell r="N958" t="str">
            <v>Other bank related fees &amp; commission</v>
          </cell>
          <cell r="Q958" t="str">
            <v>n/a</v>
          </cell>
          <cell r="R958" t="str">
            <v>n/a</v>
          </cell>
          <cell r="S958" t="str">
            <v>Cross-product fees</v>
          </cell>
          <cell r="Y958" t="str">
            <v>Safe custody</v>
          </cell>
        </row>
        <row r="959">
          <cell r="M959" t="str">
            <v>Fees and commission income</v>
          </cell>
          <cell r="N959" t="str">
            <v>Other bank related fees &amp; commission</v>
          </cell>
          <cell r="Q959" t="str">
            <v>n/a</v>
          </cell>
          <cell r="R959" t="str">
            <v>n/a</v>
          </cell>
          <cell r="S959" t="str">
            <v>Cross-product fees</v>
          </cell>
          <cell r="Y959" t="str">
            <v>Unclaimed balances</v>
          </cell>
        </row>
        <row r="960">
          <cell r="M960" t="str">
            <v>Fees and commission income</v>
          </cell>
          <cell r="N960" t="str">
            <v>Other bank related fees &amp; commission</v>
          </cell>
          <cell r="Q960" t="str">
            <v>n/a</v>
          </cell>
          <cell r="R960" t="str">
            <v>n/a</v>
          </cell>
          <cell r="S960" t="str">
            <v>Cross-product fees</v>
          </cell>
          <cell r="Y960" t="str">
            <v>Guarantees</v>
          </cell>
        </row>
        <row r="961">
          <cell r="M961" t="str">
            <v>Fees and commission income</v>
          </cell>
          <cell r="N961" t="str">
            <v>Other bank related fees &amp; commission</v>
          </cell>
          <cell r="Q961" t="str">
            <v>n/a</v>
          </cell>
          <cell r="R961" t="str">
            <v>n/a</v>
          </cell>
          <cell r="S961" t="str">
            <v>Cross-product fees</v>
          </cell>
          <cell r="Y961" t="str">
            <v>Stocks&amp;shares</v>
          </cell>
        </row>
        <row r="962">
          <cell r="M962" t="str">
            <v>Fees and commission income</v>
          </cell>
          <cell r="N962" t="str">
            <v>Other bank related fees &amp; commission</v>
          </cell>
          <cell r="Q962" t="str">
            <v>n/a</v>
          </cell>
          <cell r="R962" t="str">
            <v>n/a</v>
          </cell>
          <cell r="S962" t="str">
            <v>Cross-product fees</v>
          </cell>
          <cell r="Y962" t="str">
            <v>Trustees</v>
          </cell>
        </row>
        <row r="963">
          <cell r="M963" t="str">
            <v>Fees and commission income</v>
          </cell>
          <cell r="N963" t="str">
            <v>Other bank related fees &amp; commission</v>
          </cell>
          <cell r="Q963" t="str">
            <v>n/a</v>
          </cell>
          <cell r="R963" t="str">
            <v>n/a</v>
          </cell>
          <cell r="S963" t="str">
            <v>Cross-product fees</v>
          </cell>
          <cell r="Y963" t="str">
            <v>Tfex</v>
          </cell>
        </row>
        <row r="964">
          <cell r="M964" t="str">
            <v>Fees and commission income</v>
          </cell>
          <cell r="N964" t="str">
            <v>Card based commission</v>
          </cell>
          <cell r="Q964" t="str">
            <v>n/a</v>
          </cell>
          <cell r="R964" t="str">
            <v>n/a</v>
          </cell>
          <cell r="S964" t="str">
            <v>Cross-product fees</v>
          </cell>
          <cell r="Y964" t="str">
            <v>SBSA fleet</v>
          </cell>
        </row>
        <row r="965">
          <cell r="M965" t="str">
            <v>Fees and commission income</v>
          </cell>
          <cell r="N965" t="str">
            <v>Other bank related fees &amp; commission</v>
          </cell>
          <cell r="Q965" t="str">
            <v>n/a</v>
          </cell>
          <cell r="R965" t="str">
            <v>n/a</v>
          </cell>
          <cell r="S965" t="str">
            <v>Cross-product fees</v>
          </cell>
          <cell r="Y965" t="str">
            <v>n/a</v>
          </cell>
        </row>
        <row r="966">
          <cell r="M966" t="str">
            <v>Fees and commission income</v>
          </cell>
          <cell r="N966" t="str">
            <v>Insurance  fees &amp; commission</v>
          </cell>
          <cell r="Q966" t="str">
            <v>n/a</v>
          </cell>
          <cell r="R966" t="str">
            <v>n/a</v>
          </cell>
          <cell r="S966" t="str">
            <v>Cross-product fees</v>
          </cell>
          <cell r="Y966" t="str">
            <v>n/a</v>
          </cell>
        </row>
        <row r="967">
          <cell r="M967" t="str">
            <v>Trading income</v>
          </cell>
          <cell r="N967" t="str">
            <v>Forex trading income</v>
          </cell>
          <cell r="Q967" t="str">
            <v>n/a</v>
          </cell>
          <cell r="R967" t="str">
            <v>n/a</v>
          </cell>
          <cell r="S967" t="str">
            <v>n/a</v>
          </cell>
          <cell r="Y967" t="str">
            <v>n/a</v>
          </cell>
        </row>
        <row r="968">
          <cell r="M968" t="str">
            <v>Trading income</v>
          </cell>
          <cell r="N968" t="str">
            <v>Trading P&amp;L Treasury Bills</v>
          </cell>
          <cell r="Q968" t="str">
            <v>n/a</v>
          </cell>
          <cell r="R968" t="str">
            <v>n/a</v>
          </cell>
          <cell r="S968" t="str">
            <v>n/a</v>
          </cell>
          <cell r="Y968" t="str">
            <v>n/a</v>
          </cell>
        </row>
        <row r="969">
          <cell r="M969" t="str">
            <v>Trading income</v>
          </cell>
          <cell r="N969" t="str">
            <v>Trading income other (MTM)</v>
          </cell>
          <cell r="Q969" t="str">
            <v>n/a</v>
          </cell>
          <cell r="R969" t="str">
            <v>n/a</v>
          </cell>
          <cell r="S969" t="str">
            <v>n/a</v>
          </cell>
          <cell r="Y969" t="str">
            <v>n/a</v>
          </cell>
        </row>
        <row r="970">
          <cell r="M970" t="str">
            <v>Other income</v>
          </cell>
          <cell r="N970" t="str">
            <v>Revenue Unit Trust/Stanlib</v>
          </cell>
          <cell r="Q970" t="str">
            <v>n/a</v>
          </cell>
          <cell r="R970" t="str">
            <v>n/a</v>
          </cell>
          <cell r="S970" t="str">
            <v>n/a</v>
          </cell>
          <cell r="Y970" t="str">
            <v>n/a</v>
          </cell>
        </row>
        <row r="971">
          <cell r="M971" t="str">
            <v>Other income</v>
          </cell>
          <cell r="N971" t="str">
            <v>Revenue Unit Trust/Stanlib</v>
          </cell>
          <cell r="Q971" t="str">
            <v>n/a</v>
          </cell>
          <cell r="R971" t="str">
            <v>n/a</v>
          </cell>
          <cell r="S971" t="str">
            <v>n/a</v>
          </cell>
          <cell r="Y971" t="str">
            <v>n/a</v>
          </cell>
        </row>
        <row r="972">
          <cell r="M972" t="str">
            <v>Other income</v>
          </cell>
          <cell r="N972" t="str">
            <v>Sundry income</v>
          </cell>
          <cell r="Q972" t="str">
            <v>n/a</v>
          </cell>
          <cell r="R972" t="str">
            <v>n/a</v>
          </cell>
          <cell r="S972" t="str">
            <v>n/a</v>
          </cell>
          <cell r="Y972" t="str">
            <v>n/a</v>
          </cell>
        </row>
        <row r="973">
          <cell r="M973" t="str">
            <v>Other income</v>
          </cell>
          <cell r="N973" t="str">
            <v>Revenue Unit Trust/Stanlib</v>
          </cell>
          <cell r="Q973" t="str">
            <v>n/a</v>
          </cell>
          <cell r="R973" t="str">
            <v>n/a</v>
          </cell>
          <cell r="S973" t="str">
            <v>n/a</v>
          </cell>
          <cell r="Y973" t="str">
            <v>n/a</v>
          </cell>
        </row>
        <row r="974">
          <cell r="M974" t="str">
            <v>Other income</v>
          </cell>
          <cell r="N974" t="str">
            <v>Revenue Unit Trust/Stanlib</v>
          </cell>
          <cell r="Q974" t="str">
            <v>n/a</v>
          </cell>
          <cell r="R974" t="str">
            <v>n/a</v>
          </cell>
          <cell r="S974" t="str">
            <v>n/a</v>
          </cell>
          <cell r="Y974" t="str">
            <v>n/a</v>
          </cell>
        </row>
        <row r="975">
          <cell r="M975" t="str">
            <v>Other income</v>
          </cell>
          <cell r="N975" t="str">
            <v>Rents received other</v>
          </cell>
          <cell r="Q975" t="str">
            <v>n/a</v>
          </cell>
          <cell r="R975" t="str">
            <v>n/a</v>
          </cell>
          <cell r="S975" t="str">
            <v>n/a</v>
          </cell>
          <cell r="Y975" t="str">
            <v>n/a</v>
          </cell>
        </row>
        <row r="976">
          <cell r="M976" t="str">
            <v>Other income</v>
          </cell>
          <cell r="N976" t="str">
            <v>Revenue Unit Trust/Stanlib</v>
          </cell>
          <cell r="Q976" t="str">
            <v>n/a</v>
          </cell>
          <cell r="R976" t="str">
            <v>n/a</v>
          </cell>
          <cell r="S976" t="str">
            <v>n/a</v>
          </cell>
          <cell r="Y976" t="str">
            <v>n/a</v>
          </cell>
        </row>
        <row r="977">
          <cell r="M977" t="str">
            <v>Other income</v>
          </cell>
          <cell r="N977" t="str">
            <v>Sundry income</v>
          </cell>
          <cell r="Q977" t="str">
            <v>n/a</v>
          </cell>
          <cell r="R977" t="str">
            <v>n/a</v>
          </cell>
          <cell r="S977" t="str">
            <v>n/a</v>
          </cell>
          <cell r="Y977" t="str">
            <v>n/a</v>
          </cell>
        </row>
        <row r="978">
          <cell r="M978" t="str">
            <v>Other income</v>
          </cell>
          <cell r="N978" t="str">
            <v>Sundry income</v>
          </cell>
          <cell r="Q978" t="str">
            <v>n/a</v>
          </cell>
          <cell r="R978" t="str">
            <v>n/a</v>
          </cell>
          <cell r="S978" t="str">
            <v>n/a</v>
          </cell>
          <cell r="Y978" t="str">
            <v>n/a</v>
          </cell>
        </row>
        <row r="979">
          <cell r="M979" t="str">
            <v>Other income</v>
          </cell>
          <cell r="N979" t="str">
            <v>Sundry income</v>
          </cell>
          <cell r="Q979" t="str">
            <v>n/a</v>
          </cell>
          <cell r="R979" t="str">
            <v>n/a</v>
          </cell>
          <cell r="S979" t="str">
            <v>n/a</v>
          </cell>
          <cell r="Y979" t="str">
            <v>n/a</v>
          </cell>
        </row>
        <row r="980">
          <cell r="M980" t="str">
            <v>Other income</v>
          </cell>
          <cell r="N980" t="str">
            <v>Revenue Unit Trust/Stanlib</v>
          </cell>
          <cell r="Q980" t="str">
            <v>n/a</v>
          </cell>
          <cell r="R980" t="str">
            <v>n/a</v>
          </cell>
          <cell r="S980" t="str">
            <v>n/a</v>
          </cell>
          <cell r="Y980" t="str">
            <v>n/a</v>
          </cell>
        </row>
        <row r="981">
          <cell r="M981" t="str">
            <v>Other income</v>
          </cell>
          <cell r="N981" t="str">
            <v>Revenue Unit Trust/Stanlib</v>
          </cell>
          <cell r="Q981" t="str">
            <v>n/a</v>
          </cell>
          <cell r="R981" t="str">
            <v>n/a</v>
          </cell>
          <cell r="S981" t="str">
            <v>n/a</v>
          </cell>
          <cell r="Y981" t="str">
            <v>n/a</v>
          </cell>
        </row>
        <row r="982">
          <cell r="M982" t="str">
            <v>Other income</v>
          </cell>
          <cell r="N982" t="str">
            <v>Sundry income</v>
          </cell>
          <cell r="Q982" t="str">
            <v>n/a</v>
          </cell>
          <cell r="R982" t="str">
            <v>n/a</v>
          </cell>
          <cell r="S982" t="str">
            <v>n/a</v>
          </cell>
          <cell r="Y982" t="str">
            <v>n/a</v>
          </cell>
        </row>
        <row r="983">
          <cell r="M983" t="str">
            <v>Fees and commission income</v>
          </cell>
          <cell r="N983" t="str">
            <v>Documentation &amp; administration fees</v>
          </cell>
          <cell r="Q983" t="str">
            <v>n/a</v>
          </cell>
          <cell r="R983" t="str">
            <v>n/a</v>
          </cell>
          <cell r="S983" t="str">
            <v>n/a</v>
          </cell>
          <cell r="Y983" t="str">
            <v>n/a</v>
          </cell>
        </row>
        <row r="984">
          <cell r="M984" t="str">
            <v>Other income</v>
          </cell>
          <cell r="N984" t="str">
            <v>Sundry income</v>
          </cell>
          <cell r="Q984" t="str">
            <v>n/a</v>
          </cell>
          <cell r="R984" t="str">
            <v>n/a</v>
          </cell>
          <cell r="S984" t="str">
            <v>n/a</v>
          </cell>
          <cell r="Y984" t="str">
            <v>n/a</v>
          </cell>
        </row>
        <row r="985">
          <cell r="M985" t="str">
            <v>Other income</v>
          </cell>
          <cell r="N985" t="str">
            <v>Revenue Unit Trust/Stanlib</v>
          </cell>
          <cell r="Q985" t="str">
            <v>n/a</v>
          </cell>
          <cell r="R985" t="str">
            <v>n/a</v>
          </cell>
          <cell r="S985" t="str">
            <v>n/a</v>
          </cell>
          <cell r="Y985" t="str">
            <v>n/a</v>
          </cell>
        </row>
        <row r="986">
          <cell r="M986" t="str">
            <v>Other income</v>
          </cell>
          <cell r="N986" t="str">
            <v>Sundry income</v>
          </cell>
          <cell r="Q986" t="str">
            <v>n/a</v>
          </cell>
          <cell r="R986" t="str">
            <v>n/a</v>
          </cell>
          <cell r="S986" t="str">
            <v>n/a</v>
          </cell>
          <cell r="Y986" t="str">
            <v>n/a</v>
          </cell>
        </row>
        <row r="987">
          <cell r="M987" t="str">
            <v>Other income</v>
          </cell>
          <cell r="N987" t="str">
            <v>Sundry income</v>
          </cell>
          <cell r="Q987" t="str">
            <v>n/a</v>
          </cell>
          <cell r="R987" t="str">
            <v>n/a</v>
          </cell>
          <cell r="S987" t="str">
            <v>n/a</v>
          </cell>
          <cell r="Y987" t="str">
            <v>n/a</v>
          </cell>
        </row>
        <row r="988">
          <cell r="M988" t="str">
            <v>Other income</v>
          </cell>
          <cell r="N988" t="str">
            <v>Sundry income</v>
          </cell>
          <cell r="Q988" t="str">
            <v>n/a</v>
          </cell>
          <cell r="R988" t="str">
            <v>n/a</v>
          </cell>
          <cell r="S988" t="str">
            <v>n/a</v>
          </cell>
          <cell r="Y988" t="str">
            <v>n/a</v>
          </cell>
        </row>
        <row r="989">
          <cell r="M989" t="str">
            <v>Other income</v>
          </cell>
          <cell r="N989" t="str">
            <v>Revenue Unit Trust/Stanlib</v>
          </cell>
          <cell r="Q989" t="str">
            <v>n/a</v>
          </cell>
          <cell r="R989" t="str">
            <v>n/a</v>
          </cell>
          <cell r="S989" t="str">
            <v>n/a</v>
          </cell>
          <cell r="Y989" t="str">
            <v>n/a</v>
          </cell>
        </row>
        <row r="990">
          <cell r="M990" t="str">
            <v>Other income</v>
          </cell>
          <cell r="N990" t="str">
            <v>Revenue Unit Trust/Stanlib</v>
          </cell>
          <cell r="Q990" t="str">
            <v>n/a</v>
          </cell>
          <cell r="R990" t="str">
            <v>n/a</v>
          </cell>
          <cell r="S990" t="str">
            <v>n/a</v>
          </cell>
          <cell r="Y990" t="str">
            <v>n/a</v>
          </cell>
        </row>
        <row r="991">
          <cell r="M991" t="str">
            <v>Other income</v>
          </cell>
          <cell r="N991" t="str">
            <v>Revenue Unit Trust/Stanlib</v>
          </cell>
          <cell r="Q991" t="str">
            <v>n/a</v>
          </cell>
          <cell r="R991" t="str">
            <v>n/a</v>
          </cell>
          <cell r="S991" t="str">
            <v>n/a</v>
          </cell>
          <cell r="Y991" t="str">
            <v>n/a</v>
          </cell>
        </row>
        <row r="992">
          <cell r="M992" t="str">
            <v>Other income</v>
          </cell>
          <cell r="N992" t="str">
            <v>Sundry income</v>
          </cell>
          <cell r="Q992" t="str">
            <v>n/a</v>
          </cell>
          <cell r="R992" t="str">
            <v>n/a</v>
          </cell>
          <cell r="S992" t="str">
            <v>n/a</v>
          </cell>
          <cell r="Y992" t="str">
            <v>n/a</v>
          </cell>
        </row>
        <row r="993">
          <cell r="M993" t="str">
            <v>Other income</v>
          </cell>
          <cell r="N993" t="str">
            <v>Sundry income</v>
          </cell>
          <cell r="Q993" t="str">
            <v>n/a</v>
          </cell>
          <cell r="R993" t="str">
            <v>n/a</v>
          </cell>
          <cell r="S993" t="str">
            <v>n/a</v>
          </cell>
          <cell r="Y993" t="str">
            <v>n/a</v>
          </cell>
        </row>
        <row r="994">
          <cell r="M994" t="str">
            <v>Employee compensation and benefits</v>
          </cell>
          <cell r="N994" t="str">
            <v>Salaries: Bankmed Contributions</v>
          </cell>
          <cell r="Q994" t="str">
            <v>n/a</v>
          </cell>
          <cell r="R994" t="str">
            <v>n/a</v>
          </cell>
          <cell r="S994" t="str">
            <v>n/a</v>
          </cell>
          <cell r="Y994" t="str">
            <v>n/a</v>
          </cell>
        </row>
        <row r="995">
          <cell r="M995" t="str">
            <v>Employee compensation and benefits</v>
          </cell>
          <cell r="N995" t="str">
            <v>Salaries: Basic Pensionable</v>
          </cell>
          <cell r="Q995" t="str">
            <v>n/a</v>
          </cell>
          <cell r="R995" t="str">
            <v>n/a</v>
          </cell>
          <cell r="S995" t="str">
            <v>n/a</v>
          </cell>
          <cell r="Y995" t="str">
            <v>n/a</v>
          </cell>
        </row>
        <row r="996">
          <cell r="M996" t="str">
            <v>Employee compensation and benefits</v>
          </cell>
          <cell r="N996" t="str">
            <v>Salaries: Basic Non-Pensionable</v>
          </cell>
          <cell r="Q996" t="str">
            <v>n/a</v>
          </cell>
          <cell r="R996" t="str">
            <v>n/a</v>
          </cell>
          <cell r="S996" t="str">
            <v>n/a</v>
          </cell>
          <cell r="Y996" t="str">
            <v>n/a</v>
          </cell>
        </row>
        <row r="997">
          <cell r="M997" t="str">
            <v>Employee compensation and benefits</v>
          </cell>
          <cell r="N997" t="str">
            <v>Salaries: Car Allowance</v>
          </cell>
          <cell r="Q997" t="str">
            <v>n/a</v>
          </cell>
          <cell r="R997" t="str">
            <v>n/a</v>
          </cell>
          <cell r="S997" t="str">
            <v>n/a</v>
          </cell>
          <cell r="Y997" t="str">
            <v>n/a</v>
          </cell>
        </row>
        <row r="998">
          <cell r="M998" t="str">
            <v>Employee compensation and benefits</v>
          </cell>
          <cell r="N998" t="str">
            <v>Salaries: December Allowance Pensionable</v>
          </cell>
          <cell r="Q998" t="str">
            <v>n/a</v>
          </cell>
          <cell r="R998" t="str">
            <v>n/a</v>
          </cell>
          <cell r="S998" t="str">
            <v>n/a</v>
          </cell>
          <cell r="Y998" t="str">
            <v>n/a</v>
          </cell>
        </row>
        <row r="999">
          <cell r="M999" t="str">
            <v>Employee compensation and benefits</v>
          </cell>
          <cell r="N999" t="str">
            <v>Salaries: December Allowance Pensionable</v>
          </cell>
          <cell r="Q999" t="str">
            <v>n/a</v>
          </cell>
          <cell r="R999" t="str">
            <v>n/a</v>
          </cell>
          <cell r="S999" t="str">
            <v>n/a</v>
          </cell>
          <cell r="Y999" t="str">
            <v>n/a</v>
          </cell>
        </row>
        <row r="1000">
          <cell r="M1000" t="str">
            <v>Employee compensation and benefits</v>
          </cell>
          <cell r="N1000" t="str">
            <v>Salaries: Pension Fund Contribution</v>
          </cell>
          <cell r="Q1000" t="str">
            <v>n/a</v>
          </cell>
          <cell r="R1000" t="str">
            <v>n/a</v>
          </cell>
          <cell r="S1000" t="str">
            <v>n/a</v>
          </cell>
          <cell r="Y1000" t="str">
            <v>n/a</v>
          </cell>
        </row>
        <row r="1001">
          <cell r="M1001" t="str">
            <v>Employee compensation and benefits</v>
          </cell>
          <cell r="N1001" t="str">
            <v>Salaries: Seconded Staff</v>
          </cell>
          <cell r="Q1001" t="str">
            <v>n/a</v>
          </cell>
          <cell r="R1001" t="str">
            <v>n/a</v>
          </cell>
          <cell r="S1001" t="str">
            <v>n/a</v>
          </cell>
          <cell r="Y1001" t="str">
            <v>n/a</v>
          </cell>
        </row>
        <row r="1002">
          <cell r="M1002" t="str">
            <v>Employee compensation and benefits</v>
          </cell>
          <cell r="N1002" t="str">
            <v>Motor Vehicle Expenses: Fringe Benefits</v>
          </cell>
          <cell r="Q1002" t="str">
            <v>n/a</v>
          </cell>
          <cell r="R1002" t="str">
            <v>n/a</v>
          </cell>
          <cell r="S1002" t="str">
            <v>n/a</v>
          </cell>
          <cell r="Y1002" t="str">
            <v>n/a</v>
          </cell>
        </row>
        <row r="1003">
          <cell r="M1003" t="str">
            <v>Employee compensation and benefits</v>
          </cell>
          <cell r="N1003" t="str">
            <v>Payments to Pensioners &amp; Annuitants</v>
          </cell>
          <cell r="Q1003" t="str">
            <v>n/a</v>
          </cell>
          <cell r="R1003" t="str">
            <v>n/a</v>
          </cell>
          <cell r="S1003" t="str">
            <v>n/a</v>
          </cell>
          <cell r="Y1003" t="str">
            <v>n/a</v>
          </cell>
        </row>
        <row r="1004">
          <cell r="M1004" t="str">
            <v>Employee compensation and benefits</v>
          </cell>
          <cell r="N1004" t="str">
            <v>Salaries: Flex Housing</v>
          </cell>
          <cell r="Q1004" t="str">
            <v>n/a</v>
          </cell>
          <cell r="R1004" t="str">
            <v>n/a</v>
          </cell>
          <cell r="S1004" t="str">
            <v>n/a</v>
          </cell>
          <cell r="Y1004" t="str">
            <v>n/a</v>
          </cell>
        </row>
        <row r="1005">
          <cell r="M1005" t="str">
            <v>Employee compensation and benefits</v>
          </cell>
          <cell r="N1005" t="str">
            <v>Salaries: Flex Medical</v>
          </cell>
          <cell r="Q1005" t="str">
            <v>n/a</v>
          </cell>
          <cell r="R1005" t="str">
            <v>n/a</v>
          </cell>
          <cell r="S1005" t="str">
            <v>n/a</v>
          </cell>
          <cell r="Y1005" t="str">
            <v>n/a</v>
          </cell>
        </row>
        <row r="1006">
          <cell r="M1006" t="str">
            <v>Employee compensation and benefits</v>
          </cell>
          <cell r="N1006" t="str">
            <v>Salaries: Maternity Allowance</v>
          </cell>
          <cell r="Q1006" t="str">
            <v>n/a</v>
          </cell>
          <cell r="R1006" t="str">
            <v>n/a</v>
          </cell>
          <cell r="S1006" t="str">
            <v>n/a</v>
          </cell>
          <cell r="Y1006" t="str">
            <v>n/a</v>
          </cell>
        </row>
        <row r="1007">
          <cell r="M1007" t="str">
            <v>Employee compensation and benefits</v>
          </cell>
          <cell r="N1007" t="str">
            <v>Salaries: Overtime</v>
          </cell>
          <cell r="Q1007" t="str">
            <v>n/a</v>
          </cell>
          <cell r="R1007" t="str">
            <v>n/a</v>
          </cell>
          <cell r="S1007" t="str">
            <v>n/a</v>
          </cell>
          <cell r="Y1007" t="str">
            <v>n/a</v>
          </cell>
        </row>
        <row r="1008">
          <cell r="M1008" t="str">
            <v>Employee compensation and benefits</v>
          </cell>
          <cell r="N1008" t="str">
            <v>Salaries: Pension Fund Contribution</v>
          </cell>
          <cell r="Q1008" t="str">
            <v>n/a</v>
          </cell>
          <cell r="R1008" t="str">
            <v>n/a</v>
          </cell>
          <cell r="S1008" t="str">
            <v>n/a</v>
          </cell>
          <cell r="Y1008" t="str">
            <v>n/a</v>
          </cell>
        </row>
        <row r="1009">
          <cell r="M1009" t="str">
            <v>Employee compensation and benefits</v>
          </cell>
          <cell r="N1009" t="str">
            <v>Salaries: Saturday Pay</v>
          </cell>
          <cell r="Q1009" t="str">
            <v>n/a</v>
          </cell>
          <cell r="R1009" t="str">
            <v>n/a</v>
          </cell>
          <cell r="S1009" t="str">
            <v>n/a</v>
          </cell>
          <cell r="Y1009" t="str">
            <v>n/a</v>
          </cell>
        </row>
        <row r="1010">
          <cell r="M1010" t="str">
            <v>Employee compensation and benefits</v>
          </cell>
          <cell r="N1010" t="str">
            <v>Salaries: Statutory Contributions</v>
          </cell>
          <cell r="Q1010" t="str">
            <v>n/a</v>
          </cell>
          <cell r="R1010" t="str">
            <v>n/a</v>
          </cell>
          <cell r="S1010" t="str">
            <v>n/a</v>
          </cell>
          <cell r="Y1010" t="str">
            <v>n/a</v>
          </cell>
        </row>
        <row r="1011">
          <cell r="M1011" t="str">
            <v>Employee compensation and benefits</v>
          </cell>
          <cell r="N1011" t="str">
            <v>Salaries: Sundry Allowances &amp; Payments</v>
          </cell>
          <cell r="Q1011" t="str">
            <v>n/a</v>
          </cell>
          <cell r="R1011" t="str">
            <v>n/a</v>
          </cell>
          <cell r="S1011" t="str">
            <v>n/a</v>
          </cell>
          <cell r="Y1011" t="str">
            <v>n/a</v>
          </cell>
        </row>
        <row r="1012">
          <cell r="M1012" t="str">
            <v>Employee compensation and benefits</v>
          </cell>
          <cell r="N1012" t="str">
            <v>Salaries: Temporary Staff</v>
          </cell>
          <cell r="Q1012" t="str">
            <v>n/a</v>
          </cell>
          <cell r="R1012" t="str">
            <v>n/a</v>
          </cell>
          <cell r="S1012" t="str">
            <v>n/a</v>
          </cell>
          <cell r="Y1012" t="str">
            <v>n/a</v>
          </cell>
        </row>
        <row r="1013">
          <cell r="M1013" t="str">
            <v>Employee compensation and benefits</v>
          </cell>
          <cell r="N1013" t="str">
            <v>Salaries: Leave Pay</v>
          </cell>
          <cell r="Q1013" t="str">
            <v>n/a</v>
          </cell>
          <cell r="R1013" t="str">
            <v>n/a</v>
          </cell>
          <cell r="S1013" t="str">
            <v>n/a</v>
          </cell>
          <cell r="Y1013" t="str">
            <v>n/a</v>
          </cell>
        </row>
        <row r="1014">
          <cell r="M1014" t="str">
            <v>Employee compensation and benefits</v>
          </cell>
          <cell r="N1014" t="str">
            <v>Performance Bonuses</v>
          </cell>
          <cell r="Q1014" t="str">
            <v>n/a</v>
          </cell>
          <cell r="R1014" t="str">
            <v>n/a</v>
          </cell>
          <cell r="S1014" t="str">
            <v>n/a</v>
          </cell>
          <cell r="Y1014" t="str">
            <v>n/a</v>
          </cell>
        </row>
        <row r="1015">
          <cell r="M1015" t="str">
            <v>Employee compensation and benefits</v>
          </cell>
          <cell r="N1015" t="str">
            <v>Cost of Relief Staff</v>
          </cell>
          <cell r="Q1015" t="str">
            <v>n/a</v>
          </cell>
          <cell r="R1015" t="str">
            <v>n/a</v>
          </cell>
          <cell r="S1015" t="str">
            <v>n/a</v>
          </cell>
          <cell r="Y1015" t="str">
            <v>n/a</v>
          </cell>
        </row>
        <row r="1016">
          <cell r="M1016" t="str">
            <v>Employee compensation and benefits</v>
          </cell>
          <cell r="N1016" t="str">
            <v>Insurance GPA Premiums</v>
          </cell>
          <cell r="Q1016" t="str">
            <v>n/a</v>
          </cell>
          <cell r="R1016" t="str">
            <v>n/a</v>
          </cell>
          <cell r="S1016" t="str">
            <v>n/a</v>
          </cell>
          <cell r="Y1016" t="str">
            <v>n/a</v>
          </cell>
        </row>
        <row r="1017">
          <cell r="M1017" t="str">
            <v>Employee compensation and benefits</v>
          </cell>
          <cell r="N1017" t="str">
            <v>Insurance GPA Premiums</v>
          </cell>
          <cell r="Q1017" t="str">
            <v>n/a</v>
          </cell>
          <cell r="R1017" t="str">
            <v>n/a</v>
          </cell>
          <cell r="S1017" t="str">
            <v>n/a</v>
          </cell>
          <cell r="Y1017" t="str">
            <v>n/a</v>
          </cell>
        </row>
        <row r="1018">
          <cell r="M1018" t="str">
            <v>Employee compensation and benefits</v>
          </cell>
          <cell r="N1018" t="str">
            <v>Staff Expenses Sundries</v>
          </cell>
          <cell r="Q1018" t="str">
            <v>n/a</v>
          </cell>
          <cell r="R1018" t="str">
            <v>n/a</v>
          </cell>
          <cell r="S1018" t="str">
            <v>n/a</v>
          </cell>
          <cell r="Y1018" t="str">
            <v>n/a</v>
          </cell>
        </row>
        <row r="1019">
          <cell r="M1019" t="str">
            <v>Employee compensation and benefits</v>
          </cell>
          <cell r="N1019" t="str">
            <v>Staff Procurement Costs</v>
          </cell>
          <cell r="Q1019" t="str">
            <v>n/a</v>
          </cell>
          <cell r="R1019" t="str">
            <v>n/a</v>
          </cell>
          <cell r="S1019" t="str">
            <v>n/a</v>
          </cell>
          <cell r="Y1019" t="str">
            <v>n/a</v>
          </cell>
        </row>
        <row r="1020">
          <cell r="M1020" t="str">
            <v>Employee compensation and benefits</v>
          </cell>
          <cell r="N1020" t="str">
            <v>Parking</v>
          </cell>
          <cell r="Q1020" t="str">
            <v>n/a</v>
          </cell>
          <cell r="R1020" t="str">
            <v>n/a</v>
          </cell>
          <cell r="S1020" t="str">
            <v>n/a</v>
          </cell>
          <cell r="Y1020" t="str">
            <v>n/a</v>
          </cell>
        </row>
        <row r="1021">
          <cell r="M1021" t="str">
            <v>Employee compensation and benefits</v>
          </cell>
          <cell r="N1021" t="str">
            <v>Officer Moving Expenses: Other</v>
          </cell>
          <cell r="Q1021" t="str">
            <v>n/a</v>
          </cell>
          <cell r="R1021" t="str">
            <v>n/a</v>
          </cell>
          <cell r="S1021" t="str">
            <v>n/a</v>
          </cell>
          <cell r="Y1021" t="str">
            <v>n/a</v>
          </cell>
        </row>
        <row r="1022">
          <cell r="M1022" t="str">
            <v>Employee compensation and benefits</v>
          </cell>
          <cell r="N1022" t="str">
            <v>Officer Moving Expenses: Other</v>
          </cell>
          <cell r="Q1022" t="str">
            <v>n/a</v>
          </cell>
          <cell r="R1022" t="str">
            <v>n/a</v>
          </cell>
          <cell r="S1022" t="str">
            <v>n/a</v>
          </cell>
          <cell r="Y1022" t="str">
            <v>n/a</v>
          </cell>
        </row>
        <row r="1023">
          <cell r="M1023" t="str">
            <v>Employee compensation and benefits</v>
          </cell>
          <cell r="N1023" t="str">
            <v>Uniforms</v>
          </cell>
          <cell r="Q1023" t="str">
            <v>n/a</v>
          </cell>
          <cell r="R1023" t="str">
            <v>n/a</v>
          </cell>
          <cell r="S1023" t="str">
            <v>n/a</v>
          </cell>
          <cell r="Y1023" t="str">
            <v>n/a</v>
          </cell>
        </row>
        <row r="1024">
          <cell r="M1024" t="str">
            <v>Employee compensation and benefits</v>
          </cell>
          <cell r="N1024" t="str">
            <v>Relief Supplied</v>
          </cell>
          <cell r="Q1024" t="str">
            <v>n/a</v>
          </cell>
          <cell r="R1024" t="str">
            <v>n/a</v>
          </cell>
          <cell r="S1024" t="str">
            <v>n/a</v>
          </cell>
          <cell r="Y1024" t="str">
            <v>n/a</v>
          </cell>
        </row>
        <row r="1025">
          <cell r="M1025" t="str">
            <v>Other operating expenses</v>
          </cell>
          <cell r="N1025" t="str">
            <v>Information technology</v>
          </cell>
          <cell r="Q1025" t="str">
            <v>n/a</v>
          </cell>
          <cell r="R1025" t="str">
            <v>n/a</v>
          </cell>
          <cell r="S1025" t="str">
            <v>n/a</v>
          </cell>
          <cell r="Y1025" t="str">
            <v>n/a</v>
          </cell>
        </row>
        <row r="1026">
          <cell r="M1026" t="str">
            <v>Other operating expenses</v>
          </cell>
          <cell r="N1026" t="str">
            <v>Information technology</v>
          </cell>
          <cell r="Q1026" t="str">
            <v>n/a</v>
          </cell>
          <cell r="R1026" t="str">
            <v>n/a</v>
          </cell>
          <cell r="S1026" t="str">
            <v>n/a</v>
          </cell>
          <cell r="Y1026" t="str">
            <v>n/a</v>
          </cell>
        </row>
        <row r="1027">
          <cell r="M1027" t="str">
            <v>Other operating expenses</v>
          </cell>
          <cell r="N1027" t="str">
            <v>Information technology</v>
          </cell>
          <cell r="Q1027" t="str">
            <v>n/a</v>
          </cell>
          <cell r="R1027" t="str">
            <v>n/a</v>
          </cell>
          <cell r="S1027" t="str">
            <v>n/a</v>
          </cell>
          <cell r="Y1027" t="str">
            <v>n/a</v>
          </cell>
        </row>
        <row r="1028">
          <cell r="M1028" t="str">
            <v>Other operating expenses</v>
          </cell>
          <cell r="N1028" t="str">
            <v>Information technology</v>
          </cell>
          <cell r="Q1028" t="str">
            <v>n/a</v>
          </cell>
          <cell r="R1028" t="str">
            <v>n/a</v>
          </cell>
          <cell r="S1028" t="str">
            <v>n/a</v>
          </cell>
          <cell r="Y1028" t="str">
            <v>n/a</v>
          </cell>
        </row>
        <row r="1029">
          <cell r="M1029" t="str">
            <v>Other operating expenses</v>
          </cell>
          <cell r="N1029" t="str">
            <v>Information technology</v>
          </cell>
          <cell r="Q1029" t="str">
            <v>n/a</v>
          </cell>
          <cell r="R1029" t="str">
            <v>n/a</v>
          </cell>
          <cell r="S1029" t="str">
            <v>n/a</v>
          </cell>
          <cell r="Y1029" t="str">
            <v>n/a</v>
          </cell>
        </row>
        <row r="1030">
          <cell r="M1030" t="str">
            <v>Other operating expenses</v>
          </cell>
          <cell r="N1030" t="str">
            <v>Information technology</v>
          </cell>
          <cell r="Q1030" t="str">
            <v>n/a</v>
          </cell>
          <cell r="R1030" t="str">
            <v>n/a</v>
          </cell>
          <cell r="S1030" t="str">
            <v>n/a</v>
          </cell>
          <cell r="Y1030" t="str">
            <v>n/a</v>
          </cell>
        </row>
        <row r="1031">
          <cell r="M1031" t="str">
            <v>Other operating expenses</v>
          </cell>
          <cell r="N1031" t="str">
            <v>Information technology</v>
          </cell>
          <cell r="Q1031" t="str">
            <v>n/a</v>
          </cell>
          <cell r="R1031" t="str">
            <v>n/a</v>
          </cell>
          <cell r="S1031" t="str">
            <v>n/a</v>
          </cell>
          <cell r="Y1031" t="str">
            <v>n/a</v>
          </cell>
        </row>
        <row r="1032">
          <cell r="M1032" t="str">
            <v>Other operating expenses</v>
          </cell>
          <cell r="N1032" t="str">
            <v>Depreciation</v>
          </cell>
          <cell r="Q1032" t="str">
            <v>n/a</v>
          </cell>
          <cell r="R1032" t="str">
            <v>n/a</v>
          </cell>
          <cell r="S1032" t="str">
            <v>n/a</v>
          </cell>
          <cell r="Y1032" t="str">
            <v>n/a</v>
          </cell>
        </row>
        <row r="1033">
          <cell r="M1033" t="str">
            <v>Other operating expenses</v>
          </cell>
          <cell r="N1033" t="str">
            <v>Depreciation</v>
          </cell>
          <cell r="Q1033" t="str">
            <v>n/a</v>
          </cell>
          <cell r="R1033" t="str">
            <v>n/a</v>
          </cell>
          <cell r="S1033" t="str">
            <v>n/a</v>
          </cell>
          <cell r="Y1033" t="str">
            <v>n/a</v>
          </cell>
        </row>
        <row r="1034">
          <cell r="M1034" t="str">
            <v>Other operating expenses</v>
          </cell>
          <cell r="N1034" t="str">
            <v>Depreciation</v>
          </cell>
          <cell r="Q1034" t="str">
            <v>n/a</v>
          </cell>
          <cell r="R1034" t="str">
            <v>n/a</v>
          </cell>
          <cell r="S1034" t="str">
            <v>n/a</v>
          </cell>
          <cell r="Y1034" t="str">
            <v>n/a</v>
          </cell>
        </row>
        <row r="1035">
          <cell r="M1035" t="str">
            <v>Other operating expenses</v>
          </cell>
          <cell r="N1035" t="str">
            <v>Depreciation</v>
          </cell>
          <cell r="Q1035" t="str">
            <v>n/a</v>
          </cell>
          <cell r="R1035" t="str">
            <v>n/a</v>
          </cell>
          <cell r="S1035" t="str">
            <v>n/a</v>
          </cell>
          <cell r="Y1035" t="str">
            <v>n/a</v>
          </cell>
        </row>
        <row r="1036">
          <cell r="M1036" t="str">
            <v>Other operating expenses</v>
          </cell>
          <cell r="N1036" t="str">
            <v>Depreciation</v>
          </cell>
          <cell r="Q1036" t="str">
            <v>n/a</v>
          </cell>
          <cell r="R1036" t="str">
            <v>n/a</v>
          </cell>
          <cell r="S1036" t="str">
            <v>n/a</v>
          </cell>
          <cell r="Y1036" t="str">
            <v>n/a</v>
          </cell>
        </row>
        <row r="1037">
          <cell r="M1037" t="str">
            <v>Other operating expenses</v>
          </cell>
          <cell r="N1037" t="str">
            <v>Depreciation</v>
          </cell>
          <cell r="Q1037" t="str">
            <v>n/a</v>
          </cell>
          <cell r="R1037" t="str">
            <v>n/a</v>
          </cell>
          <cell r="S1037" t="str">
            <v>n/a</v>
          </cell>
          <cell r="Y1037" t="str">
            <v>n/a</v>
          </cell>
        </row>
        <row r="1038">
          <cell r="M1038" t="str">
            <v>Other operating expenses</v>
          </cell>
          <cell r="N1038" t="str">
            <v>Depreciation</v>
          </cell>
          <cell r="Q1038" t="str">
            <v>n/a</v>
          </cell>
          <cell r="R1038" t="str">
            <v>n/a</v>
          </cell>
          <cell r="S1038" t="str">
            <v>n/a</v>
          </cell>
          <cell r="Y1038" t="str">
            <v>n/a</v>
          </cell>
        </row>
        <row r="1039">
          <cell r="M1039" t="str">
            <v>Other operating expenses</v>
          </cell>
          <cell r="N1039" t="str">
            <v>Depreciation</v>
          </cell>
          <cell r="Q1039" t="str">
            <v>n/a</v>
          </cell>
          <cell r="R1039" t="str">
            <v>n/a</v>
          </cell>
          <cell r="S1039" t="str">
            <v>n/a</v>
          </cell>
          <cell r="Y1039" t="str">
            <v>n/a</v>
          </cell>
        </row>
        <row r="1040">
          <cell r="M1040" t="str">
            <v>Other operating expenses</v>
          </cell>
          <cell r="N1040" t="str">
            <v>Depreciation</v>
          </cell>
          <cell r="Q1040" t="str">
            <v>n/a</v>
          </cell>
          <cell r="R1040" t="str">
            <v>n/a</v>
          </cell>
          <cell r="S1040" t="str">
            <v>n/a</v>
          </cell>
          <cell r="Y1040" t="str">
            <v>n/a</v>
          </cell>
        </row>
        <row r="1041">
          <cell r="M1041" t="str">
            <v>Other operating expenses</v>
          </cell>
          <cell r="N1041" t="str">
            <v>Depreciation</v>
          </cell>
          <cell r="Q1041" t="str">
            <v>n/a</v>
          </cell>
          <cell r="R1041" t="str">
            <v>n/a</v>
          </cell>
          <cell r="S1041" t="str">
            <v>n/a</v>
          </cell>
          <cell r="Y1041" t="str">
            <v>n/a</v>
          </cell>
        </row>
        <row r="1042">
          <cell r="M1042" t="str">
            <v>Other operating expenses</v>
          </cell>
          <cell r="N1042" t="str">
            <v>Depreciation</v>
          </cell>
          <cell r="Q1042" t="str">
            <v>n/a</v>
          </cell>
          <cell r="R1042" t="str">
            <v>n/a</v>
          </cell>
          <cell r="S1042" t="str">
            <v>n/a</v>
          </cell>
          <cell r="Y1042" t="str">
            <v>n/a</v>
          </cell>
        </row>
        <row r="1043">
          <cell r="M1043" t="str">
            <v>Other operating expenses</v>
          </cell>
          <cell r="N1043" t="str">
            <v>Depreciation</v>
          </cell>
          <cell r="Q1043" t="str">
            <v>n/a</v>
          </cell>
          <cell r="R1043" t="str">
            <v>n/a</v>
          </cell>
          <cell r="S1043" t="str">
            <v>n/a</v>
          </cell>
          <cell r="Y1043" t="str">
            <v>n/a</v>
          </cell>
        </row>
        <row r="1044">
          <cell r="M1044" t="str">
            <v>Other operating expenses</v>
          </cell>
          <cell r="N1044" t="str">
            <v>Depreciation</v>
          </cell>
          <cell r="Q1044" t="str">
            <v>n/a</v>
          </cell>
          <cell r="R1044" t="str">
            <v>n/a</v>
          </cell>
          <cell r="S1044" t="str">
            <v>n/a</v>
          </cell>
          <cell r="Y1044" t="str">
            <v>n/a</v>
          </cell>
        </row>
        <row r="1045">
          <cell r="M1045" t="str">
            <v>Other operating expenses</v>
          </cell>
          <cell r="N1045" t="str">
            <v>Depreciation</v>
          </cell>
          <cell r="Q1045" t="str">
            <v>n/a</v>
          </cell>
          <cell r="R1045" t="str">
            <v>n/a</v>
          </cell>
          <cell r="S1045" t="str">
            <v>n/a</v>
          </cell>
          <cell r="Y1045" t="str">
            <v>n/a</v>
          </cell>
        </row>
        <row r="1046">
          <cell r="M1046" t="str">
            <v>Other operating expenses</v>
          </cell>
          <cell r="N1046" t="str">
            <v>Depreciation</v>
          </cell>
          <cell r="Q1046" t="str">
            <v>n/a</v>
          </cell>
          <cell r="R1046" t="str">
            <v>n/a</v>
          </cell>
          <cell r="S1046" t="str">
            <v>n/a</v>
          </cell>
          <cell r="Y1046" t="str">
            <v>n/a</v>
          </cell>
        </row>
        <row r="1047">
          <cell r="M1047" t="str">
            <v>Other operating expenses</v>
          </cell>
          <cell r="N1047" t="str">
            <v>Depreciation</v>
          </cell>
          <cell r="Q1047" t="str">
            <v>n/a</v>
          </cell>
          <cell r="R1047" t="str">
            <v>n/a</v>
          </cell>
          <cell r="S1047" t="str">
            <v>n/a</v>
          </cell>
          <cell r="Y1047" t="str">
            <v>441050</v>
          </cell>
        </row>
        <row r="1048">
          <cell r="M1048" t="str">
            <v>Other operating expenses</v>
          </cell>
          <cell r="N1048" t="str">
            <v>Depreciation</v>
          </cell>
          <cell r="Q1048" t="str">
            <v>n/a</v>
          </cell>
          <cell r="R1048" t="str">
            <v>n/a</v>
          </cell>
          <cell r="S1048" t="str">
            <v>n/a</v>
          </cell>
          <cell r="Y1048" t="str">
            <v>n/a</v>
          </cell>
        </row>
        <row r="1049">
          <cell r="M1049" t="str">
            <v>Other operating expenses</v>
          </cell>
          <cell r="N1049" t="str">
            <v>Depreciation</v>
          </cell>
          <cell r="Q1049" t="str">
            <v>n/a</v>
          </cell>
          <cell r="R1049" t="str">
            <v>n/a</v>
          </cell>
          <cell r="S1049" t="str">
            <v>n/a</v>
          </cell>
          <cell r="Y1049" t="str">
            <v>441060</v>
          </cell>
        </row>
        <row r="1050">
          <cell r="M1050" t="str">
            <v>Other operating expenses</v>
          </cell>
          <cell r="N1050" t="str">
            <v>Depreciation</v>
          </cell>
          <cell r="Q1050" t="str">
            <v>n/a</v>
          </cell>
          <cell r="R1050" t="str">
            <v>n/a</v>
          </cell>
          <cell r="S1050" t="str">
            <v>n/a</v>
          </cell>
          <cell r="Y1050" t="str">
            <v>n/a</v>
          </cell>
        </row>
        <row r="1051">
          <cell r="M1051" t="str">
            <v>Other operating expenses</v>
          </cell>
          <cell r="N1051" t="str">
            <v>Depreciation</v>
          </cell>
          <cell r="Q1051" t="str">
            <v>n/a</v>
          </cell>
          <cell r="R1051" t="str">
            <v>n/a</v>
          </cell>
          <cell r="S1051" t="str">
            <v>n/a</v>
          </cell>
          <cell r="Y1051" t="str">
            <v>n/a</v>
          </cell>
        </row>
        <row r="1052">
          <cell r="M1052" t="str">
            <v>Other operating expenses</v>
          </cell>
          <cell r="N1052" t="str">
            <v>Depreciation</v>
          </cell>
          <cell r="Q1052" t="str">
            <v>n/a</v>
          </cell>
          <cell r="R1052" t="str">
            <v>n/a</v>
          </cell>
          <cell r="S1052" t="str">
            <v>n/a</v>
          </cell>
          <cell r="Y1052" t="str">
            <v>n/a</v>
          </cell>
        </row>
        <row r="1053">
          <cell r="M1053" t="str">
            <v>Other operating expenses</v>
          </cell>
          <cell r="N1053" t="str">
            <v>Depreciation</v>
          </cell>
          <cell r="Q1053" t="str">
            <v>n/a</v>
          </cell>
          <cell r="R1053" t="str">
            <v>n/a</v>
          </cell>
          <cell r="S1053" t="str">
            <v>n/a</v>
          </cell>
          <cell r="Y1053" t="str">
            <v>n/a</v>
          </cell>
        </row>
        <row r="1054">
          <cell r="M1054" t="str">
            <v>Other operating expenses</v>
          </cell>
          <cell r="N1054" t="str">
            <v>Depreciation</v>
          </cell>
          <cell r="Q1054" t="str">
            <v>n/a</v>
          </cell>
          <cell r="R1054" t="str">
            <v>n/a</v>
          </cell>
          <cell r="S1054" t="str">
            <v>n/a</v>
          </cell>
          <cell r="Y1054" t="str">
            <v>n/a</v>
          </cell>
        </row>
        <row r="1055">
          <cell r="M1055" t="str">
            <v>Other operating expenses</v>
          </cell>
          <cell r="N1055" t="str">
            <v>Communication expenses</v>
          </cell>
          <cell r="Q1055" t="str">
            <v>n/a</v>
          </cell>
          <cell r="R1055" t="str">
            <v>n/a</v>
          </cell>
          <cell r="S1055" t="str">
            <v>n/a</v>
          </cell>
          <cell r="Y1055" t="str">
            <v>n/a</v>
          </cell>
        </row>
        <row r="1056">
          <cell r="M1056" t="str">
            <v>Other operating expenses</v>
          </cell>
          <cell r="N1056" t="str">
            <v>Communication expenses</v>
          </cell>
          <cell r="Q1056" t="str">
            <v>n/a</v>
          </cell>
          <cell r="R1056" t="str">
            <v>n/a</v>
          </cell>
          <cell r="S1056" t="str">
            <v>n/a</v>
          </cell>
          <cell r="Y1056" t="str">
            <v>n/a</v>
          </cell>
        </row>
        <row r="1057">
          <cell r="M1057" t="str">
            <v>Other operating expenses</v>
          </cell>
          <cell r="N1057" t="str">
            <v>Communication expenses</v>
          </cell>
          <cell r="Q1057" t="str">
            <v>n/a</v>
          </cell>
          <cell r="R1057" t="str">
            <v>n/a</v>
          </cell>
          <cell r="S1057" t="str">
            <v>n/a</v>
          </cell>
          <cell r="Y1057" t="str">
            <v>n/a</v>
          </cell>
        </row>
        <row r="1058">
          <cell r="M1058" t="str">
            <v>Other operating expenses</v>
          </cell>
          <cell r="N1058" t="str">
            <v>Communication expenses</v>
          </cell>
          <cell r="Q1058" t="str">
            <v>n/a</v>
          </cell>
          <cell r="R1058" t="str">
            <v>n/a</v>
          </cell>
          <cell r="S1058" t="str">
            <v>n/a</v>
          </cell>
          <cell r="Y1058" t="str">
            <v>n/a</v>
          </cell>
        </row>
        <row r="1059">
          <cell r="M1059" t="str">
            <v>Other operating expenses</v>
          </cell>
          <cell r="N1059" t="str">
            <v>Communication expenses</v>
          </cell>
          <cell r="Q1059" t="str">
            <v>n/a</v>
          </cell>
          <cell r="R1059" t="str">
            <v>n/a</v>
          </cell>
          <cell r="S1059" t="str">
            <v>n/a</v>
          </cell>
          <cell r="Y1059" t="str">
            <v>n/a</v>
          </cell>
        </row>
        <row r="1060">
          <cell r="M1060" t="str">
            <v>Other operating expenses</v>
          </cell>
          <cell r="N1060" t="str">
            <v>Communication expenses</v>
          </cell>
          <cell r="Q1060" t="str">
            <v>n/a</v>
          </cell>
          <cell r="R1060" t="str">
            <v>n/a</v>
          </cell>
          <cell r="S1060" t="str">
            <v>n/a</v>
          </cell>
          <cell r="Y1060" t="str">
            <v>n/a</v>
          </cell>
        </row>
        <row r="1061">
          <cell r="M1061" t="str">
            <v>Other operating expenses</v>
          </cell>
          <cell r="N1061" t="str">
            <v>Communication expenses</v>
          </cell>
          <cell r="Q1061" t="str">
            <v>n/a</v>
          </cell>
          <cell r="R1061" t="str">
            <v>n/a</v>
          </cell>
          <cell r="S1061" t="str">
            <v>n/a</v>
          </cell>
          <cell r="Y1061" t="str">
            <v>n/a</v>
          </cell>
        </row>
        <row r="1062">
          <cell r="M1062" t="str">
            <v>Other operating expenses</v>
          </cell>
          <cell r="N1062" t="str">
            <v>Travel &amp; entertainment</v>
          </cell>
          <cell r="Q1062" t="str">
            <v>n/a</v>
          </cell>
          <cell r="R1062" t="str">
            <v>n/a</v>
          </cell>
          <cell r="S1062" t="str">
            <v>n/a</v>
          </cell>
          <cell r="Y1062" t="str">
            <v>n/a</v>
          </cell>
        </row>
        <row r="1063">
          <cell r="M1063" t="str">
            <v>Other operating expenses</v>
          </cell>
          <cell r="N1063" t="str">
            <v>Travel &amp; entertainment</v>
          </cell>
          <cell r="Q1063" t="str">
            <v>n/a</v>
          </cell>
          <cell r="R1063" t="str">
            <v>n/a</v>
          </cell>
          <cell r="S1063" t="str">
            <v>n/a</v>
          </cell>
          <cell r="Y1063" t="str">
            <v>n/a</v>
          </cell>
        </row>
        <row r="1064">
          <cell r="M1064" t="str">
            <v>Other operating expenses</v>
          </cell>
          <cell r="N1064" t="str">
            <v>Travel &amp; entertainment</v>
          </cell>
          <cell r="Q1064" t="str">
            <v>n/a</v>
          </cell>
          <cell r="R1064" t="str">
            <v>n/a</v>
          </cell>
          <cell r="S1064" t="str">
            <v>n/a</v>
          </cell>
          <cell r="Y1064" t="str">
            <v>n/a</v>
          </cell>
        </row>
        <row r="1065">
          <cell r="M1065" t="str">
            <v>Other operating expenses</v>
          </cell>
          <cell r="N1065" t="str">
            <v>Travel &amp; entertainment</v>
          </cell>
          <cell r="Q1065" t="str">
            <v>n/a</v>
          </cell>
          <cell r="R1065" t="str">
            <v>n/a</v>
          </cell>
          <cell r="S1065" t="str">
            <v>n/a</v>
          </cell>
          <cell r="Y1065" t="str">
            <v>n/a</v>
          </cell>
        </row>
        <row r="1066">
          <cell r="M1066" t="str">
            <v>Other operating expenses</v>
          </cell>
          <cell r="N1066" t="str">
            <v>Travel &amp; entertainment</v>
          </cell>
          <cell r="Q1066" t="str">
            <v>n/a</v>
          </cell>
          <cell r="R1066" t="str">
            <v>n/a</v>
          </cell>
          <cell r="S1066" t="str">
            <v>n/a</v>
          </cell>
          <cell r="Y1066" t="str">
            <v>n/a</v>
          </cell>
        </row>
        <row r="1067">
          <cell r="M1067" t="str">
            <v>Other operating expenses</v>
          </cell>
          <cell r="N1067" t="str">
            <v>Travel &amp; entertainment</v>
          </cell>
          <cell r="Q1067" t="str">
            <v>n/a</v>
          </cell>
          <cell r="R1067" t="str">
            <v>n/a</v>
          </cell>
          <cell r="S1067" t="str">
            <v>n/a</v>
          </cell>
          <cell r="Y1067" t="str">
            <v>n/a</v>
          </cell>
        </row>
        <row r="1068">
          <cell r="M1068" t="str">
            <v>Other operating expenses</v>
          </cell>
          <cell r="N1068" t="str">
            <v>Premises expenses</v>
          </cell>
          <cell r="Q1068" t="str">
            <v>n/a</v>
          </cell>
          <cell r="R1068" t="str">
            <v>n/a</v>
          </cell>
          <cell r="S1068" t="str">
            <v>n/a</v>
          </cell>
          <cell r="Y1068" t="str">
            <v>n/a</v>
          </cell>
        </row>
        <row r="1069">
          <cell r="M1069" t="str">
            <v>Other operating expenses</v>
          </cell>
          <cell r="N1069" t="str">
            <v>Premises expenses</v>
          </cell>
          <cell r="Q1069" t="str">
            <v>n/a</v>
          </cell>
          <cell r="R1069" t="str">
            <v>n/a</v>
          </cell>
          <cell r="S1069" t="str">
            <v>n/a</v>
          </cell>
          <cell r="Y1069" t="str">
            <v>n/a</v>
          </cell>
        </row>
        <row r="1070">
          <cell r="M1070" t="str">
            <v>Other operating expenses</v>
          </cell>
          <cell r="N1070" t="str">
            <v>Premises expenses</v>
          </cell>
          <cell r="Q1070" t="str">
            <v>n/a</v>
          </cell>
          <cell r="R1070" t="str">
            <v>n/a</v>
          </cell>
          <cell r="S1070" t="str">
            <v>n/a</v>
          </cell>
          <cell r="Y1070" t="str">
            <v>n/a</v>
          </cell>
        </row>
        <row r="1071">
          <cell r="M1071" t="str">
            <v>Other operating expenses</v>
          </cell>
          <cell r="N1071" t="str">
            <v>Premises expenses</v>
          </cell>
          <cell r="Q1071" t="str">
            <v>n/a</v>
          </cell>
          <cell r="R1071" t="str">
            <v>n/a</v>
          </cell>
          <cell r="S1071" t="str">
            <v>n/a</v>
          </cell>
          <cell r="Y1071" t="str">
            <v>n/a</v>
          </cell>
        </row>
        <row r="1072">
          <cell r="M1072" t="str">
            <v>Other operating expenses</v>
          </cell>
          <cell r="N1072" t="str">
            <v>Premises expenses</v>
          </cell>
          <cell r="Q1072" t="str">
            <v>n/a</v>
          </cell>
          <cell r="R1072" t="str">
            <v>n/a</v>
          </cell>
          <cell r="S1072" t="str">
            <v>n/a</v>
          </cell>
          <cell r="Y1072" t="str">
            <v>n/a</v>
          </cell>
        </row>
        <row r="1073">
          <cell r="M1073" t="str">
            <v>Other operating expenses</v>
          </cell>
          <cell r="N1073" t="str">
            <v>Premises expenses</v>
          </cell>
          <cell r="Q1073" t="str">
            <v>n/a</v>
          </cell>
          <cell r="R1073" t="str">
            <v>n/a</v>
          </cell>
          <cell r="S1073" t="str">
            <v>n/a</v>
          </cell>
          <cell r="Y1073" t="str">
            <v>n/a</v>
          </cell>
        </row>
        <row r="1074">
          <cell r="M1074" t="str">
            <v>Other operating expenses</v>
          </cell>
          <cell r="N1074" t="str">
            <v>Premises expenses</v>
          </cell>
          <cell r="Q1074" t="str">
            <v>n/a</v>
          </cell>
          <cell r="R1074" t="str">
            <v>n/a</v>
          </cell>
          <cell r="S1074" t="str">
            <v>n/a</v>
          </cell>
          <cell r="Y1074" t="str">
            <v>n/a</v>
          </cell>
        </row>
        <row r="1075">
          <cell r="M1075" t="str">
            <v>Other operating expenses</v>
          </cell>
          <cell r="N1075" t="str">
            <v>Premises expenses</v>
          </cell>
          <cell r="Q1075" t="str">
            <v>n/a</v>
          </cell>
          <cell r="R1075" t="str">
            <v>n/a</v>
          </cell>
          <cell r="S1075" t="str">
            <v>n/a</v>
          </cell>
          <cell r="Y1075" t="str">
            <v>n/a</v>
          </cell>
        </row>
        <row r="1076">
          <cell r="M1076" t="str">
            <v>Other operating expenses</v>
          </cell>
          <cell r="N1076" t="str">
            <v>Premises expenses</v>
          </cell>
          <cell r="Q1076" t="str">
            <v>n/a</v>
          </cell>
          <cell r="R1076" t="str">
            <v>n/a</v>
          </cell>
          <cell r="S1076" t="str">
            <v>n/a</v>
          </cell>
          <cell r="Y1076" t="str">
            <v>n/a</v>
          </cell>
        </row>
        <row r="1077">
          <cell r="M1077" t="str">
            <v>Other operating expenses</v>
          </cell>
          <cell r="N1077" t="str">
            <v>Premises expenses</v>
          </cell>
          <cell r="Q1077" t="str">
            <v>n/a</v>
          </cell>
          <cell r="R1077" t="str">
            <v>n/a</v>
          </cell>
          <cell r="S1077" t="str">
            <v>n/a</v>
          </cell>
          <cell r="Y1077" t="str">
            <v>n/a</v>
          </cell>
        </row>
        <row r="1078">
          <cell r="M1078" t="str">
            <v>Other operating expenses</v>
          </cell>
          <cell r="N1078" t="str">
            <v>Premises expenses</v>
          </cell>
          <cell r="Q1078" t="str">
            <v>n/a</v>
          </cell>
          <cell r="R1078" t="str">
            <v>n/a</v>
          </cell>
          <cell r="S1078" t="str">
            <v>n/a</v>
          </cell>
          <cell r="Y1078" t="str">
            <v>n/a</v>
          </cell>
        </row>
        <row r="1079">
          <cell r="M1079" t="str">
            <v>Other operating expenses</v>
          </cell>
          <cell r="N1079" t="str">
            <v>Premises expenses</v>
          </cell>
          <cell r="Q1079" t="str">
            <v>n/a</v>
          </cell>
          <cell r="R1079" t="str">
            <v>n/a</v>
          </cell>
          <cell r="S1079" t="str">
            <v>n/a</v>
          </cell>
          <cell r="Y1079" t="str">
            <v>n/a</v>
          </cell>
        </row>
        <row r="1080">
          <cell r="M1080" t="str">
            <v>Other operating expenses</v>
          </cell>
          <cell r="N1080" t="str">
            <v>Premises expenses</v>
          </cell>
          <cell r="Q1080" t="str">
            <v>n/a</v>
          </cell>
          <cell r="R1080" t="str">
            <v>n/a</v>
          </cell>
          <cell r="S1080" t="str">
            <v>n/a</v>
          </cell>
          <cell r="Y1080" t="str">
            <v>n/a</v>
          </cell>
        </row>
        <row r="1081">
          <cell r="M1081" t="str">
            <v>Other operating expenses</v>
          </cell>
          <cell r="N1081" t="str">
            <v>Premises expenses</v>
          </cell>
          <cell r="Q1081" t="str">
            <v>n/a</v>
          </cell>
          <cell r="R1081" t="str">
            <v>n/a</v>
          </cell>
          <cell r="S1081" t="str">
            <v>n/a</v>
          </cell>
          <cell r="Y1081" t="str">
            <v>n/a</v>
          </cell>
        </row>
        <row r="1082">
          <cell r="M1082" t="str">
            <v>Other operating expenses</v>
          </cell>
          <cell r="N1082" t="str">
            <v>Premises expenses</v>
          </cell>
          <cell r="Q1082" t="str">
            <v>n/a</v>
          </cell>
          <cell r="R1082" t="str">
            <v>n/a</v>
          </cell>
          <cell r="S1082" t="str">
            <v>n/a</v>
          </cell>
          <cell r="Y1082" t="str">
            <v>n/a</v>
          </cell>
        </row>
        <row r="1083">
          <cell r="M1083" t="str">
            <v>Other operating expenses</v>
          </cell>
          <cell r="N1083" t="str">
            <v>Premises expenses</v>
          </cell>
          <cell r="Q1083" t="str">
            <v>n/a</v>
          </cell>
          <cell r="R1083" t="str">
            <v>n/a</v>
          </cell>
          <cell r="S1083" t="str">
            <v>n/a</v>
          </cell>
          <cell r="Y1083" t="str">
            <v>n/a</v>
          </cell>
        </row>
        <row r="1084">
          <cell r="M1084" t="str">
            <v>Other operating expenses</v>
          </cell>
          <cell r="N1084" t="str">
            <v>Premises expenses</v>
          </cell>
          <cell r="Q1084" t="str">
            <v>n/a</v>
          </cell>
          <cell r="R1084" t="str">
            <v>n/a</v>
          </cell>
          <cell r="S1084" t="str">
            <v>n/a</v>
          </cell>
          <cell r="Y1084" t="str">
            <v>n/a</v>
          </cell>
        </row>
        <row r="1085">
          <cell r="M1085" t="str">
            <v>Other operating expenses</v>
          </cell>
          <cell r="N1085" t="str">
            <v>Premises expenses</v>
          </cell>
          <cell r="Q1085" t="str">
            <v>n/a</v>
          </cell>
          <cell r="R1085" t="str">
            <v>n/a</v>
          </cell>
          <cell r="S1085" t="str">
            <v>n/a</v>
          </cell>
          <cell r="Y1085" t="str">
            <v>n/a</v>
          </cell>
        </row>
        <row r="1086">
          <cell r="M1086" t="str">
            <v>Other operating expenses</v>
          </cell>
          <cell r="N1086" t="str">
            <v>Premises expenses</v>
          </cell>
          <cell r="Q1086" t="str">
            <v>n/a</v>
          </cell>
          <cell r="R1086" t="str">
            <v>n/a</v>
          </cell>
          <cell r="S1086" t="str">
            <v>n/a</v>
          </cell>
          <cell r="Y1086" t="str">
            <v>n/a</v>
          </cell>
        </row>
        <row r="1087">
          <cell r="M1087" t="str">
            <v>Other operating expenses</v>
          </cell>
          <cell r="N1087" t="str">
            <v>Premises expenses</v>
          </cell>
          <cell r="Q1087" t="str">
            <v>n/a</v>
          </cell>
          <cell r="R1087" t="str">
            <v>n/a</v>
          </cell>
          <cell r="S1087" t="str">
            <v>n/a</v>
          </cell>
          <cell r="Y1087" t="str">
            <v>n/a</v>
          </cell>
        </row>
        <row r="1088">
          <cell r="M1088" t="str">
            <v>Other operating expenses</v>
          </cell>
          <cell r="N1088" t="str">
            <v>Premises expenses</v>
          </cell>
          <cell r="Q1088" t="str">
            <v>n/a</v>
          </cell>
          <cell r="R1088" t="str">
            <v>n/a</v>
          </cell>
          <cell r="S1088" t="str">
            <v>n/a</v>
          </cell>
          <cell r="Y1088" t="str">
            <v>n/a</v>
          </cell>
        </row>
        <row r="1089">
          <cell r="M1089" t="str">
            <v>Other operating expenses</v>
          </cell>
          <cell r="N1089" t="str">
            <v>Premises expenses</v>
          </cell>
          <cell r="Q1089" t="str">
            <v>n/a</v>
          </cell>
          <cell r="R1089" t="str">
            <v>n/a</v>
          </cell>
          <cell r="S1089" t="str">
            <v>n/a</v>
          </cell>
          <cell r="Y1089" t="str">
            <v>n/a</v>
          </cell>
        </row>
        <row r="1090">
          <cell r="M1090" t="str">
            <v>Other operating expenses</v>
          </cell>
          <cell r="N1090" t="str">
            <v>Premises expenses</v>
          </cell>
          <cell r="Q1090" t="str">
            <v>n/a</v>
          </cell>
          <cell r="R1090" t="str">
            <v>n/a</v>
          </cell>
          <cell r="S1090" t="str">
            <v>n/a</v>
          </cell>
          <cell r="Y1090" t="str">
            <v>n/a</v>
          </cell>
        </row>
        <row r="1091">
          <cell r="M1091" t="str">
            <v>Other operating expenses</v>
          </cell>
          <cell r="N1091" t="str">
            <v>Premises expenses</v>
          </cell>
          <cell r="Q1091" t="str">
            <v>n/a</v>
          </cell>
          <cell r="R1091" t="str">
            <v>n/a</v>
          </cell>
          <cell r="S1091" t="str">
            <v>n/a</v>
          </cell>
          <cell r="Y1091" t="str">
            <v>n/a</v>
          </cell>
        </row>
        <row r="1092">
          <cell r="M1092" t="str">
            <v>Other operating expenses</v>
          </cell>
          <cell r="N1092" t="str">
            <v>Premises expenses</v>
          </cell>
          <cell r="Q1092" t="str">
            <v>n/a</v>
          </cell>
          <cell r="R1092" t="str">
            <v>n/a</v>
          </cell>
          <cell r="S1092" t="str">
            <v>n/a</v>
          </cell>
          <cell r="Y1092" t="str">
            <v>n/a</v>
          </cell>
        </row>
        <row r="1093">
          <cell r="M1093" t="str">
            <v>Other operating expenses</v>
          </cell>
          <cell r="N1093" t="str">
            <v>Premises expenses</v>
          </cell>
          <cell r="Q1093" t="str">
            <v>n/a</v>
          </cell>
          <cell r="R1093" t="str">
            <v>n/a</v>
          </cell>
          <cell r="S1093" t="str">
            <v>n/a</v>
          </cell>
          <cell r="Y1093" t="str">
            <v>n/a</v>
          </cell>
        </row>
        <row r="1094">
          <cell r="M1094" t="str">
            <v>Other operating expenses</v>
          </cell>
          <cell r="N1094" t="str">
            <v>Premises expenses</v>
          </cell>
          <cell r="Q1094" t="str">
            <v>n/a</v>
          </cell>
          <cell r="R1094" t="str">
            <v>n/a</v>
          </cell>
          <cell r="S1094" t="str">
            <v>n/a</v>
          </cell>
          <cell r="Y1094" t="str">
            <v>n/a</v>
          </cell>
        </row>
        <row r="1095">
          <cell r="M1095" t="str">
            <v>Other operating expenses</v>
          </cell>
          <cell r="N1095" t="str">
            <v>Premises expenses</v>
          </cell>
          <cell r="Q1095" t="str">
            <v>n/a</v>
          </cell>
          <cell r="R1095" t="str">
            <v>n/a</v>
          </cell>
          <cell r="S1095" t="str">
            <v>n/a</v>
          </cell>
          <cell r="Y1095" t="str">
            <v>n/a</v>
          </cell>
        </row>
        <row r="1096">
          <cell r="M1096" t="str">
            <v>Other operating expenses</v>
          </cell>
          <cell r="N1096" t="str">
            <v>Stationery &amp; printing</v>
          </cell>
          <cell r="Q1096" t="str">
            <v>n/a</v>
          </cell>
          <cell r="R1096" t="str">
            <v>n/a</v>
          </cell>
          <cell r="S1096" t="str">
            <v>n/a</v>
          </cell>
          <cell r="Y1096" t="str">
            <v>n/a</v>
          </cell>
        </row>
        <row r="1097">
          <cell r="M1097" t="str">
            <v>Other operating expenses</v>
          </cell>
          <cell r="N1097" t="str">
            <v>Stationery &amp; printing</v>
          </cell>
          <cell r="Q1097" t="str">
            <v>n/a</v>
          </cell>
          <cell r="R1097" t="str">
            <v>n/a</v>
          </cell>
          <cell r="S1097" t="str">
            <v>n/a</v>
          </cell>
          <cell r="Y1097" t="str">
            <v>n/a</v>
          </cell>
        </row>
        <row r="1098">
          <cell r="M1098" t="str">
            <v>Other operating expenses</v>
          </cell>
          <cell r="N1098" t="str">
            <v>Stationery &amp; printing</v>
          </cell>
          <cell r="Q1098" t="str">
            <v>n/a</v>
          </cell>
          <cell r="R1098" t="str">
            <v>n/a</v>
          </cell>
          <cell r="S1098" t="str">
            <v>n/a</v>
          </cell>
          <cell r="Y1098" t="str">
            <v>n/a</v>
          </cell>
        </row>
        <row r="1099">
          <cell r="M1099" t="str">
            <v>Other operating expenses</v>
          </cell>
          <cell r="N1099" t="str">
            <v>Stationery &amp; printing</v>
          </cell>
          <cell r="Q1099" t="str">
            <v>n/a</v>
          </cell>
          <cell r="R1099" t="str">
            <v>n/a</v>
          </cell>
          <cell r="S1099" t="str">
            <v>n/a</v>
          </cell>
          <cell r="Y1099" t="str">
            <v>n/a</v>
          </cell>
        </row>
        <row r="1100">
          <cell r="M1100" t="str">
            <v>Other operating expenses</v>
          </cell>
          <cell r="N1100" t="str">
            <v>Stationery &amp; printing</v>
          </cell>
          <cell r="Q1100" t="str">
            <v>n/a</v>
          </cell>
          <cell r="R1100" t="str">
            <v>n/a</v>
          </cell>
          <cell r="S1100" t="str">
            <v>n/a</v>
          </cell>
          <cell r="Y1100" t="str">
            <v>n/a</v>
          </cell>
        </row>
        <row r="1101">
          <cell r="M1101" t="str">
            <v>Other operating expenses</v>
          </cell>
          <cell r="N1101" t="str">
            <v>Marketing &amp; advertising</v>
          </cell>
          <cell r="Q1101" t="str">
            <v>n/a</v>
          </cell>
          <cell r="R1101" t="str">
            <v>n/a</v>
          </cell>
          <cell r="S1101" t="str">
            <v>n/a</v>
          </cell>
          <cell r="Y1101" t="str">
            <v>n/a</v>
          </cell>
        </row>
        <row r="1102">
          <cell r="M1102" t="str">
            <v>Other operating expenses</v>
          </cell>
          <cell r="N1102" t="str">
            <v>Marketing &amp; advertising</v>
          </cell>
          <cell r="Q1102" t="str">
            <v>n/a</v>
          </cell>
          <cell r="R1102" t="str">
            <v>n/a</v>
          </cell>
          <cell r="S1102" t="str">
            <v>n/a</v>
          </cell>
          <cell r="Y1102" t="str">
            <v>n/a</v>
          </cell>
        </row>
        <row r="1103">
          <cell r="M1103" t="str">
            <v>Other operating expenses</v>
          </cell>
          <cell r="N1103" t="str">
            <v>Marketing &amp; advertising</v>
          </cell>
          <cell r="Q1103" t="str">
            <v>n/a</v>
          </cell>
          <cell r="R1103" t="str">
            <v>n/a</v>
          </cell>
          <cell r="S1103" t="str">
            <v>n/a</v>
          </cell>
          <cell r="Y1103" t="str">
            <v>n/a</v>
          </cell>
        </row>
        <row r="1104">
          <cell r="M1104" t="str">
            <v>Other operating expenses</v>
          </cell>
          <cell r="N1104" t="str">
            <v>Marketing &amp; advertising</v>
          </cell>
          <cell r="Q1104" t="str">
            <v>n/a</v>
          </cell>
          <cell r="R1104" t="str">
            <v>n/a</v>
          </cell>
          <cell r="S1104" t="str">
            <v>n/a</v>
          </cell>
          <cell r="Y1104" t="str">
            <v>n/a</v>
          </cell>
        </row>
        <row r="1105">
          <cell r="M1105" t="str">
            <v>Other operating expenses</v>
          </cell>
          <cell r="N1105" t="str">
            <v>Marketing &amp; advertising</v>
          </cell>
          <cell r="Q1105" t="str">
            <v>n/a</v>
          </cell>
          <cell r="R1105" t="str">
            <v>n/a</v>
          </cell>
          <cell r="S1105" t="str">
            <v>n/a</v>
          </cell>
          <cell r="Y1105" t="str">
            <v>n/a</v>
          </cell>
        </row>
        <row r="1106">
          <cell r="M1106" t="str">
            <v>Other operating expenses</v>
          </cell>
          <cell r="N1106" t="str">
            <v>Marketing &amp; advertising</v>
          </cell>
          <cell r="Q1106" t="str">
            <v>n/a</v>
          </cell>
          <cell r="R1106" t="str">
            <v>n/a</v>
          </cell>
          <cell r="S1106" t="str">
            <v>n/a</v>
          </cell>
          <cell r="Y1106" t="str">
            <v>n/a</v>
          </cell>
        </row>
        <row r="1107">
          <cell r="M1107" t="str">
            <v>Other operating expenses</v>
          </cell>
          <cell r="N1107" t="str">
            <v>Marketing &amp; advertising</v>
          </cell>
          <cell r="Q1107" t="str">
            <v>n/a</v>
          </cell>
          <cell r="R1107" t="str">
            <v>n/a</v>
          </cell>
          <cell r="S1107" t="str">
            <v>n/a</v>
          </cell>
          <cell r="Y1107" t="str">
            <v>n/a</v>
          </cell>
        </row>
        <row r="1108">
          <cell r="M1108" t="str">
            <v>Other operating expenses</v>
          </cell>
          <cell r="N1108" t="str">
            <v>Marketing &amp; advertising</v>
          </cell>
          <cell r="Q1108" t="str">
            <v>n/a</v>
          </cell>
          <cell r="R1108" t="str">
            <v>n/a</v>
          </cell>
          <cell r="S1108" t="str">
            <v>n/a</v>
          </cell>
          <cell r="Y1108" t="str">
            <v>n/a</v>
          </cell>
        </row>
        <row r="1109">
          <cell r="M1109" t="str">
            <v>Other operating expenses</v>
          </cell>
          <cell r="N1109" t="str">
            <v>Operational risk losses</v>
          </cell>
          <cell r="Q1109" t="str">
            <v>n/a</v>
          </cell>
          <cell r="R1109" t="str">
            <v>n/a</v>
          </cell>
          <cell r="S1109" t="str">
            <v>n/a</v>
          </cell>
          <cell r="Y1109" t="str">
            <v>n/a</v>
          </cell>
        </row>
        <row r="1110">
          <cell r="M1110" t="str">
            <v>Other operating expenses</v>
          </cell>
          <cell r="N1110" t="str">
            <v>Operational risk losses</v>
          </cell>
          <cell r="Q1110" t="str">
            <v>n/a</v>
          </cell>
          <cell r="R1110" t="str">
            <v>n/a</v>
          </cell>
          <cell r="S1110" t="str">
            <v>n/a</v>
          </cell>
          <cell r="Y1110" t="str">
            <v>n/a</v>
          </cell>
        </row>
        <row r="1111">
          <cell r="M1111" t="str">
            <v>Other operating expenses</v>
          </cell>
          <cell r="N1111" t="str">
            <v>Operational risk losses</v>
          </cell>
          <cell r="Q1111" t="str">
            <v>n/a</v>
          </cell>
          <cell r="R1111" t="str">
            <v>n/a</v>
          </cell>
          <cell r="S1111" t="str">
            <v>n/a</v>
          </cell>
          <cell r="Y1111" t="str">
            <v>n/a</v>
          </cell>
        </row>
        <row r="1112">
          <cell r="M1112" t="str">
            <v>Other operating expenses</v>
          </cell>
          <cell r="N1112" t="str">
            <v>Operational risk losses</v>
          </cell>
          <cell r="Q1112" t="str">
            <v>n/a</v>
          </cell>
          <cell r="R1112" t="str">
            <v>n/a</v>
          </cell>
          <cell r="S1112" t="str">
            <v>n/a</v>
          </cell>
          <cell r="Y1112" t="str">
            <v>n/a</v>
          </cell>
        </row>
        <row r="1113">
          <cell r="M1113" t="str">
            <v>Other operating expenses</v>
          </cell>
          <cell r="N1113" t="str">
            <v>Operational risk losses</v>
          </cell>
          <cell r="Q1113" t="str">
            <v>n/a</v>
          </cell>
          <cell r="R1113" t="str">
            <v>n/a</v>
          </cell>
          <cell r="S1113" t="str">
            <v>n/a</v>
          </cell>
          <cell r="Y1113" t="str">
            <v>n/a</v>
          </cell>
        </row>
        <row r="1114">
          <cell r="M1114" t="str">
            <v>Other operating expenses</v>
          </cell>
          <cell r="N1114" t="str">
            <v>Operational risk losses</v>
          </cell>
          <cell r="Q1114" t="str">
            <v>n/a</v>
          </cell>
          <cell r="R1114" t="str">
            <v>n/a</v>
          </cell>
          <cell r="S1114" t="str">
            <v>n/a</v>
          </cell>
          <cell r="Y1114" t="str">
            <v>n/a</v>
          </cell>
        </row>
        <row r="1115">
          <cell r="M1115" t="str">
            <v>Other operating expenses</v>
          </cell>
          <cell r="N1115" t="str">
            <v>Operational risk losses</v>
          </cell>
          <cell r="Q1115" t="str">
            <v>n/a</v>
          </cell>
          <cell r="R1115" t="str">
            <v>n/a</v>
          </cell>
          <cell r="S1115" t="str">
            <v>n/a</v>
          </cell>
          <cell r="Y1115" t="str">
            <v>n/a</v>
          </cell>
        </row>
        <row r="1116">
          <cell r="M1116" t="str">
            <v>Other operating expenses</v>
          </cell>
          <cell r="N1116" t="str">
            <v>Operational risk losses</v>
          </cell>
          <cell r="Q1116" t="str">
            <v>n/a</v>
          </cell>
          <cell r="R1116" t="str">
            <v>n/a</v>
          </cell>
          <cell r="S1116" t="str">
            <v>n/a</v>
          </cell>
          <cell r="Y1116" t="str">
            <v>n/a</v>
          </cell>
        </row>
        <row r="1117">
          <cell r="M1117" t="str">
            <v>Other operating expenses</v>
          </cell>
          <cell r="N1117" t="str">
            <v>Operational risk losses</v>
          </cell>
          <cell r="Q1117" t="str">
            <v>n/a</v>
          </cell>
          <cell r="R1117" t="str">
            <v>n/a</v>
          </cell>
          <cell r="S1117" t="str">
            <v>n/a</v>
          </cell>
          <cell r="Y1117" t="str">
            <v>n/a</v>
          </cell>
        </row>
        <row r="1118">
          <cell r="M1118" t="str">
            <v>Other operating expenses</v>
          </cell>
          <cell r="N1118" t="str">
            <v>Operational risk losses</v>
          </cell>
          <cell r="Q1118" t="str">
            <v>n/a</v>
          </cell>
          <cell r="R1118" t="str">
            <v>n/a</v>
          </cell>
          <cell r="S1118" t="str">
            <v>n/a</v>
          </cell>
          <cell r="Y1118" t="str">
            <v>n/a</v>
          </cell>
        </row>
        <row r="1119">
          <cell r="M1119" t="str">
            <v>Other operating expenses</v>
          </cell>
          <cell r="N1119" t="str">
            <v>Operational risk losses</v>
          </cell>
          <cell r="Q1119" t="str">
            <v>n/a</v>
          </cell>
          <cell r="R1119" t="str">
            <v>n/a</v>
          </cell>
          <cell r="S1119" t="str">
            <v>n/a</v>
          </cell>
          <cell r="Y1119" t="str">
            <v>n/a</v>
          </cell>
        </row>
        <row r="1120">
          <cell r="M1120" t="str">
            <v>Other operating expenses</v>
          </cell>
          <cell r="N1120" t="str">
            <v>Operational risk losses</v>
          </cell>
          <cell r="Q1120" t="str">
            <v>n/a</v>
          </cell>
          <cell r="R1120" t="str">
            <v>n/a</v>
          </cell>
          <cell r="S1120" t="str">
            <v>n/a</v>
          </cell>
          <cell r="Y1120" t="str">
            <v>n/a</v>
          </cell>
        </row>
        <row r="1121">
          <cell r="M1121" t="str">
            <v>Other operating expenses</v>
          </cell>
          <cell r="N1121" t="str">
            <v>Operational risk losses</v>
          </cell>
          <cell r="Q1121" t="str">
            <v>n/a</v>
          </cell>
          <cell r="R1121" t="str">
            <v>n/a</v>
          </cell>
          <cell r="S1121" t="str">
            <v>n/a</v>
          </cell>
          <cell r="Y1121" t="str">
            <v>n/a</v>
          </cell>
        </row>
        <row r="1122">
          <cell r="M1122" t="str">
            <v>Other operating expenses</v>
          </cell>
          <cell r="N1122" t="str">
            <v>Operational risk losses</v>
          </cell>
          <cell r="Q1122" t="str">
            <v>n/a</v>
          </cell>
          <cell r="R1122" t="str">
            <v>n/a</v>
          </cell>
          <cell r="S1122" t="str">
            <v>n/a</v>
          </cell>
          <cell r="Y1122" t="str">
            <v>n/a</v>
          </cell>
        </row>
        <row r="1123">
          <cell r="M1123" t="str">
            <v>Other operating expenses</v>
          </cell>
          <cell r="N1123" t="str">
            <v>Operational risk losses</v>
          </cell>
          <cell r="Q1123" t="str">
            <v>n/a</v>
          </cell>
          <cell r="R1123" t="str">
            <v>n/a</v>
          </cell>
          <cell r="S1123" t="str">
            <v>n/a</v>
          </cell>
          <cell r="Y1123" t="str">
            <v>n/a</v>
          </cell>
        </row>
        <row r="1124">
          <cell r="M1124" t="str">
            <v>Other operating expenses</v>
          </cell>
          <cell r="N1124" t="str">
            <v>Operational risk losses</v>
          </cell>
          <cell r="Q1124" t="str">
            <v>n/a</v>
          </cell>
          <cell r="R1124" t="str">
            <v>n/a</v>
          </cell>
          <cell r="S1124" t="str">
            <v>n/a</v>
          </cell>
          <cell r="Y1124" t="str">
            <v>n/a</v>
          </cell>
        </row>
        <row r="1125">
          <cell r="M1125" t="str">
            <v>Other operating expenses</v>
          </cell>
          <cell r="N1125" t="str">
            <v>Operational risk losses</v>
          </cell>
          <cell r="Q1125" t="str">
            <v>n/a</v>
          </cell>
          <cell r="R1125" t="str">
            <v>n/a</v>
          </cell>
          <cell r="S1125" t="str">
            <v>n/a</v>
          </cell>
          <cell r="Y1125" t="str">
            <v>n/a</v>
          </cell>
        </row>
        <row r="1126">
          <cell r="M1126" t="str">
            <v>Other operating expenses</v>
          </cell>
          <cell r="N1126" t="str">
            <v>Operational risk losses</v>
          </cell>
          <cell r="Q1126" t="str">
            <v>n/a</v>
          </cell>
          <cell r="R1126" t="str">
            <v>n/a</v>
          </cell>
          <cell r="S1126" t="str">
            <v>n/a</v>
          </cell>
          <cell r="Y1126" t="str">
            <v>n/a</v>
          </cell>
        </row>
        <row r="1127">
          <cell r="M1127" t="str">
            <v>Other operating expenses</v>
          </cell>
          <cell r="N1127" t="str">
            <v>Operational risk losses</v>
          </cell>
          <cell r="Q1127" t="str">
            <v>n/a</v>
          </cell>
          <cell r="R1127" t="str">
            <v>n/a</v>
          </cell>
          <cell r="S1127" t="str">
            <v>n/a</v>
          </cell>
          <cell r="Y1127" t="str">
            <v>n/a</v>
          </cell>
        </row>
        <row r="1128">
          <cell r="M1128" t="str">
            <v>Other operating expenses</v>
          </cell>
          <cell r="N1128" t="str">
            <v>Operational risk losses</v>
          </cell>
          <cell r="Q1128" t="str">
            <v>n/a</v>
          </cell>
          <cell r="R1128" t="str">
            <v>n/a</v>
          </cell>
          <cell r="S1128" t="str">
            <v>n/a</v>
          </cell>
          <cell r="Y1128" t="str">
            <v>n/a</v>
          </cell>
        </row>
        <row r="1129">
          <cell r="M1129" t="str">
            <v>Other operating expenses</v>
          </cell>
          <cell r="N1129" t="str">
            <v>Insurance: bank general</v>
          </cell>
          <cell r="Q1129" t="str">
            <v>n/a</v>
          </cell>
          <cell r="R1129" t="str">
            <v>n/a</v>
          </cell>
          <cell r="S1129" t="str">
            <v>n/a</v>
          </cell>
          <cell r="Y1129" t="str">
            <v>n/a</v>
          </cell>
        </row>
        <row r="1130">
          <cell r="M1130" t="str">
            <v>Fees and commission income</v>
          </cell>
          <cell r="N1130" t="str">
            <v>Documentation &amp; administration fees</v>
          </cell>
          <cell r="Q1130" t="str">
            <v>n/a</v>
          </cell>
          <cell r="R1130" t="str">
            <v>n/a</v>
          </cell>
          <cell r="S1130" t="str">
            <v>Mortgage advances</v>
          </cell>
          <cell r="Y1130" t="str">
            <v>n/a</v>
          </cell>
        </row>
        <row r="1131">
          <cell r="M1131" t="str">
            <v>Other operating expenses</v>
          </cell>
          <cell r="N1131" t="str">
            <v>Professional fees</v>
          </cell>
          <cell r="Q1131" t="str">
            <v>n/a</v>
          </cell>
          <cell r="R1131" t="str">
            <v>n/a</v>
          </cell>
          <cell r="S1131" t="str">
            <v>n/a</v>
          </cell>
          <cell r="Y1131" t="str">
            <v>n/a</v>
          </cell>
        </row>
        <row r="1132">
          <cell r="M1132" t="str">
            <v>Other operating expenses</v>
          </cell>
          <cell r="N1132" t="str">
            <v>Professional fees</v>
          </cell>
          <cell r="Q1132" t="str">
            <v>n/a</v>
          </cell>
          <cell r="R1132" t="str">
            <v>n/a</v>
          </cell>
          <cell r="S1132" t="str">
            <v>n/a</v>
          </cell>
          <cell r="Y1132" t="str">
            <v>450800</v>
          </cell>
        </row>
        <row r="1133">
          <cell r="M1133" t="str">
            <v>Other operating expenses</v>
          </cell>
          <cell r="N1133" t="str">
            <v>Professional fees</v>
          </cell>
          <cell r="Q1133" t="str">
            <v>n/a</v>
          </cell>
          <cell r="R1133" t="str">
            <v>n/a</v>
          </cell>
          <cell r="S1133" t="str">
            <v>n/a</v>
          </cell>
          <cell r="Y1133" t="str">
            <v>n/a</v>
          </cell>
        </row>
        <row r="1134">
          <cell r="M1134" t="str">
            <v>Other operating expenses</v>
          </cell>
          <cell r="N1134" t="str">
            <v>Professional fees</v>
          </cell>
          <cell r="Q1134" t="str">
            <v>n/a</v>
          </cell>
          <cell r="R1134" t="str">
            <v>n/a</v>
          </cell>
          <cell r="S1134" t="str">
            <v>n/a</v>
          </cell>
          <cell r="Y1134" t="str">
            <v>450900</v>
          </cell>
        </row>
        <row r="1135">
          <cell r="M1135" t="str">
            <v>Other operating expenses</v>
          </cell>
          <cell r="N1135" t="str">
            <v>Professional fees - management fees Stanlib</v>
          </cell>
          <cell r="Q1135" t="str">
            <v>n/a</v>
          </cell>
          <cell r="R1135" t="str">
            <v>n/a</v>
          </cell>
          <cell r="S1135" t="str">
            <v>n/a</v>
          </cell>
          <cell r="Y1135" t="str">
            <v>n/a</v>
          </cell>
        </row>
        <row r="1136">
          <cell r="M1136" t="str">
            <v>Other operating expenses</v>
          </cell>
          <cell r="N1136" t="str">
            <v>Professional fees</v>
          </cell>
          <cell r="Q1136" t="str">
            <v>n/a</v>
          </cell>
          <cell r="R1136" t="str">
            <v>n/a</v>
          </cell>
          <cell r="S1136" t="str">
            <v>n/a</v>
          </cell>
          <cell r="Y1136" t="str">
            <v>n/a</v>
          </cell>
        </row>
        <row r="1137">
          <cell r="M1137" t="str">
            <v>Other operating expenses</v>
          </cell>
          <cell r="N1137" t="str">
            <v>Professional fees</v>
          </cell>
          <cell r="Q1137" t="str">
            <v>n/a</v>
          </cell>
          <cell r="R1137" t="str">
            <v>n/a</v>
          </cell>
          <cell r="S1137" t="str">
            <v>n/a</v>
          </cell>
          <cell r="Y1137" t="str">
            <v>n/a</v>
          </cell>
        </row>
        <row r="1138">
          <cell r="M1138" t="str">
            <v>Other operating expenses</v>
          </cell>
          <cell r="N1138" t="str">
            <v>Administration &amp; membership fees</v>
          </cell>
          <cell r="Q1138" t="str">
            <v>n/a</v>
          </cell>
          <cell r="R1138" t="str">
            <v>n/a</v>
          </cell>
          <cell r="S1138" t="str">
            <v>n/a</v>
          </cell>
          <cell r="Y1138" t="str">
            <v>n/a</v>
          </cell>
        </row>
        <row r="1139">
          <cell r="M1139" t="str">
            <v>Other operating expenses</v>
          </cell>
          <cell r="N1139" t="str">
            <v>Administration &amp; membership fees</v>
          </cell>
          <cell r="Q1139" t="str">
            <v>n/a</v>
          </cell>
          <cell r="R1139" t="str">
            <v>n/a</v>
          </cell>
          <cell r="S1139" t="str">
            <v>n/a</v>
          </cell>
          <cell r="Y1139" t="str">
            <v>n/a</v>
          </cell>
        </row>
        <row r="1140">
          <cell r="M1140" t="str">
            <v>Other operating expenses</v>
          </cell>
          <cell r="N1140" t="str">
            <v>Administration &amp; membership fees</v>
          </cell>
          <cell r="Q1140" t="str">
            <v>n/a</v>
          </cell>
          <cell r="R1140" t="str">
            <v>n/a</v>
          </cell>
          <cell r="S1140" t="str">
            <v>n/a</v>
          </cell>
          <cell r="Y1140" t="str">
            <v>n/a</v>
          </cell>
        </row>
        <row r="1141">
          <cell r="M1141" t="str">
            <v>Other operating expenses</v>
          </cell>
          <cell r="N1141" t="str">
            <v>Administration &amp; membership fees</v>
          </cell>
          <cell r="Q1141" t="str">
            <v>n/a</v>
          </cell>
          <cell r="R1141" t="str">
            <v>n/a</v>
          </cell>
          <cell r="S1141" t="str">
            <v>n/a</v>
          </cell>
          <cell r="Y1141" t="str">
            <v>n/a</v>
          </cell>
        </row>
        <row r="1142">
          <cell r="M1142" t="str">
            <v>Other operating expenses</v>
          </cell>
          <cell r="N1142" t="str">
            <v>Administration &amp; membership fees</v>
          </cell>
          <cell r="Q1142" t="str">
            <v>n/a</v>
          </cell>
          <cell r="R1142" t="str">
            <v>n/a</v>
          </cell>
          <cell r="S1142" t="str">
            <v>n/a</v>
          </cell>
          <cell r="Y1142" t="str">
            <v>n/a</v>
          </cell>
        </row>
        <row r="1143">
          <cell r="M1143" t="str">
            <v>Other operating expenses</v>
          </cell>
          <cell r="N1143" t="str">
            <v>Training expenses</v>
          </cell>
          <cell r="Q1143" t="str">
            <v>n/a</v>
          </cell>
          <cell r="R1143" t="str">
            <v>n/a</v>
          </cell>
          <cell r="S1143" t="str">
            <v>n/a</v>
          </cell>
          <cell r="Y1143" t="str">
            <v>n/a</v>
          </cell>
        </row>
        <row r="1144">
          <cell r="M1144" t="str">
            <v>Other operating expenses</v>
          </cell>
          <cell r="N1144" t="str">
            <v>Training expenses</v>
          </cell>
          <cell r="Q1144" t="str">
            <v>n/a</v>
          </cell>
          <cell r="R1144" t="str">
            <v>n/a</v>
          </cell>
          <cell r="S1144" t="str">
            <v>n/a</v>
          </cell>
          <cell r="Y1144" t="str">
            <v>n/a</v>
          </cell>
        </row>
        <row r="1145">
          <cell r="M1145" t="str">
            <v>Other operating expenses</v>
          </cell>
          <cell r="N1145" t="str">
            <v>Training expenses</v>
          </cell>
          <cell r="Q1145" t="str">
            <v>n/a</v>
          </cell>
          <cell r="R1145" t="str">
            <v>n/a</v>
          </cell>
          <cell r="S1145" t="str">
            <v>n/a</v>
          </cell>
          <cell r="Y1145" t="str">
            <v>n/a</v>
          </cell>
        </row>
        <row r="1146">
          <cell r="M1146" t="str">
            <v>Other operating expenses</v>
          </cell>
          <cell r="N1146" t="str">
            <v>Training expenses</v>
          </cell>
          <cell r="Q1146" t="str">
            <v>n/a</v>
          </cell>
          <cell r="R1146" t="str">
            <v>n/a</v>
          </cell>
          <cell r="S1146" t="str">
            <v>n/a</v>
          </cell>
          <cell r="Y1146" t="str">
            <v>n/a</v>
          </cell>
        </row>
        <row r="1147">
          <cell r="M1147" t="str">
            <v>Other operating expenses</v>
          </cell>
          <cell r="N1147" t="str">
            <v>Training expenses</v>
          </cell>
          <cell r="Q1147" t="str">
            <v>n/a</v>
          </cell>
          <cell r="R1147" t="str">
            <v>n/a</v>
          </cell>
          <cell r="S1147" t="str">
            <v>n/a</v>
          </cell>
          <cell r="Y1147" t="str">
            <v>n/a</v>
          </cell>
        </row>
        <row r="1148">
          <cell r="M1148" t="str">
            <v>Other operating expenses</v>
          </cell>
          <cell r="N1148" t="str">
            <v>Training expenses</v>
          </cell>
          <cell r="Q1148" t="str">
            <v>n/a</v>
          </cell>
          <cell r="R1148" t="str">
            <v>n/a</v>
          </cell>
          <cell r="S1148" t="str">
            <v>n/a</v>
          </cell>
          <cell r="Y1148" t="str">
            <v>n/a</v>
          </cell>
        </row>
        <row r="1149">
          <cell r="M1149" t="str">
            <v>Other operating expenses</v>
          </cell>
          <cell r="N1149" t="str">
            <v>Commission paid</v>
          </cell>
          <cell r="Q1149" t="str">
            <v>n/a</v>
          </cell>
          <cell r="R1149" t="str">
            <v>n/a</v>
          </cell>
          <cell r="S1149" t="str">
            <v>n/a</v>
          </cell>
          <cell r="Y1149" t="str">
            <v>n/a</v>
          </cell>
        </row>
        <row r="1150">
          <cell r="M1150" t="str">
            <v>Other operating expenses</v>
          </cell>
          <cell r="N1150" t="str">
            <v>Commission paid</v>
          </cell>
          <cell r="Q1150" t="str">
            <v>n/a</v>
          </cell>
          <cell r="R1150" t="str">
            <v>n/a</v>
          </cell>
          <cell r="S1150" t="str">
            <v>n/a</v>
          </cell>
          <cell r="Y1150" t="str">
            <v>n/a</v>
          </cell>
        </row>
        <row r="1151">
          <cell r="M1151" t="str">
            <v>Other operating expenses</v>
          </cell>
          <cell r="N1151" t="str">
            <v>Commission paid</v>
          </cell>
          <cell r="Q1151" t="str">
            <v>n/a</v>
          </cell>
          <cell r="R1151" t="str">
            <v>n/a</v>
          </cell>
          <cell r="S1151" t="str">
            <v>n/a</v>
          </cell>
          <cell r="Y1151" t="str">
            <v>n/a</v>
          </cell>
        </row>
        <row r="1152">
          <cell r="M1152" t="str">
            <v>Other operating expenses</v>
          </cell>
          <cell r="N1152" t="str">
            <v>Security expenses</v>
          </cell>
          <cell r="Q1152" t="str">
            <v>n/a</v>
          </cell>
          <cell r="R1152" t="str">
            <v>n/a</v>
          </cell>
          <cell r="S1152" t="str">
            <v>n/a</v>
          </cell>
          <cell r="Y1152" t="str">
            <v>n/a</v>
          </cell>
        </row>
        <row r="1153">
          <cell r="M1153" t="str">
            <v>Other operating expenses</v>
          </cell>
          <cell r="N1153" t="str">
            <v>Security expenses</v>
          </cell>
          <cell r="Q1153" t="str">
            <v>n/a</v>
          </cell>
          <cell r="R1153" t="str">
            <v>n/a</v>
          </cell>
          <cell r="S1153" t="str">
            <v>n/a</v>
          </cell>
          <cell r="Y1153" t="str">
            <v>n/a</v>
          </cell>
        </row>
        <row r="1154">
          <cell r="M1154" t="str">
            <v>Other operating expenses</v>
          </cell>
          <cell r="N1154" t="str">
            <v>Security expenses</v>
          </cell>
          <cell r="Q1154" t="str">
            <v>n/a</v>
          </cell>
          <cell r="R1154" t="str">
            <v>n/a</v>
          </cell>
          <cell r="S1154" t="str">
            <v>n/a</v>
          </cell>
          <cell r="Y1154" t="str">
            <v>n/a</v>
          </cell>
        </row>
        <row r="1155">
          <cell r="M1155" t="str">
            <v>Other operating expenses</v>
          </cell>
          <cell r="N1155" t="str">
            <v>Security expenses</v>
          </cell>
          <cell r="Q1155" t="str">
            <v>n/a</v>
          </cell>
          <cell r="R1155" t="str">
            <v>n/a</v>
          </cell>
          <cell r="S1155" t="str">
            <v>n/a</v>
          </cell>
          <cell r="Y1155" t="str">
            <v>n/a</v>
          </cell>
        </row>
        <row r="1156">
          <cell r="M1156" t="str">
            <v>Other operating expenses</v>
          </cell>
          <cell r="N1156" t="str">
            <v>Other operating costs</v>
          </cell>
          <cell r="Q1156" t="str">
            <v>n/a</v>
          </cell>
          <cell r="R1156" t="str">
            <v>n/a</v>
          </cell>
          <cell r="S1156" t="str">
            <v>n/a</v>
          </cell>
          <cell r="Y1156" t="str">
            <v>n/a</v>
          </cell>
        </row>
        <row r="1157">
          <cell r="M1157" t="str">
            <v>Other operating expenses</v>
          </cell>
          <cell r="N1157" t="str">
            <v>Other operating costs</v>
          </cell>
          <cell r="Q1157" t="str">
            <v>n/a</v>
          </cell>
          <cell r="R1157" t="str">
            <v>n/a</v>
          </cell>
          <cell r="S1157" t="str">
            <v>n/a</v>
          </cell>
          <cell r="Y1157" t="str">
            <v>n/a</v>
          </cell>
        </row>
        <row r="1158">
          <cell r="M1158" t="str">
            <v>Other operating expenses</v>
          </cell>
          <cell r="N1158" t="str">
            <v>Other operating costs</v>
          </cell>
          <cell r="Q1158" t="str">
            <v>n/a</v>
          </cell>
          <cell r="R1158" t="str">
            <v>n/a</v>
          </cell>
          <cell r="S1158" t="str">
            <v>n/a</v>
          </cell>
          <cell r="Y1158">
            <v>490160</v>
          </cell>
        </row>
        <row r="1159">
          <cell r="M1159" t="str">
            <v>Other operating expenses</v>
          </cell>
          <cell r="N1159" t="str">
            <v>Other operating costs</v>
          </cell>
          <cell r="Q1159" t="str">
            <v>n/a</v>
          </cell>
          <cell r="R1159" t="str">
            <v>n/a</v>
          </cell>
          <cell r="S1159" t="str">
            <v>n/a</v>
          </cell>
          <cell r="Y1159" t="str">
            <v>n/a</v>
          </cell>
        </row>
        <row r="1160">
          <cell r="M1160" t="str">
            <v>Other operating expenses</v>
          </cell>
          <cell r="N1160" t="str">
            <v>Other operating costs</v>
          </cell>
          <cell r="Q1160" t="str">
            <v>n/a</v>
          </cell>
          <cell r="R1160" t="str">
            <v>n/a</v>
          </cell>
          <cell r="S1160" t="str">
            <v>n/a</v>
          </cell>
          <cell r="Y1160" t="str">
            <v>n/a</v>
          </cell>
        </row>
        <row r="1161">
          <cell r="M1161" t="str">
            <v>Other operating expenses</v>
          </cell>
          <cell r="N1161" t="str">
            <v>Other operating costs</v>
          </cell>
          <cell r="Q1161" t="str">
            <v>n/a</v>
          </cell>
          <cell r="R1161" t="str">
            <v>n/a</v>
          </cell>
          <cell r="S1161" t="str">
            <v>n/a</v>
          </cell>
          <cell r="Y1161" t="str">
            <v>n/a</v>
          </cell>
        </row>
        <row r="1162">
          <cell r="M1162" t="str">
            <v>Other operating expenses</v>
          </cell>
          <cell r="N1162" t="str">
            <v>Other operating costs</v>
          </cell>
          <cell r="Q1162" t="str">
            <v>n/a</v>
          </cell>
          <cell r="R1162" t="str">
            <v>n/a</v>
          </cell>
          <cell r="S1162" t="str">
            <v>n/a</v>
          </cell>
          <cell r="Y1162" t="str">
            <v>n/a</v>
          </cell>
        </row>
        <row r="1163">
          <cell r="M1163" t="str">
            <v>Other operating expenses</v>
          </cell>
          <cell r="N1163" t="str">
            <v>Other operating costs</v>
          </cell>
          <cell r="Q1163" t="str">
            <v>n/a</v>
          </cell>
          <cell r="R1163" t="str">
            <v>n/a</v>
          </cell>
          <cell r="S1163" t="str">
            <v>n/a</v>
          </cell>
          <cell r="Y1163" t="str">
            <v>n/a</v>
          </cell>
        </row>
        <row r="1164">
          <cell r="M1164" t="str">
            <v>Other operating expenses</v>
          </cell>
          <cell r="N1164" t="str">
            <v>Other operating costs</v>
          </cell>
          <cell r="Q1164" t="str">
            <v>n/a</v>
          </cell>
          <cell r="R1164" t="str">
            <v>n/a</v>
          </cell>
          <cell r="S1164" t="str">
            <v>n/a</v>
          </cell>
          <cell r="Y1164" t="str">
            <v>n/a</v>
          </cell>
        </row>
        <row r="1165">
          <cell r="M1165" t="str">
            <v>Other operating expenses</v>
          </cell>
          <cell r="N1165" t="str">
            <v>Other operating costs</v>
          </cell>
          <cell r="Q1165" t="str">
            <v>n/a</v>
          </cell>
          <cell r="R1165" t="str">
            <v>n/a</v>
          </cell>
          <cell r="S1165" t="str">
            <v>n/a</v>
          </cell>
          <cell r="Y1165" t="str">
            <v>n/a</v>
          </cell>
        </row>
        <row r="1166">
          <cell r="M1166" t="str">
            <v>Other operating expenses</v>
          </cell>
          <cell r="N1166" t="str">
            <v>Other operating costs</v>
          </cell>
          <cell r="Q1166" t="str">
            <v>n/a</v>
          </cell>
          <cell r="R1166" t="str">
            <v>n/a</v>
          </cell>
          <cell r="S1166" t="str">
            <v>n/a</v>
          </cell>
          <cell r="Y1166" t="str">
            <v>n/a</v>
          </cell>
        </row>
        <row r="1167">
          <cell r="M1167" t="str">
            <v>Other operating expenses</v>
          </cell>
          <cell r="N1167" t="str">
            <v>Other operating costs</v>
          </cell>
          <cell r="Q1167" t="str">
            <v>n/a</v>
          </cell>
          <cell r="R1167" t="str">
            <v>n/a</v>
          </cell>
          <cell r="S1167" t="str">
            <v>n/a</v>
          </cell>
          <cell r="Y1167" t="str">
            <v>n/a</v>
          </cell>
        </row>
        <row r="1168">
          <cell r="M1168" t="str">
            <v>Other operating expenses</v>
          </cell>
          <cell r="N1168" t="str">
            <v>Other operating costs</v>
          </cell>
          <cell r="Q1168" t="str">
            <v>n/a</v>
          </cell>
          <cell r="R1168" t="str">
            <v>n/a</v>
          </cell>
          <cell r="S1168" t="str">
            <v>n/a</v>
          </cell>
          <cell r="Y1168" t="str">
            <v>492440</v>
          </cell>
        </row>
        <row r="1169">
          <cell r="M1169" t="str">
            <v>Other operating expenses</v>
          </cell>
          <cell r="N1169" t="str">
            <v>Other operating costs</v>
          </cell>
          <cell r="Q1169" t="str">
            <v>n/a</v>
          </cell>
          <cell r="R1169" t="str">
            <v>n/a</v>
          </cell>
          <cell r="S1169" t="str">
            <v>n/a</v>
          </cell>
          <cell r="Y1169" t="str">
            <v>n/a</v>
          </cell>
        </row>
        <row r="1170">
          <cell r="M1170" t="str">
            <v>Other operating expenses</v>
          </cell>
          <cell r="N1170" t="str">
            <v>Other operating costs</v>
          </cell>
          <cell r="Q1170" t="str">
            <v>n/a</v>
          </cell>
          <cell r="R1170" t="str">
            <v>n/a</v>
          </cell>
          <cell r="S1170" t="str">
            <v>n/a</v>
          </cell>
          <cell r="Y1170" t="str">
            <v>n/a</v>
          </cell>
        </row>
        <row r="1171">
          <cell r="M1171" t="str">
            <v>Other operating expenses</v>
          </cell>
          <cell r="N1171" t="str">
            <v>Other operating costs</v>
          </cell>
          <cell r="Q1171" t="str">
            <v>n/a</v>
          </cell>
          <cell r="R1171" t="str">
            <v>n/a</v>
          </cell>
          <cell r="S1171" t="str">
            <v>n/a</v>
          </cell>
          <cell r="Y1171" t="str">
            <v>n/a</v>
          </cell>
        </row>
        <row r="1172">
          <cell r="M1172" t="str">
            <v>Other operating expenses</v>
          </cell>
          <cell r="N1172" t="str">
            <v>Other operating costs</v>
          </cell>
          <cell r="Q1172" t="str">
            <v>n/a</v>
          </cell>
          <cell r="R1172" t="str">
            <v>n/a</v>
          </cell>
          <cell r="S1172" t="str">
            <v>n/a</v>
          </cell>
          <cell r="Y1172" t="str">
            <v>n/a</v>
          </cell>
        </row>
        <row r="1173">
          <cell r="M1173" t="str">
            <v>Other operating expenses</v>
          </cell>
          <cell r="N1173" t="str">
            <v>Other operating costs</v>
          </cell>
          <cell r="Q1173" t="str">
            <v>n/a</v>
          </cell>
          <cell r="R1173" t="str">
            <v>n/a</v>
          </cell>
          <cell r="S1173" t="str">
            <v>n/a</v>
          </cell>
          <cell r="Y1173" t="str">
            <v>n/a</v>
          </cell>
        </row>
        <row r="1174">
          <cell r="M1174" t="str">
            <v>Other operating expenses</v>
          </cell>
          <cell r="N1174" t="str">
            <v>Other operating costs</v>
          </cell>
          <cell r="Q1174" t="str">
            <v>n/a</v>
          </cell>
          <cell r="R1174" t="str">
            <v>n/a</v>
          </cell>
          <cell r="S1174" t="str">
            <v>n/a</v>
          </cell>
          <cell r="Y1174" t="str">
            <v>n/a</v>
          </cell>
        </row>
        <row r="1175">
          <cell r="M1175" t="str">
            <v>Other operating expenses</v>
          </cell>
          <cell r="N1175" t="str">
            <v>Other operating costs</v>
          </cell>
          <cell r="Q1175" t="str">
            <v>n/a</v>
          </cell>
          <cell r="R1175" t="str">
            <v>n/a</v>
          </cell>
          <cell r="S1175" t="str">
            <v>n/a</v>
          </cell>
          <cell r="Y1175" t="str">
            <v>n/a</v>
          </cell>
        </row>
        <row r="1176">
          <cell r="M1176" t="str">
            <v>Other operating expenses</v>
          </cell>
          <cell r="N1176" t="str">
            <v>Other operating costs</v>
          </cell>
          <cell r="Q1176" t="str">
            <v>n/a</v>
          </cell>
          <cell r="R1176" t="str">
            <v>n/a</v>
          </cell>
          <cell r="S1176" t="str">
            <v>n/a</v>
          </cell>
          <cell r="Y1176" t="str">
            <v>n/a</v>
          </cell>
        </row>
        <row r="1177">
          <cell r="M1177" t="str">
            <v>Other operating expenses</v>
          </cell>
          <cell r="N1177" t="str">
            <v>Other operating costs</v>
          </cell>
          <cell r="Q1177" t="str">
            <v>n/a</v>
          </cell>
          <cell r="R1177" t="str">
            <v>n/a</v>
          </cell>
          <cell r="S1177" t="str">
            <v>n/a</v>
          </cell>
          <cell r="Y1177" t="str">
            <v>n/a</v>
          </cell>
        </row>
        <row r="1178">
          <cell r="M1178" t="str">
            <v>Other operating expenses</v>
          </cell>
          <cell r="N1178" t="str">
            <v>Other operating costs</v>
          </cell>
          <cell r="Q1178" t="str">
            <v>n/a</v>
          </cell>
          <cell r="R1178" t="str">
            <v>n/a</v>
          </cell>
          <cell r="S1178" t="str">
            <v>n/a</v>
          </cell>
          <cell r="Y1178" t="str">
            <v>n/a</v>
          </cell>
        </row>
        <row r="1179">
          <cell r="M1179" t="str">
            <v>Other operating expenses</v>
          </cell>
          <cell r="N1179" t="str">
            <v>Other operating costs</v>
          </cell>
          <cell r="Q1179" t="str">
            <v>n/a</v>
          </cell>
          <cell r="R1179" t="str">
            <v>n/a</v>
          </cell>
          <cell r="S1179" t="str">
            <v>n/a</v>
          </cell>
          <cell r="Y1179" t="str">
            <v>n/a</v>
          </cell>
        </row>
        <row r="1180">
          <cell r="M1180" t="str">
            <v>Other operating expenses</v>
          </cell>
          <cell r="N1180" t="str">
            <v>Other operating costs</v>
          </cell>
          <cell r="Q1180" t="str">
            <v>n/a</v>
          </cell>
          <cell r="R1180" t="str">
            <v>n/a</v>
          </cell>
          <cell r="S1180" t="str">
            <v>n/a</v>
          </cell>
          <cell r="Y1180" t="str">
            <v>n/a</v>
          </cell>
        </row>
        <row r="1181">
          <cell r="M1181" t="str">
            <v>Other operating expenses</v>
          </cell>
          <cell r="N1181" t="str">
            <v>Other operating costs</v>
          </cell>
          <cell r="Q1181" t="str">
            <v>n/a</v>
          </cell>
          <cell r="R1181" t="str">
            <v>n/a</v>
          </cell>
          <cell r="S1181" t="str">
            <v>n/a</v>
          </cell>
          <cell r="Y1181" t="str">
            <v>n/a</v>
          </cell>
        </row>
        <row r="1182">
          <cell r="M1182" t="str">
            <v>Other operating expenses</v>
          </cell>
          <cell r="N1182" t="str">
            <v xml:space="preserve">IC operating expenses </v>
          </cell>
          <cell r="Q1182" t="str">
            <v>n/a</v>
          </cell>
          <cell r="R1182" t="str">
            <v>n/a</v>
          </cell>
          <cell r="S1182" t="str">
            <v>n/a</v>
          </cell>
          <cell r="Y1182" t="str">
            <v>n/a</v>
          </cell>
        </row>
        <row r="1183">
          <cell r="M1183" t="str">
            <v>Other operating expenses</v>
          </cell>
          <cell r="N1183" t="str">
            <v>IC operating expenses management fees</v>
          </cell>
          <cell r="Q1183" t="str">
            <v>n/a</v>
          </cell>
          <cell r="R1183" t="str">
            <v>n/a</v>
          </cell>
          <cell r="S1183" t="str">
            <v>n/a</v>
          </cell>
          <cell r="Y1183" t="str">
            <v>n/a</v>
          </cell>
        </row>
        <row r="1184">
          <cell r="M1184" t="str">
            <v>Other operating expenses</v>
          </cell>
          <cell r="N1184" t="str">
            <v>Information technology</v>
          </cell>
          <cell r="Q1184" t="str">
            <v>n/a</v>
          </cell>
          <cell r="R1184" t="str">
            <v>n/a</v>
          </cell>
          <cell r="S1184" t="str">
            <v>n/a</v>
          </cell>
          <cell r="Y1184" t="str">
            <v>n/a</v>
          </cell>
        </row>
        <row r="1185">
          <cell r="M1185" t="str">
            <v>Other operating expenses</v>
          </cell>
          <cell r="N1185" t="str">
            <v>Other operating costs</v>
          </cell>
          <cell r="Q1185" t="str">
            <v>n/a</v>
          </cell>
          <cell r="R1185" t="str">
            <v>n/a</v>
          </cell>
          <cell r="S1185" t="str">
            <v>n/a</v>
          </cell>
          <cell r="Y1185" t="str">
            <v>n/a</v>
          </cell>
        </row>
        <row r="1186">
          <cell r="M1186" t="str">
            <v>Other operating expenses</v>
          </cell>
          <cell r="N1186" t="str">
            <v>Other operating costs</v>
          </cell>
          <cell r="Q1186" t="str">
            <v>n/a</v>
          </cell>
          <cell r="R1186" t="str">
            <v>n/a</v>
          </cell>
          <cell r="S1186" t="str">
            <v>n/a</v>
          </cell>
          <cell r="Y1186" t="str">
            <v>n/a</v>
          </cell>
        </row>
        <row r="1187">
          <cell r="M1187" t="str">
            <v>Other operating expenses</v>
          </cell>
          <cell r="N1187" t="str">
            <v>Other operating costs</v>
          </cell>
          <cell r="Q1187" t="str">
            <v>n/a</v>
          </cell>
          <cell r="R1187" t="str">
            <v>n/a</v>
          </cell>
          <cell r="S1187" t="str">
            <v>n/a</v>
          </cell>
          <cell r="Y1187" t="str">
            <v>n/a</v>
          </cell>
        </row>
        <row r="1188">
          <cell r="M1188" t="str">
            <v>Other operating expenses</v>
          </cell>
          <cell r="N1188" t="str">
            <v>Other operating costs</v>
          </cell>
          <cell r="Q1188" t="str">
            <v>n/a</v>
          </cell>
          <cell r="R1188" t="str">
            <v>n/a</v>
          </cell>
          <cell r="S1188" t="str">
            <v>n/a</v>
          </cell>
          <cell r="Y1188" t="str">
            <v>n/a</v>
          </cell>
        </row>
        <row r="1189">
          <cell r="M1189" t="str">
            <v>Taxation</v>
          </cell>
          <cell r="N1189" t="str">
            <v>n/a</v>
          </cell>
          <cell r="Q1189" t="str">
            <v>n/a</v>
          </cell>
          <cell r="R1189" t="str">
            <v>n/a</v>
          </cell>
          <cell r="S1189" t="str">
            <v>n/a</v>
          </cell>
          <cell r="Y1189" t="str">
            <v>n/a</v>
          </cell>
        </row>
        <row r="1190">
          <cell r="M1190" t="str">
            <v>Taxation</v>
          </cell>
          <cell r="N1190" t="str">
            <v>n/a</v>
          </cell>
          <cell r="Q1190" t="str">
            <v>n/a</v>
          </cell>
          <cell r="R1190" t="str">
            <v>n/a</v>
          </cell>
          <cell r="S1190" t="str">
            <v>n/a</v>
          </cell>
          <cell r="Y1190" t="str">
            <v>n/a</v>
          </cell>
        </row>
        <row r="1191">
          <cell r="M1191" t="str">
            <v>Taxation</v>
          </cell>
          <cell r="N1191" t="str">
            <v>n/a</v>
          </cell>
          <cell r="Q1191" t="str">
            <v>n/a</v>
          </cell>
          <cell r="R1191" t="str">
            <v>n/a</v>
          </cell>
          <cell r="S1191" t="str">
            <v>n/a</v>
          </cell>
          <cell r="Y1191" t="str">
            <v>490430</v>
          </cell>
        </row>
        <row r="1192">
          <cell r="M1192" t="str">
            <v>Taxation</v>
          </cell>
          <cell r="N1192" t="str">
            <v>n/a</v>
          </cell>
          <cell r="Q1192" t="str">
            <v>n/a</v>
          </cell>
          <cell r="R1192" t="str">
            <v>n/a</v>
          </cell>
          <cell r="S1192" t="str">
            <v>n/a</v>
          </cell>
          <cell r="Y1192" t="str">
            <v>499005</v>
          </cell>
        </row>
        <row r="1193">
          <cell r="M1193" t="str">
            <v>Taxation</v>
          </cell>
          <cell r="N1193" t="str">
            <v>n/a</v>
          </cell>
          <cell r="Q1193" t="str">
            <v>n/a</v>
          </cell>
          <cell r="R1193" t="str">
            <v>n/a</v>
          </cell>
          <cell r="S1193" t="str">
            <v>n/a</v>
          </cell>
          <cell r="Y1193" t="str">
            <v>499010</v>
          </cell>
        </row>
        <row r="1194">
          <cell r="M1194" t="str">
            <v>Taxation</v>
          </cell>
          <cell r="N1194" t="str">
            <v>n/a</v>
          </cell>
          <cell r="Q1194" t="str">
            <v>n/a</v>
          </cell>
          <cell r="R1194" t="str">
            <v>n/a</v>
          </cell>
          <cell r="S1194" t="str">
            <v>n/a</v>
          </cell>
          <cell r="Y1194" t="str">
            <v>499020</v>
          </cell>
        </row>
        <row r="1195">
          <cell r="M1195" t="str">
            <v>Taxation</v>
          </cell>
          <cell r="N1195" t="str">
            <v>n/a</v>
          </cell>
          <cell r="Q1195" t="str">
            <v>n/a</v>
          </cell>
          <cell r="R1195" t="str">
            <v>n/a</v>
          </cell>
          <cell r="S1195" t="str">
            <v>n/a</v>
          </cell>
          <cell r="Y1195" t="str">
            <v>n/a</v>
          </cell>
        </row>
        <row r="1196">
          <cell r="M1196" t="str">
            <v>Dividend</v>
          </cell>
          <cell r="N1196" t="str">
            <v>n/a</v>
          </cell>
          <cell r="Q1196" t="str">
            <v>n/a</v>
          </cell>
          <cell r="R1196" t="str">
            <v>n/a</v>
          </cell>
          <cell r="S1196" t="str">
            <v>n/a</v>
          </cell>
          <cell r="Y1196" t="str">
            <v>n/a</v>
          </cell>
        </row>
        <row r="1197">
          <cell r="M1197" t="str">
            <v>Dividend</v>
          </cell>
          <cell r="N1197" t="str">
            <v>n/a</v>
          </cell>
          <cell r="Q1197" t="str">
            <v>n/a</v>
          </cell>
          <cell r="R1197" t="str">
            <v>n/a</v>
          </cell>
          <cell r="S1197" t="str">
            <v>n/a</v>
          </cell>
          <cell r="Y1197" t="str">
            <v>n/a</v>
          </cell>
        </row>
        <row r="1198">
          <cell r="M1198" t="str">
            <v>Other income</v>
          </cell>
          <cell r="N1198" t="str">
            <v>Sundry income</v>
          </cell>
          <cell r="Q1198" t="str">
            <v>n/a</v>
          </cell>
          <cell r="R1198" t="str">
            <v>n/a</v>
          </cell>
          <cell r="S1198" t="str">
            <v>n/a</v>
          </cell>
          <cell r="Y1198" t="str">
            <v>870500</v>
          </cell>
        </row>
        <row r="1199">
          <cell r="M1199" t="str">
            <v>n/a</v>
          </cell>
          <cell r="N1199" t="str">
            <v>n/a</v>
          </cell>
          <cell r="Q1199" t="str">
            <v>n/a</v>
          </cell>
          <cell r="R1199" t="str">
            <v>n/a</v>
          </cell>
          <cell r="S1199" t="str">
            <v>n/a</v>
          </cell>
          <cell r="Y1199" t="str">
            <v>n/a</v>
          </cell>
        </row>
        <row r="1200">
          <cell r="M1200" t="str">
            <v>n/a</v>
          </cell>
          <cell r="N1200" t="str">
            <v>n/a</v>
          </cell>
          <cell r="Q1200" t="str">
            <v>n/a</v>
          </cell>
          <cell r="R1200" t="str">
            <v>US$50m SBSA swap  loan</v>
          </cell>
          <cell r="S1200" t="str">
            <v>n/a</v>
          </cell>
          <cell r="Y1200" t="str">
            <v>n/a</v>
          </cell>
        </row>
        <row r="1201">
          <cell r="M1201" t="str">
            <v>n/a</v>
          </cell>
          <cell r="N1201" t="str">
            <v>n/a</v>
          </cell>
          <cell r="Q1201" t="str">
            <v>Income Fund</v>
          </cell>
          <cell r="R1201" t="str">
            <v>n/a</v>
          </cell>
          <cell r="S1201" t="str">
            <v>n/a</v>
          </cell>
          <cell r="Y1201" t="str">
            <v>n/a</v>
          </cell>
        </row>
        <row r="1202">
          <cell r="M1202" t="str">
            <v>n/a</v>
          </cell>
          <cell r="N1202" t="str">
            <v>n/a</v>
          </cell>
          <cell r="Q1202" t="str">
            <v>n/a</v>
          </cell>
          <cell r="R1202" t="str">
            <v>n/a</v>
          </cell>
          <cell r="S1202" t="str">
            <v>n/a</v>
          </cell>
          <cell r="Y1202" t="str">
            <v>n/a</v>
          </cell>
        </row>
        <row r="1203">
          <cell r="M1203" t="str">
            <v>n/a</v>
          </cell>
          <cell r="N1203" t="str">
            <v>n/a</v>
          </cell>
          <cell r="Q1203" t="str">
            <v>n/a</v>
          </cell>
          <cell r="R1203" t="str">
            <v>n/a</v>
          </cell>
          <cell r="S1203" t="str">
            <v>n/a</v>
          </cell>
          <cell r="Y1203" t="str">
            <v>NPBT</v>
          </cell>
        </row>
        <row r="1204">
          <cell r="M1204" t="str">
            <v>n/a</v>
          </cell>
          <cell r="N1204" t="str">
            <v>n/a</v>
          </cell>
          <cell r="Q1204" t="str">
            <v>n/a</v>
          </cell>
          <cell r="R1204" t="str">
            <v>n/a</v>
          </cell>
          <cell r="S1204" t="str">
            <v>n/a</v>
          </cell>
          <cell r="Y1204" t="str">
            <v>TC</v>
          </cell>
        </row>
      </sheetData>
      <sheetData sheetId="14"/>
      <sheetData sheetId="15" refreshError="1">
        <row r="8">
          <cell r="P8" t="str">
            <v>38718Cap</v>
          </cell>
          <cell r="Q8" t="str">
            <v>38718Int</v>
          </cell>
          <cell r="R8" t="str">
            <v>38749Cap</v>
          </cell>
          <cell r="S8" t="str">
            <v>38749Int</v>
          </cell>
          <cell r="T8" t="str">
            <v>38777Cap</v>
          </cell>
          <cell r="U8" t="str">
            <v>38777Int</v>
          </cell>
          <cell r="V8" t="str">
            <v>38808Cap</v>
          </cell>
          <cell r="W8" t="str">
            <v>38808Int</v>
          </cell>
          <cell r="X8" t="str">
            <v>38838Cap</v>
          </cell>
          <cell r="Y8" t="str">
            <v>38838Int</v>
          </cell>
          <cell r="Z8" t="str">
            <v>38869Cap</v>
          </cell>
          <cell r="AA8" t="str">
            <v>38869Int</v>
          </cell>
          <cell r="AB8" t="str">
            <v>38899Cap</v>
          </cell>
          <cell r="AC8" t="str">
            <v>38899Int</v>
          </cell>
          <cell r="AD8" t="str">
            <v>38930Cap</v>
          </cell>
          <cell r="AE8" t="str">
            <v>38930Int</v>
          </cell>
          <cell r="AF8" t="str">
            <v>38961Cap</v>
          </cell>
          <cell r="AG8" t="str">
            <v>38961Int</v>
          </cell>
          <cell r="AH8" t="str">
            <v>38991Cap</v>
          </cell>
          <cell r="AI8" t="str">
            <v>38991Int</v>
          </cell>
          <cell r="AJ8" t="str">
            <v>39022Cap</v>
          </cell>
          <cell r="AK8" t="str">
            <v>39022Int</v>
          </cell>
          <cell r="AL8" t="str">
            <v>39052Cap</v>
          </cell>
          <cell r="AM8" t="str">
            <v>39052Int</v>
          </cell>
        </row>
        <row r="12">
          <cell r="P12">
            <v>148576956.91999999</v>
          </cell>
          <cell r="R12">
            <v>88643849.099999994</v>
          </cell>
          <cell r="T12">
            <v>82818627.829999998</v>
          </cell>
          <cell r="V12">
            <v>91842835.659999996</v>
          </cell>
          <cell r="X12">
            <v>84930856.070000008</v>
          </cell>
        </row>
        <row r="13">
          <cell r="P13">
            <v>3785469.76</v>
          </cell>
          <cell r="Q13">
            <v>918126</v>
          </cell>
          <cell r="R13">
            <v>3924658.88</v>
          </cell>
          <cell r="S13">
            <v>71398</v>
          </cell>
          <cell r="T13">
            <v>3901766.33</v>
          </cell>
          <cell r="U13">
            <v>356582.31</v>
          </cell>
          <cell r="V13">
            <v>3559969.29</v>
          </cell>
          <cell r="W13">
            <v>358544.65</v>
          </cell>
          <cell r="X13">
            <v>182989.91</v>
          </cell>
          <cell r="Y13">
            <v>581791.97</v>
          </cell>
        </row>
        <row r="14">
          <cell r="P14">
            <v>14839927.960000001</v>
          </cell>
          <cell r="R14">
            <v>11197853.49</v>
          </cell>
          <cell r="T14">
            <v>14575667.68</v>
          </cell>
          <cell r="V14">
            <v>17285059.489999998</v>
          </cell>
          <cell r="X14">
            <v>17371711.629999999</v>
          </cell>
        </row>
        <row r="16">
          <cell r="P16">
            <v>167202354.63999999</v>
          </cell>
          <cell r="Q16">
            <v>918126</v>
          </cell>
          <cell r="R16">
            <v>103766361.46999998</v>
          </cell>
          <cell r="S16">
            <v>71398</v>
          </cell>
          <cell r="T16">
            <v>101296061.84</v>
          </cell>
          <cell r="U16">
            <v>356582.31</v>
          </cell>
          <cell r="V16">
            <v>112687864.44</v>
          </cell>
          <cell r="W16">
            <v>358544.65</v>
          </cell>
          <cell r="X16">
            <v>102485557.61</v>
          </cell>
          <cell r="Y16">
            <v>581791.97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23">
          <cell r="P23">
            <v>6001390.3499999996</v>
          </cell>
          <cell r="Q23">
            <v>45530.44</v>
          </cell>
          <cell r="R23">
            <v>3804739.0800000131</v>
          </cell>
          <cell r="S23">
            <v>27640.69</v>
          </cell>
          <cell r="T23">
            <v>3809227.33</v>
          </cell>
          <cell r="U23">
            <v>111543.71</v>
          </cell>
          <cell r="V23">
            <v>2953409.65</v>
          </cell>
          <cell r="W23">
            <v>-61123.28</v>
          </cell>
          <cell r="X23">
            <v>4092084.83</v>
          </cell>
          <cell r="Y23">
            <v>44229.35</v>
          </cell>
        </row>
        <row r="24">
          <cell r="P24">
            <v>10250211.6</v>
          </cell>
          <cell r="Q24">
            <v>58389.599999999999</v>
          </cell>
          <cell r="R24">
            <v>9819683.9399999995</v>
          </cell>
          <cell r="S24">
            <v>59362.98</v>
          </cell>
          <cell r="T24">
            <v>12240886.100000001</v>
          </cell>
          <cell r="U24">
            <v>71647.39</v>
          </cell>
          <cell r="V24">
            <v>11707866.5</v>
          </cell>
          <cell r="W24">
            <v>135121.53</v>
          </cell>
          <cell r="X24">
            <v>8045752.4100000001</v>
          </cell>
          <cell r="Y24">
            <v>7437.94</v>
          </cell>
        </row>
        <row r="25">
          <cell r="P25">
            <v>6868800</v>
          </cell>
          <cell r="Q25">
            <v>0</v>
          </cell>
          <cell r="R25">
            <v>6963862.5</v>
          </cell>
          <cell r="T25">
            <v>6547887.0800000001</v>
          </cell>
          <cell r="V25">
            <v>6060400</v>
          </cell>
          <cell r="X25">
            <v>6643100</v>
          </cell>
        </row>
        <row r="26">
          <cell r="P26">
            <v>110976236.45999999</v>
          </cell>
          <cell r="Q26">
            <v>338009.83</v>
          </cell>
          <cell r="R26">
            <v>118365329.66</v>
          </cell>
          <cell r="S26">
            <v>285410.09999999998</v>
          </cell>
          <cell r="T26">
            <v>104518513.38</v>
          </cell>
          <cell r="U26">
            <v>491691.24</v>
          </cell>
          <cell r="V26">
            <v>74258525.819999993</v>
          </cell>
          <cell r="W26">
            <v>324209.15000000002</v>
          </cell>
          <cell r="X26">
            <v>79642731.25</v>
          </cell>
          <cell r="Y26">
            <v>539643.71</v>
          </cell>
        </row>
        <row r="27">
          <cell r="P27">
            <v>0</v>
          </cell>
        </row>
        <row r="28">
          <cell r="P28">
            <v>0</v>
          </cell>
        </row>
        <row r="31">
          <cell r="P31">
            <v>134096638.41</v>
          </cell>
          <cell r="Q31">
            <v>441929.87</v>
          </cell>
          <cell r="R31">
            <v>138953615.18000001</v>
          </cell>
          <cell r="S31">
            <v>372413.76999999996</v>
          </cell>
          <cell r="T31">
            <v>127116513.89</v>
          </cell>
          <cell r="U31">
            <v>674882.34</v>
          </cell>
          <cell r="V31">
            <v>94980201.969999999</v>
          </cell>
          <cell r="W31">
            <v>398207.4</v>
          </cell>
          <cell r="X31">
            <v>98423668.49000001</v>
          </cell>
          <cell r="Y31">
            <v>591311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9">
          <cell r="P39">
            <v>331.93</v>
          </cell>
          <cell r="R39">
            <v>-116436.77</v>
          </cell>
          <cell r="T39">
            <v>155991.20000000001</v>
          </cell>
          <cell r="V39">
            <v>156187.10999999999</v>
          </cell>
          <cell r="X39">
            <v>171781.46</v>
          </cell>
        </row>
        <row r="40">
          <cell r="P40">
            <v>8324.74</v>
          </cell>
          <cell r="R40">
            <v>2924.16</v>
          </cell>
          <cell r="T40">
            <v>7712.33</v>
          </cell>
          <cell r="V40">
            <v>4198.67</v>
          </cell>
          <cell r="X40">
            <v>324.14999999999998</v>
          </cell>
        </row>
        <row r="41">
          <cell r="P41">
            <v>699.05</v>
          </cell>
          <cell r="R41">
            <v>4213.8</v>
          </cell>
          <cell r="T41">
            <v>13678.32</v>
          </cell>
          <cell r="V41">
            <v>10812.13</v>
          </cell>
          <cell r="X41">
            <v>17675.95</v>
          </cell>
        </row>
        <row r="42">
          <cell r="P42">
            <v>513508</v>
          </cell>
          <cell r="R42">
            <v>257231.45</v>
          </cell>
          <cell r="T42">
            <v>849075.52</v>
          </cell>
          <cell r="V42">
            <v>540790.06000000006</v>
          </cell>
          <cell r="X42">
            <v>1016560.91</v>
          </cell>
        </row>
        <row r="43">
          <cell r="P43">
            <v>0</v>
          </cell>
        </row>
        <row r="45">
          <cell r="P45">
            <v>522863.72</v>
          </cell>
          <cell r="Q45">
            <v>0</v>
          </cell>
          <cell r="R45">
            <v>147932.64000000001</v>
          </cell>
          <cell r="S45">
            <v>0</v>
          </cell>
          <cell r="T45">
            <v>1026457.37</v>
          </cell>
          <cell r="U45">
            <v>0</v>
          </cell>
          <cell r="V45">
            <v>711987.97000000009</v>
          </cell>
          <cell r="W45">
            <v>0</v>
          </cell>
          <cell r="X45">
            <v>1206342.47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52">
          <cell r="P52">
            <v>3958182.63</v>
          </cell>
          <cell r="R52">
            <v>482028.35</v>
          </cell>
          <cell r="T52">
            <v>94608.63</v>
          </cell>
          <cell r="V52">
            <v>24098.7</v>
          </cell>
          <cell r="X52">
            <v>32341.68</v>
          </cell>
        </row>
        <row r="53">
          <cell r="P53">
            <v>141970.69</v>
          </cell>
          <cell r="R53">
            <v>10736.81</v>
          </cell>
          <cell r="T53">
            <v>0</v>
          </cell>
        </row>
        <row r="54">
          <cell r="P54">
            <v>372168.65</v>
          </cell>
          <cell r="R54">
            <v>59167.57</v>
          </cell>
          <cell r="T54">
            <v>53504.29</v>
          </cell>
          <cell r="V54">
            <v>51717.62</v>
          </cell>
          <cell r="X54">
            <v>24481.88</v>
          </cell>
        </row>
        <row r="55">
          <cell r="P55">
            <v>1001300.16</v>
          </cell>
          <cell r="R55">
            <v>830184.45</v>
          </cell>
          <cell r="T55">
            <v>780711.99</v>
          </cell>
          <cell r="V55">
            <v>693964.23</v>
          </cell>
          <cell r="X55">
            <v>848108.01</v>
          </cell>
        </row>
        <row r="56">
          <cell r="P56">
            <v>0</v>
          </cell>
        </row>
        <row r="58">
          <cell r="P58">
            <v>5473622.1299999999</v>
          </cell>
          <cell r="Q58">
            <v>0</v>
          </cell>
          <cell r="R58">
            <v>1382117.18</v>
          </cell>
          <cell r="S58">
            <v>0</v>
          </cell>
          <cell r="T58">
            <v>928824.91</v>
          </cell>
          <cell r="U58">
            <v>0</v>
          </cell>
          <cell r="V58">
            <v>769780.55</v>
          </cell>
          <cell r="W58">
            <v>0</v>
          </cell>
          <cell r="X58">
            <v>904931.57000000007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</row>
        <row r="66">
          <cell r="P66">
            <v>5992449.0099999998</v>
          </cell>
          <cell r="Q66">
            <v>384823.18</v>
          </cell>
          <cell r="R66">
            <v>3802645.84</v>
          </cell>
          <cell r="S66">
            <v>-468135.93</v>
          </cell>
          <cell r="T66">
            <v>3792737.21</v>
          </cell>
          <cell r="V66">
            <v>2986340.28</v>
          </cell>
          <cell r="X66">
            <v>4090554.53</v>
          </cell>
        </row>
        <row r="67">
          <cell r="P67">
            <v>10239291.77</v>
          </cell>
          <cell r="Q67">
            <v>-250377.08</v>
          </cell>
          <cell r="R67">
            <v>9817114.2300000004</v>
          </cell>
          <cell r="S67">
            <v>437749.73</v>
          </cell>
          <cell r="T67">
            <v>12223363.869999999</v>
          </cell>
          <cell r="U67">
            <v>297137.5</v>
          </cell>
          <cell r="V67">
            <v>11850712.039999999</v>
          </cell>
          <cell r="W67">
            <v>166601</v>
          </cell>
          <cell r="X67">
            <v>8040380.7599999998</v>
          </cell>
          <cell r="Y67">
            <v>262882</v>
          </cell>
        </row>
        <row r="68">
          <cell r="P68">
            <v>0</v>
          </cell>
        </row>
        <row r="69">
          <cell r="P69">
            <v>101821175.16</v>
          </cell>
          <cell r="Q69">
            <v>256573.77</v>
          </cell>
          <cell r="R69">
            <v>111275778.88</v>
          </cell>
          <cell r="S69">
            <v>269687.43</v>
          </cell>
          <cell r="T69">
            <v>94848020.079999998</v>
          </cell>
          <cell r="V69">
            <v>65218098.07</v>
          </cell>
          <cell r="X69">
            <v>72635094.349999994</v>
          </cell>
        </row>
        <row r="71">
          <cell r="P71">
            <v>0</v>
          </cell>
          <cell r="R71">
            <v>0</v>
          </cell>
          <cell r="T71">
            <v>0</v>
          </cell>
          <cell r="V71">
            <v>0</v>
          </cell>
        </row>
        <row r="73">
          <cell r="P73">
            <v>118052915.94</v>
          </cell>
          <cell r="Q73">
            <v>391019.87</v>
          </cell>
          <cell r="R73">
            <v>124895538.94999999</v>
          </cell>
          <cell r="S73">
            <v>239301.22999999998</v>
          </cell>
          <cell r="T73">
            <v>110864121.16</v>
          </cell>
          <cell r="U73">
            <v>297137.5</v>
          </cell>
          <cell r="V73">
            <v>80055150.390000001</v>
          </cell>
          <cell r="W73">
            <v>166601</v>
          </cell>
          <cell r="X73">
            <v>84766029.639999986</v>
          </cell>
          <cell r="Y73">
            <v>262882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80">
          <cell r="P80">
            <v>6868800</v>
          </cell>
          <cell r="R80">
            <v>6963862.5</v>
          </cell>
          <cell r="T80">
            <v>6947758.0499999998</v>
          </cell>
          <cell r="V80">
            <v>6060400</v>
          </cell>
          <cell r="X80">
            <v>6643100</v>
          </cell>
        </row>
        <row r="81">
          <cell r="P81">
            <v>0</v>
          </cell>
        </row>
        <row r="83">
          <cell r="P83">
            <v>6868800</v>
          </cell>
          <cell r="Q83">
            <v>0</v>
          </cell>
          <cell r="R83">
            <v>6963862.5</v>
          </cell>
          <cell r="S83">
            <v>0</v>
          </cell>
          <cell r="T83">
            <v>6947758.0499999998</v>
          </cell>
          <cell r="U83">
            <v>0</v>
          </cell>
          <cell r="V83">
            <v>6060400</v>
          </cell>
          <cell r="W83">
            <v>0</v>
          </cell>
          <cell r="X83">
            <v>6643100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91">
          <cell r="P91">
            <v>158173762.88</v>
          </cell>
          <cell r="Q91">
            <v>423514.21</v>
          </cell>
          <cell r="R91">
            <v>95760255.469999999</v>
          </cell>
          <cell r="S91">
            <v>257058.63</v>
          </cell>
          <cell r="T91">
            <v>92357617.519999996</v>
          </cell>
          <cell r="U91">
            <v>214321.61</v>
          </cell>
          <cell r="V91">
            <v>100382545.73</v>
          </cell>
          <cell r="W91">
            <v>275617.91999999998</v>
          </cell>
          <cell r="X91">
            <v>91537542.790000007</v>
          </cell>
          <cell r="Y91">
            <v>398977.66</v>
          </cell>
        </row>
        <row r="92">
          <cell r="P92">
            <v>3785477.86</v>
          </cell>
          <cell r="Q92">
            <v>9731.49</v>
          </cell>
          <cell r="R92">
            <v>3924694.27</v>
          </cell>
          <cell r="S92">
            <v>9053.7900000000009</v>
          </cell>
          <cell r="T92">
            <v>3901790.24</v>
          </cell>
          <cell r="U92">
            <v>7498.25</v>
          </cell>
          <cell r="V92">
            <v>3359908.66</v>
          </cell>
          <cell r="W92">
            <v>8330.7999999999993</v>
          </cell>
          <cell r="X92">
            <v>183001.49</v>
          </cell>
          <cell r="Y92">
            <v>5159.7299999999996</v>
          </cell>
        </row>
        <row r="93">
          <cell r="P93">
            <v>14848984.800000001</v>
          </cell>
          <cell r="Q93">
            <v>12848.66</v>
          </cell>
          <cell r="R93">
            <v>11198477.68</v>
          </cell>
          <cell r="S93">
            <v>7274.9</v>
          </cell>
          <cell r="T93">
            <v>14593528.02</v>
          </cell>
          <cell r="U93">
            <v>5864.01</v>
          </cell>
          <cell r="V93">
            <v>17347170.449999999</v>
          </cell>
          <cell r="W93">
            <v>13955.7</v>
          </cell>
          <cell r="X93">
            <v>17372020.899999999</v>
          </cell>
          <cell r="Y93">
            <v>19373.36</v>
          </cell>
        </row>
        <row r="95">
          <cell r="P95">
            <v>176808225.54000002</v>
          </cell>
          <cell r="Q95">
            <v>446094.36</v>
          </cell>
          <cell r="R95">
            <v>110883427.41999999</v>
          </cell>
          <cell r="S95">
            <v>273387.32</v>
          </cell>
          <cell r="T95">
            <v>110852935.77999999</v>
          </cell>
          <cell r="U95">
            <v>227683.87</v>
          </cell>
          <cell r="V95">
            <v>121089624.84</v>
          </cell>
          <cell r="W95">
            <v>297904.42</v>
          </cell>
          <cell r="X95">
            <v>109092565.18000001</v>
          </cell>
          <cell r="Y95">
            <v>423510.74999999994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102">
          <cell r="P102">
            <v>298913.15000000002</v>
          </cell>
          <cell r="R102">
            <v>24792.22</v>
          </cell>
          <cell r="T102">
            <v>6981.3</v>
          </cell>
          <cell r="V102">
            <v>3782.11</v>
          </cell>
          <cell r="X102">
            <v>7360.42</v>
          </cell>
        </row>
        <row r="103">
          <cell r="P103">
            <v>409348.83</v>
          </cell>
          <cell r="R103">
            <v>33420.080000000002</v>
          </cell>
          <cell r="T103">
            <v>11586.9</v>
          </cell>
          <cell r="V103">
            <v>7696.97</v>
          </cell>
          <cell r="X103">
            <v>9106.07</v>
          </cell>
        </row>
        <row r="104">
          <cell r="P104">
            <v>972050.18</v>
          </cell>
          <cell r="R104">
            <v>850644.05</v>
          </cell>
          <cell r="T104">
            <v>711164.82</v>
          </cell>
          <cell r="V104">
            <v>601913.02</v>
          </cell>
          <cell r="X104">
            <v>754437.58000000007</v>
          </cell>
        </row>
        <row r="105">
          <cell r="P105">
            <v>4567511.7699999996</v>
          </cell>
          <cell r="R105">
            <v>2148387.12</v>
          </cell>
        </row>
        <row r="109">
          <cell r="P109">
            <v>6247823.9299999997</v>
          </cell>
          <cell r="Q109">
            <v>0</v>
          </cell>
          <cell r="R109">
            <v>3057243.47</v>
          </cell>
          <cell r="S109">
            <v>0</v>
          </cell>
          <cell r="T109">
            <v>729733.0199999999</v>
          </cell>
          <cell r="U109">
            <v>0</v>
          </cell>
          <cell r="V109">
            <v>613392.1</v>
          </cell>
          <cell r="W109">
            <v>0</v>
          </cell>
          <cell r="X109">
            <v>770904.07000000007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6">
          <cell r="P116">
            <v>0</v>
          </cell>
        </row>
        <row r="118"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25">
          <cell r="P125">
            <v>205376.81</v>
          </cell>
          <cell r="R125">
            <v>126857.68</v>
          </cell>
          <cell r="T125">
            <v>121381.07</v>
          </cell>
          <cell r="V125">
            <v>129741.89</v>
          </cell>
          <cell r="X125">
            <v>145451.07</v>
          </cell>
        </row>
        <row r="126">
          <cell r="P126">
            <v>5275.81</v>
          </cell>
          <cell r="R126">
            <v>5029.1099999999997</v>
          </cell>
          <cell r="T126">
            <v>4985.63</v>
          </cell>
          <cell r="V126">
            <v>3356.99</v>
          </cell>
          <cell r="X126">
            <v>1252.75</v>
          </cell>
        </row>
        <row r="127">
          <cell r="P127">
            <v>22931.56</v>
          </cell>
          <cell r="R127">
            <v>22314.52</v>
          </cell>
          <cell r="T127">
            <v>22148.78</v>
          </cell>
          <cell r="V127">
            <v>13641.13</v>
          </cell>
          <cell r="X127">
            <v>27532.560000000001</v>
          </cell>
        </row>
        <row r="129">
          <cell r="P129">
            <v>233584.18</v>
          </cell>
          <cell r="Q129">
            <v>0</v>
          </cell>
          <cell r="R129">
            <v>154201.30999999997</v>
          </cell>
          <cell r="S129">
            <v>0</v>
          </cell>
          <cell r="T129">
            <v>148515.48000000001</v>
          </cell>
          <cell r="U129">
            <v>0</v>
          </cell>
          <cell r="V129">
            <v>146740.01</v>
          </cell>
          <cell r="W129">
            <v>0</v>
          </cell>
          <cell r="X129">
            <v>174236.38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5">
          <cell r="P135">
            <v>308211349.59000003</v>
          </cell>
          <cell r="Q135">
            <v>837114.23</v>
          </cell>
          <cell r="R135">
            <v>245954273.64999998</v>
          </cell>
          <cell r="S135">
            <v>512688.55</v>
          </cell>
          <cell r="T135">
            <v>229543063.48999998</v>
          </cell>
          <cell r="U135">
            <v>524821.37</v>
          </cell>
          <cell r="V135">
            <v>207965307.34</v>
          </cell>
          <cell r="W135">
            <v>464505.42</v>
          </cell>
          <cell r="X135">
            <v>201446835.26999998</v>
          </cell>
          <cell r="Y135">
            <v>686392.75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</row>
        <row r="139">
          <cell r="P139">
            <v>4704583.32</v>
          </cell>
          <cell r="R139">
            <v>4549941.76</v>
          </cell>
          <cell r="T139">
            <v>5162604.33</v>
          </cell>
          <cell r="V139">
            <v>3385395.32</v>
          </cell>
          <cell r="X139">
            <v>4907852.53</v>
          </cell>
        </row>
        <row r="140">
          <cell r="P140">
            <v>123362.15</v>
          </cell>
          <cell r="R140">
            <v>176481.9</v>
          </cell>
          <cell r="T140">
            <v>29995.19</v>
          </cell>
          <cell r="V140">
            <v>85499.46</v>
          </cell>
          <cell r="X140">
            <v>275383.71000000002</v>
          </cell>
        </row>
        <row r="142">
          <cell r="P142">
            <v>7554.48</v>
          </cell>
          <cell r="R142">
            <v>10217.200000000001</v>
          </cell>
          <cell r="T142">
            <v>1596649.9</v>
          </cell>
          <cell r="V142">
            <v>10629.07</v>
          </cell>
          <cell r="X142">
            <v>320029.46999999997</v>
          </cell>
        </row>
        <row r="143">
          <cell r="P143">
            <v>216398712.34999999</v>
          </cell>
          <cell r="R143">
            <v>62982120.189999998</v>
          </cell>
          <cell r="T143">
            <v>102353400.59</v>
          </cell>
          <cell r="V143">
            <v>130158124</v>
          </cell>
          <cell r="X143">
            <v>336437890.27999997</v>
          </cell>
        </row>
        <row r="144">
          <cell r="P144">
            <v>69236.73</v>
          </cell>
          <cell r="R144">
            <v>59141.31</v>
          </cell>
          <cell r="V144">
            <v>48531.1</v>
          </cell>
          <cell r="X144">
            <v>94428.63</v>
          </cell>
        </row>
        <row r="146">
          <cell r="P146">
            <v>16450.349999999999</v>
          </cell>
        </row>
        <row r="147">
          <cell r="R147">
            <v>25747.27</v>
          </cell>
          <cell r="T147">
            <v>14936.55</v>
          </cell>
          <cell r="V147">
            <v>26269.09</v>
          </cell>
          <cell r="X147">
            <v>35947.81</v>
          </cell>
        </row>
        <row r="149">
          <cell r="P149">
            <v>8039.36</v>
          </cell>
          <cell r="R149">
            <v>41825.94</v>
          </cell>
          <cell r="T149">
            <v>93386.1</v>
          </cell>
          <cell r="V149">
            <v>36792.400000000001</v>
          </cell>
          <cell r="X149">
            <v>41979.839999999997</v>
          </cell>
        </row>
        <row r="151">
          <cell r="P151">
            <v>21227.68</v>
          </cell>
          <cell r="R151">
            <v>24430.799999999999</v>
          </cell>
          <cell r="T151">
            <v>28570.81</v>
          </cell>
          <cell r="V151">
            <v>10950.67</v>
          </cell>
          <cell r="X151">
            <v>27959.85</v>
          </cell>
        </row>
        <row r="152">
          <cell r="P152">
            <v>26243.360000000001</v>
          </cell>
          <cell r="R152">
            <v>33269.19</v>
          </cell>
          <cell r="T152">
            <v>20245.61</v>
          </cell>
          <cell r="V152">
            <v>34340.559999999998</v>
          </cell>
          <cell r="X152">
            <v>114075.64</v>
          </cell>
        </row>
        <row r="153">
          <cell r="P153">
            <v>40003.199999999997</v>
          </cell>
          <cell r="R153">
            <v>18140.38</v>
          </cell>
          <cell r="T153">
            <v>23338.89</v>
          </cell>
          <cell r="V153">
            <v>41584.519999999997</v>
          </cell>
          <cell r="X153">
            <v>17424.37</v>
          </cell>
        </row>
        <row r="156">
          <cell r="P156">
            <v>1375.31</v>
          </cell>
          <cell r="R156">
            <v>708.1</v>
          </cell>
          <cell r="T156">
            <v>328.85</v>
          </cell>
          <cell r="V156">
            <v>3586.86</v>
          </cell>
          <cell r="X156">
            <v>6834</v>
          </cell>
        </row>
        <row r="158">
          <cell r="P158">
            <v>13093.92</v>
          </cell>
          <cell r="R158">
            <v>10962.03</v>
          </cell>
          <cell r="T158">
            <v>8936.81</v>
          </cell>
          <cell r="V158">
            <v>11314.88</v>
          </cell>
          <cell r="X158">
            <v>9649.4500000000007</v>
          </cell>
        </row>
        <row r="159">
          <cell r="P159">
            <v>11231.5</v>
          </cell>
          <cell r="R159">
            <v>11387.08</v>
          </cell>
          <cell r="T159">
            <v>11346.13</v>
          </cell>
          <cell r="V159">
            <v>11129.27</v>
          </cell>
          <cell r="X159">
            <v>12121.54</v>
          </cell>
        </row>
        <row r="160">
          <cell r="P160">
            <v>185.21</v>
          </cell>
          <cell r="R160">
            <v>181.16</v>
          </cell>
          <cell r="T160">
            <v>1298.97</v>
          </cell>
          <cell r="V160">
            <v>1763.89</v>
          </cell>
          <cell r="X160">
            <v>1648.47</v>
          </cell>
        </row>
        <row r="161">
          <cell r="P161">
            <v>63242.54</v>
          </cell>
          <cell r="R161">
            <v>45676.05</v>
          </cell>
          <cell r="T161">
            <v>39706.980000000003</v>
          </cell>
          <cell r="V161">
            <v>31094.52</v>
          </cell>
          <cell r="X161">
            <v>36631.67</v>
          </cell>
        </row>
        <row r="162">
          <cell r="P162">
            <v>26084.07</v>
          </cell>
          <cell r="R162">
            <v>25508.22</v>
          </cell>
          <cell r="T162">
            <v>16164.27</v>
          </cell>
          <cell r="V162">
            <v>6108.34</v>
          </cell>
          <cell r="X162">
            <v>6392.26</v>
          </cell>
        </row>
        <row r="164">
          <cell r="P164">
            <v>1103.95</v>
          </cell>
          <cell r="R164">
            <v>1523425</v>
          </cell>
          <cell r="T164">
            <v>2924.75</v>
          </cell>
          <cell r="V164">
            <v>2488.66</v>
          </cell>
          <cell r="X164">
            <v>1711.3</v>
          </cell>
        </row>
        <row r="165">
          <cell r="P165">
            <v>34.33</v>
          </cell>
          <cell r="R165">
            <v>34801</v>
          </cell>
          <cell r="T165">
            <v>34.85</v>
          </cell>
          <cell r="V165">
            <v>3.34</v>
          </cell>
          <cell r="X165">
            <v>36.590000000000003</v>
          </cell>
        </row>
        <row r="166">
          <cell r="P166">
            <v>1545695.25</v>
          </cell>
          <cell r="R166">
            <v>1474.22</v>
          </cell>
          <cell r="T166">
            <v>235.35</v>
          </cell>
          <cell r="X166">
            <v>6252164.8600000003</v>
          </cell>
        </row>
      </sheetData>
      <sheetData sheetId="16"/>
      <sheetData sheetId="17"/>
      <sheetData sheetId="18" refreshError="1">
        <row r="103">
          <cell r="A103" t="str">
            <v>Treasury bills</v>
          </cell>
          <cell r="C103">
            <v>8</v>
          </cell>
          <cell r="F103">
            <v>752121.78</v>
          </cell>
          <cell r="G103">
            <v>697916.24</v>
          </cell>
          <cell r="H103">
            <v>736042.15</v>
          </cell>
          <cell r="I103">
            <v>728666.08</v>
          </cell>
          <cell r="J103">
            <v>697612.31</v>
          </cell>
          <cell r="K103">
            <v>712792.75</v>
          </cell>
          <cell r="L103">
            <v>704601.16</v>
          </cell>
          <cell r="M103">
            <v>623060.34</v>
          </cell>
          <cell r="N103">
            <v>613124.71</v>
          </cell>
          <cell r="O103">
            <v>599163.80000000005</v>
          </cell>
          <cell r="P103">
            <v>668051.11</v>
          </cell>
          <cell r="Q103">
            <v>662424.9</v>
          </cell>
          <cell r="R103">
            <v>662562.22</v>
          </cell>
          <cell r="S103">
            <v>657607.19999999995</v>
          </cell>
          <cell r="T103">
            <v>648918.19999999995</v>
          </cell>
          <cell r="U103">
            <v>642497.07999999996</v>
          </cell>
          <cell r="V103">
            <v>679566.32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E103">
            <v>662562.22</v>
          </cell>
          <cell r="AF103">
            <v>660210.68508474575</v>
          </cell>
          <cell r="AG103">
            <v>656321.05133333337</v>
          </cell>
          <cell r="AH103">
            <v>652865.05850000004</v>
          </cell>
          <cell r="AI103">
            <v>658346.77443708619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</row>
        <row r="104">
          <cell r="A104" t="str">
            <v>Government stock</v>
          </cell>
          <cell r="C104">
            <v>8</v>
          </cell>
          <cell r="F104">
            <v>19359.3</v>
          </cell>
          <cell r="G104">
            <v>19659.55</v>
          </cell>
          <cell r="H104">
            <v>19220.09</v>
          </cell>
          <cell r="I104">
            <v>17533.72</v>
          </cell>
          <cell r="J104">
            <v>40326.89</v>
          </cell>
          <cell r="K104">
            <v>56252.71</v>
          </cell>
          <cell r="L104">
            <v>54839.8</v>
          </cell>
          <cell r="M104">
            <v>56270.17</v>
          </cell>
          <cell r="N104">
            <v>55692.81</v>
          </cell>
          <cell r="O104">
            <v>56177.53</v>
          </cell>
          <cell r="P104">
            <v>56241.760000000002</v>
          </cell>
          <cell r="Q104">
            <v>56715.96</v>
          </cell>
          <cell r="R104">
            <v>60177.47</v>
          </cell>
          <cell r="S104">
            <v>56804.38</v>
          </cell>
          <cell r="T104">
            <v>56993.83</v>
          </cell>
          <cell r="U104">
            <v>59766.83</v>
          </cell>
          <cell r="V104">
            <v>57818.34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E104">
            <v>60177.47</v>
          </cell>
          <cell r="AF104">
            <v>58576.68152542373</v>
          </cell>
          <cell r="AG104">
            <v>58031.477111111104</v>
          </cell>
          <cell r="AH104">
            <v>58465.315333333332</v>
          </cell>
          <cell r="AI104">
            <v>58332.492582781451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</row>
        <row r="105">
          <cell r="A105" t="str">
            <v xml:space="preserve">Road Fund Administration </v>
          </cell>
          <cell r="C105">
            <v>8</v>
          </cell>
          <cell r="F105">
            <v>24562.26</v>
          </cell>
          <cell r="G105">
            <v>24308.36</v>
          </cell>
          <cell r="H105">
            <v>22400.68</v>
          </cell>
          <cell r="I105">
            <v>22302.21</v>
          </cell>
          <cell r="J105">
            <v>22373.13</v>
          </cell>
          <cell r="K105">
            <v>23547.8</v>
          </cell>
          <cell r="L105">
            <v>22083.55</v>
          </cell>
          <cell r="M105">
            <v>22223.53</v>
          </cell>
          <cell r="N105">
            <v>22521.39</v>
          </cell>
          <cell r="O105">
            <v>22010.05</v>
          </cell>
          <cell r="P105">
            <v>22008.89</v>
          </cell>
          <cell r="Q105">
            <v>22229.86</v>
          </cell>
          <cell r="R105">
            <v>23730.880000000001</v>
          </cell>
          <cell r="S105">
            <v>22320.13</v>
          </cell>
          <cell r="T105">
            <v>22380.55</v>
          </cell>
          <cell r="U105">
            <v>23006.44</v>
          </cell>
          <cell r="V105">
            <v>28668.51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E105">
            <v>23730.880000000001</v>
          </cell>
          <cell r="AF105">
            <v>23061.371525423729</v>
          </cell>
          <cell r="AG105">
            <v>22826.866333333332</v>
          </cell>
          <cell r="AH105">
            <v>22871.759750000001</v>
          </cell>
          <cell r="AI105">
            <v>24061.821059602647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</row>
        <row r="106">
          <cell r="A106" t="str">
            <v>RCC debentures</v>
          </cell>
          <cell r="C106">
            <v>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20300</v>
          </cell>
          <cell r="O106">
            <v>25000</v>
          </cell>
          <cell r="P106">
            <v>25000</v>
          </cell>
          <cell r="Q106">
            <v>25000</v>
          </cell>
          <cell r="R106">
            <v>25000</v>
          </cell>
          <cell r="S106">
            <v>25000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E106">
            <v>25000</v>
          </cell>
          <cell r="AF106">
            <v>25000</v>
          </cell>
          <cell r="AG106">
            <v>16388.888888888891</v>
          </cell>
          <cell r="AH106">
            <v>12291.666666666666</v>
          </cell>
          <cell r="AI106">
            <v>9768.2119205298022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</row>
        <row r="107">
          <cell r="A107" t="str">
            <v>CashPlus</v>
          </cell>
          <cell r="C107">
            <v>8</v>
          </cell>
          <cell r="F107">
            <v>939200.46</v>
          </cell>
          <cell r="G107">
            <v>945419</v>
          </cell>
          <cell r="H107">
            <v>951090.57</v>
          </cell>
          <cell r="I107">
            <v>957425.78</v>
          </cell>
          <cell r="J107">
            <v>1031328.52</v>
          </cell>
          <cell r="K107">
            <v>1120439.8500000001</v>
          </cell>
          <cell r="L107">
            <v>1098030.1000000001</v>
          </cell>
          <cell r="M107">
            <v>833706.05</v>
          </cell>
          <cell r="N107">
            <v>1138732.79</v>
          </cell>
          <cell r="O107">
            <v>1144029.08</v>
          </cell>
          <cell r="P107">
            <v>1153673.23</v>
          </cell>
          <cell r="Q107">
            <v>1160362.8799999999</v>
          </cell>
          <cell r="R107">
            <v>1167839.3600000001</v>
          </cell>
          <cell r="S107">
            <v>1174856.3600000001</v>
          </cell>
          <cell r="T107">
            <v>1181669.82</v>
          </cell>
          <cell r="U107">
            <v>1181979.27</v>
          </cell>
          <cell r="V107">
            <v>1196096.8600000001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E107">
            <v>1167839.3600000001</v>
          </cell>
          <cell r="AF107">
            <v>1171169.4616949153</v>
          </cell>
          <cell r="AG107">
            <v>1174786.2517777779</v>
          </cell>
          <cell r="AH107">
            <v>1176584.5063333334</v>
          </cell>
          <cell r="AI107">
            <v>1180590.3537748347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</row>
        <row r="108">
          <cell r="A108" t="str">
            <v>Income Fund</v>
          </cell>
          <cell r="C108">
            <v>8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29032.26</v>
          </cell>
          <cell r="M108">
            <v>300000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</row>
        <row r="109">
          <cell r="A109" t="str">
            <v xml:space="preserve">SBSA: Investment call </v>
          </cell>
          <cell r="C109">
            <v>8</v>
          </cell>
          <cell r="F109">
            <v>15805.19</v>
          </cell>
          <cell r="G109">
            <v>16332.38</v>
          </cell>
          <cell r="H109">
            <v>219461.56</v>
          </cell>
          <cell r="I109">
            <v>404486.73</v>
          </cell>
          <cell r="J109">
            <v>656730.93999999994</v>
          </cell>
          <cell r="K109">
            <v>602181.23</v>
          </cell>
          <cell r="L109">
            <v>385047.58</v>
          </cell>
          <cell r="M109">
            <v>346046.44</v>
          </cell>
          <cell r="N109">
            <v>296609.14</v>
          </cell>
          <cell r="O109">
            <v>195184.05</v>
          </cell>
          <cell r="P109">
            <v>160809.4</v>
          </cell>
          <cell r="Q109">
            <v>231895.89</v>
          </cell>
          <cell r="R109">
            <v>153859.48000000001</v>
          </cell>
          <cell r="S109">
            <v>64772.97</v>
          </cell>
          <cell r="T109">
            <v>301019.40999999997</v>
          </cell>
          <cell r="U109">
            <v>446529.34</v>
          </cell>
          <cell r="V109">
            <v>314972.53000000003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E109">
            <v>153859.48000000001</v>
          </cell>
          <cell r="AF109">
            <v>111581.13627118643</v>
          </cell>
          <cell r="AG109">
            <v>176832.09722222222</v>
          </cell>
          <cell r="AH109">
            <v>244256.40791666668</v>
          </cell>
          <cell r="AI109">
            <v>258774.28728476822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</row>
        <row r="110">
          <cell r="A110" t="str">
            <v>IC: Call loans</v>
          </cell>
          <cell r="C110">
            <v>8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45161.29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</row>
        <row r="111">
          <cell r="A111" t="str">
            <v>IC: Vostro account</v>
          </cell>
          <cell r="C111">
            <v>8</v>
          </cell>
          <cell r="F111">
            <v>349.86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4.03</v>
          </cell>
          <cell r="Q111">
            <v>12.14</v>
          </cell>
          <cell r="R111">
            <v>8.3800000000000008</v>
          </cell>
          <cell r="S111">
            <v>330.55</v>
          </cell>
          <cell r="T111">
            <v>0</v>
          </cell>
          <cell r="U111">
            <v>117.22</v>
          </cell>
          <cell r="V111">
            <v>-2.3199999999999998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E111">
            <v>8.3800000000000008</v>
          </cell>
          <cell r="AF111">
            <v>161.27423728813559</v>
          </cell>
          <cell r="AG111">
            <v>105.72422222222222</v>
          </cell>
          <cell r="AH111">
            <v>108.59816666666667</v>
          </cell>
          <cell r="AI111">
            <v>85.826887417218543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</row>
        <row r="112">
          <cell r="A112" t="str">
            <v>Call loans: Banks</v>
          </cell>
          <cell r="C112">
            <v>8</v>
          </cell>
          <cell r="F112">
            <v>305815.31</v>
          </cell>
          <cell r="G112">
            <v>297191.73</v>
          </cell>
          <cell r="H112">
            <v>272628.94</v>
          </cell>
          <cell r="I112">
            <v>290385.18</v>
          </cell>
          <cell r="J112">
            <v>322714.27</v>
          </cell>
          <cell r="K112">
            <v>294623.19</v>
          </cell>
          <cell r="L112">
            <v>335126.88</v>
          </cell>
          <cell r="M112">
            <v>261479.28</v>
          </cell>
          <cell r="N112">
            <v>211067.29</v>
          </cell>
          <cell r="O112">
            <v>187547.56</v>
          </cell>
          <cell r="P112">
            <v>244153.58</v>
          </cell>
          <cell r="Q112">
            <v>127043.62</v>
          </cell>
          <cell r="R112">
            <v>24833.18</v>
          </cell>
          <cell r="S112">
            <v>42902.78</v>
          </cell>
          <cell r="T112">
            <v>25792.959999999999</v>
          </cell>
          <cell r="U112">
            <v>0</v>
          </cell>
          <cell r="V112">
            <v>9721.4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E112">
            <v>24833.18</v>
          </cell>
          <cell r="AF112">
            <v>33408.583389830506</v>
          </cell>
          <cell r="AG112">
            <v>30785.42422222222</v>
          </cell>
          <cell r="AH112">
            <v>23089.068166666664</v>
          </cell>
          <cell r="AI112">
            <v>20344.712450331124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</row>
        <row r="113">
          <cell r="A113" t="str">
            <v>Current account debtors</v>
          </cell>
          <cell r="C113">
            <v>8</v>
          </cell>
          <cell r="F113">
            <v>653188.84</v>
          </cell>
          <cell r="G113">
            <v>678404.31</v>
          </cell>
          <cell r="H113">
            <v>663147.68999999994</v>
          </cell>
          <cell r="I113">
            <v>706534.6</v>
          </cell>
          <cell r="J113">
            <v>600434.5</v>
          </cell>
          <cell r="K113">
            <v>774443.68</v>
          </cell>
          <cell r="L113">
            <v>727173.34</v>
          </cell>
          <cell r="M113">
            <v>751488.27</v>
          </cell>
          <cell r="N113">
            <v>855697.36</v>
          </cell>
          <cell r="O113">
            <v>773046.84</v>
          </cell>
          <cell r="P113">
            <v>777542.75</v>
          </cell>
          <cell r="Q113">
            <v>721318.3</v>
          </cell>
          <cell r="R113">
            <v>765429.35</v>
          </cell>
          <cell r="S113">
            <v>846379.16</v>
          </cell>
          <cell r="T113">
            <v>884349.89</v>
          </cell>
          <cell r="U113">
            <v>842781.09</v>
          </cell>
          <cell r="V113">
            <v>710816.97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E113">
            <v>765429.35</v>
          </cell>
          <cell r="AF113">
            <v>803846.20898305078</v>
          </cell>
          <cell r="AG113">
            <v>831575.25466666673</v>
          </cell>
          <cell r="AH113">
            <v>834376.71350000007</v>
          </cell>
          <cell r="AI113">
            <v>809010.14364238409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</row>
        <row r="114">
          <cell r="A114" t="str">
            <v>Cash management</v>
          </cell>
          <cell r="C114">
            <v>8</v>
          </cell>
          <cell r="F114">
            <v>65198.85</v>
          </cell>
          <cell r="G114">
            <v>68235.27</v>
          </cell>
          <cell r="H114">
            <v>62357.16</v>
          </cell>
          <cell r="I114">
            <v>69815.94</v>
          </cell>
          <cell r="J114">
            <v>53245.09</v>
          </cell>
          <cell r="K114">
            <v>44549.05</v>
          </cell>
          <cell r="L114">
            <v>54742.09</v>
          </cell>
          <cell r="M114">
            <v>70483.86</v>
          </cell>
          <cell r="N114">
            <v>78628.19</v>
          </cell>
          <cell r="O114">
            <v>100943.84</v>
          </cell>
          <cell r="P114">
            <v>75884.490000000005</v>
          </cell>
          <cell r="Q114">
            <v>76036.94</v>
          </cell>
          <cell r="R114">
            <v>33274.44</v>
          </cell>
          <cell r="S114">
            <v>46389.58</v>
          </cell>
          <cell r="T114">
            <v>43825.9</v>
          </cell>
          <cell r="U114">
            <v>58550.239999999998</v>
          </cell>
          <cell r="V114">
            <v>58271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E114">
            <v>33274.44</v>
          </cell>
          <cell r="AF114">
            <v>39498.574237288136</v>
          </cell>
          <cell r="AG114">
            <v>40989.097555555556</v>
          </cell>
          <cell r="AH114">
            <v>45379.383166666674</v>
          </cell>
          <cell r="AI114">
            <v>48026.006490066226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</row>
        <row r="115">
          <cell r="A115" t="str">
            <v>Mortgage advances</v>
          </cell>
          <cell r="C115">
            <v>8</v>
          </cell>
          <cell r="F115">
            <v>1930939.82</v>
          </cell>
          <cell r="G115">
            <v>1944533.81</v>
          </cell>
          <cell r="H115">
            <v>1969117.88</v>
          </cell>
          <cell r="I115">
            <v>1986619.45</v>
          </cell>
          <cell r="J115">
            <v>1993273.07</v>
          </cell>
          <cell r="K115">
            <v>2017606.56</v>
          </cell>
          <cell r="L115">
            <v>2038907.57</v>
          </cell>
          <cell r="M115">
            <v>2073741.7</v>
          </cell>
          <cell r="N115">
            <v>2112685.35</v>
          </cell>
          <cell r="O115">
            <v>2144406.0099999998</v>
          </cell>
          <cell r="P115">
            <v>2173444.2000000002</v>
          </cell>
          <cell r="Q115">
            <v>2224909.87</v>
          </cell>
          <cell r="R115">
            <v>2240494.9900000002</v>
          </cell>
          <cell r="S115">
            <v>2282424.75</v>
          </cell>
          <cell r="T115">
            <v>2337720.9700000002</v>
          </cell>
          <cell r="U115">
            <v>2387157.52</v>
          </cell>
          <cell r="V115">
            <v>2436906.0099999998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E115">
            <v>2240494.9900000002</v>
          </cell>
          <cell r="AF115">
            <v>2260393.8591525424</v>
          </cell>
          <cell r="AG115">
            <v>2287028.7528888891</v>
          </cell>
          <cell r="AH115">
            <v>2312060.9446666669</v>
          </cell>
          <cell r="AI115">
            <v>2337691.3885430465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</row>
        <row r="116">
          <cell r="A116" t="str">
            <v>VAF</v>
          </cell>
          <cell r="C116">
            <v>8</v>
          </cell>
          <cell r="F116">
            <v>1029309.36</v>
          </cell>
          <cell r="G116">
            <v>1030212.5</v>
          </cell>
          <cell r="H116">
            <v>1036495.83</v>
          </cell>
          <cell r="I116">
            <v>1038882.91</v>
          </cell>
          <cell r="J116">
            <v>1027515.62</v>
          </cell>
          <cell r="K116">
            <v>1041966.71</v>
          </cell>
          <cell r="L116">
            <v>1047078.1</v>
          </cell>
          <cell r="M116">
            <v>1053514.74</v>
          </cell>
          <cell r="N116">
            <v>1064046.8500000001</v>
          </cell>
          <cell r="O116">
            <v>1088152.1100000001</v>
          </cell>
          <cell r="P116">
            <v>1107604.99</v>
          </cell>
          <cell r="Q116">
            <v>1130569.79</v>
          </cell>
          <cell r="R116">
            <v>1152453.72</v>
          </cell>
          <cell r="S116">
            <v>1185645.9099999999</v>
          </cell>
          <cell r="T116">
            <v>1206141.29</v>
          </cell>
          <cell r="U116">
            <v>1224176.81</v>
          </cell>
          <cell r="V116">
            <v>1251221.8600000001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E116">
            <v>1152453.72</v>
          </cell>
          <cell r="AF116">
            <v>1168205.9457627118</v>
          </cell>
          <cell r="AG116">
            <v>1181272.5643333332</v>
          </cell>
          <cell r="AH116">
            <v>1191998.6257500001</v>
          </cell>
          <cell r="AI116">
            <v>1204157.0380794702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</row>
        <row r="117">
          <cell r="A117" t="str">
            <v xml:space="preserve">Medium term loans </v>
          </cell>
          <cell r="C117">
            <v>8</v>
          </cell>
          <cell r="F117">
            <v>314716.2</v>
          </cell>
          <cell r="G117">
            <v>312969.52</v>
          </cell>
          <cell r="H117">
            <v>311954.78000000003</v>
          </cell>
          <cell r="I117">
            <v>305026.31</v>
          </cell>
          <cell r="J117">
            <v>306574.32</v>
          </cell>
          <cell r="K117">
            <v>314273.71999999997</v>
          </cell>
          <cell r="L117">
            <v>317946.01</v>
          </cell>
          <cell r="M117">
            <v>325300.01</v>
          </cell>
          <cell r="N117">
            <v>328193.34000000003</v>
          </cell>
          <cell r="O117">
            <v>326584.42</v>
          </cell>
          <cell r="P117">
            <v>333860.63</v>
          </cell>
          <cell r="Q117">
            <v>367242.56</v>
          </cell>
          <cell r="R117">
            <v>366570</v>
          </cell>
          <cell r="S117">
            <v>368288.72</v>
          </cell>
          <cell r="T117">
            <v>371689.36</v>
          </cell>
          <cell r="U117">
            <v>289448.81</v>
          </cell>
          <cell r="V117">
            <v>313238.42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E117">
            <v>366570</v>
          </cell>
          <cell r="AF117">
            <v>367385.66372881358</v>
          </cell>
          <cell r="AG117">
            <v>368868.04800000001</v>
          </cell>
          <cell r="AH117">
            <v>349013.23850000004</v>
          </cell>
          <cell r="AI117">
            <v>341668.73933774832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</row>
        <row r="118">
          <cell r="A118" t="str">
            <v>Revolving credit plan</v>
          </cell>
          <cell r="C118">
            <v>8</v>
          </cell>
          <cell r="F118">
            <v>263543.14</v>
          </cell>
          <cell r="G118">
            <v>266128.59000000003</v>
          </cell>
          <cell r="H118">
            <v>268024.74</v>
          </cell>
          <cell r="I118">
            <v>267466.68</v>
          </cell>
          <cell r="J118">
            <v>267924.81</v>
          </cell>
          <cell r="K118">
            <v>269470.89</v>
          </cell>
          <cell r="L118">
            <v>269799.71999999997</v>
          </cell>
          <cell r="M118">
            <v>272617.40999999997</v>
          </cell>
          <cell r="N118">
            <v>273459.42</v>
          </cell>
          <cell r="O118">
            <v>272921.49</v>
          </cell>
          <cell r="P118">
            <v>275821.42</v>
          </cell>
          <cell r="Q118">
            <v>285275.57</v>
          </cell>
          <cell r="R118">
            <v>297052.68</v>
          </cell>
          <cell r="S118">
            <v>303531.39</v>
          </cell>
          <cell r="T118">
            <v>309678.26</v>
          </cell>
          <cell r="U118">
            <v>317076.77</v>
          </cell>
          <cell r="V118">
            <v>323151.25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E118">
            <v>297052.68</v>
          </cell>
          <cell r="AF118">
            <v>300127.32203389832</v>
          </cell>
          <cell r="AG118">
            <v>303417.08955555561</v>
          </cell>
          <cell r="AH118">
            <v>306832.00966666668</v>
          </cell>
          <cell r="AI118">
            <v>310182.31728476821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</row>
        <row r="119">
          <cell r="A119" t="str">
            <v>Promissory notes</v>
          </cell>
          <cell r="C119">
            <v>8</v>
          </cell>
          <cell r="F119">
            <v>317496.23</v>
          </cell>
          <cell r="G119">
            <v>319351.59000000003</v>
          </cell>
          <cell r="H119">
            <v>238574.13</v>
          </cell>
          <cell r="I119">
            <v>179150.12</v>
          </cell>
          <cell r="J119">
            <v>179257.84</v>
          </cell>
          <cell r="K119">
            <v>181866.14</v>
          </cell>
          <cell r="L119">
            <v>184471.94</v>
          </cell>
          <cell r="M119">
            <v>35973.79</v>
          </cell>
          <cell r="N119">
            <v>7558.33</v>
          </cell>
          <cell r="O119">
            <v>7542.49</v>
          </cell>
          <cell r="P119">
            <v>4952.7700000000004</v>
          </cell>
          <cell r="Q119">
            <v>5000.6000000000004</v>
          </cell>
          <cell r="R119">
            <v>4971.3500000000004</v>
          </cell>
          <cell r="S119">
            <v>2646.29</v>
          </cell>
          <cell r="T119">
            <v>2670.14</v>
          </cell>
          <cell r="U119">
            <v>2516.19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E119">
            <v>4971.3500000000004</v>
          </cell>
          <cell r="AF119">
            <v>3867.9316949152544</v>
          </cell>
          <cell r="AG119">
            <v>3455.3589999999999</v>
          </cell>
          <cell r="AH119">
            <v>3220.56675</v>
          </cell>
          <cell r="AI119">
            <v>2559.390794701987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</row>
        <row r="120">
          <cell r="A120" t="str">
            <v>Investment in preference shares</v>
          </cell>
          <cell r="C120">
            <v>8</v>
          </cell>
          <cell r="F120">
            <v>83000</v>
          </cell>
          <cell r="G120">
            <v>83000</v>
          </cell>
          <cell r="H120">
            <v>83000</v>
          </cell>
          <cell r="I120">
            <v>82866.67</v>
          </cell>
          <cell r="J120">
            <v>79000</v>
          </cell>
          <cell r="K120">
            <v>79000</v>
          </cell>
          <cell r="L120">
            <v>79000</v>
          </cell>
          <cell r="M120">
            <v>79000</v>
          </cell>
          <cell r="N120">
            <v>79000</v>
          </cell>
          <cell r="O120">
            <v>78870.97</v>
          </cell>
          <cell r="P120">
            <v>75000</v>
          </cell>
          <cell r="Q120">
            <v>74774.19</v>
          </cell>
          <cell r="R120">
            <v>68000</v>
          </cell>
          <cell r="S120">
            <v>68000</v>
          </cell>
          <cell r="T120">
            <v>68000</v>
          </cell>
          <cell r="U120">
            <v>67733.33</v>
          </cell>
          <cell r="V120">
            <v>64000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E120">
            <v>68000</v>
          </cell>
          <cell r="AF120">
            <v>68000</v>
          </cell>
          <cell r="AG120">
            <v>68000</v>
          </cell>
          <cell r="AH120">
            <v>67933.332500000004</v>
          </cell>
          <cell r="AI120">
            <v>67125.827152317885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</row>
        <row r="121">
          <cell r="A121" t="str">
            <v>Student loan scheme</v>
          </cell>
          <cell r="C121">
            <v>8</v>
          </cell>
          <cell r="F121">
            <v>28769.65</v>
          </cell>
          <cell r="G121">
            <v>32347.02</v>
          </cell>
          <cell r="H121">
            <v>33136.79</v>
          </cell>
          <cell r="I121">
            <v>33289.89</v>
          </cell>
          <cell r="J121">
            <v>33235.699999999997</v>
          </cell>
          <cell r="K121">
            <v>33258.769999999997</v>
          </cell>
          <cell r="L121">
            <v>33242.03</v>
          </cell>
          <cell r="M121">
            <v>33086.79</v>
          </cell>
          <cell r="N121">
            <v>32812.65</v>
          </cell>
          <cell r="O121">
            <v>32537.48</v>
          </cell>
          <cell r="P121">
            <v>32288.89</v>
          </cell>
          <cell r="Q121">
            <v>32200.99</v>
          </cell>
          <cell r="R121">
            <v>34125.550000000003</v>
          </cell>
          <cell r="S121">
            <v>38386.54</v>
          </cell>
          <cell r="T121">
            <v>39961.660000000003</v>
          </cell>
          <cell r="U121">
            <v>40150.54</v>
          </cell>
          <cell r="V121">
            <v>40130.79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E121">
            <v>34125.550000000003</v>
          </cell>
          <cell r="AF121">
            <v>36147.714745762707</v>
          </cell>
          <cell r="AG121">
            <v>37461.406999999999</v>
          </cell>
          <cell r="AH121">
            <v>38133.69025</v>
          </cell>
          <cell r="AI121">
            <v>38543.690860927156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</row>
        <row r="122">
          <cell r="A122" t="str">
            <v>Assets on lease</v>
          </cell>
          <cell r="C122">
            <v>8</v>
          </cell>
          <cell r="F122">
            <v>25078.86</v>
          </cell>
          <cell r="G122">
            <v>25159.01</v>
          </cell>
          <cell r="H122">
            <v>25086.560000000001</v>
          </cell>
          <cell r="I122">
            <v>25321.42</v>
          </cell>
          <cell r="J122">
            <v>25557.86</v>
          </cell>
          <cell r="K122">
            <v>25134.15</v>
          </cell>
          <cell r="L122">
            <v>13987.02</v>
          </cell>
          <cell r="M122">
            <v>14103.77</v>
          </cell>
          <cell r="N122">
            <v>13970.2</v>
          </cell>
          <cell r="O122">
            <v>14075.63</v>
          </cell>
          <cell r="P122">
            <v>14180.42</v>
          </cell>
          <cell r="Q122">
            <v>13709.38</v>
          </cell>
          <cell r="R122">
            <v>6713.24</v>
          </cell>
          <cell r="S122">
            <v>6621.9</v>
          </cell>
          <cell r="T122">
            <v>6427.75</v>
          </cell>
          <cell r="U122">
            <v>6420.12</v>
          </cell>
          <cell r="V122">
            <v>6464.82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E122">
            <v>6713.24</v>
          </cell>
          <cell r="AF122">
            <v>6669.8922033898307</v>
          </cell>
          <cell r="AG122">
            <v>6586.4876666666669</v>
          </cell>
          <cell r="AH122">
            <v>6544.8957499999997</v>
          </cell>
          <cell r="AI122">
            <v>6528.4563576158935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</row>
        <row r="123">
          <cell r="A123" t="str">
            <v>Way to Pay</v>
          </cell>
          <cell r="C123">
            <v>8</v>
          </cell>
          <cell r="F123">
            <v>194.49</v>
          </cell>
          <cell r="G123">
            <v>190.29</v>
          </cell>
          <cell r="H123">
            <v>186.53</v>
          </cell>
          <cell r="I123">
            <v>198.04</v>
          </cell>
          <cell r="J123">
            <v>203.32</v>
          </cell>
          <cell r="K123">
            <v>196.12</v>
          </cell>
          <cell r="L123">
            <v>180.02</v>
          </cell>
          <cell r="M123">
            <v>195.33</v>
          </cell>
          <cell r="N123">
            <v>196.52</v>
          </cell>
          <cell r="O123">
            <v>194.15</v>
          </cell>
          <cell r="P123">
            <v>191.32</v>
          </cell>
          <cell r="Q123">
            <v>187.28</v>
          </cell>
          <cell r="R123">
            <v>184.83</v>
          </cell>
          <cell r="S123">
            <v>182.23</v>
          </cell>
          <cell r="T123">
            <v>163.57</v>
          </cell>
          <cell r="U123">
            <v>149.47999999999999</v>
          </cell>
          <cell r="V123">
            <v>146.77000000000001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E123">
            <v>184.83</v>
          </cell>
          <cell r="AF123">
            <v>183.59610169491526</v>
          </cell>
          <cell r="AG123">
            <v>176.69822222222223</v>
          </cell>
          <cell r="AH123">
            <v>169.89366666666666</v>
          </cell>
          <cell r="AI123">
            <v>165.14642384105957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</row>
        <row r="124">
          <cell r="A124" t="str">
            <v>Call loans: corporate clients</v>
          </cell>
          <cell r="C124">
            <v>8</v>
          </cell>
          <cell r="F124">
            <v>70806.45</v>
          </cell>
          <cell r="G124">
            <v>79857.14</v>
          </cell>
          <cell r="H124">
            <v>92714.29</v>
          </cell>
          <cell r="I124">
            <v>76516.67</v>
          </cell>
          <cell r="J124">
            <v>80645.16</v>
          </cell>
          <cell r="K124">
            <v>87070</v>
          </cell>
          <cell r="L124">
            <v>128777.42</v>
          </cell>
          <cell r="M124">
            <v>137358.06</v>
          </cell>
          <cell r="N124">
            <v>185909.42</v>
          </cell>
          <cell r="O124">
            <v>232575.52</v>
          </cell>
          <cell r="P124">
            <v>245500.87</v>
          </cell>
          <cell r="Q124">
            <v>275640.78000000003</v>
          </cell>
          <cell r="R124">
            <v>250146.31</v>
          </cell>
          <cell r="S124">
            <v>249796.98</v>
          </cell>
          <cell r="T124">
            <v>224983.09</v>
          </cell>
          <cell r="U124">
            <v>232088.03</v>
          </cell>
          <cell r="V124">
            <v>248277.28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E124">
            <v>250146.31</v>
          </cell>
          <cell r="AF124">
            <v>249980.52627118645</v>
          </cell>
          <cell r="AG124">
            <v>241370.29822222222</v>
          </cell>
          <cell r="AH124">
            <v>239049.73116666669</v>
          </cell>
          <cell r="AI124">
            <v>240944.12860927155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</row>
        <row r="125">
          <cell r="A125" t="str">
            <v>Vostro accounts foreign banks</v>
          </cell>
          <cell r="C125">
            <v>8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3.69</v>
          </cell>
          <cell r="V125">
            <v>-8.6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0.92249999999999999</v>
          </cell>
          <cell r="AI125">
            <v>-1.0324503311258277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</row>
        <row r="126">
          <cell r="A126" t="str">
            <v>Notes &amp; specie</v>
          </cell>
          <cell r="C126">
            <v>8</v>
          </cell>
          <cell r="F126">
            <v>114773.78</v>
          </cell>
          <cell r="G126">
            <v>100613.1</v>
          </cell>
          <cell r="H126">
            <v>113154.12</v>
          </cell>
          <cell r="I126">
            <v>105929.62</v>
          </cell>
          <cell r="J126">
            <v>116146.9</v>
          </cell>
          <cell r="K126">
            <v>106271.58</v>
          </cell>
          <cell r="L126">
            <v>105501.86</v>
          </cell>
          <cell r="M126">
            <v>110430</v>
          </cell>
          <cell r="N126">
            <v>110756.36</v>
          </cell>
          <cell r="O126">
            <v>121451.96</v>
          </cell>
          <cell r="P126">
            <v>119591.7</v>
          </cell>
          <cell r="Q126">
            <v>138366.96</v>
          </cell>
          <cell r="R126">
            <v>119781.72</v>
          </cell>
          <cell r="S126">
            <v>109303.1</v>
          </cell>
          <cell r="T126">
            <v>109535.12</v>
          </cell>
          <cell r="U126">
            <v>105850.21</v>
          </cell>
          <cell r="V126">
            <v>121955.59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E126">
            <v>119781.72</v>
          </cell>
          <cell r="AF126">
            <v>114808.81559322034</v>
          </cell>
          <cell r="AG126">
            <v>112992.32044444444</v>
          </cell>
          <cell r="AH126">
            <v>111206.79283333334</v>
          </cell>
          <cell r="AI126">
            <v>113413.49953642384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</row>
        <row r="127">
          <cell r="A127" t="str">
            <v>Deposits with central bank</v>
          </cell>
          <cell r="C127">
            <v>8</v>
          </cell>
          <cell r="F127">
            <v>78472.899999999994</v>
          </cell>
          <cell r="G127">
            <v>79917.429999999993</v>
          </cell>
          <cell r="H127">
            <v>71395.070000000007</v>
          </cell>
          <cell r="I127">
            <v>93748.19</v>
          </cell>
          <cell r="J127">
            <v>97897.02</v>
          </cell>
          <cell r="K127">
            <v>93806.47</v>
          </cell>
          <cell r="L127">
            <v>90903.03</v>
          </cell>
          <cell r="M127">
            <v>105197.71</v>
          </cell>
          <cell r="N127">
            <v>45511.99</v>
          </cell>
          <cell r="O127">
            <v>106156.62</v>
          </cell>
          <cell r="P127">
            <v>98617.79</v>
          </cell>
          <cell r="Q127">
            <v>99178.09</v>
          </cell>
          <cell r="R127">
            <v>97984.94</v>
          </cell>
          <cell r="S127">
            <v>100826.38</v>
          </cell>
          <cell r="T127">
            <v>95454.88</v>
          </cell>
          <cell r="U127">
            <v>46448.4</v>
          </cell>
          <cell r="V127">
            <v>105123.39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E127">
            <v>97984.94</v>
          </cell>
          <cell r="AF127">
            <v>99333.42</v>
          </cell>
          <cell r="AG127">
            <v>97997.478444444452</v>
          </cell>
          <cell r="AH127">
            <v>85110.208833333338</v>
          </cell>
          <cell r="AI127">
            <v>89218.875165562917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</row>
        <row r="128">
          <cell r="A128" t="str">
            <v>Other accounts (assets)</v>
          </cell>
          <cell r="C128">
            <v>8</v>
          </cell>
          <cell r="F128">
            <v>344523.45</v>
          </cell>
          <cell r="G128">
            <v>273664.33</v>
          </cell>
          <cell r="H128">
            <v>263018.28999999998</v>
          </cell>
          <cell r="I128">
            <v>202940.27</v>
          </cell>
          <cell r="J128">
            <v>38021.06</v>
          </cell>
          <cell r="K128">
            <v>267473.96000000002</v>
          </cell>
          <cell r="L128">
            <v>191441.64</v>
          </cell>
          <cell r="M128">
            <v>97643.520000000004</v>
          </cell>
          <cell r="N128">
            <v>151582.42000000001</v>
          </cell>
          <cell r="O128">
            <v>126496.73</v>
          </cell>
          <cell r="P128">
            <v>77764.210000000006</v>
          </cell>
          <cell r="Q128">
            <v>145191.66</v>
          </cell>
          <cell r="R128">
            <v>134670.62</v>
          </cell>
          <cell r="S128">
            <v>185375.82</v>
          </cell>
          <cell r="T128">
            <v>157401.19</v>
          </cell>
          <cell r="U128">
            <v>131375.54</v>
          </cell>
          <cell r="V128">
            <v>-101024.36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E128">
            <v>134670.62</v>
          </cell>
          <cell r="AF128">
            <v>158734.10474576271</v>
          </cell>
          <cell r="AG128">
            <v>158274.98966666666</v>
          </cell>
          <cell r="AH128">
            <v>151550.12724999999</v>
          </cell>
          <cell r="AI128">
            <v>99697.086821192046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</row>
        <row r="129">
          <cell r="A129" t="str">
            <v>Remittances in transit</v>
          </cell>
          <cell r="C129">
            <v>8</v>
          </cell>
          <cell r="F129">
            <v>63124.88</v>
          </cell>
          <cell r="G129">
            <v>68988.78</v>
          </cell>
          <cell r="H129">
            <v>61630.57</v>
          </cell>
          <cell r="I129">
            <v>73858.16</v>
          </cell>
          <cell r="J129">
            <v>115845.54</v>
          </cell>
          <cell r="K129">
            <v>70009.88</v>
          </cell>
          <cell r="L129">
            <v>80401.09</v>
          </cell>
          <cell r="M129">
            <v>82955.899999999994</v>
          </cell>
          <cell r="N129">
            <v>69185.98</v>
          </cell>
          <cell r="O129">
            <v>88937.73</v>
          </cell>
          <cell r="P129">
            <v>72706.92</v>
          </cell>
          <cell r="Q129">
            <v>50311.06</v>
          </cell>
          <cell r="R129">
            <v>40002.89</v>
          </cell>
          <cell r="S129">
            <v>11931.41</v>
          </cell>
          <cell r="T129">
            <v>58403.69</v>
          </cell>
          <cell r="U129">
            <v>54981.51</v>
          </cell>
          <cell r="V129">
            <v>58816.92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E129">
            <v>40002.89</v>
          </cell>
          <cell r="AF129">
            <v>26680.831694915254</v>
          </cell>
          <cell r="AG129">
            <v>37607.593999999997</v>
          </cell>
          <cell r="AH129">
            <v>41951.072999999997</v>
          </cell>
          <cell r="AI129">
            <v>45413.597880794696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</row>
        <row r="130">
          <cell r="A130" t="str">
            <v>Fixed assets: premises</v>
          </cell>
          <cell r="C130">
            <v>8</v>
          </cell>
          <cell r="F130">
            <v>21425.23</v>
          </cell>
          <cell r="G130">
            <v>21313.54</v>
          </cell>
          <cell r="H130">
            <v>21204.3</v>
          </cell>
          <cell r="I130">
            <v>21146.1</v>
          </cell>
          <cell r="J130">
            <v>21114.07</v>
          </cell>
          <cell r="K130">
            <v>21035.93</v>
          </cell>
          <cell r="L130">
            <v>20976.05</v>
          </cell>
          <cell r="M130">
            <v>20925.34</v>
          </cell>
          <cell r="N130">
            <v>20953.28</v>
          </cell>
          <cell r="O130">
            <v>20935.84</v>
          </cell>
          <cell r="P130">
            <v>20850.95</v>
          </cell>
          <cell r="Q130">
            <v>21880.639999999999</v>
          </cell>
          <cell r="R130">
            <v>22297.39</v>
          </cell>
          <cell r="S130">
            <v>22062.7</v>
          </cell>
          <cell r="T130">
            <v>21853.35</v>
          </cell>
          <cell r="U130">
            <v>21732.3</v>
          </cell>
          <cell r="V130">
            <v>21850.79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E130">
            <v>22297.39</v>
          </cell>
          <cell r="AF130">
            <v>22186.011694915254</v>
          </cell>
          <cell r="AG130">
            <v>22071.428222222221</v>
          </cell>
          <cell r="AH130">
            <v>21986.646166666666</v>
          </cell>
          <cell r="AI130">
            <v>21958.755165562914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</row>
        <row r="131">
          <cell r="A131" t="str">
            <v>Fixed assets: equipment</v>
          </cell>
          <cell r="C131">
            <v>8</v>
          </cell>
          <cell r="F131">
            <v>61889.05</v>
          </cell>
          <cell r="G131">
            <v>60811.24</v>
          </cell>
          <cell r="H131">
            <v>60711.08</v>
          </cell>
          <cell r="I131">
            <v>60305.03</v>
          </cell>
          <cell r="J131">
            <v>60289.599999999999</v>
          </cell>
          <cell r="K131">
            <v>60443.43</v>
          </cell>
          <cell r="L131">
            <v>59559.14</v>
          </cell>
          <cell r="M131">
            <v>59879.35</v>
          </cell>
          <cell r="N131">
            <v>60917.17</v>
          </cell>
          <cell r="O131">
            <v>60360.37</v>
          </cell>
          <cell r="P131">
            <v>59462.8</v>
          </cell>
          <cell r="Q131">
            <v>60332.89</v>
          </cell>
          <cell r="R131">
            <v>59307.61</v>
          </cell>
          <cell r="S131">
            <v>54641.23</v>
          </cell>
          <cell r="T131">
            <v>56034.87</v>
          </cell>
          <cell r="U131">
            <v>54989.88</v>
          </cell>
          <cell r="V131">
            <v>54912.3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E131">
            <v>59307.61</v>
          </cell>
          <cell r="AF131">
            <v>57093.056779661019</v>
          </cell>
          <cell r="AG131">
            <v>56728.570222222224</v>
          </cell>
          <cell r="AH131">
            <v>56293.897666666671</v>
          </cell>
          <cell r="AI131">
            <v>56010.258410596034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</row>
        <row r="132">
          <cell r="A132" t="str">
            <v>NPL</v>
          </cell>
          <cell r="C132">
            <v>8</v>
          </cell>
          <cell r="F132">
            <v>37459.31</v>
          </cell>
          <cell r="G132">
            <v>36872.980000000003</v>
          </cell>
          <cell r="H132">
            <v>35668.58</v>
          </cell>
          <cell r="I132">
            <v>35513.620000000003</v>
          </cell>
          <cell r="J132">
            <v>49362.06</v>
          </cell>
          <cell r="K132">
            <v>48672.69</v>
          </cell>
          <cell r="L132">
            <v>49056.15</v>
          </cell>
          <cell r="M132">
            <v>42527.66</v>
          </cell>
          <cell r="N132">
            <v>39420.559999999998</v>
          </cell>
          <cell r="O132">
            <v>35072.199999999997</v>
          </cell>
          <cell r="P132">
            <v>32456.31</v>
          </cell>
          <cell r="Q132">
            <v>27439.68</v>
          </cell>
          <cell r="R132">
            <v>108271.15</v>
          </cell>
          <cell r="S132">
            <v>107194.4</v>
          </cell>
          <cell r="T132">
            <v>103797.23</v>
          </cell>
          <cell r="U132">
            <v>222557</v>
          </cell>
          <cell r="V132">
            <v>233656.46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E132">
            <v>108271.15</v>
          </cell>
          <cell r="AF132">
            <v>107760.15</v>
          </cell>
          <cell r="AG132">
            <v>106395.14422222222</v>
          </cell>
          <cell r="AH132">
            <v>135435.60816666667</v>
          </cell>
          <cell r="AI132">
            <v>155600.15390728478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</row>
        <row r="133">
          <cell r="A133" t="str">
            <v>NCD's</v>
          </cell>
          <cell r="C133">
            <v>8</v>
          </cell>
          <cell r="D133" t="str">
            <v>term</v>
          </cell>
          <cell r="F133">
            <v>-909561.29</v>
          </cell>
          <cell r="G133">
            <v>-920767.86</v>
          </cell>
          <cell r="H133">
            <v>-967932.26</v>
          </cell>
          <cell r="I133">
            <v>-1099526.67</v>
          </cell>
          <cell r="J133">
            <v>-1381725.81</v>
          </cell>
          <cell r="K133">
            <v>-1417180</v>
          </cell>
          <cell r="L133">
            <v>-1248122.2</v>
          </cell>
          <cell r="M133">
            <v>-1342351.61</v>
          </cell>
          <cell r="N133">
            <v>-1378416.67</v>
          </cell>
          <cell r="O133">
            <v>-1367077.42</v>
          </cell>
          <cell r="P133">
            <v>-1564383.33</v>
          </cell>
          <cell r="Q133">
            <v>-1770322.52</v>
          </cell>
          <cell r="R133">
            <v>-1908961.15</v>
          </cell>
          <cell r="S133">
            <v>-1834796.43</v>
          </cell>
          <cell r="T133">
            <v>-1865084.99</v>
          </cell>
          <cell r="U133">
            <v>-1956301.87</v>
          </cell>
          <cell r="V133">
            <v>-2150914.0299999998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E133">
            <v>-1908961.15</v>
          </cell>
          <cell r="AF133">
            <v>-1873764.3337288136</v>
          </cell>
          <cell r="AG133">
            <v>-1870774.7819999999</v>
          </cell>
          <cell r="AH133">
            <v>-1892156.554</v>
          </cell>
          <cell r="AI133">
            <v>-1945278.9497350992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</row>
        <row r="134">
          <cell r="A134" t="str">
            <v>Fixed deposits: Other banks</v>
          </cell>
          <cell r="C134">
            <v>8</v>
          </cell>
          <cell r="D134" t="str">
            <v>term</v>
          </cell>
          <cell r="F134">
            <v>-129493.61</v>
          </cell>
          <cell r="G134">
            <v>-133024.92000000001</v>
          </cell>
          <cell r="H134">
            <v>-131828.18</v>
          </cell>
          <cell r="I134">
            <v>-61325.56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-25000</v>
          </cell>
          <cell r="O134">
            <v>-50000</v>
          </cell>
          <cell r="P134">
            <v>-50000</v>
          </cell>
          <cell r="Q134">
            <v>-50000</v>
          </cell>
          <cell r="R134">
            <v>-87096.77</v>
          </cell>
          <cell r="S134">
            <v>-150028.73000000001</v>
          </cell>
          <cell r="T134">
            <v>-150804.51999999999</v>
          </cell>
          <cell r="U134">
            <v>-254034.64</v>
          </cell>
          <cell r="V134">
            <v>-380890.8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E134">
            <v>-87096.77</v>
          </cell>
          <cell r="AF134">
            <v>-116962.78491525425</v>
          </cell>
          <cell r="AG134">
            <v>-128619.38255555555</v>
          </cell>
          <cell r="AH134">
            <v>-159973.19691666667</v>
          </cell>
          <cell r="AI134">
            <v>-205327.1419205298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</row>
        <row r="135">
          <cell r="A135" t="str">
            <v>Other group banks: Call deposists</v>
          </cell>
          <cell r="C135">
            <v>8</v>
          </cell>
          <cell r="D135" t="str">
            <v>ic</v>
          </cell>
          <cell r="F135">
            <v>-28260.3</v>
          </cell>
          <cell r="G135">
            <v>-76325.119999999995</v>
          </cell>
          <cell r="H135">
            <v>-193862.2</v>
          </cell>
          <cell r="I135">
            <v>-130195.74</v>
          </cell>
          <cell r="J135">
            <v>-65.97</v>
          </cell>
          <cell r="K135">
            <v>-46.43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-4333.33</v>
          </cell>
          <cell r="Q135">
            <v>-4838.71</v>
          </cell>
          <cell r="R135">
            <v>0</v>
          </cell>
          <cell r="S135">
            <v>-16428.57</v>
          </cell>
          <cell r="T135">
            <v>-967.74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E135">
            <v>0</v>
          </cell>
          <cell r="AF135">
            <v>-7796.6094915254234</v>
          </cell>
          <cell r="AG135">
            <v>-5444.4433333333327</v>
          </cell>
          <cell r="AH135">
            <v>-4083.3324999999995</v>
          </cell>
          <cell r="AI135">
            <v>-3245.0324503311258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</row>
        <row r="136">
          <cell r="A136" t="str">
            <v>Other group banks: Fixed deposists</v>
          </cell>
          <cell r="C136">
            <v>8</v>
          </cell>
          <cell r="D136" t="str">
            <v>ic</v>
          </cell>
          <cell r="F136">
            <v>-391935.48</v>
          </cell>
          <cell r="G136">
            <v>-309285.71000000002</v>
          </cell>
          <cell r="H136">
            <v>-320000</v>
          </cell>
          <cell r="I136">
            <v>-327000</v>
          </cell>
          <cell r="J136">
            <v>-300000</v>
          </cell>
          <cell r="K136">
            <v>-291000</v>
          </cell>
          <cell r="L136">
            <v>-270000</v>
          </cell>
          <cell r="M136">
            <v>-188709.68</v>
          </cell>
          <cell r="N136">
            <v>-150000</v>
          </cell>
          <cell r="O136">
            <v>-54516.13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</row>
        <row r="137">
          <cell r="A137" t="str">
            <v>SBSA: Vostro Account</v>
          </cell>
          <cell r="C137">
            <v>8</v>
          </cell>
          <cell r="D137" t="str">
            <v>ic</v>
          </cell>
          <cell r="F137">
            <v>-52748.39</v>
          </cell>
          <cell r="G137">
            <v>-49075.31</v>
          </cell>
          <cell r="H137">
            <v>-42370.559999999998</v>
          </cell>
          <cell r="I137">
            <v>-54939.11</v>
          </cell>
          <cell r="J137">
            <v>-39672.83</v>
          </cell>
          <cell r="K137">
            <v>-49377.58</v>
          </cell>
          <cell r="L137">
            <v>-41868.410000000003</v>
          </cell>
          <cell r="M137">
            <v>-51051.29</v>
          </cell>
          <cell r="N137">
            <v>-47948.78</v>
          </cell>
          <cell r="O137">
            <v>-76585.34</v>
          </cell>
          <cell r="P137">
            <v>-47195.11</v>
          </cell>
          <cell r="Q137">
            <v>-54859.05</v>
          </cell>
          <cell r="R137">
            <v>-51898.7</v>
          </cell>
          <cell r="S137">
            <v>-42864.639999999999</v>
          </cell>
          <cell r="T137">
            <v>-64623.86</v>
          </cell>
          <cell r="U137">
            <v>-64658.07</v>
          </cell>
          <cell r="V137">
            <v>-59656.9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E137">
            <v>-51898.7</v>
          </cell>
          <cell r="AF137">
            <v>-47611.349491525427</v>
          </cell>
          <cell r="AG137">
            <v>-53471.214222222225</v>
          </cell>
          <cell r="AH137">
            <v>-56267.928166666672</v>
          </cell>
          <cell r="AI137">
            <v>-56963.677350993385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</row>
        <row r="138">
          <cell r="A138" t="str">
            <v>Current account creditors</v>
          </cell>
          <cell r="C138">
            <v>8</v>
          </cell>
          <cell r="D138" t="str">
            <v>on</v>
          </cell>
          <cell r="F138">
            <v>-653804.68999999994</v>
          </cell>
          <cell r="G138">
            <v>-614145.04</v>
          </cell>
          <cell r="H138">
            <v>-673444.25</v>
          </cell>
          <cell r="I138">
            <v>-741771.43</v>
          </cell>
          <cell r="J138">
            <v>-475682.62</v>
          </cell>
          <cell r="K138">
            <v>-770673.14</v>
          </cell>
          <cell r="L138">
            <v>-697414.87</v>
          </cell>
          <cell r="M138">
            <v>-668655.48</v>
          </cell>
          <cell r="N138">
            <v>-814383.98</v>
          </cell>
          <cell r="O138">
            <v>-688366.29</v>
          </cell>
          <cell r="P138">
            <v>-731442.88</v>
          </cell>
          <cell r="Q138">
            <v>-705470.79</v>
          </cell>
          <cell r="R138">
            <v>-726044.2</v>
          </cell>
          <cell r="S138">
            <v>-675123.23</v>
          </cell>
          <cell r="T138">
            <v>-804966.15</v>
          </cell>
          <cell r="U138">
            <v>-832835.79</v>
          </cell>
          <cell r="V138">
            <v>-655136.68000000005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E138">
            <v>-726044.2</v>
          </cell>
          <cell r="AF138">
            <v>-701878.31593220343</v>
          </cell>
          <cell r="AG138">
            <v>-737386.34766666673</v>
          </cell>
          <cell r="AH138">
            <v>-761248.70825000003</v>
          </cell>
          <cell r="AI138">
            <v>-739464.11966887419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</row>
        <row r="139">
          <cell r="A139" t="str">
            <v>Cash management (c)</v>
          </cell>
          <cell r="C139">
            <v>8</v>
          </cell>
          <cell r="D139" t="str">
            <v>on</v>
          </cell>
          <cell r="F139">
            <v>-1140928.8999999999</v>
          </cell>
          <cell r="G139">
            <v>-945773.26</v>
          </cell>
          <cell r="H139">
            <v>-951395.98</v>
          </cell>
          <cell r="I139">
            <v>-1146792.73</v>
          </cell>
          <cell r="J139">
            <v>-1203967.23</v>
          </cell>
          <cell r="K139">
            <v>-1207046.49</v>
          </cell>
          <cell r="L139">
            <v>-1232686.75</v>
          </cell>
          <cell r="M139">
            <v>-1180295.06</v>
          </cell>
          <cell r="N139">
            <v>-1131798.21</v>
          </cell>
          <cell r="O139">
            <v>-1202252.54</v>
          </cell>
          <cell r="P139">
            <v>-1209228.18</v>
          </cell>
          <cell r="Q139">
            <v>-1252090.08</v>
          </cell>
          <cell r="R139">
            <v>-1230820.3799999999</v>
          </cell>
          <cell r="S139">
            <v>-1221179.45</v>
          </cell>
          <cell r="T139">
            <v>-1321583.8</v>
          </cell>
          <cell r="U139">
            <v>-1347761.78</v>
          </cell>
          <cell r="V139">
            <v>-1170300.44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E139">
            <v>-1230820.3799999999</v>
          </cell>
          <cell r="AF139">
            <v>-1226245.0233898305</v>
          </cell>
          <cell r="AG139">
            <v>-1259083.9353333334</v>
          </cell>
          <cell r="AH139">
            <v>-1281253.3965</v>
          </cell>
          <cell r="AI139">
            <v>-1258474.9749668876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</row>
        <row r="140">
          <cell r="A140" t="str">
            <v>Call deposists</v>
          </cell>
          <cell r="C140">
            <v>8</v>
          </cell>
          <cell r="D140" t="str">
            <v>on</v>
          </cell>
          <cell r="F140">
            <v>-1483695.35</v>
          </cell>
          <cell r="G140">
            <v>-1636348.25</v>
          </cell>
          <cell r="H140">
            <v>-1640762.99</v>
          </cell>
          <cell r="I140">
            <v>-1509789.59</v>
          </cell>
          <cell r="J140">
            <v>-1731520.97</v>
          </cell>
          <cell r="K140">
            <v>-1654670.17</v>
          </cell>
          <cell r="L140">
            <v>-1769899.43</v>
          </cell>
          <cell r="M140">
            <v>-1600289.26</v>
          </cell>
          <cell r="N140">
            <v>-1683770.3</v>
          </cell>
          <cell r="O140">
            <v>-1622062.89</v>
          </cell>
          <cell r="P140">
            <v>-1579127.94</v>
          </cell>
          <cell r="Q140">
            <v>-1529213.62</v>
          </cell>
          <cell r="R140">
            <v>-1430970.76</v>
          </cell>
          <cell r="S140">
            <v>-1520796.87</v>
          </cell>
          <cell r="T140">
            <v>-1668142.33</v>
          </cell>
          <cell r="U140">
            <v>-1646452.89</v>
          </cell>
          <cell r="V140">
            <v>-1694581.31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E140">
            <v>-1430970.76</v>
          </cell>
          <cell r="AF140">
            <v>-1473600.1003389831</v>
          </cell>
          <cell r="AG140">
            <v>-1540609.0905555557</v>
          </cell>
          <cell r="AH140">
            <v>-1567070.0404166665</v>
          </cell>
          <cell r="AI140">
            <v>-1593247.8507284767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</row>
        <row r="141">
          <cell r="A141" t="str">
            <v>Plusplan</v>
          </cell>
          <cell r="C141">
            <v>8</v>
          </cell>
          <cell r="D141" t="str">
            <v>on</v>
          </cell>
          <cell r="F141">
            <v>-281964.33</v>
          </cell>
          <cell r="G141">
            <v>-282436.40000000002</v>
          </cell>
          <cell r="H141">
            <v>-289035.42</v>
          </cell>
          <cell r="I141">
            <v>-293053.65999999997</v>
          </cell>
          <cell r="J141">
            <v>-298473.40000000002</v>
          </cell>
          <cell r="K141">
            <v>-303240.73</v>
          </cell>
          <cell r="L141">
            <v>-312701.40999999997</v>
          </cell>
          <cell r="M141">
            <v>-316399.69</v>
          </cell>
          <cell r="N141">
            <v>-313385.76</v>
          </cell>
          <cell r="O141">
            <v>-322115.55</v>
          </cell>
          <cell r="P141">
            <v>-330487.74</v>
          </cell>
          <cell r="Q141">
            <v>-345474.59</v>
          </cell>
          <cell r="R141">
            <v>-310036.38</v>
          </cell>
          <cell r="S141">
            <v>-303894.56</v>
          </cell>
          <cell r="T141">
            <v>-313332.89</v>
          </cell>
          <cell r="U141">
            <v>-322727.26</v>
          </cell>
          <cell r="V141">
            <v>-326046.15999999997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E141">
            <v>-310036.38</v>
          </cell>
          <cell r="AF141">
            <v>-307121.61796610174</v>
          </cell>
          <cell r="AG141">
            <v>-309261.05611111113</v>
          </cell>
          <cell r="AH141">
            <v>-312627.60708333337</v>
          </cell>
          <cell r="AI141">
            <v>-315382.40933774837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</row>
        <row r="142">
          <cell r="A142" t="str">
            <v>Notice deposits</v>
          </cell>
          <cell r="C142">
            <v>8</v>
          </cell>
          <cell r="D142" t="str">
            <v>term</v>
          </cell>
          <cell r="F142">
            <v>-293538.32</v>
          </cell>
          <cell r="G142">
            <v>-292207.34999999998</v>
          </cell>
          <cell r="H142">
            <v>-303253.17</v>
          </cell>
          <cell r="I142">
            <v>-364754.3</v>
          </cell>
          <cell r="J142">
            <v>-365273.37</v>
          </cell>
          <cell r="K142">
            <v>-347568.19</v>
          </cell>
          <cell r="L142">
            <v>-344042.95</v>
          </cell>
          <cell r="M142">
            <v>-363179.45</v>
          </cell>
          <cell r="N142">
            <v>-343950.77</v>
          </cell>
          <cell r="O142">
            <v>-335221.76000000001</v>
          </cell>
          <cell r="P142">
            <v>-328737.25</v>
          </cell>
          <cell r="Q142">
            <v>-307678.01</v>
          </cell>
          <cell r="R142">
            <v>-303862.51</v>
          </cell>
          <cell r="S142">
            <v>-296465.78999999998</v>
          </cell>
          <cell r="T142">
            <v>-293589.07</v>
          </cell>
          <cell r="U142">
            <v>-292721.37</v>
          </cell>
          <cell r="V142">
            <v>-289670.84999999998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E142">
            <v>-303862.51</v>
          </cell>
          <cell r="AF142">
            <v>-300352.20220338984</v>
          </cell>
          <cell r="AG142">
            <v>-298022.67888888891</v>
          </cell>
          <cell r="AH142">
            <v>-296697.35166666668</v>
          </cell>
          <cell r="AI142">
            <v>-295254.82483443711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</row>
        <row r="143">
          <cell r="A143" t="str">
            <v>Fixed deposits</v>
          </cell>
          <cell r="C143">
            <v>8</v>
          </cell>
          <cell r="D143" t="str">
            <v>term</v>
          </cell>
          <cell r="F143">
            <v>-564600.82999999996</v>
          </cell>
          <cell r="G143">
            <v>-672485.31</v>
          </cell>
          <cell r="H143">
            <v>-795985.42</v>
          </cell>
          <cell r="I143">
            <v>-775188</v>
          </cell>
          <cell r="J143">
            <v>-696264.92</v>
          </cell>
          <cell r="K143">
            <v>-564612.34</v>
          </cell>
          <cell r="L143">
            <v>-596849.51</v>
          </cell>
          <cell r="M143">
            <v>-545347.18999999994</v>
          </cell>
          <cell r="N143">
            <v>-598921.62</v>
          </cell>
          <cell r="O143">
            <v>-633366.53</v>
          </cell>
          <cell r="P143">
            <v>-667419.43000000005</v>
          </cell>
          <cell r="Q143">
            <v>-694291.5</v>
          </cell>
          <cell r="R143">
            <v>-690927.97</v>
          </cell>
          <cell r="S143">
            <v>-666328.63</v>
          </cell>
          <cell r="T143">
            <v>-622683.14</v>
          </cell>
          <cell r="U143">
            <v>-617892.76</v>
          </cell>
          <cell r="V143">
            <v>-616644.77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E143">
            <v>-690927.97</v>
          </cell>
          <cell r="AF143">
            <v>-679253.70694915252</v>
          </cell>
          <cell r="AG143">
            <v>-659768.28944444447</v>
          </cell>
          <cell r="AH143">
            <v>-649299.40708333324</v>
          </cell>
          <cell r="AI143">
            <v>-642595.47496688738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</row>
        <row r="144">
          <cell r="A144" t="str">
            <v>Bonusplan</v>
          </cell>
          <cell r="C144">
            <v>8</v>
          </cell>
          <cell r="D144" t="str">
            <v>on</v>
          </cell>
          <cell r="F144">
            <v>-2944.15</v>
          </cell>
          <cell r="G144">
            <v>-2830.16</v>
          </cell>
          <cell r="H144">
            <v>-2883.51</v>
          </cell>
          <cell r="I144">
            <v>-3112.63</v>
          </cell>
          <cell r="J144">
            <v>-3221.63</v>
          </cell>
          <cell r="K144">
            <v>-3372.4</v>
          </cell>
          <cell r="L144">
            <v>-3447.86</v>
          </cell>
          <cell r="M144">
            <v>-3526.41</v>
          </cell>
          <cell r="N144">
            <v>-3716.24</v>
          </cell>
          <cell r="O144">
            <v>-3855.51</v>
          </cell>
          <cell r="P144">
            <v>-3948.6</v>
          </cell>
          <cell r="Q144">
            <v>-3884.44</v>
          </cell>
          <cell r="R144">
            <v>-3675.26</v>
          </cell>
          <cell r="S144">
            <v>-3487.53</v>
          </cell>
          <cell r="T144">
            <v>-3578.1</v>
          </cell>
          <cell r="U144">
            <v>-3688.01</v>
          </cell>
          <cell r="V144">
            <v>-3629.58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E144">
            <v>-3675.26</v>
          </cell>
          <cell r="AF144">
            <v>-3586.1677966101697</v>
          </cell>
          <cell r="AG144">
            <v>-3583.3888888888887</v>
          </cell>
          <cell r="AH144">
            <v>-3609.5441666666666</v>
          </cell>
          <cell r="AI144">
            <v>-3613.6574834437088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</row>
        <row r="145">
          <cell r="A145" t="str">
            <v>Subordinated callable bond</v>
          </cell>
          <cell r="C145">
            <v>8</v>
          </cell>
          <cell r="D145" t="str">
            <v>borr</v>
          </cell>
          <cell r="F145">
            <v>-149511.57</v>
          </cell>
          <cell r="G145">
            <v>-149511.57</v>
          </cell>
          <cell r="H145">
            <v>-149511.57</v>
          </cell>
          <cell r="I145">
            <v>-149511.57</v>
          </cell>
          <cell r="J145">
            <v>-149511.57</v>
          </cell>
          <cell r="K145">
            <v>-149511.57</v>
          </cell>
          <cell r="L145">
            <v>-149511.57</v>
          </cell>
          <cell r="M145">
            <v>-149511.57</v>
          </cell>
          <cell r="N145">
            <v>-149511.57</v>
          </cell>
          <cell r="O145">
            <v>-149511.57</v>
          </cell>
          <cell r="P145">
            <v>-149511.57</v>
          </cell>
          <cell r="Q145">
            <v>-149511.57</v>
          </cell>
          <cell r="R145">
            <v>-149511.57</v>
          </cell>
          <cell r="S145">
            <v>-149511.57</v>
          </cell>
          <cell r="T145">
            <v>-149511.57</v>
          </cell>
          <cell r="U145">
            <v>-149511.57</v>
          </cell>
          <cell r="V145">
            <v>-149511.57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E145">
            <v>-149511.57</v>
          </cell>
          <cell r="AF145">
            <v>-149511.56999999998</v>
          </cell>
          <cell r="AG145">
            <v>-149511.56999999998</v>
          </cell>
          <cell r="AH145">
            <v>-149511.56999999998</v>
          </cell>
          <cell r="AI145">
            <v>-149511.57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</row>
        <row r="146">
          <cell r="A146" t="str">
            <v>US$50m SBSA swap  loan</v>
          </cell>
          <cell r="C146">
            <v>8</v>
          </cell>
          <cell r="D146" t="str">
            <v>borr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-152842.74</v>
          </cell>
          <cell r="K146">
            <v>-315875</v>
          </cell>
          <cell r="L146">
            <v>-315875</v>
          </cell>
          <cell r="M146">
            <v>-315875</v>
          </cell>
          <cell r="N146">
            <v>-315875</v>
          </cell>
          <cell r="O146">
            <v>-315875</v>
          </cell>
          <cell r="P146">
            <v>-315875</v>
          </cell>
          <cell r="Q146">
            <v>-315875</v>
          </cell>
          <cell r="R146">
            <v>-315875</v>
          </cell>
          <cell r="S146">
            <v>-315875</v>
          </cell>
          <cell r="T146">
            <v>-315875</v>
          </cell>
          <cell r="U146">
            <v>-315875</v>
          </cell>
          <cell r="V146">
            <v>-84074.79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E146">
            <v>-315875</v>
          </cell>
          <cell r="AF146">
            <v>-315875</v>
          </cell>
          <cell r="AG146">
            <v>-315875</v>
          </cell>
          <cell r="AH146">
            <v>-315875</v>
          </cell>
          <cell r="AI146">
            <v>-268286.87741721858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</row>
        <row r="147">
          <cell r="A147" t="str">
            <v>Vostro accounts with foreign banks</v>
          </cell>
          <cell r="C147">
            <v>8</v>
          </cell>
          <cell r="F147">
            <v>-1461.34</v>
          </cell>
          <cell r="G147">
            <v>-3214.8</v>
          </cell>
          <cell r="H147">
            <v>-8712</v>
          </cell>
          <cell r="I147">
            <v>-5749.55</v>
          </cell>
          <cell r="J147">
            <v>-4023.38</v>
          </cell>
          <cell r="K147">
            <v>-6615.63</v>
          </cell>
          <cell r="L147">
            <v>-7158.35</v>
          </cell>
          <cell r="M147">
            <v>-3476.53</v>
          </cell>
          <cell r="N147">
            <v>-4251.3500000000004</v>
          </cell>
          <cell r="O147">
            <v>-2564.11</v>
          </cell>
          <cell r="P147">
            <v>-3185.34</v>
          </cell>
          <cell r="Q147">
            <v>-9401.01</v>
          </cell>
          <cell r="R147">
            <v>-6558.18</v>
          </cell>
          <cell r="S147">
            <v>-3390.8</v>
          </cell>
          <cell r="T147">
            <v>-7322.19</v>
          </cell>
          <cell r="U147">
            <v>-4884.66</v>
          </cell>
          <cell r="V147">
            <v>-7803.46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E147">
            <v>-6558.18</v>
          </cell>
          <cell r="AF147">
            <v>-5055.0166101694922</v>
          </cell>
          <cell r="AG147">
            <v>-5835.9318888888893</v>
          </cell>
          <cell r="AH147">
            <v>-5598.1139166666662</v>
          </cell>
          <cell r="AI147">
            <v>-6050.867086092715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</row>
        <row r="148">
          <cell r="A148" t="str">
            <v>Nostro accounts with foreign banks</v>
          </cell>
          <cell r="C148">
            <v>8</v>
          </cell>
          <cell r="F148">
            <v>-2861.45</v>
          </cell>
          <cell r="G148">
            <v>-1923.21</v>
          </cell>
          <cell r="H148">
            <v>-1470.72</v>
          </cell>
          <cell r="I148">
            <v>-1010.36</v>
          </cell>
          <cell r="J148">
            <v>-8623.7000000000007</v>
          </cell>
          <cell r="K148">
            <v>-10760.4</v>
          </cell>
          <cell r="L148">
            <v>-7578.95</v>
          </cell>
          <cell r="M148">
            <v>-6056.14</v>
          </cell>
          <cell r="N148">
            <v>-7821.24</v>
          </cell>
          <cell r="O148">
            <v>-10751.52</v>
          </cell>
          <cell r="P148">
            <v>-10123.49</v>
          </cell>
          <cell r="Q148">
            <v>-13267.73</v>
          </cell>
          <cell r="R148">
            <v>-10550.17</v>
          </cell>
          <cell r="S148">
            <v>-6627.77</v>
          </cell>
          <cell r="T148">
            <v>-9023.4</v>
          </cell>
          <cell r="U148">
            <v>-12391.11</v>
          </cell>
          <cell r="V148">
            <v>-112.86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E148">
            <v>-10550.17</v>
          </cell>
          <cell r="AF148">
            <v>-8688.6920338983055</v>
          </cell>
          <cell r="AG148">
            <v>-8803.980333333333</v>
          </cell>
          <cell r="AH148">
            <v>-9700.7627499999999</v>
          </cell>
          <cell r="AI148">
            <v>-7732.3853642384101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</row>
        <row r="149">
          <cell r="A149" t="str">
            <v>Other accounts (liabilities)</v>
          </cell>
          <cell r="C149">
            <v>8</v>
          </cell>
          <cell r="F149">
            <v>-128100.15</v>
          </cell>
          <cell r="G149">
            <v>-465847.99</v>
          </cell>
          <cell r="H149">
            <v>-400829.4</v>
          </cell>
          <cell r="I149">
            <v>-403682.12</v>
          </cell>
          <cell r="J149">
            <v>-354288.34</v>
          </cell>
          <cell r="K149">
            <v>-419933.01</v>
          </cell>
          <cell r="L149">
            <v>-323990.69</v>
          </cell>
          <cell r="M149">
            <v>-185609.92</v>
          </cell>
          <cell r="N149">
            <v>-143658.28</v>
          </cell>
          <cell r="O149">
            <v>-185749.45</v>
          </cell>
          <cell r="P149">
            <v>-211194.18</v>
          </cell>
          <cell r="Q149">
            <v>-193499.7</v>
          </cell>
          <cell r="R149">
            <v>-154436.84</v>
          </cell>
          <cell r="S149">
            <v>-121886.24</v>
          </cell>
          <cell r="T149">
            <v>-78452.259999999995</v>
          </cell>
          <cell r="U149">
            <v>-6045.85</v>
          </cell>
          <cell r="V149">
            <v>-204225.2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E149">
            <v>-154436.84</v>
          </cell>
          <cell r="AF149">
            <v>-138989.09762711864</v>
          </cell>
          <cell r="AG149">
            <v>-118137.52022222223</v>
          </cell>
          <cell r="AH149">
            <v>-90114.602666666673</v>
          </cell>
          <cell r="AI149">
            <v>-113541.28158940397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</row>
        <row r="150">
          <cell r="A150" t="str">
            <v>SBSA: Call deposits</v>
          </cell>
          <cell r="C150">
            <v>8</v>
          </cell>
          <cell r="D150" t="str">
            <v>ic</v>
          </cell>
          <cell r="F150">
            <v>-65161.29</v>
          </cell>
          <cell r="G150">
            <v>-77142.86</v>
          </cell>
          <cell r="H150">
            <v>0</v>
          </cell>
          <cell r="I150">
            <v>0</v>
          </cell>
          <cell r="J150">
            <v>-1935.48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</row>
        <row r="151">
          <cell r="A151" t="str">
            <v>SBSA: Nostro account</v>
          </cell>
          <cell r="C151">
            <v>8</v>
          </cell>
          <cell r="D151" t="str">
            <v>ic</v>
          </cell>
          <cell r="F151">
            <v>0</v>
          </cell>
          <cell r="G151">
            <v>-0.79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-3511.41</v>
          </cell>
          <cell r="N151">
            <v>0</v>
          </cell>
          <cell r="O151">
            <v>-13669.03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</row>
        <row r="152">
          <cell r="A152" t="str">
            <v>Credits in transit</v>
          </cell>
          <cell r="C152">
            <v>8</v>
          </cell>
          <cell r="F152">
            <v>-395403.78</v>
          </cell>
          <cell r="G152">
            <v>-5896.84</v>
          </cell>
          <cell r="H152">
            <v>-3262.08</v>
          </cell>
          <cell r="I152">
            <v>2571.34</v>
          </cell>
          <cell r="J152">
            <v>-59553.59</v>
          </cell>
          <cell r="K152">
            <v>-63080.45</v>
          </cell>
          <cell r="L152">
            <v>3414.86</v>
          </cell>
          <cell r="M152">
            <v>-36824.400000000001</v>
          </cell>
          <cell r="N152">
            <v>10129.49</v>
          </cell>
          <cell r="O152">
            <v>-16187.3</v>
          </cell>
          <cell r="P152">
            <v>-57690.3</v>
          </cell>
          <cell r="Q152">
            <v>-18259.439999999999</v>
          </cell>
          <cell r="R152">
            <v>-266822.99</v>
          </cell>
          <cell r="S152">
            <v>-5564.41</v>
          </cell>
          <cell r="T152">
            <v>-17876.64</v>
          </cell>
          <cell r="U152">
            <v>3397.91</v>
          </cell>
          <cell r="V152">
            <v>7436.86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E152">
            <v>-266822.99</v>
          </cell>
          <cell r="AF152">
            <v>-142835.8672881356</v>
          </cell>
          <cell r="AG152">
            <v>-99794.35566666667</v>
          </cell>
          <cell r="AH152">
            <v>-73996.289249999987</v>
          </cell>
          <cell r="AI152">
            <v>-57278.225496688734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</row>
        <row r="153">
          <cell r="A153" t="str">
            <v>Issued share capital</v>
          </cell>
          <cell r="C153">
            <v>8</v>
          </cell>
          <cell r="F153">
            <v>-2000</v>
          </cell>
          <cell r="G153">
            <v>-2000</v>
          </cell>
          <cell r="H153">
            <v>-2000</v>
          </cell>
          <cell r="I153">
            <v>-2000</v>
          </cell>
          <cell r="J153">
            <v>-2000</v>
          </cell>
          <cell r="K153">
            <v>-2000</v>
          </cell>
          <cell r="L153">
            <v>-2000</v>
          </cell>
          <cell r="M153">
            <v>-2000</v>
          </cell>
          <cell r="N153">
            <v>-2000</v>
          </cell>
          <cell r="O153">
            <v>-2000</v>
          </cell>
          <cell r="P153">
            <v>-2000</v>
          </cell>
          <cell r="Q153">
            <v>-2000</v>
          </cell>
          <cell r="R153">
            <v>-2000</v>
          </cell>
          <cell r="S153">
            <v>-2000</v>
          </cell>
          <cell r="T153">
            <v>-2000</v>
          </cell>
          <cell r="U153">
            <v>-2000</v>
          </cell>
          <cell r="V153">
            <v>-2000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E153">
            <v>-2000</v>
          </cell>
          <cell r="AF153">
            <v>-2000</v>
          </cell>
          <cell r="AG153">
            <v>-2000</v>
          </cell>
          <cell r="AH153">
            <v>-2000</v>
          </cell>
          <cell r="AI153">
            <v>-2000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</row>
        <row r="154">
          <cell r="A154" t="str">
            <v>Reserves share premium</v>
          </cell>
          <cell r="C154">
            <v>8</v>
          </cell>
          <cell r="F154">
            <v>-441230</v>
          </cell>
          <cell r="G154">
            <v>-441230</v>
          </cell>
          <cell r="H154">
            <v>-441230</v>
          </cell>
          <cell r="I154">
            <v>-441230</v>
          </cell>
          <cell r="J154">
            <v>-441230</v>
          </cell>
          <cell r="K154">
            <v>-441230</v>
          </cell>
          <cell r="L154">
            <v>-441230</v>
          </cell>
          <cell r="M154">
            <v>-441230</v>
          </cell>
          <cell r="N154">
            <v>-441230</v>
          </cell>
          <cell r="O154">
            <v>-441230</v>
          </cell>
          <cell r="P154">
            <v>-441230</v>
          </cell>
          <cell r="Q154">
            <v>-441230</v>
          </cell>
          <cell r="R154">
            <v>-441230</v>
          </cell>
          <cell r="S154">
            <v>-441230</v>
          </cell>
          <cell r="T154">
            <v>-441230</v>
          </cell>
          <cell r="U154">
            <v>-441230</v>
          </cell>
          <cell r="V154">
            <v>-441230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E154">
            <v>-441230</v>
          </cell>
          <cell r="AF154">
            <v>-441230</v>
          </cell>
          <cell r="AG154">
            <v>-441230</v>
          </cell>
          <cell r="AH154">
            <v>-441230</v>
          </cell>
          <cell r="AI154">
            <v>-441230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</row>
        <row r="155">
          <cell r="A155" t="str">
            <v>Reserves non distributable</v>
          </cell>
          <cell r="C155">
            <v>8</v>
          </cell>
          <cell r="F155">
            <v>-27439.84</v>
          </cell>
          <cell r="G155">
            <v>-33883.879999999997</v>
          </cell>
          <cell r="H155">
            <v>-33717</v>
          </cell>
          <cell r="I155">
            <v>-33303.11</v>
          </cell>
          <cell r="J155">
            <v>-33204.76</v>
          </cell>
          <cell r="K155">
            <v>-34977.21</v>
          </cell>
          <cell r="L155">
            <v>-31435.49</v>
          </cell>
          <cell r="M155">
            <v>-32075.77</v>
          </cell>
          <cell r="N155">
            <v>-31421.06</v>
          </cell>
          <cell r="O155">
            <v>-31690.69</v>
          </cell>
          <cell r="P155">
            <v>-31278.32</v>
          </cell>
          <cell r="Q155">
            <v>-32713.88</v>
          </cell>
          <cell r="R155">
            <v>-40118.93</v>
          </cell>
          <cell r="S155">
            <v>-40026.92</v>
          </cell>
          <cell r="T155">
            <v>-40389.269999999997</v>
          </cell>
          <cell r="U155">
            <v>-40478.160000000003</v>
          </cell>
          <cell r="V155">
            <v>-40623.79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E155">
            <v>-40118.93</v>
          </cell>
          <cell r="AF155">
            <v>-40075.264237288131</v>
          </cell>
          <cell r="AG155">
            <v>-40183.421777777774</v>
          </cell>
          <cell r="AH155">
            <v>-40257.10633333333</v>
          </cell>
          <cell r="AI155">
            <v>-40332.385761589401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</row>
        <row r="156">
          <cell r="A156" t="str">
            <v>Reserves distributable</v>
          </cell>
          <cell r="C156">
            <v>8</v>
          </cell>
          <cell r="F156">
            <v>-138302.42000000001</v>
          </cell>
          <cell r="G156">
            <v>-102795.9</v>
          </cell>
          <cell r="H156">
            <v>-118681.37</v>
          </cell>
          <cell r="I156">
            <v>-133839.07999999999</v>
          </cell>
          <cell r="J156">
            <v>-146161.31</v>
          </cell>
          <cell r="K156">
            <v>-112287.86</v>
          </cell>
          <cell r="L156">
            <v>-128704.65</v>
          </cell>
          <cell r="M156">
            <v>-147833.06</v>
          </cell>
          <cell r="N156">
            <v>-168530.6</v>
          </cell>
          <cell r="O156">
            <v>-186839.72</v>
          </cell>
          <cell r="P156">
            <v>-192339.91</v>
          </cell>
          <cell r="Q156">
            <v>-162858.35</v>
          </cell>
          <cell r="R156">
            <v>55852.7</v>
          </cell>
          <cell r="S156">
            <v>-213903.93</v>
          </cell>
          <cell r="T156">
            <v>-205236.61</v>
          </cell>
          <cell r="U156">
            <v>-219815.48</v>
          </cell>
          <cell r="V156">
            <v>-246096.8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E156">
            <v>55852.7</v>
          </cell>
          <cell r="AF156">
            <v>-72167.395593220339</v>
          </cell>
          <cell r="AG156">
            <v>-118002.34722222222</v>
          </cell>
          <cell r="AH156">
            <v>-143455.63041666665</v>
          </cell>
          <cell r="AI156">
            <v>-164527.65860927152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</row>
        <row r="157">
          <cell r="A157" t="str">
            <v>Impairment</v>
          </cell>
          <cell r="C157">
            <v>8</v>
          </cell>
          <cell r="F157">
            <v>-56964.67</v>
          </cell>
          <cell r="G157">
            <v>-61234.03</v>
          </cell>
          <cell r="H157">
            <v>-65002.61</v>
          </cell>
          <cell r="I157">
            <v>-68321.14</v>
          </cell>
          <cell r="J157">
            <v>-68898.86</v>
          </cell>
          <cell r="K157">
            <v>-72528.67</v>
          </cell>
          <cell r="L157">
            <v>-79435.539999999994</v>
          </cell>
          <cell r="M157">
            <v>-77480.98</v>
          </cell>
          <cell r="N157">
            <v>-76155.41</v>
          </cell>
          <cell r="O157">
            <v>-74410.960000000006</v>
          </cell>
          <cell r="P157">
            <v>-69395.41</v>
          </cell>
          <cell r="Q157">
            <v>-71217.89</v>
          </cell>
          <cell r="R157">
            <v>-66360.27</v>
          </cell>
          <cell r="S157">
            <v>-70682.66</v>
          </cell>
          <cell r="T157">
            <v>-69181.73</v>
          </cell>
          <cell r="U157">
            <v>-67264.61</v>
          </cell>
          <cell r="V157">
            <v>-67731.820000000007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E157">
            <v>-66360.27</v>
          </cell>
          <cell r="AF157">
            <v>-68411.573728813557</v>
          </cell>
          <cell r="AG157">
            <v>-68676.849777777781</v>
          </cell>
          <cell r="AH157">
            <v>-68323.789833333329</v>
          </cell>
          <cell r="AI157">
            <v>-68202.259602649021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</row>
        <row r="158">
          <cell r="A158" t="str">
            <v>Foreign currency assets (customer)</v>
          </cell>
          <cell r="C158">
            <v>8</v>
          </cell>
          <cell r="F158">
            <v>19290.78</v>
          </cell>
          <cell r="G158">
            <v>24206.21</v>
          </cell>
          <cell r="H158">
            <v>32554.91</v>
          </cell>
          <cell r="I158">
            <v>35038.080000000002</v>
          </cell>
          <cell r="J158">
            <v>20945.29</v>
          </cell>
          <cell r="K158">
            <v>16444.54</v>
          </cell>
          <cell r="L158">
            <v>12065.14</v>
          </cell>
          <cell r="M158">
            <v>11519.53</v>
          </cell>
          <cell r="N158">
            <v>11835.05</v>
          </cell>
          <cell r="O158">
            <v>11745.12</v>
          </cell>
          <cell r="P158">
            <v>18421.37</v>
          </cell>
          <cell r="Q158">
            <v>16277.41</v>
          </cell>
          <cell r="R158">
            <v>134096.64000000001</v>
          </cell>
          <cell r="S158">
            <v>138953.62</v>
          </cell>
          <cell r="T158">
            <v>127516.38</v>
          </cell>
          <cell r="U158">
            <v>94980.2</v>
          </cell>
          <cell r="V158">
            <v>98423.67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E158">
            <v>134096.64000000001</v>
          </cell>
          <cell r="AF158">
            <v>136401.64745762711</v>
          </cell>
          <cell r="AG158">
            <v>133341.16644444445</v>
          </cell>
          <cell r="AH158">
            <v>123750.92483333334</v>
          </cell>
          <cell r="AI158">
            <v>118551.28973509934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</row>
        <row r="159">
          <cell r="A159" t="str">
            <v>IC: Foreign currency assets (Mauritius)</v>
          </cell>
          <cell r="C159">
            <v>8</v>
          </cell>
          <cell r="F159">
            <v>188922.4</v>
          </cell>
          <cell r="G159">
            <v>138316.35999999999</v>
          </cell>
          <cell r="H159">
            <v>119299.09</v>
          </cell>
          <cell r="I159">
            <v>121024.83</v>
          </cell>
          <cell r="J159">
            <v>88143.03</v>
          </cell>
          <cell r="K159">
            <v>77103.710000000006</v>
          </cell>
          <cell r="L159">
            <v>103231.18</v>
          </cell>
          <cell r="M159">
            <v>111953.71</v>
          </cell>
          <cell r="N159">
            <v>55180.43</v>
          </cell>
          <cell r="O159">
            <v>40102.629999999997</v>
          </cell>
          <cell r="P159">
            <v>93949.1</v>
          </cell>
          <cell r="Q159">
            <v>78541.33</v>
          </cell>
          <cell r="R159">
            <v>167202.35</v>
          </cell>
          <cell r="S159">
            <v>103766.36</v>
          </cell>
          <cell r="T159">
            <v>101296.06</v>
          </cell>
          <cell r="U159">
            <v>112687.86</v>
          </cell>
          <cell r="V159">
            <v>102485.56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E159">
            <v>167202.35</v>
          </cell>
          <cell r="AF159">
            <v>137097.13440677966</v>
          </cell>
          <cell r="AG159">
            <v>124765.65322222223</v>
          </cell>
          <cell r="AH159">
            <v>121746.20491666667</v>
          </cell>
          <cell r="AI159">
            <v>117792.03278145695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</row>
        <row r="160">
          <cell r="A160" t="str">
            <v>IC: AIA Foreign currency loans</v>
          </cell>
          <cell r="C160">
            <v>8</v>
          </cell>
          <cell r="F160">
            <v>203.05</v>
          </cell>
          <cell r="G160">
            <v>132.44</v>
          </cell>
          <cell r="H160">
            <v>2198.31</v>
          </cell>
          <cell r="I160">
            <v>3460.69</v>
          </cell>
          <cell r="J160">
            <v>1900.44</v>
          </cell>
          <cell r="K160">
            <v>2008.87</v>
          </cell>
          <cell r="L160">
            <v>1251.6199999999999</v>
          </cell>
          <cell r="M160">
            <v>1229.94</v>
          </cell>
          <cell r="N160">
            <v>1027.9000000000001</v>
          </cell>
          <cell r="O160">
            <v>1634.12</v>
          </cell>
          <cell r="P160">
            <v>753.29</v>
          </cell>
          <cell r="Q160">
            <v>637.53</v>
          </cell>
          <cell r="R160">
            <v>522.86</v>
          </cell>
          <cell r="S160">
            <v>147.93</v>
          </cell>
          <cell r="T160">
            <v>1026.46</v>
          </cell>
          <cell r="U160">
            <v>711.99</v>
          </cell>
          <cell r="V160">
            <v>1206.3399999999999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E160">
            <v>522.86</v>
          </cell>
          <cell r="AF160">
            <v>344.92711864406783</v>
          </cell>
          <cell r="AG160">
            <v>579.67733333333342</v>
          </cell>
          <cell r="AH160">
            <v>612.75549999999998</v>
          </cell>
          <cell r="AI160">
            <v>734.61721854304642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</row>
        <row r="161">
          <cell r="A161" t="str">
            <v>AIA Foreign currency loans: Customer</v>
          </cell>
          <cell r="C161">
            <v>8</v>
          </cell>
          <cell r="F161">
            <v>47.19</v>
          </cell>
          <cell r="G161">
            <v>50.3</v>
          </cell>
          <cell r="H161">
            <v>65.66</v>
          </cell>
          <cell r="I161">
            <v>127.96</v>
          </cell>
          <cell r="J161">
            <v>81.78</v>
          </cell>
          <cell r="K161">
            <v>62.82</v>
          </cell>
          <cell r="L161">
            <v>52.26</v>
          </cell>
          <cell r="M161">
            <v>49.1</v>
          </cell>
          <cell r="N161">
            <v>49.5</v>
          </cell>
          <cell r="O161">
            <v>59.7</v>
          </cell>
          <cell r="P161">
            <v>67.92</v>
          </cell>
          <cell r="Q161">
            <v>822.28</v>
          </cell>
          <cell r="R161">
            <v>5473.62</v>
          </cell>
          <cell r="S161">
            <v>1382.12</v>
          </cell>
          <cell r="T161">
            <v>928.82</v>
          </cell>
          <cell r="U161">
            <v>769.78</v>
          </cell>
          <cell r="V161">
            <v>904.93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E161">
            <v>5473.62</v>
          </cell>
          <cell r="AF161">
            <v>3531.8911864406782</v>
          </cell>
          <cell r="AG161">
            <v>2635.2777777777783</v>
          </cell>
          <cell r="AH161">
            <v>2168.9033333333336</v>
          </cell>
          <cell r="AI161">
            <v>1909.4121192052983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</row>
        <row r="162">
          <cell r="A162" t="str">
            <v>IC: foreign currency deposits (Mauritius)</v>
          </cell>
          <cell r="C162">
            <v>8</v>
          </cell>
          <cell r="F162">
            <v>-312978.27</v>
          </cell>
          <cell r="G162">
            <v>-305810.63</v>
          </cell>
          <cell r="H162">
            <v>-285490.11</v>
          </cell>
          <cell r="I162">
            <v>-263549.23</v>
          </cell>
          <cell r="J162">
            <v>-236808.4</v>
          </cell>
          <cell r="K162">
            <v>-235388.9</v>
          </cell>
          <cell r="L162">
            <v>-223342.93</v>
          </cell>
          <cell r="M162">
            <v>-208962.27</v>
          </cell>
          <cell r="N162">
            <v>-182773.06</v>
          </cell>
          <cell r="O162">
            <v>-152123.28</v>
          </cell>
          <cell r="P162">
            <v>-207579.14</v>
          </cell>
          <cell r="Q162">
            <v>-128451.5</v>
          </cell>
          <cell r="R162">
            <v>-118052.92</v>
          </cell>
          <cell r="S162">
            <v>-124895.54</v>
          </cell>
          <cell r="T162">
            <v>-110864.12</v>
          </cell>
          <cell r="U162">
            <v>-80055.149999999994</v>
          </cell>
          <cell r="V162">
            <v>-84766.03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E162">
            <v>-118052.92</v>
          </cell>
          <cell r="AF162">
            <v>-121300.26508474576</v>
          </cell>
          <cell r="AG162">
            <v>-117705.59288888889</v>
          </cell>
          <cell r="AH162">
            <v>-108292.98216666667</v>
          </cell>
          <cell r="AI162">
            <v>-103462.94562913907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</row>
        <row r="163">
          <cell r="A163" t="str">
            <v>Foreign currency deposits (banks &amp; customers)</v>
          </cell>
          <cell r="C163">
            <v>8</v>
          </cell>
          <cell r="F163">
            <v>-201639.83</v>
          </cell>
          <cell r="G163">
            <v>-151049.29</v>
          </cell>
          <cell r="H163">
            <v>-137059.32999999999</v>
          </cell>
          <cell r="I163">
            <v>-158619.23000000001</v>
          </cell>
          <cell r="J163">
            <v>-116876.93</v>
          </cell>
          <cell r="K163">
            <v>-135257.38</v>
          </cell>
          <cell r="L163">
            <v>-174449.39</v>
          </cell>
          <cell r="M163">
            <v>-173810.67</v>
          </cell>
          <cell r="N163">
            <v>-96929.4</v>
          </cell>
          <cell r="O163">
            <v>-71630.710000000006</v>
          </cell>
          <cell r="P163">
            <v>-108851.18</v>
          </cell>
          <cell r="Q163">
            <v>-94853.78</v>
          </cell>
          <cell r="R163">
            <v>-183677.03</v>
          </cell>
          <cell r="S163">
            <v>-117847.29</v>
          </cell>
          <cell r="T163">
            <v>-117800.69</v>
          </cell>
          <cell r="U163">
            <v>-127150.02</v>
          </cell>
          <cell r="V163">
            <v>-115735.67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E163">
            <v>-183677.03</v>
          </cell>
          <cell r="AF163">
            <v>-152435.79745762711</v>
          </cell>
          <cell r="AG163">
            <v>-140505.92711111112</v>
          </cell>
          <cell r="AH163">
            <v>-137166.95033333331</v>
          </cell>
          <cell r="AI163">
            <v>-132767.15105960265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</row>
        <row r="164">
          <cell r="A164" t="str">
            <v>IC: AIA Foreign currency deposits</v>
          </cell>
          <cell r="C164">
            <v>8</v>
          </cell>
          <cell r="F164">
            <v>-7222.09</v>
          </cell>
          <cell r="G164">
            <v>-7946.07</v>
          </cell>
          <cell r="H164">
            <v>-7106.01</v>
          </cell>
          <cell r="I164">
            <v>-5821.74</v>
          </cell>
          <cell r="J164">
            <v>-5641.21</v>
          </cell>
          <cell r="K164">
            <v>-6354.96</v>
          </cell>
          <cell r="L164">
            <v>-8460.91</v>
          </cell>
          <cell r="M164">
            <v>-10335.950000000001</v>
          </cell>
          <cell r="N164">
            <v>-5598.99</v>
          </cell>
          <cell r="O164">
            <v>-7122.65</v>
          </cell>
          <cell r="P164">
            <v>-4320.6400000000003</v>
          </cell>
          <cell r="Q164">
            <v>-3951.31</v>
          </cell>
          <cell r="R164">
            <v>-6247.82</v>
          </cell>
          <cell r="S164">
            <v>-3057.24</v>
          </cell>
          <cell r="T164">
            <v>-729.73</v>
          </cell>
          <cell r="U164">
            <v>-614.17999999999995</v>
          </cell>
          <cell r="V164">
            <v>-2234.77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E164">
            <v>-6247.82</v>
          </cell>
          <cell r="AF164">
            <v>-4733.646440677966</v>
          </cell>
          <cell r="AG164">
            <v>-3354.519666666667</v>
          </cell>
          <cell r="AH164">
            <v>-2669.4347500000003</v>
          </cell>
          <cell r="AI164">
            <v>-2580.1989403973512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</row>
        <row r="165">
          <cell r="A165" t="str">
            <v>AIA Foreign currency loans: Other banks</v>
          </cell>
          <cell r="C165">
            <v>8</v>
          </cell>
          <cell r="F165">
            <v>-205.67</v>
          </cell>
          <cell r="G165">
            <v>-123.7</v>
          </cell>
          <cell r="H165">
            <v>-79.27</v>
          </cell>
          <cell r="I165">
            <v>-166.64</v>
          </cell>
          <cell r="J165">
            <v>-206.68</v>
          </cell>
          <cell r="K165">
            <v>-288.31</v>
          </cell>
          <cell r="L165">
            <v>-392.47</v>
          </cell>
          <cell r="M165">
            <v>-405.37</v>
          </cell>
          <cell r="N165">
            <v>-86.22</v>
          </cell>
          <cell r="O165">
            <v>-92.22</v>
          </cell>
          <cell r="P165">
            <v>-128.6</v>
          </cell>
          <cell r="Q165">
            <v>-112.28</v>
          </cell>
          <cell r="R165">
            <v>-233.58</v>
          </cell>
          <cell r="S165">
            <v>-154.5</v>
          </cell>
          <cell r="T165">
            <v>-148.52000000000001</v>
          </cell>
          <cell r="U165">
            <v>-146.74</v>
          </cell>
          <cell r="V165">
            <v>-188.53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E165">
            <v>-233.58</v>
          </cell>
          <cell r="AF165">
            <v>-196.05050847457628</v>
          </cell>
          <cell r="AG165">
            <v>-179.67888888888888</v>
          </cell>
          <cell r="AH165">
            <v>-171.44416666666666</v>
          </cell>
          <cell r="AI165">
            <v>-174.95185430463576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</row>
        <row r="166">
          <cell r="A166" t="str">
            <v xml:space="preserve">IC: Nostro account </v>
          </cell>
          <cell r="C166">
            <v>8</v>
          </cell>
          <cell r="F166">
            <v>37198.92</v>
          </cell>
          <cell r="G166">
            <v>35582.160000000003</v>
          </cell>
          <cell r="H166">
            <v>114946.74</v>
          </cell>
          <cell r="I166">
            <v>152371.07</v>
          </cell>
          <cell r="J166">
            <v>111208.24</v>
          </cell>
          <cell r="K166">
            <v>64135.44</v>
          </cell>
          <cell r="L166">
            <v>47781.74</v>
          </cell>
          <cell r="M166">
            <v>74.42</v>
          </cell>
          <cell r="N166">
            <v>29116.15</v>
          </cell>
          <cell r="O166">
            <v>31.51</v>
          </cell>
          <cell r="P166">
            <v>190543.51</v>
          </cell>
          <cell r="Q166">
            <v>137023.49</v>
          </cell>
          <cell r="R166">
            <v>216434.17</v>
          </cell>
          <cell r="S166">
            <v>64575.74</v>
          </cell>
          <cell r="T166">
            <v>102353.4</v>
          </cell>
          <cell r="U166">
            <v>130182.88</v>
          </cell>
          <cell r="V166">
            <v>336477.25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E166">
            <v>216434.17</v>
          </cell>
          <cell r="AF166">
            <v>144365.76254237289</v>
          </cell>
          <cell r="AG166">
            <v>129894.83766666667</v>
          </cell>
          <cell r="AH166">
            <v>129966.84825000001</v>
          </cell>
          <cell r="AI166">
            <v>172363.0234437086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</row>
        <row r="167">
          <cell r="A167" t="str">
            <v>Nostro accounts foreign banks</v>
          </cell>
          <cell r="C167">
            <v>8</v>
          </cell>
          <cell r="F167">
            <v>1731.87</v>
          </cell>
          <cell r="G167">
            <v>923.6</v>
          </cell>
          <cell r="H167">
            <v>1070.3</v>
          </cell>
          <cell r="I167">
            <v>3396.06</v>
          </cell>
          <cell r="J167">
            <v>2322.0300000000002</v>
          </cell>
          <cell r="K167">
            <v>18549.59</v>
          </cell>
          <cell r="L167">
            <v>31648.81</v>
          </cell>
          <cell r="M167">
            <v>30771.77</v>
          </cell>
          <cell r="N167">
            <v>31940.400000000001</v>
          </cell>
          <cell r="O167">
            <v>22698.49</v>
          </cell>
          <cell r="P167">
            <v>8997.14</v>
          </cell>
          <cell r="Q167">
            <v>11894.9</v>
          </cell>
          <cell r="R167">
            <v>6643.29</v>
          </cell>
          <cell r="S167">
            <v>4999.7</v>
          </cell>
          <cell r="T167">
            <v>7010.24</v>
          </cell>
          <cell r="U167">
            <v>3722.72</v>
          </cell>
          <cell r="V167">
            <v>12122.91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E167">
            <v>6643.29</v>
          </cell>
          <cell r="AF167">
            <v>5863.2811864406776</v>
          </cell>
          <cell r="AG167">
            <v>6258.3447777777783</v>
          </cell>
          <cell r="AH167">
            <v>5624.4385833333336</v>
          </cell>
          <cell r="AI167">
            <v>6958.5618543046367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</row>
        <row r="168">
          <cell r="A168" t="str">
            <v>Not mapped</v>
          </cell>
          <cell r="C168">
            <v>8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</row>
        <row r="169">
          <cell r="A169" t="str">
            <v>Structured finance</v>
          </cell>
          <cell r="C169">
            <v>8</v>
          </cell>
          <cell r="D169" t="str">
            <v>term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</row>
        <row r="170"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</row>
        <row r="173">
          <cell r="A173" t="str">
            <v>Treasury bills</v>
          </cell>
          <cell r="R173">
            <v>728257.93</v>
          </cell>
          <cell r="S173">
            <v>726221.53</v>
          </cell>
          <cell r="T173">
            <v>727592.75</v>
          </cell>
          <cell r="U173">
            <v>728978.62</v>
          </cell>
          <cell r="V173">
            <v>719730.31</v>
          </cell>
          <cell r="W173">
            <v>720905.47</v>
          </cell>
          <cell r="X173">
            <v>721985.1</v>
          </cell>
          <cell r="Y173">
            <v>723396.29</v>
          </cell>
          <cell r="Z173">
            <v>723956.83</v>
          </cell>
          <cell r="AA173">
            <v>726042.23</v>
          </cell>
          <cell r="AB173">
            <v>729546.19</v>
          </cell>
          <cell r="AC173">
            <v>735676.81</v>
          </cell>
          <cell r="AE173">
            <v>728257.93</v>
          </cell>
          <cell r="AF173">
            <v>727291.50288135593</v>
          </cell>
          <cell r="AG173">
            <v>727395.26577777776</v>
          </cell>
          <cell r="AH173">
            <v>727791.10433333344</v>
          </cell>
          <cell r="AI173">
            <v>726136.2392715232</v>
          </cell>
          <cell r="AJ173">
            <v>725269.26093922649</v>
          </cell>
          <cell r="AK173">
            <v>724789.02985849069</v>
          </cell>
          <cell r="AL173">
            <v>724611.35522633756</v>
          </cell>
          <cell r="AM173">
            <v>724539.42937728949</v>
          </cell>
          <cell r="AN173">
            <v>724692.67549342115</v>
          </cell>
          <cell r="AO173">
            <v>725128.61991017964</v>
          </cell>
          <cell r="AP173">
            <v>726024.49358904117</v>
          </cell>
        </row>
        <row r="174">
          <cell r="A174" t="str">
            <v>Government stock</v>
          </cell>
          <cell r="R174">
            <v>52662.07</v>
          </cell>
          <cell r="S174">
            <v>52662.07</v>
          </cell>
          <cell r="T174">
            <v>52662.07</v>
          </cell>
          <cell r="U174">
            <v>52662.07</v>
          </cell>
          <cell r="V174">
            <v>52662.07</v>
          </cell>
          <cell r="W174">
            <v>52662.07</v>
          </cell>
          <cell r="X174">
            <v>52662.07</v>
          </cell>
          <cell r="Y174">
            <v>52662.07</v>
          </cell>
          <cell r="Z174">
            <v>52662.07</v>
          </cell>
          <cell r="AA174">
            <v>52662.07</v>
          </cell>
          <cell r="AB174">
            <v>52662.07</v>
          </cell>
          <cell r="AC174">
            <v>52662.07</v>
          </cell>
          <cell r="AE174">
            <v>52662.07</v>
          </cell>
          <cell r="AF174">
            <v>52662.07</v>
          </cell>
          <cell r="AG174">
            <v>52662.07</v>
          </cell>
          <cell r="AH174">
            <v>52662.07</v>
          </cell>
          <cell r="AI174">
            <v>52662.07</v>
          </cell>
          <cell r="AJ174">
            <v>52662.07</v>
          </cell>
          <cell r="AK174">
            <v>52662.07</v>
          </cell>
          <cell r="AL174">
            <v>52662.07</v>
          </cell>
          <cell r="AM174">
            <v>52662.07</v>
          </cell>
          <cell r="AN174">
            <v>52662.07</v>
          </cell>
          <cell r="AO174">
            <v>52662.07</v>
          </cell>
          <cell r="AP174">
            <v>52662.069999999992</v>
          </cell>
        </row>
        <row r="175">
          <cell r="A175" t="str">
            <v xml:space="preserve">Road Fund Administration </v>
          </cell>
          <cell r="R175">
            <v>23197.57</v>
          </cell>
          <cell r="S175">
            <v>23197.57</v>
          </cell>
          <cell r="T175">
            <v>23197.57</v>
          </cell>
          <cell r="U175">
            <v>23197.57</v>
          </cell>
          <cell r="V175">
            <v>23197.57</v>
          </cell>
          <cell r="W175">
            <v>23197.57</v>
          </cell>
          <cell r="X175">
            <v>23197.57</v>
          </cell>
          <cell r="Y175">
            <v>23197.57</v>
          </cell>
          <cell r="Z175">
            <v>23197.57</v>
          </cell>
          <cell r="AA175">
            <v>23197.57</v>
          </cell>
          <cell r="AB175">
            <v>23197.57</v>
          </cell>
          <cell r="AC175">
            <v>23197.57</v>
          </cell>
          <cell r="AE175">
            <v>23197.57</v>
          </cell>
          <cell r="AF175">
            <v>23197.57</v>
          </cell>
          <cell r="AG175">
            <v>23197.57</v>
          </cell>
          <cell r="AH175">
            <v>23197.57</v>
          </cell>
          <cell r="AI175">
            <v>23197.57</v>
          </cell>
          <cell r="AJ175">
            <v>23197.57</v>
          </cell>
          <cell r="AK175">
            <v>23197.57</v>
          </cell>
          <cell r="AL175">
            <v>23197.57</v>
          </cell>
          <cell r="AM175">
            <v>23197.569999999996</v>
          </cell>
          <cell r="AN175">
            <v>23197.569999999996</v>
          </cell>
          <cell r="AO175">
            <v>23197.569999999996</v>
          </cell>
          <cell r="AP175">
            <v>23197.569999999996</v>
          </cell>
        </row>
        <row r="176">
          <cell r="A176" t="str">
            <v>RCC debentures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</row>
        <row r="177">
          <cell r="A177" t="str">
            <v>CashPlus</v>
          </cell>
          <cell r="R177">
            <v>1100000</v>
          </cell>
          <cell r="S177">
            <v>1100000</v>
          </cell>
          <cell r="T177">
            <v>1100000</v>
          </cell>
          <cell r="U177">
            <v>1100000</v>
          </cell>
          <cell r="V177">
            <v>1100000</v>
          </cell>
          <cell r="W177">
            <v>1100000</v>
          </cell>
          <cell r="X177">
            <v>1100000</v>
          </cell>
          <cell r="Y177">
            <v>1100000</v>
          </cell>
          <cell r="Z177">
            <v>1100000</v>
          </cell>
          <cell r="AA177">
            <v>1100000</v>
          </cell>
          <cell r="AB177">
            <v>1100000</v>
          </cell>
          <cell r="AC177">
            <v>1100000</v>
          </cell>
          <cell r="AE177">
            <v>1100000</v>
          </cell>
          <cell r="AF177">
            <v>1100000</v>
          </cell>
          <cell r="AG177">
            <v>1100000</v>
          </cell>
          <cell r="AH177">
            <v>1100000</v>
          </cell>
          <cell r="AI177">
            <v>1100000</v>
          </cell>
          <cell r="AJ177">
            <v>1100000</v>
          </cell>
          <cell r="AK177">
            <v>1100000</v>
          </cell>
          <cell r="AL177">
            <v>1100000</v>
          </cell>
          <cell r="AM177">
            <v>1100000</v>
          </cell>
          <cell r="AN177">
            <v>1100000</v>
          </cell>
          <cell r="AO177">
            <v>1100000</v>
          </cell>
          <cell r="AP177">
            <v>1100000</v>
          </cell>
        </row>
        <row r="178">
          <cell r="A178" t="str">
            <v>Income Fund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</row>
        <row r="179">
          <cell r="A179" t="str">
            <v xml:space="preserve">SBSA: Investment call 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</row>
        <row r="180">
          <cell r="A180" t="str">
            <v>IC: Call loans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</row>
        <row r="181">
          <cell r="A181" t="str">
            <v>IC: Vostro account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</row>
        <row r="182">
          <cell r="A182" t="str">
            <v>Call loans: Banks</v>
          </cell>
          <cell r="R182">
            <v>310000</v>
          </cell>
          <cell r="S182">
            <v>315000</v>
          </cell>
          <cell r="T182">
            <v>315000</v>
          </cell>
          <cell r="U182">
            <v>320000</v>
          </cell>
          <cell r="V182">
            <v>320000</v>
          </cell>
          <cell r="W182">
            <v>320000</v>
          </cell>
          <cell r="X182">
            <v>320000</v>
          </cell>
          <cell r="Y182">
            <v>320000</v>
          </cell>
          <cell r="Z182">
            <v>320000</v>
          </cell>
          <cell r="AA182">
            <v>320000</v>
          </cell>
          <cell r="AB182">
            <v>320000</v>
          </cell>
          <cell r="AC182">
            <v>320000</v>
          </cell>
          <cell r="AE182">
            <v>310000</v>
          </cell>
          <cell r="AF182">
            <v>312372.88135593222</v>
          </cell>
          <cell r="AG182">
            <v>313277.77777777775</v>
          </cell>
          <cell r="AH182">
            <v>314958.33333333331</v>
          </cell>
          <cell r="AI182">
            <v>315993.37748344371</v>
          </cell>
          <cell r="AJ182">
            <v>316657.45856353594</v>
          </cell>
          <cell r="AK182">
            <v>317146.22641509434</v>
          </cell>
          <cell r="AL182">
            <v>317510.28806584363</v>
          </cell>
          <cell r="AM182">
            <v>317783.88278388279</v>
          </cell>
          <cell r="AN182">
            <v>318009.86842105264</v>
          </cell>
          <cell r="AO182">
            <v>318188.62275449099</v>
          </cell>
          <cell r="AP182">
            <v>318342.46575342468</v>
          </cell>
        </row>
        <row r="183">
          <cell r="A183" t="str">
            <v>Current account debtors</v>
          </cell>
          <cell r="R183">
            <v>922609.11</v>
          </cell>
          <cell r="S183">
            <v>934266.88</v>
          </cell>
          <cell r="T183">
            <v>946062.46</v>
          </cell>
          <cell r="U183">
            <v>957997.51</v>
          </cell>
          <cell r="V183">
            <v>949277.36</v>
          </cell>
          <cell r="W183">
            <v>957288.3</v>
          </cell>
          <cell r="X183">
            <v>969392.47</v>
          </cell>
          <cell r="Y183">
            <v>981640.29</v>
          </cell>
          <cell r="Z183">
            <v>977726.5</v>
          </cell>
          <cell r="AA183">
            <v>990097.61</v>
          </cell>
          <cell r="AB183">
            <v>1022193.12</v>
          </cell>
          <cell r="AC183">
            <v>1056236.74</v>
          </cell>
          <cell r="AE183">
            <v>922609.11</v>
          </cell>
          <cell r="AF183">
            <v>928141.61101694906</v>
          </cell>
          <cell r="AG183">
            <v>934314.34788888891</v>
          </cell>
          <cell r="AH183">
            <v>940235.13841666665</v>
          </cell>
          <cell r="AI183">
            <v>942091.48854304641</v>
          </cell>
          <cell r="AJ183">
            <v>944610.29707182327</v>
          </cell>
          <cell r="AK183">
            <v>948234.1053773585</v>
          </cell>
          <cell r="AL183">
            <v>952495.79971193417</v>
          </cell>
          <cell r="AM183">
            <v>955268.40413919417</v>
          </cell>
          <cell r="AN183">
            <v>958820.06657894736</v>
          </cell>
          <cell r="AO183">
            <v>964512.25700598815</v>
          </cell>
          <cell r="AP183">
            <v>972302.55556164391</v>
          </cell>
        </row>
        <row r="184">
          <cell r="A184" t="str">
            <v>Cash management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</row>
        <row r="185">
          <cell r="A185" t="str">
            <v>Mortgage advances</v>
          </cell>
          <cell r="R185">
            <v>2213913.16</v>
          </cell>
          <cell r="S185">
            <v>2242277.5499999998</v>
          </cell>
          <cell r="T185">
            <v>2271005.34</v>
          </cell>
          <cell r="U185">
            <v>2300101.19</v>
          </cell>
          <cell r="V185">
            <v>2329569.81</v>
          </cell>
          <cell r="W185">
            <v>2359415.9900000002</v>
          </cell>
          <cell r="X185">
            <v>2389644.54</v>
          </cell>
          <cell r="Y185">
            <v>2420260.38</v>
          </cell>
          <cell r="Z185">
            <v>2451268.4700000002</v>
          </cell>
          <cell r="AA185">
            <v>2482673.83</v>
          </cell>
          <cell r="AB185">
            <v>2514481.5499999998</v>
          </cell>
          <cell r="AC185">
            <v>2546696.79</v>
          </cell>
          <cell r="AE185">
            <v>2213913.16</v>
          </cell>
          <cell r="AF185">
            <v>2227374.2264406779</v>
          </cell>
          <cell r="AG185">
            <v>2242402.7211111109</v>
          </cell>
          <cell r="AH185">
            <v>2256827.3383333329</v>
          </cell>
          <cell r="AI185">
            <v>2271761.2232450331</v>
          </cell>
          <cell r="AJ185">
            <v>2286289.6376243094</v>
          </cell>
          <cell r="AK185">
            <v>2301402.8544811318</v>
          </cell>
          <cell r="AL185">
            <v>2316565.7486831276</v>
          </cell>
          <cell r="AM185">
            <v>2331368.2455311352</v>
          </cell>
          <cell r="AN185">
            <v>2346797.4334210525</v>
          </cell>
          <cell r="AO185">
            <v>2361858.8810179639</v>
          </cell>
          <cell r="AP185">
            <v>2377557.4431506847</v>
          </cell>
        </row>
        <row r="186">
          <cell r="A186" t="str">
            <v>VAF</v>
          </cell>
          <cell r="R186">
            <v>1123211.97</v>
          </cell>
          <cell r="S186">
            <v>1133320.8799999999</v>
          </cell>
          <cell r="T186">
            <v>1143520.77</v>
          </cell>
          <cell r="U186">
            <v>1153812.46</v>
          </cell>
          <cell r="V186">
            <v>1164196.77</v>
          </cell>
          <cell r="W186">
            <v>1174674.54</v>
          </cell>
          <cell r="X186">
            <v>1185246.6100000001</v>
          </cell>
          <cell r="Y186">
            <v>1195913.83</v>
          </cell>
          <cell r="Z186">
            <v>1206677.06</v>
          </cell>
          <cell r="AA186">
            <v>1217537.1499999999</v>
          </cell>
          <cell r="AB186">
            <v>1228494.98</v>
          </cell>
          <cell r="AC186">
            <v>1239551.44</v>
          </cell>
          <cell r="AE186">
            <v>1123211.97</v>
          </cell>
          <cell r="AF186">
            <v>1128009.4188135592</v>
          </cell>
          <cell r="AG186">
            <v>1133352.2175555553</v>
          </cell>
          <cell r="AH186">
            <v>1138467.2781666666</v>
          </cell>
          <cell r="AI186">
            <v>1143749.4917218543</v>
          </cell>
          <cell r="AJ186">
            <v>1148875.1903314916</v>
          </cell>
          <cell r="AK186">
            <v>1154193.6526415094</v>
          </cell>
          <cell r="AL186">
            <v>1159515.9797942385</v>
          </cell>
          <cell r="AM186">
            <v>1164698.516080586</v>
          </cell>
          <cell r="AN186">
            <v>1170086.6662499998</v>
          </cell>
          <cell r="AO186">
            <v>1175332.9219760478</v>
          </cell>
          <cell r="AP186">
            <v>1180787.0974794519</v>
          </cell>
        </row>
        <row r="187">
          <cell r="A187" t="str">
            <v xml:space="preserve">Medium term loans </v>
          </cell>
          <cell r="R187">
            <v>349250.4</v>
          </cell>
          <cell r="S187">
            <v>353695.04</v>
          </cell>
          <cell r="T187">
            <v>358219.02</v>
          </cell>
          <cell r="U187">
            <v>362823.74</v>
          </cell>
          <cell r="V187">
            <v>367510.66</v>
          </cell>
          <cell r="W187">
            <v>372281.25</v>
          </cell>
          <cell r="X187">
            <v>377136.99</v>
          </cell>
          <cell r="Y187">
            <v>382079.41</v>
          </cell>
          <cell r="Z187">
            <v>387110.07</v>
          </cell>
          <cell r="AA187">
            <v>392230.52</v>
          </cell>
          <cell r="AB187">
            <v>397442.39</v>
          </cell>
          <cell r="AC187">
            <v>402747.3</v>
          </cell>
          <cell r="AE187">
            <v>349250.4</v>
          </cell>
          <cell r="AF187">
            <v>351359.72067796608</v>
          </cell>
          <cell r="AG187">
            <v>353722.36822222226</v>
          </cell>
          <cell r="AH187">
            <v>355997.7111666667</v>
          </cell>
          <cell r="AI187">
            <v>358361.29668874177</v>
          </cell>
          <cell r="AJ187">
            <v>360668.47127071826</v>
          </cell>
          <cell r="AK187">
            <v>363076.60372641514</v>
          </cell>
          <cell r="AL187">
            <v>365500.83004115225</v>
          </cell>
          <cell r="AM187">
            <v>367875.47179487179</v>
          </cell>
          <cell r="AN187">
            <v>370359.04578947369</v>
          </cell>
          <cell r="AO187">
            <v>372791.68149700598</v>
          </cell>
          <cell r="AP187">
            <v>375335.85731506854</v>
          </cell>
        </row>
        <row r="188">
          <cell r="A188" t="str">
            <v>Revolving credit plan</v>
          </cell>
          <cell r="R188">
            <v>272160</v>
          </cell>
          <cell r="S188">
            <v>274337.28000000003</v>
          </cell>
          <cell r="T188">
            <v>276531.98</v>
          </cell>
          <cell r="U188">
            <v>278744.23</v>
          </cell>
          <cell r="V188">
            <v>280974.19</v>
          </cell>
          <cell r="W188">
            <v>283221.98</v>
          </cell>
          <cell r="X188">
            <v>285487.76</v>
          </cell>
          <cell r="Y188">
            <v>287771.65999999997</v>
          </cell>
          <cell r="Z188">
            <v>290073.83</v>
          </cell>
          <cell r="AA188">
            <v>292394.42</v>
          </cell>
          <cell r="AB188">
            <v>294733.58</v>
          </cell>
          <cell r="AC188">
            <v>297091.45</v>
          </cell>
          <cell r="AE188">
            <v>272160</v>
          </cell>
          <cell r="AF188">
            <v>273193.28542372881</v>
          </cell>
          <cell r="AG188">
            <v>274343.28022222221</v>
          </cell>
          <cell r="AH188">
            <v>275443.51766666665</v>
          </cell>
          <cell r="AI188">
            <v>276578.95370860928</v>
          </cell>
          <cell r="AJ188">
            <v>277680.00779005524</v>
          </cell>
          <cell r="AK188">
            <v>278821.70740566036</v>
          </cell>
          <cell r="AL188">
            <v>279963.47090534976</v>
          </cell>
          <cell r="AM188">
            <v>281074.49937728938</v>
          </cell>
          <cell r="AN188">
            <v>282228.83338815789</v>
          </cell>
          <cell r="AO188">
            <v>283352.01422155689</v>
          </cell>
          <cell r="AP188">
            <v>284518.92520547943</v>
          </cell>
        </row>
        <row r="189">
          <cell r="A189" t="str">
            <v>Promissory notes</v>
          </cell>
          <cell r="R189">
            <v>10000</v>
          </cell>
          <cell r="S189">
            <v>10000</v>
          </cell>
          <cell r="T189">
            <v>10000</v>
          </cell>
          <cell r="U189">
            <v>10000</v>
          </cell>
          <cell r="V189">
            <v>10000</v>
          </cell>
          <cell r="W189">
            <v>10000</v>
          </cell>
          <cell r="X189">
            <v>10000</v>
          </cell>
          <cell r="Y189">
            <v>10000</v>
          </cell>
          <cell r="Z189">
            <v>10000</v>
          </cell>
          <cell r="AA189">
            <v>10000</v>
          </cell>
          <cell r="AB189">
            <v>10000</v>
          </cell>
          <cell r="AC189">
            <v>10000</v>
          </cell>
          <cell r="AE189">
            <v>10000</v>
          </cell>
          <cell r="AF189">
            <v>10000</v>
          </cell>
          <cell r="AG189">
            <v>10000</v>
          </cell>
          <cell r="AH189">
            <v>10000</v>
          </cell>
          <cell r="AI189">
            <v>10000</v>
          </cell>
          <cell r="AJ189">
            <v>10000</v>
          </cell>
          <cell r="AK189">
            <v>10000</v>
          </cell>
          <cell r="AL189">
            <v>10000</v>
          </cell>
          <cell r="AM189">
            <v>10000</v>
          </cell>
          <cell r="AN189">
            <v>10000</v>
          </cell>
          <cell r="AO189">
            <v>10000</v>
          </cell>
          <cell r="AP189">
            <v>10000</v>
          </cell>
        </row>
        <row r="190">
          <cell r="A190" t="str">
            <v>Investment in preference shares</v>
          </cell>
          <cell r="R190">
            <v>79000</v>
          </cell>
          <cell r="S190">
            <v>79000</v>
          </cell>
          <cell r="T190">
            <v>79000</v>
          </cell>
          <cell r="U190">
            <v>79000</v>
          </cell>
          <cell r="V190">
            <v>79000</v>
          </cell>
          <cell r="W190">
            <v>79000</v>
          </cell>
          <cell r="X190">
            <v>79000</v>
          </cell>
          <cell r="Y190">
            <v>79000</v>
          </cell>
          <cell r="Z190">
            <v>79000</v>
          </cell>
          <cell r="AA190">
            <v>79000</v>
          </cell>
          <cell r="AB190">
            <v>79000</v>
          </cell>
          <cell r="AC190">
            <v>79000</v>
          </cell>
          <cell r="AE190">
            <v>79000</v>
          </cell>
          <cell r="AF190">
            <v>79000</v>
          </cell>
          <cell r="AG190">
            <v>79000</v>
          </cell>
          <cell r="AH190">
            <v>79000</v>
          </cell>
          <cell r="AI190">
            <v>79000</v>
          </cell>
          <cell r="AJ190">
            <v>79000</v>
          </cell>
          <cell r="AK190">
            <v>79000</v>
          </cell>
          <cell r="AL190">
            <v>79000</v>
          </cell>
          <cell r="AM190">
            <v>79000</v>
          </cell>
          <cell r="AN190">
            <v>79000</v>
          </cell>
          <cell r="AO190">
            <v>79000</v>
          </cell>
          <cell r="AP190">
            <v>79000</v>
          </cell>
        </row>
        <row r="191">
          <cell r="A191" t="str">
            <v>Student loan scheme</v>
          </cell>
          <cell r="R191">
            <v>33717.75</v>
          </cell>
          <cell r="S191">
            <v>33936.92</v>
          </cell>
          <cell r="T191">
            <v>34157.51</v>
          </cell>
          <cell r="U191">
            <v>34379.53</v>
          </cell>
          <cell r="V191">
            <v>34603</v>
          </cell>
          <cell r="W191">
            <v>34827.919999999998</v>
          </cell>
          <cell r="X191">
            <v>35054.300000000003</v>
          </cell>
          <cell r="Y191">
            <v>35282.15</v>
          </cell>
          <cell r="Z191">
            <v>35511.480000000003</v>
          </cell>
          <cell r="AA191">
            <v>35742.31</v>
          </cell>
          <cell r="AB191">
            <v>35974.629999999997</v>
          </cell>
          <cell r="AC191">
            <v>36208.47</v>
          </cell>
          <cell r="AE191">
            <v>33717.75</v>
          </cell>
          <cell r="AF191">
            <v>33821.762881355935</v>
          </cell>
          <cell r="AG191">
            <v>33937.409111111112</v>
          </cell>
          <cell r="AH191">
            <v>34047.939333333336</v>
          </cell>
          <cell r="AI191">
            <v>34161.892185430464</v>
          </cell>
          <cell r="AJ191">
            <v>34272.283535911607</v>
          </cell>
          <cell r="AK191">
            <v>34386.635000000002</v>
          </cell>
          <cell r="AL191">
            <v>34500.87765432099</v>
          </cell>
          <cell r="AM191">
            <v>34611.932857142856</v>
          </cell>
          <cell r="AN191">
            <v>34727.201578947366</v>
          </cell>
          <cell r="AO191">
            <v>34839.246047904191</v>
          </cell>
          <cell r="AP191">
            <v>34955.536301369866</v>
          </cell>
        </row>
        <row r="192">
          <cell r="A192" t="str">
            <v>Assets on lease</v>
          </cell>
          <cell r="R192">
            <v>16947.849999999999</v>
          </cell>
          <cell r="S192">
            <v>16947.849999999999</v>
          </cell>
          <cell r="T192">
            <v>16947.849999999999</v>
          </cell>
          <cell r="U192">
            <v>16947.849999999999</v>
          </cell>
          <cell r="V192">
            <v>16947.849999999999</v>
          </cell>
          <cell r="W192">
            <v>16947.849999999999</v>
          </cell>
          <cell r="X192">
            <v>16947.849999999999</v>
          </cell>
          <cell r="Y192">
            <v>16947.849999999999</v>
          </cell>
          <cell r="Z192">
            <v>16947.849999999999</v>
          </cell>
          <cell r="AA192">
            <v>16947.849999999999</v>
          </cell>
          <cell r="AB192">
            <v>16947.849999999999</v>
          </cell>
          <cell r="AC192">
            <v>16947.849999999999</v>
          </cell>
          <cell r="AE192">
            <v>16947.849999999999</v>
          </cell>
          <cell r="AF192">
            <v>16947.849999999999</v>
          </cell>
          <cell r="AG192">
            <v>16947.849999999999</v>
          </cell>
          <cell r="AH192">
            <v>16947.849999999999</v>
          </cell>
          <cell r="AI192">
            <v>16947.850000000002</v>
          </cell>
          <cell r="AJ192">
            <v>16947.850000000002</v>
          </cell>
          <cell r="AK192">
            <v>16947.850000000002</v>
          </cell>
          <cell r="AL192">
            <v>16947.850000000002</v>
          </cell>
          <cell r="AM192">
            <v>16947.849999999999</v>
          </cell>
          <cell r="AN192">
            <v>16947.849999999999</v>
          </cell>
          <cell r="AO192">
            <v>16947.849999999999</v>
          </cell>
          <cell r="AP192">
            <v>16947.849999999999</v>
          </cell>
        </row>
        <row r="193">
          <cell r="A193" t="str">
            <v>Way to Pay</v>
          </cell>
          <cell r="R193">
            <v>180.02</v>
          </cell>
          <cell r="S193">
            <v>180.02</v>
          </cell>
          <cell r="T193">
            <v>180.02</v>
          </cell>
          <cell r="U193">
            <v>180.02</v>
          </cell>
          <cell r="V193">
            <v>180.02</v>
          </cell>
          <cell r="W193">
            <v>180.02</v>
          </cell>
          <cell r="X193">
            <v>180.02</v>
          </cell>
          <cell r="Y193">
            <v>180.02</v>
          </cell>
          <cell r="Z193">
            <v>180.02</v>
          </cell>
          <cell r="AA193">
            <v>180.02</v>
          </cell>
          <cell r="AB193">
            <v>180.02</v>
          </cell>
          <cell r="AC193">
            <v>180.02</v>
          </cell>
          <cell r="AE193">
            <v>180.02</v>
          </cell>
          <cell r="AF193">
            <v>180.02</v>
          </cell>
          <cell r="AG193">
            <v>180.01999999999998</v>
          </cell>
          <cell r="AH193">
            <v>180.02</v>
          </cell>
          <cell r="AI193">
            <v>180.02</v>
          </cell>
          <cell r="AJ193">
            <v>180.02</v>
          </cell>
          <cell r="AK193">
            <v>180.02000000000004</v>
          </cell>
          <cell r="AL193">
            <v>180.02000000000004</v>
          </cell>
          <cell r="AM193">
            <v>180.02</v>
          </cell>
          <cell r="AN193">
            <v>180.02000000000004</v>
          </cell>
          <cell r="AO193">
            <v>180.02</v>
          </cell>
          <cell r="AP193">
            <v>180.02</v>
          </cell>
        </row>
        <row r="194">
          <cell r="A194" t="str">
            <v>Call loans: corporate clients</v>
          </cell>
          <cell r="R194">
            <v>180000</v>
          </cell>
          <cell r="S194">
            <v>190000</v>
          </cell>
          <cell r="T194">
            <v>200000</v>
          </cell>
          <cell r="U194">
            <v>210000</v>
          </cell>
          <cell r="V194">
            <v>220000</v>
          </cell>
          <cell r="W194">
            <v>230000</v>
          </cell>
          <cell r="X194">
            <v>230000</v>
          </cell>
          <cell r="Y194">
            <v>230000</v>
          </cell>
          <cell r="Z194">
            <v>230000</v>
          </cell>
          <cell r="AA194">
            <v>230000</v>
          </cell>
          <cell r="AB194">
            <v>230000</v>
          </cell>
          <cell r="AC194">
            <v>230000</v>
          </cell>
          <cell r="AE194">
            <v>180000</v>
          </cell>
          <cell r="AF194">
            <v>184745.7627118644</v>
          </cell>
          <cell r="AG194">
            <v>190000</v>
          </cell>
          <cell r="AH194">
            <v>195000</v>
          </cell>
          <cell r="AI194">
            <v>200132.45033112582</v>
          </cell>
          <cell r="AJ194">
            <v>205082.8729281768</v>
          </cell>
          <cell r="AK194">
            <v>208726.41509433961</v>
          </cell>
          <cell r="AL194">
            <v>211440.32921810698</v>
          </cell>
          <cell r="AM194">
            <v>213479.85347985348</v>
          </cell>
          <cell r="AN194">
            <v>215164.47368421053</v>
          </cell>
          <cell r="AO194">
            <v>216497.00598802394</v>
          </cell>
          <cell r="AP194">
            <v>217643.83561643836</v>
          </cell>
        </row>
        <row r="195">
          <cell r="A195" t="str">
            <v>Vostro accounts foreign banks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</row>
        <row r="196">
          <cell r="A196" t="str">
            <v>Notes &amp; specie</v>
          </cell>
          <cell r="R196">
            <v>105000</v>
          </cell>
          <cell r="S196">
            <v>105000</v>
          </cell>
          <cell r="T196">
            <v>105000</v>
          </cell>
          <cell r="U196">
            <v>105000</v>
          </cell>
          <cell r="V196">
            <v>105000</v>
          </cell>
          <cell r="W196">
            <v>105000</v>
          </cell>
          <cell r="X196">
            <v>105000</v>
          </cell>
          <cell r="Y196">
            <v>105000</v>
          </cell>
          <cell r="Z196">
            <v>105000</v>
          </cell>
          <cell r="AA196">
            <v>105000</v>
          </cell>
          <cell r="AB196">
            <v>105000</v>
          </cell>
          <cell r="AC196">
            <v>105000</v>
          </cell>
          <cell r="AE196">
            <v>105000</v>
          </cell>
          <cell r="AF196">
            <v>105000</v>
          </cell>
          <cell r="AG196">
            <v>105000</v>
          </cell>
          <cell r="AH196">
            <v>105000</v>
          </cell>
          <cell r="AI196">
            <v>105000</v>
          </cell>
          <cell r="AJ196">
            <v>105000</v>
          </cell>
          <cell r="AK196">
            <v>105000</v>
          </cell>
          <cell r="AL196">
            <v>105000</v>
          </cell>
          <cell r="AM196">
            <v>105000</v>
          </cell>
          <cell r="AN196">
            <v>105000</v>
          </cell>
          <cell r="AO196">
            <v>105000</v>
          </cell>
          <cell r="AP196">
            <v>105000</v>
          </cell>
        </row>
        <row r="197">
          <cell r="A197" t="str">
            <v>Deposits with central bank</v>
          </cell>
          <cell r="R197">
            <v>95000</v>
          </cell>
          <cell r="S197">
            <v>95000</v>
          </cell>
          <cell r="T197">
            <v>95000</v>
          </cell>
          <cell r="U197">
            <v>95000</v>
          </cell>
          <cell r="V197">
            <v>95000</v>
          </cell>
          <cell r="W197">
            <v>95000</v>
          </cell>
          <cell r="X197">
            <v>95000</v>
          </cell>
          <cell r="Y197">
            <v>95000</v>
          </cell>
          <cell r="Z197">
            <v>95000</v>
          </cell>
          <cell r="AA197">
            <v>95000</v>
          </cell>
          <cell r="AB197">
            <v>95000</v>
          </cell>
          <cell r="AC197">
            <v>95000</v>
          </cell>
          <cell r="AE197">
            <v>95000</v>
          </cell>
          <cell r="AF197">
            <v>95000</v>
          </cell>
          <cell r="AG197">
            <v>95000</v>
          </cell>
          <cell r="AH197">
            <v>95000</v>
          </cell>
          <cell r="AI197">
            <v>95000</v>
          </cell>
          <cell r="AJ197">
            <v>95000</v>
          </cell>
          <cell r="AK197">
            <v>95000</v>
          </cell>
          <cell r="AL197">
            <v>95000</v>
          </cell>
          <cell r="AM197">
            <v>95000</v>
          </cell>
          <cell r="AN197">
            <v>95000</v>
          </cell>
          <cell r="AO197">
            <v>95000</v>
          </cell>
          <cell r="AP197">
            <v>95000</v>
          </cell>
        </row>
        <row r="198">
          <cell r="A198" t="str">
            <v>Other accounts (assets)</v>
          </cell>
          <cell r="R198">
            <v>111063.71</v>
          </cell>
          <cell r="S198">
            <v>111063.71</v>
          </cell>
          <cell r="T198">
            <v>111063.71</v>
          </cell>
          <cell r="U198">
            <v>111063.71</v>
          </cell>
          <cell r="V198">
            <v>111063.71</v>
          </cell>
          <cell r="W198">
            <v>111063.71</v>
          </cell>
          <cell r="X198">
            <v>111063.71</v>
          </cell>
          <cell r="Y198">
            <v>111063.71</v>
          </cell>
          <cell r="Z198">
            <v>111063.71</v>
          </cell>
          <cell r="AA198">
            <v>111063.71</v>
          </cell>
          <cell r="AB198">
            <v>111063.71</v>
          </cell>
          <cell r="AC198">
            <v>111063.71</v>
          </cell>
          <cell r="AE198">
            <v>111063.71</v>
          </cell>
          <cell r="AF198">
            <v>111063.71</v>
          </cell>
          <cell r="AG198">
            <v>111063.71</v>
          </cell>
          <cell r="AH198">
            <v>111063.71</v>
          </cell>
          <cell r="AI198">
            <v>111063.71</v>
          </cell>
          <cell r="AJ198">
            <v>111063.71</v>
          </cell>
          <cell r="AK198">
            <v>111063.71000000002</v>
          </cell>
          <cell r="AL198">
            <v>111063.71000000002</v>
          </cell>
          <cell r="AM198">
            <v>111063.71000000002</v>
          </cell>
          <cell r="AN198">
            <v>111063.71</v>
          </cell>
          <cell r="AO198">
            <v>111063.71</v>
          </cell>
          <cell r="AP198">
            <v>111063.70999999999</v>
          </cell>
        </row>
        <row r="199">
          <cell r="A199" t="str">
            <v>Remittances in transit</v>
          </cell>
          <cell r="R199">
            <v>65000</v>
          </cell>
          <cell r="S199">
            <v>65000</v>
          </cell>
          <cell r="T199">
            <v>65000</v>
          </cell>
          <cell r="U199">
            <v>65000</v>
          </cell>
          <cell r="V199">
            <v>65000</v>
          </cell>
          <cell r="W199">
            <v>65000</v>
          </cell>
          <cell r="X199">
            <v>65000</v>
          </cell>
          <cell r="Y199">
            <v>65000</v>
          </cell>
          <cell r="Z199">
            <v>65000</v>
          </cell>
          <cell r="AA199">
            <v>65000</v>
          </cell>
          <cell r="AB199">
            <v>65000</v>
          </cell>
          <cell r="AC199">
            <v>65000</v>
          </cell>
          <cell r="AE199">
            <v>65000</v>
          </cell>
          <cell r="AF199">
            <v>65000</v>
          </cell>
          <cell r="AG199">
            <v>65000</v>
          </cell>
          <cell r="AH199">
            <v>65000</v>
          </cell>
          <cell r="AI199">
            <v>65000</v>
          </cell>
          <cell r="AJ199">
            <v>65000</v>
          </cell>
          <cell r="AK199">
            <v>65000</v>
          </cell>
          <cell r="AL199">
            <v>65000</v>
          </cell>
          <cell r="AM199">
            <v>65000</v>
          </cell>
          <cell r="AN199">
            <v>65000</v>
          </cell>
          <cell r="AO199">
            <v>65000</v>
          </cell>
          <cell r="AP199">
            <v>65000</v>
          </cell>
        </row>
        <row r="200">
          <cell r="A200" t="str">
            <v>Fixed assets: premises</v>
          </cell>
          <cell r="R200">
            <v>20676.05</v>
          </cell>
          <cell r="S200">
            <v>20676.05</v>
          </cell>
          <cell r="T200">
            <v>20676.05</v>
          </cell>
          <cell r="U200">
            <v>20676.05</v>
          </cell>
          <cell r="V200">
            <v>20676.05</v>
          </cell>
          <cell r="W200">
            <v>20676.05</v>
          </cell>
          <cell r="X200">
            <v>20676.05</v>
          </cell>
          <cell r="Y200">
            <v>20676.05</v>
          </cell>
          <cell r="Z200">
            <v>20676.05</v>
          </cell>
          <cell r="AA200">
            <v>20676.05</v>
          </cell>
          <cell r="AB200">
            <v>20676.05</v>
          </cell>
          <cell r="AC200">
            <v>20676.05</v>
          </cell>
          <cell r="AE200">
            <v>20676.05</v>
          </cell>
          <cell r="AF200">
            <v>20676.05</v>
          </cell>
          <cell r="AG200">
            <v>20676.05</v>
          </cell>
          <cell r="AH200">
            <v>20676.05</v>
          </cell>
          <cell r="AI200">
            <v>20676.05</v>
          </cell>
          <cell r="AJ200">
            <v>20676.05</v>
          </cell>
          <cell r="AK200">
            <v>20676.05</v>
          </cell>
          <cell r="AL200">
            <v>20676.05</v>
          </cell>
          <cell r="AM200">
            <v>20676.05</v>
          </cell>
          <cell r="AN200">
            <v>20676.05</v>
          </cell>
          <cell r="AO200">
            <v>20676.05</v>
          </cell>
          <cell r="AP200">
            <v>20676.049999999996</v>
          </cell>
        </row>
        <row r="201">
          <cell r="A201" t="str">
            <v>Fixed assets: equipment</v>
          </cell>
          <cell r="R201">
            <v>61000</v>
          </cell>
          <cell r="S201">
            <v>61000</v>
          </cell>
          <cell r="T201">
            <v>61000</v>
          </cell>
          <cell r="U201">
            <v>61000</v>
          </cell>
          <cell r="V201">
            <v>61000</v>
          </cell>
          <cell r="W201">
            <v>61000</v>
          </cell>
          <cell r="X201">
            <v>61000</v>
          </cell>
          <cell r="Y201">
            <v>61000</v>
          </cell>
          <cell r="Z201">
            <v>61000</v>
          </cell>
          <cell r="AA201">
            <v>61000</v>
          </cell>
          <cell r="AB201">
            <v>61000</v>
          </cell>
          <cell r="AC201">
            <v>61000</v>
          </cell>
          <cell r="AE201">
            <v>61000</v>
          </cell>
          <cell r="AF201">
            <v>61000</v>
          </cell>
          <cell r="AG201">
            <v>61000</v>
          </cell>
          <cell r="AH201">
            <v>61000</v>
          </cell>
          <cell r="AI201">
            <v>61000</v>
          </cell>
          <cell r="AJ201">
            <v>61000</v>
          </cell>
          <cell r="AK201">
            <v>61000</v>
          </cell>
          <cell r="AL201">
            <v>61000</v>
          </cell>
          <cell r="AM201">
            <v>61000</v>
          </cell>
          <cell r="AN201">
            <v>61000</v>
          </cell>
          <cell r="AO201">
            <v>61000</v>
          </cell>
          <cell r="AP201">
            <v>61000</v>
          </cell>
        </row>
        <row r="202">
          <cell r="A202" t="str">
            <v>NPL</v>
          </cell>
          <cell r="R202">
            <v>111304.33</v>
          </cell>
          <cell r="S202">
            <v>109304.33</v>
          </cell>
          <cell r="T202">
            <v>107304.33</v>
          </cell>
          <cell r="U202">
            <v>105304.33</v>
          </cell>
          <cell r="V202">
            <v>103304.33</v>
          </cell>
          <cell r="W202">
            <v>101304.33</v>
          </cell>
          <cell r="X202">
            <v>99304.33</v>
          </cell>
          <cell r="Y202">
            <v>97304.33</v>
          </cell>
          <cell r="Z202">
            <v>95304.33</v>
          </cell>
          <cell r="AA202">
            <v>93304.33</v>
          </cell>
          <cell r="AB202">
            <v>91304.33</v>
          </cell>
          <cell r="AC202">
            <v>89304.33</v>
          </cell>
          <cell r="AE202">
            <v>111304.33</v>
          </cell>
          <cell r="AF202">
            <v>110355.17745762713</v>
          </cell>
          <cell r="AG202">
            <v>109304.33000000002</v>
          </cell>
          <cell r="AH202">
            <v>108304.33000000002</v>
          </cell>
          <cell r="AI202">
            <v>107277.83993377484</v>
          </cell>
          <cell r="AJ202">
            <v>106287.75541436464</v>
          </cell>
          <cell r="AK202">
            <v>105266.59415094341</v>
          </cell>
          <cell r="AL202">
            <v>104250.83205761318</v>
          </cell>
          <cell r="AM202">
            <v>103267.69996336996</v>
          </cell>
          <cell r="AN202">
            <v>102251.69842105263</v>
          </cell>
          <cell r="AO202">
            <v>101268.40185628743</v>
          </cell>
          <cell r="AP202">
            <v>100252.27520547944</v>
          </cell>
        </row>
        <row r="203">
          <cell r="A203" t="str">
            <v>NCD's</v>
          </cell>
          <cell r="R203">
            <v>-1362500</v>
          </cell>
          <cell r="S203">
            <v>-1475125</v>
          </cell>
          <cell r="T203">
            <v>-1587876.25</v>
          </cell>
          <cell r="U203">
            <v>-1600755.01</v>
          </cell>
          <cell r="V203">
            <v>-1713762.56</v>
          </cell>
          <cell r="W203">
            <v>-1726900.19</v>
          </cell>
          <cell r="X203">
            <v>-1740169.19</v>
          </cell>
          <cell r="Y203">
            <v>-1753570.88</v>
          </cell>
          <cell r="Z203">
            <v>-1767106.59</v>
          </cell>
          <cell r="AA203">
            <v>-1780777.66</v>
          </cell>
          <cell r="AB203">
            <v>-1794585.43</v>
          </cell>
          <cell r="AC203">
            <v>-1808531.29</v>
          </cell>
          <cell r="AE203">
            <v>-1362500</v>
          </cell>
          <cell r="AF203">
            <v>-1415949.1525423729</v>
          </cell>
          <cell r="AG203">
            <v>-1475168.486111111</v>
          </cell>
          <cell r="AH203">
            <v>-1506565.1170833334</v>
          </cell>
          <cell r="AI203">
            <v>-1549102.3404635764</v>
          </cell>
          <cell r="AJ203">
            <v>-1578571.5972928177</v>
          </cell>
          <cell r="AK203">
            <v>-1602201.4339622641</v>
          </cell>
          <cell r="AL203">
            <v>-1621511.9394238682</v>
          </cell>
          <cell r="AM203">
            <v>-1637511.3515750915</v>
          </cell>
          <cell r="AN203">
            <v>-1652120.7448684208</v>
          </cell>
          <cell r="AO203">
            <v>-1664916.9740718561</v>
          </cell>
          <cell r="AP203">
            <v>-1677114.3543287669</v>
          </cell>
        </row>
        <row r="204">
          <cell r="A204" t="str">
            <v>Fixed deposits: Other banks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</row>
        <row r="205">
          <cell r="A205" t="str">
            <v>Other group banks: Call deposists</v>
          </cell>
          <cell r="R205">
            <v>-135261.79999999999</v>
          </cell>
          <cell r="S205">
            <v>-176883.14</v>
          </cell>
          <cell r="T205">
            <v>-76268.039999999994</v>
          </cell>
          <cell r="U205">
            <v>-80737.53</v>
          </cell>
          <cell r="V205">
            <v>-374779.69</v>
          </cell>
          <cell r="W205">
            <v>-429590.95</v>
          </cell>
          <cell r="X205">
            <v>-432750.3</v>
          </cell>
          <cell r="Y205">
            <v>-423673.07</v>
          </cell>
          <cell r="Z205">
            <v>-427160.35</v>
          </cell>
          <cell r="AA205">
            <v>-383040.85</v>
          </cell>
          <cell r="AB205">
            <v>-303902.86</v>
          </cell>
          <cell r="AC205">
            <v>-124939.36</v>
          </cell>
          <cell r="AE205">
            <v>-135261.79999999999</v>
          </cell>
          <cell r="AF205">
            <v>-155014.30033898304</v>
          </cell>
          <cell r="AG205">
            <v>-127890.58844444444</v>
          </cell>
          <cell r="AH205">
            <v>-116102.32383333333</v>
          </cell>
          <cell r="AI205">
            <v>-169208.27317880795</v>
          </cell>
          <cell r="AJ205">
            <v>-212365.6229281768</v>
          </cell>
          <cell r="AK205">
            <v>-244591.68419811319</v>
          </cell>
          <cell r="AL205">
            <v>-267437.45769547322</v>
          </cell>
          <cell r="AM205">
            <v>-284989.42388278386</v>
          </cell>
          <cell r="AN205">
            <v>-294988.0890460526</v>
          </cell>
          <cell r="AO205">
            <v>-295788.81697604788</v>
          </cell>
          <cell r="AP205">
            <v>-281278.31515068491</v>
          </cell>
        </row>
        <row r="206">
          <cell r="A206" t="str">
            <v>Other group banks: Fixed deposists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</row>
        <row r="207">
          <cell r="A207" t="str">
            <v>SBSA: Vostro Account</v>
          </cell>
          <cell r="R207">
            <v>-40000</v>
          </cell>
          <cell r="S207">
            <v>-40000</v>
          </cell>
          <cell r="T207">
            <v>-40000</v>
          </cell>
          <cell r="U207">
            <v>-40000</v>
          </cell>
          <cell r="V207">
            <v>-40000</v>
          </cell>
          <cell r="W207">
            <v>-40000</v>
          </cell>
          <cell r="X207">
            <v>-40000</v>
          </cell>
          <cell r="Y207">
            <v>-40000</v>
          </cell>
          <cell r="Z207">
            <v>-40000</v>
          </cell>
          <cell r="AA207">
            <v>-40000</v>
          </cell>
          <cell r="AB207">
            <v>-40000</v>
          </cell>
          <cell r="AC207">
            <v>-40000</v>
          </cell>
          <cell r="AE207">
            <v>-40000</v>
          </cell>
          <cell r="AF207">
            <v>-40000</v>
          </cell>
          <cell r="AG207">
            <v>-40000</v>
          </cell>
          <cell r="AH207">
            <v>-40000</v>
          </cell>
          <cell r="AI207">
            <v>-40000</v>
          </cell>
          <cell r="AJ207">
            <v>-40000</v>
          </cell>
          <cell r="AK207">
            <v>-40000</v>
          </cell>
          <cell r="AL207">
            <v>-40000</v>
          </cell>
          <cell r="AM207">
            <v>-40000</v>
          </cell>
          <cell r="AN207">
            <v>-40000</v>
          </cell>
          <cell r="AO207">
            <v>-40000</v>
          </cell>
          <cell r="AP207">
            <v>-40000</v>
          </cell>
        </row>
        <row r="208">
          <cell r="A208" t="str">
            <v>Current account creditors</v>
          </cell>
          <cell r="R208">
            <v>-1919798.73</v>
          </cell>
          <cell r="S208">
            <v>-1796728.93</v>
          </cell>
          <cell r="T208">
            <v>-1814553.55</v>
          </cell>
          <cell r="U208">
            <v>-1832562.31</v>
          </cell>
          <cell r="V208">
            <v>-1758219.32</v>
          </cell>
          <cell r="W208">
            <v>-1770584.02</v>
          </cell>
          <cell r="X208">
            <v>-1775394.2</v>
          </cell>
          <cell r="Y208">
            <v>-1793042.79</v>
          </cell>
          <cell r="Z208">
            <v>-1790116.91</v>
          </cell>
          <cell r="AA208">
            <v>-1834044.06</v>
          </cell>
          <cell r="AB208">
            <v>-1917530.32</v>
          </cell>
          <cell r="AC208">
            <v>-2103441.7400000002</v>
          </cell>
          <cell r="AE208">
            <v>-1919798.73</v>
          </cell>
          <cell r="AF208">
            <v>-1861392.723220339</v>
          </cell>
          <cell r="AG208">
            <v>-1845259.2302222222</v>
          </cell>
          <cell r="AH208">
            <v>-1842085.0001666667</v>
          </cell>
          <cell r="AI208">
            <v>-1824867.5426490067</v>
          </cell>
          <cell r="AJ208">
            <v>-1815870.2737016575</v>
          </cell>
          <cell r="AK208">
            <v>-1809951.6025471699</v>
          </cell>
          <cell r="AL208">
            <v>-1807794.511234568</v>
          </cell>
          <cell r="AM208">
            <v>-1805851.9176923078</v>
          </cell>
          <cell r="AN208">
            <v>-1808726.7743092105</v>
          </cell>
          <cell r="AO208">
            <v>-1818499.5478742516</v>
          </cell>
          <cell r="AP208">
            <v>-1842700.1176164385</v>
          </cell>
        </row>
        <row r="209">
          <cell r="A209" t="str">
            <v>Cash management (c)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</row>
        <row r="210">
          <cell r="A210" t="str">
            <v>Call deposists</v>
          </cell>
          <cell r="R210">
            <v>-1532119.48</v>
          </cell>
          <cell r="S210">
            <v>-1547433.95</v>
          </cell>
          <cell r="T210">
            <v>-1562901.57</v>
          </cell>
          <cell r="U210">
            <v>-1578523.86</v>
          </cell>
          <cell r="V210">
            <v>-1594302.38</v>
          </cell>
          <cell r="W210">
            <v>-1610238.68</v>
          </cell>
          <cell r="X210">
            <v>-1626334.34</v>
          </cell>
          <cell r="Y210">
            <v>-1642590.96</v>
          </cell>
          <cell r="Z210">
            <v>-1659010.15</v>
          </cell>
          <cell r="AA210">
            <v>-1675593.53</v>
          </cell>
          <cell r="AB210">
            <v>-1692342.75</v>
          </cell>
          <cell r="AC210">
            <v>-1709259.45</v>
          </cell>
          <cell r="AE210">
            <v>-1532119.48</v>
          </cell>
          <cell r="AF210">
            <v>-1539387.3640677966</v>
          </cell>
          <cell r="AG210">
            <v>-1547486.7016666667</v>
          </cell>
          <cell r="AH210">
            <v>-1555245.9912500002</v>
          </cell>
          <cell r="AI210">
            <v>-1563264.1902649007</v>
          </cell>
          <cell r="AJ210">
            <v>-1571050.0172928176</v>
          </cell>
          <cell r="AK210">
            <v>-1579134.0456132076</v>
          </cell>
          <cell r="AL210">
            <v>-1587229.3721399177</v>
          </cell>
          <cell r="AM210">
            <v>-1595117.3697069597</v>
          </cell>
          <cell r="AN210">
            <v>-1603323.8202631578</v>
          </cell>
          <cell r="AO210">
            <v>-1611319.5325149701</v>
          </cell>
          <cell r="AP210">
            <v>-1619637.7172876713</v>
          </cell>
        </row>
        <row r="211">
          <cell r="A211" t="str">
            <v>Plusplan</v>
          </cell>
          <cell r="R211">
            <v>-332885.84999999998</v>
          </cell>
          <cell r="S211">
            <v>-337173.91</v>
          </cell>
          <cell r="T211">
            <v>-341517.2</v>
          </cell>
          <cell r="U211">
            <v>-345916.45</v>
          </cell>
          <cell r="V211">
            <v>-332853.74</v>
          </cell>
          <cell r="W211">
            <v>-333769.98</v>
          </cell>
          <cell r="X211">
            <v>-338069.42</v>
          </cell>
          <cell r="Y211">
            <v>-342424.26</v>
          </cell>
          <cell r="Z211">
            <v>-332961.78000000003</v>
          </cell>
          <cell r="AA211">
            <v>-337250.81</v>
          </cell>
          <cell r="AB211">
            <v>-358333.26</v>
          </cell>
          <cell r="AC211">
            <v>-381096.58</v>
          </cell>
          <cell r="AE211">
            <v>-332885.84999999998</v>
          </cell>
          <cell r="AF211">
            <v>-334920.86152542371</v>
          </cell>
          <cell r="AG211">
            <v>-337192.93366666668</v>
          </cell>
          <cell r="AH211">
            <v>-339373.81274999998</v>
          </cell>
          <cell r="AI211">
            <v>-338035.25476821192</v>
          </cell>
          <cell r="AJ211">
            <v>-337328.30314917123</v>
          </cell>
          <cell r="AK211">
            <v>-337436.67400943395</v>
          </cell>
          <cell r="AL211">
            <v>-338072.95041152264</v>
          </cell>
          <cell r="AM211">
            <v>-337511.28333333338</v>
          </cell>
          <cell r="AN211">
            <v>-337484.72190789477</v>
          </cell>
          <cell r="AO211">
            <v>-339357.34508982039</v>
          </cell>
          <cell r="AP211">
            <v>-342902.3212054795</v>
          </cell>
        </row>
        <row r="212">
          <cell r="A212" t="str">
            <v>Notice deposits</v>
          </cell>
          <cell r="R212">
            <v>-362753.89</v>
          </cell>
          <cell r="S212">
            <v>-365908.38</v>
          </cell>
          <cell r="T212">
            <v>-369092.55</v>
          </cell>
          <cell r="U212">
            <v>-372306.68</v>
          </cell>
          <cell r="V212">
            <v>-375551.07</v>
          </cell>
          <cell r="W212">
            <v>-378826.01</v>
          </cell>
          <cell r="X212">
            <v>-382131.8</v>
          </cell>
          <cell r="Y212">
            <v>-385468.73</v>
          </cell>
          <cell r="Z212">
            <v>-388837.11</v>
          </cell>
          <cell r="AA212">
            <v>-392237.24</v>
          </cell>
          <cell r="AB212">
            <v>-395669.43</v>
          </cell>
          <cell r="AC212">
            <v>-399134</v>
          </cell>
          <cell r="AE212">
            <v>-362753.89</v>
          </cell>
          <cell r="AF212">
            <v>-364250.93610169494</v>
          </cell>
          <cell r="AG212">
            <v>-365918.60311111115</v>
          </cell>
          <cell r="AH212">
            <v>-367515.6223333333</v>
          </cell>
          <cell r="AI212">
            <v>-369165.28377483448</v>
          </cell>
          <cell r="AJ212">
            <v>-370766.50911602215</v>
          </cell>
          <cell r="AK212">
            <v>-372428.41485849058</v>
          </cell>
          <cell r="AL212">
            <v>-374091.99415637861</v>
          </cell>
          <cell r="AM212">
            <v>-375712.33655677654</v>
          </cell>
          <cell r="AN212">
            <v>-377397.44184210524</v>
          </cell>
          <cell r="AO212">
            <v>-379038.63838323351</v>
          </cell>
          <cell r="AP212">
            <v>-380745.36772602738</v>
          </cell>
        </row>
        <row r="213">
          <cell r="A213" t="str">
            <v>Fixed deposits</v>
          </cell>
          <cell r="R213">
            <v>-633332.14</v>
          </cell>
          <cell r="S213">
            <v>-636607.73</v>
          </cell>
          <cell r="T213">
            <v>-639919.35</v>
          </cell>
          <cell r="U213">
            <v>-643267.4</v>
          </cell>
          <cell r="V213">
            <v>-646652.28</v>
          </cell>
          <cell r="W213">
            <v>-650074.39</v>
          </cell>
          <cell r="X213">
            <v>-653534.14</v>
          </cell>
          <cell r="Y213">
            <v>-657031.94999999995</v>
          </cell>
          <cell r="Z213">
            <v>-660568.24</v>
          </cell>
          <cell r="AA213">
            <v>-664143.43000000005</v>
          </cell>
          <cell r="AB213">
            <v>-667757.93999999994</v>
          </cell>
          <cell r="AC213">
            <v>-671412.22</v>
          </cell>
          <cell r="AE213">
            <v>-633332.14</v>
          </cell>
          <cell r="AF213">
            <v>-634886.65728813561</v>
          </cell>
          <cell r="AG213">
            <v>-636620.14033333329</v>
          </cell>
          <cell r="AH213">
            <v>-638281.95525</v>
          </cell>
          <cell r="AI213">
            <v>-640000.36629139073</v>
          </cell>
          <cell r="AJ213">
            <v>-641670.09397790057</v>
          </cell>
          <cell r="AK213">
            <v>-643404.93089622643</v>
          </cell>
          <cell r="AL213">
            <v>-645143.35720164597</v>
          </cell>
          <cell r="AM213">
            <v>-646838.3992673991</v>
          </cell>
          <cell r="AN213">
            <v>-648603.05700657889</v>
          </cell>
          <cell r="AO213">
            <v>-650323.55547904188</v>
          </cell>
          <cell r="AP213">
            <v>-652114.64753424644</v>
          </cell>
        </row>
        <row r="214">
          <cell r="A214" t="str">
            <v>Bonusplan</v>
          </cell>
          <cell r="R214">
            <v>-3659.98</v>
          </cell>
          <cell r="S214">
            <v>-3696.58</v>
          </cell>
          <cell r="T214">
            <v>-3733.54</v>
          </cell>
          <cell r="U214">
            <v>-3770.88</v>
          </cell>
          <cell r="V214">
            <v>-3808.59</v>
          </cell>
          <cell r="W214">
            <v>-3846.67</v>
          </cell>
          <cell r="X214">
            <v>-3885.14</v>
          </cell>
          <cell r="Y214">
            <v>-3923.99</v>
          </cell>
          <cell r="Z214">
            <v>-3963.23</v>
          </cell>
          <cell r="AA214">
            <v>-4002.86</v>
          </cell>
          <cell r="AB214">
            <v>-4042.89</v>
          </cell>
          <cell r="AC214">
            <v>-4083.32</v>
          </cell>
          <cell r="AE214">
            <v>-3659.98</v>
          </cell>
          <cell r="AF214">
            <v>-3677.3494915254237</v>
          </cell>
          <cell r="AG214">
            <v>-3696.7039999999997</v>
          </cell>
          <cell r="AH214">
            <v>-3715.248</v>
          </cell>
          <cell r="AI214">
            <v>-3734.410927152318</v>
          </cell>
          <cell r="AJ214">
            <v>-3753.0174033149174</v>
          </cell>
          <cell r="AK214">
            <v>-3772.3372169811319</v>
          </cell>
          <cell r="AL214">
            <v>-3791.6838683127571</v>
          </cell>
          <cell r="AM214">
            <v>-3810.5350915750914</v>
          </cell>
          <cell r="AN214">
            <v>-3830.1471710526316</v>
          </cell>
          <cell r="AO214">
            <v>-3849.2558083832332</v>
          </cell>
          <cell r="AP214">
            <v>-3869.1352328767121</v>
          </cell>
        </row>
        <row r="215">
          <cell r="A215" t="str">
            <v>Subordinated callable bond</v>
          </cell>
          <cell r="R215">
            <v>-149511.57</v>
          </cell>
          <cell r="S215">
            <v>-149511.57</v>
          </cell>
          <cell r="T215">
            <v>-149511.57</v>
          </cell>
          <cell r="U215">
            <v>-149511.57</v>
          </cell>
          <cell r="V215">
            <v>-149511.57</v>
          </cell>
          <cell r="W215">
            <v>-149511.57</v>
          </cell>
          <cell r="X215">
            <v>-149511.57</v>
          </cell>
          <cell r="Y215">
            <v>-149511.57</v>
          </cell>
          <cell r="Z215">
            <v>-149511.57</v>
          </cell>
          <cell r="AA215">
            <v>-149511.57</v>
          </cell>
          <cell r="AB215">
            <v>-149511.57</v>
          </cell>
          <cell r="AC215">
            <v>-150000</v>
          </cell>
          <cell r="AE215">
            <v>-149511.57</v>
          </cell>
          <cell r="AF215">
            <v>-149511.56999999998</v>
          </cell>
          <cell r="AG215">
            <v>-149511.56999999998</v>
          </cell>
          <cell r="AH215">
            <v>-149511.56999999998</v>
          </cell>
          <cell r="AI215">
            <v>-149511.57</v>
          </cell>
          <cell r="AJ215">
            <v>-149511.57</v>
          </cell>
          <cell r="AK215">
            <v>-149511.57</v>
          </cell>
          <cell r="AL215">
            <v>-149511.57000000004</v>
          </cell>
          <cell r="AM215">
            <v>-149511.57000000004</v>
          </cell>
          <cell r="AN215">
            <v>-149511.57000000004</v>
          </cell>
          <cell r="AO215">
            <v>-149511.57000000004</v>
          </cell>
          <cell r="AP215">
            <v>-149553.05309589044</v>
          </cell>
        </row>
        <row r="216">
          <cell r="A216" t="str">
            <v>US$50m SBSA swap  loan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</row>
        <row r="217">
          <cell r="A217" t="str">
            <v>Vostro accounts with foreign banks</v>
          </cell>
          <cell r="R217">
            <v>-5000</v>
          </cell>
          <cell r="S217">
            <v>-5000</v>
          </cell>
          <cell r="T217">
            <v>-5000</v>
          </cell>
          <cell r="U217">
            <v>-5000</v>
          </cell>
          <cell r="V217">
            <v>-5000</v>
          </cell>
          <cell r="W217">
            <v>-5000</v>
          </cell>
          <cell r="X217">
            <v>-5000</v>
          </cell>
          <cell r="Y217">
            <v>-5000</v>
          </cell>
          <cell r="Z217">
            <v>-5000</v>
          </cell>
          <cell r="AA217">
            <v>-5000</v>
          </cell>
          <cell r="AB217">
            <v>-5000</v>
          </cell>
          <cell r="AC217">
            <v>-5000</v>
          </cell>
          <cell r="AE217">
            <v>-5000</v>
          </cell>
          <cell r="AF217">
            <v>-5000</v>
          </cell>
          <cell r="AG217">
            <v>-5000</v>
          </cell>
          <cell r="AH217">
            <v>-5000</v>
          </cell>
          <cell r="AI217">
            <v>-5000</v>
          </cell>
          <cell r="AJ217">
            <v>-5000</v>
          </cell>
          <cell r="AK217">
            <v>-5000</v>
          </cell>
          <cell r="AL217">
            <v>-5000</v>
          </cell>
          <cell r="AM217">
            <v>-5000</v>
          </cell>
          <cell r="AN217">
            <v>-5000</v>
          </cell>
          <cell r="AO217">
            <v>-5000</v>
          </cell>
          <cell r="AP217">
            <v>-5000</v>
          </cell>
        </row>
        <row r="218">
          <cell r="A218" t="str">
            <v>Nostro accounts with foreign banks</v>
          </cell>
          <cell r="R218">
            <v>-5000</v>
          </cell>
          <cell r="S218">
            <v>-5000</v>
          </cell>
          <cell r="T218">
            <v>-5000</v>
          </cell>
          <cell r="U218">
            <v>-5000</v>
          </cell>
          <cell r="V218">
            <v>-5000</v>
          </cell>
          <cell r="W218">
            <v>-5000</v>
          </cell>
          <cell r="X218">
            <v>-5000</v>
          </cell>
          <cell r="Y218">
            <v>-5000</v>
          </cell>
          <cell r="Z218">
            <v>-5000</v>
          </cell>
          <cell r="AA218">
            <v>-5000</v>
          </cell>
          <cell r="AB218">
            <v>-5000</v>
          </cell>
          <cell r="AC218">
            <v>-5000</v>
          </cell>
          <cell r="AE218">
            <v>-5000</v>
          </cell>
          <cell r="AF218">
            <v>-5000</v>
          </cell>
          <cell r="AG218">
            <v>-5000</v>
          </cell>
          <cell r="AH218">
            <v>-5000</v>
          </cell>
          <cell r="AI218">
            <v>-5000</v>
          </cell>
          <cell r="AJ218">
            <v>-5000</v>
          </cell>
          <cell r="AK218">
            <v>-5000</v>
          </cell>
          <cell r="AL218">
            <v>-5000</v>
          </cell>
          <cell r="AM218">
            <v>-5000</v>
          </cell>
          <cell r="AN218">
            <v>-5000</v>
          </cell>
          <cell r="AO218">
            <v>-5000</v>
          </cell>
          <cell r="AP218">
            <v>-5000</v>
          </cell>
        </row>
        <row r="219">
          <cell r="A219" t="str">
            <v>Other accounts (liabilities)</v>
          </cell>
          <cell r="R219">
            <v>-290000</v>
          </cell>
          <cell r="S219">
            <v>-290000</v>
          </cell>
          <cell r="T219">
            <v>-290000</v>
          </cell>
          <cell r="U219">
            <v>-290000</v>
          </cell>
          <cell r="V219">
            <v>-290000</v>
          </cell>
          <cell r="W219">
            <v>-290000</v>
          </cell>
          <cell r="X219">
            <v>-290000</v>
          </cell>
          <cell r="Y219">
            <v>-290000</v>
          </cell>
          <cell r="Z219">
            <v>-290000</v>
          </cell>
          <cell r="AA219">
            <v>-290000</v>
          </cell>
          <cell r="AB219">
            <v>-290000</v>
          </cell>
          <cell r="AC219">
            <v>-290000</v>
          </cell>
          <cell r="AE219">
            <v>-290000</v>
          </cell>
          <cell r="AF219">
            <v>-290000</v>
          </cell>
          <cell r="AG219">
            <v>-290000</v>
          </cell>
          <cell r="AH219">
            <v>-290000</v>
          </cell>
          <cell r="AI219">
            <v>-290000</v>
          </cell>
          <cell r="AJ219">
            <v>-290000</v>
          </cell>
          <cell r="AK219">
            <v>-290000</v>
          </cell>
          <cell r="AL219">
            <v>-290000</v>
          </cell>
          <cell r="AM219">
            <v>-290000</v>
          </cell>
          <cell r="AN219">
            <v>-290000</v>
          </cell>
          <cell r="AO219">
            <v>-290000</v>
          </cell>
          <cell r="AP219">
            <v>-290000</v>
          </cell>
        </row>
        <row r="220">
          <cell r="A220" t="str">
            <v>SBSA: Call deposits</v>
          </cell>
          <cell r="R220">
            <v>-315875</v>
          </cell>
          <cell r="S220">
            <v>-315875</v>
          </cell>
          <cell r="T220">
            <v>-315875</v>
          </cell>
          <cell r="U220">
            <v>-315875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E220">
            <v>-315875</v>
          </cell>
          <cell r="AF220">
            <v>-315875</v>
          </cell>
          <cell r="AG220">
            <v>-315875</v>
          </cell>
          <cell r="AH220">
            <v>-315875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</row>
        <row r="221">
          <cell r="A221" t="str">
            <v>SBSA: Nostro account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</row>
        <row r="222">
          <cell r="A222" t="str">
            <v>Credits in transit</v>
          </cell>
          <cell r="R222">
            <v>-50000</v>
          </cell>
          <cell r="S222">
            <v>-50000</v>
          </cell>
          <cell r="T222">
            <v>-50000</v>
          </cell>
          <cell r="U222">
            <v>-50000</v>
          </cell>
          <cell r="V222">
            <v>-50000</v>
          </cell>
          <cell r="W222">
            <v>-50000</v>
          </cell>
          <cell r="X222">
            <v>-50000</v>
          </cell>
          <cell r="Y222">
            <v>-50000</v>
          </cell>
          <cell r="Z222">
            <v>-50000</v>
          </cell>
          <cell r="AA222">
            <v>-50000</v>
          </cell>
          <cell r="AB222">
            <v>-50000</v>
          </cell>
          <cell r="AC222">
            <v>-50000</v>
          </cell>
          <cell r="AE222">
            <v>-50000</v>
          </cell>
          <cell r="AF222">
            <v>-50000</v>
          </cell>
          <cell r="AG222">
            <v>-50000</v>
          </cell>
          <cell r="AH222">
            <v>-50000</v>
          </cell>
          <cell r="AI222">
            <v>-50000</v>
          </cell>
          <cell r="AJ222">
            <v>-50000</v>
          </cell>
          <cell r="AK222">
            <v>-50000</v>
          </cell>
          <cell r="AL222">
            <v>-50000</v>
          </cell>
          <cell r="AM222">
            <v>-50000</v>
          </cell>
          <cell r="AN222">
            <v>-50000</v>
          </cell>
          <cell r="AO222">
            <v>-50000</v>
          </cell>
          <cell r="AP222">
            <v>-50000</v>
          </cell>
        </row>
        <row r="223">
          <cell r="A223" t="str">
            <v>Issued share capital</v>
          </cell>
          <cell r="R223">
            <v>-2000</v>
          </cell>
          <cell r="S223">
            <v>-2000</v>
          </cell>
          <cell r="T223">
            <v>-2000</v>
          </cell>
          <cell r="U223">
            <v>-2000</v>
          </cell>
          <cell r="V223">
            <v>-2000</v>
          </cell>
          <cell r="W223">
            <v>-2000</v>
          </cell>
          <cell r="X223">
            <v>-2000</v>
          </cell>
          <cell r="Y223">
            <v>-2000</v>
          </cell>
          <cell r="Z223">
            <v>-2000</v>
          </cell>
          <cell r="AA223">
            <v>-2000</v>
          </cell>
          <cell r="AB223">
            <v>-2000</v>
          </cell>
          <cell r="AC223">
            <v>-2000</v>
          </cell>
          <cell r="AE223">
            <v>-2000</v>
          </cell>
          <cell r="AF223">
            <v>-2000</v>
          </cell>
          <cell r="AG223">
            <v>-2000</v>
          </cell>
          <cell r="AH223">
            <v>-2000</v>
          </cell>
          <cell r="AI223">
            <v>-2000</v>
          </cell>
          <cell r="AJ223">
            <v>-2000</v>
          </cell>
          <cell r="AK223">
            <v>-2000</v>
          </cell>
          <cell r="AL223">
            <v>-2000</v>
          </cell>
          <cell r="AM223">
            <v>-2000</v>
          </cell>
          <cell r="AN223">
            <v>-2000</v>
          </cell>
          <cell r="AO223">
            <v>-2000</v>
          </cell>
          <cell r="AP223">
            <v>-2000</v>
          </cell>
        </row>
        <row r="224">
          <cell r="A224" t="str">
            <v>Reserves share premium</v>
          </cell>
          <cell r="R224">
            <v>-441230</v>
          </cell>
          <cell r="S224">
            <v>-441230</v>
          </cell>
          <cell r="T224">
            <v>-441230</v>
          </cell>
          <cell r="U224">
            <v>-441230</v>
          </cell>
          <cell r="V224">
            <v>-441230</v>
          </cell>
          <cell r="W224">
            <v>-441230</v>
          </cell>
          <cell r="X224">
            <v>-441230</v>
          </cell>
          <cell r="Y224">
            <v>-441230</v>
          </cell>
          <cell r="Z224">
            <v>-441230</v>
          </cell>
          <cell r="AA224">
            <v>-441230</v>
          </cell>
          <cell r="AB224">
            <v>-441230</v>
          </cell>
          <cell r="AC224">
            <v>-441230</v>
          </cell>
          <cell r="AE224">
            <v>-441230</v>
          </cell>
          <cell r="AF224">
            <v>-441230</v>
          </cell>
          <cell r="AG224">
            <v>-441230</v>
          </cell>
          <cell r="AH224">
            <v>-441230</v>
          </cell>
          <cell r="AI224">
            <v>-441230</v>
          </cell>
          <cell r="AJ224">
            <v>-441230</v>
          </cell>
          <cell r="AK224">
            <v>-441230</v>
          </cell>
          <cell r="AL224">
            <v>-441230</v>
          </cell>
          <cell r="AM224">
            <v>-441230</v>
          </cell>
          <cell r="AN224">
            <v>-441230</v>
          </cell>
          <cell r="AO224">
            <v>-441230</v>
          </cell>
          <cell r="AP224">
            <v>-441230</v>
          </cell>
        </row>
        <row r="225">
          <cell r="A225" t="str">
            <v>Reserves non distributable</v>
          </cell>
          <cell r="R225">
            <v>-31435.49</v>
          </cell>
          <cell r="S225">
            <v>-31435.49</v>
          </cell>
          <cell r="T225">
            <v>-31435.49</v>
          </cell>
          <cell r="U225">
            <v>-31435.49</v>
          </cell>
          <cell r="V225">
            <v>-31435.49</v>
          </cell>
          <cell r="W225">
            <v>-31435.49</v>
          </cell>
          <cell r="X225">
            <v>-31435.49</v>
          </cell>
          <cell r="Y225">
            <v>-31435.49</v>
          </cell>
          <cell r="Z225">
            <v>-31435.49</v>
          </cell>
          <cell r="AA225">
            <v>-31435.49</v>
          </cell>
          <cell r="AB225">
            <v>-31435.49</v>
          </cell>
          <cell r="AC225">
            <v>-31435.49</v>
          </cell>
          <cell r="AE225">
            <v>-31435.49</v>
          </cell>
          <cell r="AF225">
            <v>-31435.49</v>
          </cell>
          <cell r="AG225">
            <v>-31435.49</v>
          </cell>
          <cell r="AH225">
            <v>-31435.49</v>
          </cell>
          <cell r="AI225">
            <v>-31435.49</v>
          </cell>
          <cell r="AJ225">
            <v>-31435.49</v>
          </cell>
          <cell r="AK225">
            <v>-31435.490000000005</v>
          </cell>
          <cell r="AL225">
            <v>-31435.490000000005</v>
          </cell>
          <cell r="AM225">
            <v>-31435.490000000005</v>
          </cell>
          <cell r="AN225">
            <v>-31435.49</v>
          </cell>
          <cell r="AO225">
            <v>-31435.49</v>
          </cell>
          <cell r="AP225">
            <v>-31435.489999999998</v>
          </cell>
        </row>
        <row r="226">
          <cell r="A226" t="str">
            <v>Reserves distributable</v>
          </cell>
          <cell r="R226">
            <v>-176327.96</v>
          </cell>
          <cell r="S226">
            <v>-194327.96</v>
          </cell>
          <cell r="T226">
            <v>-212327.96</v>
          </cell>
          <cell r="U226">
            <v>-230327.96</v>
          </cell>
          <cell r="V226">
            <v>-248327.96</v>
          </cell>
          <cell r="W226">
            <v>-216327.96</v>
          </cell>
          <cell r="X226">
            <v>-234327.96</v>
          </cell>
          <cell r="Y226">
            <v>-252327.96</v>
          </cell>
          <cell r="Z226">
            <v>-270327.96000000002</v>
          </cell>
          <cell r="AA226">
            <v>-288327.96000000002</v>
          </cell>
          <cell r="AB226">
            <v>-306327.96000000002</v>
          </cell>
          <cell r="AC226">
            <v>-324327.96000000002</v>
          </cell>
          <cell r="AE226">
            <v>-176327.96</v>
          </cell>
          <cell r="AF226">
            <v>-184870.33288135595</v>
          </cell>
          <cell r="AG226">
            <v>-194327.96</v>
          </cell>
          <cell r="AH226">
            <v>-203327.96</v>
          </cell>
          <cell r="AI226">
            <v>-212566.37059602651</v>
          </cell>
          <cell r="AJ226">
            <v>-213189.83845303865</v>
          </cell>
          <cell r="AK226">
            <v>-216280.79018867924</v>
          </cell>
          <cell r="AL226">
            <v>-220879.40032921807</v>
          </cell>
          <cell r="AM226">
            <v>-226313.30798534799</v>
          </cell>
          <cell r="AN226">
            <v>-232637.17052631581</v>
          </cell>
          <cell r="AO226">
            <v>-239256.10371257484</v>
          </cell>
          <cell r="AP226">
            <v>-246481.38465753428</v>
          </cell>
        </row>
        <row r="227">
          <cell r="A227" t="str">
            <v>Impairment</v>
          </cell>
          <cell r="R227">
            <v>-78460.039999999994</v>
          </cell>
          <cell r="S227">
            <v>-79260.039999999994</v>
          </cell>
          <cell r="T227">
            <v>-80060.039999999994</v>
          </cell>
          <cell r="U227">
            <v>-80860.039999999994</v>
          </cell>
          <cell r="V227">
            <v>-81660.039999999994</v>
          </cell>
          <cell r="W227">
            <v>-82460.039999999994</v>
          </cell>
          <cell r="X227">
            <v>-83260.039999999994</v>
          </cell>
          <cell r="Y227">
            <v>-84060.04</v>
          </cell>
          <cell r="Z227">
            <v>-84860.04</v>
          </cell>
          <cell r="AA227">
            <v>-85660.04</v>
          </cell>
          <cell r="AB227">
            <v>-86460.04</v>
          </cell>
          <cell r="AC227">
            <v>-87260.04</v>
          </cell>
          <cell r="AE227">
            <v>-78460.039999999994</v>
          </cell>
          <cell r="AF227">
            <v>-78839.70101694914</v>
          </cell>
          <cell r="AG227">
            <v>-79260.039999999994</v>
          </cell>
          <cell r="AH227">
            <v>-79660.039999999994</v>
          </cell>
          <cell r="AI227">
            <v>-80070.636026490058</v>
          </cell>
          <cell r="AJ227">
            <v>-80466.669834254135</v>
          </cell>
          <cell r="AK227">
            <v>-80875.134339622629</v>
          </cell>
          <cell r="AL227">
            <v>-81281.439176954707</v>
          </cell>
          <cell r="AM227">
            <v>-81674.692014651999</v>
          </cell>
          <cell r="AN227">
            <v>-82081.092631578926</v>
          </cell>
          <cell r="AO227">
            <v>-82474.411257485001</v>
          </cell>
          <cell r="AP227">
            <v>-82880.861917808186</v>
          </cell>
        </row>
        <row r="228">
          <cell r="A228" t="str">
            <v>Foreign currency assets (customer)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</row>
        <row r="229">
          <cell r="A229" t="str">
            <v>IC: Foreign currency assets (Mauritius)</v>
          </cell>
          <cell r="R229">
            <v>15000</v>
          </cell>
          <cell r="S229">
            <v>15150</v>
          </cell>
          <cell r="T229">
            <v>15301.5</v>
          </cell>
          <cell r="U229">
            <v>15454.52</v>
          </cell>
          <cell r="V229">
            <v>15609.06</v>
          </cell>
          <cell r="W229">
            <v>15765.15</v>
          </cell>
          <cell r="X229">
            <v>15922.8</v>
          </cell>
          <cell r="Y229">
            <v>16082.03</v>
          </cell>
          <cell r="Z229">
            <v>16242.85</v>
          </cell>
          <cell r="AA229">
            <v>16405.28</v>
          </cell>
          <cell r="AB229">
            <v>16569.330000000002</v>
          </cell>
          <cell r="AC229">
            <v>16735.03</v>
          </cell>
          <cell r="AE229">
            <v>15000</v>
          </cell>
          <cell r="AF229">
            <v>15071.186440677966</v>
          </cell>
          <cell r="AG229">
            <v>15150.516666666666</v>
          </cell>
          <cell r="AH229">
            <v>15226.5175</v>
          </cell>
          <cell r="AI229">
            <v>15305.052715231788</v>
          </cell>
          <cell r="AJ229">
            <v>15381.311933701658</v>
          </cell>
          <cell r="AK229">
            <v>15460.491792452829</v>
          </cell>
          <cell r="AL229">
            <v>15539.782674897118</v>
          </cell>
          <cell r="AM229">
            <v>15617.042820512819</v>
          </cell>
          <cell r="AN229">
            <v>15697.422269736839</v>
          </cell>
          <cell r="AO229">
            <v>15775.737335329341</v>
          </cell>
          <cell r="AP229">
            <v>15857.211506849313</v>
          </cell>
        </row>
        <row r="230">
          <cell r="A230" t="str">
            <v>IC: AIA Foreign currency loans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</row>
        <row r="231">
          <cell r="A231" t="str">
            <v>AIA Foreign currency loans: Customer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</row>
        <row r="232">
          <cell r="A232" t="str">
            <v>IC: foreign currency deposits (Mauritius)</v>
          </cell>
          <cell r="R232">
            <v>-115000</v>
          </cell>
          <cell r="S232">
            <v>-115000</v>
          </cell>
          <cell r="T232">
            <v>-115000</v>
          </cell>
          <cell r="U232">
            <v>-115000</v>
          </cell>
          <cell r="V232">
            <v>-115000</v>
          </cell>
          <cell r="W232">
            <v>-115000</v>
          </cell>
          <cell r="X232">
            <v>-115000</v>
          </cell>
          <cell r="Y232">
            <v>-115000</v>
          </cell>
          <cell r="Z232">
            <v>-115000</v>
          </cell>
          <cell r="AA232">
            <v>-115000</v>
          </cell>
          <cell r="AB232">
            <v>-115000</v>
          </cell>
          <cell r="AC232">
            <v>-115000</v>
          </cell>
          <cell r="AE232">
            <v>-115000</v>
          </cell>
          <cell r="AF232">
            <v>-115000</v>
          </cell>
          <cell r="AG232">
            <v>-115000</v>
          </cell>
          <cell r="AH232">
            <v>-115000</v>
          </cell>
          <cell r="AI232">
            <v>-115000</v>
          </cell>
          <cell r="AJ232">
            <v>-115000</v>
          </cell>
          <cell r="AK232">
            <v>-115000</v>
          </cell>
          <cell r="AL232">
            <v>-115000</v>
          </cell>
          <cell r="AM232">
            <v>-115000</v>
          </cell>
          <cell r="AN232">
            <v>-115000</v>
          </cell>
          <cell r="AO232">
            <v>-115000</v>
          </cell>
          <cell r="AP232">
            <v>-115000</v>
          </cell>
        </row>
        <row r="233">
          <cell r="A233" t="str">
            <v>Foreign currency deposits (banks &amp; customers)</v>
          </cell>
          <cell r="R233">
            <v>-102000</v>
          </cell>
          <cell r="S233">
            <v>-104040</v>
          </cell>
          <cell r="T233">
            <v>-106120.8</v>
          </cell>
          <cell r="U233">
            <v>-108243.22</v>
          </cell>
          <cell r="V233">
            <v>-110408.08</v>
          </cell>
          <cell r="W233">
            <v>-112616.24</v>
          </cell>
          <cell r="X233">
            <v>-114868.57</v>
          </cell>
          <cell r="Y233">
            <v>-117165.94</v>
          </cell>
          <cell r="Z233">
            <v>-119509.26</v>
          </cell>
          <cell r="AA233">
            <v>-121899.44</v>
          </cell>
          <cell r="AB233">
            <v>-124337.43</v>
          </cell>
          <cell r="AC233">
            <v>-126824.18</v>
          </cell>
          <cell r="AE233">
            <v>-102000</v>
          </cell>
          <cell r="AF233">
            <v>-102968.13559322034</v>
          </cell>
          <cell r="AG233">
            <v>-104054.05333333334</v>
          </cell>
          <cell r="AH233">
            <v>-105101.345</v>
          </cell>
          <cell r="AI233">
            <v>-106190.80715231788</v>
          </cell>
          <cell r="AJ233">
            <v>-107255.79602209946</v>
          </cell>
          <cell r="AK233">
            <v>-108368.98466981134</v>
          </cell>
          <cell r="AL233">
            <v>-109491.23000000003</v>
          </cell>
          <cell r="AM233">
            <v>-110592.11241758244</v>
          </cell>
          <cell r="AN233">
            <v>-111745.16226973686</v>
          </cell>
          <cell r="AO233">
            <v>-112876.20428143714</v>
          </cell>
          <cell r="AP233">
            <v>-114060.82687671234</v>
          </cell>
        </row>
        <row r="234">
          <cell r="A234" t="str">
            <v>IC: AIA Foreign currency deposits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</row>
        <row r="235">
          <cell r="A235" t="str">
            <v>AIA Foreign currency loans: Other banks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</row>
        <row r="236">
          <cell r="A236" t="str">
            <v xml:space="preserve">IC: Nostro account </v>
          </cell>
          <cell r="R236">
            <v>40000</v>
          </cell>
          <cell r="S236">
            <v>40000</v>
          </cell>
          <cell r="T236">
            <v>40000</v>
          </cell>
          <cell r="U236">
            <v>40000</v>
          </cell>
          <cell r="V236">
            <v>40000</v>
          </cell>
          <cell r="W236">
            <v>40000</v>
          </cell>
          <cell r="X236">
            <v>40000</v>
          </cell>
          <cell r="Y236">
            <v>40000</v>
          </cell>
          <cell r="Z236">
            <v>40000</v>
          </cell>
          <cell r="AA236">
            <v>40000</v>
          </cell>
          <cell r="AB236">
            <v>40000</v>
          </cell>
          <cell r="AC236">
            <v>40000</v>
          </cell>
          <cell r="AE236">
            <v>40000</v>
          </cell>
          <cell r="AF236">
            <v>40000</v>
          </cell>
          <cell r="AG236">
            <v>40000</v>
          </cell>
          <cell r="AH236">
            <v>40000</v>
          </cell>
          <cell r="AI236">
            <v>40000</v>
          </cell>
          <cell r="AJ236">
            <v>40000</v>
          </cell>
          <cell r="AK236">
            <v>40000</v>
          </cell>
          <cell r="AL236">
            <v>40000</v>
          </cell>
          <cell r="AM236">
            <v>40000</v>
          </cell>
          <cell r="AN236">
            <v>40000</v>
          </cell>
          <cell r="AO236">
            <v>40000</v>
          </cell>
          <cell r="AP236">
            <v>40000</v>
          </cell>
        </row>
        <row r="237">
          <cell r="A237" t="str">
            <v>Nostro accounts foreign banks</v>
          </cell>
          <cell r="R237">
            <v>20000</v>
          </cell>
          <cell r="S237">
            <v>20000</v>
          </cell>
          <cell r="T237">
            <v>20000</v>
          </cell>
          <cell r="U237">
            <v>20000</v>
          </cell>
          <cell r="V237">
            <v>20000</v>
          </cell>
          <cell r="W237">
            <v>20000</v>
          </cell>
          <cell r="X237">
            <v>20000</v>
          </cell>
          <cell r="Y237">
            <v>20000</v>
          </cell>
          <cell r="Z237">
            <v>20000</v>
          </cell>
          <cell r="AA237">
            <v>20000</v>
          </cell>
          <cell r="AB237">
            <v>20000</v>
          </cell>
          <cell r="AC237">
            <v>20000</v>
          </cell>
          <cell r="AE237">
            <v>20000</v>
          </cell>
          <cell r="AF237">
            <v>20000</v>
          </cell>
          <cell r="AG237">
            <v>20000</v>
          </cell>
          <cell r="AH237">
            <v>20000</v>
          </cell>
          <cell r="AI237">
            <v>20000</v>
          </cell>
          <cell r="AJ237">
            <v>20000</v>
          </cell>
          <cell r="AK237">
            <v>20000</v>
          </cell>
          <cell r="AL237">
            <v>20000</v>
          </cell>
          <cell r="AM237">
            <v>20000</v>
          </cell>
          <cell r="AN237">
            <v>20000</v>
          </cell>
          <cell r="AO237">
            <v>20000</v>
          </cell>
          <cell r="AP237">
            <v>20000</v>
          </cell>
        </row>
        <row r="238">
          <cell r="A238" t="str">
            <v>Not mapped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</row>
        <row r="239">
          <cell r="A239" t="str">
            <v>Structured finance</v>
          </cell>
          <cell r="R239">
            <v>25000</v>
          </cell>
          <cell r="S239">
            <v>35000</v>
          </cell>
          <cell r="T239">
            <v>45000</v>
          </cell>
          <cell r="U239">
            <v>55000</v>
          </cell>
          <cell r="V239">
            <v>65000</v>
          </cell>
          <cell r="W239">
            <v>75000</v>
          </cell>
          <cell r="X239">
            <v>85000</v>
          </cell>
          <cell r="Y239">
            <v>95000</v>
          </cell>
          <cell r="Z239">
            <v>100000</v>
          </cell>
          <cell r="AA239">
            <v>100000</v>
          </cell>
          <cell r="AB239">
            <v>100000</v>
          </cell>
          <cell r="AC239">
            <v>100000</v>
          </cell>
          <cell r="AE239">
            <v>25000</v>
          </cell>
          <cell r="AF239">
            <v>29745.762711864405</v>
          </cell>
          <cell r="AG239">
            <v>35000</v>
          </cell>
          <cell r="AH239">
            <v>40000</v>
          </cell>
          <cell r="AI239">
            <v>45132.45033112583</v>
          </cell>
          <cell r="AJ239">
            <v>50082.872928176796</v>
          </cell>
          <cell r="AK239">
            <v>55188.67924528302</v>
          </cell>
          <cell r="AL239">
            <v>60267.489711934155</v>
          </cell>
          <cell r="AM239">
            <v>64633.699633699631</v>
          </cell>
          <cell r="AN239">
            <v>68240.131578947374</v>
          </cell>
          <cell r="AO239">
            <v>71092.814371257482</v>
          </cell>
          <cell r="AP239">
            <v>73547.945205479453</v>
          </cell>
        </row>
        <row r="243">
          <cell r="A243" t="str">
            <v>02 USDCall Loans - SB Mauritius</v>
          </cell>
          <cell r="C243">
            <v>5</v>
          </cell>
          <cell r="R243">
            <v>148576.95999999999</v>
          </cell>
          <cell r="S243">
            <v>88643.85</v>
          </cell>
          <cell r="T243">
            <v>82818.63</v>
          </cell>
          <cell r="U243">
            <v>91842.84</v>
          </cell>
          <cell r="V243">
            <v>84930.86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E243">
            <v>148576.95999999999</v>
          </cell>
          <cell r="AF243">
            <v>120134.12813559323</v>
          </cell>
          <cell r="AG243">
            <v>107281.01211111111</v>
          </cell>
          <cell r="AH243">
            <v>103421.46908333333</v>
          </cell>
          <cell r="AI243">
            <v>99625.383774834438</v>
          </cell>
          <cell r="AJ243">
            <v>83112.889226519328</v>
          </cell>
          <cell r="AK243">
            <v>70959.589386792446</v>
          </cell>
          <cell r="AL243">
            <v>61907.131481481476</v>
          </cell>
          <cell r="AM243">
            <v>55104.149999999994</v>
          </cell>
          <cell r="AN243">
            <v>49484.976809210522</v>
          </cell>
          <cell r="AO243">
            <v>45040.21841317365</v>
          </cell>
          <cell r="AP243">
            <v>41214.884794520549</v>
          </cell>
        </row>
        <row r="244">
          <cell r="A244" t="str">
            <v>03 GBPCall Loans - SB Mauritius</v>
          </cell>
          <cell r="C244">
            <v>6</v>
          </cell>
          <cell r="R244">
            <v>3785.47</v>
          </cell>
          <cell r="S244">
            <v>3924.66</v>
          </cell>
          <cell r="T244">
            <v>3901.77</v>
          </cell>
          <cell r="U244">
            <v>3559.97</v>
          </cell>
          <cell r="V244">
            <v>182.99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E244">
            <v>3785.47</v>
          </cell>
          <cell r="AF244">
            <v>3851.5262711864407</v>
          </cell>
          <cell r="AG244">
            <v>3868.8324444444443</v>
          </cell>
          <cell r="AH244">
            <v>3791.616833333333</v>
          </cell>
          <cell r="AI244">
            <v>3050.7729139072844</v>
          </cell>
          <cell r="AJ244">
            <v>2545.1199447513809</v>
          </cell>
          <cell r="AK244">
            <v>2172.9561792452828</v>
          </cell>
          <cell r="AL244">
            <v>1895.7477777777776</v>
          </cell>
          <cell r="AM244">
            <v>1687.4238461538459</v>
          </cell>
          <cell r="AN244">
            <v>1515.3510197368421</v>
          </cell>
          <cell r="AO244">
            <v>1379.2416467065866</v>
          </cell>
          <cell r="AP244">
            <v>1262.1005753424656</v>
          </cell>
        </row>
        <row r="245">
          <cell r="A245" t="str">
            <v>70 EURCall Loans - SB Mauritius</v>
          </cell>
          <cell r="C245">
            <v>7</v>
          </cell>
          <cell r="R245">
            <v>14839.93</v>
          </cell>
          <cell r="S245">
            <v>11197.85</v>
          </cell>
          <cell r="T245">
            <v>14575.67</v>
          </cell>
          <cell r="U245">
            <v>17285.060000000001</v>
          </cell>
          <cell r="V245">
            <v>17371.71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E245">
            <v>14839.93</v>
          </cell>
          <cell r="AF245">
            <v>13111.485254237288</v>
          </cell>
          <cell r="AG245">
            <v>13615.815555555555</v>
          </cell>
          <cell r="AH245">
            <v>14533.126666666667</v>
          </cell>
          <cell r="AI245">
            <v>15115.882185430464</v>
          </cell>
          <cell r="AJ245">
            <v>12610.487348066297</v>
          </cell>
          <cell r="AK245">
            <v>10766.500990566037</v>
          </cell>
          <cell r="AL245">
            <v>9392.9967489711926</v>
          </cell>
          <cell r="AM245">
            <v>8360.799304029304</v>
          </cell>
          <cell r="AN245">
            <v>7508.2177960526315</v>
          </cell>
          <cell r="AO245">
            <v>6833.8269760479043</v>
          </cell>
          <cell r="AP245">
            <v>6253.4197534246578</v>
          </cell>
        </row>
        <row r="246">
          <cell r="A246" t="str">
            <v>02 USDCall Loans</v>
          </cell>
          <cell r="C246" t="str">
            <v>16</v>
          </cell>
          <cell r="R246">
            <v>6001.39</v>
          </cell>
          <cell r="S246">
            <v>3804.74</v>
          </cell>
          <cell r="T246">
            <v>3809.23</v>
          </cell>
          <cell r="U246">
            <v>2953.41</v>
          </cell>
          <cell r="V246">
            <v>4092.08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E246">
            <v>6001.39</v>
          </cell>
          <cell r="AF246">
            <v>4958.9120338983048</v>
          </cell>
          <cell r="AG246">
            <v>4562.9104444444447</v>
          </cell>
          <cell r="AH246">
            <v>4160.5353333333333</v>
          </cell>
          <cell r="AI246">
            <v>4146.481589403973</v>
          </cell>
          <cell r="AJ246">
            <v>3459.2194475138122</v>
          </cell>
          <cell r="AK246">
            <v>2953.3901886792451</v>
          </cell>
          <cell r="AL246">
            <v>2576.6202469135801</v>
          </cell>
          <cell r="AM246">
            <v>2293.4751648351648</v>
          </cell>
          <cell r="AN246">
            <v>2059.601052631579</v>
          </cell>
          <cell r="AO246">
            <v>1874.6069461077843</v>
          </cell>
          <cell r="AP246">
            <v>1715.3937534246575</v>
          </cell>
        </row>
        <row r="247">
          <cell r="A247" t="str">
            <v>70 EURCall Loans</v>
          </cell>
          <cell r="C247" t="str">
            <v>17</v>
          </cell>
          <cell r="R247">
            <v>10250.209999999999</v>
          </cell>
          <cell r="S247">
            <v>9819.68</v>
          </cell>
          <cell r="T247">
            <v>12240.89</v>
          </cell>
          <cell r="U247">
            <v>11707.87</v>
          </cell>
          <cell r="V247">
            <v>8045.75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E247">
            <v>10250.209999999999</v>
          </cell>
          <cell r="AF247">
            <v>10045.890677966103</v>
          </cell>
          <cell r="AG247">
            <v>10801.946</v>
          </cell>
          <cell r="AH247">
            <v>11028.427</v>
          </cell>
          <cell r="AI247">
            <v>10416.089337748344</v>
          </cell>
          <cell r="AJ247">
            <v>8689.6656906077351</v>
          </cell>
          <cell r="AK247">
            <v>7419.0070283018867</v>
          </cell>
          <cell r="AL247">
            <v>6472.5493415637857</v>
          </cell>
          <cell r="AM247">
            <v>5761.2801831501829</v>
          </cell>
          <cell r="AN247">
            <v>5173.7812171052628</v>
          </cell>
          <cell r="AO247">
            <v>4709.0703293413171</v>
          </cell>
          <cell r="AP247">
            <v>4309.1218904109592</v>
          </cell>
        </row>
        <row r="248">
          <cell r="A248" t="str">
            <v>02 USDExport Finance Loans</v>
          </cell>
          <cell r="C248" t="str">
            <v>18</v>
          </cell>
          <cell r="R248">
            <v>6868.8</v>
          </cell>
          <cell r="S248">
            <v>6963.86</v>
          </cell>
          <cell r="T248">
            <v>6547.89</v>
          </cell>
          <cell r="U248">
            <v>6060.4</v>
          </cell>
          <cell r="V248">
            <v>6643.1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E248">
            <v>6868.8</v>
          </cell>
          <cell r="AF248">
            <v>6913.9132203389827</v>
          </cell>
          <cell r="AG248">
            <v>6787.8385555555551</v>
          </cell>
          <cell r="AH248">
            <v>6605.978916666666</v>
          </cell>
          <cell r="AI248">
            <v>6613.5998013245026</v>
          </cell>
          <cell r="AJ248">
            <v>5517.4230386740328</v>
          </cell>
          <cell r="AK248">
            <v>4710.6300471698114</v>
          </cell>
          <cell r="AL248">
            <v>4109.6854732510283</v>
          </cell>
          <cell r="AM248">
            <v>3658.0716849816849</v>
          </cell>
          <cell r="AN248">
            <v>3285.0446381578945</v>
          </cell>
          <cell r="AO248">
            <v>2989.9807485029937</v>
          </cell>
          <cell r="AP248">
            <v>2736.0371780821915</v>
          </cell>
        </row>
        <row r="249">
          <cell r="A249" t="str">
            <v>70 EURExport Finance Loans</v>
          </cell>
          <cell r="C249" t="str">
            <v>19</v>
          </cell>
          <cell r="R249">
            <v>110976.24</v>
          </cell>
          <cell r="S249">
            <v>118365.33</v>
          </cell>
          <cell r="T249">
            <v>104518.51</v>
          </cell>
          <cell r="U249">
            <v>74258.53</v>
          </cell>
          <cell r="V249">
            <v>79642.73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E249">
            <v>110976.24</v>
          </cell>
          <cell r="AF249">
            <v>114482.92677966101</v>
          </cell>
          <cell r="AG249">
            <v>111050.73877777778</v>
          </cell>
          <cell r="AH249">
            <v>101852.68658333334</v>
          </cell>
          <cell r="AI249">
            <v>97293.026622516554</v>
          </cell>
          <cell r="AJ249">
            <v>81167.110607734809</v>
          </cell>
          <cell r="AK249">
            <v>69298.334999999992</v>
          </cell>
          <cell r="AL249">
            <v>60457.806666666664</v>
          </cell>
          <cell r="AM249">
            <v>53814.091648351648</v>
          </cell>
          <cell r="AN249">
            <v>48326.470460526318</v>
          </cell>
          <cell r="AO249">
            <v>43985.769520958085</v>
          </cell>
          <cell r="AP249">
            <v>40249.991835616434</v>
          </cell>
        </row>
        <row r="250">
          <cell r="A250" t="str">
            <v>06 ZARExport Finance Loans</v>
          </cell>
          <cell r="C250" t="str">
            <v>20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</row>
        <row r="251">
          <cell r="A251" t="str">
            <v>02 USDImport Finance Loans</v>
          </cell>
          <cell r="C251" t="str">
            <v>21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</row>
        <row r="252">
          <cell r="A252" t="str">
            <v>02 USDAIA: Call Loans - Standard Bank Mauritius</v>
          </cell>
          <cell r="C252" t="str">
            <v>32</v>
          </cell>
          <cell r="R252">
            <v>0.33</v>
          </cell>
          <cell r="S252">
            <v>-116.44</v>
          </cell>
          <cell r="T252">
            <v>155.99</v>
          </cell>
          <cell r="U252">
            <v>156.19</v>
          </cell>
          <cell r="V252">
            <v>171.78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E252">
            <v>0.33</v>
          </cell>
          <cell r="AF252">
            <v>-55.086271186440676</v>
          </cell>
          <cell r="AG252">
            <v>17.617777777777786</v>
          </cell>
          <cell r="AH252">
            <v>52.260833333333345</v>
          </cell>
          <cell r="AI252">
            <v>76.797880794701996</v>
          </cell>
          <cell r="AJ252">
            <v>64.0689502762431</v>
          </cell>
          <cell r="AK252">
            <v>54.70037735849057</v>
          </cell>
          <cell r="AL252">
            <v>47.722139917695479</v>
          </cell>
          <cell r="AM252">
            <v>42.477948717948721</v>
          </cell>
          <cell r="AN252">
            <v>38.14631578947369</v>
          </cell>
          <cell r="AO252">
            <v>34.720000000000006</v>
          </cell>
          <cell r="AP252">
            <v>31.771178082191785</v>
          </cell>
        </row>
        <row r="253">
          <cell r="A253" t="str">
            <v>03 GBPAIA: Call Loans - Standard Bank Mauritius</v>
          </cell>
          <cell r="C253" t="str">
            <v>33</v>
          </cell>
          <cell r="R253">
            <v>8.32</v>
          </cell>
          <cell r="S253">
            <v>2.92</v>
          </cell>
          <cell r="T253">
            <v>7.71</v>
          </cell>
          <cell r="U253">
            <v>4.2</v>
          </cell>
          <cell r="V253">
            <v>0.32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E253">
            <v>8.32</v>
          </cell>
          <cell r="AF253">
            <v>5.7572881355932202</v>
          </cell>
          <cell r="AG253">
            <v>6.4298888888888897</v>
          </cell>
          <cell r="AH253">
            <v>5.8724166666666671</v>
          </cell>
          <cell r="AI253">
            <v>4.7325165562913911</v>
          </cell>
          <cell r="AJ253">
            <v>3.948121546961326</v>
          </cell>
          <cell r="AK253">
            <v>3.370801886792453</v>
          </cell>
          <cell r="AL253">
            <v>2.9407818930041154</v>
          </cell>
          <cell r="AM253">
            <v>2.6176190476190477</v>
          </cell>
          <cell r="AN253">
            <v>2.3506907894736844</v>
          </cell>
          <cell r="AO253">
            <v>2.1395508982035927</v>
          </cell>
          <cell r="AP253">
            <v>1.9578356164383561</v>
          </cell>
        </row>
        <row r="254">
          <cell r="A254" t="str">
            <v>70 EURAIA: Call Loans - Standard Bank Mauritius</v>
          </cell>
          <cell r="C254" t="str">
            <v>34</v>
          </cell>
          <cell r="R254">
            <v>0.7</v>
          </cell>
          <cell r="S254">
            <v>4.21</v>
          </cell>
          <cell r="T254">
            <v>13.68</v>
          </cell>
          <cell r="U254">
            <v>10.81</v>
          </cell>
          <cell r="V254">
            <v>17.68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E254">
            <v>0.7</v>
          </cell>
          <cell r="AF254">
            <v>2.3657627118644067</v>
          </cell>
          <cell r="AG254">
            <v>6.2628888888888889</v>
          </cell>
          <cell r="AH254">
            <v>7.3996666666666666</v>
          </cell>
          <cell r="AI254">
            <v>9.5101986754966887</v>
          </cell>
          <cell r="AJ254">
            <v>7.9339226519337016</v>
          </cell>
          <cell r="AK254">
            <v>6.7737735849056602</v>
          </cell>
          <cell r="AL254">
            <v>5.9096296296296291</v>
          </cell>
          <cell r="AM254">
            <v>5.2602197802197797</v>
          </cell>
          <cell r="AN254">
            <v>4.7238157894736839</v>
          </cell>
          <cell r="AO254">
            <v>4.2995209580838321</v>
          </cell>
          <cell r="AP254">
            <v>3.9343561643835616</v>
          </cell>
        </row>
        <row r="255">
          <cell r="A255" t="str">
            <v>06 ZARAIA: Call Loans - SBSA (Investment Call)</v>
          </cell>
          <cell r="C255" t="str">
            <v>35</v>
          </cell>
          <cell r="R255">
            <v>513.51</v>
          </cell>
          <cell r="S255">
            <v>257.23</v>
          </cell>
          <cell r="T255">
            <v>849.08</v>
          </cell>
          <cell r="U255">
            <v>540.79</v>
          </cell>
          <cell r="V255">
            <v>1016.56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E255">
            <v>513.51</v>
          </cell>
          <cell r="AF255">
            <v>391.88559322033899</v>
          </cell>
          <cell r="AG255">
            <v>549.36366666666663</v>
          </cell>
          <cell r="AH255">
            <v>547.22024999999996</v>
          </cell>
          <cell r="AI255">
            <v>643.57476821192051</v>
          </cell>
          <cell r="AJ255">
            <v>536.90491712707183</v>
          </cell>
          <cell r="AK255">
            <v>458.39523584905658</v>
          </cell>
          <cell r="AL255">
            <v>399.91683127572014</v>
          </cell>
          <cell r="AM255">
            <v>355.96992673992673</v>
          </cell>
          <cell r="AN255">
            <v>319.67036184210525</v>
          </cell>
          <cell r="AO255">
            <v>290.95745508982031</v>
          </cell>
          <cell r="AP255">
            <v>266.24599999999998</v>
          </cell>
        </row>
        <row r="256">
          <cell r="A256" t="str">
            <v>06 ZARAIA: Call Loans - SBSA Inter Bank Deposit</v>
          </cell>
          <cell r="C256" t="str">
            <v>36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</row>
        <row r="257">
          <cell r="A257" t="str">
            <v>02 USDAIA: Call Loans</v>
          </cell>
          <cell r="C257" t="str">
            <v>45</v>
          </cell>
          <cell r="R257">
            <v>3958.18</v>
          </cell>
          <cell r="S257">
            <v>482.03</v>
          </cell>
          <cell r="T257">
            <v>94.61</v>
          </cell>
          <cell r="U257">
            <v>24.1</v>
          </cell>
          <cell r="V257">
            <v>32.340000000000003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E257">
            <v>3958.18</v>
          </cell>
          <cell r="AF257">
            <v>2308.4816949152546</v>
          </cell>
          <cell r="AG257">
            <v>1545.9258888888892</v>
          </cell>
          <cell r="AH257">
            <v>1165.4694166666668</v>
          </cell>
          <cell r="AI257">
            <v>932.84019867549682</v>
          </cell>
          <cell r="AJ257">
            <v>778.22580110497256</v>
          </cell>
          <cell r="AK257">
            <v>664.4286320754718</v>
          </cell>
          <cell r="AL257">
            <v>579.66613168724291</v>
          </cell>
          <cell r="AM257">
            <v>515.9665567765569</v>
          </cell>
          <cell r="AN257">
            <v>463.35154605263165</v>
          </cell>
          <cell r="AO257">
            <v>421.73314371257493</v>
          </cell>
          <cell r="AP257">
            <v>385.91471232876717</v>
          </cell>
        </row>
        <row r="258">
          <cell r="A258" t="str">
            <v>03 GBPAIA: Call Loans</v>
          </cell>
          <cell r="C258" t="str">
            <v>46</v>
          </cell>
          <cell r="R258">
            <v>141.97</v>
          </cell>
          <cell r="S258">
            <v>10.74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E258">
            <v>141.97</v>
          </cell>
          <cell r="AF258">
            <v>79.691355932203393</v>
          </cell>
          <cell r="AG258">
            <v>52.242111111111107</v>
          </cell>
          <cell r="AH258">
            <v>39.181583333333336</v>
          </cell>
          <cell r="AI258">
            <v>31.137682119205298</v>
          </cell>
          <cell r="AJ258">
            <v>25.976740331491712</v>
          </cell>
          <cell r="AK258">
            <v>22.178254716981133</v>
          </cell>
          <cell r="AL258">
            <v>19.348930041152265</v>
          </cell>
          <cell r="AM258">
            <v>17.222673992673993</v>
          </cell>
          <cell r="AN258">
            <v>15.46641447368421</v>
          </cell>
          <cell r="AO258">
            <v>14.077215568862275</v>
          </cell>
          <cell r="AP258">
            <v>12.881616438356165</v>
          </cell>
        </row>
        <row r="259">
          <cell r="A259" t="str">
            <v>70 EURAIA: Call Loans</v>
          </cell>
          <cell r="C259" t="str">
            <v>47</v>
          </cell>
          <cell r="R259">
            <v>372.17</v>
          </cell>
          <cell r="S259">
            <v>59.17</v>
          </cell>
          <cell r="T259">
            <v>53.5</v>
          </cell>
          <cell r="U259">
            <v>51.72</v>
          </cell>
          <cell r="V259">
            <v>24.48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E259">
            <v>372.17</v>
          </cell>
          <cell r="AF259">
            <v>223.62762711864409</v>
          </cell>
          <cell r="AG259">
            <v>165.02811111111112</v>
          </cell>
          <cell r="AH259">
            <v>136.70108333333334</v>
          </cell>
          <cell r="AI259">
            <v>113.66231788079472</v>
          </cell>
          <cell r="AJ259">
            <v>94.8232596685083</v>
          </cell>
          <cell r="AK259">
            <v>80.957594339622645</v>
          </cell>
          <cell r="AL259">
            <v>70.629670781893012</v>
          </cell>
          <cell r="AM259">
            <v>62.868168498168508</v>
          </cell>
          <cell r="AN259">
            <v>56.457269736842115</v>
          </cell>
          <cell r="AO259">
            <v>51.386257485029944</v>
          </cell>
          <cell r="AP259">
            <v>47.021945205479454</v>
          </cell>
        </row>
        <row r="260">
          <cell r="A260" t="str">
            <v>70 EURAIA: Export Finance Loans</v>
          </cell>
          <cell r="C260" t="str">
            <v>48</v>
          </cell>
          <cell r="R260">
            <v>1001.3</v>
          </cell>
          <cell r="S260">
            <v>830.18</v>
          </cell>
          <cell r="T260">
            <v>780.71</v>
          </cell>
          <cell r="U260">
            <v>693.96</v>
          </cell>
          <cell r="V260">
            <v>848.11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E260">
            <v>1001.3</v>
          </cell>
          <cell r="AF260">
            <v>920.09050847457627</v>
          </cell>
          <cell r="AG260">
            <v>872.08166666666671</v>
          </cell>
          <cell r="AH260">
            <v>827.5512500000001</v>
          </cell>
          <cell r="AI260">
            <v>831.77192052980138</v>
          </cell>
          <cell r="AJ260">
            <v>693.90917127071828</v>
          </cell>
          <cell r="AK260">
            <v>592.44132075471703</v>
          </cell>
          <cell r="AL260">
            <v>516.86238683127578</v>
          </cell>
          <cell r="AM260">
            <v>460.06432234432236</v>
          </cell>
          <cell r="AN260">
            <v>413.14986842105264</v>
          </cell>
          <cell r="AO260">
            <v>376.04059880239527</v>
          </cell>
          <cell r="AP260">
            <v>344.10290410958908</v>
          </cell>
        </row>
        <row r="261">
          <cell r="A261" t="str">
            <v>06 ZARAIA: Export Finance Loans</v>
          </cell>
          <cell r="C261" t="str">
            <v>49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</row>
        <row r="262">
          <cell r="A262" t="str">
            <v>02 USDBridging Finance - SB Mauritius</v>
          </cell>
          <cell r="C262" t="str">
            <v>59</v>
          </cell>
          <cell r="R262">
            <v>5992.45</v>
          </cell>
          <cell r="S262">
            <v>3802.65</v>
          </cell>
          <cell r="T262">
            <v>3792.74</v>
          </cell>
          <cell r="U262">
            <v>2986.34</v>
          </cell>
          <cell r="V262">
            <v>4090.55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E262">
            <v>5992.45</v>
          </cell>
          <cell r="AF262">
            <v>4953.2228813559313</v>
          </cell>
          <cell r="AG262">
            <v>4553.5009999999993</v>
          </cell>
          <cell r="AH262">
            <v>4161.7107500000002</v>
          </cell>
          <cell r="AI262">
            <v>4147.1015894039729</v>
          </cell>
          <cell r="AJ262">
            <v>3459.7366850828726</v>
          </cell>
          <cell r="AK262">
            <v>2953.8317924528301</v>
          </cell>
          <cell r="AL262">
            <v>2577.0055144032922</v>
          </cell>
          <cell r="AM262">
            <v>2293.8180952380953</v>
          </cell>
          <cell r="AN262">
            <v>2059.9090131578946</v>
          </cell>
          <cell r="AO262">
            <v>1874.887245508982</v>
          </cell>
          <cell r="AP262">
            <v>1715.6502465753424</v>
          </cell>
        </row>
        <row r="263">
          <cell r="A263" t="str">
            <v>70 EURBridging Finance - SB Mauritius</v>
          </cell>
          <cell r="C263" t="str">
            <v>60</v>
          </cell>
          <cell r="R263">
            <v>10239.290000000001</v>
          </cell>
          <cell r="S263">
            <v>9817.11</v>
          </cell>
          <cell r="T263">
            <v>12223.36</v>
          </cell>
          <cell r="U263">
            <v>11850.71</v>
          </cell>
          <cell r="V263">
            <v>8040.38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E263">
            <v>10239.290000000001</v>
          </cell>
          <cell r="AF263">
            <v>10038.93338983051</v>
          </cell>
          <cell r="AG263">
            <v>10791.347000000002</v>
          </cell>
          <cell r="AH263">
            <v>11056.187750000001</v>
          </cell>
          <cell r="AI263">
            <v>10437.048410596028</v>
          </cell>
          <cell r="AJ263">
            <v>8707.1508839779017</v>
          </cell>
          <cell r="AK263">
            <v>7433.9354245283021</v>
          </cell>
          <cell r="AL263">
            <v>6485.5732921810704</v>
          </cell>
          <cell r="AM263">
            <v>5772.8729304029303</v>
          </cell>
          <cell r="AN263">
            <v>5184.1918092105261</v>
          </cell>
          <cell r="AO263">
            <v>4718.5458383233536</v>
          </cell>
          <cell r="AP263">
            <v>4317.7926301369862</v>
          </cell>
        </row>
        <row r="264">
          <cell r="A264" t="str">
            <v>02 USDLoans &amp; Advances - SB Mauritius</v>
          </cell>
          <cell r="C264" t="str">
            <v>61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</row>
        <row r="265">
          <cell r="A265" t="str">
            <v>70 EURLoans &amp; Advances - SB Mauritius</v>
          </cell>
          <cell r="C265" t="str">
            <v>62</v>
          </cell>
          <cell r="R265">
            <v>101821.18</v>
          </cell>
          <cell r="S265">
            <v>111275.78</v>
          </cell>
          <cell r="T265">
            <v>94848.02</v>
          </cell>
          <cell r="U265">
            <v>65218.1</v>
          </cell>
          <cell r="V265">
            <v>72635.09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E265">
            <v>101821.18</v>
          </cell>
          <cell r="AF265">
            <v>106308.10881355932</v>
          </cell>
          <cell r="AG265">
            <v>102360.74488888888</v>
          </cell>
          <cell r="AH265">
            <v>93075.083666666658</v>
          </cell>
          <cell r="AI265">
            <v>88878.793576158932</v>
          </cell>
          <cell r="AJ265">
            <v>74147.501823204409</v>
          </cell>
          <cell r="AK265">
            <v>63305.178443396217</v>
          </cell>
          <cell r="AL265">
            <v>55229.209176954726</v>
          </cell>
          <cell r="AM265">
            <v>49160.065311355305</v>
          </cell>
          <cell r="AN265">
            <v>44147.03233552631</v>
          </cell>
          <cell r="AO265">
            <v>40181.730029940118</v>
          </cell>
          <cell r="AP265">
            <v>36769.035150684926</v>
          </cell>
        </row>
        <row r="266">
          <cell r="A266" t="str">
            <v>06 ZARLoans &amp; Advances - SB Mauritius</v>
          </cell>
          <cell r="C266" t="str">
            <v>63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</row>
        <row r="267">
          <cell r="A267" t="str">
            <v>02 USDLoans &amp; Advances - Unibank</v>
          </cell>
          <cell r="C267" t="str">
            <v>73</v>
          </cell>
          <cell r="R267">
            <v>6868.8</v>
          </cell>
          <cell r="S267">
            <v>6963.86</v>
          </cell>
          <cell r="T267">
            <v>6947.76</v>
          </cell>
          <cell r="U267">
            <v>6060.4</v>
          </cell>
          <cell r="V267">
            <v>6643.1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E267">
            <v>6868.8</v>
          </cell>
          <cell r="AF267">
            <v>6913.9132203389827</v>
          </cell>
          <cell r="AG267">
            <v>6925.5715555555553</v>
          </cell>
          <cell r="AH267">
            <v>6709.2786666666661</v>
          </cell>
          <cell r="AI267">
            <v>6695.6923178807938</v>
          </cell>
          <cell r="AJ267">
            <v>5585.9090607734806</v>
          </cell>
          <cell r="AK267">
            <v>4769.1016037735844</v>
          </cell>
          <cell r="AL267">
            <v>4160.6976954732509</v>
          </cell>
          <cell r="AM267">
            <v>3703.4781684981681</v>
          </cell>
          <cell r="AN267">
            <v>3325.8208552631577</v>
          </cell>
          <cell r="AO267">
            <v>3027.0944311377243</v>
          </cell>
          <cell r="AP267">
            <v>2769.998739726027</v>
          </cell>
        </row>
        <row r="268">
          <cell r="A268" t="str">
            <v>70 EURLoans &amp; Advances - Standard Chartered London</v>
          </cell>
          <cell r="C268" t="str">
            <v>74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</row>
        <row r="269">
          <cell r="A269" t="str">
            <v>02 USDCall Deposits</v>
          </cell>
          <cell r="C269" t="str">
            <v>84</v>
          </cell>
          <cell r="R269">
            <v>158173.76000000001</v>
          </cell>
          <cell r="S269">
            <v>95760.26</v>
          </cell>
          <cell r="T269">
            <v>92357.62</v>
          </cell>
          <cell r="U269">
            <v>100382.55</v>
          </cell>
          <cell r="V269">
            <v>91537.54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E269">
            <v>158173.76000000001</v>
          </cell>
          <cell r="AF269">
            <v>128553.79389830508</v>
          </cell>
          <cell r="AG269">
            <v>116086.22288888888</v>
          </cell>
          <cell r="AH269">
            <v>112160.30466666665</v>
          </cell>
          <cell r="AI269">
            <v>107926.49205298013</v>
          </cell>
          <cell r="AJ269">
            <v>90038.123204419884</v>
          </cell>
          <cell r="AK269">
            <v>76872.171226415085</v>
          </cell>
          <cell r="AL269">
            <v>67065.433333333334</v>
          </cell>
          <cell r="AM269">
            <v>59695.605494505493</v>
          </cell>
          <cell r="AN269">
            <v>53608.224671052631</v>
          </cell>
          <cell r="AO269">
            <v>48793.114670658681</v>
          </cell>
          <cell r="AP269">
            <v>44649.041917808216</v>
          </cell>
        </row>
        <row r="270">
          <cell r="A270" t="str">
            <v>03 GBPCall Deposits</v>
          </cell>
          <cell r="C270" t="str">
            <v>85</v>
          </cell>
          <cell r="R270">
            <v>3785.48</v>
          </cell>
          <cell r="S270">
            <v>3924.69</v>
          </cell>
          <cell r="T270">
            <v>3901.79</v>
          </cell>
          <cell r="U270">
            <v>3359.91</v>
          </cell>
          <cell r="V270">
            <v>183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E270">
            <v>3785.48</v>
          </cell>
          <cell r="AF270">
            <v>3851.5457627118644</v>
          </cell>
          <cell r="AG270">
            <v>3868.8521111111113</v>
          </cell>
          <cell r="AH270">
            <v>3741.6165833333334</v>
          </cell>
          <cell r="AI270">
            <v>3011.0396688741721</v>
          </cell>
          <cell r="AJ270">
            <v>2511.9723204419888</v>
          </cell>
          <cell r="AK270">
            <v>2144.655613207547</v>
          </cell>
          <cell r="AL270">
            <v>1871.0575720164609</v>
          </cell>
          <cell r="AM270">
            <v>1665.4468498168499</v>
          </cell>
          <cell r="AN270">
            <v>1495.6150986842106</v>
          </cell>
          <cell r="AO270">
            <v>1361.2784131736528</v>
          </cell>
          <cell r="AP270">
            <v>1245.6629863013698</v>
          </cell>
        </row>
        <row r="271">
          <cell r="A271" t="str">
            <v>70 EURCall Deposits</v>
          </cell>
          <cell r="C271" t="str">
            <v>86</v>
          </cell>
          <cell r="R271">
            <v>14848.98</v>
          </cell>
          <cell r="S271">
            <v>11198.48</v>
          </cell>
          <cell r="T271">
            <v>14593.53</v>
          </cell>
          <cell r="U271">
            <v>17347.169999999998</v>
          </cell>
          <cell r="V271">
            <v>17372.02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E271">
            <v>14848.98</v>
          </cell>
          <cell r="AF271">
            <v>13116.539322033899</v>
          </cell>
          <cell r="AG271">
            <v>13625.280555555555</v>
          </cell>
          <cell r="AH271">
            <v>14555.752916666668</v>
          </cell>
          <cell r="AI271">
            <v>15133.926953642385</v>
          </cell>
          <cell r="AJ271">
            <v>12625.541270718233</v>
          </cell>
          <cell r="AK271">
            <v>10779.353632075472</v>
          </cell>
          <cell r="AL271">
            <v>9404.2097530864212</v>
          </cell>
          <cell r="AM271">
            <v>8370.7801098901109</v>
          </cell>
          <cell r="AN271">
            <v>7517.180822368422</v>
          </cell>
          <cell r="AO271">
            <v>6841.9849401197607</v>
          </cell>
          <cell r="AP271">
            <v>6260.884849315069</v>
          </cell>
        </row>
        <row r="272">
          <cell r="A272" t="str">
            <v>02 USDAccr Int: Bridging Finance - SB Mauritius</v>
          </cell>
          <cell r="C272" t="str">
            <v>96</v>
          </cell>
          <cell r="R272">
            <v>409.35</v>
          </cell>
          <cell r="S272">
            <v>33.42</v>
          </cell>
          <cell r="T272">
            <v>11.59</v>
          </cell>
          <cell r="U272">
            <v>7.7</v>
          </cell>
          <cell r="V272">
            <v>9.11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E272">
            <v>409.35</v>
          </cell>
          <cell r="AF272">
            <v>230.94254237288138</v>
          </cell>
          <cell r="AG272">
            <v>155.38777777777779</v>
          </cell>
          <cell r="AH272">
            <v>118.46583333333335</v>
          </cell>
          <cell r="AI272">
            <v>96.015298013245044</v>
          </cell>
          <cell r="AJ272">
            <v>80.101160220994487</v>
          </cell>
          <cell r="AK272">
            <v>68.388254716981137</v>
          </cell>
          <cell r="AL272">
            <v>59.663827160493831</v>
          </cell>
          <cell r="AM272">
            <v>53.107362637362641</v>
          </cell>
          <cell r="AN272">
            <v>47.691809210526323</v>
          </cell>
          <cell r="AO272">
            <v>43.408113772455096</v>
          </cell>
          <cell r="AP272">
            <v>39.721397260273974</v>
          </cell>
        </row>
        <row r="273">
          <cell r="A273" t="str">
            <v>70 EURAccr Int: Bridging Finance - SB Mauritius</v>
          </cell>
          <cell r="C273" t="str">
            <v>96</v>
          </cell>
          <cell r="R273">
            <v>409.35</v>
          </cell>
          <cell r="S273">
            <v>33.42</v>
          </cell>
          <cell r="T273">
            <v>11.59</v>
          </cell>
          <cell r="U273">
            <v>7.7</v>
          </cell>
          <cell r="V273">
            <v>9.11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E273">
            <v>409.35</v>
          </cell>
          <cell r="AF273">
            <v>230.94254237288138</v>
          </cell>
          <cell r="AG273">
            <v>155.38777777777779</v>
          </cell>
          <cell r="AH273">
            <v>118.46583333333335</v>
          </cell>
          <cell r="AI273">
            <v>96.015298013245044</v>
          </cell>
          <cell r="AJ273">
            <v>80.101160220994487</v>
          </cell>
          <cell r="AK273">
            <v>68.388254716981137</v>
          </cell>
          <cell r="AL273">
            <v>59.663827160493831</v>
          </cell>
          <cell r="AM273">
            <v>53.107362637362641</v>
          </cell>
          <cell r="AN273">
            <v>47.691809210526323</v>
          </cell>
          <cell r="AO273">
            <v>43.408113772455096</v>
          </cell>
          <cell r="AP273">
            <v>39.721397260273974</v>
          </cell>
        </row>
        <row r="274">
          <cell r="A274" t="str">
            <v>70 EURAccr Int: Loans &amp; Advances - SB Mauritius</v>
          </cell>
          <cell r="C274" t="str">
            <v>97</v>
          </cell>
          <cell r="R274">
            <v>972.05</v>
          </cell>
          <cell r="S274">
            <v>850.64</v>
          </cell>
          <cell r="T274">
            <v>711.16</v>
          </cell>
          <cell r="U274">
            <v>601.91</v>
          </cell>
          <cell r="V274">
            <v>754.44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E274">
            <v>972.05</v>
          </cell>
          <cell r="AF274">
            <v>914.4316949152543</v>
          </cell>
          <cell r="AG274">
            <v>844.41588888888884</v>
          </cell>
          <cell r="AH274">
            <v>783.78941666666663</v>
          </cell>
          <cell r="AI274">
            <v>777.76403973509935</v>
          </cell>
          <cell r="AJ274">
            <v>648.85287292817679</v>
          </cell>
          <cell r="AK274">
            <v>553.97344339622634</v>
          </cell>
          <cell r="AL274">
            <v>483.30193415637859</v>
          </cell>
          <cell r="AM274">
            <v>430.19183150183147</v>
          </cell>
          <cell r="AN274">
            <v>386.32358552631575</v>
          </cell>
          <cell r="AO274">
            <v>351.62386227544908</v>
          </cell>
          <cell r="AP274">
            <v>321.75991780821914</v>
          </cell>
        </row>
        <row r="275">
          <cell r="A275" t="str">
            <v>06 ZARAccr Int: Loans &amp; Advances - SB Mauritius</v>
          </cell>
          <cell r="C275" t="str">
            <v>98</v>
          </cell>
          <cell r="R275">
            <v>4567.51</v>
          </cell>
          <cell r="S275">
            <v>2148.39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E275">
            <v>4567.51</v>
          </cell>
          <cell r="AF275">
            <v>3419.4530508474572</v>
          </cell>
          <cell r="AG275">
            <v>2241.6414444444445</v>
          </cell>
          <cell r="AH275">
            <v>1681.2310833333331</v>
          </cell>
          <cell r="AI275">
            <v>1336.0776821192051</v>
          </cell>
          <cell r="AJ275">
            <v>1114.6283425414363</v>
          </cell>
          <cell r="AK275">
            <v>951.64023584905647</v>
          </cell>
          <cell r="AL275">
            <v>830.23757201646083</v>
          </cell>
          <cell r="AM275">
            <v>739.00267399267398</v>
          </cell>
          <cell r="AN275">
            <v>663.64384868421041</v>
          </cell>
          <cell r="AO275">
            <v>604.03511976047901</v>
          </cell>
          <cell r="AP275">
            <v>552.73350684931506</v>
          </cell>
        </row>
        <row r="276">
          <cell r="A276" t="str">
            <v>06 ZARAccr Int: Loans &amp; Advances - SBSA</v>
          </cell>
          <cell r="C276" t="str">
            <v>99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</row>
        <row r="277">
          <cell r="A277" t="str">
            <v>70 EURLoans &amp; Advances - Standard Chartered London</v>
          </cell>
          <cell r="C277" t="str">
            <v>109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</row>
        <row r="278">
          <cell r="A278" t="str">
            <v>02 USDAccr Int: Call Deposits</v>
          </cell>
          <cell r="C278" t="str">
            <v>118</v>
          </cell>
          <cell r="R278">
            <v>205.38</v>
          </cell>
          <cell r="S278">
            <v>126.86</v>
          </cell>
          <cell r="T278">
            <v>121.38</v>
          </cell>
          <cell r="U278">
            <v>129.74</v>
          </cell>
          <cell r="V278">
            <v>145.44999999999999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E278">
            <v>205.38</v>
          </cell>
          <cell r="AF278">
            <v>168.11627118644068</v>
          </cell>
          <cell r="AG278">
            <v>152.01822222222222</v>
          </cell>
          <cell r="AH278">
            <v>146.44866666666667</v>
          </cell>
          <cell r="AI278">
            <v>146.24364238410595</v>
          </cell>
          <cell r="AJ278">
            <v>122.00436464088398</v>
          </cell>
          <cell r="AK278">
            <v>104.16410377358491</v>
          </cell>
          <cell r="AL278">
            <v>90.875679012345685</v>
          </cell>
          <cell r="AM278">
            <v>80.889340659340661</v>
          </cell>
          <cell r="AN278">
            <v>72.640756578947375</v>
          </cell>
          <cell r="AO278">
            <v>66.116137724550896</v>
          </cell>
          <cell r="AP278">
            <v>60.500794520547949</v>
          </cell>
        </row>
        <row r="279">
          <cell r="A279" t="str">
            <v>03 GBPAccr Int: Call Deposits</v>
          </cell>
          <cell r="C279" t="str">
            <v>119</v>
          </cell>
          <cell r="R279">
            <v>5.28</v>
          </cell>
          <cell r="S279">
            <v>5.03</v>
          </cell>
          <cell r="T279">
            <v>4.99</v>
          </cell>
          <cell r="U279">
            <v>3.36</v>
          </cell>
          <cell r="V279">
            <v>1.25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E279">
            <v>5.28</v>
          </cell>
          <cell r="AF279">
            <v>5.1613559322033895</v>
          </cell>
          <cell r="AG279">
            <v>5.1023333333333332</v>
          </cell>
          <cell r="AH279">
            <v>4.6667499999999995</v>
          </cell>
          <cell r="AI279">
            <v>3.9652980132450328</v>
          </cell>
          <cell r="AJ279">
            <v>3.3080662983425415</v>
          </cell>
          <cell r="AK279">
            <v>2.8243396226415092</v>
          </cell>
          <cell r="AL279">
            <v>2.4640329218106998</v>
          </cell>
          <cell r="AM279">
            <v>2.1932600732600731</v>
          </cell>
          <cell r="AN279">
            <v>1.9696052631578946</v>
          </cell>
          <cell r="AO279">
            <v>1.7926946107784432</v>
          </cell>
          <cell r="AP279">
            <v>1.6404383561643836</v>
          </cell>
        </row>
        <row r="280">
          <cell r="A280" t="str">
            <v>70 EURAccr Int: Call Deposits</v>
          </cell>
          <cell r="C280" t="str">
            <v>120</v>
          </cell>
          <cell r="R280">
            <v>22.93</v>
          </cell>
          <cell r="S280">
            <v>22.31</v>
          </cell>
          <cell r="T280">
            <v>22.15</v>
          </cell>
          <cell r="U280">
            <v>13.64</v>
          </cell>
          <cell r="V280">
            <v>27.53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E280">
            <v>22.93</v>
          </cell>
          <cell r="AF280">
            <v>22.635762711864405</v>
          </cell>
          <cell r="AG280">
            <v>22.468444444444444</v>
          </cell>
          <cell r="AH280">
            <v>20.261333333333329</v>
          </cell>
          <cell r="AI280">
            <v>21.753576158940398</v>
          </cell>
          <cell r="AJ280">
            <v>18.148011049723756</v>
          </cell>
          <cell r="AK280">
            <v>15.494292452830189</v>
          </cell>
          <cell r="AL280">
            <v>13.517654320987655</v>
          </cell>
          <cell r="AM280">
            <v>12.032197802197802</v>
          </cell>
          <cell r="AN280">
            <v>10.805230263157895</v>
          </cell>
          <cell r="AO280">
            <v>9.8347005988023959</v>
          </cell>
          <cell r="AP280">
            <v>8.9994246575342469</v>
          </cell>
        </row>
        <row r="281">
          <cell r="A281" t="str">
            <v>02 USD 02 USD - USA Dollars</v>
          </cell>
          <cell r="C281" t="str">
            <v>132</v>
          </cell>
          <cell r="R281">
            <v>4704.58</v>
          </cell>
          <cell r="S281">
            <v>4549.9399999999996</v>
          </cell>
          <cell r="T281">
            <v>5162.6000000000004</v>
          </cell>
          <cell r="U281">
            <v>3385.4</v>
          </cell>
          <cell r="V281">
            <v>4907.8500000000004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E281">
            <v>4704.58</v>
          </cell>
          <cell r="AF281">
            <v>4631.1915254237283</v>
          </cell>
          <cell r="AG281">
            <v>4814.2322222222228</v>
          </cell>
          <cell r="AH281">
            <v>4457.024166666667</v>
          </cell>
          <cell r="AI281">
            <v>4549.5778145695367</v>
          </cell>
          <cell r="AJ281">
            <v>3795.5041436464089</v>
          </cell>
          <cell r="AK281">
            <v>3240.5011792452829</v>
          </cell>
          <cell r="AL281">
            <v>2827.1039094650205</v>
          </cell>
          <cell r="AM281">
            <v>2516.4331501831502</v>
          </cell>
          <cell r="AN281">
            <v>2259.8231907894738</v>
          </cell>
          <cell r="AO281">
            <v>2056.8450598802397</v>
          </cell>
          <cell r="AP281">
            <v>1882.1541095890411</v>
          </cell>
        </row>
        <row r="282">
          <cell r="A282" t="str">
            <v>03 GBP03 GBP - Brtish Sterling</v>
          </cell>
          <cell r="C282" t="str">
            <v>133</v>
          </cell>
          <cell r="R282">
            <v>123.36</v>
          </cell>
          <cell r="S282">
            <v>176.48</v>
          </cell>
          <cell r="T282">
            <v>30</v>
          </cell>
          <cell r="U282">
            <v>85.5</v>
          </cell>
          <cell r="V282">
            <v>275.38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E282">
            <v>123.36</v>
          </cell>
          <cell r="AF282">
            <v>148.5694915254237</v>
          </cell>
          <cell r="AG282">
            <v>107.72888888888887</v>
          </cell>
          <cell r="AH282">
            <v>102.17166666666665</v>
          </cell>
          <cell r="AI282">
            <v>137.73099337748343</v>
          </cell>
          <cell r="AJ282">
            <v>114.90265193370165</v>
          </cell>
          <cell r="AK282">
            <v>98.100849056603764</v>
          </cell>
          <cell r="AL282">
            <v>85.58592592592592</v>
          </cell>
          <cell r="AM282">
            <v>76.180879120879112</v>
          </cell>
          <cell r="AN282">
            <v>68.412434210526314</v>
          </cell>
          <cell r="AO282">
            <v>62.267604790419156</v>
          </cell>
          <cell r="AP282">
            <v>56.979123287671229</v>
          </cell>
        </row>
        <row r="283">
          <cell r="A283" t="str">
            <v>04 DEM 04 DEM - Deutchemarks</v>
          </cell>
          <cell r="C283" t="str">
            <v>134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</row>
        <row r="284">
          <cell r="A284" t="str">
            <v>05 JPY 05 JPY - Japanese Yen</v>
          </cell>
          <cell r="C284" t="str">
            <v>135</v>
          </cell>
          <cell r="R284">
            <v>7.55</v>
          </cell>
          <cell r="S284">
            <v>10.220000000000001</v>
          </cell>
          <cell r="T284">
            <v>1596.65</v>
          </cell>
          <cell r="U284">
            <v>10.63</v>
          </cell>
          <cell r="V284">
            <v>320.02999999999997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E284">
            <v>7.55</v>
          </cell>
          <cell r="AF284">
            <v>8.8171186440677971</v>
          </cell>
          <cell r="AG284">
            <v>555.73733333333337</v>
          </cell>
          <cell r="AH284">
            <v>419.46050000000002</v>
          </cell>
          <cell r="AI284">
            <v>399.04761589403972</v>
          </cell>
          <cell r="AJ284">
            <v>332.9071270718232</v>
          </cell>
          <cell r="AK284">
            <v>284.22731132075472</v>
          </cell>
          <cell r="AL284">
            <v>247.96786008230453</v>
          </cell>
          <cell r="AM284">
            <v>220.7186446886447</v>
          </cell>
          <cell r="AN284">
            <v>198.21115131578949</v>
          </cell>
          <cell r="AO284">
            <v>180.40775449101798</v>
          </cell>
          <cell r="AP284">
            <v>165.08545205479453</v>
          </cell>
        </row>
        <row r="285">
          <cell r="A285" t="str">
            <v>06 ZAR06 ZAR - Rand</v>
          </cell>
          <cell r="C285" t="str">
            <v>136</v>
          </cell>
          <cell r="R285">
            <v>216398.71</v>
          </cell>
          <cell r="S285">
            <v>62982.12</v>
          </cell>
          <cell r="T285">
            <v>102353.4</v>
          </cell>
          <cell r="U285">
            <v>130158.12</v>
          </cell>
          <cell r="V285">
            <v>336437.89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E285">
            <v>216398.71</v>
          </cell>
          <cell r="AF285">
            <v>143590.83677966101</v>
          </cell>
          <cell r="AG285">
            <v>129386.83077777777</v>
          </cell>
          <cell r="AH285">
            <v>129579.65308333332</v>
          </cell>
          <cell r="AI285">
            <v>172047.23814569536</v>
          </cell>
          <cell r="AJ285">
            <v>143531.12132596684</v>
          </cell>
          <cell r="AK285">
            <v>122543.08</v>
          </cell>
          <cell r="AL285">
            <v>106910.01218106996</v>
          </cell>
          <cell r="AM285">
            <v>95161.659194139196</v>
          </cell>
          <cell r="AN285">
            <v>85457.674210526326</v>
          </cell>
          <cell r="AO285">
            <v>77781.835209580837</v>
          </cell>
          <cell r="AP285">
            <v>71175.706739726025</v>
          </cell>
        </row>
        <row r="286">
          <cell r="A286" t="str">
            <v>07 CHF07 CHF - Swiss Francs</v>
          </cell>
          <cell r="C286" t="str">
            <v>137</v>
          </cell>
          <cell r="R286">
            <v>69.239999999999995</v>
          </cell>
          <cell r="S286">
            <v>59.14</v>
          </cell>
          <cell r="T286">
            <v>0</v>
          </cell>
          <cell r="U286">
            <v>48.53</v>
          </cell>
          <cell r="V286">
            <v>94.43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E286">
            <v>69.239999999999995</v>
          </cell>
          <cell r="AF286">
            <v>64.446779661016947</v>
          </cell>
          <cell r="AG286">
            <v>42.248444444444445</v>
          </cell>
          <cell r="AH286">
            <v>43.818833333333338</v>
          </cell>
          <cell r="AI286">
            <v>54.209205298013245</v>
          </cell>
          <cell r="AJ286">
            <v>45.224254143646412</v>
          </cell>
          <cell r="AK286">
            <v>38.611273584905661</v>
          </cell>
          <cell r="AL286">
            <v>33.68555555555556</v>
          </cell>
          <cell r="AM286">
            <v>29.983846153846155</v>
          </cell>
          <cell r="AN286">
            <v>26.926282894736843</v>
          </cell>
          <cell r="AO286">
            <v>24.507754491017966</v>
          </cell>
          <cell r="AP286">
            <v>22.42627397260274</v>
          </cell>
        </row>
        <row r="287">
          <cell r="A287" t="str">
            <v>08 FRF 08 FRF - French Francs</v>
          </cell>
          <cell r="C287" t="str">
            <v>138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</row>
        <row r="288">
          <cell r="A288" t="str">
            <v>09 NLG 09 NLG - Dutch Guilders</v>
          </cell>
          <cell r="C288" t="str">
            <v>139</v>
          </cell>
          <cell r="R288">
            <v>16.45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E288">
            <v>16.45</v>
          </cell>
          <cell r="AF288">
            <v>8.6432203389830509</v>
          </cell>
          <cell r="AG288">
            <v>5.6661111111111113</v>
          </cell>
          <cell r="AH288">
            <v>4.2495833333333328</v>
          </cell>
          <cell r="AI288">
            <v>3.3771523178807947</v>
          </cell>
          <cell r="AJ288">
            <v>2.8174033149171271</v>
          </cell>
          <cell r="AK288">
            <v>2.4054245283018867</v>
          </cell>
          <cell r="AL288">
            <v>2.098559670781893</v>
          </cell>
          <cell r="AM288">
            <v>1.867948717948718</v>
          </cell>
          <cell r="AN288">
            <v>1.6774671052631578</v>
          </cell>
          <cell r="AO288">
            <v>1.5267964071856288</v>
          </cell>
          <cell r="AP288">
            <v>1.3971232876712329</v>
          </cell>
        </row>
        <row r="289">
          <cell r="A289" t="str">
            <v>10 SEK 10 SEK - Swedish Kroner</v>
          </cell>
          <cell r="C289" t="str">
            <v>140</v>
          </cell>
          <cell r="R289">
            <v>0</v>
          </cell>
          <cell r="S289">
            <v>25.75</v>
          </cell>
          <cell r="T289">
            <v>14.94</v>
          </cell>
          <cell r="U289">
            <v>26.27</v>
          </cell>
          <cell r="V289">
            <v>35.950000000000003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E289">
            <v>0</v>
          </cell>
          <cell r="AF289">
            <v>12.220338983050848</v>
          </cell>
          <cell r="AG289">
            <v>13.15711111111111</v>
          </cell>
          <cell r="AH289">
            <v>16.435333333333332</v>
          </cell>
          <cell r="AI289">
            <v>20.441655629139071</v>
          </cell>
          <cell r="AJ289">
            <v>17.053535911602207</v>
          </cell>
          <cell r="AK289">
            <v>14.559858490566036</v>
          </cell>
          <cell r="AL289">
            <v>12.702427983539094</v>
          </cell>
          <cell r="AM289">
            <v>11.306556776556775</v>
          </cell>
          <cell r="AN289">
            <v>10.153585526315789</v>
          </cell>
          <cell r="AO289">
            <v>9.2415868263473033</v>
          </cell>
          <cell r="AP289">
            <v>8.4566849315068477</v>
          </cell>
        </row>
        <row r="290">
          <cell r="A290" t="str">
            <v>12 ATS 12 ATS - Austrian Schillings</v>
          </cell>
          <cell r="C290" t="str">
            <v>141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</row>
        <row r="291">
          <cell r="A291" t="str">
            <v>13 AUD 13 AUD - Australian Dollars</v>
          </cell>
          <cell r="C291" t="str">
            <v>142</v>
          </cell>
          <cell r="R291">
            <v>8.0399999999999991</v>
          </cell>
          <cell r="S291">
            <v>41.83</v>
          </cell>
          <cell r="T291">
            <v>93.39</v>
          </cell>
          <cell r="U291">
            <v>36.79</v>
          </cell>
          <cell r="V291">
            <v>41.98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E291">
            <v>8.0399999999999991</v>
          </cell>
          <cell r="AF291">
            <v>24.075932203389829</v>
          </cell>
          <cell r="AG291">
            <v>47.950777777777773</v>
          </cell>
          <cell r="AH291">
            <v>45.160583333333328</v>
          </cell>
          <cell r="AI291">
            <v>44.507615894039731</v>
          </cell>
          <cell r="AJ291">
            <v>37.13066298342541</v>
          </cell>
          <cell r="AK291">
            <v>31.701179245283019</v>
          </cell>
          <cell r="AL291">
            <v>27.656995884773661</v>
          </cell>
          <cell r="AM291">
            <v>24.617765567765566</v>
          </cell>
          <cell r="AN291">
            <v>22.107401315789474</v>
          </cell>
          <cell r="AO291">
            <v>20.121706586826345</v>
          </cell>
          <cell r="AP291">
            <v>18.412739726027397</v>
          </cell>
        </row>
        <row r="292">
          <cell r="A292" t="str">
            <v>14 BEF 14 BEF - Belgian Francs</v>
          </cell>
          <cell r="C292" t="str">
            <v>143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</row>
        <row r="293">
          <cell r="A293" t="str">
            <v>17 BWP17 BWP - Botswana Pula</v>
          </cell>
          <cell r="C293" t="str">
            <v>144</v>
          </cell>
          <cell r="R293">
            <v>21.23</v>
          </cell>
          <cell r="S293">
            <v>24.43</v>
          </cell>
          <cell r="T293">
            <v>28.57</v>
          </cell>
          <cell r="U293">
            <v>10.95</v>
          </cell>
          <cell r="V293">
            <v>27.96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E293">
            <v>21.23</v>
          </cell>
          <cell r="AF293">
            <v>22.748644067796612</v>
          </cell>
          <cell r="AG293">
            <v>24.753777777777778</v>
          </cell>
          <cell r="AH293">
            <v>21.302833333333336</v>
          </cell>
          <cell r="AI293">
            <v>22.669536423841063</v>
          </cell>
          <cell r="AJ293">
            <v>18.9121546961326</v>
          </cell>
          <cell r="AK293">
            <v>16.146698113207549</v>
          </cell>
          <cell r="AL293">
            <v>14.086831275720167</v>
          </cell>
          <cell r="AM293">
            <v>12.53882783882784</v>
          </cell>
          <cell r="AN293">
            <v>11.260197368421053</v>
          </cell>
          <cell r="AO293">
            <v>10.248802395209582</v>
          </cell>
          <cell r="AP293">
            <v>9.3783561643835629</v>
          </cell>
        </row>
        <row r="294">
          <cell r="A294" t="str">
            <v>18 CAD 18 CAD - Canadian Dollars</v>
          </cell>
          <cell r="C294" t="str">
            <v>145</v>
          </cell>
          <cell r="R294">
            <v>26.24</v>
          </cell>
          <cell r="S294">
            <v>33.270000000000003</v>
          </cell>
          <cell r="T294">
            <v>20.25</v>
          </cell>
          <cell r="U294">
            <v>34.340000000000003</v>
          </cell>
          <cell r="V294">
            <v>114.08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E294">
            <v>26.24</v>
          </cell>
          <cell r="AF294">
            <v>29.576271186440678</v>
          </cell>
          <cell r="AG294">
            <v>26.363888888888887</v>
          </cell>
          <cell r="AH294">
            <v>28.357916666666664</v>
          </cell>
          <cell r="AI294">
            <v>45.956490066225165</v>
          </cell>
          <cell r="AJ294">
            <v>38.339392265193375</v>
          </cell>
          <cell r="AK294">
            <v>32.733160377358494</v>
          </cell>
          <cell r="AL294">
            <v>28.557325102880661</v>
          </cell>
          <cell r="AM294">
            <v>25.419157509157511</v>
          </cell>
          <cell r="AN294">
            <v>22.827072368421053</v>
          </cell>
          <cell r="AO294">
            <v>20.77673652694611</v>
          </cell>
          <cell r="AP294">
            <v>19.012136986301371</v>
          </cell>
        </row>
        <row r="295">
          <cell r="A295" t="str">
            <v>20 DKK 20 DKK - Danish Kroner</v>
          </cell>
          <cell r="C295" t="str">
            <v>146</v>
          </cell>
          <cell r="R295">
            <v>40</v>
          </cell>
          <cell r="S295">
            <v>18.14</v>
          </cell>
          <cell r="T295">
            <v>23.34</v>
          </cell>
          <cell r="U295">
            <v>41.58</v>
          </cell>
          <cell r="V295">
            <v>17.420000000000002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E295">
            <v>40</v>
          </cell>
          <cell r="AF295">
            <v>29.625762711864407</v>
          </cell>
          <cell r="AG295">
            <v>27.460666666666668</v>
          </cell>
          <cell r="AH295">
            <v>30.990499999999997</v>
          </cell>
          <cell r="AI295">
            <v>28.204503311258279</v>
          </cell>
          <cell r="AJ295">
            <v>23.529723756906076</v>
          </cell>
          <cell r="AK295">
            <v>20.089056603773585</v>
          </cell>
          <cell r="AL295">
            <v>17.526255144032923</v>
          </cell>
          <cell r="AM295">
            <v>15.600293040293041</v>
          </cell>
          <cell r="AN295">
            <v>14.009473684210526</v>
          </cell>
          <cell r="AO295">
            <v>12.751137724550899</v>
          </cell>
          <cell r="AP295">
            <v>11.668164383561644</v>
          </cell>
        </row>
        <row r="296">
          <cell r="A296" t="str">
            <v>23 ESP23 ESP -  Spanish Pesetas</v>
          </cell>
          <cell r="C296" t="str">
            <v>147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</row>
        <row r="297">
          <cell r="A297" t="str">
            <v>25 FIM 25 FIM - Finnish Markka</v>
          </cell>
          <cell r="C297" t="str">
            <v>148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</row>
        <row r="298">
          <cell r="A298" t="str">
            <v>29 HKD 29 HKD - Hongkong Dollars</v>
          </cell>
          <cell r="C298" t="str">
            <v>149</v>
          </cell>
          <cell r="R298">
            <v>1.38</v>
          </cell>
          <cell r="S298">
            <v>0.71</v>
          </cell>
          <cell r="T298">
            <v>0.33</v>
          </cell>
          <cell r="U298">
            <v>3.59</v>
          </cell>
          <cell r="V298">
            <v>6.83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E298">
            <v>1.38</v>
          </cell>
          <cell r="AF298">
            <v>1.0620338983050848</v>
          </cell>
          <cell r="AG298">
            <v>0.80988888888888888</v>
          </cell>
          <cell r="AH298">
            <v>1.5049166666666665</v>
          </cell>
          <cell r="AI298">
            <v>2.5981456953642379</v>
          </cell>
          <cell r="AJ298">
            <v>2.167513812154696</v>
          </cell>
          <cell r="AK298">
            <v>1.8505660377358488</v>
          </cell>
          <cell r="AL298">
            <v>1.6144855967078187</v>
          </cell>
          <cell r="AM298">
            <v>1.4370695970695968</v>
          </cell>
          <cell r="AN298">
            <v>1.2905263157894735</v>
          </cell>
          <cell r="AO298">
            <v>1.1746107784431137</v>
          </cell>
          <cell r="AP298">
            <v>1.074849315068493</v>
          </cell>
        </row>
        <row r="299">
          <cell r="A299" t="str">
            <v>34 ITL34 ITL - Italian Lire</v>
          </cell>
          <cell r="C299" t="str">
            <v>150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</row>
        <row r="300">
          <cell r="A300" t="str">
            <v>35 KES 35 KES - Kenya Shilling</v>
          </cell>
          <cell r="C300" t="str">
            <v>151</v>
          </cell>
          <cell r="R300">
            <v>13.09</v>
          </cell>
          <cell r="S300">
            <v>10.96</v>
          </cell>
          <cell r="T300">
            <v>8.94</v>
          </cell>
          <cell r="U300">
            <v>11.31</v>
          </cell>
          <cell r="V300">
            <v>9.65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E300">
            <v>13.09</v>
          </cell>
          <cell r="AF300">
            <v>12.079152542372883</v>
          </cell>
          <cell r="AG300">
            <v>10.997888888888889</v>
          </cell>
          <cell r="AH300">
            <v>11.075916666666668</v>
          </cell>
          <cell r="AI300">
            <v>10.783178807947021</v>
          </cell>
          <cell r="AJ300">
            <v>8.9959116022099455</v>
          </cell>
          <cell r="AK300">
            <v>7.6804716981132088</v>
          </cell>
          <cell r="AL300">
            <v>6.7006584362139927</v>
          </cell>
          <cell r="AM300">
            <v>5.964322344322345</v>
          </cell>
          <cell r="AN300">
            <v>5.3561184210526323</v>
          </cell>
          <cell r="AO300">
            <v>4.8750299401197612</v>
          </cell>
          <cell r="AP300">
            <v>4.4609863013698634</v>
          </cell>
        </row>
        <row r="301">
          <cell r="A301" t="str">
            <v>43 MUR 43 MUR - Mauritius Rupees</v>
          </cell>
          <cell r="C301" t="str">
            <v>152</v>
          </cell>
          <cell r="R301">
            <v>11.23</v>
          </cell>
          <cell r="S301">
            <v>11.39</v>
          </cell>
          <cell r="T301">
            <v>11.35</v>
          </cell>
          <cell r="U301">
            <v>11.13</v>
          </cell>
          <cell r="V301">
            <v>12.12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E301">
            <v>11.23</v>
          </cell>
          <cell r="AF301">
            <v>11.30593220338983</v>
          </cell>
          <cell r="AG301">
            <v>11.32111111111111</v>
          </cell>
          <cell r="AH301">
            <v>11.273333333333333</v>
          </cell>
          <cell r="AI301">
            <v>11.447152317880795</v>
          </cell>
          <cell r="AJ301">
            <v>9.5498342541436472</v>
          </cell>
          <cell r="AK301">
            <v>8.1533962264150937</v>
          </cell>
          <cell r="AL301">
            <v>7.1132510288065847</v>
          </cell>
          <cell r="AM301">
            <v>6.3315750915750915</v>
          </cell>
          <cell r="AN301">
            <v>5.6859210526315787</v>
          </cell>
          <cell r="AO301">
            <v>5.1752095808383229</v>
          </cell>
          <cell r="AP301">
            <v>4.7356712328767125</v>
          </cell>
        </row>
        <row r="302">
          <cell r="A302" t="str">
            <v>44 MWK44 MWK - Malawi Kwacha</v>
          </cell>
          <cell r="C302" t="str">
            <v>153</v>
          </cell>
          <cell r="R302">
            <v>0.19</v>
          </cell>
          <cell r="S302">
            <v>0.18</v>
          </cell>
          <cell r="T302">
            <v>1.3</v>
          </cell>
          <cell r="U302">
            <v>1.76</v>
          </cell>
          <cell r="V302">
            <v>1.65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E302">
            <v>0.19</v>
          </cell>
          <cell r="AF302">
            <v>0.18525423728813559</v>
          </cell>
          <cell r="AG302">
            <v>0.5692222222222223</v>
          </cell>
          <cell r="AH302">
            <v>0.86691666666666667</v>
          </cell>
          <cell r="AI302">
            <v>1.0276821192052981</v>
          </cell>
          <cell r="AJ302">
            <v>0.85734806629834259</v>
          </cell>
          <cell r="AK302">
            <v>0.73198113207547177</v>
          </cell>
          <cell r="AL302">
            <v>0.63860082304526755</v>
          </cell>
          <cell r="AM302">
            <v>0.56842490842490845</v>
          </cell>
          <cell r="AN302">
            <v>0.51046052631578953</v>
          </cell>
          <cell r="AO302">
            <v>0.46461077844311377</v>
          </cell>
          <cell r="AP302">
            <v>0.42515068493150687</v>
          </cell>
        </row>
        <row r="303">
          <cell r="A303" t="str">
            <v>48 NOK48 NOK - Norwegian Kroner</v>
          </cell>
          <cell r="C303" t="str">
            <v>154</v>
          </cell>
          <cell r="R303">
            <v>63.24</v>
          </cell>
          <cell r="S303">
            <v>45.68</v>
          </cell>
          <cell r="T303">
            <v>39.71</v>
          </cell>
          <cell r="U303">
            <v>31.09</v>
          </cell>
          <cell r="V303">
            <v>36.630000000000003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E303">
            <v>63.24</v>
          </cell>
          <cell r="AF303">
            <v>54.906440677966103</v>
          </cell>
          <cell r="AG303">
            <v>49.672111111111107</v>
          </cell>
          <cell r="AH303">
            <v>45.026583333333328</v>
          </cell>
          <cell r="AI303">
            <v>43.302781456953639</v>
          </cell>
          <cell r="AJ303">
            <v>36.125524861878446</v>
          </cell>
          <cell r="AK303">
            <v>30.843018867924524</v>
          </cell>
          <cell r="AL303">
            <v>26.908312757201642</v>
          </cell>
          <cell r="AM303">
            <v>23.951355311355307</v>
          </cell>
          <cell r="AN303">
            <v>21.508947368421051</v>
          </cell>
          <cell r="AO303">
            <v>19.577005988023949</v>
          </cell>
          <cell r="AP303">
            <v>17.914301369863011</v>
          </cell>
        </row>
        <row r="304">
          <cell r="A304" t="str">
            <v>49 NZD 49 NZD - New Zealand Dollars</v>
          </cell>
          <cell r="C304" t="str">
            <v>155</v>
          </cell>
          <cell r="R304">
            <v>26.08</v>
          </cell>
          <cell r="S304">
            <v>25.51</v>
          </cell>
          <cell r="T304">
            <v>16.16</v>
          </cell>
          <cell r="U304">
            <v>6.11</v>
          </cell>
          <cell r="V304">
            <v>6.39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E304">
            <v>26.08</v>
          </cell>
          <cell r="AF304">
            <v>25.809491525423727</v>
          </cell>
          <cell r="AG304">
            <v>22.485777777777777</v>
          </cell>
          <cell r="AH304">
            <v>18.391833333333334</v>
          </cell>
          <cell r="AI304">
            <v>15.927880794701988</v>
          </cell>
          <cell r="AJ304">
            <v>13.287900552486189</v>
          </cell>
          <cell r="AK304">
            <v>11.344858490566038</v>
          </cell>
          <cell r="AL304">
            <v>9.8975720164609058</v>
          </cell>
          <cell r="AM304">
            <v>8.8099267399267411</v>
          </cell>
          <cell r="AN304">
            <v>7.9115460526315795</v>
          </cell>
          <cell r="AO304">
            <v>7.2009281437125754</v>
          </cell>
          <cell r="AP304">
            <v>6.5893424657534254</v>
          </cell>
        </row>
        <row r="305">
          <cell r="A305" t="str">
            <v>51 PTE51 PTE - Portugeuse Escudos</v>
          </cell>
          <cell r="C305" t="str">
            <v>156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</row>
        <row r="306">
          <cell r="A306" t="str">
            <v>65 ZMK65 ZMK - Zambia Kwacha</v>
          </cell>
          <cell r="C306" t="str">
            <v>157</v>
          </cell>
          <cell r="R306">
            <v>1.1000000000000001</v>
          </cell>
          <cell r="S306">
            <v>1523.43</v>
          </cell>
          <cell r="T306">
            <v>2.92</v>
          </cell>
          <cell r="U306">
            <v>2.4900000000000002</v>
          </cell>
          <cell r="V306">
            <v>1.71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E306">
            <v>1.1000000000000001</v>
          </cell>
          <cell r="AF306">
            <v>723.56169491525418</v>
          </cell>
          <cell r="AG306">
            <v>475.34066666666661</v>
          </cell>
          <cell r="AH306">
            <v>357.12799999999993</v>
          </cell>
          <cell r="AI306">
            <v>284.16139072847682</v>
          </cell>
          <cell r="AJ306">
            <v>237.06281767955798</v>
          </cell>
          <cell r="AK306">
            <v>202.3979716981132</v>
          </cell>
          <cell r="AL306">
            <v>176.57765432098765</v>
          </cell>
          <cell r="AM306">
            <v>157.17351648351647</v>
          </cell>
          <cell r="AN306">
            <v>141.14595394736841</v>
          </cell>
          <cell r="AO306">
            <v>128.46817365269459</v>
          </cell>
          <cell r="AP306">
            <v>117.55717808219177</v>
          </cell>
        </row>
        <row r="307">
          <cell r="A307" t="str">
            <v>67 ZWD 67 ZWD - Zimbabwe Dollars</v>
          </cell>
          <cell r="C307" t="str">
            <v>158</v>
          </cell>
          <cell r="R307">
            <v>0.03</v>
          </cell>
          <cell r="S307">
            <v>34.799999999999997</v>
          </cell>
          <cell r="T307">
            <v>0.03</v>
          </cell>
          <cell r="U307">
            <v>0</v>
          </cell>
          <cell r="V307">
            <v>0.04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E307">
            <v>0.03</v>
          </cell>
          <cell r="AF307">
            <v>16.531016949152541</v>
          </cell>
          <cell r="AG307">
            <v>10.847333333333331</v>
          </cell>
          <cell r="AH307">
            <v>8.1354999999999986</v>
          </cell>
          <cell r="AI307">
            <v>6.4735099337748325</v>
          </cell>
          <cell r="AJ307">
            <v>5.400552486187844</v>
          </cell>
          <cell r="AK307">
            <v>4.6108490566037723</v>
          </cell>
          <cell r="AL307">
            <v>4.0226337448559661</v>
          </cell>
          <cell r="AM307">
            <v>3.5805860805860799</v>
          </cell>
          <cell r="AN307">
            <v>3.2154605263157889</v>
          </cell>
          <cell r="AO307">
            <v>2.9266467065868258</v>
          </cell>
          <cell r="AP307">
            <v>2.6780821917808213</v>
          </cell>
        </row>
        <row r="308">
          <cell r="A308" t="str">
            <v>70 EUR 70 EUR - Euro</v>
          </cell>
          <cell r="C308" t="str">
            <v>159</v>
          </cell>
          <cell r="R308">
            <v>1545.7</v>
          </cell>
          <cell r="S308">
            <v>1.47</v>
          </cell>
          <cell r="T308">
            <v>0.24</v>
          </cell>
          <cell r="U308">
            <v>0</v>
          </cell>
          <cell r="V308">
            <v>6252.16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E308">
            <v>1545.7</v>
          </cell>
          <cell r="AF308">
            <v>812.84508474576285</v>
          </cell>
          <cell r="AG308">
            <v>532.9477777777779</v>
          </cell>
          <cell r="AH308">
            <v>399.71083333333343</v>
          </cell>
          <cell r="AI308">
            <v>1601.2070198675497</v>
          </cell>
          <cell r="AJ308">
            <v>1335.813591160221</v>
          </cell>
          <cell r="AK308">
            <v>1140.4823584905662</v>
          </cell>
          <cell r="AL308">
            <v>994.98872427983542</v>
          </cell>
          <cell r="AM308">
            <v>885.64930402930406</v>
          </cell>
          <cell r="AN308">
            <v>795.33638157894745</v>
          </cell>
          <cell r="AO308">
            <v>723.89898203592816</v>
          </cell>
          <cell r="AP308">
            <v>662.41715068493158</v>
          </cell>
        </row>
        <row r="309"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</row>
        <row r="316">
          <cell r="A316" t="str">
            <v>Shareholders funds</v>
          </cell>
          <cell r="C316">
            <v>3</v>
          </cell>
          <cell r="D316" t="str">
            <v>ACTUAL</v>
          </cell>
          <cell r="R316">
            <v>-657629.75</v>
          </cell>
          <cell r="S316">
            <v>-695959.02</v>
          </cell>
          <cell r="T316">
            <v>-688939.36</v>
          </cell>
          <cell r="U316">
            <v>-701089.58</v>
          </cell>
          <cell r="V316">
            <v>-721008.54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E316">
            <v>-657629.75</v>
          </cell>
          <cell r="AF316">
            <v>-676794.38500000001</v>
          </cell>
          <cell r="AG316">
            <v>-680842.71</v>
          </cell>
          <cell r="AH316">
            <v>-685904.42749999999</v>
          </cell>
          <cell r="AI316">
            <v>-692925.25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</row>
        <row r="317">
          <cell r="A317" t="str">
            <v>Current account balances</v>
          </cell>
          <cell r="C317">
            <v>3</v>
          </cell>
          <cell r="R317">
            <v>-1971631.93</v>
          </cell>
          <cell r="S317">
            <v>-2037134.88</v>
          </cell>
          <cell r="T317">
            <v>-2227423.37</v>
          </cell>
          <cell r="U317">
            <v>-1896390.47</v>
          </cell>
          <cell r="V317">
            <v>-1946500.1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E317">
            <v>-1971631.93</v>
          </cell>
          <cell r="AF317">
            <v>-2004383.4049999998</v>
          </cell>
          <cell r="AG317">
            <v>-2078730.0599999998</v>
          </cell>
          <cell r="AH317">
            <v>-2033145.1624999999</v>
          </cell>
          <cell r="AI317">
            <v>-2015816.15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</row>
        <row r="318">
          <cell r="A318" t="str">
            <v>Current account balances</v>
          </cell>
          <cell r="C318">
            <v>3</v>
          </cell>
          <cell r="R318">
            <v>-1971631.93</v>
          </cell>
          <cell r="S318">
            <v>-2037134.88</v>
          </cell>
          <cell r="T318">
            <v>-2227423.37</v>
          </cell>
          <cell r="U318">
            <v>-1896390.47</v>
          </cell>
          <cell r="V318">
            <v>-1946500.1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E318">
            <v>-1971631.93</v>
          </cell>
          <cell r="AF318">
            <v>-2004383.4049999998</v>
          </cell>
          <cell r="AG318">
            <v>-2078730.0599999998</v>
          </cell>
          <cell r="AH318">
            <v>-2033145.1624999999</v>
          </cell>
          <cell r="AI318">
            <v>-2015816.15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</row>
        <row r="319">
          <cell r="A319" t="str">
            <v>Call account balances</v>
          </cell>
          <cell r="C319">
            <v>3</v>
          </cell>
          <cell r="R319">
            <v>-1435709.23</v>
          </cell>
          <cell r="S319">
            <v>-1494032.98</v>
          </cell>
          <cell r="T319">
            <v>-1523539.86</v>
          </cell>
          <cell r="U319">
            <v>-1743078.75</v>
          </cell>
          <cell r="V319">
            <v>-1675220.6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E319">
            <v>-1435709.23</v>
          </cell>
          <cell r="AF319">
            <v>-1464871.105</v>
          </cell>
          <cell r="AG319">
            <v>-1484427.3566666667</v>
          </cell>
          <cell r="AH319">
            <v>-1549090.2050000001</v>
          </cell>
          <cell r="AI319">
            <v>-1574316.284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</row>
        <row r="320">
          <cell r="A320" t="str">
            <v>Savings account balances</v>
          </cell>
          <cell r="C320">
            <v>3</v>
          </cell>
          <cell r="R320">
            <v>-319266.05</v>
          </cell>
          <cell r="S320">
            <v>-332462.31</v>
          </cell>
          <cell r="T320">
            <v>-340786.13</v>
          </cell>
          <cell r="U320">
            <v>-344123.18</v>
          </cell>
          <cell r="V320">
            <v>-344644.65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E320">
            <v>-319266.05</v>
          </cell>
          <cell r="AF320">
            <v>-325864.18</v>
          </cell>
          <cell r="AG320">
            <v>-330838.16333333333</v>
          </cell>
          <cell r="AH320">
            <v>-334159.41749999998</v>
          </cell>
          <cell r="AI320">
            <v>-336256.46399999998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</row>
        <row r="321">
          <cell r="A321" t="str">
            <v>Loans and advances</v>
          </cell>
          <cell r="C321">
            <v>3</v>
          </cell>
          <cell r="R321">
            <v>5905117.0899999999</v>
          </cell>
          <cell r="S321">
            <v>5849465.9100000001</v>
          </cell>
          <cell r="T321">
            <v>6066347.8399999999</v>
          </cell>
          <cell r="U321">
            <v>6171701.6799999997</v>
          </cell>
          <cell r="V321">
            <v>6063748.4500000002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E321">
            <v>5905117.0899999999</v>
          </cell>
          <cell r="AF321">
            <v>5877291.5</v>
          </cell>
          <cell r="AG321">
            <v>5940310.2800000003</v>
          </cell>
          <cell r="AH321">
            <v>5998158.1299999999</v>
          </cell>
          <cell r="AI321">
            <v>6011276.1940000001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</row>
        <row r="322">
          <cell r="A322" t="str">
            <v>Other assets</v>
          </cell>
          <cell r="C322">
            <v>3</v>
          </cell>
          <cell r="R322">
            <v>2435481.46</v>
          </cell>
          <cell r="S322">
            <v>2421362.77</v>
          </cell>
          <cell r="T322">
            <v>2564379.58</v>
          </cell>
          <cell r="U322">
            <v>2669144.9900000002</v>
          </cell>
          <cell r="V322">
            <v>2797264.18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E322">
            <v>2435481.46</v>
          </cell>
          <cell r="AF322">
            <v>2428422.1150000002</v>
          </cell>
          <cell r="AG322">
            <v>2473741.27</v>
          </cell>
          <cell r="AH322">
            <v>2522592.2000000002</v>
          </cell>
          <cell r="AI322">
            <v>2577526.5959999999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</row>
        <row r="323">
          <cell r="A323" t="str">
            <v>Total assets</v>
          </cell>
          <cell r="R323">
            <v>8340598.5499999998</v>
          </cell>
          <cell r="S323">
            <v>8270828.6799999997</v>
          </cell>
          <cell r="T323">
            <v>8630727.4199999999</v>
          </cell>
          <cell r="U323">
            <v>8840846.6699999999</v>
          </cell>
          <cell r="V323">
            <v>8861012.6300000008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E323">
            <v>8340598.5499999998</v>
          </cell>
          <cell r="AF323">
            <v>8305713.6150000002</v>
          </cell>
          <cell r="AG323">
            <v>8414051.5499999989</v>
          </cell>
          <cell r="AH323">
            <v>8520750.3300000001</v>
          </cell>
          <cell r="AI323">
            <v>8588802.790000001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</row>
        <row r="327">
          <cell r="A327" t="str">
            <v>Shareholders funds</v>
          </cell>
          <cell r="C327">
            <v>7</v>
          </cell>
          <cell r="D327" t="str">
            <v>BUDGET</v>
          </cell>
          <cell r="R327">
            <v>-650993.44999999995</v>
          </cell>
          <cell r="S327">
            <v>-668993.44999999995</v>
          </cell>
          <cell r="T327">
            <v>-686993.45</v>
          </cell>
          <cell r="U327">
            <v>-704993.45</v>
          </cell>
          <cell r="V327">
            <v>-722993.45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E327">
            <v>-650993.44999999995</v>
          </cell>
          <cell r="AF327">
            <v>-659993.44999999995</v>
          </cell>
          <cell r="AG327">
            <v>-668993.44999999995</v>
          </cell>
          <cell r="AH327">
            <v>-677993.45</v>
          </cell>
          <cell r="AI327">
            <v>-686993.45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</row>
        <row r="328">
          <cell r="A328" t="str">
            <v>Current account balances</v>
          </cell>
          <cell r="C328">
            <v>7</v>
          </cell>
          <cell r="R328">
            <v>-1919798.73</v>
          </cell>
          <cell r="S328">
            <v>-1796728.93</v>
          </cell>
          <cell r="T328">
            <v>-1814553.55</v>
          </cell>
          <cell r="U328">
            <v>-1832562.31</v>
          </cell>
          <cell r="V328">
            <v>-1758219.32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E328">
            <v>-1919798.73</v>
          </cell>
          <cell r="AF328">
            <v>-1858263.83</v>
          </cell>
          <cell r="AG328">
            <v>-1843693.7366666666</v>
          </cell>
          <cell r="AH328">
            <v>-1840910.88</v>
          </cell>
          <cell r="AI328">
            <v>-1824372.568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</row>
        <row r="329">
          <cell r="A329" t="str">
            <v>Current account balances</v>
          </cell>
          <cell r="C329">
            <v>7</v>
          </cell>
          <cell r="R329">
            <v>-1919798.73</v>
          </cell>
          <cell r="S329">
            <v>-1796728.93</v>
          </cell>
          <cell r="T329">
            <v>-1814553.55</v>
          </cell>
          <cell r="U329">
            <v>-1832562.31</v>
          </cell>
          <cell r="V329">
            <v>-1758219.32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E329">
            <v>-1919798.73</v>
          </cell>
          <cell r="AF329">
            <v>-1858263.83</v>
          </cell>
          <cell r="AG329">
            <v>-1843693.7366666666</v>
          </cell>
          <cell r="AH329">
            <v>-1840910.88</v>
          </cell>
          <cell r="AI329">
            <v>-1824372.568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</row>
        <row r="330">
          <cell r="A330" t="str">
            <v>Call account balances</v>
          </cell>
          <cell r="C330">
            <v>7</v>
          </cell>
          <cell r="R330">
            <v>-1532119.48</v>
          </cell>
          <cell r="S330">
            <v>-1547433.95</v>
          </cell>
          <cell r="T330">
            <v>-1562901.57</v>
          </cell>
          <cell r="U330">
            <v>-1578523.86</v>
          </cell>
          <cell r="V330">
            <v>-1594302.38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E330">
            <v>-1532119.48</v>
          </cell>
          <cell r="AF330">
            <v>-1539776.7149999999</v>
          </cell>
          <cell r="AG330">
            <v>-1547485</v>
          </cell>
          <cell r="AH330">
            <v>-1555244.7150000001</v>
          </cell>
          <cell r="AI330">
            <v>-1563056.2480000001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</row>
        <row r="331">
          <cell r="A331" t="str">
            <v>Savings account balances</v>
          </cell>
          <cell r="C331">
            <v>7</v>
          </cell>
          <cell r="R331">
            <v>-332885.84999999998</v>
          </cell>
          <cell r="S331">
            <v>-337173.91</v>
          </cell>
          <cell r="T331">
            <v>-341517.2</v>
          </cell>
          <cell r="U331">
            <v>-345916.45</v>
          </cell>
          <cell r="V331">
            <v>-332853.74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E331">
            <v>-332885.84999999998</v>
          </cell>
          <cell r="AF331">
            <v>-335029.88</v>
          </cell>
          <cell r="AG331">
            <v>-337192.32</v>
          </cell>
          <cell r="AH331">
            <v>-339373.35249999998</v>
          </cell>
          <cell r="AI331">
            <v>-338069.43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</row>
        <row r="332">
          <cell r="A332" t="str">
            <v>Loans and advances</v>
          </cell>
          <cell r="C332">
            <v>7</v>
          </cell>
          <cell r="R332">
            <v>5623834.5499999998</v>
          </cell>
          <cell r="S332">
            <v>5703156.7000000002</v>
          </cell>
          <cell r="T332">
            <v>5778170.7199999997</v>
          </cell>
          <cell r="U332">
            <v>5858885.3399999999</v>
          </cell>
          <cell r="V332">
            <v>5914513.0099999998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E332">
            <v>5623834.5499999998</v>
          </cell>
          <cell r="AF332">
            <v>5663495.625</v>
          </cell>
          <cell r="AG332">
            <v>5701720.6566666663</v>
          </cell>
          <cell r="AH332">
            <v>5741011.8274999997</v>
          </cell>
          <cell r="AI332">
            <v>5775712.0640000002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</row>
        <row r="333">
          <cell r="A333" t="str">
            <v>Other assets</v>
          </cell>
          <cell r="C333">
            <v>7</v>
          </cell>
          <cell r="R333">
            <v>2381857.33</v>
          </cell>
          <cell r="S333">
            <v>2379820.92</v>
          </cell>
          <cell r="T333">
            <v>2381192.14</v>
          </cell>
          <cell r="U333">
            <v>2382578.0099999998</v>
          </cell>
          <cell r="V333">
            <v>2373329.71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E333">
            <v>2381857.33</v>
          </cell>
          <cell r="AF333">
            <v>2380839.125</v>
          </cell>
          <cell r="AG333">
            <v>2380956.7966666669</v>
          </cell>
          <cell r="AH333">
            <v>2381362.1</v>
          </cell>
          <cell r="AI333">
            <v>2379755.622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</row>
        <row r="334">
          <cell r="A334" t="str">
            <v>Total assets</v>
          </cell>
          <cell r="R334">
            <v>8005691.8799999999</v>
          </cell>
          <cell r="S334">
            <v>8082977.6200000001</v>
          </cell>
          <cell r="T334">
            <v>8159362.8599999994</v>
          </cell>
          <cell r="U334">
            <v>8241463.3499999996</v>
          </cell>
          <cell r="V334">
            <v>8287842.7199999997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E334">
            <v>8005691.8799999999</v>
          </cell>
          <cell r="AF334">
            <v>8044334.75</v>
          </cell>
          <cell r="AG334">
            <v>8082677.4533333331</v>
          </cell>
          <cell r="AH334">
            <v>8122373.9275000002</v>
          </cell>
          <cell r="AI334">
            <v>8155467.6859999998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</row>
      </sheetData>
      <sheetData sheetId="19" refreshError="1">
        <row r="8">
          <cell r="B8">
            <v>1</v>
          </cell>
          <cell r="C8">
            <v>38718</v>
          </cell>
          <cell r="D8">
            <v>31</v>
          </cell>
          <cell r="E8">
            <v>31</v>
          </cell>
          <cell r="G8">
            <v>1</v>
          </cell>
          <cell r="I8">
            <v>32</v>
          </cell>
          <cell r="J8">
            <v>67</v>
          </cell>
          <cell r="K8">
            <v>80</v>
          </cell>
          <cell r="L8">
            <v>95</v>
          </cell>
          <cell r="M8">
            <v>130</v>
          </cell>
          <cell r="N8">
            <v>143</v>
          </cell>
          <cell r="O8">
            <v>156</v>
          </cell>
          <cell r="P8">
            <v>169</v>
          </cell>
          <cell r="V8">
            <v>1</v>
          </cell>
          <cell r="X8">
            <v>30</v>
          </cell>
          <cell r="Y8">
            <v>67</v>
          </cell>
          <cell r="Z8">
            <v>80</v>
          </cell>
        </row>
        <row r="9">
          <cell r="B9">
            <v>2</v>
          </cell>
          <cell r="C9">
            <v>38749</v>
          </cell>
          <cell r="D9">
            <v>28</v>
          </cell>
          <cell r="E9">
            <v>59</v>
          </cell>
          <cell r="G9">
            <v>2</v>
          </cell>
          <cell r="I9">
            <v>35</v>
          </cell>
          <cell r="J9">
            <v>68</v>
          </cell>
          <cell r="K9">
            <v>81</v>
          </cell>
          <cell r="L9">
            <v>98</v>
          </cell>
          <cell r="M9">
            <v>131</v>
          </cell>
          <cell r="N9">
            <v>144</v>
          </cell>
          <cell r="O9">
            <v>157</v>
          </cell>
          <cell r="P9">
            <v>170</v>
          </cell>
          <cell r="V9">
            <v>2</v>
          </cell>
          <cell r="X9">
            <v>33</v>
          </cell>
          <cell r="Y9">
            <v>68</v>
          </cell>
          <cell r="Z9">
            <v>81</v>
          </cell>
        </row>
        <row r="10">
          <cell r="B10">
            <v>3</v>
          </cell>
          <cell r="C10">
            <v>38777</v>
          </cell>
          <cell r="D10">
            <v>31</v>
          </cell>
          <cell r="E10">
            <v>90</v>
          </cell>
          <cell r="G10">
            <v>3</v>
          </cell>
          <cell r="I10">
            <v>38</v>
          </cell>
          <cell r="J10">
            <v>69</v>
          </cell>
          <cell r="K10">
            <v>82</v>
          </cell>
          <cell r="L10">
            <v>101</v>
          </cell>
          <cell r="M10">
            <v>132</v>
          </cell>
          <cell r="N10">
            <v>145</v>
          </cell>
          <cell r="O10">
            <v>158</v>
          </cell>
          <cell r="P10">
            <v>171</v>
          </cell>
          <cell r="V10">
            <v>3</v>
          </cell>
          <cell r="X10">
            <v>36</v>
          </cell>
          <cell r="Y10">
            <v>69</v>
          </cell>
          <cell r="Z10">
            <v>82</v>
          </cell>
        </row>
        <row r="11">
          <cell r="B11">
            <v>4</v>
          </cell>
          <cell r="C11">
            <v>38808</v>
          </cell>
          <cell r="D11">
            <v>30</v>
          </cell>
          <cell r="E11">
            <v>120</v>
          </cell>
          <cell r="G11">
            <v>4</v>
          </cell>
          <cell r="I11">
            <v>41</v>
          </cell>
          <cell r="J11">
            <v>70</v>
          </cell>
          <cell r="K11">
            <v>83</v>
          </cell>
          <cell r="L11">
            <v>104</v>
          </cell>
          <cell r="M11">
            <v>133</v>
          </cell>
          <cell r="N11">
            <v>146</v>
          </cell>
          <cell r="O11">
            <v>159</v>
          </cell>
          <cell r="P11">
            <v>172</v>
          </cell>
          <cell r="S11" t="str">
            <v>SBN</v>
          </cell>
          <cell r="T11">
            <v>3</v>
          </cell>
          <cell r="V11">
            <v>4</v>
          </cell>
          <cell r="X11">
            <v>39</v>
          </cell>
          <cell r="Y11">
            <v>70</v>
          </cell>
          <cell r="Z11">
            <v>83</v>
          </cell>
        </row>
        <row r="12">
          <cell r="B12">
            <v>5</v>
          </cell>
          <cell r="C12">
            <v>38838</v>
          </cell>
          <cell r="D12">
            <v>31</v>
          </cell>
          <cell r="E12">
            <v>151</v>
          </cell>
          <cell r="G12">
            <v>5</v>
          </cell>
          <cell r="I12">
            <v>44</v>
          </cell>
          <cell r="J12">
            <v>71</v>
          </cell>
          <cell r="K12">
            <v>84</v>
          </cell>
          <cell r="L12">
            <v>107</v>
          </cell>
          <cell r="M12">
            <v>134</v>
          </cell>
          <cell r="N12">
            <v>147</v>
          </cell>
          <cell r="O12">
            <v>160</v>
          </cell>
          <cell r="P12">
            <v>173</v>
          </cell>
          <cell r="S12" t="str">
            <v>STLIB</v>
          </cell>
          <cell r="T12">
            <v>4</v>
          </cell>
          <cell r="V12">
            <v>5</v>
          </cell>
          <cell r="X12">
            <v>42</v>
          </cell>
          <cell r="Y12">
            <v>71</v>
          </cell>
          <cell r="Z12">
            <v>84</v>
          </cell>
        </row>
        <row r="13">
          <cell r="B13">
            <v>6</v>
          </cell>
          <cell r="C13">
            <v>38869</v>
          </cell>
          <cell r="D13">
            <v>30</v>
          </cell>
          <cell r="E13">
            <v>181</v>
          </cell>
          <cell r="G13">
            <v>6</v>
          </cell>
          <cell r="I13">
            <v>47</v>
          </cell>
          <cell r="J13">
            <v>72</v>
          </cell>
          <cell r="K13">
            <v>85</v>
          </cell>
          <cell r="L13">
            <v>110</v>
          </cell>
          <cell r="M13">
            <v>135</v>
          </cell>
          <cell r="N13">
            <v>148</v>
          </cell>
          <cell r="O13">
            <v>161</v>
          </cell>
          <cell r="P13">
            <v>174</v>
          </cell>
          <cell r="S13" t="str">
            <v>SBUT</v>
          </cell>
          <cell r="T13">
            <v>5</v>
          </cell>
          <cell r="V13">
            <v>6</v>
          </cell>
          <cell r="X13">
            <v>45</v>
          </cell>
          <cell r="Y13">
            <v>72</v>
          </cell>
          <cell r="Z13">
            <v>85</v>
          </cell>
        </row>
        <row r="14">
          <cell r="B14">
            <v>7</v>
          </cell>
          <cell r="C14">
            <v>38899</v>
          </cell>
          <cell r="D14">
            <v>31</v>
          </cell>
          <cell r="E14">
            <v>212</v>
          </cell>
          <cell r="G14">
            <v>7</v>
          </cell>
          <cell r="I14">
            <v>50</v>
          </cell>
          <cell r="J14">
            <v>73</v>
          </cell>
          <cell r="K14">
            <v>86</v>
          </cell>
          <cell r="L14">
            <v>113</v>
          </cell>
          <cell r="M14">
            <v>136</v>
          </cell>
          <cell r="N14">
            <v>149</v>
          </cell>
          <cell r="O14">
            <v>162</v>
          </cell>
          <cell r="P14">
            <v>175</v>
          </cell>
          <cell r="V14">
            <v>7</v>
          </cell>
          <cell r="X14">
            <v>48</v>
          </cell>
          <cell r="Y14">
            <v>73</v>
          </cell>
          <cell r="Z14">
            <v>86</v>
          </cell>
        </row>
        <row r="15">
          <cell r="B15">
            <v>8</v>
          </cell>
          <cell r="C15">
            <v>38930</v>
          </cell>
          <cell r="D15">
            <v>31</v>
          </cell>
          <cell r="E15">
            <v>243</v>
          </cell>
          <cell r="G15">
            <v>8</v>
          </cell>
          <cell r="I15">
            <v>53</v>
          </cell>
          <cell r="J15">
            <v>74</v>
          </cell>
          <cell r="K15">
            <v>87</v>
          </cell>
          <cell r="L15">
            <v>116</v>
          </cell>
          <cell r="M15">
            <v>137</v>
          </cell>
          <cell r="N15">
            <v>150</v>
          </cell>
          <cell r="O15">
            <v>163</v>
          </cell>
          <cell r="P15">
            <v>176</v>
          </cell>
          <cell r="V15">
            <v>8</v>
          </cell>
          <cell r="X15">
            <v>51</v>
          </cell>
          <cell r="Y15">
            <v>74</v>
          </cell>
          <cell r="Z15">
            <v>87</v>
          </cell>
        </row>
        <row r="16">
          <cell r="B16">
            <v>9</v>
          </cell>
          <cell r="C16">
            <v>38961</v>
          </cell>
          <cell r="D16">
            <v>30</v>
          </cell>
          <cell r="E16">
            <v>273</v>
          </cell>
          <cell r="G16">
            <v>9</v>
          </cell>
          <cell r="I16">
            <v>56</v>
          </cell>
          <cell r="J16">
            <v>75</v>
          </cell>
          <cell r="K16">
            <v>88</v>
          </cell>
          <cell r="L16">
            <v>119</v>
          </cell>
          <cell r="M16">
            <v>138</v>
          </cell>
          <cell r="N16">
            <v>151</v>
          </cell>
          <cell r="O16">
            <v>164</v>
          </cell>
          <cell r="P16">
            <v>177</v>
          </cell>
          <cell r="V16">
            <v>9</v>
          </cell>
          <cell r="X16">
            <v>54</v>
          </cell>
          <cell r="Y16">
            <v>75</v>
          </cell>
          <cell r="Z16">
            <v>88</v>
          </cell>
        </row>
        <row r="17">
          <cell r="B17">
            <v>10</v>
          </cell>
          <cell r="C17">
            <v>38991</v>
          </cell>
          <cell r="D17">
            <v>31</v>
          </cell>
          <cell r="E17">
            <v>304</v>
          </cell>
          <cell r="G17">
            <v>10</v>
          </cell>
          <cell r="I17">
            <v>59</v>
          </cell>
          <cell r="J17">
            <v>76</v>
          </cell>
          <cell r="K17">
            <v>89</v>
          </cell>
          <cell r="L17">
            <v>122</v>
          </cell>
          <cell r="M17">
            <v>139</v>
          </cell>
          <cell r="N17">
            <v>152</v>
          </cell>
          <cell r="O17">
            <v>165</v>
          </cell>
          <cell r="P17">
            <v>178</v>
          </cell>
          <cell r="V17">
            <v>10</v>
          </cell>
          <cell r="X17">
            <v>57</v>
          </cell>
          <cell r="Y17">
            <v>76</v>
          </cell>
          <cell r="Z17">
            <v>89</v>
          </cell>
        </row>
        <row r="18">
          <cell r="B18">
            <v>11</v>
          </cell>
          <cell r="C18">
            <v>39022</v>
          </cell>
          <cell r="D18">
            <v>30</v>
          </cell>
          <cell r="E18">
            <v>334</v>
          </cell>
          <cell r="G18">
            <v>11</v>
          </cell>
          <cell r="I18">
            <v>62</v>
          </cell>
          <cell r="J18">
            <v>77</v>
          </cell>
          <cell r="K18">
            <v>90</v>
          </cell>
          <cell r="L18">
            <v>125</v>
          </cell>
          <cell r="M18">
            <v>140</v>
          </cell>
          <cell r="N18">
            <v>153</v>
          </cell>
          <cell r="O18">
            <v>166</v>
          </cell>
          <cell r="P18">
            <v>179</v>
          </cell>
          <cell r="V18">
            <v>11</v>
          </cell>
          <cell r="X18">
            <v>60</v>
          </cell>
          <cell r="Y18">
            <v>77</v>
          </cell>
          <cell r="Z18">
            <v>90</v>
          </cell>
        </row>
        <row r="19">
          <cell r="B19">
            <v>12</v>
          </cell>
          <cell r="C19">
            <v>39052</v>
          </cell>
          <cell r="D19">
            <v>31</v>
          </cell>
          <cell r="E19">
            <v>365</v>
          </cell>
          <cell r="G19">
            <v>12</v>
          </cell>
          <cell r="I19">
            <v>65</v>
          </cell>
          <cell r="J19">
            <v>78</v>
          </cell>
          <cell r="K19">
            <v>91</v>
          </cell>
          <cell r="L19">
            <v>128</v>
          </cell>
          <cell r="M19">
            <v>141</v>
          </cell>
          <cell r="N19">
            <v>154</v>
          </cell>
          <cell r="O19">
            <v>167</v>
          </cell>
          <cell r="P19">
            <v>180</v>
          </cell>
          <cell r="V19">
            <v>12</v>
          </cell>
          <cell r="X19">
            <v>63</v>
          </cell>
          <cell r="Y19">
            <v>78</v>
          </cell>
          <cell r="Z19">
            <v>91</v>
          </cell>
        </row>
      </sheetData>
      <sheetData sheetId="20" refreshError="1">
        <row r="6">
          <cell r="B6" t="str">
            <v>TB</v>
          </cell>
          <cell r="C6">
            <v>-81407260.129999995</v>
          </cell>
          <cell r="D6">
            <v>-79843302.010000005</v>
          </cell>
          <cell r="E6">
            <v>-3228418.08</v>
          </cell>
          <cell r="F6">
            <v>1664459.96</v>
          </cell>
        </row>
        <row r="7">
          <cell r="C7">
            <v>-81407260.129999995</v>
          </cell>
          <cell r="D7">
            <v>-79843302.010000005</v>
          </cell>
          <cell r="E7">
            <v>-3228418.08</v>
          </cell>
          <cell r="F7">
            <v>1664459.96</v>
          </cell>
        </row>
        <row r="8">
          <cell r="C8">
            <v>-110638603.65000001</v>
          </cell>
          <cell r="D8">
            <v>-109074625.53</v>
          </cell>
          <cell r="E8">
            <v>-3228418.08</v>
          </cell>
          <cell r="F8">
            <v>1664439.96</v>
          </cell>
        </row>
        <row r="9">
          <cell r="C9">
            <v>-110638603.65000001</v>
          </cell>
          <cell r="D9">
            <v>-109074625.53</v>
          </cell>
          <cell r="E9">
            <v>-3228418.08</v>
          </cell>
          <cell r="F9">
            <v>1664439.96</v>
          </cell>
        </row>
        <row r="10">
          <cell r="C10">
            <v>-263817909.87</v>
          </cell>
          <cell r="D10">
            <v>-256458310.71000001</v>
          </cell>
          <cell r="E10">
            <v>-5568604.6799999997</v>
          </cell>
          <cell r="F10">
            <v>-1790994.48</v>
          </cell>
        </row>
        <row r="11">
          <cell r="C11">
            <v>-154426808.90000001</v>
          </cell>
          <cell r="D11">
            <v>-154380962.63999999</v>
          </cell>
          <cell r="E11">
            <v>-41986.75</v>
          </cell>
          <cell r="F11">
            <v>-3859.51</v>
          </cell>
        </row>
        <row r="12">
          <cell r="C12">
            <v>-344794951.06</v>
          </cell>
          <cell r="D12">
            <v>-344712111.43000001</v>
          </cell>
          <cell r="E12">
            <v>-78980.12</v>
          </cell>
          <cell r="F12">
            <v>-3859.51</v>
          </cell>
        </row>
        <row r="13">
          <cell r="C13">
            <v>-1462101.85</v>
          </cell>
          <cell r="D13">
            <v>-1462101.85</v>
          </cell>
        </row>
        <row r="14">
          <cell r="C14">
            <v>-1462101.85</v>
          </cell>
          <cell r="D14">
            <v>-1462101.85</v>
          </cell>
        </row>
        <row r="15">
          <cell r="B15" t="str">
            <v>700125</v>
          </cell>
          <cell r="C15">
            <v>-383530.43</v>
          </cell>
          <cell r="D15">
            <v>-383530.43</v>
          </cell>
        </row>
        <row r="16">
          <cell r="B16" t="str">
            <v>700130</v>
          </cell>
          <cell r="C16">
            <v>-1078571.42</v>
          </cell>
          <cell r="D16">
            <v>-1078571.42</v>
          </cell>
        </row>
        <row r="17">
          <cell r="C17">
            <v>-341346377.97000003</v>
          </cell>
          <cell r="D17">
            <v>-341263538.33999997</v>
          </cell>
          <cell r="E17">
            <v>-78980.12</v>
          </cell>
          <cell r="F17">
            <v>-3859.51</v>
          </cell>
        </row>
        <row r="18">
          <cell r="C18">
            <v>-20865787.289999999</v>
          </cell>
          <cell r="D18">
            <v>-20865787.289999999</v>
          </cell>
        </row>
        <row r="19">
          <cell r="C19">
            <v>-20865787.289999999</v>
          </cell>
          <cell r="D19">
            <v>-20865787.289999999</v>
          </cell>
        </row>
        <row r="20">
          <cell r="B20" t="str">
            <v>710000</v>
          </cell>
          <cell r="C20">
            <v>-20865787.289999999</v>
          </cell>
          <cell r="D20">
            <v>-20865787.289999999</v>
          </cell>
        </row>
        <row r="21">
          <cell r="C21">
            <v>-307200713.22000003</v>
          </cell>
          <cell r="D21">
            <v>-307117873.58999997</v>
          </cell>
          <cell r="E21">
            <v>-78980.12</v>
          </cell>
          <cell r="F21">
            <v>-3859.51</v>
          </cell>
        </row>
        <row r="22">
          <cell r="C22">
            <v>-99247.71</v>
          </cell>
          <cell r="D22">
            <v>-99247.71</v>
          </cell>
        </row>
        <row r="23">
          <cell r="B23" t="str">
            <v>709300</v>
          </cell>
          <cell r="C23">
            <v>-99247.71</v>
          </cell>
          <cell r="D23">
            <v>-99247.71</v>
          </cell>
        </row>
        <row r="24">
          <cell r="C24">
            <v>-10123991.109999999</v>
          </cell>
          <cell r="D24">
            <v>-10123991.109999999</v>
          </cell>
        </row>
        <row r="25">
          <cell r="B25" t="str">
            <v>710600</v>
          </cell>
          <cell r="C25">
            <v>-10074566.460000001</v>
          </cell>
          <cell r="D25">
            <v>-10074566.460000001</v>
          </cell>
        </row>
        <row r="26">
          <cell r="B26" t="str">
            <v>723200</v>
          </cell>
          <cell r="C26">
            <v>-49424.65</v>
          </cell>
          <cell r="D26">
            <v>-49424.65</v>
          </cell>
        </row>
        <row r="27">
          <cell r="C27">
            <v>-15287631.5</v>
          </cell>
          <cell r="D27">
            <v>-15287631.5</v>
          </cell>
        </row>
        <row r="28">
          <cell r="B28" t="str">
            <v>708600</v>
          </cell>
          <cell r="C28">
            <v>-15287631.5</v>
          </cell>
          <cell r="D28">
            <v>-15287631.5</v>
          </cell>
        </row>
        <row r="29">
          <cell r="B29" t="str">
            <v>708700</v>
          </cell>
        </row>
        <row r="30">
          <cell r="B30" t="str">
            <v>709900</v>
          </cell>
        </row>
        <row r="31">
          <cell r="B31" t="str">
            <v>720400</v>
          </cell>
          <cell r="C31">
            <v>0</v>
          </cell>
          <cell r="D31">
            <v>0</v>
          </cell>
        </row>
        <row r="32">
          <cell r="C32">
            <v>-45822320.899999999</v>
          </cell>
          <cell r="D32">
            <v>-45739481.270000003</v>
          </cell>
          <cell r="E32">
            <v>-78980.12</v>
          </cell>
          <cell r="F32">
            <v>-3859.51</v>
          </cell>
        </row>
        <row r="33">
          <cell r="B33" t="str">
            <v>700005</v>
          </cell>
          <cell r="C33">
            <v>-131135.45000000001</v>
          </cell>
          <cell r="D33">
            <v>-131135.45000000001</v>
          </cell>
        </row>
        <row r="34">
          <cell r="B34" t="str">
            <v>709100</v>
          </cell>
          <cell r="C34">
            <v>-82839.63</v>
          </cell>
          <cell r="E34">
            <v>-78980.12</v>
          </cell>
          <cell r="F34">
            <v>-3859.51</v>
          </cell>
        </row>
        <row r="35">
          <cell r="B35" t="str">
            <v>712000</v>
          </cell>
          <cell r="C35">
            <v>-158313.38</v>
          </cell>
          <cell r="D35">
            <v>-158313.38</v>
          </cell>
        </row>
        <row r="36">
          <cell r="B36" t="str">
            <v>715800</v>
          </cell>
          <cell r="C36">
            <v>-23320.38</v>
          </cell>
          <cell r="D36">
            <v>-23320.38</v>
          </cell>
        </row>
        <row r="37">
          <cell r="B37" t="str">
            <v>727500</v>
          </cell>
          <cell r="C37">
            <v>-1908.58</v>
          </cell>
          <cell r="D37">
            <v>-1908.58</v>
          </cell>
        </row>
        <row r="38">
          <cell r="B38" t="str">
            <v>730200</v>
          </cell>
        </row>
        <row r="39">
          <cell r="B39" t="str">
            <v>735340</v>
          </cell>
          <cell r="C39">
            <v>-35860837.920000002</v>
          </cell>
          <cell r="D39">
            <v>-35860837.920000002</v>
          </cell>
        </row>
        <row r="40">
          <cell r="B40" t="str">
            <v>735360</v>
          </cell>
          <cell r="C40">
            <v>-2478744.38</v>
          </cell>
          <cell r="D40">
            <v>-2478744.38</v>
          </cell>
        </row>
        <row r="41">
          <cell r="B41" t="str">
            <v>735380</v>
          </cell>
          <cell r="C41">
            <v>-572292.26</v>
          </cell>
          <cell r="D41">
            <v>-572292.26</v>
          </cell>
        </row>
        <row r="42">
          <cell r="B42" t="str">
            <v>735420</v>
          </cell>
          <cell r="C42">
            <v>-2305270.75</v>
          </cell>
          <cell r="D42">
            <v>-2305270.75</v>
          </cell>
        </row>
        <row r="43">
          <cell r="B43" t="str">
            <v>770100</v>
          </cell>
          <cell r="C43">
            <v>-4207658.17</v>
          </cell>
          <cell r="D43">
            <v>-4207658.17</v>
          </cell>
        </row>
        <row r="44">
          <cell r="C44">
            <v>-69531675.719999999</v>
          </cell>
          <cell r="D44">
            <v>-69531675.719999999</v>
          </cell>
        </row>
        <row r="45">
          <cell r="B45" t="str">
            <v>702300</v>
          </cell>
          <cell r="C45">
            <v>-50625877.18</v>
          </cell>
          <cell r="D45">
            <v>-50625877.18</v>
          </cell>
        </row>
        <row r="46">
          <cell r="B46" t="str">
            <v>703900</v>
          </cell>
          <cell r="C46">
            <v>-1600427.61</v>
          </cell>
          <cell r="D46">
            <v>-1600427.61</v>
          </cell>
        </row>
        <row r="47">
          <cell r="B47" t="str">
            <v>705900</v>
          </cell>
          <cell r="C47">
            <v>-409879.89</v>
          </cell>
          <cell r="D47">
            <v>-409879.89</v>
          </cell>
        </row>
        <row r="48">
          <cell r="B48" t="str">
            <v>709500</v>
          </cell>
          <cell r="C48">
            <v>-16886683.27</v>
          </cell>
          <cell r="D48">
            <v>-16886683.27</v>
          </cell>
        </row>
        <row r="49">
          <cell r="B49" t="str">
            <v>710300</v>
          </cell>
          <cell r="C49">
            <v>-8807.77</v>
          </cell>
          <cell r="D49">
            <v>-8807.77</v>
          </cell>
        </row>
        <row r="50">
          <cell r="C50">
            <v>-106794565.73999999</v>
          </cell>
          <cell r="D50">
            <v>-106794565.73999999</v>
          </cell>
        </row>
        <row r="51">
          <cell r="B51" t="str">
            <v>708500</v>
          </cell>
          <cell r="C51">
            <v>-106789420.04000001</v>
          </cell>
          <cell r="D51">
            <v>-106789420.04000001</v>
          </cell>
        </row>
        <row r="52">
          <cell r="B52" t="str">
            <v>709800</v>
          </cell>
          <cell r="C52">
            <v>-5145.7</v>
          </cell>
          <cell r="D52">
            <v>-5145.7</v>
          </cell>
        </row>
        <row r="53">
          <cell r="C53">
            <v>-59542788.770000003</v>
          </cell>
          <cell r="D53">
            <v>-59542788.770000003</v>
          </cell>
        </row>
        <row r="54">
          <cell r="B54" t="str">
            <v>703100</v>
          </cell>
          <cell r="C54">
            <v>-59293781.020000003</v>
          </cell>
          <cell r="D54">
            <v>-59293781.020000003</v>
          </cell>
        </row>
        <row r="55">
          <cell r="B55" t="str">
            <v>711200</v>
          </cell>
          <cell r="C55">
            <v>-249007.75</v>
          </cell>
          <cell r="D55">
            <v>-249007.75</v>
          </cell>
        </row>
        <row r="56">
          <cell r="C56">
            <v>1508.23</v>
          </cell>
          <cell r="D56">
            <v>1508.23</v>
          </cell>
        </row>
        <row r="57">
          <cell r="B57" t="str">
            <v>705600</v>
          </cell>
          <cell r="C57">
            <v>1508.23</v>
          </cell>
          <cell r="D57">
            <v>1508.23</v>
          </cell>
        </row>
        <row r="59">
          <cell r="B59" t="str">
            <v>705200</v>
          </cell>
        </row>
        <row r="60">
          <cell r="C60">
            <v>-13279877.460000001</v>
          </cell>
          <cell r="D60">
            <v>-13279877.460000001</v>
          </cell>
        </row>
        <row r="61">
          <cell r="C61">
            <v>-9809379.6199999992</v>
          </cell>
          <cell r="D61">
            <v>-9809379.6199999992</v>
          </cell>
        </row>
        <row r="62">
          <cell r="B62" t="str">
            <v>702000</v>
          </cell>
          <cell r="C62">
            <v>-2315681.7000000002</v>
          </cell>
          <cell r="D62">
            <v>-2315681.7000000002</v>
          </cell>
        </row>
        <row r="63">
          <cell r="B63" t="str">
            <v>726800</v>
          </cell>
        </row>
        <row r="64">
          <cell r="B64" t="str">
            <v>735740</v>
          </cell>
          <cell r="C64">
            <v>-7493697.9199999999</v>
          </cell>
          <cell r="D64">
            <v>-7493697.9199999999</v>
          </cell>
        </row>
        <row r="65">
          <cell r="C65">
            <v>-808732.17</v>
          </cell>
          <cell r="D65">
            <v>-808732.17</v>
          </cell>
        </row>
        <row r="66">
          <cell r="B66" t="str">
            <v>729100</v>
          </cell>
          <cell r="C66">
            <v>-808732.17</v>
          </cell>
          <cell r="D66">
            <v>-808732.17</v>
          </cell>
        </row>
        <row r="67">
          <cell r="C67">
            <v>-2661765.67</v>
          </cell>
          <cell r="D67">
            <v>-2661765.67</v>
          </cell>
        </row>
        <row r="68">
          <cell r="B68" t="str">
            <v>700010</v>
          </cell>
          <cell r="C68">
            <v>-2661765.67</v>
          </cell>
          <cell r="D68">
            <v>-2661765.67</v>
          </cell>
        </row>
        <row r="69">
          <cell r="C69">
            <v>-1986471.24</v>
          </cell>
          <cell r="D69">
            <v>-1986471.24</v>
          </cell>
        </row>
        <row r="70">
          <cell r="C70">
            <v>-1986471.24</v>
          </cell>
          <cell r="D70">
            <v>-1986471.24</v>
          </cell>
        </row>
        <row r="71">
          <cell r="B71" t="str">
            <v>701300</v>
          </cell>
          <cell r="C71">
            <v>-1986471.24</v>
          </cell>
          <cell r="D71">
            <v>-1986471.24</v>
          </cell>
        </row>
        <row r="74">
          <cell r="B74" t="str">
            <v>700500</v>
          </cell>
        </row>
        <row r="75">
          <cell r="C75">
            <v>190368142.16</v>
          </cell>
          <cell r="D75">
            <v>190331148.78999999</v>
          </cell>
          <cell r="E75">
            <v>36993.370000000003</v>
          </cell>
        </row>
        <row r="76">
          <cell r="C76">
            <v>18118.919999999998</v>
          </cell>
          <cell r="D76">
            <v>18118.919999999998</v>
          </cell>
        </row>
        <row r="77">
          <cell r="B77" t="str">
            <v>764400</v>
          </cell>
          <cell r="C77">
            <v>18118.919999999998</v>
          </cell>
          <cell r="D77">
            <v>18118.919999999998</v>
          </cell>
        </row>
        <row r="78">
          <cell r="C78">
            <v>35322725.329999998</v>
          </cell>
          <cell r="D78">
            <v>35322725.329999998</v>
          </cell>
        </row>
        <row r="79">
          <cell r="B79" t="str">
            <v>740010</v>
          </cell>
          <cell r="C79">
            <v>132172.97</v>
          </cell>
          <cell r="D79">
            <v>132172.97</v>
          </cell>
        </row>
        <row r="80">
          <cell r="B80" t="str">
            <v>741400</v>
          </cell>
          <cell r="C80">
            <v>33456879.039999999</v>
          </cell>
          <cell r="D80">
            <v>33456879.039999999</v>
          </cell>
        </row>
        <row r="81">
          <cell r="B81" t="str">
            <v>756900</v>
          </cell>
          <cell r="C81">
            <v>7077.89</v>
          </cell>
          <cell r="D81">
            <v>7077.89</v>
          </cell>
        </row>
        <row r="82">
          <cell r="B82" t="str">
            <v>758700</v>
          </cell>
          <cell r="C82">
            <v>58014.71</v>
          </cell>
          <cell r="D82">
            <v>58014.71</v>
          </cell>
        </row>
        <row r="83">
          <cell r="B83" t="str">
            <v>765800</v>
          </cell>
          <cell r="C83">
            <v>1668580.72</v>
          </cell>
          <cell r="D83">
            <v>1668580.72</v>
          </cell>
        </row>
        <row r="84">
          <cell r="C84">
            <v>766305.16</v>
          </cell>
          <cell r="D84">
            <v>766305.16</v>
          </cell>
        </row>
        <row r="85">
          <cell r="B85" t="str">
            <v>743100</v>
          </cell>
        </row>
        <row r="86">
          <cell r="B86" t="str">
            <v>749300</v>
          </cell>
          <cell r="C86">
            <v>182646.78</v>
          </cell>
          <cell r="D86">
            <v>182646.78</v>
          </cell>
        </row>
        <row r="87">
          <cell r="B87" t="str">
            <v>749700</v>
          </cell>
          <cell r="C87">
            <v>0</v>
          </cell>
          <cell r="D87">
            <v>0</v>
          </cell>
        </row>
        <row r="88">
          <cell r="B88" t="str">
            <v>751100</v>
          </cell>
        </row>
        <row r="89">
          <cell r="B89" t="str">
            <v>757300</v>
          </cell>
          <cell r="C89">
            <v>534124.09</v>
          </cell>
          <cell r="D89">
            <v>534124.09</v>
          </cell>
        </row>
        <row r="90">
          <cell r="B90" t="str">
            <v>759100</v>
          </cell>
          <cell r="C90">
            <v>49534.29</v>
          </cell>
          <cell r="D90">
            <v>49534.29</v>
          </cell>
        </row>
        <row r="91">
          <cell r="C91">
            <v>7446575.3300000001</v>
          </cell>
          <cell r="D91">
            <v>7446575.3300000001</v>
          </cell>
        </row>
        <row r="92">
          <cell r="B92" t="str">
            <v>741900</v>
          </cell>
          <cell r="C92">
            <v>7446575.3300000001</v>
          </cell>
          <cell r="D92">
            <v>7446575.3300000001</v>
          </cell>
        </row>
        <row r="93">
          <cell r="C93">
            <v>9841.8700000000008</v>
          </cell>
          <cell r="E93">
            <v>9841.8700000000008</v>
          </cell>
        </row>
        <row r="94">
          <cell r="B94" t="str">
            <v>741700</v>
          </cell>
          <cell r="C94">
            <v>9841.8700000000008</v>
          </cell>
          <cell r="E94">
            <v>9841.8700000000008</v>
          </cell>
        </row>
        <row r="95">
          <cell r="C95">
            <v>23085044.039999999</v>
          </cell>
          <cell r="D95">
            <v>23085044.039999999</v>
          </cell>
        </row>
        <row r="96">
          <cell r="B96" t="str">
            <v>740700</v>
          </cell>
          <cell r="C96">
            <v>61915.09</v>
          </cell>
          <cell r="D96">
            <v>61915.09</v>
          </cell>
        </row>
        <row r="97">
          <cell r="B97" t="str">
            <v>742200</v>
          </cell>
          <cell r="C97">
            <v>19728186.030000001</v>
          </cell>
          <cell r="D97">
            <v>19728186.030000001</v>
          </cell>
        </row>
        <row r="98">
          <cell r="B98" t="str">
            <v>743400</v>
          </cell>
          <cell r="C98">
            <v>3294942.92</v>
          </cell>
          <cell r="D98">
            <v>3294942.92</v>
          </cell>
        </row>
        <row r="99">
          <cell r="C99">
            <v>27994478.039999999</v>
          </cell>
          <cell r="D99">
            <v>27967326.539999999</v>
          </cell>
          <cell r="E99">
            <v>27151.5</v>
          </cell>
        </row>
        <row r="100">
          <cell r="B100" t="str">
            <v>741000</v>
          </cell>
          <cell r="C100">
            <v>315025.68</v>
          </cell>
          <cell r="D100">
            <v>287874.18</v>
          </cell>
          <cell r="E100">
            <v>27151.5</v>
          </cell>
        </row>
        <row r="101">
          <cell r="B101" t="str">
            <v>741100</v>
          </cell>
          <cell r="C101">
            <v>2.84</v>
          </cell>
          <cell r="D101">
            <v>2.84</v>
          </cell>
        </row>
        <row r="102">
          <cell r="B102" t="str">
            <v>741200</v>
          </cell>
          <cell r="C102">
            <v>27677180.25</v>
          </cell>
          <cell r="D102">
            <v>27677180.25</v>
          </cell>
        </row>
        <row r="103">
          <cell r="B103" t="str">
            <v>741300</v>
          </cell>
          <cell r="C103">
            <v>2268.7600000000002</v>
          </cell>
          <cell r="D103">
            <v>2268.7600000000002</v>
          </cell>
        </row>
        <row r="104">
          <cell r="B104" t="str">
            <v>743900</v>
          </cell>
          <cell r="C104">
            <v>0.51</v>
          </cell>
          <cell r="D104">
            <v>0.51</v>
          </cell>
        </row>
        <row r="105">
          <cell r="C105">
            <v>8650233.4199999999</v>
          </cell>
          <cell r="D105">
            <v>8650233.4199999999</v>
          </cell>
        </row>
        <row r="106">
          <cell r="B106" t="str">
            <v>744200</v>
          </cell>
          <cell r="C106">
            <v>32124.93</v>
          </cell>
          <cell r="D106">
            <v>32124.93</v>
          </cell>
        </row>
        <row r="107">
          <cell r="B107" t="str">
            <v>763800</v>
          </cell>
          <cell r="C107">
            <v>8618108.4900000002</v>
          </cell>
          <cell r="D107">
            <v>8618108.4900000002</v>
          </cell>
        </row>
        <row r="108">
          <cell r="C108">
            <v>62301585.670000002</v>
          </cell>
          <cell r="D108">
            <v>62301585.670000002</v>
          </cell>
        </row>
        <row r="109">
          <cell r="B109" t="str">
            <v>750100</v>
          </cell>
          <cell r="C109">
            <v>39642953.630000003</v>
          </cell>
          <cell r="D109">
            <v>39642953.630000003</v>
          </cell>
        </row>
        <row r="110">
          <cell r="B110" t="str">
            <v>766110</v>
          </cell>
          <cell r="C110">
            <v>22658632.039999999</v>
          </cell>
          <cell r="D110">
            <v>22658632.039999999</v>
          </cell>
        </row>
        <row r="111">
          <cell r="C111">
            <v>6961862.9800000004</v>
          </cell>
          <cell r="D111">
            <v>6961862.9800000004</v>
          </cell>
        </row>
        <row r="112">
          <cell r="B112" t="str">
            <v>742900</v>
          </cell>
          <cell r="C112">
            <v>6961862.9800000004</v>
          </cell>
          <cell r="D112">
            <v>6961862.9800000004</v>
          </cell>
        </row>
        <row r="113">
          <cell r="C113">
            <v>14913701.34</v>
          </cell>
          <cell r="D113">
            <v>14913701.34</v>
          </cell>
        </row>
        <row r="114">
          <cell r="B114" t="str">
            <v>748700</v>
          </cell>
          <cell r="C114">
            <v>8601109.8499999996</v>
          </cell>
          <cell r="D114">
            <v>8601109.8499999996</v>
          </cell>
        </row>
        <row r="115">
          <cell r="B115" t="str">
            <v>749400</v>
          </cell>
          <cell r="C115">
            <v>6312591.4900000002</v>
          </cell>
          <cell r="D115">
            <v>6312591.4900000002</v>
          </cell>
        </row>
        <row r="116">
          <cell r="C116">
            <v>8995.2900000000009</v>
          </cell>
          <cell r="D116">
            <v>8995.2900000000009</v>
          </cell>
        </row>
        <row r="117">
          <cell r="B117" t="str">
            <v>755800</v>
          </cell>
          <cell r="C117">
            <v>8995.2900000000009</v>
          </cell>
          <cell r="D117">
            <v>8995.2900000000009</v>
          </cell>
        </row>
        <row r="120">
          <cell r="B120" t="str">
            <v>745800</v>
          </cell>
        </row>
        <row r="121">
          <cell r="C121">
            <v>2888674.77</v>
          </cell>
          <cell r="D121">
            <v>2888674.77</v>
          </cell>
        </row>
        <row r="122">
          <cell r="C122">
            <v>108904.11</v>
          </cell>
          <cell r="D122">
            <v>108904.11</v>
          </cell>
        </row>
        <row r="123">
          <cell r="B123" t="str">
            <v>756800</v>
          </cell>
        </row>
        <row r="124">
          <cell r="B124" t="str">
            <v>762900</v>
          </cell>
        </row>
        <row r="125">
          <cell r="B125" t="str">
            <v>766130</v>
          </cell>
          <cell r="C125">
            <v>108904.11</v>
          </cell>
          <cell r="D125">
            <v>108904.11</v>
          </cell>
        </row>
        <row r="127">
          <cell r="B127" t="str">
            <v>747000</v>
          </cell>
        </row>
        <row r="128">
          <cell r="C128">
            <v>2779770.66</v>
          </cell>
          <cell r="D128">
            <v>2779770.66</v>
          </cell>
        </row>
        <row r="129">
          <cell r="B129" t="str">
            <v>759400</v>
          </cell>
        </row>
        <row r="130">
          <cell r="B130" t="str">
            <v>759800</v>
          </cell>
          <cell r="C130">
            <v>1241009.05</v>
          </cell>
          <cell r="D130">
            <v>1241009.05</v>
          </cell>
        </row>
        <row r="131">
          <cell r="B131" t="str">
            <v>763700</v>
          </cell>
          <cell r="C131">
            <v>1538761.61</v>
          </cell>
          <cell r="D131">
            <v>1538761.61</v>
          </cell>
        </row>
        <row r="133">
          <cell r="B133" t="str">
            <v>763400</v>
          </cell>
        </row>
        <row r="134">
          <cell r="C134">
            <v>3369129.73</v>
          </cell>
          <cell r="D134">
            <v>3369129.73</v>
          </cell>
        </row>
        <row r="135">
          <cell r="C135">
            <v>-61493.34</v>
          </cell>
          <cell r="D135">
            <v>-61493.34</v>
          </cell>
        </row>
        <row r="136">
          <cell r="B136" t="str">
            <v>770600</v>
          </cell>
          <cell r="C136">
            <v>59051.11</v>
          </cell>
          <cell r="D136">
            <v>59051.11</v>
          </cell>
        </row>
        <row r="137">
          <cell r="B137" t="str">
            <v>771300</v>
          </cell>
          <cell r="C137">
            <v>-8550</v>
          </cell>
          <cell r="D137">
            <v>-8550</v>
          </cell>
        </row>
        <row r="138">
          <cell r="B138" t="str">
            <v>772200</v>
          </cell>
          <cell r="C138">
            <v>-111994.45</v>
          </cell>
          <cell r="D138">
            <v>-111994.45</v>
          </cell>
        </row>
        <row r="139">
          <cell r="C139">
            <v>9079524.2200000007</v>
          </cell>
          <cell r="D139">
            <v>9079524.2200000007</v>
          </cell>
        </row>
        <row r="140">
          <cell r="B140" t="str">
            <v>770800</v>
          </cell>
          <cell r="C140">
            <v>9079524.2200000007</v>
          </cell>
          <cell r="D140">
            <v>9079524.2200000007</v>
          </cell>
        </row>
        <row r="141">
          <cell r="C141">
            <v>-788000</v>
          </cell>
          <cell r="D141">
            <v>-788000</v>
          </cell>
        </row>
        <row r="142">
          <cell r="B142" t="str">
            <v>770400</v>
          </cell>
          <cell r="C142">
            <v>-788000</v>
          </cell>
          <cell r="D142">
            <v>-788000</v>
          </cell>
        </row>
        <row r="143">
          <cell r="C143">
            <v>-4860901.1500000004</v>
          </cell>
          <cell r="D143">
            <v>-4860901.1500000004</v>
          </cell>
        </row>
        <row r="144">
          <cell r="B144" t="str">
            <v>771600</v>
          </cell>
          <cell r="C144">
            <v>-1778551.21</v>
          </cell>
          <cell r="D144">
            <v>-1778551.21</v>
          </cell>
        </row>
        <row r="145">
          <cell r="B145" t="str">
            <v>774200</v>
          </cell>
          <cell r="C145">
            <v>-3082349.94</v>
          </cell>
          <cell r="D145">
            <v>-3082349.94</v>
          </cell>
        </row>
        <row r="148">
          <cell r="B148" t="str">
            <v>793100</v>
          </cell>
        </row>
        <row r="149">
          <cell r="C149">
            <v>-87466223.640000001</v>
          </cell>
          <cell r="D149">
            <v>-87448669.829999998</v>
          </cell>
          <cell r="F149">
            <v>-17553.810000000001</v>
          </cell>
        </row>
        <row r="150">
          <cell r="C150">
            <v>-57392751.159999996</v>
          </cell>
          <cell r="D150">
            <v>-57375197.350000001</v>
          </cell>
          <cell r="F150">
            <v>-17553.810000000001</v>
          </cell>
        </row>
        <row r="151">
          <cell r="B151" t="str">
            <v>802910</v>
          </cell>
        </row>
        <row r="152">
          <cell r="B152" t="str">
            <v>804600</v>
          </cell>
          <cell r="C152">
            <v>-1519215.71</v>
          </cell>
          <cell r="D152">
            <v>-1519215.71</v>
          </cell>
        </row>
        <row r="153">
          <cell r="B153" t="str">
            <v>806100</v>
          </cell>
          <cell r="C153">
            <v>-413845.83</v>
          </cell>
          <cell r="D153">
            <v>-396292.02</v>
          </cell>
          <cell r="F153">
            <v>-17553.810000000001</v>
          </cell>
        </row>
        <row r="154">
          <cell r="B154" t="str">
            <v>813300</v>
          </cell>
          <cell r="C154">
            <v>-43231.37</v>
          </cell>
          <cell r="D154">
            <v>-43231.37</v>
          </cell>
        </row>
        <row r="155">
          <cell r="B155" t="str">
            <v>813400</v>
          </cell>
          <cell r="C155">
            <v>-10696568.66</v>
          </cell>
          <cell r="D155">
            <v>-10696568.66</v>
          </cell>
        </row>
        <row r="156">
          <cell r="B156" t="str">
            <v>813500</v>
          </cell>
          <cell r="C156">
            <v>-1620755.27</v>
          </cell>
          <cell r="D156">
            <v>-1620755.27</v>
          </cell>
        </row>
        <row r="157">
          <cell r="B157" t="str">
            <v>813900</v>
          </cell>
          <cell r="C157">
            <v>-11836.06</v>
          </cell>
          <cell r="D157">
            <v>-11836.06</v>
          </cell>
        </row>
        <row r="158">
          <cell r="B158" t="str">
            <v>814000</v>
          </cell>
          <cell r="C158">
            <v>-18415408.84</v>
          </cell>
          <cell r="D158">
            <v>-18415408.84</v>
          </cell>
        </row>
        <row r="159">
          <cell r="B159" t="str">
            <v>814100</v>
          </cell>
          <cell r="C159">
            <v>-305189.84999999998</v>
          </cell>
          <cell r="D159">
            <v>-305189.84999999998</v>
          </cell>
        </row>
        <row r="160">
          <cell r="B160" t="str">
            <v>814200</v>
          </cell>
        </row>
        <row r="161">
          <cell r="B161" t="str">
            <v>814300</v>
          </cell>
        </row>
        <row r="162">
          <cell r="B162" t="str">
            <v>814400</v>
          </cell>
        </row>
        <row r="163">
          <cell r="B163" t="str">
            <v>814600</v>
          </cell>
        </row>
        <row r="164">
          <cell r="B164" t="str">
            <v>814700</v>
          </cell>
        </row>
        <row r="165">
          <cell r="B165" t="str">
            <v>814800</v>
          </cell>
          <cell r="C165">
            <v>-112233.91</v>
          </cell>
          <cell r="D165">
            <v>-112233.91</v>
          </cell>
        </row>
        <row r="166">
          <cell r="B166" t="str">
            <v>814900</v>
          </cell>
          <cell r="C166">
            <v>-23504750.129999999</v>
          </cell>
          <cell r="D166">
            <v>-23504750.129999999</v>
          </cell>
        </row>
        <row r="167">
          <cell r="B167" t="str">
            <v>815100</v>
          </cell>
          <cell r="C167">
            <v>843371.41</v>
          </cell>
          <cell r="D167">
            <v>843371.41</v>
          </cell>
        </row>
        <row r="168">
          <cell r="B168" t="str">
            <v>815200</v>
          </cell>
          <cell r="C168">
            <v>-1483796.26</v>
          </cell>
          <cell r="D168">
            <v>-1483796.26</v>
          </cell>
        </row>
        <row r="169">
          <cell r="B169" t="str">
            <v>815300</v>
          </cell>
          <cell r="C169">
            <v>-109292.25</v>
          </cell>
          <cell r="D169">
            <v>-109292.25</v>
          </cell>
        </row>
        <row r="170">
          <cell r="B170" t="str">
            <v>815500</v>
          </cell>
        </row>
        <row r="171">
          <cell r="B171" t="str">
            <v>815600</v>
          </cell>
        </row>
        <row r="172">
          <cell r="B172" t="str">
            <v>815700</v>
          </cell>
        </row>
        <row r="173">
          <cell r="B173" t="str">
            <v>815800</v>
          </cell>
        </row>
        <row r="174">
          <cell r="B174" t="str">
            <v>815900</v>
          </cell>
        </row>
        <row r="175">
          <cell r="B175" t="str">
            <v>817700</v>
          </cell>
        </row>
        <row r="176">
          <cell r="B176" t="str">
            <v>835475</v>
          </cell>
          <cell r="C176">
            <v>1.57</v>
          </cell>
          <cell r="D176">
            <v>1.57</v>
          </cell>
        </row>
        <row r="177">
          <cell r="C177">
            <v>21401.94</v>
          </cell>
          <cell r="D177">
            <v>21401.94</v>
          </cell>
        </row>
        <row r="178">
          <cell r="B178" t="str">
            <v>490180</v>
          </cell>
          <cell r="C178">
            <v>35762.94</v>
          </cell>
          <cell r="D178">
            <v>35762.94</v>
          </cell>
        </row>
        <row r="179">
          <cell r="B179" t="str">
            <v>816100</v>
          </cell>
          <cell r="C179">
            <v>-14361</v>
          </cell>
          <cell r="D179">
            <v>-14361</v>
          </cell>
        </row>
        <row r="180">
          <cell r="B180" t="str">
            <v>816300</v>
          </cell>
          <cell r="C180">
            <v>0</v>
          </cell>
          <cell r="D180">
            <v>0</v>
          </cell>
        </row>
        <row r="181">
          <cell r="B181" t="str">
            <v>816400</v>
          </cell>
          <cell r="C181">
            <v>0</v>
          </cell>
          <cell r="D181">
            <v>0</v>
          </cell>
        </row>
        <row r="182">
          <cell r="B182" t="str">
            <v>872000</v>
          </cell>
          <cell r="C182">
            <v>0</v>
          </cell>
          <cell r="D182">
            <v>0</v>
          </cell>
        </row>
        <row r="183">
          <cell r="C183">
            <v>-5491575.7000000002</v>
          </cell>
          <cell r="D183">
            <v>-5491575.7000000002</v>
          </cell>
        </row>
        <row r="184">
          <cell r="B184" t="str">
            <v>816900</v>
          </cell>
          <cell r="C184">
            <v>-938215.89</v>
          </cell>
          <cell r="D184">
            <v>-938215.89</v>
          </cell>
        </row>
        <row r="185">
          <cell r="B185" t="str">
            <v>817100</v>
          </cell>
          <cell r="C185">
            <v>-322116.34000000003</v>
          </cell>
          <cell r="D185">
            <v>-322116.34000000003</v>
          </cell>
        </row>
        <row r="186">
          <cell r="B186" t="str">
            <v>817300</v>
          </cell>
          <cell r="C186">
            <v>-168472</v>
          </cell>
          <cell r="D186">
            <v>-168472</v>
          </cell>
        </row>
        <row r="187">
          <cell r="B187" t="str">
            <v>817400</v>
          </cell>
        </row>
        <row r="188">
          <cell r="B188" t="str">
            <v>817800</v>
          </cell>
        </row>
        <row r="189">
          <cell r="B189" t="str">
            <v>817900</v>
          </cell>
          <cell r="C189">
            <v>-4062771.47</v>
          </cell>
          <cell r="D189">
            <v>-4062771.47</v>
          </cell>
        </row>
        <row r="190">
          <cell r="C190">
            <v>-1050184.43</v>
          </cell>
          <cell r="D190">
            <v>-1050184.43</v>
          </cell>
        </row>
        <row r="191">
          <cell r="B191" t="str">
            <v>814500</v>
          </cell>
        </row>
        <row r="192">
          <cell r="B192" t="str">
            <v>821700</v>
          </cell>
          <cell r="C192">
            <v>-514791.29</v>
          </cell>
          <cell r="D192">
            <v>-514791.29</v>
          </cell>
        </row>
        <row r="193">
          <cell r="B193" t="str">
            <v>822100</v>
          </cell>
          <cell r="C193">
            <v>-465.71</v>
          </cell>
          <cell r="D193">
            <v>-465.71</v>
          </cell>
        </row>
        <row r="194">
          <cell r="B194" t="str">
            <v>822400</v>
          </cell>
          <cell r="C194">
            <v>-534927.43000000005</v>
          </cell>
          <cell r="D194">
            <v>-534927.43000000005</v>
          </cell>
        </row>
        <row r="195">
          <cell r="B195" t="str">
            <v>823200</v>
          </cell>
        </row>
        <row r="196">
          <cell r="C196">
            <v>-7033555.9400000004</v>
          </cell>
          <cell r="D196">
            <v>-7033555.9400000004</v>
          </cell>
        </row>
        <row r="197">
          <cell r="B197" t="str">
            <v>813800</v>
          </cell>
          <cell r="C197">
            <v>-3517638.4</v>
          </cell>
          <cell r="D197">
            <v>-3517638.4</v>
          </cell>
        </row>
        <row r="198">
          <cell r="B198" t="str">
            <v>823800</v>
          </cell>
          <cell r="C198">
            <v>-3515917.54</v>
          </cell>
          <cell r="D198">
            <v>-3515917.54</v>
          </cell>
        </row>
        <row r="199">
          <cell r="C199">
            <v>-2903373.59</v>
          </cell>
          <cell r="D199">
            <v>-2903373.59</v>
          </cell>
        </row>
        <row r="200">
          <cell r="B200" t="str">
            <v>800055</v>
          </cell>
          <cell r="C200">
            <v>-11327.85</v>
          </cell>
          <cell r="D200">
            <v>-11327.85</v>
          </cell>
        </row>
        <row r="201">
          <cell r="B201" t="str">
            <v>800065</v>
          </cell>
          <cell r="C201">
            <v>-42011.31</v>
          </cell>
          <cell r="D201">
            <v>-42011.31</v>
          </cell>
        </row>
        <row r="202">
          <cell r="B202" t="str">
            <v>800150</v>
          </cell>
          <cell r="C202">
            <v>-69.569999999999993</v>
          </cell>
          <cell r="D202">
            <v>-69.569999999999993</v>
          </cell>
        </row>
        <row r="203">
          <cell r="B203" t="str">
            <v>824100</v>
          </cell>
          <cell r="C203">
            <v>-14500</v>
          </cell>
          <cell r="D203">
            <v>-14500</v>
          </cell>
        </row>
        <row r="204">
          <cell r="B204" t="str">
            <v>824600</v>
          </cell>
        </row>
        <row r="205">
          <cell r="B205" t="str">
            <v>824700</v>
          </cell>
          <cell r="C205">
            <v>-43248.76</v>
          </cell>
          <cell r="D205">
            <v>-43248.76</v>
          </cell>
        </row>
        <row r="206">
          <cell r="B206" t="str">
            <v>824800</v>
          </cell>
          <cell r="C206">
            <v>-135657.51999999999</v>
          </cell>
          <cell r="D206">
            <v>-135657.51999999999</v>
          </cell>
        </row>
        <row r="207">
          <cell r="B207" t="str">
            <v>824900</v>
          </cell>
          <cell r="C207">
            <v>-2442746.75</v>
          </cell>
          <cell r="D207">
            <v>-2442746.75</v>
          </cell>
        </row>
        <row r="208">
          <cell r="B208" t="str">
            <v>825000</v>
          </cell>
          <cell r="C208">
            <v>-71218.31</v>
          </cell>
          <cell r="D208">
            <v>-71218.31</v>
          </cell>
        </row>
        <row r="209">
          <cell r="B209" t="str">
            <v>825300</v>
          </cell>
          <cell r="C209">
            <v>-142593.51999999999</v>
          </cell>
          <cell r="D209">
            <v>-142593.51999999999</v>
          </cell>
        </row>
        <row r="210">
          <cell r="C210">
            <v>-6044224.5300000003</v>
          </cell>
          <cell r="D210">
            <v>-6044224.5300000003</v>
          </cell>
        </row>
        <row r="211">
          <cell r="C211">
            <v>-5098752.3600000003</v>
          </cell>
          <cell r="D211">
            <v>-5098752.3600000003</v>
          </cell>
        </row>
        <row r="212">
          <cell r="B212" t="str">
            <v>811700</v>
          </cell>
          <cell r="C212">
            <v>-4983.4799999999996</v>
          </cell>
          <cell r="D212">
            <v>-4983.4799999999996</v>
          </cell>
        </row>
        <row r="213">
          <cell r="B213" t="str">
            <v>826200</v>
          </cell>
          <cell r="C213">
            <v>-58203.24</v>
          </cell>
          <cell r="D213">
            <v>-58203.24</v>
          </cell>
        </row>
        <row r="214">
          <cell r="B214" t="str">
            <v>827100</v>
          </cell>
          <cell r="C214">
            <v>-482118.86</v>
          </cell>
          <cell r="D214">
            <v>-482118.86</v>
          </cell>
        </row>
        <row r="215">
          <cell r="B215" t="str">
            <v>828100</v>
          </cell>
          <cell r="C215">
            <v>-121593.31</v>
          </cell>
          <cell r="D215">
            <v>-121593.31</v>
          </cell>
        </row>
        <row r="216">
          <cell r="B216" t="str">
            <v>828200</v>
          </cell>
          <cell r="C216">
            <v>-3422185.57</v>
          </cell>
          <cell r="D216">
            <v>-3422185.57</v>
          </cell>
        </row>
        <row r="217">
          <cell r="B217" t="str">
            <v>828400</v>
          </cell>
          <cell r="C217">
            <v>-183422.12</v>
          </cell>
          <cell r="D217">
            <v>-183422.12</v>
          </cell>
        </row>
        <row r="218">
          <cell r="B218" t="str">
            <v>870250</v>
          </cell>
          <cell r="C218">
            <v>-826245.78</v>
          </cell>
          <cell r="D218">
            <v>-826245.78</v>
          </cell>
        </row>
        <row r="219">
          <cell r="C219">
            <v>-945472.17</v>
          </cell>
          <cell r="D219">
            <v>-945472.17</v>
          </cell>
        </row>
        <row r="220">
          <cell r="B220" t="str">
            <v>819300</v>
          </cell>
          <cell r="C220">
            <v>-945472.17</v>
          </cell>
          <cell r="D220">
            <v>-945472.17</v>
          </cell>
        </row>
        <row r="221">
          <cell r="C221">
            <v>-196895.82</v>
          </cell>
          <cell r="D221">
            <v>-196895.82</v>
          </cell>
        </row>
        <row r="222">
          <cell r="B222" t="str">
            <v>495830</v>
          </cell>
          <cell r="C222">
            <v>-196895.82</v>
          </cell>
          <cell r="D222">
            <v>-196895.82</v>
          </cell>
        </row>
        <row r="223">
          <cell r="C223">
            <v>-7375064.4100000001</v>
          </cell>
          <cell r="D223">
            <v>-7375064.4100000001</v>
          </cell>
        </row>
        <row r="224">
          <cell r="C224">
            <v>-2934516.69</v>
          </cell>
          <cell r="D224">
            <v>-2934516.69</v>
          </cell>
        </row>
        <row r="225">
          <cell r="B225" t="str">
            <v>790600</v>
          </cell>
          <cell r="C225">
            <v>-2934516.69</v>
          </cell>
          <cell r="D225">
            <v>-2934516.69</v>
          </cell>
        </row>
        <row r="226">
          <cell r="C226">
            <v>-3019321.87</v>
          </cell>
          <cell r="D226">
            <v>-3019321.87</v>
          </cell>
        </row>
        <row r="227">
          <cell r="B227" t="str">
            <v>829600</v>
          </cell>
          <cell r="C227">
            <v>-3019321.87</v>
          </cell>
          <cell r="D227">
            <v>-3019321.87</v>
          </cell>
        </row>
        <row r="228">
          <cell r="C228">
            <v>-1421225.85</v>
          </cell>
          <cell r="D228">
            <v>-1421225.85</v>
          </cell>
        </row>
        <row r="229">
          <cell r="B229" t="str">
            <v>812200</v>
          </cell>
          <cell r="C229">
            <v>-1421225.85</v>
          </cell>
          <cell r="D229">
            <v>-1421225.85</v>
          </cell>
        </row>
        <row r="230">
          <cell r="C230">
            <v>-17923259.739999998</v>
          </cell>
          <cell r="D230">
            <v>-17923259.739999998</v>
          </cell>
        </row>
        <row r="231">
          <cell r="C231">
            <v>-17759808.850000001</v>
          </cell>
          <cell r="D231">
            <v>-17759808.850000001</v>
          </cell>
        </row>
        <row r="232">
          <cell r="C232">
            <v>-17759808.850000001</v>
          </cell>
          <cell r="D232">
            <v>-17759808.850000001</v>
          </cell>
        </row>
        <row r="233">
          <cell r="B233" t="str">
            <v>840500</v>
          </cell>
          <cell r="C233">
            <v>-17759808.850000001</v>
          </cell>
          <cell r="D233">
            <v>-17759808.850000001</v>
          </cell>
        </row>
        <row r="234">
          <cell r="C234">
            <v>8733.69</v>
          </cell>
          <cell r="D234">
            <v>8733.69</v>
          </cell>
        </row>
        <row r="235">
          <cell r="C235">
            <v>8733.69</v>
          </cell>
          <cell r="D235">
            <v>8733.69</v>
          </cell>
        </row>
        <row r="236">
          <cell r="B236" t="str">
            <v>897400</v>
          </cell>
          <cell r="C236">
            <v>8733.69</v>
          </cell>
          <cell r="D236">
            <v>8733.69</v>
          </cell>
        </row>
        <row r="237">
          <cell r="C237">
            <v>-172184.58</v>
          </cell>
          <cell r="D237">
            <v>-172184.58</v>
          </cell>
        </row>
        <row r="238">
          <cell r="C238">
            <v>-172184.58</v>
          </cell>
          <cell r="D238">
            <v>-172184.58</v>
          </cell>
        </row>
        <row r="239">
          <cell r="B239" t="str">
            <v>843600</v>
          </cell>
          <cell r="C239">
            <v>-172184.58</v>
          </cell>
          <cell r="D239">
            <v>-172184.58</v>
          </cell>
        </row>
        <row r="240">
          <cell r="C240">
            <v>-7370747.3200000003</v>
          </cell>
          <cell r="D240">
            <v>-74548.23</v>
          </cell>
          <cell r="E240">
            <v>-5526617.9299999997</v>
          </cell>
          <cell r="F240">
            <v>-1769581.16</v>
          </cell>
        </row>
        <row r="241">
          <cell r="C241">
            <v>-50848.26</v>
          </cell>
          <cell r="E241">
            <v>-50848.26</v>
          </cell>
        </row>
        <row r="242">
          <cell r="C242">
            <v>-77258.91</v>
          </cell>
          <cell r="E242">
            <v>-77258.91</v>
          </cell>
        </row>
        <row r="243">
          <cell r="B243" t="str">
            <v>883400</v>
          </cell>
          <cell r="C243">
            <v>-77258.91</v>
          </cell>
          <cell r="E243">
            <v>-77258.91</v>
          </cell>
        </row>
        <row r="244">
          <cell r="C244">
            <v>26410.65</v>
          </cell>
          <cell r="E244">
            <v>26410.65</v>
          </cell>
        </row>
        <row r="245">
          <cell r="B245" t="str">
            <v>871500</v>
          </cell>
          <cell r="C245">
            <v>26410.65</v>
          </cell>
          <cell r="E245">
            <v>26410.65</v>
          </cell>
        </row>
        <row r="246">
          <cell r="C246">
            <v>-1893456.25</v>
          </cell>
          <cell r="D246">
            <v>-123875.09</v>
          </cell>
          <cell r="E246">
            <v>0</v>
          </cell>
          <cell r="F246">
            <v>-1769581.16</v>
          </cell>
        </row>
        <row r="247">
          <cell r="B247" t="str">
            <v>802000</v>
          </cell>
          <cell r="C247">
            <v>-1769581.16</v>
          </cell>
          <cell r="E247">
            <v>0</v>
          </cell>
          <cell r="F247">
            <v>-1769581.16</v>
          </cell>
        </row>
        <row r="248">
          <cell r="B248" t="str">
            <v>883100</v>
          </cell>
          <cell r="C248">
            <v>-123875.09</v>
          </cell>
          <cell r="D248">
            <v>-123875.09</v>
          </cell>
        </row>
        <row r="249">
          <cell r="C249">
            <v>-5426442.8099999996</v>
          </cell>
          <cell r="D249">
            <v>49326.86</v>
          </cell>
          <cell r="E249">
            <v>-5475769.6699999999</v>
          </cell>
        </row>
        <row r="250">
          <cell r="B250" t="str">
            <v>870190</v>
          </cell>
          <cell r="C250">
            <v>0</v>
          </cell>
          <cell r="E250">
            <v>0</v>
          </cell>
        </row>
        <row r="251">
          <cell r="B251" t="str">
            <v>870230</v>
          </cell>
          <cell r="C251">
            <v>0</v>
          </cell>
          <cell r="E251">
            <v>0</v>
          </cell>
        </row>
        <row r="252">
          <cell r="B252" t="str">
            <v>870450</v>
          </cell>
          <cell r="C252">
            <v>22521.94</v>
          </cell>
          <cell r="D252">
            <v>49326.94</v>
          </cell>
          <cell r="E252">
            <v>-26805</v>
          </cell>
        </row>
        <row r="253">
          <cell r="B253" t="str">
            <v>884300</v>
          </cell>
          <cell r="C253">
            <v>-0.08</v>
          </cell>
          <cell r="D253">
            <v>-0.08</v>
          </cell>
        </row>
        <row r="254">
          <cell r="B254" t="str">
            <v>885400</v>
          </cell>
          <cell r="C254">
            <v>0</v>
          </cell>
          <cell r="E254">
            <v>0</v>
          </cell>
        </row>
        <row r="255">
          <cell r="B255" t="str">
            <v>885600</v>
          </cell>
        </row>
        <row r="256">
          <cell r="B256" t="str">
            <v>888100</v>
          </cell>
          <cell r="C256">
            <v>-5790204.5499999998</v>
          </cell>
          <cell r="E256">
            <v>-5790204.5499999998</v>
          </cell>
        </row>
        <row r="257">
          <cell r="B257" t="str">
            <v>890100</v>
          </cell>
          <cell r="C257">
            <v>-1040382.35</v>
          </cell>
          <cell r="E257">
            <v>-1040382.35</v>
          </cell>
        </row>
        <row r="258">
          <cell r="B258" t="str">
            <v>892200</v>
          </cell>
          <cell r="C258">
            <v>1381622.23</v>
          </cell>
          <cell r="E258">
            <v>1381622.23</v>
          </cell>
        </row>
        <row r="261">
          <cell r="B261" t="str">
            <v>800200</v>
          </cell>
        </row>
        <row r="262">
          <cell r="C262">
            <v>0</v>
          </cell>
          <cell r="E262">
            <v>0</v>
          </cell>
        </row>
        <row r="263">
          <cell r="B263" t="str">
            <v>884200</v>
          </cell>
          <cell r="C263">
            <v>0</v>
          </cell>
          <cell r="E263">
            <v>0</v>
          </cell>
        </row>
        <row r="264">
          <cell r="C264">
            <v>153179306.22</v>
          </cell>
          <cell r="D264">
            <v>147383685.18000001</v>
          </cell>
          <cell r="E264">
            <v>2340186.6</v>
          </cell>
          <cell r="F264">
            <v>3455434.44</v>
          </cell>
        </row>
        <row r="265">
          <cell r="C265">
            <v>78092538.299999997</v>
          </cell>
          <cell r="D265">
            <v>76965022.760000005</v>
          </cell>
          <cell r="E265">
            <v>531766.16</v>
          </cell>
          <cell r="F265">
            <v>595749.38</v>
          </cell>
        </row>
        <row r="266">
          <cell r="C266">
            <v>586012.65</v>
          </cell>
          <cell r="D266">
            <v>579653.65</v>
          </cell>
          <cell r="F266">
            <v>6359</v>
          </cell>
        </row>
        <row r="267">
          <cell r="B267" t="str">
            <v>404900</v>
          </cell>
          <cell r="C267">
            <v>490733.81</v>
          </cell>
          <cell r="D267">
            <v>484374.81</v>
          </cell>
          <cell r="F267">
            <v>6359</v>
          </cell>
        </row>
        <row r="268">
          <cell r="B268" t="str">
            <v>405100</v>
          </cell>
          <cell r="C268">
            <v>42840.17</v>
          </cell>
          <cell r="D268">
            <v>42840.17</v>
          </cell>
        </row>
        <row r="269">
          <cell r="B269" t="str">
            <v>493340</v>
          </cell>
          <cell r="C269">
            <v>52438.67</v>
          </cell>
          <cell r="D269">
            <v>52438.67</v>
          </cell>
        </row>
        <row r="270">
          <cell r="C270">
            <v>77506525.650000006</v>
          </cell>
          <cell r="D270">
            <v>76385369.109999999</v>
          </cell>
          <cell r="E270">
            <v>531766.16</v>
          </cell>
          <cell r="F270">
            <v>589390.38</v>
          </cell>
        </row>
        <row r="271">
          <cell r="C271">
            <v>59829938.700000003</v>
          </cell>
          <cell r="D271">
            <v>59017852.950000003</v>
          </cell>
          <cell r="E271">
            <v>371329.57</v>
          </cell>
          <cell r="F271">
            <v>440756.18</v>
          </cell>
        </row>
        <row r="272">
          <cell r="C272">
            <v>54853471.130000003</v>
          </cell>
          <cell r="D272">
            <v>54108094.450000003</v>
          </cell>
          <cell r="E272">
            <v>337570.89</v>
          </cell>
          <cell r="F272">
            <v>407805.79</v>
          </cell>
        </row>
        <row r="273">
          <cell r="B273" t="str">
            <v>401300</v>
          </cell>
          <cell r="C273">
            <v>3131668.2</v>
          </cell>
          <cell r="D273">
            <v>3112694.2</v>
          </cell>
          <cell r="E273">
            <v>6523</v>
          </cell>
          <cell r="F273">
            <v>12451</v>
          </cell>
        </row>
        <row r="274">
          <cell r="B274" t="str">
            <v>401500</v>
          </cell>
          <cell r="C274">
            <v>44054499.600000001</v>
          </cell>
          <cell r="D274">
            <v>43497065.68</v>
          </cell>
          <cell r="E274">
            <v>300078.43</v>
          </cell>
          <cell r="F274">
            <v>257355.49</v>
          </cell>
        </row>
        <row r="275">
          <cell r="B275" t="str">
            <v>401600</v>
          </cell>
          <cell r="C275">
            <v>139842.26999999999</v>
          </cell>
          <cell r="D275">
            <v>-33077.730000000003</v>
          </cell>
          <cell r="F275">
            <v>172920</v>
          </cell>
        </row>
        <row r="276">
          <cell r="B276" t="str">
            <v>401900</v>
          </cell>
          <cell r="C276">
            <v>993999.38</v>
          </cell>
          <cell r="D276">
            <v>929864.38</v>
          </cell>
          <cell r="E276">
            <v>23230</v>
          </cell>
          <cell r="F276">
            <v>40905</v>
          </cell>
        </row>
        <row r="277">
          <cell r="B277" t="str">
            <v>402000</v>
          </cell>
        </row>
        <row r="278">
          <cell r="B278" t="str">
            <v>402200</v>
          </cell>
          <cell r="C278">
            <v>2892675.27</v>
          </cell>
          <cell r="D278">
            <v>2890195.13</v>
          </cell>
          <cell r="F278">
            <v>2480.14</v>
          </cell>
        </row>
        <row r="279">
          <cell r="B279" t="str">
            <v>403100</v>
          </cell>
          <cell r="C279">
            <v>1263803.55</v>
          </cell>
          <cell r="D279">
            <v>1259101.05</v>
          </cell>
          <cell r="E279">
            <v>4702.5</v>
          </cell>
        </row>
        <row r="280">
          <cell r="B280" t="str">
            <v>406100</v>
          </cell>
          <cell r="C280">
            <v>2376982.86</v>
          </cell>
          <cell r="D280">
            <v>2452251.7400000002</v>
          </cell>
          <cell r="E280">
            <v>3036.96</v>
          </cell>
          <cell r="F280">
            <v>-78305.84</v>
          </cell>
        </row>
        <row r="281">
          <cell r="C281">
            <v>4976467.57</v>
          </cell>
          <cell r="D281">
            <v>4909758.5</v>
          </cell>
          <cell r="E281">
            <v>33758.68</v>
          </cell>
          <cell r="F281">
            <v>32950.39</v>
          </cell>
        </row>
        <row r="282">
          <cell r="B282" t="str">
            <v>401000</v>
          </cell>
          <cell r="C282">
            <v>10590.4</v>
          </cell>
          <cell r="D282">
            <v>10590.4</v>
          </cell>
        </row>
        <row r="283">
          <cell r="B283" t="str">
            <v>403500</v>
          </cell>
          <cell r="C283">
            <v>4965877.17</v>
          </cell>
          <cell r="D283">
            <v>4899168.0999999996</v>
          </cell>
          <cell r="E283">
            <v>33758.68</v>
          </cell>
          <cell r="F283">
            <v>32950.39</v>
          </cell>
        </row>
        <row r="284">
          <cell r="B284" t="str">
            <v>403700</v>
          </cell>
        </row>
        <row r="285">
          <cell r="C285">
            <v>3099500</v>
          </cell>
          <cell r="D285">
            <v>2886000</v>
          </cell>
          <cell r="E285">
            <v>113500</v>
          </cell>
          <cell r="F285">
            <v>100000</v>
          </cell>
        </row>
        <row r="286">
          <cell r="C286">
            <v>3099500</v>
          </cell>
          <cell r="D286">
            <v>2886000</v>
          </cell>
          <cell r="E286">
            <v>113500</v>
          </cell>
          <cell r="F286">
            <v>100000</v>
          </cell>
        </row>
        <row r="287">
          <cell r="B287" t="str">
            <v>406500</v>
          </cell>
          <cell r="C287">
            <v>3099500</v>
          </cell>
          <cell r="D287">
            <v>2886000</v>
          </cell>
          <cell r="E287">
            <v>113500</v>
          </cell>
          <cell r="F287">
            <v>100000</v>
          </cell>
        </row>
        <row r="288">
          <cell r="C288">
            <v>14577086.949999999</v>
          </cell>
          <cell r="D288">
            <v>14481516.16</v>
          </cell>
          <cell r="E288">
            <v>46936.59</v>
          </cell>
          <cell r="F288">
            <v>48634.2</v>
          </cell>
        </row>
        <row r="289">
          <cell r="B289" t="str">
            <v>400005</v>
          </cell>
          <cell r="C289">
            <v>3025629.37</v>
          </cell>
          <cell r="D289">
            <v>3025629.37</v>
          </cell>
        </row>
        <row r="290">
          <cell r="B290" t="str">
            <v>400500</v>
          </cell>
          <cell r="C290">
            <v>18839.25</v>
          </cell>
          <cell r="D290">
            <v>18839.25</v>
          </cell>
        </row>
        <row r="291">
          <cell r="B291" t="str">
            <v>400700</v>
          </cell>
          <cell r="C291">
            <v>1141268.49</v>
          </cell>
          <cell r="D291">
            <v>1141268.49</v>
          </cell>
        </row>
        <row r="292">
          <cell r="B292" t="str">
            <v>400900</v>
          </cell>
        </row>
        <row r="293">
          <cell r="B293" t="str">
            <v>402600</v>
          </cell>
          <cell r="C293">
            <v>1605256.32</v>
          </cell>
          <cell r="D293">
            <v>1582068.82</v>
          </cell>
          <cell r="E293">
            <v>11520.85</v>
          </cell>
          <cell r="F293">
            <v>11666.65</v>
          </cell>
        </row>
        <row r="294">
          <cell r="B294" t="str">
            <v>402700</v>
          </cell>
          <cell r="C294">
            <v>175700.22</v>
          </cell>
          <cell r="D294">
            <v>171585.22</v>
          </cell>
          <cell r="F294">
            <v>4115</v>
          </cell>
        </row>
        <row r="295">
          <cell r="B295" t="str">
            <v>402900</v>
          </cell>
          <cell r="C295">
            <v>175019.02</v>
          </cell>
          <cell r="D295">
            <v>154547.23000000001</v>
          </cell>
          <cell r="F295">
            <v>20471.79</v>
          </cell>
        </row>
        <row r="296">
          <cell r="B296" t="str">
            <v>403900</v>
          </cell>
          <cell r="C296">
            <v>1714986.19</v>
          </cell>
          <cell r="D296">
            <v>1714986.19</v>
          </cell>
        </row>
        <row r="297">
          <cell r="B297" t="str">
            <v>404100</v>
          </cell>
          <cell r="C297">
            <v>144448.37</v>
          </cell>
          <cell r="D297">
            <v>143232.03</v>
          </cell>
          <cell r="E297">
            <v>859.94</v>
          </cell>
          <cell r="F297">
            <v>356.4</v>
          </cell>
        </row>
        <row r="298">
          <cell r="B298" t="str">
            <v>404300</v>
          </cell>
          <cell r="C298">
            <v>5172526.47</v>
          </cell>
          <cell r="D298">
            <v>5135225.91</v>
          </cell>
          <cell r="E298">
            <v>25276.2</v>
          </cell>
          <cell r="F298">
            <v>12024.36</v>
          </cell>
        </row>
        <row r="299">
          <cell r="B299" t="str">
            <v>404500</v>
          </cell>
          <cell r="C299">
            <v>1043577.46</v>
          </cell>
          <cell r="D299">
            <v>1034297.86</v>
          </cell>
          <cell r="E299">
            <v>9279.6</v>
          </cell>
        </row>
        <row r="300">
          <cell r="B300" t="str">
            <v>406700</v>
          </cell>
          <cell r="C300">
            <v>0</v>
          </cell>
          <cell r="D300">
            <v>0</v>
          </cell>
        </row>
        <row r="301">
          <cell r="B301" t="str">
            <v>492220</v>
          </cell>
          <cell r="C301">
            <v>359835.79</v>
          </cell>
          <cell r="D301">
            <v>359835.79</v>
          </cell>
        </row>
        <row r="302">
          <cell r="C302">
            <v>75086767.920000002</v>
          </cell>
          <cell r="D302">
            <v>70418662.420000002</v>
          </cell>
          <cell r="E302">
            <v>1808420.44</v>
          </cell>
          <cell r="F302">
            <v>2859685.06</v>
          </cell>
        </row>
        <row r="303">
          <cell r="C303">
            <v>12647702.9</v>
          </cell>
          <cell r="D303">
            <v>12463375.800000001</v>
          </cell>
          <cell r="F303">
            <v>184327.1</v>
          </cell>
        </row>
        <row r="304">
          <cell r="C304">
            <v>8353007.8300000001</v>
          </cell>
          <cell r="D304">
            <v>8188389.1900000004</v>
          </cell>
          <cell r="F304">
            <v>164618.64000000001</v>
          </cell>
        </row>
        <row r="305">
          <cell r="B305" t="str">
            <v>424500</v>
          </cell>
          <cell r="C305">
            <v>8353007.8300000001</v>
          </cell>
          <cell r="D305">
            <v>8188389.1900000004</v>
          </cell>
          <cell r="F305">
            <v>164618.64000000001</v>
          </cell>
        </row>
        <row r="306">
          <cell r="C306">
            <v>4352130.8899999997</v>
          </cell>
          <cell r="D306">
            <v>4332422.43</v>
          </cell>
          <cell r="F306">
            <v>19708.46</v>
          </cell>
        </row>
        <row r="307">
          <cell r="B307" t="str">
            <v>420100</v>
          </cell>
        </row>
        <row r="308">
          <cell r="B308" t="str">
            <v>423800</v>
          </cell>
          <cell r="C308">
            <v>900081.11</v>
          </cell>
          <cell r="D308">
            <v>899726.86</v>
          </cell>
          <cell r="F308">
            <v>354.25</v>
          </cell>
        </row>
        <row r="309">
          <cell r="B309" t="str">
            <v>423900</v>
          </cell>
          <cell r="C309">
            <v>149985.25</v>
          </cell>
          <cell r="D309">
            <v>149985.25</v>
          </cell>
        </row>
        <row r="310">
          <cell r="B310" t="str">
            <v>424000</v>
          </cell>
          <cell r="C310">
            <v>184902.97</v>
          </cell>
          <cell r="D310">
            <v>184902.97</v>
          </cell>
        </row>
        <row r="311">
          <cell r="B311" t="str">
            <v>424100</v>
          </cell>
          <cell r="C311">
            <v>262739.08</v>
          </cell>
          <cell r="D311">
            <v>262739.08</v>
          </cell>
        </row>
        <row r="312">
          <cell r="B312" t="str">
            <v>425100</v>
          </cell>
          <cell r="C312">
            <v>1859951.2</v>
          </cell>
          <cell r="D312">
            <v>1840596.99</v>
          </cell>
          <cell r="F312">
            <v>19354.21</v>
          </cell>
        </row>
        <row r="313">
          <cell r="B313" t="str">
            <v>426800</v>
          </cell>
          <cell r="C313">
            <v>339.13</v>
          </cell>
          <cell r="D313">
            <v>339.13</v>
          </cell>
        </row>
        <row r="314">
          <cell r="B314" t="str">
            <v>441100</v>
          </cell>
        </row>
        <row r="315">
          <cell r="B315" t="str">
            <v>490830</v>
          </cell>
          <cell r="C315">
            <v>2295</v>
          </cell>
          <cell r="D315">
            <v>2295</v>
          </cell>
        </row>
        <row r="316">
          <cell r="B316" t="str">
            <v>491640</v>
          </cell>
          <cell r="C316">
            <v>113069.38</v>
          </cell>
          <cell r="D316">
            <v>113069.38</v>
          </cell>
        </row>
        <row r="317">
          <cell r="B317" t="str">
            <v>491660</v>
          </cell>
          <cell r="C317">
            <v>78045.570000000007</v>
          </cell>
          <cell r="D317">
            <v>78045.570000000007</v>
          </cell>
        </row>
        <row r="318">
          <cell r="B318" t="str">
            <v>492260</v>
          </cell>
          <cell r="C318">
            <v>326455.42</v>
          </cell>
          <cell r="D318">
            <v>326455.42</v>
          </cell>
        </row>
        <row r="319">
          <cell r="B319" t="str">
            <v>492280</v>
          </cell>
          <cell r="C319">
            <v>44207.67</v>
          </cell>
          <cell r="D319">
            <v>44207.67</v>
          </cell>
        </row>
        <row r="320">
          <cell r="B320" t="str">
            <v>492940</v>
          </cell>
          <cell r="C320">
            <v>430059.11</v>
          </cell>
          <cell r="D320">
            <v>430059.11</v>
          </cell>
        </row>
        <row r="323">
          <cell r="B323" t="str">
            <v>421900</v>
          </cell>
        </row>
        <row r="325">
          <cell r="B325" t="str">
            <v>426300</v>
          </cell>
        </row>
        <row r="326">
          <cell r="C326">
            <v>-57435.82</v>
          </cell>
          <cell r="D326">
            <v>-57435.82</v>
          </cell>
        </row>
        <row r="327">
          <cell r="B327" t="str">
            <v>490105</v>
          </cell>
          <cell r="C327">
            <v>-57435.82</v>
          </cell>
          <cell r="D327">
            <v>-57435.82</v>
          </cell>
        </row>
        <row r="328">
          <cell r="C328">
            <v>10538184.359999999</v>
          </cell>
          <cell r="D328">
            <v>10517483.73</v>
          </cell>
          <cell r="F328">
            <v>20700.63</v>
          </cell>
        </row>
        <row r="329">
          <cell r="C329">
            <v>948391.82</v>
          </cell>
          <cell r="D329">
            <v>948391.82</v>
          </cell>
        </row>
        <row r="330">
          <cell r="B330" t="str">
            <v>440500</v>
          </cell>
        </row>
        <row r="331">
          <cell r="B331" t="str">
            <v>441640</v>
          </cell>
          <cell r="C331">
            <v>948391.82</v>
          </cell>
          <cell r="D331">
            <v>948391.82</v>
          </cell>
        </row>
        <row r="332">
          <cell r="C332">
            <v>240182.97</v>
          </cell>
          <cell r="D332">
            <v>240182.97</v>
          </cell>
        </row>
        <row r="333">
          <cell r="B333" t="str">
            <v>440340</v>
          </cell>
          <cell r="C333">
            <v>508.33</v>
          </cell>
          <cell r="D333">
            <v>508.33</v>
          </cell>
        </row>
        <row r="334">
          <cell r="B334" t="str">
            <v>441200</v>
          </cell>
          <cell r="C334">
            <v>239674.64</v>
          </cell>
          <cell r="D334">
            <v>239674.64</v>
          </cell>
        </row>
        <row r="335">
          <cell r="C335">
            <v>5132063.09</v>
          </cell>
          <cell r="D335">
            <v>5121091.41</v>
          </cell>
          <cell r="F335">
            <v>10971.68</v>
          </cell>
        </row>
        <row r="336">
          <cell r="B336" t="str">
            <v>440220</v>
          </cell>
          <cell r="C336">
            <v>2059995.2</v>
          </cell>
          <cell r="D336">
            <v>2059995.2</v>
          </cell>
        </row>
        <row r="337">
          <cell r="B337" t="str">
            <v>440640</v>
          </cell>
          <cell r="C337">
            <v>1529724.29</v>
          </cell>
          <cell r="D337">
            <v>1529724.29</v>
          </cell>
        </row>
        <row r="338">
          <cell r="B338" t="str">
            <v>440800</v>
          </cell>
          <cell r="C338">
            <v>1542343.6</v>
          </cell>
          <cell r="D338">
            <v>1531371.92</v>
          </cell>
          <cell r="F338">
            <v>10971.68</v>
          </cell>
        </row>
        <row r="339">
          <cell r="C339">
            <v>3130671.71</v>
          </cell>
          <cell r="D339">
            <v>3130671.71</v>
          </cell>
        </row>
        <row r="340">
          <cell r="B340" t="str">
            <v>440660</v>
          </cell>
          <cell r="C340">
            <v>2649949.84</v>
          </cell>
          <cell r="D340">
            <v>2649949.84</v>
          </cell>
        </row>
        <row r="341">
          <cell r="B341" t="str">
            <v>440700</v>
          </cell>
          <cell r="C341">
            <v>480721.87</v>
          </cell>
          <cell r="D341">
            <v>480721.87</v>
          </cell>
        </row>
        <row r="342">
          <cell r="C342">
            <v>307380.53999999998</v>
          </cell>
          <cell r="D342">
            <v>306648.39</v>
          </cell>
          <cell r="F342">
            <v>732.15</v>
          </cell>
        </row>
        <row r="343">
          <cell r="B343" t="str">
            <v>440780</v>
          </cell>
          <cell r="C343">
            <v>307380.53999999998</v>
          </cell>
          <cell r="D343">
            <v>306648.39</v>
          </cell>
          <cell r="F343">
            <v>732.15</v>
          </cell>
        </row>
        <row r="344">
          <cell r="C344">
            <v>1417414.25</v>
          </cell>
          <cell r="D344">
            <v>1408417.45</v>
          </cell>
          <cell r="F344">
            <v>8996.7999999999993</v>
          </cell>
        </row>
        <row r="345">
          <cell r="B345" t="str">
            <v>440620</v>
          </cell>
          <cell r="C345">
            <v>301743.28999999998</v>
          </cell>
          <cell r="D345">
            <v>301518.68</v>
          </cell>
          <cell r="F345">
            <v>224.61</v>
          </cell>
        </row>
        <row r="346">
          <cell r="B346" t="str">
            <v>440440</v>
          </cell>
          <cell r="C346">
            <v>613968.15</v>
          </cell>
          <cell r="D346">
            <v>605195.96</v>
          </cell>
          <cell r="F346">
            <v>8772.19</v>
          </cell>
        </row>
        <row r="347">
          <cell r="B347" t="str">
            <v>440860</v>
          </cell>
          <cell r="C347">
            <v>316240.65000000002</v>
          </cell>
          <cell r="D347">
            <v>316240.65000000002</v>
          </cell>
        </row>
        <row r="348">
          <cell r="B348" t="str">
            <v>440880</v>
          </cell>
          <cell r="C348">
            <v>143320.39000000001</v>
          </cell>
          <cell r="D348">
            <v>143320.39000000001</v>
          </cell>
        </row>
        <row r="349">
          <cell r="B349" t="str">
            <v>440920</v>
          </cell>
          <cell r="C349">
            <v>33588.35</v>
          </cell>
          <cell r="D349">
            <v>33588.35</v>
          </cell>
        </row>
        <row r="350">
          <cell r="B350" t="str">
            <v>440980</v>
          </cell>
          <cell r="C350">
            <v>8553.42</v>
          </cell>
          <cell r="D350">
            <v>8553.42</v>
          </cell>
        </row>
        <row r="351">
          <cell r="B351" t="str">
            <v>441120</v>
          </cell>
        </row>
        <row r="352">
          <cell r="C352">
            <v>-637920.02</v>
          </cell>
          <cell r="D352">
            <v>-637920.02</v>
          </cell>
        </row>
        <row r="353">
          <cell r="B353" t="str">
            <v>441050</v>
          </cell>
          <cell r="C353">
            <v>22155.66</v>
          </cell>
          <cell r="D353">
            <v>22155.66</v>
          </cell>
        </row>
        <row r="354">
          <cell r="B354" t="str">
            <v>441055</v>
          </cell>
          <cell r="C354">
            <v>1695263.32</v>
          </cell>
          <cell r="D354">
            <v>1695263.32</v>
          </cell>
        </row>
        <row r="355">
          <cell r="B355" t="str">
            <v>441060</v>
          </cell>
          <cell r="C355">
            <v>-452217.13</v>
          </cell>
          <cell r="D355">
            <v>-452217.13</v>
          </cell>
        </row>
        <row r="356">
          <cell r="B356" t="str">
            <v>441065</v>
          </cell>
          <cell r="C356">
            <v>-1955263.32</v>
          </cell>
          <cell r="D356">
            <v>-1955263.32</v>
          </cell>
        </row>
        <row r="357">
          <cell r="B357" t="str">
            <v>451000</v>
          </cell>
          <cell r="C357">
            <v>52141.45</v>
          </cell>
          <cell r="D357">
            <v>52141.45</v>
          </cell>
        </row>
        <row r="358">
          <cell r="C358">
            <v>17133126.149999999</v>
          </cell>
          <cell r="D358">
            <v>13979386.59</v>
          </cell>
          <cell r="E358">
            <v>866789.98</v>
          </cell>
          <cell r="F358">
            <v>2286949.58</v>
          </cell>
        </row>
        <row r="359">
          <cell r="C359">
            <v>16636.05</v>
          </cell>
          <cell r="D359">
            <v>16636.05</v>
          </cell>
        </row>
        <row r="360">
          <cell r="B360" t="str">
            <v>450900</v>
          </cell>
          <cell r="C360">
            <v>6850.55</v>
          </cell>
          <cell r="D360">
            <v>6850.55</v>
          </cell>
        </row>
        <row r="361">
          <cell r="B361" t="str">
            <v>451400</v>
          </cell>
          <cell r="C361">
            <v>9785.5</v>
          </cell>
          <cell r="D361">
            <v>9785.5</v>
          </cell>
        </row>
        <row r="362">
          <cell r="C362">
            <v>3795889.25</v>
          </cell>
          <cell r="D362">
            <v>686969.69</v>
          </cell>
          <cell r="E362">
            <v>831969.98</v>
          </cell>
          <cell r="F362">
            <v>2276949.58</v>
          </cell>
        </row>
        <row r="363">
          <cell r="B363" t="str">
            <v>450500</v>
          </cell>
          <cell r="C363">
            <v>141211.98000000001</v>
          </cell>
          <cell r="D363">
            <v>141211.98000000001</v>
          </cell>
        </row>
        <row r="364">
          <cell r="B364" t="str">
            <v>450700</v>
          </cell>
          <cell r="C364">
            <v>2499.7399999999998</v>
          </cell>
          <cell r="D364">
            <v>2499.7399999999998</v>
          </cell>
        </row>
        <row r="365">
          <cell r="B365" t="str">
            <v>450800</v>
          </cell>
          <cell r="C365">
            <v>53813.42</v>
          </cell>
          <cell r="D365">
            <v>53813.42</v>
          </cell>
        </row>
        <row r="366">
          <cell r="B366" t="str">
            <v>451200</v>
          </cell>
          <cell r="C366">
            <v>3598364.11</v>
          </cell>
          <cell r="D366">
            <v>489444.55</v>
          </cell>
          <cell r="E366">
            <v>831969.98</v>
          </cell>
          <cell r="F366">
            <v>2276949.58</v>
          </cell>
        </row>
        <row r="367">
          <cell r="C367">
            <v>12722965.5</v>
          </cell>
          <cell r="D367">
            <v>12722965.5</v>
          </cell>
        </row>
        <row r="368">
          <cell r="B368" t="str">
            <v>490190</v>
          </cell>
          <cell r="C368">
            <v>12722965.5</v>
          </cell>
          <cell r="D368">
            <v>12722965.5</v>
          </cell>
        </row>
        <row r="369">
          <cell r="C369">
            <v>597635.35</v>
          </cell>
          <cell r="D369">
            <v>552815.35</v>
          </cell>
          <cell r="E369">
            <v>34820</v>
          </cell>
          <cell r="F369">
            <v>10000</v>
          </cell>
        </row>
        <row r="370">
          <cell r="C370">
            <v>597635.35</v>
          </cell>
          <cell r="D370">
            <v>552815.35</v>
          </cell>
          <cell r="E370">
            <v>34820</v>
          </cell>
          <cell r="F370">
            <v>10000</v>
          </cell>
        </row>
        <row r="371">
          <cell r="B371" t="str">
            <v>451800</v>
          </cell>
          <cell r="C371">
            <v>597635.35</v>
          </cell>
          <cell r="D371">
            <v>552815.35</v>
          </cell>
          <cell r="E371">
            <v>34820</v>
          </cell>
          <cell r="F371">
            <v>10000</v>
          </cell>
        </row>
        <row r="372">
          <cell r="C372">
            <v>511470.97</v>
          </cell>
          <cell r="D372">
            <v>496663.76</v>
          </cell>
          <cell r="E372">
            <v>5000</v>
          </cell>
          <cell r="F372">
            <v>9807.2099999999991</v>
          </cell>
        </row>
        <row r="373">
          <cell r="C373">
            <v>511470.97</v>
          </cell>
          <cell r="D373">
            <v>496663.76</v>
          </cell>
          <cell r="E373">
            <v>5000</v>
          </cell>
          <cell r="F373">
            <v>9807.2099999999991</v>
          </cell>
        </row>
        <row r="374">
          <cell r="B374" t="str">
            <v>491810</v>
          </cell>
          <cell r="C374">
            <v>101694.67</v>
          </cell>
          <cell r="D374">
            <v>101694.67</v>
          </cell>
        </row>
        <row r="375">
          <cell r="B375" t="str">
            <v>493060</v>
          </cell>
          <cell r="C375">
            <v>250351.96</v>
          </cell>
          <cell r="D375">
            <v>235544.75</v>
          </cell>
          <cell r="E375">
            <v>5000</v>
          </cell>
          <cell r="F375">
            <v>9807.2099999999991</v>
          </cell>
        </row>
        <row r="376">
          <cell r="B376" t="str">
            <v>493100</v>
          </cell>
          <cell r="C376">
            <v>159424.34</v>
          </cell>
          <cell r="D376">
            <v>159424.34</v>
          </cell>
        </row>
        <row r="377">
          <cell r="C377">
            <v>1425811.22</v>
          </cell>
          <cell r="D377">
            <v>1373010.07</v>
          </cell>
          <cell r="F377">
            <v>52801.15</v>
          </cell>
        </row>
        <row r="378">
          <cell r="C378">
            <v>1425811.22</v>
          </cell>
          <cell r="D378">
            <v>1373010.07</v>
          </cell>
          <cell r="F378">
            <v>52801.15</v>
          </cell>
        </row>
        <row r="379">
          <cell r="B379" t="str">
            <v>491560</v>
          </cell>
        </row>
        <row r="380">
          <cell r="B380" t="str">
            <v>491800</v>
          </cell>
          <cell r="C380">
            <v>61556</v>
          </cell>
          <cell r="D380">
            <v>61556</v>
          </cell>
        </row>
        <row r="381">
          <cell r="B381" t="str">
            <v>493200</v>
          </cell>
          <cell r="C381">
            <v>46.66</v>
          </cell>
          <cell r="D381">
            <v>46.66</v>
          </cell>
        </row>
        <row r="382">
          <cell r="B382" t="str">
            <v>493220</v>
          </cell>
          <cell r="C382">
            <v>875046.76</v>
          </cell>
          <cell r="D382">
            <v>875046.76</v>
          </cell>
        </row>
        <row r="383">
          <cell r="B383" t="str">
            <v>493260</v>
          </cell>
          <cell r="C383">
            <v>57639.65</v>
          </cell>
          <cell r="D383">
            <v>4838.5</v>
          </cell>
          <cell r="F383">
            <v>52801.15</v>
          </cell>
        </row>
        <row r="384">
          <cell r="B384" t="str">
            <v>493280</v>
          </cell>
          <cell r="C384">
            <v>431522.15</v>
          </cell>
          <cell r="D384">
            <v>431522.15</v>
          </cell>
        </row>
        <row r="385">
          <cell r="C385">
            <v>4713209.7</v>
          </cell>
          <cell r="D385">
            <v>4032894.32</v>
          </cell>
          <cell r="E385">
            <v>675370.15</v>
          </cell>
          <cell r="F385">
            <v>4945.2299999999996</v>
          </cell>
        </row>
        <row r="386">
          <cell r="C386">
            <v>4713209.7</v>
          </cell>
          <cell r="D386">
            <v>4032894.32</v>
          </cell>
          <cell r="E386">
            <v>675370.15</v>
          </cell>
          <cell r="F386">
            <v>4945.2299999999996</v>
          </cell>
        </row>
        <row r="387">
          <cell r="B387" t="str">
            <v>450300</v>
          </cell>
          <cell r="C387">
            <v>110608.76</v>
          </cell>
          <cell r="E387">
            <v>105663.53</v>
          </cell>
          <cell r="F387">
            <v>4945.2299999999996</v>
          </cell>
        </row>
        <row r="388">
          <cell r="B388" t="str">
            <v>490030</v>
          </cell>
          <cell r="C388">
            <v>2254387.4</v>
          </cell>
          <cell r="D388">
            <v>2237044.9</v>
          </cell>
          <cell r="E388">
            <v>17342.5</v>
          </cell>
        </row>
        <row r="389">
          <cell r="B389" t="str">
            <v>490520</v>
          </cell>
          <cell r="C389">
            <v>2348213.54</v>
          </cell>
          <cell r="D389">
            <v>1795849.42</v>
          </cell>
          <cell r="E389">
            <v>552364.12</v>
          </cell>
        </row>
        <row r="390">
          <cell r="C390">
            <v>0</v>
          </cell>
          <cell r="D390">
            <v>0</v>
          </cell>
        </row>
        <row r="391">
          <cell r="B391" t="str">
            <v>829100</v>
          </cell>
          <cell r="C391">
            <v>0</v>
          </cell>
          <cell r="D391">
            <v>0</v>
          </cell>
        </row>
        <row r="392">
          <cell r="C392">
            <v>1241023.24</v>
          </cell>
          <cell r="D392">
            <v>1241023.24</v>
          </cell>
        </row>
        <row r="393">
          <cell r="C393">
            <v>1241023.24</v>
          </cell>
          <cell r="D393">
            <v>1241023.24</v>
          </cell>
        </row>
        <row r="394">
          <cell r="B394" t="str">
            <v>492740</v>
          </cell>
          <cell r="C394">
            <v>24127.65</v>
          </cell>
          <cell r="D394">
            <v>24127.65</v>
          </cell>
        </row>
        <row r="395">
          <cell r="B395" t="str">
            <v>492760</v>
          </cell>
        </row>
        <row r="396">
          <cell r="B396" t="str">
            <v>492840</v>
          </cell>
          <cell r="C396">
            <v>1216895.5900000001</v>
          </cell>
          <cell r="D396">
            <v>1216895.5900000001</v>
          </cell>
        </row>
        <row r="397">
          <cell r="B397" t="str">
            <v>492860</v>
          </cell>
        </row>
        <row r="398">
          <cell r="C398">
            <v>9289068.0399999991</v>
          </cell>
          <cell r="D398">
            <v>9269275.0800000001</v>
          </cell>
          <cell r="F398">
            <v>19792.96</v>
          </cell>
        </row>
        <row r="399">
          <cell r="C399">
            <v>551236.28</v>
          </cell>
          <cell r="D399">
            <v>551236.28</v>
          </cell>
        </row>
        <row r="400">
          <cell r="B400" t="str">
            <v>455500</v>
          </cell>
          <cell r="C400">
            <v>551236.28</v>
          </cell>
          <cell r="D400">
            <v>551236.28</v>
          </cell>
        </row>
        <row r="401">
          <cell r="C401">
            <v>3475365.84</v>
          </cell>
          <cell r="D401">
            <v>3455572.88</v>
          </cell>
          <cell r="F401">
            <v>19792.96</v>
          </cell>
        </row>
        <row r="402">
          <cell r="B402" t="str">
            <v>456600</v>
          </cell>
          <cell r="C402">
            <v>996950.5</v>
          </cell>
          <cell r="D402">
            <v>996950.5</v>
          </cell>
        </row>
        <row r="403">
          <cell r="B403" t="str">
            <v>457000</v>
          </cell>
        </row>
        <row r="404">
          <cell r="B404" t="str">
            <v>457300</v>
          </cell>
          <cell r="C404">
            <v>15065.3</v>
          </cell>
          <cell r="D404">
            <v>978.3</v>
          </cell>
          <cell r="F404">
            <v>14087</v>
          </cell>
        </row>
        <row r="405">
          <cell r="B405" t="str">
            <v>490720</v>
          </cell>
          <cell r="C405">
            <v>1464330.82</v>
          </cell>
          <cell r="D405">
            <v>1463382.07</v>
          </cell>
          <cell r="F405">
            <v>948.75</v>
          </cell>
        </row>
        <row r="406">
          <cell r="B406" t="str">
            <v>490740</v>
          </cell>
          <cell r="C406">
            <v>998986.17</v>
          </cell>
          <cell r="D406">
            <v>994228.96</v>
          </cell>
          <cell r="F406">
            <v>4757.21</v>
          </cell>
        </row>
        <row r="407">
          <cell r="B407" t="str">
            <v>490760</v>
          </cell>
          <cell r="C407">
            <v>33.049999999999997</v>
          </cell>
          <cell r="D407">
            <v>33.049999999999997</v>
          </cell>
        </row>
        <row r="408">
          <cell r="C408">
            <v>5262465.92</v>
          </cell>
          <cell r="D408">
            <v>5262465.92</v>
          </cell>
        </row>
        <row r="409">
          <cell r="B409" t="str">
            <v>490195</v>
          </cell>
          <cell r="C409">
            <v>5262465.92</v>
          </cell>
          <cell r="D409">
            <v>5262465.92</v>
          </cell>
        </row>
        <row r="410">
          <cell r="C410">
            <v>4096254.12</v>
          </cell>
          <cell r="D410">
            <v>3998466.18</v>
          </cell>
          <cell r="E410">
            <v>46153.06</v>
          </cell>
          <cell r="F410">
            <v>51634.879999999997</v>
          </cell>
        </row>
        <row r="411">
          <cell r="C411">
            <v>4096254.12</v>
          </cell>
          <cell r="D411">
            <v>3998466.18</v>
          </cell>
          <cell r="E411">
            <v>46153.06</v>
          </cell>
          <cell r="F411">
            <v>51634.879999999997</v>
          </cell>
        </row>
        <row r="412">
          <cell r="B412" t="str">
            <v>460700</v>
          </cell>
          <cell r="C412">
            <v>631155.25</v>
          </cell>
          <cell r="D412">
            <v>581917.78</v>
          </cell>
          <cell r="E412">
            <v>46153.06</v>
          </cell>
          <cell r="F412">
            <v>3084.41</v>
          </cell>
        </row>
        <row r="413">
          <cell r="B413" t="str">
            <v>460800</v>
          </cell>
          <cell r="C413">
            <v>569717.67000000004</v>
          </cell>
          <cell r="D413">
            <v>568759.35</v>
          </cell>
          <cell r="F413">
            <v>958.32</v>
          </cell>
        </row>
        <row r="414">
          <cell r="B414" t="str">
            <v>460900</v>
          </cell>
          <cell r="C414">
            <v>3384164.16</v>
          </cell>
          <cell r="D414">
            <v>3335827.54</v>
          </cell>
          <cell r="F414">
            <v>48336.62</v>
          </cell>
        </row>
        <row r="415">
          <cell r="B415" t="str">
            <v>462200</v>
          </cell>
          <cell r="C415">
            <v>566648.43000000005</v>
          </cell>
          <cell r="D415">
            <v>566648.43000000005</v>
          </cell>
        </row>
        <row r="416">
          <cell r="B416" t="str">
            <v>462600</v>
          </cell>
          <cell r="C416">
            <v>-30593.19</v>
          </cell>
          <cell r="D416">
            <v>-30593.19</v>
          </cell>
        </row>
        <row r="417">
          <cell r="B417" t="str">
            <v>887600</v>
          </cell>
          <cell r="C417">
            <v>-1024838.2</v>
          </cell>
          <cell r="D417">
            <v>-1024093.73</v>
          </cell>
          <cell r="F417">
            <v>-744.47</v>
          </cell>
        </row>
        <row r="418">
          <cell r="C418">
            <v>1236349.79</v>
          </cell>
          <cell r="D418">
            <v>1133844.53</v>
          </cell>
          <cell r="F418">
            <v>102505.26</v>
          </cell>
        </row>
        <row r="419">
          <cell r="C419">
            <v>1236349.79</v>
          </cell>
          <cell r="D419">
            <v>1133844.53</v>
          </cell>
          <cell r="F419">
            <v>102505.26</v>
          </cell>
        </row>
        <row r="420">
          <cell r="B420" t="str">
            <v>465200</v>
          </cell>
        </row>
        <row r="421">
          <cell r="B421" t="str">
            <v>465400</v>
          </cell>
          <cell r="C421">
            <v>383976.72</v>
          </cell>
          <cell r="D421">
            <v>356480.8</v>
          </cell>
          <cell r="F421">
            <v>27495.919999999998</v>
          </cell>
        </row>
        <row r="422">
          <cell r="B422" t="str">
            <v>465500</v>
          </cell>
          <cell r="C422">
            <v>5668.74</v>
          </cell>
          <cell r="D422">
            <v>1686</v>
          </cell>
          <cell r="F422">
            <v>3982.74</v>
          </cell>
        </row>
        <row r="423">
          <cell r="B423" t="str">
            <v>466300</v>
          </cell>
          <cell r="C423">
            <v>601517.36</v>
          </cell>
          <cell r="D423">
            <v>586194.66</v>
          </cell>
          <cell r="F423">
            <v>15322.7</v>
          </cell>
        </row>
        <row r="424">
          <cell r="B424" t="str">
            <v>466400</v>
          </cell>
          <cell r="C424">
            <v>245186.97</v>
          </cell>
          <cell r="D424">
            <v>189483.07</v>
          </cell>
          <cell r="F424">
            <v>55703.9</v>
          </cell>
        </row>
        <row r="425">
          <cell r="B425" t="str">
            <v>466600</v>
          </cell>
        </row>
        <row r="426">
          <cell r="C426">
            <v>1995261.4</v>
          </cell>
          <cell r="D426">
            <v>1984130.8</v>
          </cell>
          <cell r="F426">
            <v>11130.6</v>
          </cell>
        </row>
        <row r="427">
          <cell r="C427">
            <v>1995261.4</v>
          </cell>
          <cell r="D427">
            <v>1984130.8</v>
          </cell>
          <cell r="F427">
            <v>11130.6</v>
          </cell>
        </row>
        <row r="428">
          <cell r="B428" t="str">
            <v>476200</v>
          </cell>
          <cell r="C428">
            <v>452733.18</v>
          </cell>
          <cell r="D428">
            <v>452733.18</v>
          </cell>
        </row>
        <row r="429">
          <cell r="B429" t="str">
            <v>476300</v>
          </cell>
          <cell r="C429">
            <v>2082650.12</v>
          </cell>
          <cell r="D429">
            <v>2076940.32</v>
          </cell>
          <cell r="F429">
            <v>5709.8</v>
          </cell>
        </row>
        <row r="430">
          <cell r="B430" t="str">
            <v>476500</v>
          </cell>
        </row>
        <row r="431">
          <cell r="B431" t="str">
            <v>476600</v>
          </cell>
          <cell r="C431">
            <v>32829.620000000003</v>
          </cell>
          <cell r="D431">
            <v>27408.82</v>
          </cell>
          <cell r="F431">
            <v>5420.8</v>
          </cell>
        </row>
        <row r="432">
          <cell r="B432" t="str">
            <v>477200</v>
          </cell>
          <cell r="C432">
            <v>-572951.52</v>
          </cell>
          <cell r="D432">
            <v>-572951.52</v>
          </cell>
        </row>
        <row r="433">
          <cell r="C433">
            <v>1628896.25</v>
          </cell>
          <cell r="D433">
            <v>1578119.66</v>
          </cell>
          <cell r="F433">
            <v>50776.59</v>
          </cell>
        </row>
        <row r="434">
          <cell r="C434">
            <v>1628896.25</v>
          </cell>
          <cell r="D434">
            <v>1578119.66</v>
          </cell>
          <cell r="F434">
            <v>50776.59</v>
          </cell>
        </row>
        <row r="435">
          <cell r="B435" t="str">
            <v>480100</v>
          </cell>
          <cell r="C435">
            <v>1060914.67</v>
          </cell>
          <cell r="D435">
            <v>1022683.03</v>
          </cell>
          <cell r="F435">
            <v>38231.64</v>
          </cell>
        </row>
        <row r="436">
          <cell r="B436" t="str">
            <v>480800</v>
          </cell>
          <cell r="C436">
            <v>12044.95</v>
          </cell>
          <cell r="F436">
            <v>12044.95</v>
          </cell>
        </row>
        <row r="437">
          <cell r="B437" t="str">
            <v>481200</v>
          </cell>
          <cell r="C437">
            <v>304794.12</v>
          </cell>
          <cell r="D437">
            <v>304794.12</v>
          </cell>
        </row>
        <row r="438">
          <cell r="B438" t="str">
            <v>481500</v>
          </cell>
          <cell r="C438">
            <v>250.12</v>
          </cell>
          <cell r="D438">
            <v>250.12</v>
          </cell>
        </row>
        <row r="439">
          <cell r="B439" t="str">
            <v>481700</v>
          </cell>
          <cell r="C439">
            <v>240340.56</v>
          </cell>
          <cell r="D439">
            <v>239840.56</v>
          </cell>
          <cell r="F439">
            <v>500</v>
          </cell>
        </row>
        <row r="440">
          <cell r="B440" t="str">
            <v>482700</v>
          </cell>
          <cell r="C440">
            <v>8633.9599999999991</v>
          </cell>
          <cell r="D440">
            <v>8633.9599999999991</v>
          </cell>
        </row>
        <row r="441">
          <cell r="B441" t="str">
            <v>483100</v>
          </cell>
        </row>
        <row r="442">
          <cell r="B442" t="str">
            <v>492960</v>
          </cell>
          <cell r="C442">
            <v>1917.87</v>
          </cell>
          <cell r="D442">
            <v>1917.87</v>
          </cell>
        </row>
        <row r="443">
          <cell r="C443">
            <v>2683463.92</v>
          </cell>
          <cell r="D443">
            <v>2688221.26</v>
          </cell>
          <cell r="E443">
            <v>-4757.34</v>
          </cell>
        </row>
        <row r="444">
          <cell r="C444">
            <v>91741.49</v>
          </cell>
          <cell r="D444">
            <v>96498.83</v>
          </cell>
          <cell r="E444">
            <v>-4757.34</v>
          </cell>
        </row>
        <row r="445">
          <cell r="B445" t="str">
            <v>485000</v>
          </cell>
          <cell r="C445">
            <v>152913.70000000001</v>
          </cell>
          <cell r="D445">
            <v>152913.70000000001</v>
          </cell>
        </row>
        <row r="446">
          <cell r="B446" t="str">
            <v>485800</v>
          </cell>
          <cell r="C446">
            <v>-52795</v>
          </cell>
          <cell r="D446">
            <v>-52795</v>
          </cell>
        </row>
        <row r="447">
          <cell r="B447" t="str">
            <v>485900</v>
          </cell>
          <cell r="C447">
            <v>0</v>
          </cell>
          <cell r="D447">
            <v>0</v>
          </cell>
        </row>
        <row r="448">
          <cell r="B448" t="str">
            <v>486000</v>
          </cell>
          <cell r="C448">
            <v>-20394.11</v>
          </cell>
          <cell r="D448">
            <v>-20394.11</v>
          </cell>
        </row>
        <row r="449">
          <cell r="B449" t="str">
            <v>486200</v>
          </cell>
          <cell r="C449">
            <v>11098.96</v>
          </cell>
          <cell r="D449">
            <v>11098.96</v>
          </cell>
        </row>
        <row r="450">
          <cell r="B450" t="str">
            <v>486210</v>
          </cell>
        </row>
        <row r="451">
          <cell r="B451" t="str">
            <v>486300</v>
          </cell>
          <cell r="C451">
            <v>1976.5</v>
          </cell>
          <cell r="D451">
            <v>1976.5</v>
          </cell>
        </row>
        <row r="452">
          <cell r="B452" t="str">
            <v>486400</v>
          </cell>
          <cell r="C452">
            <v>0</v>
          </cell>
          <cell r="D452">
            <v>0</v>
          </cell>
        </row>
        <row r="453">
          <cell r="B453" t="str">
            <v>486500</v>
          </cell>
          <cell r="C453">
            <v>-950</v>
          </cell>
          <cell r="D453">
            <v>-950</v>
          </cell>
        </row>
        <row r="454">
          <cell r="B454" t="str">
            <v>486600</v>
          </cell>
          <cell r="C454">
            <v>4865.55</v>
          </cell>
          <cell r="D454">
            <v>4865.55</v>
          </cell>
        </row>
        <row r="455">
          <cell r="B455" t="str">
            <v>486700</v>
          </cell>
          <cell r="C455">
            <v>13104.22</v>
          </cell>
          <cell r="D455">
            <v>13104.22</v>
          </cell>
        </row>
        <row r="456">
          <cell r="B456" t="str">
            <v>486701</v>
          </cell>
          <cell r="C456">
            <v>1152.8</v>
          </cell>
          <cell r="D456">
            <v>1152.8</v>
          </cell>
        </row>
        <row r="457">
          <cell r="B457" t="str">
            <v>486800</v>
          </cell>
          <cell r="C457">
            <v>-50659.72</v>
          </cell>
          <cell r="D457">
            <v>-50659.72</v>
          </cell>
        </row>
        <row r="458">
          <cell r="B458" t="str">
            <v>487000</v>
          </cell>
          <cell r="C458">
            <v>36185.93</v>
          </cell>
          <cell r="D458">
            <v>36185.93</v>
          </cell>
        </row>
        <row r="459">
          <cell r="B459" t="str">
            <v>487100</v>
          </cell>
          <cell r="C459">
            <v>-4757.34</v>
          </cell>
          <cell r="E459">
            <v>-4757.34</v>
          </cell>
        </row>
        <row r="460">
          <cell r="C460">
            <v>2591722.4300000002</v>
          </cell>
          <cell r="D460">
            <v>2591722.4300000002</v>
          </cell>
        </row>
        <row r="461">
          <cell r="B461" t="str">
            <v>491160</v>
          </cell>
          <cell r="C461">
            <v>241.6</v>
          </cell>
          <cell r="D461">
            <v>241.6</v>
          </cell>
        </row>
        <row r="462">
          <cell r="B462" t="str">
            <v>491180</v>
          </cell>
          <cell r="C462">
            <v>22006.82</v>
          </cell>
          <cell r="D462">
            <v>22006.82</v>
          </cell>
        </row>
        <row r="463">
          <cell r="B463" t="str">
            <v>491240</v>
          </cell>
          <cell r="C463">
            <v>690</v>
          </cell>
          <cell r="D463">
            <v>690</v>
          </cell>
        </row>
        <row r="464">
          <cell r="B464" t="str">
            <v>491820</v>
          </cell>
          <cell r="C464">
            <v>2568784.0099999998</v>
          </cell>
          <cell r="D464">
            <v>2568784.0099999998</v>
          </cell>
        </row>
        <row r="465">
          <cell r="C465">
            <v>4361686.99</v>
          </cell>
          <cell r="D465">
            <v>4121009.53</v>
          </cell>
          <cell r="E465">
            <v>219864.59</v>
          </cell>
          <cell r="F465">
            <v>20812.87</v>
          </cell>
        </row>
        <row r="466">
          <cell r="C466">
            <v>3367428.86</v>
          </cell>
          <cell r="D466">
            <v>3343596.47</v>
          </cell>
          <cell r="E466">
            <v>3019.52</v>
          </cell>
          <cell r="F466">
            <v>20812.87</v>
          </cell>
        </row>
        <row r="467">
          <cell r="B467" t="str">
            <v>466100</v>
          </cell>
          <cell r="C467">
            <v>127620.29</v>
          </cell>
          <cell r="D467">
            <v>127620.29</v>
          </cell>
        </row>
        <row r="468">
          <cell r="B468" t="str">
            <v>490000</v>
          </cell>
          <cell r="C468">
            <v>9201.89</v>
          </cell>
          <cell r="D468">
            <v>9201.89</v>
          </cell>
        </row>
        <row r="469">
          <cell r="B469" t="str">
            <v>490020</v>
          </cell>
        </row>
        <row r="470">
          <cell r="B470" t="str">
            <v>490160</v>
          </cell>
          <cell r="C470">
            <v>179000</v>
          </cell>
          <cell r="D470">
            <v>177720</v>
          </cell>
          <cell r="F470">
            <v>1280</v>
          </cell>
        </row>
        <row r="471">
          <cell r="B471" t="str">
            <v>490220</v>
          </cell>
          <cell r="C471">
            <v>2573701.4</v>
          </cell>
          <cell r="D471">
            <v>2570279.4700000002</v>
          </cell>
          <cell r="E471">
            <v>3019.52</v>
          </cell>
          <cell r="F471">
            <v>402.41</v>
          </cell>
        </row>
        <row r="472">
          <cell r="B472" t="str">
            <v>490280</v>
          </cell>
          <cell r="C472">
            <v>10000</v>
          </cell>
          <cell r="D472">
            <v>10000</v>
          </cell>
        </row>
        <row r="473">
          <cell r="B473" t="str">
            <v>490940</v>
          </cell>
          <cell r="C473">
            <v>126106.46</v>
          </cell>
          <cell r="D473">
            <v>126106.46</v>
          </cell>
        </row>
        <row r="474">
          <cell r="B474" t="str">
            <v>491020</v>
          </cell>
          <cell r="C474">
            <v>487664.46</v>
          </cell>
          <cell r="D474">
            <v>487664.46</v>
          </cell>
        </row>
        <row r="475">
          <cell r="B475" t="str">
            <v>491140</v>
          </cell>
          <cell r="C475">
            <v>103752.01</v>
          </cell>
          <cell r="D475">
            <v>103752.01</v>
          </cell>
        </row>
        <row r="476">
          <cell r="B476" t="str">
            <v>492020</v>
          </cell>
          <cell r="C476">
            <v>856763.17</v>
          </cell>
          <cell r="D476">
            <v>842954.91</v>
          </cell>
          <cell r="F476">
            <v>13808.26</v>
          </cell>
        </row>
        <row r="477">
          <cell r="B477" t="str">
            <v>492140</v>
          </cell>
          <cell r="C477">
            <v>5653.49</v>
          </cell>
          <cell r="D477">
            <v>5653.49</v>
          </cell>
        </row>
        <row r="478">
          <cell r="B478" t="str">
            <v>492160</v>
          </cell>
          <cell r="C478">
            <v>725718.7</v>
          </cell>
          <cell r="D478">
            <v>720396.5</v>
          </cell>
          <cell r="F478">
            <v>5322.2</v>
          </cell>
        </row>
        <row r="479">
          <cell r="B479" t="str">
            <v>492320</v>
          </cell>
        </row>
        <row r="480">
          <cell r="B480" t="str">
            <v>492440</v>
          </cell>
          <cell r="C480">
            <v>798.16</v>
          </cell>
          <cell r="D480">
            <v>798.16</v>
          </cell>
        </row>
        <row r="481">
          <cell r="B481" t="str">
            <v>492640</v>
          </cell>
          <cell r="C481">
            <v>3143.68</v>
          </cell>
          <cell r="D481">
            <v>3143.68</v>
          </cell>
        </row>
        <row r="482">
          <cell r="B482" t="str">
            <v>493160</v>
          </cell>
          <cell r="C482">
            <v>0</v>
          </cell>
          <cell r="D482">
            <v>0</v>
          </cell>
        </row>
        <row r="483">
          <cell r="B483" t="str">
            <v>493320</v>
          </cell>
        </row>
        <row r="484">
          <cell r="B484" t="str">
            <v>493460</v>
          </cell>
          <cell r="C484">
            <v>16.79</v>
          </cell>
          <cell r="D484">
            <v>16.79</v>
          </cell>
        </row>
        <row r="485">
          <cell r="B485" t="str">
            <v>493860</v>
          </cell>
          <cell r="C485">
            <v>-1841711.64</v>
          </cell>
          <cell r="D485">
            <v>-1841711.64</v>
          </cell>
        </row>
        <row r="486">
          <cell r="C486">
            <v>994258.13</v>
          </cell>
          <cell r="D486">
            <v>777413.06</v>
          </cell>
          <cell r="E486">
            <v>216845.07</v>
          </cell>
        </row>
        <row r="487">
          <cell r="B487" t="str">
            <v>441220</v>
          </cell>
          <cell r="C487">
            <v>2648.97</v>
          </cell>
          <cell r="D487">
            <v>2648.97</v>
          </cell>
        </row>
        <row r="488">
          <cell r="B488" t="str">
            <v>492130</v>
          </cell>
          <cell r="C488">
            <v>216642.27</v>
          </cell>
          <cell r="E488">
            <v>216642.27</v>
          </cell>
        </row>
        <row r="489">
          <cell r="B489" t="str">
            <v>492275</v>
          </cell>
          <cell r="C489">
            <v>774736.39</v>
          </cell>
          <cell r="D489">
            <v>774736.39</v>
          </cell>
        </row>
        <row r="490">
          <cell r="B490" t="str">
            <v>492390</v>
          </cell>
          <cell r="C490">
            <v>202.8</v>
          </cell>
          <cell r="E490">
            <v>202.8</v>
          </cell>
        </row>
        <row r="491">
          <cell r="B491" t="str">
            <v>494300</v>
          </cell>
          <cell r="C491">
            <v>27.7</v>
          </cell>
          <cell r="D491">
            <v>27.7</v>
          </cell>
        </row>
        <row r="492">
          <cell r="C492">
            <v>1585258.87</v>
          </cell>
          <cell r="D492">
            <v>1541757.87</v>
          </cell>
          <cell r="F492">
            <v>43501</v>
          </cell>
        </row>
        <row r="493">
          <cell r="B493" t="str">
            <v>491250</v>
          </cell>
          <cell r="C493">
            <v>1585258.87</v>
          </cell>
          <cell r="D493">
            <v>1541757.87</v>
          </cell>
          <cell r="F493">
            <v>43501</v>
          </cell>
        </row>
        <row r="497">
          <cell r="B497" t="str">
            <v>495035</v>
          </cell>
        </row>
        <row r="498">
          <cell r="C498">
            <v>24900697</v>
          </cell>
          <cell r="D498">
            <v>24900697</v>
          </cell>
        </row>
        <row r="499">
          <cell r="C499">
            <v>21169713</v>
          </cell>
          <cell r="D499">
            <v>21169713</v>
          </cell>
        </row>
        <row r="500">
          <cell r="C500">
            <v>21169713</v>
          </cell>
          <cell r="D500">
            <v>21169713</v>
          </cell>
        </row>
        <row r="501">
          <cell r="B501" t="str">
            <v>499025</v>
          </cell>
          <cell r="C501">
            <v>21169713</v>
          </cell>
          <cell r="D501">
            <v>21169713</v>
          </cell>
        </row>
        <row r="502">
          <cell r="C502">
            <v>3730984</v>
          </cell>
          <cell r="D502">
            <v>3730984</v>
          </cell>
        </row>
        <row r="503">
          <cell r="C503">
            <v>3730984</v>
          </cell>
          <cell r="D503">
            <v>3730984</v>
          </cell>
        </row>
        <row r="504">
          <cell r="B504" t="str">
            <v>499035</v>
          </cell>
          <cell r="C504">
            <v>3730984</v>
          </cell>
          <cell r="D504">
            <v>3730984</v>
          </cell>
        </row>
        <row r="505">
          <cell r="C505">
            <v>4330646.5199999996</v>
          </cell>
          <cell r="D505">
            <v>4330626.5199999996</v>
          </cell>
          <cell r="F505">
            <v>20</v>
          </cell>
        </row>
        <row r="506">
          <cell r="C506">
            <v>1841711.64</v>
          </cell>
          <cell r="D506">
            <v>1841711.64</v>
          </cell>
        </row>
        <row r="507">
          <cell r="B507" t="str">
            <v>499020</v>
          </cell>
          <cell r="C507">
            <v>1841711.64</v>
          </cell>
          <cell r="D507">
            <v>1841711.64</v>
          </cell>
        </row>
        <row r="508">
          <cell r="C508">
            <v>2488684.88</v>
          </cell>
          <cell r="D508">
            <v>2488664.88</v>
          </cell>
          <cell r="F508">
            <v>20</v>
          </cell>
        </row>
        <row r="509">
          <cell r="B509" t="str">
            <v>490430</v>
          </cell>
        </row>
        <row r="510">
          <cell r="B510" t="str">
            <v>499010</v>
          </cell>
          <cell r="C510">
            <v>2488684.88</v>
          </cell>
          <cell r="D510">
            <v>2488664.88</v>
          </cell>
          <cell r="F510">
            <v>20</v>
          </cell>
        </row>
        <row r="511">
          <cell r="C511">
            <v>250</v>
          </cell>
          <cell r="D511">
            <v>250</v>
          </cell>
        </row>
        <row r="512">
          <cell r="B512" t="str">
            <v>499005</v>
          </cell>
          <cell r="C512">
            <v>250</v>
          </cell>
          <cell r="D512">
            <v>250</v>
          </cell>
        </row>
        <row r="514">
          <cell r="B514" t="str">
            <v>490250</v>
          </cell>
        </row>
        <row r="517">
          <cell r="B517" t="str">
            <v>491870</v>
          </cell>
        </row>
      </sheetData>
      <sheetData sheetId="21" refreshError="1">
        <row r="7">
          <cell r="C7">
            <v>1.689997673034668</v>
          </cell>
          <cell r="E7">
            <v>125544514.39999962</v>
          </cell>
        </row>
        <row r="8">
          <cell r="C8">
            <v>4679776238.8599997</v>
          </cell>
          <cell r="E8">
            <v>8858058952.1800003</v>
          </cell>
        </row>
        <row r="9">
          <cell r="C9">
            <v>125535467.42</v>
          </cell>
          <cell r="E9">
            <v>548827794.54999995</v>
          </cell>
        </row>
        <row r="10">
          <cell r="C10">
            <v>116044144.52</v>
          </cell>
          <cell r="E10">
            <v>116044144.52</v>
          </cell>
        </row>
        <row r="11">
          <cell r="B11" t="str">
            <v>2600</v>
          </cell>
          <cell r="C11">
            <v>89591326.689999998</v>
          </cell>
          <cell r="E11">
            <v>89591326.689999998</v>
          </cell>
        </row>
        <row r="12">
          <cell r="B12" t="str">
            <v>9400</v>
          </cell>
          <cell r="C12">
            <v>26452817.829999998</v>
          </cell>
          <cell r="E12">
            <v>26452817.829999998</v>
          </cell>
        </row>
        <row r="13">
          <cell r="C13">
            <v>64302.29</v>
          </cell>
          <cell r="E13">
            <v>6776290.7600000007</v>
          </cell>
        </row>
        <row r="14">
          <cell r="C14">
            <v>64302.29</v>
          </cell>
          <cell r="E14">
            <v>6776290.7600000007</v>
          </cell>
        </row>
        <row r="15">
          <cell r="C15">
            <v>64302.29</v>
          </cell>
          <cell r="E15">
            <v>6776290.7600000007</v>
          </cell>
        </row>
        <row r="16">
          <cell r="B16" t="str">
            <v>9100</v>
          </cell>
          <cell r="C16">
            <v>141928.39000000001</v>
          </cell>
          <cell r="E16">
            <v>141928.39000000001</v>
          </cell>
        </row>
        <row r="17">
          <cell r="B17" t="str">
            <v>9101</v>
          </cell>
          <cell r="C17">
            <v>-141928.39000000001</v>
          </cell>
          <cell r="E17">
            <v>-141928.39000000001</v>
          </cell>
        </row>
        <row r="18">
          <cell r="B18" t="str">
            <v>10100</v>
          </cell>
          <cell r="C18">
            <v>0</v>
          </cell>
          <cell r="D18">
            <v>6711988.4700000007</v>
          </cell>
          <cell r="E18">
            <v>6711988.4700000007</v>
          </cell>
        </row>
        <row r="19">
          <cell r="B19" t="str">
            <v>112800</v>
          </cell>
          <cell r="C19">
            <v>64302.29</v>
          </cell>
          <cell r="E19">
            <v>64302.29</v>
          </cell>
        </row>
        <row r="20">
          <cell r="C20">
            <v>3669841.24</v>
          </cell>
          <cell r="E20">
            <v>314972527.63</v>
          </cell>
        </row>
        <row r="21">
          <cell r="B21" t="str">
            <v>14110</v>
          </cell>
          <cell r="C21">
            <v>3669841.24</v>
          </cell>
          <cell r="D21">
            <v>311302686.38999999</v>
          </cell>
          <cell r="E21">
            <v>314972527.63</v>
          </cell>
        </row>
        <row r="22">
          <cell r="C22">
            <v>256616</v>
          </cell>
          <cell r="E22">
            <v>5911442.1299999999</v>
          </cell>
        </row>
        <row r="23">
          <cell r="C23">
            <v>256616</v>
          </cell>
          <cell r="E23">
            <v>5911442.1299999999</v>
          </cell>
        </row>
        <row r="24">
          <cell r="B24" t="str">
            <v>2300</v>
          </cell>
          <cell r="C24">
            <v>256616</v>
          </cell>
          <cell r="D24">
            <v>5654826.1299999999</v>
          </cell>
          <cell r="E24">
            <v>5911442.1299999999</v>
          </cell>
        </row>
        <row r="25">
          <cell r="C25">
            <v>5500563.3700000001</v>
          </cell>
          <cell r="E25">
            <v>105123389.50999999</v>
          </cell>
        </row>
        <row r="26">
          <cell r="B26" t="str">
            <v>500</v>
          </cell>
          <cell r="C26">
            <v>2697730.97</v>
          </cell>
          <cell r="D26">
            <v>79785523.219999999</v>
          </cell>
          <cell r="E26">
            <v>82483254.189999998</v>
          </cell>
        </row>
        <row r="27">
          <cell r="B27" t="str">
            <v>13800</v>
          </cell>
          <cell r="C27">
            <v>2802832.4</v>
          </cell>
          <cell r="D27">
            <v>19837302.920000002</v>
          </cell>
          <cell r="E27">
            <v>22640135.32</v>
          </cell>
        </row>
        <row r="28">
          <cell r="C28">
            <v>63690586.109999992</v>
          </cell>
          <cell r="E28">
            <v>1902895160.0299997</v>
          </cell>
        </row>
        <row r="29">
          <cell r="C29">
            <v>24154658.91</v>
          </cell>
          <cell r="E29">
            <v>679566316.12</v>
          </cell>
        </row>
        <row r="30">
          <cell r="C30">
            <v>23652898.27</v>
          </cell>
          <cell r="E30">
            <v>716477433.38</v>
          </cell>
        </row>
        <row r="31">
          <cell r="B31" t="str">
            <v>5300</v>
          </cell>
          <cell r="C31">
            <v>23652898.27</v>
          </cell>
          <cell r="D31">
            <v>692824535.11000001</v>
          </cell>
          <cell r="E31">
            <v>716477433.38</v>
          </cell>
        </row>
        <row r="32">
          <cell r="C32">
            <v>501760.64000000013</v>
          </cell>
          <cell r="E32">
            <v>-36911117.259999998</v>
          </cell>
        </row>
        <row r="33">
          <cell r="B33" t="str">
            <v>5200</v>
          </cell>
          <cell r="C33">
            <v>1802112.02</v>
          </cell>
          <cell r="E33">
            <v>1802112.02</v>
          </cell>
        </row>
        <row r="34">
          <cell r="B34" t="str">
            <v>14000</v>
          </cell>
          <cell r="C34">
            <v>-1300351.3799999999</v>
          </cell>
          <cell r="D34">
            <v>-37412877.899999999</v>
          </cell>
          <cell r="E34">
            <v>-38713229.280000001</v>
          </cell>
        </row>
        <row r="35">
          <cell r="C35">
            <v>38583769.659999996</v>
          </cell>
          <cell r="E35">
            <v>1196096859.3299999</v>
          </cell>
        </row>
        <row r="36">
          <cell r="C36">
            <v>38583769.659999996</v>
          </cell>
          <cell r="E36">
            <v>1196096859.3299999</v>
          </cell>
        </row>
        <row r="37">
          <cell r="B37" t="str">
            <v>57500</v>
          </cell>
          <cell r="C37">
            <v>38583769.659999996</v>
          </cell>
          <cell r="D37">
            <v>1157513089.6699998</v>
          </cell>
          <cell r="E37">
            <v>1196096859.3299999</v>
          </cell>
        </row>
        <row r="38">
          <cell r="C38">
            <v>952157.53999999992</v>
          </cell>
          <cell r="E38">
            <v>27231984.580000002</v>
          </cell>
        </row>
        <row r="39">
          <cell r="B39" t="str">
            <v>101370</v>
          </cell>
          <cell r="C39">
            <v>238095.97</v>
          </cell>
          <cell r="D39">
            <v>3317008.7399999998</v>
          </cell>
          <cell r="E39">
            <v>3555104.71</v>
          </cell>
        </row>
        <row r="40">
          <cell r="B40" t="str">
            <v>129040</v>
          </cell>
          <cell r="C40">
            <v>714061.57</v>
          </cell>
          <cell r="D40">
            <v>22962818.300000001</v>
          </cell>
          <cell r="E40">
            <v>23676879.870000001</v>
          </cell>
        </row>
        <row r="41">
          <cell r="C41">
            <v>2119594.94</v>
          </cell>
          <cell r="E41">
            <v>2119594.94</v>
          </cell>
        </row>
        <row r="42">
          <cell r="C42">
            <v>2119594.94</v>
          </cell>
          <cell r="E42">
            <v>2119594.94</v>
          </cell>
        </row>
        <row r="43">
          <cell r="B43" t="str">
            <v>105700</v>
          </cell>
          <cell r="C43">
            <v>2119594.94</v>
          </cell>
          <cell r="E43">
            <v>2119594.94</v>
          </cell>
        </row>
        <row r="44">
          <cell r="C44">
            <v>8270136.6399999997</v>
          </cell>
          <cell r="E44">
            <v>89406342.709999993</v>
          </cell>
        </row>
        <row r="45">
          <cell r="C45">
            <v>8151066.3199999994</v>
          </cell>
          <cell r="E45">
            <v>86486846.900000006</v>
          </cell>
        </row>
        <row r="46">
          <cell r="C46">
            <v>8109620.2999999998</v>
          </cell>
          <cell r="E46">
            <v>85233473.480000004</v>
          </cell>
        </row>
        <row r="47">
          <cell r="B47" t="str">
            <v>40040</v>
          </cell>
          <cell r="C47">
            <v>6003022.21</v>
          </cell>
          <cell r="D47">
            <v>50056763.219999999</v>
          </cell>
          <cell r="E47">
            <v>56059785.43</v>
          </cell>
        </row>
        <row r="48">
          <cell r="B48" t="str">
            <v>40060</v>
          </cell>
          <cell r="C48">
            <v>2106598.09</v>
          </cell>
          <cell r="D48">
            <v>27067089.960000001</v>
          </cell>
          <cell r="E48">
            <v>29173688.050000001</v>
          </cell>
        </row>
        <row r="49">
          <cell r="C49">
            <v>41446.019999999997</v>
          </cell>
          <cell r="E49">
            <v>1253373.42</v>
          </cell>
        </row>
        <row r="50">
          <cell r="B50" t="str">
            <v>49400</v>
          </cell>
          <cell r="C50">
            <v>0</v>
          </cell>
          <cell r="E50">
            <v>0</v>
          </cell>
        </row>
        <row r="51">
          <cell r="B51" t="str">
            <v>60280</v>
          </cell>
          <cell r="C51">
            <v>41446.019999999997</v>
          </cell>
          <cell r="D51">
            <v>1211927.3999999999</v>
          </cell>
          <cell r="E51">
            <v>1253373.42</v>
          </cell>
        </row>
        <row r="52">
          <cell r="C52">
            <v>0</v>
          </cell>
          <cell r="E52">
            <v>0</v>
          </cell>
        </row>
        <row r="53">
          <cell r="B53" t="str">
            <v>40680</v>
          </cell>
          <cell r="C53">
            <v>0</v>
          </cell>
          <cell r="E53">
            <v>0</v>
          </cell>
        </row>
        <row r="54">
          <cell r="B54" t="str">
            <v>40720</v>
          </cell>
          <cell r="C54">
            <v>0</v>
          </cell>
          <cell r="E54">
            <v>0</v>
          </cell>
        </row>
        <row r="55">
          <cell r="C55">
            <v>2287.0700000000002</v>
          </cell>
          <cell r="E55">
            <v>2287.0700000000002</v>
          </cell>
        </row>
        <row r="56">
          <cell r="C56">
            <v>2287.0700000000002</v>
          </cell>
          <cell r="E56">
            <v>2287.0700000000002</v>
          </cell>
        </row>
        <row r="57">
          <cell r="C57">
            <v>2287.0700000000002</v>
          </cell>
          <cell r="E57">
            <v>2287.0700000000002</v>
          </cell>
        </row>
        <row r="58">
          <cell r="B58" t="str">
            <v>56100</v>
          </cell>
          <cell r="C58">
            <v>0</v>
          </cell>
          <cell r="E58">
            <v>0</v>
          </cell>
        </row>
        <row r="59">
          <cell r="B59" t="str">
            <v>56200</v>
          </cell>
          <cell r="C59">
            <v>2287.0700000000002</v>
          </cell>
          <cell r="E59">
            <v>2287.0700000000002</v>
          </cell>
        </row>
        <row r="60">
          <cell r="C60">
            <v>0</v>
          </cell>
          <cell r="E60">
            <v>0</v>
          </cell>
        </row>
        <row r="61">
          <cell r="B61" t="str">
            <v>40420</v>
          </cell>
          <cell r="C61">
            <v>0</v>
          </cell>
          <cell r="E61">
            <v>0</v>
          </cell>
        </row>
        <row r="62">
          <cell r="C62">
            <v>116783.25</v>
          </cell>
          <cell r="E62">
            <v>2917208.74</v>
          </cell>
        </row>
        <row r="63">
          <cell r="B63" t="str">
            <v>107600</v>
          </cell>
          <cell r="C63">
            <v>49308.75</v>
          </cell>
          <cell r="D63">
            <v>1264976.93</v>
          </cell>
          <cell r="E63">
            <v>1314285.68</v>
          </cell>
        </row>
        <row r="64">
          <cell r="B64" t="str">
            <v>128840</v>
          </cell>
          <cell r="C64">
            <v>67474.5</v>
          </cell>
          <cell r="D64">
            <v>1535448.56</v>
          </cell>
          <cell r="E64">
            <v>1602923.06</v>
          </cell>
        </row>
        <row r="65">
          <cell r="C65">
            <v>0</v>
          </cell>
          <cell r="E65">
            <v>0</v>
          </cell>
        </row>
        <row r="66">
          <cell r="C66">
            <v>0</v>
          </cell>
          <cell r="E66">
            <v>0</v>
          </cell>
        </row>
        <row r="67">
          <cell r="B67" t="str">
            <v>49600</v>
          </cell>
          <cell r="C67">
            <v>0</v>
          </cell>
          <cell r="E67">
            <v>0</v>
          </cell>
        </row>
        <row r="68">
          <cell r="C68">
            <v>4282591248.25</v>
          </cell>
          <cell r="E68">
            <v>6105135286.6400003</v>
          </cell>
        </row>
        <row r="69">
          <cell r="C69">
            <v>1834362653.0800002</v>
          </cell>
          <cell r="E69">
            <v>2079589278.5999999</v>
          </cell>
        </row>
        <row r="70">
          <cell r="C70">
            <v>2241209.9900000002</v>
          </cell>
          <cell r="E70">
            <v>103693557.66</v>
          </cell>
        </row>
        <row r="71">
          <cell r="C71">
            <v>2168401.9300000002</v>
          </cell>
          <cell r="E71">
            <v>102485557.61</v>
          </cell>
        </row>
        <row r="72">
          <cell r="B72" t="str">
            <v>300</v>
          </cell>
          <cell r="C72">
            <v>2168401.9300000002</v>
          </cell>
          <cell r="D72">
            <v>100317155.67999999</v>
          </cell>
          <cell r="E72">
            <v>102485557.61</v>
          </cell>
        </row>
        <row r="73">
          <cell r="B73" t="str">
            <v>60340</v>
          </cell>
          <cell r="C73">
            <v>0</v>
          </cell>
          <cell r="E73">
            <v>0</v>
          </cell>
        </row>
        <row r="74">
          <cell r="C74">
            <v>0</v>
          </cell>
          <cell r="E74">
            <v>0</v>
          </cell>
        </row>
        <row r="75">
          <cell r="B75" t="str">
            <v>69800</v>
          </cell>
          <cell r="C75">
            <v>0</v>
          </cell>
          <cell r="E75">
            <v>0</v>
          </cell>
        </row>
        <row r="76">
          <cell r="C76">
            <v>72808.06</v>
          </cell>
          <cell r="E76">
            <v>1208000.0499999998</v>
          </cell>
        </row>
        <row r="77">
          <cell r="B77" t="str">
            <v>101210</v>
          </cell>
          <cell r="C77">
            <v>12287.72</v>
          </cell>
          <cell r="D77">
            <v>177493.84</v>
          </cell>
          <cell r="E77">
            <v>189781.56</v>
          </cell>
        </row>
        <row r="78">
          <cell r="B78" t="str">
            <v>115090</v>
          </cell>
          <cell r="C78">
            <v>114.65</v>
          </cell>
          <cell r="D78">
            <v>1542.9299999999998</v>
          </cell>
          <cell r="E78">
            <v>1657.58</v>
          </cell>
        </row>
        <row r="79">
          <cell r="B79" t="str">
            <v>115095</v>
          </cell>
          <cell r="C79">
            <v>60405.69</v>
          </cell>
          <cell r="D79">
            <v>956155.22</v>
          </cell>
          <cell r="E79">
            <v>1016560.9099999999</v>
          </cell>
        </row>
        <row r="80">
          <cell r="C80">
            <v>1007546948.65</v>
          </cell>
          <cell r="E80">
            <v>1343938838.3</v>
          </cell>
        </row>
        <row r="81">
          <cell r="C81">
            <v>0</v>
          </cell>
          <cell r="E81">
            <v>0</v>
          </cell>
        </row>
        <row r="82">
          <cell r="B82" t="str">
            <v>10200</v>
          </cell>
          <cell r="C82">
            <v>0</v>
          </cell>
          <cell r="E82">
            <v>0</v>
          </cell>
        </row>
        <row r="83">
          <cell r="C83">
            <v>10309059.49</v>
          </cell>
          <cell r="E83">
            <v>346700949.13999999</v>
          </cell>
        </row>
        <row r="84">
          <cell r="B84" t="str">
            <v>13700</v>
          </cell>
          <cell r="C84">
            <v>2536327.2400000002</v>
          </cell>
          <cell r="D84">
            <v>95887341.25</v>
          </cell>
          <cell r="E84">
            <v>98423668.489999995</v>
          </cell>
        </row>
        <row r="85">
          <cell r="B85" t="str">
            <v>60205</v>
          </cell>
          <cell r="C85">
            <v>0</v>
          </cell>
          <cell r="E85">
            <v>0</v>
          </cell>
        </row>
        <row r="86">
          <cell r="B86" t="str">
            <v>73700</v>
          </cell>
          <cell r="C86">
            <v>7772732.25</v>
          </cell>
          <cell r="D86">
            <v>240504548.40000001</v>
          </cell>
          <cell r="E86">
            <v>248277280.65000001</v>
          </cell>
        </row>
        <row r="87">
          <cell r="C87">
            <v>997237889.15999997</v>
          </cell>
          <cell r="E87">
            <v>997237889.15999997</v>
          </cell>
        </row>
        <row r="88">
          <cell r="C88">
            <v>-216282.25</v>
          </cell>
          <cell r="E88">
            <v>-216282.25</v>
          </cell>
        </row>
        <row r="89">
          <cell r="B89" t="str">
            <v>72350</v>
          </cell>
          <cell r="C89">
            <v>-216282.25</v>
          </cell>
          <cell r="E89">
            <v>-216282.25</v>
          </cell>
        </row>
        <row r="90">
          <cell r="C90">
            <v>997454171.40999997</v>
          </cell>
          <cell r="E90">
            <v>997454171.40999997</v>
          </cell>
        </row>
        <row r="91">
          <cell r="B91" t="str">
            <v>60011</v>
          </cell>
          <cell r="C91">
            <v>-507593</v>
          </cell>
          <cell r="E91">
            <v>-507593</v>
          </cell>
        </row>
        <row r="92">
          <cell r="B92" t="str">
            <v>60012</v>
          </cell>
          <cell r="C92">
            <v>4573738.38</v>
          </cell>
          <cell r="E92">
            <v>4573738.38</v>
          </cell>
        </row>
        <row r="93">
          <cell r="B93" t="str">
            <v>60015</v>
          </cell>
          <cell r="C93">
            <v>0</v>
          </cell>
          <cell r="E93">
            <v>0</v>
          </cell>
        </row>
        <row r="94">
          <cell r="B94" t="str">
            <v>60016</v>
          </cell>
          <cell r="C94">
            <v>0</v>
          </cell>
          <cell r="E94">
            <v>0</v>
          </cell>
        </row>
        <row r="95">
          <cell r="B95" t="str">
            <v>60018</v>
          </cell>
          <cell r="C95">
            <v>0</v>
          </cell>
          <cell r="E95">
            <v>0</v>
          </cell>
        </row>
        <row r="96">
          <cell r="B96" t="str">
            <v>60019</v>
          </cell>
          <cell r="C96">
            <v>-1415370.53</v>
          </cell>
          <cell r="E96">
            <v>-1415370.53</v>
          </cell>
        </row>
        <row r="97">
          <cell r="B97" t="str">
            <v>60751</v>
          </cell>
          <cell r="C97">
            <v>-72687909.989999995</v>
          </cell>
          <cell r="E97">
            <v>-72687909.989999995</v>
          </cell>
        </row>
        <row r="98">
          <cell r="B98" t="str">
            <v>65500</v>
          </cell>
          <cell r="C98">
            <v>1067491306.55</v>
          </cell>
          <cell r="E98">
            <v>1067491306.55</v>
          </cell>
        </row>
        <row r="99">
          <cell r="C99">
            <v>835667228.35000014</v>
          </cell>
          <cell r="E99">
            <v>838676638.7700001</v>
          </cell>
        </row>
        <row r="100">
          <cell r="C100">
            <v>323151252.71000004</v>
          </cell>
          <cell r="E100">
            <v>323151252.71000004</v>
          </cell>
        </row>
        <row r="101">
          <cell r="C101">
            <v>82914932.370000005</v>
          </cell>
          <cell r="E101">
            <v>82914932.370000005</v>
          </cell>
        </row>
        <row r="102">
          <cell r="B102" t="str">
            <v>72650</v>
          </cell>
          <cell r="C102">
            <v>62175434.950000003</v>
          </cell>
          <cell r="E102">
            <v>62175434.950000003</v>
          </cell>
        </row>
        <row r="103">
          <cell r="B103" t="str">
            <v>86350</v>
          </cell>
          <cell r="C103">
            <v>4258513.38</v>
          </cell>
          <cell r="E103">
            <v>4258513.38</v>
          </cell>
        </row>
        <row r="104">
          <cell r="B104" t="str">
            <v>86450</v>
          </cell>
          <cell r="C104">
            <v>16480984.039999999</v>
          </cell>
          <cell r="E104">
            <v>16480984.039999999</v>
          </cell>
        </row>
        <row r="105">
          <cell r="C105">
            <v>240236320.34</v>
          </cell>
          <cell r="E105">
            <v>240236320.34</v>
          </cell>
        </row>
        <row r="106">
          <cell r="B106" t="str">
            <v>72750</v>
          </cell>
          <cell r="C106">
            <v>240236320.34</v>
          </cell>
          <cell r="E106">
            <v>240236320.34</v>
          </cell>
        </row>
        <row r="107">
          <cell r="C107">
            <v>40130785.25</v>
          </cell>
          <cell r="E107">
            <v>40130785.25</v>
          </cell>
        </row>
        <row r="108">
          <cell r="B108" t="str">
            <v>65900</v>
          </cell>
          <cell r="C108">
            <v>37546125.409999996</v>
          </cell>
          <cell r="E108">
            <v>37546125.409999996</v>
          </cell>
        </row>
        <row r="109">
          <cell r="B109" t="str">
            <v>86750</v>
          </cell>
          <cell r="C109">
            <v>2584659.84</v>
          </cell>
          <cell r="E109">
            <v>2584659.84</v>
          </cell>
        </row>
        <row r="110">
          <cell r="C110">
            <v>146768.47</v>
          </cell>
          <cell r="E110">
            <v>146768.47</v>
          </cell>
        </row>
        <row r="111">
          <cell r="B111" t="str">
            <v>66000</v>
          </cell>
          <cell r="C111">
            <v>137345.62</v>
          </cell>
          <cell r="E111">
            <v>137345.62</v>
          </cell>
        </row>
        <row r="112">
          <cell r="B112" t="str">
            <v>86650</v>
          </cell>
          <cell r="C112">
            <v>9422.85</v>
          </cell>
          <cell r="E112">
            <v>9422.85</v>
          </cell>
        </row>
        <row r="113">
          <cell r="C113">
            <v>0</v>
          </cell>
          <cell r="E113">
            <v>3009410.42</v>
          </cell>
        </row>
        <row r="114">
          <cell r="B114" t="str">
            <v>60185</v>
          </cell>
          <cell r="C114">
            <v>0</v>
          </cell>
          <cell r="D114">
            <v>3009410.42</v>
          </cell>
          <cell r="E114">
            <v>3009410.42</v>
          </cell>
        </row>
        <row r="115">
          <cell r="C115">
            <v>408238421.92000002</v>
          </cell>
          <cell r="E115">
            <v>408238421.92000002</v>
          </cell>
        </row>
        <row r="116">
          <cell r="C116">
            <v>408238421.92000002</v>
          </cell>
          <cell r="E116">
            <v>408238421.92000002</v>
          </cell>
        </row>
        <row r="117">
          <cell r="B117" t="str">
            <v>72550</v>
          </cell>
          <cell r="C117">
            <v>382069273.13</v>
          </cell>
          <cell r="E117">
            <v>382069273.13</v>
          </cell>
        </row>
        <row r="118">
          <cell r="B118" t="str">
            <v>86550</v>
          </cell>
          <cell r="C118">
            <v>26169148.789999999</v>
          </cell>
          <cell r="E118">
            <v>26169148.789999999</v>
          </cell>
        </row>
        <row r="119">
          <cell r="B119" t="str">
            <v>94700</v>
          </cell>
          <cell r="C119">
            <v>0</v>
          </cell>
          <cell r="E119">
            <v>0</v>
          </cell>
        </row>
        <row r="120">
          <cell r="C120">
            <v>0</v>
          </cell>
          <cell r="E120">
            <v>0</v>
          </cell>
        </row>
        <row r="121">
          <cell r="B121" t="str">
            <v>69100</v>
          </cell>
          <cell r="C121">
            <v>0</v>
          </cell>
          <cell r="E121">
            <v>0</v>
          </cell>
        </row>
        <row r="122">
          <cell r="C122">
            <v>0</v>
          </cell>
          <cell r="E122">
            <v>0</v>
          </cell>
        </row>
        <row r="123">
          <cell r="B123" t="str">
            <v>43500</v>
          </cell>
          <cell r="C123">
            <v>0</v>
          </cell>
          <cell r="E123">
            <v>0</v>
          </cell>
        </row>
        <row r="124">
          <cell r="C124">
            <v>64000000</v>
          </cell>
          <cell r="E124">
            <v>64000000</v>
          </cell>
        </row>
        <row r="125">
          <cell r="C125">
            <v>64000000</v>
          </cell>
          <cell r="E125">
            <v>64000000</v>
          </cell>
        </row>
        <row r="126">
          <cell r="B126" t="str">
            <v>70000</v>
          </cell>
          <cell r="C126">
            <v>64000000</v>
          </cell>
          <cell r="E126">
            <v>64000000</v>
          </cell>
        </row>
        <row r="127">
          <cell r="C127">
            <v>0</v>
          </cell>
          <cell r="E127">
            <v>0</v>
          </cell>
        </row>
        <row r="128">
          <cell r="B128" t="str">
            <v>74100</v>
          </cell>
          <cell r="C128">
            <v>0</v>
          </cell>
          <cell r="E128">
            <v>0</v>
          </cell>
        </row>
        <row r="129">
          <cell r="C129">
            <v>-11695727.529999999</v>
          </cell>
          <cell r="E129">
            <v>-209626506.18000001</v>
          </cell>
        </row>
        <row r="130">
          <cell r="C130">
            <v>-11695727.529999999</v>
          </cell>
          <cell r="E130">
            <v>-209626506.18000001</v>
          </cell>
        </row>
        <row r="131">
          <cell r="C131">
            <v>-11695727.529999999</v>
          </cell>
          <cell r="E131">
            <v>-209626506.18000001</v>
          </cell>
        </row>
        <row r="132">
          <cell r="B132" t="str">
            <v>11500</v>
          </cell>
          <cell r="C132">
            <v>-11695727.529999999</v>
          </cell>
          <cell r="D132">
            <v>-197930778.65000001</v>
          </cell>
          <cell r="E132">
            <v>-209626506.18000001</v>
          </cell>
        </row>
        <row r="133">
          <cell r="C133">
            <v>602993.62</v>
          </cell>
          <cell r="E133">
            <v>2906750.05</v>
          </cell>
        </row>
        <row r="134">
          <cell r="C134">
            <v>578988.85</v>
          </cell>
          <cell r="E134">
            <v>1995970.2999999998</v>
          </cell>
        </row>
        <row r="135">
          <cell r="B135" t="str">
            <v>100003</v>
          </cell>
          <cell r="C135">
            <v>0</v>
          </cell>
          <cell r="E135">
            <v>0</v>
          </cell>
        </row>
        <row r="136">
          <cell r="B136" t="str">
            <v>100305</v>
          </cell>
          <cell r="C136">
            <v>0</v>
          </cell>
          <cell r="E136">
            <v>0</v>
          </cell>
        </row>
        <row r="137">
          <cell r="B137" t="str">
            <v>101920</v>
          </cell>
          <cell r="C137">
            <v>0</v>
          </cell>
          <cell r="D137">
            <v>865.82</v>
          </cell>
          <cell r="E137">
            <v>865.82</v>
          </cell>
        </row>
        <row r="138">
          <cell r="B138" t="str">
            <v>102700</v>
          </cell>
          <cell r="C138">
            <v>11451.79</v>
          </cell>
          <cell r="E138">
            <v>11451.79</v>
          </cell>
        </row>
        <row r="139">
          <cell r="B139" t="str">
            <v>104100</v>
          </cell>
          <cell r="C139">
            <v>54894.92</v>
          </cell>
          <cell r="E139">
            <v>54894.92</v>
          </cell>
        </row>
        <row r="140">
          <cell r="B140" t="str">
            <v>104500</v>
          </cell>
          <cell r="C140">
            <v>2916.26</v>
          </cell>
          <cell r="E140">
            <v>2916.26</v>
          </cell>
        </row>
        <row r="141">
          <cell r="B141" t="str">
            <v>104600</v>
          </cell>
          <cell r="C141">
            <v>20.28</v>
          </cell>
          <cell r="E141">
            <v>20.28</v>
          </cell>
        </row>
        <row r="142">
          <cell r="B142" t="str">
            <v>105200</v>
          </cell>
          <cell r="C142">
            <v>0</v>
          </cell>
          <cell r="E142">
            <v>0</v>
          </cell>
        </row>
        <row r="143">
          <cell r="B143" t="str">
            <v>106400</v>
          </cell>
          <cell r="C143">
            <v>443742.08</v>
          </cell>
          <cell r="E143">
            <v>443742.08</v>
          </cell>
        </row>
        <row r="144">
          <cell r="B144" t="str">
            <v>129280</v>
          </cell>
          <cell r="C144">
            <v>65963.520000000004</v>
          </cell>
          <cell r="D144">
            <v>1416115.63</v>
          </cell>
          <cell r="E144">
            <v>1482079.15</v>
          </cell>
        </row>
        <row r="145">
          <cell r="B145" t="str">
            <v>129300</v>
          </cell>
          <cell r="C145">
            <v>0</v>
          </cell>
          <cell r="E145">
            <v>0</v>
          </cell>
        </row>
        <row r="146">
          <cell r="C146">
            <v>94.26</v>
          </cell>
          <cell r="E146">
            <v>5848.18</v>
          </cell>
        </row>
        <row r="147">
          <cell r="B147" t="str">
            <v>103470</v>
          </cell>
          <cell r="C147">
            <v>94.26</v>
          </cell>
          <cell r="D147">
            <v>5753.92</v>
          </cell>
          <cell r="E147">
            <v>5848.18</v>
          </cell>
        </row>
        <row r="148">
          <cell r="C148">
            <v>23910.51</v>
          </cell>
          <cell r="E148">
            <v>904931.57</v>
          </cell>
        </row>
        <row r="149">
          <cell r="B149" t="str">
            <v>100315</v>
          </cell>
          <cell r="C149">
            <v>23910.51</v>
          </cell>
          <cell r="D149">
            <v>881021.05999999994</v>
          </cell>
          <cell r="E149">
            <v>904931.57</v>
          </cell>
        </row>
        <row r="150">
          <cell r="C150">
            <v>0</v>
          </cell>
          <cell r="E150">
            <v>0</v>
          </cell>
        </row>
        <row r="151">
          <cell r="B151" t="str">
            <v>101250</v>
          </cell>
          <cell r="C151">
            <v>0</v>
          </cell>
          <cell r="E151">
            <v>0</v>
          </cell>
        </row>
        <row r="152">
          <cell r="C152">
            <v>2460519426.21</v>
          </cell>
          <cell r="E152">
            <v>2460519426.21</v>
          </cell>
        </row>
        <row r="153">
          <cell r="C153">
            <v>2460519426.21</v>
          </cell>
          <cell r="E153">
            <v>2460519426.21</v>
          </cell>
        </row>
        <row r="154">
          <cell r="C154">
            <v>2460519426.21</v>
          </cell>
          <cell r="E154">
            <v>2460519426.21</v>
          </cell>
        </row>
        <row r="155">
          <cell r="B155" t="str">
            <v>61060</v>
          </cell>
          <cell r="C155">
            <v>2460519426.21</v>
          </cell>
          <cell r="E155">
            <v>2460519426.21</v>
          </cell>
        </row>
        <row r="156">
          <cell r="B156" t="str">
            <v>65800</v>
          </cell>
          <cell r="C156">
            <v>0</v>
          </cell>
          <cell r="E156">
            <v>0</v>
          </cell>
        </row>
        <row r="157">
          <cell r="B157" t="str">
            <v>70850</v>
          </cell>
          <cell r="C157">
            <v>0</v>
          </cell>
          <cell r="E157">
            <v>0</v>
          </cell>
        </row>
        <row r="158">
          <cell r="C158">
            <v>0</v>
          </cell>
          <cell r="E158">
            <v>0</v>
          </cell>
        </row>
        <row r="159">
          <cell r="C159">
            <v>0</v>
          </cell>
          <cell r="E159">
            <v>0</v>
          </cell>
        </row>
        <row r="160">
          <cell r="B160" t="str">
            <v>88000</v>
          </cell>
          <cell r="C160">
            <v>0</v>
          </cell>
          <cell r="E160">
            <v>0</v>
          </cell>
        </row>
        <row r="161">
          <cell r="C161">
            <v>43994708.399999999</v>
          </cell>
          <cell r="E161">
            <v>1283954479.1300001</v>
          </cell>
        </row>
        <row r="162">
          <cell r="C162">
            <v>43994708.399999999</v>
          </cell>
          <cell r="E162">
            <v>1283954479.1300001</v>
          </cell>
        </row>
        <row r="163">
          <cell r="C163">
            <v>6464818.21</v>
          </cell>
          <cell r="E163">
            <v>6464818.21</v>
          </cell>
        </row>
        <row r="164">
          <cell r="C164">
            <v>-235486.56</v>
          </cell>
          <cell r="E164">
            <v>-235486.56</v>
          </cell>
        </row>
        <row r="165">
          <cell r="B165" t="str">
            <v>77900</v>
          </cell>
          <cell r="C165">
            <v>-235486.56</v>
          </cell>
          <cell r="E165">
            <v>-235486.56</v>
          </cell>
        </row>
        <row r="166">
          <cell r="C166">
            <v>6700304.7699999996</v>
          </cell>
          <cell r="E166">
            <v>6700304.7699999996</v>
          </cell>
        </row>
        <row r="167">
          <cell r="B167" t="str">
            <v>60500</v>
          </cell>
          <cell r="C167">
            <v>0</v>
          </cell>
          <cell r="E167">
            <v>0</v>
          </cell>
        </row>
        <row r="168">
          <cell r="B168" t="str">
            <v>77500</v>
          </cell>
          <cell r="C168">
            <v>0</v>
          </cell>
          <cell r="E168">
            <v>0</v>
          </cell>
        </row>
        <row r="169">
          <cell r="B169" t="str">
            <v>93900</v>
          </cell>
          <cell r="C169">
            <v>6700304.7699999996</v>
          </cell>
          <cell r="E169">
            <v>6700304.7699999996</v>
          </cell>
        </row>
        <row r="170">
          <cell r="C170">
            <v>37529890.189999998</v>
          </cell>
          <cell r="E170">
            <v>1277489660.9200001</v>
          </cell>
        </row>
        <row r="171">
          <cell r="C171">
            <v>-12139423.109999999</v>
          </cell>
          <cell r="E171">
            <v>-246800805.07999998</v>
          </cell>
        </row>
        <row r="172">
          <cell r="B172" t="str">
            <v>67250</v>
          </cell>
          <cell r="C172">
            <v>0</v>
          </cell>
          <cell r="E172">
            <v>0</v>
          </cell>
        </row>
        <row r="173">
          <cell r="B173" t="str">
            <v>69850</v>
          </cell>
          <cell r="C173">
            <v>-12139423.109999999</v>
          </cell>
          <cell r="D173">
            <v>-234661381.97</v>
          </cell>
          <cell r="E173">
            <v>-246800805.07999998</v>
          </cell>
        </row>
        <row r="174">
          <cell r="C174">
            <v>49669313.299999997</v>
          </cell>
          <cell r="E174">
            <v>1524290466</v>
          </cell>
        </row>
        <row r="175">
          <cell r="B175" t="str">
            <v>61250</v>
          </cell>
          <cell r="C175">
            <v>49669313.299999997</v>
          </cell>
          <cell r="D175">
            <v>1474621152.7</v>
          </cell>
          <cell r="E175">
            <v>1524290466</v>
          </cell>
        </row>
        <row r="176">
          <cell r="C176">
            <v>0</v>
          </cell>
          <cell r="E176">
            <v>0</v>
          </cell>
        </row>
        <row r="177">
          <cell r="B177" t="str">
            <v>89900</v>
          </cell>
          <cell r="C177">
            <v>0</v>
          </cell>
          <cell r="E177">
            <v>0</v>
          </cell>
        </row>
        <row r="178">
          <cell r="C178">
            <v>-10922.95</v>
          </cell>
          <cell r="E178">
            <v>-10922.95</v>
          </cell>
        </row>
        <row r="179">
          <cell r="C179">
            <v>-8601.7000000000007</v>
          </cell>
          <cell r="E179">
            <v>-8601.7000000000007</v>
          </cell>
        </row>
        <row r="180">
          <cell r="C180">
            <v>-8601.7000000000007</v>
          </cell>
          <cell r="E180">
            <v>-8601.7000000000007</v>
          </cell>
        </row>
        <row r="181">
          <cell r="B181" t="str">
            <v>61550</v>
          </cell>
          <cell r="C181">
            <v>-8601.7000000000007</v>
          </cell>
          <cell r="E181">
            <v>-8601.7000000000007</v>
          </cell>
        </row>
        <row r="182">
          <cell r="C182">
            <v>0</v>
          </cell>
          <cell r="E182">
            <v>0</v>
          </cell>
        </row>
        <row r="183">
          <cell r="C183">
            <v>0</v>
          </cell>
          <cell r="E183">
            <v>0</v>
          </cell>
        </row>
        <row r="184">
          <cell r="B184" t="str">
            <v>62550</v>
          </cell>
          <cell r="C184">
            <v>0</v>
          </cell>
          <cell r="E184">
            <v>0</v>
          </cell>
        </row>
        <row r="185">
          <cell r="C185">
            <v>-2321.25</v>
          </cell>
          <cell r="E185">
            <v>-2321.25</v>
          </cell>
        </row>
        <row r="186">
          <cell r="B186" t="str">
            <v>61650</v>
          </cell>
          <cell r="C186">
            <v>-2321.25</v>
          </cell>
          <cell r="E186">
            <v>-2321.25</v>
          </cell>
        </row>
        <row r="187">
          <cell r="C187">
            <v>11242520.129999999</v>
          </cell>
          <cell r="E187">
            <v>348600162.27000004</v>
          </cell>
        </row>
        <row r="188">
          <cell r="C188">
            <v>-72234.63</v>
          </cell>
          <cell r="E188">
            <v>12122914.800000001</v>
          </cell>
        </row>
        <row r="189">
          <cell r="C189">
            <v>-72234.63</v>
          </cell>
          <cell r="E189">
            <v>12122914.800000001</v>
          </cell>
        </row>
        <row r="190">
          <cell r="B190" t="str">
            <v>1900</v>
          </cell>
          <cell r="C190">
            <v>-72234.63</v>
          </cell>
          <cell r="D190">
            <v>12195149.430000002</v>
          </cell>
          <cell r="E190">
            <v>12122914.800000001</v>
          </cell>
        </row>
        <row r="191">
          <cell r="C191">
            <v>11314754.76</v>
          </cell>
          <cell r="E191">
            <v>336477247.47000003</v>
          </cell>
        </row>
        <row r="192">
          <cell r="B192" t="str">
            <v>10800</v>
          </cell>
          <cell r="C192">
            <v>11314754.76</v>
          </cell>
          <cell r="D192">
            <v>325162492.71000004</v>
          </cell>
          <cell r="E192">
            <v>336477247.47000003</v>
          </cell>
        </row>
        <row r="193">
          <cell r="C193">
            <v>-67517136.620000005</v>
          </cell>
          <cell r="E193">
            <v>-67517136.620000005</v>
          </cell>
        </row>
        <row r="194">
          <cell r="C194">
            <v>214684.95</v>
          </cell>
          <cell r="E194">
            <v>214684.95</v>
          </cell>
        </row>
        <row r="195">
          <cell r="C195">
            <v>214684.95</v>
          </cell>
          <cell r="E195">
            <v>214684.95</v>
          </cell>
        </row>
        <row r="196">
          <cell r="C196">
            <v>214684.95</v>
          </cell>
          <cell r="E196">
            <v>214684.95</v>
          </cell>
        </row>
        <row r="197">
          <cell r="C197">
            <v>214684.95</v>
          </cell>
          <cell r="E197">
            <v>214684.95</v>
          </cell>
        </row>
        <row r="198">
          <cell r="B198" t="str">
            <v>73050</v>
          </cell>
          <cell r="C198">
            <v>214684.95</v>
          </cell>
          <cell r="E198">
            <v>214684.95</v>
          </cell>
        </row>
        <row r="199">
          <cell r="C199">
            <v>0</v>
          </cell>
          <cell r="E199">
            <v>0</v>
          </cell>
        </row>
        <row r="200">
          <cell r="B200" t="str">
            <v>62150</v>
          </cell>
          <cell r="C200">
            <v>0</v>
          </cell>
          <cell r="E200">
            <v>0</v>
          </cell>
        </row>
        <row r="201">
          <cell r="C201">
            <v>-33189068.23</v>
          </cell>
          <cell r="E201">
            <v>-33189068.23</v>
          </cell>
        </row>
        <row r="202">
          <cell r="C202">
            <v>-27328752.280000001</v>
          </cell>
          <cell r="E202">
            <v>-27328752.280000001</v>
          </cell>
        </row>
        <row r="203">
          <cell r="B203" t="str">
            <v>61700</v>
          </cell>
          <cell r="C203">
            <v>-117207.24</v>
          </cell>
          <cell r="E203">
            <v>-117207.24</v>
          </cell>
        </row>
        <row r="204">
          <cell r="B204" t="str">
            <v>62100</v>
          </cell>
          <cell r="C204">
            <v>1291608.74</v>
          </cell>
          <cell r="E204">
            <v>1291608.74</v>
          </cell>
        </row>
        <row r="205">
          <cell r="B205" t="str">
            <v>76200</v>
          </cell>
          <cell r="C205">
            <v>-28503153.780000001</v>
          </cell>
          <cell r="E205">
            <v>-28503153.780000001</v>
          </cell>
        </row>
        <row r="206">
          <cell r="C206">
            <v>-3541840</v>
          </cell>
          <cell r="E206">
            <v>-3541840</v>
          </cell>
        </row>
        <row r="207">
          <cell r="B207" t="str">
            <v>88200</v>
          </cell>
          <cell r="C207">
            <v>-3541840</v>
          </cell>
          <cell r="E207">
            <v>-3541840</v>
          </cell>
        </row>
        <row r="208">
          <cell r="C208">
            <v>260188.15999999997</v>
          </cell>
          <cell r="E208">
            <v>260188.15999999997</v>
          </cell>
        </row>
        <row r="209">
          <cell r="B209" t="str">
            <v>88300</v>
          </cell>
          <cell r="C209">
            <v>101133.75999999999</v>
          </cell>
          <cell r="E209">
            <v>101133.75999999999</v>
          </cell>
        </row>
        <row r="210">
          <cell r="B210" t="str">
            <v>88800</v>
          </cell>
          <cell r="C210">
            <v>159054.39999999999</v>
          </cell>
          <cell r="E210">
            <v>159054.39999999999</v>
          </cell>
        </row>
        <row r="211">
          <cell r="C211">
            <v>-2578664.11</v>
          </cell>
          <cell r="E211">
            <v>-2578664.11</v>
          </cell>
        </row>
        <row r="212">
          <cell r="B212" t="str">
            <v>76300</v>
          </cell>
          <cell r="C212">
            <v>-2578664.11</v>
          </cell>
          <cell r="E212">
            <v>-2578664.11</v>
          </cell>
        </row>
        <row r="213">
          <cell r="C213">
            <v>-17180092.109999999</v>
          </cell>
          <cell r="E213">
            <v>-17180092.109999999</v>
          </cell>
        </row>
        <row r="214">
          <cell r="C214">
            <v>-17180092.109999999</v>
          </cell>
          <cell r="E214">
            <v>-17180092.109999999</v>
          </cell>
        </row>
        <row r="215">
          <cell r="B215" t="str">
            <v>60000</v>
          </cell>
          <cell r="C215">
            <v>-27577.119999999999</v>
          </cell>
          <cell r="E215">
            <v>-27577.119999999999</v>
          </cell>
        </row>
        <row r="216">
          <cell r="B216" t="str">
            <v>324970</v>
          </cell>
          <cell r="C216">
            <v>-17152514.989999998</v>
          </cell>
          <cell r="E216">
            <v>-17152514.989999998</v>
          </cell>
        </row>
        <row r="217">
          <cell r="C217">
            <v>-17362661.23</v>
          </cell>
          <cell r="E217">
            <v>-17362661.23</v>
          </cell>
        </row>
        <row r="218">
          <cell r="C218">
            <v>-17362661.23</v>
          </cell>
          <cell r="E218">
            <v>-17362661.23</v>
          </cell>
        </row>
        <row r="219">
          <cell r="B219" t="str">
            <v>68100</v>
          </cell>
          <cell r="C219">
            <v>-17362661.23</v>
          </cell>
          <cell r="E219">
            <v>-17362661.23</v>
          </cell>
        </row>
        <row r="220">
          <cell r="C220">
            <v>-25485355.579999998</v>
          </cell>
          <cell r="E220">
            <v>-25485355.579999998</v>
          </cell>
        </row>
        <row r="221">
          <cell r="C221">
            <v>-25485355.579999998</v>
          </cell>
          <cell r="E221">
            <v>-25485355.579999998</v>
          </cell>
        </row>
        <row r="222">
          <cell r="B222" t="str">
            <v>125600</v>
          </cell>
          <cell r="C222">
            <v>-25485355.579999998</v>
          </cell>
          <cell r="E222">
            <v>-25485355.579999998</v>
          </cell>
        </row>
        <row r="223">
          <cell r="C223">
            <v>140464140.42000002</v>
          </cell>
          <cell r="E223">
            <v>152569708.23000002</v>
          </cell>
        </row>
        <row r="224">
          <cell r="C224">
            <v>734445.97</v>
          </cell>
          <cell r="E224">
            <v>734445.97</v>
          </cell>
        </row>
        <row r="225">
          <cell r="C225">
            <v>734445.97</v>
          </cell>
          <cell r="E225">
            <v>734445.97</v>
          </cell>
        </row>
        <row r="226">
          <cell r="C226">
            <v>734445.97</v>
          </cell>
          <cell r="E226">
            <v>734445.97</v>
          </cell>
        </row>
        <row r="227">
          <cell r="C227">
            <v>734445.97</v>
          </cell>
          <cell r="E227">
            <v>734445.97</v>
          </cell>
        </row>
        <row r="228">
          <cell r="B228" t="str">
            <v>101300</v>
          </cell>
          <cell r="C228">
            <v>734445.97</v>
          </cell>
          <cell r="E228">
            <v>734445.97</v>
          </cell>
        </row>
        <row r="229">
          <cell r="C229">
            <v>0</v>
          </cell>
          <cell r="E229">
            <v>0</v>
          </cell>
        </row>
        <row r="230">
          <cell r="C230">
            <v>0</v>
          </cell>
          <cell r="E230">
            <v>0</v>
          </cell>
        </row>
        <row r="231">
          <cell r="B231" t="str">
            <v>127940</v>
          </cell>
          <cell r="C231">
            <v>0</v>
          </cell>
          <cell r="E231">
            <v>0</v>
          </cell>
        </row>
        <row r="232">
          <cell r="C232">
            <v>139729694.45000002</v>
          </cell>
          <cell r="E232">
            <v>151835262.26000002</v>
          </cell>
        </row>
        <row r="233">
          <cell r="C233">
            <v>65068895.95000001</v>
          </cell>
          <cell r="E233">
            <v>65068895.95000001</v>
          </cell>
        </row>
        <row r="234">
          <cell r="C234">
            <v>66090850.710000008</v>
          </cell>
          <cell r="E234">
            <v>66090850.710000008</v>
          </cell>
        </row>
        <row r="235">
          <cell r="B235" t="str">
            <v>102020</v>
          </cell>
          <cell r="C235">
            <v>6251971.0199999996</v>
          </cell>
          <cell r="E235">
            <v>6251971.0199999996</v>
          </cell>
        </row>
        <row r="236">
          <cell r="B236" t="str">
            <v>103270</v>
          </cell>
          <cell r="C236">
            <v>562079.05000000005</v>
          </cell>
          <cell r="E236">
            <v>562079.05000000005</v>
          </cell>
        </row>
        <row r="237">
          <cell r="B237" t="str">
            <v>104590</v>
          </cell>
          <cell r="C237">
            <v>157875.04999999999</v>
          </cell>
          <cell r="E237">
            <v>157875.04999999999</v>
          </cell>
        </row>
        <row r="238">
          <cell r="B238" t="str">
            <v>107720</v>
          </cell>
          <cell r="C238">
            <v>5818039.9900000002</v>
          </cell>
          <cell r="E238">
            <v>5818039.9900000002</v>
          </cell>
        </row>
        <row r="239">
          <cell r="B239" t="str">
            <v>107760</v>
          </cell>
          <cell r="C239">
            <v>-3.9</v>
          </cell>
          <cell r="E239">
            <v>-3.9</v>
          </cell>
        </row>
        <row r="240">
          <cell r="B240" t="str">
            <v>108400</v>
          </cell>
          <cell r="C240">
            <v>-863088.9</v>
          </cell>
          <cell r="E240">
            <v>-863088.9</v>
          </cell>
        </row>
        <row r="241">
          <cell r="B241" t="str">
            <v>113600</v>
          </cell>
          <cell r="C241">
            <v>34487428.079999998</v>
          </cell>
          <cell r="E241">
            <v>34487428.079999998</v>
          </cell>
        </row>
        <row r="242">
          <cell r="B242" t="str">
            <v>114100</v>
          </cell>
          <cell r="C242">
            <v>16540631.970000001</v>
          </cell>
          <cell r="E242">
            <v>16540631.970000001</v>
          </cell>
        </row>
        <row r="243">
          <cell r="B243" t="str">
            <v>115500</v>
          </cell>
          <cell r="C243">
            <v>0</v>
          </cell>
          <cell r="E243">
            <v>0</v>
          </cell>
        </row>
        <row r="244">
          <cell r="B244" t="str">
            <v>115600</v>
          </cell>
          <cell r="C244">
            <v>47520.77</v>
          </cell>
          <cell r="E244">
            <v>47520.77</v>
          </cell>
        </row>
        <row r="245">
          <cell r="B245" t="str">
            <v>115900</v>
          </cell>
          <cell r="C245">
            <v>2688591.24</v>
          </cell>
          <cell r="E245">
            <v>2688591.24</v>
          </cell>
        </row>
        <row r="246">
          <cell r="B246" t="str">
            <v>119200</v>
          </cell>
          <cell r="C246">
            <v>-17174.45</v>
          </cell>
          <cell r="E246">
            <v>-17174.45</v>
          </cell>
        </row>
        <row r="247">
          <cell r="B247" t="str">
            <v>123000</v>
          </cell>
          <cell r="C247">
            <v>219370.19</v>
          </cell>
          <cell r="E247">
            <v>219370.19</v>
          </cell>
        </row>
        <row r="248">
          <cell r="B248" t="str">
            <v>318100</v>
          </cell>
          <cell r="C248">
            <v>1298194.8700000001</v>
          </cell>
          <cell r="E248">
            <v>1298194.8700000001</v>
          </cell>
        </row>
        <row r="249">
          <cell r="B249" t="str">
            <v>328470</v>
          </cell>
          <cell r="C249">
            <v>-1145857.48</v>
          </cell>
          <cell r="E249">
            <v>-1145857.48</v>
          </cell>
        </row>
        <row r="250">
          <cell r="B250" t="str">
            <v>338040</v>
          </cell>
          <cell r="C250">
            <v>45273.21</v>
          </cell>
          <cell r="E250">
            <v>45273.21</v>
          </cell>
        </row>
        <row r="251">
          <cell r="C251">
            <v>-1021954.76</v>
          </cell>
          <cell r="E251">
            <v>-1021954.76</v>
          </cell>
        </row>
        <row r="252">
          <cell r="B252" t="str">
            <v>100200</v>
          </cell>
          <cell r="C252">
            <v>194785.93</v>
          </cell>
          <cell r="E252">
            <v>194785.93</v>
          </cell>
        </row>
        <row r="253">
          <cell r="B253" t="str">
            <v>107740</v>
          </cell>
          <cell r="C253">
            <v>-1216740.69</v>
          </cell>
          <cell r="E253">
            <v>-1216740.69</v>
          </cell>
        </row>
        <row r="254">
          <cell r="C254">
            <v>51464306.340000004</v>
          </cell>
          <cell r="E254">
            <v>63569874.150000006</v>
          </cell>
        </row>
        <row r="255">
          <cell r="C255">
            <v>51034913.210000001</v>
          </cell>
          <cell r="E255">
            <v>51034913.210000001</v>
          </cell>
        </row>
        <row r="256">
          <cell r="B256" t="str">
            <v>600</v>
          </cell>
          <cell r="C256">
            <v>-8382728.2999999998</v>
          </cell>
          <cell r="E256">
            <v>-8382728.2999999998</v>
          </cell>
        </row>
        <row r="257">
          <cell r="B257" t="str">
            <v>100600</v>
          </cell>
          <cell r="C257">
            <v>59417641.509999998</v>
          </cell>
          <cell r="E257">
            <v>59417641.509999998</v>
          </cell>
        </row>
        <row r="258">
          <cell r="C258">
            <v>25874.2</v>
          </cell>
          <cell r="E258">
            <v>25874.2</v>
          </cell>
        </row>
        <row r="259">
          <cell r="B259" t="str">
            <v>126720</v>
          </cell>
          <cell r="C259">
            <v>8100</v>
          </cell>
          <cell r="E259">
            <v>8100</v>
          </cell>
        </row>
        <row r="260">
          <cell r="B260" t="str">
            <v>231900</v>
          </cell>
          <cell r="C260">
            <v>17774.2</v>
          </cell>
          <cell r="E260">
            <v>17774.2</v>
          </cell>
        </row>
        <row r="261">
          <cell r="C261">
            <v>403518.93</v>
          </cell>
          <cell r="E261">
            <v>12509086.74</v>
          </cell>
        </row>
        <row r="262">
          <cell r="B262" t="str">
            <v>100295</v>
          </cell>
          <cell r="C262">
            <v>403518.93</v>
          </cell>
          <cell r="D262">
            <v>12105567.810000001</v>
          </cell>
          <cell r="E262">
            <v>12509086.74</v>
          </cell>
        </row>
        <row r="263">
          <cell r="C263">
            <v>5153932.0399999982</v>
          </cell>
          <cell r="E263">
            <v>5153932.0399999982</v>
          </cell>
        </row>
        <row r="264">
          <cell r="B264" t="str">
            <v>100535</v>
          </cell>
          <cell r="C264">
            <v>1179745.8799999999</v>
          </cell>
          <cell r="E264">
            <v>1179745.8799999999</v>
          </cell>
        </row>
        <row r="265">
          <cell r="B265" t="str">
            <v>101110</v>
          </cell>
          <cell r="C265">
            <v>1149389.23</v>
          </cell>
          <cell r="E265">
            <v>1149389.23</v>
          </cell>
        </row>
        <row r="266">
          <cell r="B266" t="str">
            <v>104110</v>
          </cell>
          <cell r="C266">
            <v>6238.45</v>
          </cell>
          <cell r="E266">
            <v>6238.45</v>
          </cell>
        </row>
        <row r="267">
          <cell r="B267" t="str">
            <v>240500</v>
          </cell>
          <cell r="C267">
            <v>14650.53</v>
          </cell>
          <cell r="E267">
            <v>14650.53</v>
          </cell>
        </row>
        <row r="268">
          <cell r="B268" t="str">
            <v>240600</v>
          </cell>
          <cell r="C268">
            <v>7009.03</v>
          </cell>
          <cell r="E268">
            <v>7009.03</v>
          </cell>
        </row>
        <row r="269">
          <cell r="B269" t="str">
            <v>240900</v>
          </cell>
          <cell r="C269">
            <v>2845767.83</v>
          </cell>
          <cell r="E269">
            <v>2845767.83</v>
          </cell>
        </row>
        <row r="270">
          <cell r="B270" t="str">
            <v>247300</v>
          </cell>
          <cell r="C270">
            <v>199154.3</v>
          </cell>
          <cell r="E270">
            <v>199154.3</v>
          </cell>
        </row>
        <row r="271">
          <cell r="B271" t="str">
            <v>247400</v>
          </cell>
          <cell r="C271">
            <v>-419418.55</v>
          </cell>
          <cell r="E271">
            <v>-419418.55</v>
          </cell>
        </row>
        <row r="272">
          <cell r="B272" t="str">
            <v>247600</v>
          </cell>
          <cell r="C272">
            <v>29513.72</v>
          </cell>
          <cell r="E272">
            <v>29513.72</v>
          </cell>
        </row>
        <row r="273">
          <cell r="B273" t="str">
            <v>247700</v>
          </cell>
          <cell r="C273">
            <v>42120.17</v>
          </cell>
          <cell r="E273">
            <v>42120.17</v>
          </cell>
        </row>
        <row r="274">
          <cell r="B274" t="str">
            <v>248300</v>
          </cell>
          <cell r="C274">
            <v>-0.4</v>
          </cell>
          <cell r="E274">
            <v>-0.4</v>
          </cell>
        </row>
        <row r="275">
          <cell r="B275" t="str">
            <v>312950</v>
          </cell>
          <cell r="C275">
            <v>96638.17</v>
          </cell>
          <cell r="E275">
            <v>96638.17</v>
          </cell>
        </row>
        <row r="276">
          <cell r="B276" t="str">
            <v>312951</v>
          </cell>
          <cell r="C276">
            <v>3123.68</v>
          </cell>
          <cell r="E276">
            <v>3123.68</v>
          </cell>
        </row>
        <row r="277">
          <cell r="C277">
            <v>17073860.689999998</v>
          </cell>
          <cell r="E277">
            <v>17073860.689999998</v>
          </cell>
        </row>
        <row r="278">
          <cell r="B278" t="str">
            <v>120300</v>
          </cell>
          <cell r="C278">
            <v>2561282.08</v>
          </cell>
          <cell r="E278">
            <v>2561282.08</v>
          </cell>
        </row>
        <row r="279">
          <cell r="B279" t="str">
            <v>166800</v>
          </cell>
          <cell r="C279">
            <v>14512578.609999999</v>
          </cell>
          <cell r="E279">
            <v>14512578.609999999</v>
          </cell>
        </row>
        <row r="280">
          <cell r="B280" t="str">
            <v>167200</v>
          </cell>
          <cell r="C280">
            <v>0</v>
          </cell>
          <cell r="E280">
            <v>0</v>
          </cell>
        </row>
        <row r="281">
          <cell r="B281" t="str">
            <v>990400</v>
          </cell>
          <cell r="C281">
            <v>0</v>
          </cell>
          <cell r="E281">
            <v>0</v>
          </cell>
        </row>
        <row r="282">
          <cell r="C282">
            <v>952488.61999999988</v>
          </cell>
          <cell r="E282">
            <v>952488.61999999988</v>
          </cell>
        </row>
        <row r="283">
          <cell r="B283" t="str">
            <v>280450</v>
          </cell>
          <cell r="C283">
            <v>99855.93</v>
          </cell>
          <cell r="E283">
            <v>99855.93</v>
          </cell>
        </row>
        <row r="284">
          <cell r="B284" t="str">
            <v>280470</v>
          </cell>
          <cell r="C284">
            <v>852694.7</v>
          </cell>
          <cell r="E284">
            <v>852694.7</v>
          </cell>
        </row>
        <row r="285">
          <cell r="B285" t="str">
            <v>280471</v>
          </cell>
          <cell r="C285">
            <v>-62.01</v>
          </cell>
          <cell r="E285">
            <v>-62.01</v>
          </cell>
        </row>
        <row r="286">
          <cell r="C286">
            <v>16210.81</v>
          </cell>
          <cell r="E286">
            <v>16210.81</v>
          </cell>
        </row>
        <row r="287">
          <cell r="B287" t="str">
            <v>113200</v>
          </cell>
          <cell r="C287">
            <v>16210.81</v>
          </cell>
          <cell r="E287">
            <v>16210.81</v>
          </cell>
        </row>
        <row r="288">
          <cell r="C288">
            <v>5827331.75</v>
          </cell>
          <cell r="E288">
            <v>5827331.75</v>
          </cell>
        </row>
        <row r="289">
          <cell r="C289">
            <v>4000006</v>
          </cell>
          <cell r="E289">
            <v>4000006</v>
          </cell>
        </row>
        <row r="290">
          <cell r="B290" t="str">
            <v>131500</v>
          </cell>
          <cell r="C290">
            <v>4000006</v>
          </cell>
          <cell r="E290">
            <v>4000006</v>
          </cell>
        </row>
        <row r="291">
          <cell r="C291">
            <v>1827325.75</v>
          </cell>
          <cell r="E291">
            <v>1827325.75</v>
          </cell>
        </row>
        <row r="292">
          <cell r="B292" t="str">
            <v>131900</v>
          </cell>
          <cell r="C292">
            <v>1827325.75</v>
          </cell>
          <cell r="E292">
            <v>1827325.75</v>
          </cell>
        </row>
        <row r="293">
          <cell r="C293">
            <v>76763088.910000026</v>
          </cell>
          <cell r="E293">
            <v>76763088.910000026</v>
          </cell>
        </row>
        <row r="294">
          <cell r="C294">
            <v>74262694.51000002</v>
          </cell>
          <cell r="E294">
            <v>74262694.51000002</v>
          </cell>
        </row>
        <row r="295">
          <cell r="C295">
            <v>191232230.86000001</v>
          </cell>
          <cell r="E295">
            <v>191232230.86000001</v>
          </cell>
        </row>
        <row r="296">
          <cell r="C296">
            <v>30168115.879999999</v>
          </cell>
          <cell r="E296">
            <v>30168115.879999999</v>
          </cell>
        </row>
        <row r="297">
          <cell r="B297" t="str">
            <v>162700</v>
          </cell>
          <cell r="C297">
            <v>0</v>
          </cell>
          <cell r="E297">
            <v>0</v>
          </cell>
        </row>
        <row r="298">
          <cell r="B298" t="str">
            <v>163000</v>
          </cell>
          <cell r="C298">
            <v>391693.11</v>
          </cell>
          <cell r="E298">
            <v>391693.11</v>
          </cell>
        </row>
        <row r="299">
          <cell r="B299" t="str">
            <v>163500</v>
          </cell>
          <cell r="C299">
            <v>230481.46</v>
          </cell>
          <cell r="E299">
            <v>230481.46</v>
          </cell>
        </row>
        <row r="300">
          <cell r="B300" t="str">
            <v>163800</v>
          </cell>
          <cell r="C300">
            <v>29545941.309999999</v>
          </cell>
          <cell r="E300">
            <v>29545941.309999999</v>
          </cell>
        </row>
        <row r="301">
          <cell r="C301">
            <v>70177252.650000006</v>
          </cell>
          <cell r="E301">
            <v>70177252.650000006</v>
          </cell>
        </row>
        <row r="302">
          <cell r="B302" t="str">
            <v>163100</v>
          </cell>
          <cell r="C302">
            <v>26828684.280000001</v>
          </cell>
          <cell r="E302">
            <v>26828684.280000001</v>
          </cell>
        </row>
        <row r="303">
          <cell r="B303" t="str">
            <v>163200</v>
          </cell>
          <cell r="C303">
            <v>11108238.289999999</v>
          </cell>
          <cell r="E303">
            <v>11108238.289999999</v>
          </cell>
        </row>
        <row r="304">
          <cell r="B304" t="str">
            <v>164700</v>
          </cell>
          <cell r="C304">
            <v>32240330.079999998</v>
          </cell>
          <cell r="E304">
            <v>32240330.079999998</v>
          </cell>
        </row>
        <row r="305">
          <cell r="C305">
            <v>40991177.93</v>
          </cell>
          <cell r="E305">
            <v>40991177.93</v>
          </cell>
        </row>
        <row r="306">
          <cell r="B306" t="str">
            <v>164300</v>
          </cell>
          <cell r="C306">
            <v>32385916.77</v>
          </cell>
          <cell r="E306">
            <v>32385916.77</v>
          </cell>
        </row>
        <row r="307">
          <cell r="B307" t="str">
            <v>164400</v>
          </cell>
          <cell r="C307">
            <v>8605261.1600000001</v>
          </cell>
          <cell r="E307">
            <v>8605261.1600000001</v>
          </cell>
        </row>
        <row r="308">
          <cell r="C308">
            <v>8053720.0499999998</v>
          </cell>
          <cell r="E308">
            <v>8053720.0499999998</v>
          </cell>
        </row>
        <row r="309">
          <cell r="B309" t="str">
            <v>164600</v>
          </cell>
          <cell r="C309">
            <v>8053720.0499999998</v>
          </cell>
          <cell r="E309">
            <v>8053720.0499999998</v>
          </cell>
        </row>
        <row r="310">
          <cell r="C310">
            <v>41841964.349999994</v>
          </cell>
          <cell r="E310">
            <v>41841964.349999994</v>
          </cell>
        </row>
        <row r="311">
          <cell r="B311" t="str">
            <v>163700</v>
          </cell>
          <cell r="C311">
            <v>21650066.32</v>
          </cell>
          <cell r="E311">
            <v>21650066.32</v>
          </cell>
        </row>
        <row r="312">
          <cell r="B312" t="str">
            <v>164100</v>
          </cell>
          <cell r="C312">
            <v>8543890.5700000003</v>
          </cell>
          <cell r="E312">
            <v>8543890.5700000003</v>
          </cell>
        </row>
        <row r="313">
          <cell r="B313" t="str">
            <v>164800</v>
          </cell>
          <cell r="C313">
            <v>4842987.41</v>
          </cell>
          <cell r="E313">
            <v>4842987.41</v>
          </cell>
        </row>
        <row r="314">
          <cell r="B314" t="str">
            <v>164900</v>
          </cell>
          <cell r="C314">
            <v>5573674.0499999998</v>
          </cell>
          <cell r="E314">
            <v>5573674.0499999998</v>
          </cell>
        </row>
        <row r="315">
          <cell r="B315" t="str">
            <v>165000</v>
          </cell>
          <cell r="C315">
            <v>408252.36</v>
          </cell>
          <cell r="E315">
            <v>408252.36</v>
          </cell>
        </row>
        <row r="316">
          <cell r="B316" t="str">
            <v>165100</v>
          </cell>
          <cell r="C316">
            <v>719715.38</v>
          </cell>
          <cell r="E316">
            <v>719715.38</v>
          </cell>
        </row>
        <row r="317">
          <cell r="B317" t="str">
            <v>165200</v>
          </cell>
          <cell r="C317">
            <v>103378.26</v>
          </cell>
          <cell r="E317">
            <v>103378.26</v>
          </cell>
        </row>
        <row r="318">
          <cell r="B318" t="str">
            <v>166300</v>
          </cell>
          <cell r="C318">
            <v>0</v>
          </cell>
          <cell r="E318">
            <v>0</v>
          </cell>
        </row>
        <row r="319">
          <cell r="C319">
            <v>-116969536.34999999</v>
          </cell>
          <cell r="E319">
            <v>-116969536.34999999</v>
          </cell>
        </row>
        <row r="320">
          <cell r="C320">
            <v>-10817724.520000001</v>
          </cell>
          <cell r="E320">
            <v>-10817724.520000001</v>
          </cell>
        </row>
        <row r="321">
          <cell r="B321" t="str">
            <v>161800</v>
          </cell>
          <cell r="C321">
            <v>-374548.61</v>
          </cell>
          <cell r="E321">
            <v>-374548.61</v>
          </cell>
        </row>
        <row r="322">
          <cell r="B322" t="str">
            <v>161900</v>
          </cell>
          <cell r="C322">
            <v>-226584.53</v>
          </cell>
          <cell r="E322">
            <v>-226584.53</v>
          </cell>
        </row>
        <row r="323">
          <cell r="B323" t="str">
            <v>171600</v>
          </cell>
          <cell r="C323">
            <v>-10216591.380000001</v>
          </cell>
          <cell r="E323">
            <v>-10216591.380000001</v>
          </cell>
        </row>
        <row r="324">
          <cell r="C324">
            <v>-57778308.359999999</v>
          </cell>
          <cell r="E324">
            <v>-57778308.359999999</v>
          </cell>
        </row>
        <row r="325">
          <cell r="B325" t="str">
            <v>160100</v>
          </cell>
          <cell r="C325">
            <v>-21724862.539999999</v>
          </cell>
          <cell r="E325">
            <v>-21724862.539999999</v>
          </cell>
        </row>
        <row r="326">
          <cell r="B326" t="str">
            <v>160600</v>
          </cell>
          <cell r="C326">
            <v>-8561571.5999999996</v>
          </cell>
          <cell r="E326">
            <v>-8561571.5999999996</v>
          </cell>
        </row>
        <row r="327">
          <cell r="B327" t="str">
            <v>161200</v>
          </cell>
          <cell r="C327">
            <v>-27491874.219999999</v>
          </cell>
          <cell r="E327">
            <v>-27491874.219999999</v>
          </cell>
        </row>
        <row r="328">
          <cell r="C328">
            <v>-16476917.390000001</v>
          </cell>
          <cell r="E328">
            <v>-16476917.390000001</v>
          </cell>
        </row>
        <row r="329">
          <cell r="B329" t="str">
            <v>160700</v>
          </cell>
          <cell r="C329">
            <v>-11257533.17</v>
          </cell>
          <cell r="E329">
            <v>-11257533.17</v>
          </cell>
        </row>
        <row r="330">
          <cell r="B330" t="str">
            <v>160702</v>
          </cell>
          <cell r="C330">
            <v>-32.909999999999997</v>
          </cell>
          <cell r="E330">
            <v>-32.909999999999997</v>
          </cell>
        </row>
        <row r="331">
          <cell r="B331" t="str">
            <v>160900</v>
          </cell>
          <cell r="C331">
            <v>-5219351.3099999996</v>
          </cell>
          <cell r="E331">
            <v>-5219351.3099999996</v>
          </cell>
        </row>
        <row r="332">
          <cell r="C332">
            <v>-5219763.24</v>
          </cell>
          <cell r="E332">
            <v>-5219763.24</v>
          </cell>
        </row>
        <row r="333">
          <cell r="B333" t="str">
            <v>161100</v>
          </cell>
          <cell r="C333">
            <v>-5219763.24</v>
          </cell>
          <cell r="E333">
            <v>-5219763.24</v>
          </cell>
        </row>
        <row r="334">
          <cell r="C334">
            <v>-26676822.840000004</v>
          </cell>
          <cell r="E334">
            <v>-26676822.840000004</v>
          </cell>
        </row>
        <row r="335">
          <cell r="B335" t="str">
            <v>160300</v>
          </cell>
          <cell r="C335">
            <v>-13317822.59</v>
          </cell>
          <cell r="E335">
            <v>-13317822.59</v>
          </cell>
        </row>
        <row r="336">
          <cell r="B336" t="str">
            <v>160500</v>
          </cell>
          <cell r="C336">
            <v>-5900949.8099999996</v>
          </cell>
          <cell r="E336">
            <v>-5900949.8099999996</v>
          </cell>
        </row>
        <row r="337">
          <cell r="B337" t="str">
            <v>161300</v>
          </cell>
          <cell r="C337">
            <v>-3291945.92</v>
          </cell>
          <cell r="E337">
            <v>-3291945.92</v>
          </cell>
        </row>
        <row r="338">
          <cell r="B338" t="str">
            <v>161400</v>
          </cell>
          <cell r="C338">
            <v>-3294103.09</v>
          </cell>
          <cell r="E338">
            <v>-3294103.09</v>
          </cell>
        </row>
        <row r="339">
          <cell r="B339" t="str">
            <v>161500</v>
          </cell>
          <cell r="C339">
            <v>-183641.51</v>
          </cell>
          <cell r="E339">
            <v>-183641.51</v>
          </cell>
        </row>
        <row r="340">
          <cell r="B340" t="str">
            <v>161600</v>
          </cell>
          <cell r="C340">
            <v>-688359.92</v>
          </cell>
          <cell r="E340">
            <v>-688359.92</v>
          </cell>
        </row>
        <row r="341">
          <cell r="C341">
            <v>2500394.4</v>
          </cell>
          <cell r="E341">
            <v>2500394.4</v>
          </cell>
        </row>
        <row r="342">
          <cell r="C342">
            <v>5811444.0800000001</v>
          </cell>
          <cell r="E342">
            <v>5811444.0800000001</v>
          </cell>
        </row>
        <row r="343">
          <cell r="C343">
            <v>5811444.0800000001</v>
          </cell>
          <cell r="E343">
            <v>5811444.0800000001</v>
          </cell>
        </row>
        <row r="344">
          <cell r="B344" t="str">
            <v>172100</v>
          </cell>
          <cell r="C344">
            <v>5811444.0800000001</v>
          </cell>
          <cell r="E344">
            <v>5811444.0800000001</v>
          </cell>
        </row>
        <row r="345">
          <cell r="C345">
            <v>-3311049.68</v>
          </cell>
          <cell r="E345">
            <v>-3311049.68</v>
          </cell>
        </row>
        <row r="346">
          <cell r="C346">
            <v>-3311049.68</v>
          </cell>
          <cell r="E346">
            <v>-3311049.68</v>
          </cell>
        </row>
        <row r="347">
          <cell r="B347" t="str">
            <v>172000</v>
          </cell>
          <cell r="C347">
            <v>-3311049.68</v>
          </cell>
          <cell r="E347">
            <v>-3311049.68</v>
          </cell>
        </row>
        <row r="348">
          <cell r="C348">
            <v>-4679776237.170002</v>
          </cell>
          <cell r="E348">
            <v>-8732514437.7800007</v>
          </cell>
        </row>
        <row r="349">
          <cell r="C349">
            <v>-4966545443.8700008</v>
          </cell>
          <cell r="E349">
            <v>-7839615496.0700006</v>
          </cell>
        </row>
        <row r="350">
          <cell r="C350">
            <v>-4739757079.9900007</v>
          </cell>
          <cell r="E350">
            <v>-7612827132.1900005</v>
          </cell>
        </row>
        <row r="351">
          <cell r="C351">
            <v>-95109745.530000001</v>
          </cell>
          <cell r="E351">
            <v>-2659521729.7999997</v>
          </cell>
        </row>
        <row r="352">
          <cell r="C352">
            <v>0</v>
          </cell>
          <cell r="E352">
            <v>0</v>
          </cell>
        </row>
        <row r="353">
          <cell r="C353">
            <v>0</v>
          </cell>
          <cell r="E353">
            <v>0</v>
          </cell>
        </row>
        <row r="354">
          <cell r="B354" t="str">
            <v>220160</v>
          </cell>
          <cell r="C354">
            <v>0</v>
          </cell>
          <cell r="E354">
            <v>0</v>
          </cell>
        </row>
        <row r="355">
          <cell r="B355" t="str">
            <v>250300</v>
          </cell>
          <cell r="C355">
            <v>0</v>
          </cell>
          <cell r="E355">
            <v>0</v>
          </cell>
        </row>
        <row r="356">
          <cell r="C356">
            <v>-21557134.630000003</v>
          </cell>
          <cell r="E356">
            <v>-332851181.18000001</v>
          </cell>
        </row>
        <row r="357">
          <cell r="C357">
            <v>-21557134.630000003</v>
          </cell>
          <cell r="E357">
            <v>-332851181.18000001</v>
          </cell>
        </row>
        <row r="358">
          <cell r="C358">
            <v>-21557134.630000003</v>
          </cell>
          <cell r="E358">
            <v>-332851181.18000001</v>
          </cell>
        </row>
        <row r="359">
          <cell r="B359" t="str">
            <v>239100</v>
          </cell>
          <cell r="C359">
            <v>-12224647.439999999</v>
          </cell>
          <cell r="E359">
            <v>-12224647.439999999</v>
          </cell>
        </row>
        <row r="360">
          <cell r="B360" t="str">
            <v>239200</v>
          </cell>
          <cell r="C360">
            <v>-9307803.1500000004</v>
          </cell>
          <cell r="D360">
            <v>-310553623.60000002</v>
          </cell>
          <cell r="E360">
            <v>-319861426.75</v>
          </cell>
        </row>
        <row r="361">
          <cell r="B361" t="str">
            <v>242100</v>
          </cell>
          <cell r="C361">
            <v>-1844.28</v>
          </cell>
          <cell r="D361">
            <v>-55346.840000000004</v>
          </cell>
          <cell r="E361">
            <v>-57191.12</v>
          </cell>
        </row>
        <row r="362">
          <cell r="B362" t="str">
            <v>252900</v>
          </cell>
          <cell r="C362">
            <v>-22839.759999999998</v>
          </cell>
          <cell r="D362">
            <v>-685076.11</v>
          </cell>
          <cell r="E362">
            <v>-707915.87</v>
          </cell>
        </row>
        <row r="363">
          <cell r="C363">
            <v>0</v>
          </cell>
          <cell r="E363">
            <v>0</v>
          </cell>
        </row>
        <row r="364">
          <cell r="B364" t="str">
            <v>326570</v>
          </cell>
          <cell r="C364">
            <v>0</v>
          </cell>
          <cell r="E364">
            <v>0</v>
          </cell>
        </row>
        <row r="365">
          <cell r="C365">
            <v>-73552610.900000006</v>
          </cell>
          <cell r="E365">
            <v>-2326670548.6199999</v>
          </cell>
        </row>
        <row r="366">
          <cell r="C366">
            <v>11689912.84</v>
          </cell>
          <cell r="E366">
            <v>209442450.59</v>
          </cell>
        </row>
        <row r="367">
          <cell r="B367" t="str">
            <v>227400</v>
          </cell>
          <cell r="C367">
            <v>11695727.529999999</v>
          </cell>
          <cell r="D367">
            <v>197930778.65000001</v>
          </cell>
          <cell r="E367">
            <v>209626506.18000001</v>
          </cell>
        </row>
        <row r="368">
          <cell r="B368" t="str">
            <v>238300</v>
          </cell>
          <cell r="C368">
            <v>0</v>
          </cell>
          <cell r="E368">
            <v>0</v>
          </cell>
        </row>
        <row r="369">
          <cell r="B369" t="str">
            <v>250100</v>
          </cell>
          <cell r="C369">
            <v>-5814.69</v>
          </cell>
          <cell r="D369">
            <v>-178240.9</v>
          </cell>
          <cell r="E369">
            <v>-184055.59</v>
          </cell>
        </row>
        <row r="370">
          <cell r="C370">
            <v>-72125806.420000002</v>
          </cell>
          <cell r="E370">
            <v>-2150914027.4499998</v>
          </cell>
        </row>
        <row r="371">
          <cell r="B371" t="str">
            <v>220085</v>
          </cell>
          <cell r="C371">
            <v>-26290322.59</v>
          </cell>
          <cell r="D371">
            <v>-788709677.40999997</v>
          </cell>
          <cell r="E371">
            <v>-815000000</v>
          </cell>
        </row>
        <row r="372">
          <cell r="B372" t="str">
            <v>226100</v>
          </cell>
          <cell r="C372">
            <v>-45835483.829999998</v>
          </cell>
          <cell r="D372">
            <v>-1290078543.6200001</v>
          </cell>
          <cell r="E372">
            <v>-1335914027.45</v>
          </cell>
        </row>
        <row r="373">
          <cell r="B373" t="str">
            <v>229200</v>
          </cell>
          <cell r="C373">
            <v>0</v>
          </cell>
          <cell r="E373">
            <v>0</v>
          </cell>
        </row>
        <row r="374">
          <cell r="C374">
            <v>-13116717.32</v>
          </cell>
          <cell r="E374">
            <v>-385198971.75999999</v>
          </cell>
        </row>
        <row r="375">
          <cell r="B375" t="str">
            <v>238500</v>
          </cell>
          <cell r="C375">
            <v>-138973.35</v>
          </cell>
          <cell r="D375">
            <v>-4169200.64</v>
          </cell>
          <cell r="E375">
            <v>-4308173.99</v>
          </cell>
        </row>
        <row r="376">
          <cell r="B376" t="str">
            <v>238600</v>
          </cell>
          <cell r="C376">
            <v>-12977743.970000001</v>
          </cell>
          <cell r="D376">
            <v>-367913053.79999995</v>
          </cell>
          <cell r="E376">
            <v>-380890797.76999998</v>
          </cell>
        </row>
        <row r="377">
          <cell r="C377">
            <v>-1651730.96</v>
          </cell>
          <cell r="E377">
            <v>-67573219.239999995</v>
          </cell>
        </row>
        <row r="378">
          <cell r="C378">
            <v>-400582.65</v>
          </cell>
          <cell r="E378">
            <v>-7916318.3500000006</v>
          </cell>
        </row>
        <row r="379">
          <cell r="C379">
            <v>-287724.12</v>
          </cell>
          <cell r="E379">
            <v>-7803459.8200000003</v>
          </cell>
        </row>
        <row r="380">
          <cell r="B380" t="str">
            <v>229600</v>
          </cell>
          <cell r="C380">
            <v>-287724.12</v>
          </cell>
          <cell r="D380">
            <v>-7515735.7000000002</v>
          </cell>
          <cell r="E380">
            <v>-7803459.8200000003</v>
          </cell>
        </row>
        <row r="381">
          <cell r="C381">
            <v>-112858.53</v>
          </cell>
          <cell r="E381">
            <v>-112858.53</v>
          </cell>
        </row>
        <row r="382">
          <cell r="C382">
            <v>-112858.53</v>
          </cell>
          <cell r="E382">
            <v>-112858.53</v>
          </cell>
        </row>
        <row r="383">
          <cell r="B383" t="str">
            <v>229500</v>
          </cell>
          <cell r="C383">
            <v>-112858.53</v>
          </cell>
          <cell r="E383">
            <v>-112858.53</v>
          </cell>
        </row>
        <row r="384">
          <cell r="C384">
            <v>-1251148.31</v>
          </cell>
          <cell r="E384">
            <v>-59656900.890000001</v>
          </cell>
        </row>
        <row r="385">
          <cell r="B385" t="str">
            <v>229400</v>
          </cell>
          <cell r="C385">
            <v>-1251148.31</v>
          </cell>
          <cell r="D385">
            <v>-58405752.579999998</v>
          </cell>
          <cell r="E385">
            <v>-59656900.890000001</v>
          </cell>
        </row>
        <row r="386">
          <cell r="C386">
            <v>-4697135.01</v>
          </cell>
          <cell r="E386">
            <v>-200501694.81999999</v>
          </cell>
        </row>
        <row r="387">
          <cell r="C387">
            <v>-2525071.34</v>
          </cell>
          <cell r="E387">
            <v>-115735665.18000001</v>
          </cell>
        </row>
        <row r="388">
          <cell r="C388">
            <v>-2525071.34</v>
          </cell>
          <cell r="E388">
            <v>-115735665.18000001</v>
          </cell>
        </row>
        <row r="389">
          <cell r="B389" t="str">
            <v>220005</v>
          </cell>
          <cell r="C389">
            <v>-2525071.34</v>
          </cell>
          <cell r="D389">
            <v>-113210593.84</v>
          </cell>
          <cell r="E389">
            <v>-115735665.18000001</v>
          </cell>
        </row>
        <row r="390">
          <cell r="C390">
            <v>0</v>
          </cell>
          <cell r="E390">
            <v>0</v>
          </cell>
        </row>
        <row r="391">
          <cell r="C391">
            <v>0</v>
          </cell>
          <cell r="E391">
            <v>0</v>
          </cell>
        </row>
        <row r="392">
          <cell r="B392" t="str">
            <v>251000</v>
          </cell>
          <cell r="C392">
            <v>0</v>
          </cell>
          <cell r="E392">
            <v>0</v>
          </cell>
        </row>
        <row r="393">
          <cell r="C393">
            <v>-2172063.67</v>
          </cell>
          <cell r="E393">
            <v>-84766029.640000001</v>
          </cell>
        </row>
        <row r="394">
          <cell r="B394" t="str">
            <v>228000</v>
          </cell>
          <cell r="C394">
            <v>0</v>
          </cell>
          <cell r="E394">
            <v>0</v>
          </cell>
        </row>
        <row r="395">
          <cell r="B395" t="str">
            <v>252400</v>
          </cell>
          <cell r="C395">
            <v>-2172063.67</v>
          </cell>
          <cell r="D395">
            <v>-82593965.969999999</v>
          </cell>
          <cell r="E395">
            <v>-84766029.640000001</v>
          </cell>
        </row>
        <row r="396">
          <cell r="C396">
            <v>-4630246071.5200005</v>
          </cell>
          <cell r="E396">
            <v>-4630246071.5200005</v>
          </cell>
        </row>
        <row r="397">
          <cell r="C397">
            <v>-3722839914.4100003</v>
          </cell>
          <cell r="E397">
            <v>-3722839914.4100003</v>
          </cell>
        </row>
        <row r="398">
          <cell r="C398">
            <v>-2035063625.98</v>
          </cell>
          <cell r="E398">
            <v>-2035063625.98</v>
          </cell>
        </row>
        <row r="399">
          <cell r="C399">
            <v>1597.3</v>
          </cell>
          <cell r="E399">
            <v>1597.3</v>
          </cell>
        </row>
        <row r="400">
          <cell r="B400" t="str">
            <v>212200</v>
          </cell>
          <cell r="C400">
            <v>1597.3</v>
          </cell>
          <cell r="E400">
            <v>1597.3</v>
          </cell>
        </row>
        <row r="401">
          <cell r="C401">
            <v>-2035065223.28</v>
          </cell>
          <cell r="E401">
            <v>-2035065223.28</v>
          </cell>
        </row>
        <row r="402">
          <cell r="B402" t="str">
            <v>229800</v>
          </cell>
          <cell r="C402">
            <v>-2035065223.28</v>
          </cell>
          <cell r="E402">
            <v>-2035065223.28</v>
          </cell>
        </row>
        <row r="403">
          <cell r="B403" t="str">
            <v>230200</v>
          </cell>
          <cell r="C403">
            <v>0</v>
          </cell>
          <cell r="E403">
            <v>0</v>
          </cell>
        </row>
        <row r="404">
          <cell r="C404">
            <v>-1361730124.45</v>
          </cell>
          <cell r="E404">
            <v>-1361730124.45</v>
          </cell>
        </row>
        <row r="405">
          <cell r="B405" t="str">
            <v>222200</v>
          </cell>
          <cell r="C405">
            <v>-1361730124.45</v>
          </cell>
          <cell r="E405">
            <v>-1361730124.45</v>
          </cell>
        </row>
        <row r="406">
          <cell r="C406">
            <v>-326046163.98000002</v>
          </cell>
          <cell r="E406">
            <v>-326046163.98000002</v>
          </cell>
        </row>
        <row r="407">
          <cell r="C407">
            <v>-326046163.98000002</v>
          </cell>
          <cell r="E407">
            <v>-326046163.98000002</v>
          </cell>
        </row>
        <row r="408">
          <cell r="B408" t="str">
            <v>226900</v>
          </cell>
          <cell r="C408">
            <v>-326046163.98000002</v>
          </cell>
          <cell r="E408">
            <v>-326046163.98000002</v>
          </cell>
        </row>
        <row r="409">
          <cell r="C409">
            <v>-907406157.1099999</v>
          </cell>
          <cell r="E409">
            <v>-907406157.1099999</v>
          </cell>
        </row>
        <row r="410">
          <cell r="C410">
            <v>-289486792.29000002</v>
          </cell>
          <cell r="E410">
            <v>-289486792.29000002</v>
          </cell>
        </row>
        <row r="411">
          <cell r="B411" t="str">
            <v>226500</v>
          </cell>
          <cell r="C411">
            <v>-289486792.29000002</v>
          </cell>
          <cell r="E411">
            <v>-289486792.29000002</v>
          </cell>
        </row>
        <row r="412">
          <cell r="C412">
            <v>-614289782.06999993</v>
          </cell>
          <cell r="E412">
            <v>-614289782.06999993</v>
          </cell>
        </row>
        <row r="413">
          <cell r="B413" t="str">
            <v>222900</v>
          </cell>
          <cell r="C413">
            <v>-1953187.29</v>
          </cell>
          <cell r="E413">
            <v>-1953187.29</v>
          </cell>
        </row>
        <row r="414">
          <cell r="B414" t="str">
            <v>238200</v>
          </cell>
          <cell r="C414">
            <v>-612336594.77999997</v>
          </cell>
          <cell r="E414">
            <v>-612336594.77999997</v>
          </cell>
        </row>
        <row r="415">
          <cell r="C415">
            <v>-3629582.75</v>
          </cell>
          <cell r="E415">
            <v>-3629582.75</v>
          </cell>
        </row>
        <row r="416">
          <cell r="B416" t="str">
            <v>212900</v>
          </cell>
          <cell r="C416">
            <v>-3629582.75</v>
          </cell>
          <cell r="E416">
            <v>-3629582.75</v>
          </cell>
        </row>
        <row r="417">
          <cell r="C417">
            <v>0</v>
          </cell>
          <cell r="E417">
            <v>0</v>
          </cell>
        </row>
        <row r="418">
          <cell r="C418">
            <v>0</v>
          </cell>
          <cell r="E418">
            <v>0</v>
          </cell>
        </row>
        <row r="419">
          <cell r="C419">
            <v>0</v>
          </cell>
          <cell r="E419">
            <v>0</v>
          </cell>
        </row>
        <row r="420">
          <cell r="C420">
            <v>0</v>
          </cell>
          <cell r="E420">
            <v>0</v>
          </cell>
        </row>
        <row r="421">
          <cell r="B421" t="str">
            <v>220040</v>
          </cell>
          <cell r="C421">
            <v>0</v>
          </cell>
          <cell r="E421">
            <v>0</v>
          </cell>
        </row>
        <row r="422">
          <cell r="C422">
            <v>0</v>
          </cell>
          <cell r="E422">
            <v>0</v>
          </cell>
        </row>
        <row r="423">
          <cell r="B423" t="str">
            <v>220020</v>
          </cell>
          <cell r="C423">
            <v>0</v>
          </cell>
          <cell r="E423">
            <v>0</v>
          </cell>
        </row>
        <row r="424">
          <cell r="C424">
            <v>0</v>
          </cell>
          <cell r="E424">
            <v>0</v>
          </cell>
        </row>
        <row r="425">
          <cell r="B425" t="str">
            <v>325470</v>
          </cell>
          <cell r="C425">
            <v>0</v>
          </cell>
          <cell r="E425">
            <v>0</v>
          </cell>
        </row>
        <row r="426">
          <cell r="C426">
            <v>-8052396.9699999997</v>
          </cell>
          <cell r="E426">
            <v>-54984416.810000002</v>
          </cell>
        </row>
        <row r="427">
          <cell r="C427">
            <v>-27265.25</v>
          </cell>
          <cell r="E427">
            <v>-2379608.8200000003</v>
          </cell>
        </row>
        <row r="428">
          <cell r="B428" t="str">
            <v>300215</v>
          </cell>
          <cell r="C428">
            <v>-1062.71</v>
          </cell>
          <cell r="D428">
            <v>-15403.779999999999</v>
          </cell>
          <cell r="E428">
            <v>-16466.489999999998</v>
          </cell>
        </row>
        <row r="429">
          <cell r="B429" t="str">
            <v>300225</v>
          </cell>
          <cell r="C429">
            <v>-7032.9</v>
          </cell>
          <cell r="D429">
            <v>-137809.61000000002</v>
          </cell>
          <cell r="E429">
            <v>-144842.51</v>
          </cell>
        </row>
        <row r="430">
          <cell r="B430" t="str">
            <v>303020</v>
          </cell>
          <cell r="C430">
            <v>0</v>
          </cell>
          <cell r="D430">
            <v>-1463862.24</v>
          </cell>
          <cell r="E430">
            <v>-1463862.24</v>
          </cell>
        </row>
        <row r="431">
          <cell r="B431" t="str">
            <v>336440</v>
          </cell>
          <cell r="C431">
            <v>-19169.64</v>
          </cell>
          <cell r="D431">
            <v>-735267.94000000006</v>
          </cell>
          <cell r="E431">
            <v>-754437.58000000007</v>
          </cell>
        </row>
        <row r="432">
          <cell r="C432">
            <v>-1692253.6</v>
          </cell>
          <cell r="E432">
            <v>-46093596.030000001</v>
          </cell>
        </row>
        <row r="433">
          <cell r="B433" t="str">
            <v>300190</v>
          </cell>
          <cell r="C433">
            <v>-706523.7</v>
          </cell>
          <cell r="D433">
            <v>-18670226.23</v>
          </cell>
          <cell r="E433">
            <v>-19376749.93</v>
          </cell>
        </row>
        <row r="434">
          <cell r="B434" t="str">
            <v>302860</v>
          </cell>
          <cell r="C434">
            <v>-303.43</v>
          </cell>
          <cell r="D434">
            <v>-9102.8799999999992</v>
          </cell>
          <cell r="E434">
            <v>-9406.31</v>
          </cell>
        </row>
        <row r="435">
          <cell r="B435" t="str">
            <v>311250</v>
          </cell>
          <cell r="C435">
            <v>-6.82</v>
          </cell>
          <cell r="D435">
            <v>-97.539999999999992</v>
          </cell>
          <cell r="E435">
            <v>-104.35999999999999</v>
          </cell>
        </row>
        <row r="436">
          <cell r="B436" t="str">
            <v>323470</v>
          </cell>
          <cell r="C436">
            <v>-54313.31</v>
          </cell>
          <cell r="D436">
            <v>-825780.54</v>
          </cell>
          <cell r="E436">
            <v>-880093.85000000009</v>
          </cell>
        </row>
        <row r="437">
          <cell r="B437" t="str">
            <v>323670</v>
          </cell>
          <cell r="C437">
            <v>-34706.080000000002</v>
          </cell>
          <cell r="D437">
            <v>-1022804.6</v>
          </cell>
          <cell r="E437">
            <v>-1057510.68</v>
          </cell>
        </row>
        <row r="438">
          <cell r="B438" t="str">
            <v>323770</v>
          </cell>
          <cell r="C438">
            <v>-380.47</v>
          </cell>
          <cell r="D438">
            <v>-11666.980000000001</v>
          </cell>
          <cell r="E438">
            <v>-12047.45</v>
          </cell>
        </row>
        <row r="439">
          <cell r="B439" t="str">
            <v>323870</v>
          </cell>
          <cell r="C439">
            <v>0</v>
          </cell>
          <cell r="E439">
            <v>0</v>
          </cell>
        </row>
        <row r="440">
          <cell r="B440" t="str">
            <v>323970</v>
          </cell>
          <cell r="C440">
            <v>-214215.28</v>
          </cell>
          <cell r="D440">
            <v>-5221881.7699999996</v>
          </cell>
          <cell r="E440">
            <v>-5436097.0499999998</v>
          </cell>
        </row>
        <row r="441">
          <cell r="B441" t="str">
            <v>324070</v>
          </cell>
          <cell r="C441">
            <v>-681687.18</v>
          </cell>
          <cell r="D441">
            <v>-18638104.109999999</v>
          </cell>
          <cell r="E441">
            <v>-19319791.289999999</v>
          </cell>
        </row>
        <row r="442">
          <cell r="B442" t="str">
            <v>324170</v>
          </cell>
          <cell r="C442">
            <v>0</v>
          </cell>
          <cell r="E442">
            <v>0</v>
          </cell>
        </row>
        <row r="443">
          <cell r="B443" t="str">
            <v>337440</v>
          </cell>
          <cell r="C443">
            <v>-117.33</v>
          </cell>
          <cell r="D443">
            <v>-1677.78</v>
          </cell>
          <cell r="E443">
            <v>-1795.11</v>
          </cell>
        </row>
        <row r="444">
          <cell r="C444">
            <v>-10198.469999999999</v>
          </cell>
          <cell r="E444">
            <v>-188532.31</v>
          </cell>
        </row>
        <row r="445">
          <cell r="B445" t="str">
            <v>325770</v>
          </cell>
          <cell r="C445">
            <v>-10198.469999999999</v>
          </cell>
          <cell r="D445">
            <v>-178333.84</v>
          </cell>
          <cell r="E445">
            <v>-188532.31</v>
          </cell>
        </row>
        <row r="446">
          <cell r="B446" t="str">
            <v>330700</v>
          </cell>
          <cell r="C446">
            <v>0</v>
          </cell>
          <cell r="E446">
            <v>0</v>
          </cell>
        </row>
        <row r="447">
          <cell r="C447">
            <v>-1187548.44</v>
          </cell>
          <cell r="E447">
            <v>-1187548.44</v>
          </cell>
        </row>
        <row r="448">
          <cell r="B448" t="str">
            <v>300700</v>
          </cell>
          <cell r="C448">
            <v>-805006.83</v>
          </cell>
          <cell r="E448">
            <v>-805006.83</v>
          </cell>
        </row>
        <row r="449">
          <cell r="B449" t="str">
            <v>301300</v>
          </cell>
          <cell r="C449">
            <v>-63052.13</v>
          </cell>
          <cell r="E449">
            <v>-63052.13</v>
          </cell>
        </row>
        <row r="450">
          <cell r="B450" t="str">
            <v>302300</v>
          </cell>
          <cell r="C450">
            <v>-34368.78</v>
          </cell>
          <cell r="E450">
            <v>-34368.78</v>
          </cell>
        </row>
        <row r="451">
          <cell r="B451" t="str">
            <v>336340</v>
          </cell>
          <cell r="C451">
            <v>-285120.7</v>
          </cell>
          <cell r="E451">
            <v>-285120.7</v>
          </cell>
        </row>
        <row r="452">
          <cell r="C452">
            <v>-5135131.21</v>
          </cell>
          <cell r="E452">
            <v>-5135131.21</v>
          </cell>
        </row>
        <row r="453">
          <cell r="B453" t="str">
            <v>302400</v>
          </cell>
          <cell r="C453">
            <v>-5135131.21</v>
          </cell>
          <cell r="E453">
            <v>-5135131.21</v>
          </cell>
        </row>
        <row r="454">
          <cell r="B454" t="str">
            <v>331700</v>
          </cell>
          <cell r="C454">
            <v>0</v>
          </cell>
          <cell r="E454">
            <v>0</v>
          </cell>
        </row>
        <row r="455">
          <cell r="C455">
            <v>-17046840.129999995</v>
          </cell>
          <cell r="E455">
            <v>-17046840.129999995</v>
          </cell>
        </row>
        <row r="456">
          <cell r="C456">
            <v>-17046840.129999995</v>
          </cell>
          <cell r="E456">
            <v>-17046840.129999995</v>
          </cell>
        </row>
        <row r="457">
          <cell r="B457" t="str">
            <v>114700</v>
          </cell>
          <cell r="C457">
            <v>136358603.84</v>
          </cell>
          <cell r="E457">
            <v>136358603.84</v>
          </cell>
        </row>
        <row r="458">
          <cell r="B458" t="str">
            <v>327600</v>
          </cell>
          <cell r="C458">
            <v>-153405443.97</v>
          </cell>
          <cell r="E458">
            <v>-153405443.97</v>
          </cell>
        </row>
        <row r="459">
          <cell r="C459">
            <v>0</v>
          </cell>
          <cell r="E459">
            <v>0</v>
          </cell>
        </row>
        <row r="460">
          <cell r="B460" t="str">
            <v>121500</v>
          </cell>
          <cell r="C460">
            <v>0</v>
          </cell>
          <cell r="E460">
            <v>0</v>
          </cell>
        </row>
        <row r="461">
          <cell r="B461" t="str">
            <v>121600</v>
          </cell>
          <cell r="C461">
            <v>0</v>
          </cell>
          <cell r="E461">
            <v>0</v>
          </cell>
        </row>
        <row r="462">
          <cell r="C462">
            <v>-58110358.809999995</v>
          </cell>
          <cell r="E462">
            <v>-58110358.809999995</v>
          </cell>
        </row>
        <row r="463">
          <cell r="C463">
            <v>-58110358.809999995</v>
          </cell>
          <cell r="E463">
            <v>-58110358.809999995</v>
          </cell>
        </row>
        <row r="464">
          <cell r="C464">
            <v>-2062796.46</v>
          </cell>
          <cell r="E464">
            <v>-2062796.46</v>
          </cell>
        </row>
        <row r="465">
          <cell r="C465">
            <v>-2062796.46</v>
          </cell>
          <cell r="E465">
            <v>-2062796.46</v>
          </cell>
        </row>
        <row r="466">
          <cell r="C466">
            <v>-2062796.46</v>
          </cell>
          <cell r="E466">
            <v>-2062796.46</v>
          </cell>
        </row>
        <row r="467">
          <cell r="B467" t="str">
            <v>324600</v>
          </cell>
          <cell r="C467">
            <v>-1792753.46</v>
          </cell>
          <cell r="E467">
            <v>-1792753.46</v>
          </cell>
        </row>
        <row r="468">
          <cell r="B468" t="str">
            <v>326600</v>
          </cell>
          <cell r="C468">
            <v>-270043</v>
          </cell>
          <cell r="E468">
            <v>-270043</v>
          </cell>
        </row>
        <row r="469">
          <cell r="C469">
            <v>-56047562.349999994</v>
          </cell>
          <cell r="E469">
            <v>-56047562.349999994</v>
          </cell>
        </row>
        <row r="470">
          <cell r="C470">
            <v>10359428.059999999</v>
          </cell>
          <cell r="E470">
            <v>10359428.059999999</v>
          </cell>
        </row>
        <row r="471">
          <cell r="C471">
            <v>11099026.189999999</v>
          </cell>
          <cell r="E471">
            <v>11099026.189999999</v>
          </cell>
        </row>
        <row r="472">
          <cell r="B472" t="str">
            <v>3200</v>
          </cell>
          <cell r="C472">
            <v>11069041.42</v>
          </cell>
          <cell r="E472">
            <v>11069041.42</v>
          </cell>
        </row>
        <row r="473">
          <cell r="B473" t="str">
            <v>113001</v>
          </cell>
          <cell r="C473">
            <v>28504.69</v>
          </cell>
          <cell r="E473">
            <v>28504.69</v>
          </cell>
        </row>
        <row r="474">
          <cell r="B474" t="str">
            <v>240100</v>
          </cell>
          <cell r="C474">
            <v>11671.24</v>
          </cell>
          <cell r="E474">
            <v>11671.24</v>
          </cell>
        </row>
        <row r="475">
          <cell r="B475" t="str">
            <v>308800</v>
          </cell>
          <cell r="C475">
            <v>-10191.16</v>
          </cell>
          <cell r="E475">
            <v>-10191.16</v>
          </cell>
        </row>
        <row r="476">
          <cell r="C476">
            <v>-739598.13</v>
          </cell>
          <cell r="E476">
            <v>-739598.13</v>
          </cell>
        </row>
        <row r="477">
          <cell r="B477" t="str">
            <v>328770</v>
          </cell>
          <cell r="C477">
            <v>-739598.13</v>
          </cell>
          <cell r="E477">
            <v>-739598.13</v>
          </cell>
        </row>
        <row r="478">
          <cell r="C478">
            <v>-13196743.24</v>
          </cell>
          <cell r="E478">
            <v>-13196743.24</v>
          </cell>
        </row>
        <row r="479">
          <cell r="C479">
            <v>-776076.98</v>
          </cell>
          <cell r="E479">
            <v>-776076.98</v>
          </cell>
        </row>
        <row r="480">
          <cell r="B480" t="str">
            <v>322300</v>
          </cell>
          <cell r="C480">
            <v>-776076.98</v>
          </cell>
          <cell r="E480">
            <v>-776076.98</v>
          </cell>
        </row>
        <row r="481">
          <cell r="C481">
            <v>-2545348.67</v>
          </cell>
          <cell r="E481">
            <v>-2545348.67</v>
          </cell>
        </row>
        <row r="482">
          <cell r="B482" t="str">
            <v>306400</v>
          </cell>
          <cell r="C482">
            <v>-206864.14</v>
          </cell>
          <cell r="E482">
            <v>-206864.14</v>
          </cell>
        </row>
        <row r="483">
          <cell r="B483" t="str">
            <v>316850</v>
          </cell>
          <cell r="C483">
            <v>-766434.92</v>
          </cell>
          <cell r="E483">
            <v>-766434.92</v>
          </cell>
        </row>
        <row r="484">
          <cell r="B484" t="str">
            <v>319800</v>
          </cell>
          <cell r="C484">
            <v>1694919.41</v>
          </cell>
          <cell r="E484">
            <v>1694919.41</v>
          </cell>
        </row>
        <row r="485">
          <cell r="B485" t="str">
            <v>319801</v>
          </cell>
          <cell r="C485">
            <v>11220.4</v>
          </cell>
          <cell r="E485">
            <v>11220.4</v>
          </cell>
        </row>
        <row r="486">
          <cell r="B486" t="str">
            <v>321501</v>
          </cell>
          <cell r="C486">
            <v>220518.43</v>
          </cell>
          <cell r="E486">
            <v>220518.43</v>
          </cell>
        </row>
        <row r="487">
          <cell r="B487" t="str">
            <v>322200</v>
          </cell>
          <cell r="C487">
            <v>-416212.95</v>
          </cell>
          <cell r="E487">
            <v>-416212.95</v>
          </cell>
        </row>
        <row r="488">
          <cell r="B488" t="str">
            <v>322201</v>
          </cell>
          <cell r="C488">
            <v>-374.82</v>
          </cell>
          <cell r="E488">
            <v>-374.82</v>
          </cell>
        </row>
        <row r="489">
          <cell r="B489" t="str">
            <v>327700</v>
          </cell>
          <cell r="C489">
            <v>90125.92</v>
          </cell>
          <cell r="E489">
            <v>90125.92</v>
          </cell>
        </row>
        <row r="490">
          <cell r="B490" t="str">
            <v>327800</v>
          </cell>
          <cell r="C490">
            <v>-3172246</v>
          </cell>
          <cell r="E490">
            <v>-3172246</v>
          </cell>
        </row>
        <row r="491">
          <cell r="C491">
            <v>-9875317.5899999999</v>
          </cell>
          <cell r="E491">
            <v>-9875317.5899999999</v>
          </cell>
        </row>
        <row r="492">
          <cell r="C492">
            <v>422189.61</v>
          </cell>
          <cell r="E492">
            <v>422189.61</v>
          </cell>
        </row>
        <row r="493">
          <cell r="B493" t="str">
            <v>300100</v>
          </cell>
          <cell r="C493">
            <v>1771075.12</v>
          </cell>
          <cell r="E493">
            <v>1771075.12</v>
          </cell>
        </row>
        <row r="494">
          <cell r="B494" t="str">
            <v>312500</v>
          </cell>
          <cell r="C494">
            <v>-375570.99</v>
          </cell>
          <cell r="E494">
            <v>-375570.99</v>
          </cell>
        </row>
        <row r="495">
          <cell r="B495" t="str">
            <v>317550</v>
          </cell>
          <cell r="C495">
            <v>672.15</v>
          </cell>
          <cell r="E495">
            <v>672.15</v>
          </cell>
        </row>
        <row r="496">
          <cell r="B496" t="str">
            <v>326304</v>
          </cell>
          <cell r="C496">
            <v>-973986.67</v>
          </cell>
          <cell r="E496">
            <v>-973986.67</v>
          </cell>
        </row>
        <row r="497">
          <cell r="C497">
            <v>-10297507.199999999</v>
          </cell>
          <cell r="E497">
            <v>-10297507.199999999</v>
          </cell>
        </row>
        <row r="498">
          <cell r="B498" t="str">
            <v>318800</v>
          </cell>
          <cell r="C498">
            <v>-1885462.29</v>
          </cell>
          <cell r="E498">
            <v>-1885462.29</v>
          </cell>
        </row>
        <row r="499">
          <cell r="B499" t="str">
            <v>319400</v>
          </cell>
          <cell r="C499">
            <v>-8412044.9100000001</v>
          </cell>
          <cell r="E499">
            <v>-8412044.9100000001</v>
          </cell>
        </row>
        <row r="500">
          <cell r="C500">
            <v>-49943622.890000001</v>
          </cell>
          <cell r="E500">
            <v>-49943622.890000001</v>
          </cell>
        </row>
        <row r="501">
          <cell r="C501">
            <v>-6040755.9000000004</v>
          </cell>
          <cell r="E501">
            <v>-6040755.9000000004</v>
          </cell>
        </row>
        <row r="502">
          <cell r="B502" t="str">
            <v>313200</v>
          </cell>
          <cell r="C502">
            <v>-140470.1</v>
          </cell>
          <cell r="E502">
            <v>-140470.1</v>
          </cell>
        </row>
        <row r="503">
          <cell r="B503" t="str">
            <v>313800</v>
          </cell>
          <cell r="C503">
            <v>-2341415.3199999998</v>
          </cell>
          <cell r="E503">
            <v>-2341415.3199999998</v>
          </cell>
        </row>
        <row r="504">
          <cell r="B504" t="str">
            <v>314100</v>
          </cell>
          <cell r="C504">
            <v>-12537.58</v>
          </cell>
          <cell r="E504">
            <v>-12537.58</v>
          </cell>
        </row>
        <row r="505">
          <cell r="B505" t="str">
            <v>314900</v>
          </cell>
          <cell r="C505">
            <v>-3546332.9</v>
          </cell>
          <cell r="E505">
            <v>-3546332.9</v>
          </cell>
        </row>
        <row r="506">
          <cell r="C506">
            <v>-30397967.739999998</v>
          </cell>
          <cell r="E506">
            <v>-30397967.739999998</v>
          </cell>
        </row>
        <row r="507">
          <cell r="B507" t="str">
            <v>300025</v>
          </cell>
          <cell r="C507">
            <v>-30397967.739999998</v>
          </cell>
          <cell r="E507">
            <v>-30397967.739999998</v>
          </cell>
        </row>
        <row r="508">
          <cell r="C508">
            <v>-13504899.25</v>
          </cell>
          <cell r="E508">
            <v>-13504899.25</v>
          </cell>
        </row>
        <row r="509">
          <cell r="B509" t="str">
            <v>327170</v>
          </cell>
          <cell r="C509">
            <v>-13504899.25</v>
          </cell>
          <cell r="E509">
            <v>-13504899.25</v>
          </cell>
        </row>
        <row r="510">
          <cell r="C510">
            <v>17982062.700000003</v>
          </cell>
          <cell r="E510">
            <v>17982062.700000003</v>
          </cell>
        </row>
        <row r="511">
          <cell r="B511" t="str">
            <v>65400</v>
          </cell>
          <cell r="C511">
            <v>0</v>
          </cell>
          <cell r="E511">
            <v>0</v>
          </cell>
        </row>
        <row r="512">
          <cell r="B512" t="str">
            <v>300015</v>
          </cell>
          <cell r="C512">
            <v>219.51</v>
          </cell>
          <cell r="E512">
            <v>219.51</v>
          </cell>
        </row>
        <row r="513">
          <cell r="B513" t="str">
            <v>303800</v>
          </cell>
          <cell r="C513">
            <v>-4121.34</v>
          </cell>
          <cell r="E513">
            <v>-4121.34</v>
          </cell>
        </row>
        <row r="514">
          <cell r="B514" t="str">
            <v>305000</v>
          </cell>
          <cell r="C514">
            <v>-1764164.1</v>
          </cell>
          <cell r="E514">
            <v>-1764164.1</v>
          </cell>
        </row>
        <row r="515">
          <cell r="B515" t="str">
            <v>317300</v>
          </cell>
          <cell r="C515">
            <v>-176593.93</v>
          </cell>
          <cell r="E515">
            <v>-176593.93</v>
          </cell>
        </row>
        <row r="516">
          <cell r="B516" t="str">
            <v>319950</v>
          </cell>
          <cell r="C516">
            <v>16407292.5</v>
          </cell>
          <cell r="E516">
            <v>16407292.5</v>
          </cell>
        </row>
        <row r="517">
          <cell r="B517" t="str">
            <v>320200</v>
          </cell>
          <cell r="C517">
            <v>-804043.83</v>
          </cell>
          <cell r="E517">
            <v>-804043.83</v>
          </cell>
        </row>
        <row r="518">
          <cell r="B518" t="str">
            <v>320600</v>
          </cell>
          <cell r="C518">
            <v>4335674.13</v>
          </cell>
          <cell r="E518">
            <v>4335674.13</v>
          </cell>
        </row>
        <row r="519">
          <cell r="B519" t="str">
            <v>327070</v>
          </cell>
          <cell r="C519">
            <v>-12200.24</v>
          </cell>
          <cell r="E519">
            <v>-12200.24</v>
          </cell>
        </row>
        <row r="520">
          <cell r="C520">
            <v>-17943549.039999999</v>
          </cell>
          <cell r="E520">
            <v>-17943549.039999999</v>
          </cell>
        </row>
        <row r="521">
          <cell r="C521">
            <v>-17901863.16</v>
          </cell>
          <cell r="E521">
            <v>-17901863.16</v>
          </cell>
        </row>
        <row r="522">
          <cell r="B522" t="str">
            <v>3100</v>
          </cell>
          <cell r="C522">
            <v>7013794.29</v>
          </cell>
          <cell r="E522">
            <v>7013794.29</v>
          </cell>
        </row>
        <row r="523">
          <cell r="B523" t="str">
            <v>303300</v>
          </cell>
          <cell r="C523">
            <v>-585598.14</v>
          </cell>
          <cell r="E523">
            <v>-585598.14</v>
          </cell>
        </row>
        <row r="524">
          <cell r="B524" t="str">
            <v>303400</v>
          </cell>
          <cell r="C524">
            <v>-7525239.4100000001</v>
          </cell>
          <cell r="E524">
            <v>-7525239.4100000001</v>
          </cell>
        </row>
        <row r="525">
          <cell r="B525" t="str">
            <v>304800</v>
          </cell>
          <cell r="C525">
            <v>-5164179.5</v>
          </cell>
          <cell r="E525">
            <v>-5164179.5</v>
          </cell>
        </row>
        <row r="526">
          <cell r="B526" t="str">
            <v>306108</v>
          </cell>
          <cell r="C526">
            <v>47760.56</v>
          </cell>
          <cell r="E526">
            <v>47760.56</v>
          </cell>
        </row>
        <row r="527">
          <cell r="B527" t="str">
            <v>310300</v>
          </cell>
          <cell r="C527">
            <v>-10424484.76</v>
          </cell>
          <cell r="E527">
            <v>-10424484.76</v>
          </cell>
        </row>
        <row r="528">
          <cell r="B528" t="str">
            <v>318300</v>
          </cell>
          <cell r="C528">
            <v>-1263916.2</v>
          </cell>
          <cell r="E528">
            <v>-1263916.2</v>
          </cell>
        </row>
        <row r="529">
          <cell r="C529">
            <v>-41685.879999999997</v>
          </cell>
          <cell r="E529">
            <v>-41685.879999999997</v>
          </cell>
        </row>
        <row r="530">
          <cell r="B530" t="str">
            <v>318500</v>
          </cell>
          <cell r="C530">
            <v>-41685.879999999997</v>
          </cell>
          <cell r="E530">
            <v>-41685.879999999997</v>
          </cell>
        </row>
        <row r="531">
          <cell r="C531">
            <v>-3305137.94</v>
          </cell>
          <cell r="E531">
            <v>-3305137.94</v>
          </cell>
        </row>
        <row r="532">
          <cell r="C532">
            <v>-3305137.94</v>
          </cell>
          <cell r="E532">
            <v>-3305137.94</v>
          </cell>
        </row>
        <row r="533">
          <cell r="B533" t="str">
            <v>280570</v>
          </cell>
          <cell r="C533">
            <v>-297932.14</v>
          </cell>
          <cell r="E533">
            <v>-297932.14</v>
          </cell>
        </row>
        <row r="534">
          <cell r="B534" t="str">
            <v>280571</v>
          </cell>
          <cell r="C534">
            <v>-517.13</v>
          </cell>
          <cell r="E534">
            <v>-517.13</v>
          </cell>
        </row>
        <row r="535">
          <cell r="B535" t="str">
            <v>319300</v>
          </cell>
          <cell r="C535">
            <v>-3006688.67</v>
          </cell>
          <cell r="E535">
            <v>-3006688.67</v>
          </cell>
        </row>
        <row r="536">
          <cell r="C536">
            <v>-2119594.94</v>
          </cell>
          <cell r="E536">
            <v>-2119594.94</v>
          </cell>
        </row>
        <row r="537">
          <cell r="C537">
            <v>-2119594.94</v>
          </cell>
          <cell r="E537">
            <v>-2119594.94</v>
          </cell>
        </row>
        <row r="538">
          <cell r="B538" t="str">
            <v>301550</v>
          </cell>
          <cell r="C538">
            <v>-2119594.94</v>
          </cell>
          <cell r="E538">
            <v>-2119594.94</v>
          </cell>
        </row>
        <row r="539">
          <cell r="C539">
            <v>-149511570</v>
          </cell>
          <cell r="E539">
            <v>-149511570</v>
          </cell>
        </row>
        <row r="540">
          <cell r="C540">
            <v>-149511570</v>
          </cell>
          <cell r="E540">
            <v>-149511570</v>
          </cell>
        </row>
        <row r="541">
          <cell r="B541" t="str">
            <v>253760</v>
          </cell>
          <cell r="C541">
            <v>-149511570</v>
          </cell>
          <cell r="E541">
            <v>-149511570</v>
          </cell>
        </row>
        <row r="542">
          <cell r="B542" t="str">
            <v>340100</v>
          </cell>
          <cell r="C542">
            <v>0</v>
          </cell>
          <cell r="E542">
            <v>0</v>
          </cell>
        </row>
        <row r="543">
          <cell r="C543">
            <v>-661209833.12</v>
          </cell>
          <cell r="E543">
            <v>-729950585.50999999</v>
          </cell>
        </row>
        <row r="544">
          <cell r="C544">
            <v>-2000000</v>
          </cell>
          <cell r="E544">
            <v>-2000000</v>
          </cell>
        </row>
        <row r="545">
          <cell r="C545">
            <v>-2000000</v>
          </cell>
          <cell r="E545">
            <v>-2000000</v>
          </cell>
        </row>
        <row r="546">
          <cell r="B546" t="str">
            <v>200000</v>
          </cell>
          <cell r="C546">
            <v>-2000000</v>
          </cell>
          <cell r="E546">
            <v>-2000000</v>
          </cell>
        </row>
        <row r="547">
          <cell r="C547">
            <v>-441230000</v>
          </cell>
          <cell r="E547">
            <v>-441230000</v>
          </cell>
        </row>
        <row r="548">
          <cell r="B548" t="str">
            <v>205000</v>
          </cell>
          <cell r="C548">
            <v>-441230000</v>
          </cell>
          <cell r="E548">
            <v>-441230000</v>
          </cell>
        </row>
        <row r="549">
          <cell r="C549">
            <v>-217979833.12000003</v>
          </cell>
          <cell r="E549">
            <v>-286720585.51000005</v>
          </cell>
        </row>
        <row r="550">
          <cell r="C550">
            <v>754389.94</v>
          </cell>
          <cell r="E550">
            <v>754389.94</v>
          </cell>
        </row>
        <row r="551">
          <cell r="B551" t="str">
            <v>214100</v>
          </cell>
          <cell r="C551">
            <v>754389.94</v>
          </cell>
          <cell r="E551">
            <v>754389.94</v>
          </cell>
        </row>
        <row r="552">
          <cell r="C552">
            <v>-177356044.28000003</v>
          </cell>
          <cell r="E552">
            <v>-246096796.67000005</v>
          </cell>
        </row>
        <row r="553">
          <cell r="C553">
            <v>-157646971.52000004</v>
          </cell>
          <cell r="E553">
            <v>-157646971.52000004</v>
          </cell>
        </row>
        <row r="554">
          <cell r="B554" t="str">
            <v>211000</v>
          </cell>
          <cell r="C554">
            <v>-79450594.290000007</v>
          </cell>
          <cell r="E554">
            <v>-79450594.290000007</v>
          </cell>
        </row>
        <row r="555">
          <cell r="B555" t="str">
            <v>211200</v>
          </cell>
          <cell r="C555">
            <v>-78195369.180000007</v>
          </cell>
          <cell r="E555">
            <v>-78195369.180000007</v>
          </cell>
        </row>
        <row r="556">
          <cell r="B556" t="str">
            <v>214200</v>
          </cell>
          <cell r="C556">
            <v>-1008.05</v>
          </cell>
          <cell r="E556">
            <v>-1008.05</v>
          </cell>
        </row>
        <row r="557">
          <cell r="C557">
            <v>-19709072.760000002</v>
          </cell>
          <cell r="E557">
            <v>-88449825.150000006</v>
          </cell>
        </row>
        <row r="558">
          <cell r="B558" t="str">
            <v>210700</v>
          </cell>
          <cell r="C558">
            <v>-19709072.760000002</v>
          </cell>
          <cell r="D558">
            <v>-68740752.390000001</v>
          </cell>
          <cell r="E558">
            <v>-88449825.150000006</v>
          </cell>
        </row>
        <row r="559">
          <cell r="C559">
            <v>-41378178.780000001</v>
          </cell>
          <cell r="E559">
            <v>-41378178.780000001</v>
          </cell>
        </row>
        <row r="560">
          <cell r="B560" t="str">
            <v>211800</v>
          </cell>
          <cell r="C560">
            <v>-41378178.780000001</v>
          </cell>
          <cell r="E560">
            <v>-41378178.780000001</v>
          </cell>
        </row>
        <row r="561">
          <cell r="C561">
            <v>947979039.81999898</v>
          </cell>
          <cell r="E561">
            <v>-162948356.20000052</v>
          </cell>
        </row>
        <row r="562">
          <cell r="C562">
            <v>947979039.81999898</v>
          </cell>
          <cell r="E562">
            <v>-162948356.20000052</v>
          </cell>
        </row>
        <row r="563">
          <cell r="B563" t="str">
            <v>102170</v>
          </cell>
          <cell r="C563">
            <v>-180313228.84</v>
          </cell>
          <cell r="D563">
            <v>-5710607821.0799999</v>
          </cell>
          <cell r="E563">
            <v>-5890921049.9200001</v>
          </cell>
        </row>
        <row r="564">
          <cell r="B564" t="str">
            <v>102190</v>
          </cell>
          <cell r="C564">
            <v>-0.01</v>
          </cell>
          <cell r="E564">
            <v>-0.01</v>
          </cell>
        </row>
        <row r="565">
          <cell r="B565" t="str">
            <v>240800</v>
          </cell>
          <cell r="C565">
            <v>-162964173.37</v>
          </cell>
          <cell r="E565">
            <v>-162964173.37</v>
          </cell>
        </row>
        <row r="566">
          <cell r="B566" t="str">
            <v>280000</v>
          </cell>
          <cell r="C566">
            <v>0</v>
          </cell>
          <cell r="E566">
            <v>0</v>
          </cell>
        </row>
        <row r="567">
          <cell r="B567" t="str">
            <v>280301</v>
          </cell>
          <cell r="C567">
            <v>-4599680425.0600004</v>
          </cell>
          <cell r="D567">
            <v>4599680425.0600014</v>
          </cell>
          <cell r="E567">
            <v>0</v>
          </cell>
        </row>
        <row r="568">
          <cell r="B568" t="str">
            <v>280700</v>
          </cell>
          <cell r="C568">
            <v>15817.19</v>
          </cell>
          <cell r="E568">
            <v>15817.19</v>
          </cell>
        </row>
        <row r="569">
          <cell r="B569" t="str">
            <v>310550</v>
          </cell>
          <cell r="C569">
            <v>5890921049.9200001</v>
          </cell>
          <cell r="E569">
            <v>5890921049.9200001</v>
          </cell>
        </row>
        <row r="570">
          <cell r="B570" t="str">
            <v>324300</v>
          </cell>
          <cell r="C570">
            <v>-0.01</v>
          </cell>
          <cell r="E570">
            <v>-0.01</v>
          </cell>
        </row>
        <row r="571">
          <cell r="C571">
            <v>0</v>
          </cell>
          <cell r="E571">
            <v>0</v>
          </cell>
        </row>
        <row r="572">
          <cell r="B572" t="str">
            <v>132200</v>
          </cell>
          <cell r="C572">
            <v>0</v>
          </cell>
          <cell r="E572">
            <v>0</v>
          </cell>
        </row>
        <row r="573">
          <cell r="D573">
            <v>125544512.71000099</v>
          </cell>
        </row>
      </sheetData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Stat (No Input)"/>
      <sheetName val="A"/>
      <sheetName val="Board Pack - Review 1 mil (2)"/>
      <sheetName val="Income Statement"/>
      <sheetName val="summary"/>
      <sheetName val="Key Financial Objectives"/>
      <sheetName val="Balance Sheet &amp; Cash Flow"/>
      <sheetName val="IS per average subscriber"/>
      <sheetName val="OP Analisys Slides"/>
      <sheetName val="Detailed Map Consol."/>
      <sheetName val="Lookup"/>
      <sheetName val="Sheet1"/>
      <sheetName val="Date_Lup"/>
      <sheetName val="B-SHEET WORKINGS2006"/>
      <sheetName val="BUSPLA12"/>
      <sheetName val="TAX PAYMENTS"/>
      <sheetName val="\\VODAGPGRP\GROUPS\1997_98\REVI"/>
      <sheetName val="BUSPLA12.XLS"/>
      <sheetName val="FinStat_(No_Input)"/>
      <sheetName val="Board_Pack_-_Review_1_mil_(2)"/>
      <sheetName val="Income_Statement"/>
      <sheetName val="Key_Financial_Objectives"/>
      <sheetName val="Balance_Sheet_&amp;_Cash_Flow"/>
      <sheetName val="IS_per_average_subscriber"/>
      <sheetName val="OP_Analisys_Slides"/>
      <sheetName val="TAX_PAYMENTS"/>
      <sheetName val="Sheet15"/>
      <sheetName val="PDS1"/>
      <sheetName val="PDS2"/>
      <sheetName val="Jul-99(1)"/>
      <sheetName val="Apr"/>
      <sheetName val="Security_2002"/>
      <sheetName val="MGT_-_Offpayroll_-_2-5"/>
      <sheetName val="Child_Edu_2002_(2)"/>
      <sheetName val="CC"/>
      <sheetName val="Codes"/>
      <sheetName val="MGT_payroll_-_2-3"/>
      <sheetName val="13th_Month"/>
      <sheetName val="CWAR_Early_Adoption"/>
      <sheetName val="Sheet3"/>
      <sheetName val="Databank"/>
      <sheetName val="Index"/>
      <sheetName val="Cover"/>
      <sheetName val="JAN_(2)"/>
      <sheetName val="Dec"/>
      <sheetName val="Dec_04"/>
      <sheetName val="Duration_2002"/>
      <sheetName val="Summary_2002_"/>
      <sheetName val="Control_Panel"/>
      <sheetName val="Feb_04"/>
      <sheetName val="Feb"/>
      <sheetName val="F__Asset_old&amp;_new_No_"/>
      <sheetName val="WNL_(2)"/>
      <sheetName val="JANded"/>
      <sheetName val="Jan"/>
      <sheetName val="Jan_04"/>
      <sheetName val="July-99"/>
      <sheetName val="June-99"/>
      <sheetName val="Loan_Balances"/>
      <sheetName val="Mar"/>
      <sheetName val="Nov_04"/>
      <sheetName val="Employee_Offpayroll-_2-4"/>
      <sheetName val="Definitions"/>
      <sheetName val="PAYROLL"/>
      <sheetName val="TOTAL_Qtrly_Incentive"/>
      <sheetName val="SEP-96"/>
      <sheetName val="jan_01"/>
      <sheetName val="EXPATRIATE_STAFF"/>
      <sheetName val="TB_Jun04"/>
      <sheetName val="Per_Plant"/>
      <sheetName val="Jan_2000_-_Scr1"/>
      <sheetName val="Sheet2"/>
      <sheetName val="Furn_Grant_2002_(2)"/>
      <sheetName val="FinStat_(No_Input)1"/>
      <sheetName val="Board_Pack_-_Review_1_mil_(2)1"/>
      <sheetName val="Income_Statement1"/>
      <sheetName val="Key_Financial_Objectives1"/>
      <sheetName val="Balance_Sheet_&amp;_Cash_Flow1"/>
      <sheetName val="IS_per_average_subscriber1"/>
      <sheetName val="OP_Analisys_Slides1"/>
      <sheetName val="TAX_PAYMENTS1"/>
      <sheetName val="Sheet4"/>
      <sheetName val="FinStat_(No_Input)2"/>
      <sheetName val="Board_Pack_-_Review_1_mil_(2)2"/>
      <sheetName val="Income_Statement2"/>
      <sheetName val="Key_Financial_Objectives2"/>
      <sheetName val="Balance_Sheet_&amp;_Cash_Flow2"/>
      <sheetName val="IS_per_average_subscriber2"/>
      <sheetName val="OP_Analisys_Slides2"/>
      <sheetName val="TAX_PAYMENTS2"/>
      <sheetName val="BUSPLA12_XLS"/>
      <sheetName val="FinStat_(No_Input)3"/>
      <sheetName val="Board_Pack_-_Review_1_mil_(2)3"/>
      <sheetName val="Income_Statement3"/>
      <sheetName val="Key_Financial_Objectives3"/>
      <sheetName val="Balance_Sheet_&amp;_Cash_Flow3"/>
      <sheetName val="IS_per_average_subscriber3"/>
      <sheetName val="OP_Analisys_Slides3"/>
      <sheetName val="TAX_PAYMENTS3"/>
      <sheetName val="BUSPLA12_XLS1"/>
      <sheetName val="PIVOT"/>
      <sheetName val="Dec 2004"/>
      <sheetName val="[BUSPLA12.XLS]\\VODAGPGRP\GROUP"/>
      <sheetName val="[BUSPLA12.XLS][BUSPLA12.XLS]\\V"/>
      <sheetName val="FinStat_(No_Input)4"/>
      <sheetName val="Board_Pack_-_Review_1_mil_(2)4"/>
      <sheetName val="Income_Statement4"/>
      <sheetName val="Key_Financial_Objectives4"/>
      <sheetName val="Balance_Sheet_&amp;_Cash_Flow4"/>
      <sheetName val="IS_per_average_subscriber4"/>
      <sheetName val="OP_Analisys_Slides4"/>
      <sheetName val="TAX_PAYMENTS4"/>
      <sheetName val="BUSPLA12_XLS2"/>
      <sheetName val="FinStat_(No_Input)5"/>
      <sheetName val="Board_Pack_-_Review_1_mil_(2)5"/>
      <sheetName val="Income_Statement5"/>
      <sheetName val="Key_Financial_Objectives5"/>
      <sheetName val="Balance_Sheet_&amp;_Cash_Flow5"/>
      <sheetName val="IS_per_average_subscriber5"/>
      <sheetName val="OP_Analisys_Slides5"/>
      <sheetName val="TAX_PAYMENTS5"/>
      <sheetName val="BUSPLA12_XLS3"/>
      <sheetName val="\\VODAGPGRP\GROUP"/>
      <sheetName val="[BUSPLA12.XLS]\\V"/>
      <sheetName val="FinStat_(No_Input)6"/>
      <sheetName val="Board_Pack_-_Review_1_mil_(2)6"/>
      <sheetName val="Income_Statement6"/>
      <sheetName val="Key_Financial_Objectives6"/>
      <sheetName val="Balance_Sheet_&amp;_Cash_Flow6"/>
      <sheetName val="IS_per_average_subscriber6"/>
      <sheetName val="OP_Analisys_Slides6"/>
      <sheetName val="TAX_PAYMENTS6"/>
      <sheetName val="BUSPLA12_XLS4"/>
      <sheetName val="FinStat_(No_Input)7"/>
      <sheetName val="Board_Pack_-_Review_1_mil_(2)7"/>
      <sheetName val="Income_Statement7"/>
      <sheetName val="Key_Financial_Objectives7"/>
      <sheetName val="Balance_Sheet_&amp;_Cash_Flow7"/>
      <sheetName val="IS_per_average_subscriber7"/>
      <sheetName val="OP_Analisys_Slides7"/>
      <sheetName val="TAX_PAYMENTS7"/>
      <sheetName val="BUSPLA12_XLS5"/>
      <sheetName val="FinStat_(No_Input)8"/>
      <sheetName val="Board_Pack_-_Review_1_mil_(2)8"/>
      <sheetName val="Income_Statement8"/>
      <sheetName val="Key_Financial_Objectives8"/>
      <sheetName val="Balance_Sheet_&amp;_Cash_Flow8"/>
      <sheetName val="IS_per_average_subscriber8"/>
      <sheetName val="OP_Analisys_Slides8"/>
      <sheetName val="TAX_PAYMENTS8"/>
      <sheetName val="BUSPLA12_XLS6"/>
      <sheetName val="[BUSPLA12.XLS][BUSPLA12.XLS][BU"/>
      <sheetName val="App 2"/>
      <sheetName val="App 2-1"/>
      <sheetName val="App 2-1-1"/>
      <sheetName val="App 2-1-2"/>
      <sheetName val="App 2-1-3"/>
      <sheetName val="App 2-1-4"/>
      <sheetName val="App 2-1-5old"/>
      <sheetName val="App 2-1-6"/>
      <sheetName val="App 2-1-7"/>
      <sheetName val="App 2-1-8"/>
      <sheetName val="App 2-1-9"/>
      <sheetName val="App 2-1-10"/>
      <sheetName val="App 2-1-11"/>
      <sheetName val="App 2-1-12"/>
      <sheetName val="App 2-1-13"/>
      <sheetName val="App 2-1-14"/>
      <sheetName val="App 2-1-15"/>
      <sheetName val="App 2-1-16"/>
      <sheetName val="App 2-1-17"/>
      <sheetName val="App 2-1-18"/>
      <sheetName val="App 2-1-19"/>
      <sheetName val="App 2-1-20"/>
      <sheetName val="Est Exp - Depr. PPE"/>
      <sheetName val="App 2-1-21"/>
      <sheetName val="App 2-1-22"/>
      <sheetName val="App 2-1-23"/>
      <sheetName val="App 2-1-24"/>
      <sheetName val="App 2-1-25"/>
      <sheetName val="App 2-1-26"/>
      <sheetName val="App 3"/>
      <sheetName val="App 3-1"/>
      <sheetName val="FinStat_(No_Input)9"/>
      <sheetName val="Board_Pack_-_Review_1_mil_(2)9"/>
      <sheetName val="Income_Statement9"/>
      <sheetName val="Key_Financial_Objectives9"/>
      <sheetName val="Balance_Sheet_&amp;_Cash_Flow9"/>
      <sheetName val="IS_per_average_subscriber9"/>
      <sheetName val="OP_Analisys_Slides9"/>
      <sheetName val="TAX_PAYMENTS9"/>
      <sheetName val="BUSPLA12_XLS7"/>
      <sheetName val="Dec_2004"/>
      <sheetName val="[BUSPLA12_XLS]\\VODAGPGRP\GROUP"/>
      <sheetName val="[BUSPLA12_XLS][BUSPLA12_XLS]\\V"/>
      <sheetName val="[BUSPLA12_XLS]\\V"/>
      <sheetName val="[BUSPLA12_XLS][BUSPLA12_XLS][BU"/>
      <sheetName val="App_2"/>
      <sheetName val="App_2-1"/>
      <sheetName val="App_2-1-1"/>
      <sheetName val="App_2-1-2"/>
      <sheetName val="App_2-1-3"/>
      <sheetName val="App_2-1-4"/>
      <sheetName val="App_2-1-5old"/>
      <sheetName val="App_2-1-6"/>
      <sheetName val="App_2-1-7"/>
      <sheetName val="App_2-1-8"/>
      <sheetName val="App_2-1-9"/>
      <sheetName val="App_2-1-10"/>
      <sheetName val="App_2-1-11"/>
      <sheetName val="App_2-1-12"/>
      <sheetName val="App_2-1-13"/>
      <sheetName val="App_2-1-14"/>
      <sheetName val="App_2-1-15"/>
      <sheetName val="App_2-1-16"/>
      <sheetName val="App_2-1-17"/>
      <sheetName val="App_2-1-18"/>
      <sheetName val="App_2-1-19"/>
      <sheetName val="App_2-1-20"/>
      <sheetName val="Est_Exp_-_Depr__PPE"/>
      <sheetName val="App_2-1-21"/>
      <sheetName val="App_2-1-22"/>
      <sheetName val="App_2-1-23"/>
      <sheetName val="App_2-1-24"/>
      <sheetName val="App_2-1-25"/>
      <sheetName val="App_2-1-26"/>
      <sheetName val="App_3"/>
      <sheetName val="App_3-1"/>
      <sheetName val="__VODAGPGRP_GROUPS_1997_98_REVI"/>
      <sheetName val="MALTA"/>
      <sheetName val="SPARK"/>
      <sheetName val="SUPERMONT"/>
      <sheetName val="SUPERMONT P"/>
      <sheetName val="FinStat_(No_Input)10"/>
      <sheetName val="Board_Pack_-_Review_1_mil_(2)10"/>
      <sheetName val="Income_Statement10"/>
      <sheetName val="Key_Financial_Objectives10"/>
      <sheetName val="Balance_Sheet_&amp;_Cash_Flow10"/>
      <sheetName val="IS_per_average_subscriber10"/>
      <sheetName val="OP_Analisys_Slides10"/>
      <sheetName val="TAX_PAYMENTS10"/>
      <sheetName val="BUSPLA12_XLS8"/>
      <sheetName val="Dec_20041"/>
      <sheetName val="[BUSPLA12_XLS]\\VODAGPGRP\GROU1"/>
      <sheetName val="[BUSPLA12_XLS][BUSPLA12_XLS]\\1"/>
      <sheetName val="[BUSPLA12_XLS]\\V1"/>
      <sheetName val="[BUSPLA12_XLS][BUSPLA12_XLS][B1"/>
      <sheetName val="App_21"/>
      <sheetName val="App_2-11"/>
      <sheetName val="App_2-1-110"/>
      <sheetName val="App_2-1-27"/>
      <sheetName val="App_2-1-31"/>
      <sheetName val="App_2-1-41"/>
      <sheetName val="App_2-1-5old1"/>
      <sheetName val="App_2-1-61"/>
      <sheetName val="App_2-1-71"/>
      <sheetName val="App_2-1-81"/>
      <sheetName val="App_2-1-91"/>
      <sheetName val="App_2-1-101"/>
      <sheetName val="App_2-1-111"/>
      <sheetName val="App_2-1-121"/>
      <sheetName val="App_2-1-131"/>
      <sheetName val="App_2-1-141"/>
      <sheetName val="App_2-1-151"/>
      <sheetName val="App_2-1-161"/>
      <sheetName val="App_2-1-171"/>
      <sheetName val="App_2-1-181"/>
      <sheetName val="App_2-1-191"/>
      <sheetName val="App_2-1-201"/>
      <sheetName val="Est_Exp_-_Depr__PPE1"/>
      <sheetName val="App_2-1-211"/>
      <sheetName val="App_2-1-221"/>
      <sheetName val="App_2-1-231"/>
      <sheetName val="App_2-1-241"/>
      <sheetName val="App_2-1-251"/>
      <sheetName val="App_2-1-261"/>
      <sheetName val="App_31"/>
      <sheetName val="App_3-11"/>
      <sheetName val="SUPERMONT_P"/>
      <sheetName val="_BUSPLA12.XLS___VODAGPGRP_GROUP"/>
      <sheetName val="_BUSPLA12.XLS__BUSPLA12.XLS___V"/>
      <sheetName val="_BUSPLA12.XLS__BUSPLA12.XLS__BU"/>
      <sheetName val="__VODAGPGRP_GROUP"/>
      <sheetName val="_BUSPLA12.XLS___V"/>
      <sheetName val="_BUSPLA12_XLS___VODAGPGRP_GROUP"/>
      <sheetName val="_BUSPLA12_XLS__BUSPLA12_XLS___V"/>
      <sheetName val="_BUSPLA12_XLS___V"/>
      <sheetName val="_BUSPLA12_XLS__BUSPLA12_XLS__BU"/>
      <sheetName val="[BUSPLA12.XLS]__VODAGPGRP_GRO_2"/>
      <sheetName val="Base Info"/>
      <sheetName val="FinStat_(No_Input)11"/>
      <sheetName val="Board_Pack_-_Review_1_mil_(2)11"/>
      <sheetName val="Income_Statement11"/>
      <sheetName val="Key_Financial_Objectives11"/>
      <sheetName val="Balance_Sheet_&amp;_Cash_Flow11"/>
      <sheetName val="IS_per_average_subscriber11"/>
      <sheetName val="OP_Analisys_Slides11"/>
      <sheetName val="TAX_PAYMENTS11"/>
      <sheetName val="BUSPLA12_XLS9"/>
      <sheetName val="Dec_20042"/>
      <sheetName val="[BUSPLA12_XLS]\\VODAGPGRP\GROU2"/>
      <sheetName val="[BUSPLA12_XLS][BUSPLA12_XLS]\\2"/>
      <sheetName val="[BUSPLA12_XLS]\\V2"/>
      <sheetName val="[BUSPLA12_XLS][BUSPLA12_XLS][B2"/>
      <sheetName val="App_22"/>
      <sheetName val="App_2-12"/>
      <sheetName val="App_2-1-112"/>
      <sheetName val="App_2-1-28"/>
      <sheetName val="App_2-1-32"/>
      <sheetName val="App_2-1-42"/>
      <sheetName val="App_2-1-5old2"/>
      <sheetName val="App_2-1-62"/>
      <sheetName val="App_2-1-72"/>
      <sheetName val="App_2-1-82"/>
      <sheetName val="App_2-1-92"/>
      <sheetName val="App_2-1-102"/>
      <sheetName val="App_2-1-113"/>
      <sheetName val="App_2-1-122"/>
      <sheetName val="App_2-1-132"/>
      <sheetName val="App_2-1-142"/>
      <sheetName val="App_2-1-152"/>
      <sheetName val="App_2-1-162"/>
      <sheetName val="App_2-1-172"/>
      <sheetName val="App_2-1-182"/>
      <sheetName val="App_2-1-192"/>
      <sheetName val="App_2-1-202"/>
      <sheetName val="Est_Exp_-_Depr__PPE2"/>
      <sheetName val="App_2-1-212"/>
      <sheetName val="App_2-1-222"/>
      <sheetName val="App_2-1-232"/>
      <sheetName val="App_2-1-242"/>
      <sheetName val="App_2-1-252"/>
      <sheetName val="App_2-1-262"/>
      <sheetName val="App_32"/>
      <sheetName val="App_3-12"/>
      <sheetName val="SUPERMONT_P1"/>
      <sheetName val="_BUSPLA12_XLS___VODAGPGRP_GROU1"/>
      <sheetName val="_BUSPLA12_XLS__BUSPLA12_XLS___1"/>
      <sheetName val="_BUSPLA12_XLS__BUSPLA12_XLS__B1"/>
      <sheetName val="_BUSPLA12_XLS___V1"/>
      <sheetName val="[BUSPLA12_XLS]__VODAGPGRP_GRO_2"/>
      <sheetName val="Base_Info"/>
      <sheetName val="FinStat_(No_Input)12"/>
      <sheetName val="Board_Pack_-_Review_1_mil_(2)12"/>
      <sheetName val="Income_Statement12"/>
      <sheetName val="Key_Financial_Objectives12"/>
      <sheetName val="Balance_Sheet_&amp;_Cash_Flow12"/>
      <sheetName val="IS_per_average_subscriber12"/>
      <sheetName val="OP_Analisys_Slides12"/>
      <sheetName val="TAX_PAYMENTS12"/>
      <sheetName val="BUSPLA12_XLS10"/>
      <sheetName val="Dec_20043"/>
      <sheetName val="[BUSPLA12_XLS]\\VODAGPGRP\GROU3"/>
      <sheetName val="[BUSPLA12_XLS][BUSPLA12_XLS]\\3"/>
      <sheetName val="[BUSPLA12_XLS]\\V3"/>
      <sheetName val="[BUSPLA12_XLS][BUSPLA12_XLS][B3"/>
      <sheetName val="App_23"/>
      <sheetName val="App_2-13"/>
      <sheetName val="App_2-1-114"/>
      <sheetName val="App_2-1-29"/>
      <sheetName val="App_2-1-33"/>
      <sheetName val="App_2-1-43"/>
      <sheetName val="App_2-1-5old3"/>
      <sheetName val="App_2-1-63"/>
      <sheetName val="App_2-1-73"/>
      <sheetName val="App_2-1-83"/>
      <sheetName val="App_2-1-93"/>
      <sheetName val="App_2-1-103"/>
      <sheetName val="App_2-1-115"/>
      <sheetName val="App_2-1-123"/>
      <sheetName val="App_2-1-133"/>
      <sheetName val="App_2-1-143"/>
      <sheetName val="App_2-1-153"/>
      <sheetName val="App_2-1-163"/>
      <sheetName val="App_2-1-173"/>
      <sheetName val="App_2-1-183"/>
      <sheetName val="App_2-1-193"/>
      <sheetName val="App_2-1-203"/>
      <sheetName val="Est_Exp_-_Depr__PPE3"/>
      <sheetName val="App_2-1-213"/>
      <sheetName val="App_2-1-223"/>
      <sheetName val="App_2-1-233"/>
      <sheetName val="App_2-1-243"/>
      <sheetName val="App_2-1-253"/>
      <sheetName val="App_2-1-263"/>
      <sheetName val="App_33"/>
      <sheetName val="App_3-13"/>
      <sheetName val="SUPERMONT_P2"/>
      <sheetName val="_BUSPLA12_XLS___VODAGPGRP_GROU2"/>
      <sheetName val="_BUSPLA12_XLS__BUSPLA12_XLS___2"/>
      <sheetName val="_BUSPLA12_XLS__BUSPLA12_XLS__B2"/>
      <sheetName val="_BUSPLA12_XLS___V2"/>
      <sheetName val="[BUSPLA12_XLS]__VODAGPGRP_GRO_1"/>
      <sheetName val="Base_Info1"/>
      <sheetName val="FinStat_(No_Input)13"/>
      <sheetName val="Board_Pack_-_Review_1_mil_(2)13"/>
      <sheetName val="Income_Statement13"/>
      <sheetName val="Key_Financial_Objectives13"/>
      <sheetName val="Balance_Sheet_&amp;_Cash_Flow13"/>
      <sheetName val="IS_per_average_subscriber13"/>
      <sheetName val="OP_Analisys_Slides13"/>
      <sheetName val="TAX_PAYMENTS13"/>
      <sheetName val="BUSPLA12_XLS11"/>
      <sheetName val="Dec_20044"/>
      <sheetName val="[BUSPLA12_XLS]\\VODAGPGRP\GROU4"/>
      <sheetName val="[BUSPLA12_XLS][BUSPLA12_XLS]\\4"/>
      <sheetName val="[BUSPLA12_XLS]\\V4"/>
      <sheetName val="[BUSPLA12_XLS][BUSPLA12_XLS][B4"/>
      <sheetName val="App_24"/>
      <sheetName val="App_2-14"/>
      <sheetName val="App_2-1-116"/>
      <sheetName val="App_2-1-210"/>
      <sheetName val="App_2-1-34"/>
      <sheetName val="App_2-1-44"/>
      <sheetName val="App_2-1-5old4"/>
      <sheetName val="App_2-1-64"/>
      <sheetName val="App_2-1-74"/>
      <sheetName val="App_2-1-84"/>
      <sheetName val="App_2-1-94"/>
      <sheetName val="App_2-1-104"/>
      <sheetName val="App_2-1-117"/>
      <sheetName val="App_2-1-124"/>
      <sheetName val="App_2-1-134"/>
      <sheetName val="App_2-1-144"/>
      <sheetName val="App_2-1-154"/>
      <sheetName val="App_2-1-164"/>
      <sheetName val="App_2-1-174"/>
      <sheetName val="App_2-1-184"/>
      <sheetName val="App_2-1-194"/>
      <sheetName val="App_2-1-204"/>
      <sheetName val="Est_Exp_-_Depr__PPE4"/>
      <sheetName val="App_2-1-214"/>
      <sheetName val="App_2-1-224"/>
      <sheetName val="App_2-1-234"/>
      <sheetName val="App_2-1-244"/>
      <sheetName val="App_2-1-254"/>
      <sheetName val="App_2-1-264"/>
      <sheetName val="App_34"/>
      <sheetName val="App_3-14"/>
      <sheetName val="SUPERMONT_P3"/>
      <sheetName val="_BUSPLA12_XLS___VODAGPGRP_GROU3"/>
      <sheetName val="_BUSPLA12_XLS__BUSPLA12_XLS___3"/>
      <sheetName val="_BUSPLA12_XLS__BUSPLA12_XLS__B3"/>
      <sheetName val="_BUSPLA12_XLS___V3"/>
      <sheetName val="[BUSPLA12_XLS]__VODAGPGRP_GRO_3"/>
      <sheetName val="Base_Info2"/>
      <sheetName val="FinStat_(No_Input)14"/>
      <sheetName val="Board_Pack_-_Review_1_mil_(2)14"/>
      <sheetName val="Income_Statement14"/>
      <sheetName val="Key_Financial_Objectives14"/>
      <sheetName val="Balance_Sheet_&amp;_Cash_Flow14"/>
      <sheetName val="IS_per_average_subscriber14"/>
      <sheetName val="OP_Analisys_Slides14"/>
      <sheetName val="TAX_PAYMENTS14"/>
      <sheetName val="BUSPLA12_XLS12"/>
      <sheetName val="Dec_20045"/>
      <sheetName val="[BUSPLA12_XLS]\\VODAGPGRP\GROU5"/>
      <sheetName val="[BUSPLA12_XLS][BUSPLA12_XLS]\\5"/>
      <sheetName val="[BUSPLA12_XLS]\\V5"/>
      <sheetName val="[BUSPLA12_XLS][BUSPLA12_XLS][B5"/>
      <sheetName val="App_25"/>
      <sheetName val="App_2-15"/>
      <sheetName val="App_2-1-118"/>
      <sheetName val="App_2-1-215"/>
      <sheetName val="App_2-1-35"/>
      <sheetName val="App_2-1-45"/>
      <sheetName val="App_2-1-5old5"/>
      <sheetName val="App_2-1-65"/>
      <sheetName val="App_2-1-75"/>
      <sheetName val="App_2-1-85"/>
      <sheetName val="App_2-1-95"/>
      <sheetName val="App_2-1-105"/>
      <sheetName val="App_2-1-119"/>
      <sheetName val="App_2-1-125"/>
      <sheetName val="App_2-1-135"/>
      <sheetName val="App_2-1-145"/>
      <sheetName val="App_2-1-155"/>
      <sheetName val="App_2-1-165"/>
      <sheetName val="App_2-1-175"/>
      <sheetName val="App_2-1-185"/>
      <sheetName val="App_2-1-195"/>
      <sheetName val="App_2-1-205"/>
      <sheetName val="Est_Exp_-_Depr__PPE5"/>
      <sheetName val="App_2-1-216"/>
      <sheetName val="App_2-1-225"/>
      <sheetName val="App_2-1-235"/>
      <sheetName val="App_2-1-245"/>
      <sheetName val="App_2-1-255"/>
      <sheetName val="App_2-1-265"/>
      <sheetName val="App_35"/>
      <sheetName val="App_3-15"/>
      <sheetName val="SUPERMONT_P4"/>
      <sheetName val="_BUSPLA12_XLS___VODAGPGRP_GROU4"/>
      <sheetName val="_BUSPLA12_XLS__BUSPLA12_XLS___4"/>
      <sheetName val="_BUSPLA12_XLS__BUSPLA12_XLS__B4"/>
      <sheetName val="_BUSPLA12_XLS___V4"/>
      <sheetName val="[BUSPLA12_XLS]__VODAGPGRP_GRO_4"/>
      <sheetName val="Base_Info3"/>
      <sheetName val="FinStat_(No_Input)15"/>
      <sheetName val="Board_Pack_-_Review_1_mil_(2)15"/>
      <sheetName val="Income_Statement15"/>
      <sheetName val="Key_Financial_Objectives15"/>
      <sheetName val="Balance_Sheet_&amp;_Cash_Flow15"/>
      <sheetName val="IS_per_average_subscriber15"/>
      <sheetName val="OP_Analisys_Slides15"/>
      <sheetName val="TAX_PAYMENTS15"/>
      <sheetName val="BUSPLA12_XLS13"/>
      <sheetName val="Dec_20046"/>
      <sheetName val="[BUSPLA12_XLS]\\VODAGPGRP\GROU6"/>
      <sheetName val="[BUSPLA12_XLS][BUSPLA12_XLS]\\6"/>
      <sheetName val="[BUSPLA12_XLS]\\V6"/>
      <sheetName val="[BUSPLA12_XLS][BUSPLA12_XLS][B6"/>
      <sheetName val="App_26"/>
      <sheetName val="App_2-16"/>
      <sheetName val="App_2-1-120"/>
      <sheetName val="App_2-1-217"/>
      <sheetName val="App_2-1-36"/>
      <sheetName val="App_2-1-46"/>
      <sheetName val="App_2-1-5old6"/>
      <sheetName val="App_2-1-66"/>
      <sheetName val="App_2-1-76"/>
      <sheetName val="App_2-1-86"/>
      <sheetName val="App_2-1-96"/>
      <sheetName val="App_2-1-106"/>
      <sheetName val="App_2-1-1110"/>
      <sheetName val="App_2-1-126"/>
      <sheetName val="App_2-1-136"/>
      <sheetName val="App_2-1-146"/>
      <sheetName val="App_2-1-156"/>
      <sheetName val="App_2-1-166"/>
      <sheetName val="App_2-1-176"/>
      <sheetName val="App_2-1-186"/>
      <sheetName val="App_2-1-196"/>
      <sheetName val="App_2-1-206"/>
      <sheetName val="Est_Exp_-_Depr__PPE6"/>
      <sheetName val="App_2-1-218"/>
      <sheetName val="App_2-1-226"/>
      <sheetName val="App_2-1-236"/>
      <sheetName val="App_2-1-246"/>
      <sheetName val="App_2-1-256"/>
      <sheetName val="App_2-1-266"/>
      <sheetName val="App_36"/>
      <sheetName val="App_3-16"/>
      <sheetName val="SUPERMONT_P5"/>
      <sheetName val="_BUSPLA12_XLS___VODAGPGRP_GROU5"/>
      <sheetName val="_BUSPLA12_XLS__BUSPLA12_XLS___5"/>
      <sheetName val="_BUSPLA12_XLS__BUSPLA12_XLS__B5"/>
      <sheetName val="_BUSPLA12_XLS___V5"/>
      <sheetName val="[BUSPLA12_XLS]__VODAGPGRP_GRO_5"/>
      <sheetName val="Base_Info4"/>
      <sheetName val="Report Summary"/>
      <sheetName val="Master"/>
      <sheetName val="Pension Report"/>
      <sheetName val="INVOICE NON-ROUTINE AUG 2007"/>
      <sheetName val="FinStat_(No_Input)16"/>
      <sheetName val="Board_Pack_-_Review_1_mil_(2)16"/>
      <sheetName val="Income_Statement16"/>
      <sheetName val="Key_Financial_Objectives16"/>
      <sheetName val="Balance_Sheet_&amp;_Cash_Flow16"/>
      <sheetName val="IS_per_average_subscriber16"/>
      <sheetName val="OP_Analisys_Slides16"/>
      <sheetName val="TAX_PAYMENTS16"/>
      <sheetName val="BUSPLA12_XLS14"/>
      <sheetName val="Dec_20047"/>
      <sheetName val="[BUSPLA12_XLS]\\VODAGPGRP\GROU7"/>
      <sheetName val="[BUSPLA12_XLS][BUSPLA12_XLS]\\7"/>
      <sheetName val="[BUSPLA12_XLS]\\V7"/>
      <sheetName val="[BUSPLA12_XLS][BUSPLA12_XLS][B7"/>
      <sheetName val="App_27"/>
      <sheetName val="App_2-17"/>
      <sheetName val="App_2-1-127"/>
      <sheetName val="App_2-1-219"/>
      <sheetName val="App_2-1-37"/>
      <sheetName val="App_2-1-47"/>
      <sheetName val="App_2-1-5old7"/>
      <sheetName val="App_2-1-67"/>
      <sheetName val="App_2-1-77"/>
      <sheetName val="App_2-1-87"/>
      <sheetName val="App_2-1-97"/>
      <sheetName val="App_2-1-107"/>
      <sheetName val="App_2-1-1111"/>
      <sheetName val="App_2-1-128"/>
      <sheetName val="App_2-1-137"/>
      <sheetName val="App_2-1-147"/>
      <sheetName val="App_2-1-157"/>
      <sheetName val="App_2-1-167"/>
      <sheetName val="App_2-1-177"/>
      <sheetName val="App_2-1-187"/>
      <sheetName val="App_2-1-197"/>
      <sheetName val="App_2-1-207"/>
      <sheetName val="Est_Exp_-_Depr__PPE7"/>
      <sheetName val="App_2-1-2110"/>
      <sheetName val="App_2-1-227"/>
      <sheetName val="App_2-1-237"/>
      <sheetName val="App_2-1-247"/>
      <sheetName val="App_2-1-257"/>
      <sheetName val="App_2-1-267"/>
      <sheetName val="App_37"/>
      <sheetName val="App_3-17"/>
      <sheetName val="SUPERMONT_P6"/>
      <sheetName val="_BUSPLA12_XLS___VODAGPGRP_GROU6"/>
      <sheetName val="_BUSPLA12_XLS__BUSPLA12_XLS___6"/>
      <sheetName val="_BUSPLA12_XLS__BUSPLA12_XLS__B6"/>
      <sheetName val="_BUSPLA12_XLS___V6"/>
      <sheetName val="[BUSPLA12_XLS]__VODAGPGRP_GRO_6"/>
      <sheetName val="Base_Info5"/>
      <sheetName val="FinStat_(No_Input)17"/>
      <sheetName val="Board_Pack_-_Review_1_mil_(2)17"/>
      <sheetName val="Income_Statement17"/>
      <sheetName val="Key_Financial_Objectives17"/>
      <sheetName val="Balance_Sheet_&amp;_Cash_Flow17"/>
      <sheetName val="IS_per_average_subscriber17"/>
      <sheetName val="OP_Analisys_Slides17"/>
      <sheetName val="TAX_PAYMENTS17"/>
      <sheetName val="BUSPLA12_XLS15"/>
      <sheetName val="Dec_20048"/>
      <sheetName val="[BUSPLA12_XLS]\\VODAGPGRP\GROU8"/>
      <sheetName val="[BUSPLA12_XLS][BUSPLA12_XLS]\\8"/>
      <sheetName val="[BUSPLA12_XLS]\\V8"/>
      <sheetName val="[BUSPLA12_XLS][BUSPLA12_XLS][B8"/>
      <sheetName val="App_28"/>
      <sheetName val="App_2-18"/>
      <sheetName val="App_2-1-129"/>
      <sheetName val="App_2-1-220"/>
      <sheetName val="App_2-1-38"/>
      <sheetName val="App_2-1-48"/>
      <sheetName val="App_2-1-5old8"/>
      <sheetName val="App_2-1-68"/>
      <sheetName val="App_2-1-78"/>
      <sheetName val="App_2-1-88"/>
      <sheetName val="App_2-1-98"/>
      <sheetName val="App_2-1-108"/>
      <sheetName val="App_2-1-1112"/>
      <sheetName val="App_2-1-1210"/>
      <sheetName val="App_2-1-138"/>
      <sheetName val="App_2-1-148"/>
      <sheetName val="App_2-1-158"/>
      <sheetName val="App_2-1-168"/>
      <sheetName val="App_2-1-178"/>
      <sheetName val="App_2-1-188"/>
      <sheetName val="App_2-1-198"/>
      <sheetName val="App_2-1-208"/>
      <sheetName val="Est_Exp_-_Depr__PPE8"/>
      <sheetName val="App_2-1-2111"/>
      <sheetName val="App_2-1-228"/>
      <sheetName val="App_2-1-238"/>
      <sheetName val="App_2-1-248"/>
      <sheetName val="App_2-1-258"/>
      <sheetName val="App_2-1-268"/>
      <sheetName val="App_38"/>
      <sheetName val="App_3-18"/>
      <sheetName val="SUPERMONT_P7"/>
      <sheetName val="_BUSPLA12_XLS___VODAGPGRP_GROU7"/>
      <sheetName val="_BUSPLA12_XLS__BUSPLA12_XLS___7"/>
      <sheetName val="_BUSPLA12_XLS__BUSPLA12_XLS__B7"/>
      <sheetName val="_BUSPLA12_XLS___V7"/>
      <sheetName val="[BUSPLA12_XLS]__VODAGPGRP_GRO_7"/>
      <sheetName val="Base_Info6"/>
      <sheetName val="FinStat_(No_Input)18"/>
      <sheetName val="Board_Pack_-_Review_1_mil_(2)18"/>
      <sheetName val="Income_Statement18"/>
      <sheetName val="Key_Financial_Objectives18"/>
      <sheetName val="Balance_Sheet_&amp;_Cash_Flow18"/>
      <sheetName val="IS_per_average_subscriber18"/>
      <sheetName val="OP_Analisys_Slides18"/>
      <sheetName val="TAX_PAYMENTS18"/>
      <sheetName val="BUSPLA12_XLS16"/>
      <sheetName val="Dec_20049"/>
      <sheetName val="[BUSPLA12_XLS]\\VODAGPGRP\GROU9"/>
      <sheetName val="[BUSPLA12_XLS][BUSPLA12_XLS]\\9"/>
      <sheetName val="[BUSPLA12_XLS]\\V9"/>
      <sheetName val="[BUSPLA12_XLS][BUSPLA12_XLS][B9"/>
      <sheetName val="App_29"/>
      <sheetName val="App_2-19"/>
      <sheetName val="App_2-1-130"/>
      <sheetName val="App_2-1-229"/>
      <sheetName val="App_2-1-39"/>
      <sheetName val="App_2-1-49"/>
      <sheetName val="App_2-1-5old9"/>
      <sheetName val="App_2-1-69"/>
      <sheetName val="App_2-1-79"/>
      <sheetName val="App_2-1-89"/>
      <sheetName val="App_2-1-99"/>
      <sheetName val="App_2-1-109"/>
      <sheetName val="App_2-1-1113"/>
      <sheetName val="App_2-1-1211"/>
      <sheetName val="App_2-1-139"/>
      <sheetName val="App_2-1-149"/>
      <sheetName val="App_2-1-159"/>
      <sheetName val="App_2-1-169"/>
      <sheetName val="App_2-1-179"/>
      <sheetName val="App_2-1-189"/>
      <sheetName val="App_2-1-199"/>
      <sheetName val="App_2-1-209"/>
      <sheetName val="Est_Exp_-_Depr__PPE9"/>
      <sheetName val="App_2-1-2112"/>
      <sheetName val="App_2-1-2210"/>
      <sheetName val="App_2-1-239"/>
      <sheetName val="App_2-1-249"/>
      <sheetName val="App_2-1-259"/>
      <sheetName val="App_2-1-269"/>
      <sheetName val="App_39"/>
      <sheetName val="App_3-19"/>
      <sheetName val="SUPERMONT_P8"/>
      <sheetName val="_BUSPLA12_XLS___VODAGPGRP_GROU8"/>
      <sheetName val="_BUSPLA12_XLS__BUSPLA12_XLS___8"/>
      <sheetName val="_BUSPLA12_XLS__BUSPLA12_XLS__B8"/>
      <sheetName val="_BUSPLA12_XLS___V8"/>
      <sheetName val="[BUSPLA12_XLS]__VODAGPGRP_GRO_8"/>
      <sheetName val="Base_Info7"/>
      <sheetName val="INVOICE_NON-ROUTINE_AUG_2007"/>
      <sheetName val="Report_Summary"/>
      <sheetName val="Pension_Report"/>
      <sheetName val="FinStat_(No_Input)19"/>
      <sheetName val="Board_Pack_-_Review_1_mil_(2)19"/>
      <sheetName val="Income_Statement19"/>
      <sheetName val="Key_Financial_Objectives19"/>
      <sheetName val="Balance_Sheet_&amp;_Cash_Flow19"/>
      <sheetName val="IS_per_average_subscriber19"/>
      <sheetName val="OP_Analisys_Slides19"/>
      <sheetName val="TAX_PAYMENTS19"/>
      <sheetName val="BUSPLA12_XLS17"/>
      <sheetName val="Dec_200410"/>
      <sheetName val="[BUSPLA12_XLS]\\VODAGPGRP\GRO10"/>
      <sheetName val="[BUSPLA12_XLS][BUSPLA12_XLS]\10"/>
      <sheetName val="[BUSPLA12_XLS]\\V10"/>
      <sheetName val="[BUSPLA12_XLS][BUSPLA12_XLS][10"/>
      <sheetName val="App_210"/>
      <sheetName val="App_2-110"/>
      <sheetName val="App_2-1-140"/>
      <sheetName val="App_2-1-230"/>
      <sheetName val="App_2-1-310"/>
      <sheetName val="App_2-1-410"/>
      <sheetName val="App_2-1-5old10"/>
      <sheetName val="App_2-1-610"/>
      <sheetName val="App_2-1-710"/>
      <sheetName val="App_2-1-810"/>
      <sheetName val="App_2-1-910"/>
      <sheetName val="App_2-1-1010"/>
      <sheetName val="App_2-1-1114"/>
      <sheetName val="App_2-1-1212"/>
      <sheetName val="App_2-1-1310"/>
      <sheetName val="App_2-1-1410"/>
      <sheetName val="App_2-1-1510"/>
      <sheetName val="App_2-1-1610"/>
      <sheetName val="App_2-1-1710"/>
      <sheetName val="App_2-1-1810"/>
      <sheetName val="App_2-1-1910"/>
      <sheetName val="App_2-1-2010"/>
      <sheetName val="Est_Exp_-_Depr__PPE10"/>
      <sheetName val="App_2-1-2113"/>
      <sheetName val="App_2-1-2211"/>
      <sheetName val="App_2-1-2310"/>
      <sheetName val="App_2-1-2410"/>
      <sheetName val="App_2-1-2510"/>
      <sheetName val="App_2-1-2610"/>
      <sheetName val="App_310"/>
      <sheetName val="App_3-110"/>
      <sheetName val="SUPERMONT_P9"/>
      <sheetName val="_BUSPLA12_XLS___VODAGPGRP_GROU9"/>
      <sheetName val="_BUSPLA12_XLS__BUSPLA12_XLS___9"/>
      <sheetName val="_BUSPLA12_XLS__BUSPLA12_XLS__B9"/>
      <sheetName val="_BUSPLA12_XLS___V9"/>
      <sheetName val="[BUSPLA12_XLS]__VODAGPGRP_GRO_9"/>
      <sheetName val="Base_Info8"/>
      <sheetName val="INVOICE_NON-ROUTINE_AUG_20071"/>
      <sheetName val="Report_Summary1"/>
      <sheetName val="Pension_Report1"/>
      <sheetName val="FinStat_(No_Input)20"/>
      <sheetName val="Board_Pack_-_Review_1_mil_(2)20"/>
      <sheetName val="Income_Statement20"/>
      <sheetName val="Key_Financial_Objectives20"/>
      <sheetName val="Balance_Sheet_&amp;_Cash_Flow20"/>
      <sheetName val="IS_per_average_subscriber20"/>
      <sheetName val="OP_Analisys_Slides20"/>
      <sheetName val="TAX_PAYMENTS20"/>
      <sheetName val="BUSPLA12_XLS18"/>
      <sheetName val="Dec_200411"/>
      <sheetName val="[BUSPLA12_XLS]\\VODAGPGRP\GRO11"/>
      <sheetName val="[BUSPLA12_XLS][BUSPLA12_XLS]\11"/>
      <sheetName val="[BUSPLA12_XLS]\\V11"/>
      <sheetName val="[BUSPLA12_XLS][BUSPLA12_XLS][11"/>
      <sheetName val="App_211"/>
      <sheetName val="App_2-111"/>
      <sheetName val="App_2-1-150"/>
      <sheetName val="App_2-1-240"/>
      <sheetName val="App_2-1-311"/>
      <sheetName val="App_2-1-411"/>
      <sheetName val="App_2-1-5old11"/>
      <sheetName val="App_2-1-611"/>
      <sheetName val="App_2-1-711"/>
      <sheetName val="App_2-1-811"/>
      <sheetName val="App_2-1-911"/>
      <sheetName val="App_2-1-1011"/>
      <sheetName val="App_2-1-1115"/>
      <sheetName val="App_2-1-1213"/>
      <sheetName val="App_2-1-1311"/>
      <sheetName val="App_2-1-1411"/>
      <sheetName val="App_2-1-1511"/>
      <sheetName val="App_2-1-1611"/>
      <sheetName val="App_2-1-1711"/>
      <sheetName val="App_2-1-1811"/>
      <sheetName val="App_2-1-1911"/>
      <sheetName val="App_2-1-2011"/>
      <sheetName val="Est_Exp_-_Depr__PPE11"/>
      <sheetName val="App_2-1-2114"/>
      <sheetName val="App_2-1-2212"/>
      <sheetName val="App_2-1-2311"/>
      <sheetName val="App_2-1-2411"/>
      <sheetName val="App_2-1-2511"/>
      <sheetName val="App_2-1-2611"/>
      <sheetName val="App_311"/>
      <sheetName val="App_3-111"/>
      <sheetName val="SUPERMONT_P10"/>
      <sheetName val="_BUSPLA12_XLS___VODAGPGRP_GRO10"/>
      <sheetName val="_BUSPLA12_XLS__BUSPLA12_XLS__10"/>
      <sheetName val="_BUSPLA12_XLS__BUSPLA12_XLS__11"/>
      <sheetName val="_BUSPLA12_XLS___V10"/>
      <sheetName val="[BUSPLA12_XLS]__VODAGPGRP_GRO10"/>
      <sheetName val="Base_Info9"/>
      <sheetName val="INVOICE_NON-ROUTINE_AUG_20072"/>
      <sheetName val="Report_Summary2"/>
      <sheetName val="Pension_Report2"/>
      <sheetName val="FinStat_(No_Input)21"/>
      <sheetName val="Board_Pack_-_Review_1_mil_(2)21"/>
      <sheetName val="Income_Statement21"/>
      <sheetName val="Key_Financial_Objectives21"/>
      <sheetName val="Balance_Sheet_&amp;_Cash_Flow21"/>
      <sheetName val="IS_per_average_subscriber21"/>
      <sheetName val="OP_Analisys_Slides21"/>
      <sheetName val="TAX_PAYMENTS21"/>
      <sheetName val="BUSPLA12_XLS19"/>
      <sheetName val="Dec_200412"/>
      <sheetName val="[BUSPLA12_XLS]\\VODAGPGRP\GRO12"/>
      <sheetName val="[BUSPLA12_XLS][BUSPLA12_XLS]\12"/>
      <sheetName val="[BUSPLA12_XLS]\\V12"/>
      <sheetName val="[BUSPLA12_XLS][BUSPLA12_XLS][12"/>
      <sheetName val="App_212"/>
      <sheetName val="App_2-112"/>
      <sheetName val="App_2-1-160"/>
      <sheetName val="App_2-1-250"/>
      <sheetName val="App_2-1-312"/>
      <sheetName val="App_2-1-412"/>
      <sheetName val="App_2-1-5old12"/>
      <sheetName val="App_2-1-612"/>
      <sheetName val="App_2-1-712"/>
      <sheetName val="App_2-1-812"/>
      <sheetName val="App_2-1-912"/>
      <sheetName val="App_2-1-1012"/>
      <sheetName val="App_2-1-1116"/>
      <sheetName val="App_2-1-1214"/>
      <sheetName val="App_2-1-1312"/>
      <sheetName val="App_2-1-1412"/>
      <sheetName val="App_2-1-1512"/>
      <sheetName val="App_2-1-1612"/>
      <sheetName val="App_2-1-1712"/>
      <sheetName val="App_2-1-1812"/>
      <sheetName val="App_2-1-1912"/>
      <sheetName val="App_2-1-2012"/>
      <sheetName val="Est_Exp_-_Depr__PPE12"/>
      <sheetName val="App_2-1-2115"/>
      <sheetName val="App_2-1-2213"/>
      <sheetName val="App_2-1-2312"/>
      <sheetName val="App_2-1-2412"/>
      <sheetName val="App_2-1-2512"/>
      <sheetName val="App_2-1-2612"/>
      <sheetName val="App_312"/>
      <sheetName val="App_3-112"/>
      <sheetName val="SUPERMONT_P11"/>
      <sheetName val="_BUSPLA12_XLS___VODAGPGRP_GRO11"/>
      <sheetName val="_BUSPLA12_XLS__BUSPLA12_XLS__12"/>
      <sheetName val="_BUSPLA12_XLS__BUSPLA12_XLS__13"/>
      <sheetName val="_BUSPLA12_XLS___V11"/>
      <sheetName val="[BUSPLA12_XLS]__VODAGPGRP_GRO11"/>
      <sheetName val="Base_Info10"/>
      <sheetName val="INVOICE_NON-ROUTINE_AUG_20073"/>
      <sheetName val="Report_Summary3"/>
      <sheetName val="Pension_Repor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00"/>
      <sheetName val="***01"/>
      <sheetName val="laroux"/>
      <sheetName val="Locas"/>
      <sheetName val="Locas_2"/>
      <sheetName val="2002"/>
      <sheetName val="2001"/>
      <sheetName val="Fixed Assets"/>
      <sheetName val="2000"/>
      <sheetName val="2009 YOA Sep Provision"/>
      <sheetName val="BC&amp;BA"/>
      <sheetName val="FA Add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s"/>
      <sheetName val="pg 3-4 "/>
      <sheetName val="Pg5"/>
      <sheetName val="pg 6"/>
      <sheetName val="pg 7-8 "/>
      <sheetName val="PG 9"/>
      <sheetName val="pg 10-18"/>
      <sheetName val="PG 19"/>
      <sheetName val="pg_3-4_"/>
      <sheetName val="pg_6"/>
      <sheetName val="pg_7-8_"/>
      <sheetName val="PG_9"/>
      <sheetName val="pg_10-18"/>
      <sheetName val="PG_19"/>
      <sheetName val="Sheet2"/>
      <sheetName val="BALANCEAUG03"/>
      <sheetName val="ess1"/>
      <sheetName val="Bud"/>
      <sheetName val="Sheet1"/>
      <sheetName val="BroFees"/>
      <sheetName val="data"/>
      <sheetName val="weekly capacity"/>
      <sheetName val="CASHFLOW"/>
      <sheetName val="TMLEASE01(1stversion)"/>
      <sheetName val="ETB"/>
      <sheetName val="pg_3-4_1"/>
      <sheetName val="pg_61"/>
      <sheetName val="pg_7-8_1"/>
      <sheetName val="PG_91"/>
      <sheetName val="pg_10-181"/>
      <sheetName val="PG_191"/>
      <sheetName val="weekly_capacity"/>
      <sheetName val="danmo"/>
      <sheetName val="CC_PROD"/>
      <sheetName val="Not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e 1"/>
      <sheetName val="Index and directors"/>
      <sheetName val="Page 2"/>
      <sheetName val="Page 3"/>
      <sheetName val="Page 4 and 5"/>
      <sheetName val="Page 6 "/>
      <sheetName val="Page 7"/>
      <sheetName val="Page 8"/>
      <sheetName val="Page 9"/>
      <sheetName val="Page 10 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Lead"/>
      <sheetName val="Detailed Lead-FINAL"/>
      <sheetName val="Analytics Final and interim "/>
      <sheetName val="NRV Test Final audit"/>
      <sheetName val="NRV"/>
      <sheetName val="Unadjusted errors "/>
      <sheetName val="Stockmaster errors"/>
      <sheetName val="systems testing "/>
      <sheetName val="Loan Amortization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P&amp;L"/>
      <sheetName val="sstatus"/>
      <sheetName val="CON P&amp;L"/>
      <sheetName val="Divisional Summary"/>
      <sheetName val="Overhead Allocation"/>
      <sheetName val="P &amp; L Recon"/>
      <sheetName val="FIXED ASSETS"/>
      <sheetName val="BALSUM"/>
      <sheetName val="Trial Balance"/>
      <sheetName val="Con BS"/>
      <sheetName val="Provisions"/>
      <sheetName val="Ratios"/>
      <sheetName val="DRS&amp;CRS"/>
      <sheetName val="ROACE current"/>
      <sheetName val="Division Utilization"/>
      <sheetName val="Fixed ROACE - prior month"/>
      <sheetName val="Quarterly Analysis CFL New"/>
      <sheetName val="Trading.Mateppe"/>
      <sheetName val="Adjusted con pl"/>
      <sheetName val="CHL CONSOLIDATION"/>
      <sheetName val="CHL Consolidated"/>
      <sheetName val="Quarterly Analysis CFL"/>
      <sheetName val="Statement of Changes"/>
    </sheetNames>
    <sheetDataSet>
      <sheetData sheetId="0"/>
      <sheetData sheetId="1"/>
      <sheetData sheetId="2"/>
      <sheetData sheetId="3">
        <row r="7">
          <cell r="D7">
            <v>339508.64</v>
          </cell>
        </row>
      </sheetData>
      <sheetData sheetId="4"/>
      <sheetData sheetId="5"/>
      <sheetData sheetId="6"/>
      <sheetData sheetId="7"/>
      <sheetData sheetId="8">
        <row r="3007">
          <cell r="F3007">
            <v>471.2</v>
          </cell>
        </row>
      </sheetData>
      <sheetData sheetId="9">
        <row r="13">
          <cell r="V13">
            <v>22247608</v>
          </cell>
        </row>
        <row r="19">
          <cell r="V19">
            <v>5658.7099999986585</v>
          </cell>
        </row>
        <row r="39">
          <cell r="BL39">
            <v>5127029.3500000006</v>
          </cell>
        </row>
        <row r="64">
          <cell r="V64">
            <v>11930948.290000318</v>
          </cell>
        </row>
        <row r="70">
          <cell r="V70">
            <v>1349518.56</v>
          </cell>
        </row>
        <row r="71">
          <cell r="V71">
            <v>10470408.120000001</v>
          </cell>
        </row>
        <row r="72">
          <cell r="V72">
            <v>0</v>
          </cell>
        </row>
        <row r="98">
          <cell r="V98">
            <v>12666415.312442804</v>
          </cell>
        </row>
        <row r="126">
          <cell r="BL126">
            <v>0</v>
          </cell>
        </row>
        <row r="146">
          <cell r="V146">
            <v>-80202.400000000009</v>
          </cell>
        </row>
        <row r="150">
          <cell r="V15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e Your Loan Manager"/>
      <sheetName val="Loan Data"/>
      <sheetName val="Loan Amortization Table"/>
      <sheetName val="Summary Graph"/>
      <sheetName val="Macros"/>
      <sheetName val="Lock"/>
      <sheetName val="VDlg"/>
      <sheetName val="ChgLoan"/>
      <sheetName val="5 D"/>
    </sheetNames>
    <sheetDataSet>
      <sheetData sheetId="0"/>
      <sheetData sheetId="1"/>
      <sheetData sheetId="2">
        <row r="16">
          <cell r="K16">
            <v>-143475208.33329999</v>
          </cell>
          <cell r="L16">
            <v>-34535883.490599997</v>
          </cell>
        </row>
        <row r="17">
          <cell r="K17">
            <v>-142410351.92570001</v>
          </cell>
          <cell r="L17">
            <v>-35600739.898199998</v>
          </cell>
        </row>
        <row r="18">
          <cell r="K18">
            <v>-141312662.44549999</v>
          </cell>
          <cell r="L18">
            <v>-36698429.378399998</v>
          </cell>
        </row>
        <row r="19">
          <cell r="K19">
            <v>-140181127.5397</v>
          </cell>
          <cell r="L19">
            <v>-37829964.284199998</v>
          </cell>
        </row>
        <row r="20">
          <cell r="K20">
            <v>-139014703.64089999</v>
          </cell>
          <cell r="L20">
            <v>-38996388.182999998</v>
          </cell>
        </row>
        <row r="21">
          <cell r="K21">
            <v>-137812315.00529999</v>
          </cell>
          <cell r="L21">
            <v>-40198776.818599999</v>
          </cell>
        </row>
        <row r="22">
          <cell r="K22">
            <v>-136572852.72</v>
          </cell>
          <cell r="L22">
            <v>-41438239.1039</v>
          </cell>
        </row>
        <row r="23">
          <cell r="K23">
            <v>-135295173.68099999</v>
          </cell>
          <cell r="L23">
            <v>-42715918.142899998</v>
          </cell>
        </row>
        <row r="24">
          <cell r="K24">
            <v>-133978099.53829999</v>
          </cell>
          <cell r="L24">
            <v>-44032992.285599999</v>
          </cell>
        </row>
        <row r="25">
          <cell r="K25">
            <v>-132620415.60950001</v>
          </cell>
          <cell r="L25">
            <v>-45390676.214400001</v>
          </cell>
        </row>
        <row r="26">
          <cell r="K26">
            <v>-131220869.7595</v>
          </cell>
          <cell r="L26">
            <v>-46790222.064400002</v>
          </cell>
        </row>
        <row r="27">
          <cell r="K27">
            <v>-129778171.24590001</v>
          </cell>
          <cell r="L27">
            <v>-48232920.578000002</v>
          </cell>
        </row>
        <row r="28">
          <cell r="K28">
            <v>-128290989.528</v>
          </cell>
          <cell r="L28">
            <v>-49720102.295900002</v>
          </cell>
        </row>
        <row r="29">
          <cell r="K29">
            <v>-126757953.0406</v>
          </cell>
          <cell r="L29">
            <v>-51253138.783299997</v>
          </cell>
        </row>
        <row r="30">
          <cell r="K30">
            <v>-125177647.9281</v>
          </cell>
          <cell r="L30">
            <v>-52833443.895800002</v>
          </cell>
        </row>
        <row r="31">
          <cell r="K31">
            <v>-123548616.7413</v>
          </cell>
          <cell r="L31">
            <v>-54462475.082599998</v>
          </cell>
        </row>
        <row r="32">
          <cell r="K32">
            <v>-121869357.09289999</v>
          </cell>
          <cell r="L32">
            <v>-56141734.730999999</v>
          </cell>
        </row>
        <row r="33">
          <cell r="K33">
            <v>-120138320.2721</v>
          </cell>
          <cell r="L33">
            <v>-57872771.551799998</v>
          </cell>
        </row>
        <row r="34">
          <cell r="K34">
            <v>-118353909.8159</v>
          </cell>
          <cell r="L34">
            <v>-59657182.008000001</v>
          </cell>
        </row>
        <row r="35">
          <cell r="K35">
            <v>-116514480.03730001</v>
          </cell>
          <cell r="L35">
            <v>-61496611.786600001</v>
          </cell>
        </row>
        <row r="36">
          <cell r="K36">
            <v>-114618334.5072</v>
          </cell>
          <cell r="L36">
            <v>-63392757.316699997</v>
          </cell>
        </row>
        <row r="37">
          <cell r="K37">
            <v>-112663724.48989999</v>
          </cell>
          <cell r="L37">
            <v>-65347367.333999999</v>
          </cell>
        </row>
        <row r="38">
          <cell r="K38">
            <v>-110648847.33050001</v>
          </cell>
          <cell r="L38">
            <v>-67362244.493399993</v>
          </cell>
        </row>
        <row r="39">
          <cell r="K39">
            <v>-108571844.79189999</v>
          </cell>
          <cell r="L39">
            <v>-69439247.032000005</v>
          </cell>
        </row>
        <row r="40">
          <cell r="K40">
            <v>-106430801.3418</v>
          </cell>
          <cell r="L40">
            <v>-71580290.482099995</v>
          </cell>
        </row>
        <row r="41">
          <cell r="K41">
            <v>-104223742.38519999</v>
          </cell>
          <cell r="L41">
            <v>-73787349.438700005</v>
          </cell>
        </row>
        <row r="42">
          <cell r="K42">
            <v>-101948632.44419999</v>
          </cell>
          <cell r="L42">
            <v>-76062459.379700005</v>
          </cell>
        </row>
        <row r="43">
          <cell r="K43">
            <v>-99603373.280000001</v>
          </cell>
          <cell r="L43">
            <v>-78407718.543899998</v>
          </cell>
        </row>
        <row r="44">
          <cell r="K44">
            <v>-97185801.958199993</v>
          </cell>
          <cell r="L44">
            <v>-80825289.865700006</v>
          </cell>
        </row>
        <row r="45">
          <cell r="K45">
            <v>-94693688.854000002</v>
          </cell>
          <cell r="L45">
            <v>-83317402.969899997</v>
          </cell>
        </row>
        <row r="46">
          <cell r="K46">
            <v>-92124735.595799997</v>
          </cell>
          <cell r="L46">
            <v>-85886356.228100002</v>
          </cell>
        </row>
        <row r="47">
          <cell r="K47">
            <v>-89476572.9454</v>
          </cell>
          <cell r="L47">
            <v>-88534518.8785</v>
          </cell>
        </row>
        <row r="48">
          <cell r="K48">
            <v>-86746758.613399997</v>
          </cell>
          <cell r="L48">
            <v>-91264333.210500002</v>
          </cell>
        </row>
        <row r="49">
          <cell r="K49">
            <v>-83932775.005999997</v>
          </cell>
          <cell r="L49">
            <v>-94078316.817900002</v>
          </cell>
        </row>
        <row r="50">
          <cell r="K50">
            <v>-81032026.904100001</v>
          </cell>
          <cell r="L50">
            <v>-96979064.919799998</v>
          </cell>
        </row>
        <row r="51">
          <cell r="K51">
            <v>-78041839.069100007</v>
          </cell>
          <cell r="L51">
            <v>-99969252.754800007</v>
          </cell>
        </row>
        <row r="52">
          <cell r="K52">
            <v>-74959453.775800005</v>
          </cell>
          <cell r="L52">
            <v>-103051638.04809999</v>
          </cell>
        </row>
        <row r="53">
          <cell r="K53">
            <v>-71782028.269400001</v>
          </cell>
          <cell r="L53">
            <v>-106229063.5545</v>
          </cell>
        </row>
        <row r="54">
          <cell r="K54">
            <v>-68506632.143099993</v>
          </cell>
          <cell r="L54">
            <v>-109504459.68080001</v>
          </cell>
        </row>
        <row r="55">
          <cell r="K55">
            <v>-65130244.636299998</v>
          </cell>
          <cell r="L55">
            <v>-112880847.1876</v>
          </cell>
        </row>
        <row r="56">
          <cell r="K56">
            <v>-61649751.847999997</v>
          </cell>
          <cell r="L56">
            <v>-116361339.97589999</v>
          </cell>
        </row>
        <row r="57">
          <cell r="K57">
            <v>-58061943.865400001</v>
          </cell>
          <cell r="L57">
            <v>-119949147.9585</v>
          </cell>
        </row>
        <row r="58">
          <cell r="K58">
            <v>-54363511.803300001</v>
          </cell>
          <cell r="L58">
            <v>-123647580.02060001</v>
          </cell>
        </row>
        <row r="59">
          <cell r="K59">
            <v>-50551044.752700001</v>
          </cell>
          <cell r="L59">
            <v>-127460047.0712</v>
          </cell>
        </row>
        <row r="60">
          <cell r="K60">
            <v>-46621026.6347</v>
          </cell>
          <cell r="L60">
            <v>-131390065.1892</v>
          </cell>
        </row>
        <row r="61">
          <cell r="K61">
            <v>-42569832.957999997</v>
          </cell>
          <cell r="L61">
            <v>-135441258.86590001</v>
          </cell>
        </row>
        <row r="62">
          <cell r="K62">
            <v>-38393727.476300001</v>
          </cell>
          <cell r="L62">
            <v>-139617364.34760001</v>
          </cell>
        </row>
        <row r="63">
          <cell r="K63">
            <v>-34088858.742299996</v>
          </cell>
          <cell r="L63">
            <v>-143922233.08160001</v>
          </cell>
        </row>
        <row r="64">
          <cell r="K64">
            <v>-29651256.555599999</v>
          </cell>
          <cell r="L64">
            <v>-148359835.2683</v>
          </cell>
        </row>
        <row r="65">
          <cell r="K65">
            <v>-25076828.3015</v>
          </cell>
          <cell r="L65">
            <v>-152934263.52239999</v>
          </cell>
        </row>
        <row r="66">
          <cell r="K66">
            <v>-20361355.176199999</v>
          </cell>
          <cell r="L66">
            <v>-157649736.64770001</v>
          </cell>
        </row>
        <row r="67">
          <cell r="K67">
            <v>-15500488.2962</v>
          </cell>
          <cell r="L67">
            <v>-162510603.52770001</v>
          </cell>
        </row>
        <row r="68">
          <cell r="K68">
            <v>-10489744.6875</v>
          </cell>
          <cell r="L68">
            <v>-167521347.13640001</v>
          </cell>
        </row>
        <row r="69">
          <cell r="K69">
            <v>-5324503.1507999999</v>
          </cell>
          <cell r="L69">
            <v>-172686588.67309999</v>
          </cell>
        </row>
        <row r="70">
          <cell r="K70">
            <v>0</v>
          </cell>
          <cell r="L70">
            <v>0</v>
          </cell>
        </row>
        <row r="71">
          <cell r="K71">
            <v>0</v>
          </cell>
          <cell r="L71">
            <v>0</v>
          </cell>
        </row>
        <row r="72">
          <cell r="K72">
            <v>0</v>
          </cell>
          <cell r="L72">
            <v>0</v>
          </cell>
        </row>
        <row r="73">
          <cell r="K73">
            <v>0</v>
          </cell>
          <cell r="L73">
            <v>0</v>
          </cell>
        </row>
        <row r="74">
          <cell r="K74">
            <v>0</v>
          </cell>
          <cell r="L74">
            <v>0</v>
          </cell>
        </row>
        <row r="75">
          <cell r="K75">
            <v>0</v>
          </cell>
          <cell r="L75">
            <v>0</v>
          </cell>
        </row>
        <row r="76">
          <cell r="K76">
            <v>0</v>
          </cell>
          <cell r="L76">
            <v>0</v>
          </cell>
        </row>
        <row r="77">
          <cell r="K77">
            <v>0</v>
          </cell>
          <cell r="L77">
            <v>0</v>
          </cell>
        </row>
        <row r="78">
          <cell r="K78">
            <v>0</v>
          </cell>
          <cell r="L78">
            <v>0</v>
          </cell>
        </row>
        <row r="79">
          <cell r="K79">
            <v>0</v>
          </cell>
          <cell r="L79">
            <v>0</v>
          </cell>
        </row>
        <row r="80">
          <cell r="K80">
            <v>0</v>
          </cell>
          <cell r="L80">
            <v>0</v>
          </cell>
        </row>
        <row r="81">
          <cell r="K81">
            <v>0</v>
          </cell>
          <cell r="L81">
            <v>0</v>
          </cell>
        </row>
        <row r="82">
          <cell r="K82">
            <v>0</v>
          </cell>
          <cell r="L82">
            <v>0</v>
          </cell>
        </row>
        <row r="83">
          <cell r="K83">
            <v>0</v>
          </cell>
          <cell r="L83">
            <v>0</v>
          </cell>
        </row>
        <row r="84">
          <cell r="K84">
            <v>0</v>
          </cell>
          <cell r="L84">
            <v>0</v>
          </cell>
        </row>
        <row r="85">
          <cell r="K85">
            <v>0</v>
          </cell>
          <cell r="L85">
            <v>0</v>
          </cell>
        </row>
        <row r="86">
          <cell r="K86">
            <v>0</v>
          </cell>
          <cell r="L86">
            <v>0</v>
          </cell>
        </row>
        <row r="87">
          <cell r="K87">
            <v>0</v>
          </cell>
          <cell r="L87">
            <v>0</v>
          </cell>
        </row>
        <row r="88">
          <cell r="K88">
            <v>0</v>
          </cell>
          <cell r="L88">
            <v>0</v>
          </cell>
        </row>
        <row r="89">
          <cell r="K89">
            <v>0</v>
          </cell>
          <cell r="L89">
            <v>0</v>
          </cell>
        </row>
        <row r="90">
          <cell r="K90">
            <v>0</v>
          </cell>
          <cell r="L90">
            <v>0</v>
          </cell>
        </row>
        <row r="91">
          <cell r="K91">
            <v>0</v>
          </cell>
          <cell r="L91">
            <v>0</v>
          </cell>
        </row>
        <row r="92">
          <cell r="K92">
            <v>0</v>
          </cell>
          <cell r="L92">
            <v>0</v>
          </cell>
        </row>
        <row r="93">
          <cell r="K93">
            <v>0</v>
          </cell>
          <cell r="L93">
            <v>0</v>
          </cell>
        </row>
        <row r="94">
          <cell r="K94">
            <v>0</v>
          </cell>
          <cell r="L94">
            <v>0</v>
          </cell>
        </row>
        <row r="95">
          <cell r="K95">
            <v>0</v>
          </cell>
          <cell r="L95">
            <v>0</v>
          </cell>
        </row>
        <row r="96">
          <cell r="K96">
            <v>0</v>
          </cell>
          <cell r="L96">
            <v>0</v>
          </cell>
        </row>
        <row r="97">
          <cell r="K97">
            <v>0</v>
          </cell>
          <cell r="L97">
            <v>0</v>
          </cell>
        </row>
        <row r="98">
          <cell r="K98">
            <v>0</v>
          </cell>
          <cell r="L98">
            <v>0</v>
          </cell>
        </row>
        <row r="99">
          <cell r="K99">
            <v>0</v>
          </cell>
          <cell r="L99">
            <v>0</v>
          </cell>
        </row>
        <row r="100">
          <cell r="K100">
            <v>0</v>
          </cell>
          <cell r="L100">
            <v>0</v>
          </cell>
        </row>
        <row r="101">
          <cell r="K101">
            <v>0</v>
          </cell>
          <cell r="L101">
            <v>0</v>
          </cell>
        </row>
        <row r="102">
          <cell r="K102">
            <v>0</v>
          </cell>
          <cell r="L102">
            <v>0</v>
          </cell>
        </row>
        <row r="103">
          <cell r="K103">
            <v>0</v>
          </cell>
          <cell r="L103">
            <v>0</v>
          </cell>
        </row>
        <row r="104">
          <cell r="K104">
            <v>0</v>
          </cell>
          <cell r="L104">
            <v>0</v>
          </cell>
        </row>
        <row r="105">
          <cell r="K105">
            <v>0</v>
          </cell>
          <cell r="L105">
            <v>0</v>
          </cell>
        </row>
        <row r="106">
          <cell r="K106">
            <v>0</v>
          </cell>
          <cell r="L106">
            <v>0</v>
          </cell>
        </row>
        <row r="107">
          <cell r="K107">
            <v>0</v>
          </cell>
          <cell r="L107">
            <v>0</v>
          </cell>
        </row>
        <row r="108">
          <cell r="K108">
            <v>0</v>
          </cell>
          <cell r="L108">
            <v>0</v>
          </cell>
        </row>
        <row r="109">
          <cell r="K109">
            <v>0</v>
          </cell>
          <cell r="L109">
            <v>0</v>
          </cell>
        </row>
        <row r="110">
          <cell r="K110">
            <v>0</v>
          </cell>
          <cell r="L110">
            <v>0</v>
          </cell>
        </row>
        <row r="111">
          <cell r="K111">
            <v>0</v>
          </cell>
          <cell r="L111">
            <v>0</v>
          </cell>
        </row>
        <row r="112">
          <cell r="K112">
            <v>0</v>
          </cell>
          <cell r="L112">
            <v>0</v>
          </cell>
        </row>
        <row r="113">
          <cell r="K113">
            <v>0</v>
          </cell>
          <cell r="L113">
            <v>0</v>
          </cell>
        </row>
        <row r="114">
          <cell r="K114">
            <v>0</v>
          </cell>
          <cell r="L114">
            <v>0</v>
          </cell>
        </row>
        <row r="115">
          <cell r="K115">
            <v>0</v>
          </cell>
          <cell r="L115">
            <v>0</v>
          </cell>
        </row>
        <row r="116">
          <cell r="K116">
            <v>0</v>
          </cell>
          <cell r="L116">
            <v>0</v>
          </cell>
        </row>
        <row r="117">
          <cell r="K117">
            <v>0</v>
          </cell>
          <cell r="L117">
            <v>0</v>
          </cell>
        </row>
        <row r="118">
          <cell r="K118">
            <v>0</v>
          </cell>
          <cell r="L118">
            <v>0</v>
          </cell>
        </row>
        <row r="119">
          <cell r="K119">
            <v>0</v>
          </cell>
          <cell r="L119">
            <v>0</v>
          </cell>
        </row>
        <row r="120">
          <cell r="K120">
            <v>0</v>
          </cell>
          <cell r="L120">
            <v>0</v>
          </cell>
        </row>
        <row r="121">
          <cell r="K121">
            <v>0</v>
          </cell>
          <cell r="L121">
            <v>0</v>
          </cell>
        </row>
        <row r="122">
          <cell r="K122">
            <v>0</v>
          </cell>
          <cell r="L122">
            <v>0</v>
          </cell>
        </row>
        <row r="123">
          <cell r="K123">
            <v>0</v>
          </cell>
          <cell r="L123">
            <v>0</v>
          </cell>
        </row>
        <row r="124">
          <cell r="K124">
            <v>0</v>
          </cell>
          <cell r="L124">
            <v>0</v>
          </cell>
        </row>
        <row r="125">
          <cell r="K125">
            <v>0</v>
          </cell>
          <cell r="L125">
            <v>0</v>
          </cell>
        </row>
        <row r="126">
          <cell r="K126">
            <v>0</v>
          </cell>
          <cell r="L126">
            <v>0</v>
          </cell>
        </row>
        <row r="127">
          <cell r="K127">
            <v>0</v>
          </cell>
          <cell r="L127">
            <v>0</v>
          </cell>
        </row>
        <row r="128">
          <cell r="K128">
            <v>0</v>
          </cell>
          <cell r="L128">
            <v>0</v>
          </cell>
        </row>
        <row r="129">
          <cell r="K129">
            <v>0</v>
          </cell>
          <cell r="L129">
            <v>0</v>
          </cell>
        </row>
        <row r="130">
          <cell r="K130">
            <v>0</v>
          </cell>
          <cell r="L130">
            <v>0</v>
          </cell>
        </row>
        <row r="131">
          <cell r="K131">
            <v>0</v>
          </cell>
          <cell r="L131">
            <v>0</v>
          </cell>
        </row>
        <row r="132">
          <cell r="K132">
            <v>0</v>
          </cell>
          <cell r="L132">
            <v>0</v>
          </cell>
        </row>
        <row r="133">
          <cell r="K133">
            <v>0</v>
          </cell>
          <cell r="L133">
            <v>0</v>
          </cell>
        </row>
        <row r="134">
          <cell r="K134">
            <v>0</v>
          </cell>
          <cell r="L134">
            <v>0</v>
          </cell>
        </row>
        <row r="135">
          <cell r="K135">
            <v>0</v>
          </cell>
          <cell r="L135">
            <v>0</v>
          </cell>
        </row>
        <row r="136">
          <cell r="K136">
            <v>0</v>
          </cell>
          <cell r="L136">
            <v>0</v>
          </cell>
        </row>
        <row r="137">
          <cell r="K137">
            <v>0</v>
          </cell>
          <cell r="L137">
            <v>0</v>
          </cell>
        </row>
        <row r="138">
          <cell r="K138">
            <v>0</v>
          </cell>
          <cell r="L138">
            <v>0</v>
          </cell>
        </row>
        <row r="139">
          <cell r="K139">
            <v>0</v>
          </cell>
          <cell r="L139">
            <v>0</v>
          </cell>
        </row>
        <row r="140">
          <cell r="K140">
            <v>0</v>
          </cell>
          <cell r="L140">
            <v>0</v>
          </cell>
        </row>
        <row r="141">
          <cell r="K141">
            <v>0</v>
          </cell>
          <cell r="L141">
            <v>0</v>
          </cell>
        </row>
        <row r="142">
          <cell r="K142">
            <v>0</v>
          </cell>
          <cell r="L142">
            <v>0</v>
          </cell>
        </row>
        <row r="143">
          <cell r="K143">
            <v>0</v>
          </cell>
          <cell r="L143">
            <v>0</v>
          </cell>
        </row>
        <row r="144">
          <cell r="K144">
            <v>0</v>
          </cell>
          <cell r="L144">
            <v>0</v>
          </cell>
        </row>
        <row r="145">
          <cell r="K145">
            <v>0</v>
          </cell>
          <cell r="L145">
            <v>0</v>
          </cell>
        </row>
        <row r="146">
          <cell r="K146">
            <v>0</v>
          </cell>
          <cell r="L146">
            <v>0</v>
          </cell>
        </row>
        <row r="147">
          <cell r="K147">
            <v>0</v>
          </cell>
          <cell r="L147">
            <v>0</v>
          </cell>
        </row>
        <row r="148">
          <cell r="K148">
            <v>0</v>
          </cell>
          <cell r="L148">
            <v>0</v>
          </cell>
        </row>
        <row r="149">
          <cell r="K149">
            <v>0</v>
          </cell>
          <cell r="L149">
            <v>0</v>
          </cell>
        </row>
        <row r="150">
          <cell r="K150">
            <v>0</v>
          </cell>
          <cell r="L150">
            <v>0</v>
          </cell>
        </row>
        <row r="151">
          <cell r="K151">
            <v>0</v>
          </cell>
          <cell r="L151">
            <v>0</v>
          </cell>
        </row>
        <row r="152">
          <cell r="K152">
            <v>0</v>
          </cell>
          <cell r="L152">
            <v>0</v>
          </cell>
        </row>
        <row r="153">
          <cell r="K153">
            <v>0</v>
          </cell>
          <cell r="L153">
            <v>0</v>
          </cell>
        </row>
        <row r="154">
          <cell r="K154">
            <v>0</v>
          </cell>
          <cell r="L154">
            <v>0</v>
          </cell>
        </row>
        <row r="155">
          <cell r="K155">
            <v>0</v>
          </cell>
          <cell r="L155">
            <v>0</v>
          </cell>
        </row>
        <row r="156">
          <cell r="K156">
            <v>0</v>
          </cell>
          <cell r="L156">
            <v>0</v>
          </cell>
        </row>
        <row r="157">
          <cell r="K157">
            <v>0</v>
          </cell>
          <cell r="L157">
            <v>0</v>
          </cell>
        </row>
        <row r="158">
          <cell r="K158">
            <v>0</v>
          </cell>
          <cell r="L158">
            <v>0</v>
          </cell>
        </row>
        <row r="159">
          <cell r="K159">
            <v>0</v>
          </cell>
          <cell r="L159">
            <v>0</v>
          </cell>
        </row>
        <row r="160">
          <cell r="K160">
            <v>0</v>
          </cell>
          <cell r="L160">
            <v>0</v>
          </cell>
        </row>
        <row r="161">
          <cell r="K161">
            <v>0</v>
          </cell>
          <cell r="L161">
            <v>0</v>
          </cell>
        </row>
        <row r="162">
          <cell r="K162">
            <v>0</v>
          </cell>
          <cell r="L162">
            <v>0</v>
          </cell>
        </row>
        <row r="163">
          <cell r="K163">
            <v>0</v>
          </cell>
          <cell r="L163">
            <v>0</v>
          </cell>
        </row>
        <row r="164">
          <cell r="K164">
            <v>0</v>
          </cell>
          <cell r="L164">
            <v>0</v>
          </cell>
        </row>
        <row r="165">
          <cell r="K165">
            <v>0</v>
          </cell>
          <cell r="L165">
            <v>0</v>
          </cell>
        </row>
        <row r="166">
          <cell r="K166">
            <v>0</v>
          </cell>
          <cell r="L166">
            <v>0</v>
          </cell>
        </row>
        <row r="167">
          <cell r="K167">
            <v>0</v>
          </cell>
          <cell r="L167">
            <v>0</v>
          </cell>
        </row>
        <row r="168">
          <cell r="K168">
            <v>0</v>
          </cell>
          <cell r="L168">
            <v>0</v>
          </cell>
        </row>
        <row r="169">
          <cell r="K169">
            <v>0</v>
          </cell>
          <cell r="L169">
            <v>0</v>
          </cell>
        </row>
        <row r="170">
          <cell r="K170">
            <v>0</v>
          </cell>
          <cell r="L170">
            <v>0</v>
          </cell>
        </row>
        <row r="171">
          <cell r="K171">
            <v>0</v>
          </cell>
          <cell r="L171">
            <v>0</v>
          </cell>
        </row>
        <row r="172">
          <cell r="K172">
            <v>0</v>
          </cell>
          <cell r="L172">
            <v>0</v>
          </cell>
        </row>
        <row r="173">
          <cell r="K173">
            <v>0</v>
          </cell>
          <cell r="L173">
            <v>0</v>
          </cell>
        </row>
        <row r="174">
          <cell r="K174">
            <v>0</v>
          </cell>
          <cell r="L174">
            <v>0</v>
          </cell>
        </row>
        <row r="175">
          <cell r="K175">
            <v>0</v>
          </cell>
          <cell r="L175">
            <v>0</v>
          </cell>
        </row>
        <row r="176">
          <cell r="K176">
            <v>0</v>
          </cell>
          <cell r="L176">
            <v>0</v>
          </cell>
        </row>
        <row r="177">
          <cell r="K177">
            <v>0</v>
          </cell>
          <cell r="L177">
            <v>0</v>
          </cell>
        </row>
        <row r="178">
          <cell r="K178">
            <v>0</v>
          </cell>
          <cell r="L178">
            <v>0</v>
          </cell>
        </row>
        <row r="179">
          <cell r="K179">
            <v>0</v>
          </cell>
          <cell r="L179">
            <v>0</v>
          </cell>
        </row>
        <row r="180">
          <cell r="K180">
            <v>0</v>
          </cell>
          <cell r="L180">
            <v>0</v>
          </cell>
        </row>
        <row r="181">
          <cell r="K181">
            <v>0</v>
          </cell>
          <cell r="L181">
            <v>0</v>
          </cell>
        </row>
        <row r="182">
          <cell r="K182">
            <v>0</v>
          </cell>
          <cell r="L182">
            <v>0</v>
          </cell>
        </row>
        <row r="183">
          <cell r="K183">
            <v>0</v>
          </cell>
          <cell r="L183">
            <v>0</v>
          </cell>
        </row>
        <row r="184">
          <cell r="K184">
            <v>0</v>
          </cell>
          <cell r="L184">
            <v>0</v>
          </cell>
        </row>
        <row r="185">
          <cell r="K185">
            <v>0</v>
          </cell>
          <cell r="L185">
            <v>0</v>
          </cell>
        </row>
        <row r="186">
          <cell r="K186">
            <v>0</v>
          </cell>
          <cell r="L186">
            <v>0</v>
          </cell>
        </row>
        <row r="187">
          <cell r="K187">
            <v>0</v>
          </cell>
          <cell r="L187">
            <v>0</v>
          </cell>
        </row>
        <row r="188">
          <cell r="K188">
            <v>0</v>
          </cell>
          <cell r="L188">
            <v>0</v>
          </cell>
        </row>
        <row r="189">
          <cell r="K189">
            <v>0</v>
          </cell>
          <cell r="L189">
            <v>0</v>
          </cell>
        </row>
        <row r="190">
          <cell r="K190">
            <v>0</v>
          </cell>
          <cell r="L190">
            <v>0</v>
          </cell>
        </row>
        <row r="191">
          <cell r="K191">
            <v>0</v>
          </cell>
          <cell r="L191">
            <v>0</v>
          </cell>
        </row>
        <row r="192">
          <cell r="K192">
            <v>0</v>
          </cell>
          <cell r="L192">
            <v>0</v>
          </cell>
        </row>
        <row r="193">
          <cell r="K193">
            <v>0</v>
          </cell>
          <cell r="L193">
            <v>0</v>
          </cell>
        </row>
        <row r="194">
          <cell r="K194">
            <v>0</v>
          </cell>
          <cell r="L194">
            <v>0</v>
          </cell>
        </row>
        <row r="195">
          <cell r="K195">
            <v>0</v>
          </cell>
          <cell r="L195">
            <v>0</v>
          </cell>
        </row>
        <row r="196">
          <cell r="K196">
            <v>0</v>
          </cell>
          <cell r="L196">
            <v>0</v>
          </cell>
        </row>
        <row r="197">
          <cell r="K197">
            <v>0</v>
          </cell>
          <cell r="L197">
            <v>0</v>
          </cell>
        </row>
        <row r="198">
          <cell r="K198">
            <v>0</v>
          </cell>
          <cell r="L198">
            <v>0</v>
          </cell>
        </row>
        <row r="199">
          <cell r="K199">
            <v>0</v>
          </cell>
          <cell r="L199">
            <v>0</v>
          </cell>
        </row>
        <row r="200">
          <cell r="K200">
            <v>0</v>
          </cell>
          <cell r="L200">
            <v>0</v>
          </cell>
        </row>
        <row r="201">
          <cell r="K201">
            <v>0</v>
          </cell>
          <cell r="L201">
            <v>0</v>
          </cell>
        </row>
        <row r="202">
          <cell r="K202">
            <v>0</v>
          </cell>
          <cell r="L202">
            <v>0</v>
          </cell>
        </row>
        <row r="203">
          <cell r="K203">
            <v>0</v>
          </cell>
          <cell r="L203">
            <v>0</v>
          </cell>
        </row>
        <row r="204">
          <cell r="K204">
            <v>0</v>
          </cell>
          <cell r="L204">
            <v>0</v>
          </cell>
        </row>
        <row r="205">
          <cell r="K205">
            <v>0</v>
          </cell>
          <cell r="L205">
            <v>0</v>
          </cell>
        </row>
        <row r="206">
          <cell r="K206">
            <v>0</v>
          </cell>
          <cell r="L206">
            <v>0</v>
          </cell>
        </row>
        <row r="207">
          <cell r="K207">
            <v>0</v>
          </cell>
          <cell r="L207">
            <v>0</v>
          </cell>
        </row>
        <row r="208">
          <cell r="K208">
            <v>0</v>
          </cell>
          <cell r="L208">
            <v>0</v>
          </cell>
        </row>
        <row r="209">
          <cell r="K209">
            <v>0</v>
          </cell>
          <cell r="L209">
            <v>0</v>
          </cell>
        </row>
        <row r="210">
          <cell r="K210">
            <v>0</v>
          </cell>
          <cell r="L210">
            <v>0</v>
          </cell>
        </row>
        <row r="211">
          <cell r="K211">
            <v>0</v>
          </cell>
          <cell r="L211">
            <v>0</v>
          </cell>
        </row>
        <row r="212">
          <cell r="K212">
            <v>0</v>
          </cell>
          <cell r="L212">
            <v>0</v>
          </cell>
        </row>
        <row r="213">
          <cell r="K213">
            <v>0</v>
          </cell>
          <cell r="L213">
            <v>0</v>
          </cell>
        </row>
        <row r="214">
          <cell r="K214">
            <v>0</v>
          </cell>
          <cell r="L214">
            <v>0</v>
          </cell>
        </row>
        <row r="215">
          <cell r="K215">
            <v>0</v>
          </cell>
          <cell r="L215">
            <v>0</v>
          </cell>
        </row>
        <row r="216">
          <cell r="K216">
            <v>0</v>
          </cell>
          <cell r="L216">
            <v>0</v>
          </cell>
        </row>
        <row r="217">
          <cell r="K217">
            <v>0</v>
          </cell>
          <cell r="L217">
            <v>0</v>
          </cell>
        </row>
        <row r="218">
          <cell r="K218">
            <v>0</v>
          </cell>
          <cell r="L218">
            <v>0</v>
          </cell>
        </row>
        <row r="219">
          <cell r="K219">
            <v>0</v>
          </cell>
          <cell r="L219">
            <v>0</v>
          </cell>
        </row>
        <row r="220">
          <cell r="K220">
            <v>0</v>
          </cell>
          <cell r="L220">
            <v>0</v>
          </cell>
        </row>
        <row r="221">
          <cell r="K221">
            <v>0</v>
          </cell>
          <cell r="L221">
            <v>0</v>
          </cell>
        </row>
        <row r="222">
          <cell r="K222">
            <v>0</v>
          </cell>
          <cell r="L222">
            <v>0</v>
          </cell>
        </row>
        <row r="223">
          <cell r="K223">
            <v>0</v>
          </cell>
          <cell r="L223">
            <v>0</v>
          </cell>
        </row>
        <row r="224">
          <cell r="K224">
            <v>0</v>
          </cell>
          <cell r="L224">
            <v>0</v>
          </cell>
        </row>
        <row r="225">
          <cell r="K225">
            <v>0</v>
          </cell>
          <cell r="L225">
            <v>0</v>
          </cell>
        </row>
        <row r="226">
          <cell r="K226">
            <v>0</v>
          </cell>
          <cell r="L226">
            <v>0</v>
          </cell>
        </row>
        <row r="227">
          <cell r="K227">
            <v>0</v>
          </cell>
          <cell r="L227">
            <v>0</v>
          </cell>
        </row>
        <row r="228">
          <cell r="K228">
            <v>0</v>
          </cell>
          <cell r="L228">
            <v>0</v>
          </cell>
        </row>
        <row r="229">
          <cell r="K229">
            <v>0</v>
          </cell>
          <cell r="L229">
            <v>0</v>
          </cell>
        </row>
        <row r="230">
          <cell r="K230">
            <v>0</v>
          </cell>
          <cell r="L230">
            <v>0</v>
          </cell>
        </row>
        <row r="231">
          <cell r="K231">
            <v>0</v>
          </cell>
          <cell r="L231">
            <v>0</v>
          </cell>
        </row>
        <row r="232">
          <cell r="K232">
            <v>0</v>
          </cell>
          <cell r="L232">
            <v>0</v>
          </cell>
        </row>
        <row r="233">
          <cell r="K233">
            <v>0</v>
          </cell>
          <cell r="L233">
            <v>0</v>
          </cell>
        </row>
        <row r="234">
          <cell r="K234">
            <v>0</v>
          </cell>
          <cell r="L234">
            <v>0</v>
          </cell>
        </row>
        <row r="235">
          <cell r="K235">
            <v>0</v>
          </cell>
          <cell r="L235">
            <v>0</v>
          </cell>
        </row>
        <row r="236">
          <cell r="K236">
            <v>0</v>
          </cell>
          <cell r="L236">
            <v>0</v>
          </cell>
        </row>
        <row r="237">
          <cell r="K237">
            <v>0</v>
          </cell>
          <cell r="L237">
            <v>0</v>
          </cell>
        </row>
        <row r="238">
          <cell r="K238">
            <v>0</v>
          </cell>
          <cell r="L238">
            <v>0</v>
          </cell>
        </row>
        <row r="239">
          <cell r="K239">
            <v>0</v>
          </cell>
          <cell r="L239">
            <v>0</v>
          </cell>
        </row>
        <row r="240">
          <cell r="K240">
            <v>0</v>
          </cell>
          <cell r="L240">
            <v>0</v>
          </cell>
        </row>
        <row r="241">
          <cell r="K241">
            <v>0</v>
          </cell>
          <cell r="L241">
            <v>0</v>
          </cell>
        </row>
        <row r="242">
          <cell r="K242">
            <v>0</v>
          </cell>
          <cell r="L242">
            <v>0</v>
          </cell>
        </row>
        <row r="243">
          <cell r="K243">
            <v>0</v>
          </cell>
          <cell r="L243">
            <v>0</v>
          </cell>
        </row>
        <row r="244">
          <cell r="K244">
            <v>0</v>
          </cell>
          <cell r="L244">
            <v>0</v>
          </cell>
        </row>
        <row r="245">
          <cell r="K245">
            <v>0</v>
          </cell>
          <cell r="L245">
            <v>0</v>
          </cell>
        </row>
        <row r="246">
          <cell r="K246">
            <v>0</v>
          </cell>
          <cell r="L246">
            <v>0</v>
          </cell>
        </row>
        <row r="247">
          <cell r="K247">
            <v>0</v>
          </cell>
          <cell r="L247">
            <v>0</v>
          </cell>
        </row>
        <row r="248">
          <cell r="K248">
            <v>0</v>
          </cell>
          <cell r="L248">
            <v>0</v>
          </cell>
        </row>
        <row r="249">
          <cell r="K249">
            <v>0</v>
          </cell>
          <cell r="L249">
            <v>0</v>
          </cell>
        </row>
        <row r="250">
          <cell r="K250">
            <v>0</v>
          </cell>
          <cell r="L250">
            <v>0</v>
          </cell>
        </row>
        <row r="251">
          <cell r="K251">
            <v>0</v>
          </cell>
          <cell r="L251">
            <v>0</v>
          </cell>
        </row>
        <row r="252">
          <cell r="K252">
            <v>0</v>
          </cell>
          <cell r="L252">
            <v>0</v>
          </cell>
        </row>
        <row r="253">
          <cell r="K253">
            <v>0</v>
          </cell>
          <cell r="L253">
            <v>0</v>
          </cell>
        </row>
        <row r="254">
          <cell r="K254">
            <v>0</v>
          </cell>
          <cell r="L254">
            <v>0</v>
          </cell>
        </row>
        <row r="255">
          <cell r="K255">
            <v>0</v>
          </cell>
          <cell r="L255">
            <v>0</v>
          </cell>
        </row>
      </sheetData>
      <sheetData sheetId="3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Country"/>
      <sheetName val="CoyScan"/>
      <sheetName val="Input"/>
      <sheetName val="IncStat"/>
      <sheetName val="BalSheet"/>
      <sheetName val="IntCalc"/>
      <sheetName val="FixCost"/>
      <sheetName val="MngmFee"/>
      <sheetName val="ExciseCalc"/>
      <sheetName val="RawMatChib"/>
      <sheetName val="RawMatMah"/>
      <sheetName val="Utilities"/>
      <sheetName val="OperVar"/>
      <sheetName val="TaxCalc"/>
      <sheetName val="RevAuth"/>
      <sheetName val="DefTax"/>
      <sheetName val="CapAllwnc"/>
      <sheetName val="CapCash"/>
      <sheetName val="CapAddn"/>
      <sheetName val="CapDepn"/>
      <sheetName val="DepnSum"/>
      <sheetName val="CapRecon"/>
    </sheetNames>
    <sheetDataSet>
      <sheetData sheetId="0"/>
      <sheetData sheetId="1"/>
      <sheetData sheetId="2"/>
      <sheetData sheetId="3"/>
      <sheetData sheetId="4">
        <row r="2">
          <cell r="A2" t="str">
            <v>Chibuku Products Limited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KC"/>
      <sheetName val="INCOME STATEMENT- ECUADOR"/>
      <sheetName val="BALANCE SHEET-KC"/>
      <sheetName val="BALANCE SHEET-ECUADOR"/>
      <sheetName val="ENTRIES OF ADJUSTMENTS-KC"/>
      <sheetName val="ENTRIES OF ADJUSTMENTS-ECUADOR"/>
      <sheetName val="INDEX"/>
      <sheetName val="0"/>
      <sheetName val="1-KC"/>
      <sheetName val="ATTACHEMENT TO SCH-1KC"/>
      <sheetName val="1-ECUADOR"/>
      <sheetName val="2-KC"/>
      <sheetName val="2-ECUADOR"/>
      <sheetName val="3"/>
      <sheetName val="4"/>
      <sheetName val="4A(1)"/>
      <sheetName val="4B(1)"/>
      <sheetName val="5(1)"/>
      <sheetName val="5A"/>
      <sheetName val="5B"/>
      <sheetName val="5C"/>
      <sheetName val="5 D"/>
      <sheetName val="6(1)"/>
      <sheetName val="7"/>
      <sheetName val="8"/>
      <sheetName val="8A(1)"/>
      <sheetName val="8A"/>
      <sheetName val="8B "/>
      <sheetName val="9"/>
      <sheetName val="10"/>
      <sheetName val="10A"/>
      <sheetName val="10B"/>
      <sheetName val="11"/>
      <sheetName val="11A"/>
      <sheetName val="12"/>
      <sheetName val="13"/>
      <sheetName val="14"/>
      <sheetName val="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danmo"/>
      <sheetName val="TAX 2"/>
      <sheetName val="Input Sheet"/>
      <sheetName val="Audit Schedules"/>
      <sheetName val="F_A Sch F"/>
      <sheetName val="Fin Stat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on Curtain Method"/>
      <sheetName val="DIVP&amp;L"/>
      <sheetName val="sstatus"/>
      <sheetName val="CON P&amp;L"/>
      <sheetName val="Divisional Summary"/>
      <sheetName val="Overhead Allocation"/>
      <sheetName val="P &amp; L Recon"/>
      <sheetName val="FIXED ASSETS TRIAL BALANCE"/>
      <sheetName val="BALSUM"/>
      <sheetName val="Trial Balance"/>
      <sheetName val="Con BS"/>
      <sheetName val="Provisions"/>
      <sheetName val="Provisions (2)"/>
      <sheetName val="Ratios"/>
      <sheetName val="DRS&amp;CRS"/>
      <sheetName val="ROACE current"/>
      <sheetName val="Division Utilization"/>
      <sheetName val="Fixed ROACE - prior month"/>
      <sheetName val="Quarterly Analysis CFL New"/>
      <sheetName val="Trading.Mateppe"/>
      <sheetName val="Adjusted con pl"/>
      <sheetName val="CHL CONSOLIDATION"/>
      <sheetName val="CHL Consolidated"/>
      <sheetName val="Quarterly Analysis CFL"/>
      <sheetName val="Statement of Changes"/>
      <sheetName val="Sheet1"/>
      <sheetName val="Iron Curtain Method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V13">
            <v>16675467.870000001</v>
          </cell>
        </row>
        <row r="19">
          <cell r="V19">
            <v>5658.7099999986585</v>
          </cell>
        </row>
        <row r="39">
          <cell r="BL39">
            <v>4947249.4999999991</v>
          </cell>
        </row>
        <row r="64">
          <cell r="V64">
            <v>8920085.2700003181</v>
          </cell>
        </row>
        <row r="70">
          <cell r="V70">
            <v>1150454.5599999998</v>
          </cell>
        </row>
        <row r="71">
          <cell r="V71">
            <v>10746357.43</v>
          </cell>
        </row>
        <row r="72">
          <cell r="V72">
            <v>0</v>
          </cell>
        </row>
        <row r="98">
          <cell r="V98">
            <v>14990774.29265585</v>
          </cell>
        </row>
        <row r="126">
          <cell r="BL126">
            <v>0</v>
          </cell>
        </row>
        <row r="146">
          <cell r="V146">
            <v>-262104.80000000002</v>
          </cell>
        </row>
        <row r="150">
          <cell r="V15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ransactions"/>
      <sheetName val="Date_Lup"/>
      <sheetName val="Ledger Transaction Details"/>
      <sheetName val="Lookup"/>
      <sheetName val="BOT BWP"/>
      <sheetName val="BOT USD"/>
      <sheetName val="TUL BWP"/>
      <sheetName val="TUL USD"/>
      <sheetName val="BUB BWP"/>
      <sheetName val="BUB USD"/>
      <sheetName val="CC0 BWP"/>
      <sheetName val="CC0 USD"/>
      <sheetName val="BOT CONSOL BWP"/>
      <sheetName val="BOT CONSOL USD ADJ"/>
      <sheetName val="BOT CONSOL USD"/>
      <sheetName val="KEN KSH"/>
      <sheetName val="KEN USD"/>
      <sheetName val="MAL MKW"/>
      <sheetName val="MAL USD"/>
      <sheetName val="SPA EUR"/>
      <sheetName val="SPA USD"/>
      <sheetName val="ZIM USD"/>
      <sheetName val="MAU USD"/>
      <sheetName val="ATA BWP"/>
      <sheetName val="ATA USD"/>
      <sheetName val="INV EUR"/>
      <sheetName val="INV USD"/>
      <sheetName val="AFR CONSOL USD ADJ"/>
      <sheetName val="AFRICA CONSOL USD"/>
      <sheetName val="RSA ZAR"/>
      <sheetName val="RSA USD"/>
      <sheetName val="VSS ZAR"/>
      <sheetName val="VSS USD"/>
      <sheetName val="Getsure SA ZAR"/>
      <sheetName val="Getsure USD"/>
      <sheetName val="SA CONSOL USD"/>
      <sheetName val="GB COMPANY USD"/>
      <sheetName val="Account line up"/>
      <sheetName val="Summary"/>
    </sheetNames>
    <sheetDataSet>
      <sheetData sheetId="0">
        <row r="2">
          <cell r="FJ2">
            <v>40755</v>
          </cell>
        </row>
      </sheetData>
      <sheetData sheetId="1"/>
      <sheetData sheetId="2"/>
      <sheetData sheetId="3">
        <row r="2">
          <cell r="E2">
            <v>7</v>
          </cell>
        </row>
        <row r="41">
          <cell r="D41">
            <v>-184393824.36006957</v>
          </cell>
        </row>
        <row r="47">
          <cell r="D47">
            <v>-11857714.697969543</v>
          </cell>
        </row>
      </sheetData>
      <sheetData sheetId="4"/>
      <sheetData sheetId="5">
        <row r="1">
          <cell r="A1" t="str">
            <v>March 2014</v>
          </cell>
          <cell r="E1">
            <v>0</v>
          </cell>
          <cell r="J1" t="str">
            <v>Jul 13</v>
          </cell>
          <cell r="K1" t="str">
            <v>Jul 13</v>
          </cell>
          <cell r="AL1" t="str">
            <v>Apr 14</v>
          </cell>
          <cell r="BJ1" t="str">
            <v>Branch</v>
          </cell>
        </row>
        <row r="2">
          <cell r="A2" t="str">
            <v>Year3</v>
          </cell>
          <cell r="E2" t="str">
            <v>GL Cat Code</v>
          </cell>
          <cell r="J2" t="str">
            <v>Opening Bal</v>
          </cell>
          <cell r="K2" t="str">
            <v>Actual</v>
          </cell>
          <cell r="AL2" t="str">
            <v>Actual</v>
          </cell>
        </row>
        <row r="3">
          <cell r="E3">
            <v>0</v>
          </cell>
          <cell r="J3">
            <v>1</v>
          </cell>
          <cell r="K3">
            <v>1</v>
          </cell>
          <cell r="AL3">
            <v>0</v>
          </cell>
          <cell r="BJ3">
            <v>1</v>
          </cell>
        </row>
        <row r="4">
          <cell r="E4">
            <v>0</v>
          </cell>
          <cell r="K4">
            <v>25</v>
          </cell>
          <cell r="AL4">
            <v>34</v>
          </cell>
        </row>
        <row r="5">
          <cell r="E5">
            <v>6</v>
          </cell>
          <cell r="J5">
            <v>15</v>
          </cell>
          <cell r="K5">
            <v>42</v>
          </cell>
          <cell r="AL5">
            <v>51</v>
          </cell>
          <cell r="BJ5">
            <v>161</v>
          </cell>
        </row>
        <row r="6">
          <cell r="E6">
            <v>0</v>
          </cell>
          <cell r="J6">
            <v>0</v>
          </cell>
          <cell r="K6">
            <v>0</v>
          </cell>
          <cell r="AL6">
            <v>0</v>
          </cell>
          <cell r="BJ6">
            <v>0</v>
          </cell>
        </row>
        <row r="7">
          <cell r="E7" t="str">
            <v>21</v>
          </cell>
          <cell r="J7">
            <v>0</v>
          </cell>
          <cell r="K7">
            <v>-17586122.355500009</v>
          </cell>
          <cell r="AL7">
            <v>0</v>
          </cell>
          <cell r="BJ7">
            <v>0</v>
          </cell>
        </row>
        <row r="8">
          <cell r="E8">
            <v>0</v>
          </cell>
          <cell r="J8">
            <v>0</v>
          </cell>
          <cell r="K8">
            <v>0</v>
          </cell>
          <cell r="AL8">
            <v>0</v>
          </cell>
        </row>
        <row r="9">
          <cell r="E9" t="str">
            <v>10</v>
          </cell>
          <cell r="J9">
            <v>0</v>
          </cell>
          <cell r="K9">
            <v>0</v>
          </cell>
          <cell r="AL9">
            <v>0</v>
          </cell>
        </row>
        <row r="10">
          <cell r="E10" t="str">
            <v>10</v>
          </cell>
          <cell r="J10">
            <v>0</v>
          </cell>
          <cell r="K10">
            <v>0</v>
          </cell>
          <cell r="AL10">
            <v>0</v>
          </cell>
        </row>
        <row r="11">
          <cell r="E11" t="str">
            <v>10</v>
          </cell>
          <cell r="J11">
            <v>0</v>
          </cell>
          <cell r="K11">
            <v>0</v>
          </cell>
          <cell r="AL11">
            <v>0</v>
          </cell>
        </row>
        <row r="12">
          <cell r="E12" t="str">
            <v>10</v>
          </cell>
          <cell r="J12">
            <v>0</v>
          </cell>
          <cell r="K12">
            <v>0</v>
          </cell>
          <cell r="AL12">
            <v>0</v>
          </cell>
        </row>
        <row r="13">
          <cell r="E13" t="str">
            <v>10</v>
          </cell>
          <cell r="J13">
            <v>0</v>
          </cell>
          <cell r="K13">
            <v>0</v>
          </cell>
          <cell r="AL13">
            <v>0</v>
          </cell>
        </row>
        <row r="14">
          <cell r="E14" t="str">
            <v>10</v>
          </cell>
          <cell r="J14">
            <v>0</v>
          </cell>
          <cell r="K14">
            <v>3.637978807091713E-12</v>
          </cell>
          <cell r="AL14">
            <v>0</v>
          </cell>
        </row>
        <row r="15">
          <cell r="E15" t="str">
            <v>10</v>
          </cell>
          <cell r="J15">
            <v>0</v>
          </cell>
          <cell r="K15">
            <v>0</v>
          </cell>
          <cell r="AL15">
            <v>0</v>
          </cell>
        </row>
        <row r="16">
          <cell r="E16" t="str">
            <v>10</v>
          </cell>
          <cell r="J16">
            <v>0</v>
          </cell>
          <cell r="K16">
            <v>0</v>
          </cell>
          <cell r="AL16">
            <v>0</v>
          </cell>
        </row>
        <row r="17">
          <cell r="E17" t="str">
            <v>10</v>
          </cell>
          <cell r="J17">
            <v>0</v>
          </cell>
          <cell r="K17">
            <v>0</v>
          </cell>
          <cell r="AL17">
            <v>0</v>
          </cell>
        </row>
        <row r="18">
          <cell r="E18" t="str">
            <v>10</v>
          </cell>
          <cell r="J18">
            <v>0</v>
          </cell>
          <cell r="K18">
            <v>0</v>
          </cell>
          <cell r="AL18">
            <v>0</v>
          </cell>
        </row>
        <row r="19">
          <cell r="E19" t="str">
            <v>10</v>
          </cell>
          <cell r="J19">
            <v>0</v>
          </cell>
          <cell r="K19">
            <v>165758.75999999989</v>
          </cell>
          <cell r="AL19">
            <v>0</v>
          </cell>
        </row>
        <row r="20">
          <cell r="E20" t="str">
            <v>10</v>
          </cell>
          <cell r="J20">
            <v>0</v>
          </cell>
          <cell r="K20">
            <v>0</v>
          </cell>
          <cell r="AL20">
            <v>0</v>
          </cell>
        </row>
        <row r="21">
          <cell r="E21" t="str">
            <v>10</v>
          </cell>
          <cell r="J21">
            <v>0</v>
          </cell>
          <cell r="K21">
            <v>20317.13</v>
          </cell>
          <cell r="AL21">
            <v>0</v>
          </cell>
        </row>
        <row r="22">
          <cell r="E22" t="str">
            <v>10</v>
          </cell>
          <cell r="J22">
            <v>0</v>
          </cell>
          <cell r="K22">
            <v>0</v>
          </cell>
          <cell r="AL22">
            <v>0</v>
          </cell>
        </row>
        <row r="23">
          <cell r="E23" t="str">
            <v>10</v>
          </cell>
          <cell r="J23">
            <v>0</v>
          </cell>
          <cell r="K23">
            <v>35866.9</v>
          </cell>
          <cell r="AL23">
            <v>0</v>
          </cell>
        </row>
        <row r="24">
          <cell r="E24" t="str">
            <v>10</v>
          </cell>
          <cell r="J24">
            <v>0</v>
          </cell>
          <cell r="K24">
            <v>0</v>
          </cell>
          <cell r="AL24">
            <v>0</v>
          </cell>
        </row>
        <row r="25">
          <cell r="E25" t="str">
            <v>10</v>
          </cell>
          <cell r="J25">
            <v>0</v>
          </cell>
          <cell r="K25">
            <v>0</v>
          </cell>
          <cell r="AL25">
            <v>0</v>
          </cell>
        </row>
        <row r="26">
          <cell r="E26" t="str">
            <v>10</v>
          </cell>
          <cell r="J26">
            <v>0</v>
          </cell>
          <cell r="K26">
            <v>0</v>
          </cell>
          <cell r="AL26">
            <v>0</v>
          </cell>
        </row>
        <row r="27">
          <cell r="E27" t="str">
            <v>10</v>
          </cell>
          <cell r="J27">
            <v>0</v>
          </cell>
          <cell r="K27">
            <v>0</v>
          </cell>
          <cell r="AL27">
            <v>0</v>
          </cell>
        </row>
        <row r="28">
          <cell r="E28" t="str">
            <v>10</v>
          </cell>
          <cell r="J28">
            <v>0</v>
          </cell>
          <cell r="K28">
            <v>0</v>
          </cell>
          <cell r="AL28">
            <v>0</v>
          </cell>
        </row>
        <row r="29">
          <cell r="E29" t="str">
            <v>10</v>
          </cell>
          <cell r="J29">
            <v>0</v>
          </cell>
          <cell r="K29">
            <v>0</v>
          </cell>
          <cell r="AL29">
            <v>0</v>
          </cell>
        </row>
        <row r="30">
          <cell r="E30" t="str">
            <v>10</v>
          </cell>
          <cell r="J30">
            <v>0</v>
          </cell>
          <cell r="K30">
            <v>2.9103830456733704E-11</v>
          </cell>
          <cell r="AL30">
            <v>0</v>
          </cell>
        </row>
        <row r="31">
          <cell r="E31" t="str">
            <v>10</v>
          </cell>
          <cell r="J31">
            <v>0</v>
          </cell>
          <cell r="K31">
            <v>0</v>
          </cell>
          <cell r="AL31">
            <v>0</v>
          </cell>
        </row>
        <row r="32">
          <cell r="E32" t="str">
            <v>10</v>
          </cell>
          <cell r="J32">
            <v>0</v>
          </cell>
          <cell r="K32">
            <v>0</v>
          </cell>
          <cell r="AL32">
            <v>0</v>
          </cell>
        </row>
        <row r="33">
          <cell r="E33" t="str">
            <v>10</v>
          </cell>
          <cell r="J33">
            <v>0</v>
          </cell>
          <cell r="K33">
            <v>0</v>
          </cell>
          <cell r="AL33">
            <v>0</v>
          </cell>
        </row>
        <row r="34">
          <cell r="E34" t="str">
            <v>10</v>
          </cell>
          <cell r="J34">
            <v>0</v>
          </cell>
          <cell r="K34">
            <v>0</v>
          </cell>
          <cell r="AL34">
            <v>0</v>
          </cell>
        </row>
        <row r="35">
          <cell r="E35" t="str">
            <v>11</v>
          </cell>
          <cell r="J35">
            <v>0</v>
          </cell>
          <cell r="K35">
            <v>5.8207660913467407E-11</v>
          </cell>
          <cell r="AL35">
            <v>0</v>
          </cell>
        </row>
        <row r="36">
          <cell r="E36" t="str">
            <v>11</v>
          </cell>
          <cell r="J36">
            <v>0</v>
          </cell>
          <cell r="K36">
            <v>263.79000000000087</v>
          </cell>
          <cell r="AL36">
            <v>0</v>
          </cell>
        </row>
        <row r="37">
          <cell r="E37" t="str">
            <v>11</v>
          </cell>
          <cell r="J37">
            <v>0</v>
          </cell>
          <cell r="K37">
            <v>0</v>
          </cell>
          <cell r="AL37">
            <v>0</v>
          </cell>
        </row>
        <row r="38">
          <cell r="E38" t="str">
            <v>11</v>
          </cell>
          <cell r="J38">
            <v>0</v>
          </cell>
          <cell r="K38">
            <v>28134.329999999998</v>
          </cell>
          <cell r="AL38">
            <v>0</v>
          </cell>
        </row>
        <row r="39">
          <cell r="E39" t="str">
            <v>11</v>
          </cell>
          <cell r="J39">
            <v>0</v>
          </cell>
          <cell r="K39">
            <v>0</v>
          </cell>
          <cell r="AL39">
            <v>0</v>
          </cell>
        </row>
        <row r="40">
          <cell r="E40" t="str">
            <v>11</v>
          </cell>
          <cell r="J40">
            <v>0</v>
          </cell>
          <cell r="K40">
            <v>0</v>
          </cell>
          <cell r="AL40">
            <v>0</v>
          </cell>
        </row>
        <row r="41">
          <cell r="E41" t="str">
            <v>11</v>
          </cell>
          <cell r="J41">
            <v>0</v>
          </cell>
          <cell r="K41">
            <v>-279.53000000026077</v>
          </cell>
          <cell r="AL41">
            <v>0</v>
          </cell>
        </row>
        <row r="42">
          <cell r="E42" t="str">
            <v>11</v>
          </cell>
          <cell r="J42">
            <v>0</v>
          </cell>
          <cell r="K42">
            <v>0</v>
          </cell>
          <cell r="AL42">
            <v>0</v>
          </cell>
        </row>
        <row r="43">
          <cell r="E43" t="str">
            <v>11</v>
          </cell>
          <cell r="J43">
            <v>0</v>
          </cell>
          <cell r="K43">
            <v>0</v>
          </cell>
          <cell r="AL43">
            <v>0</v>
          </cell>
        </row>
        <row r="44">
          <cell r="E44" t="str">
            <v>11</v>
          </cell>
          <cell r="J44">
            <v>0</v>
          </cell>
          <cell r="K44">
            <v>0</v>
          </cell>
          <cell r="AL44">
            <v>0</v>
          </cell>
        </row>
        <row r="45">
          <cell r="E45" t="str">
            <v>11</v>
          </cell>
          <cell r="J45">
            <v>0</v>
          </cell>
          <cell r="K45">
            <v>0</v>
          </cell>
          <cell r="AL45">
            <v>0</v>
          </cell>
        </row>
        <row r="46">
          <cell r="E46" t="str">
            <v>11</v>
          </cell>
          <cell r="J46">
            <v>0</v>
          </cell>
          <cell r="K46">
            <v>0</v>
          </cell>
          <cell r="AL46">
            <v>0</v>
          </cell>
        </row>
        <row r="47">
          <cell r="E47" t="str">
            <v>11</v>
          </cell>
          <cell r="J47">
            <v>0</v>
          </cell>
          <cell r="K47">
            <v>0</v>
          </cell>
          <cell r="AL47">
            <v>0</v>
          </cell>
        </row>
        <row r="48">
          <cell r="E48" t="str">
            <v>11</v>
          </cell>
          <cell r="J48">
            <v>0</v>
          </cell>
          <cell r="K48">
            <v>0</v>
          </cell>
          <cell r="AL48">
            <v>0</v>
          </cell>
        </row>
        <row r="49">
          <cell r="E49" t="str">
            <v>11</v>
          </cell>
          <cell r="J49">
            <v>0</v>
          </cell>
          <cell r="K49">
            <v>0</v>
          </cell>
          <cell r="AL49">
            <v>0</v>
          </cell>
        </row>
        <row r="50">
          <cell r="E50" t="str">
            <v>11</v>
          </cell>
          <cell r="J50">
            <v>0</v>
          </cell>
          <cell r="K50">
            <v>6100</v>
          </cell>
          <cell r="AL50">
            <v>0</v>
          </cell>
        </row>
        <row r="51">
          <cell r="E51" t="str">
            <v>11</v>
          </cell>
          <cell r="J51">
            <v>0</v>
          </cell>
          <cell r="K51">
            <v>0</v>
          </cell>
          <cell r="AL51">
            <v>0</v>
          </cell>
        </row>
        <row r="52">
          <cell r="E52" t="str">
            <v>11</v>
          </cell>
          <cell r="J52">
            <v>0</v>
          </cell>
          <cell r="K52">
            <v>0</v>
          </cell>
          <cell r="AL52">
            <v>0</v>
          </cell>
        </row>
        <row r="53">
          <cell r="E53" t="str">
            <v>11</v>
          </cell>
          <cell r="J53">
            <v>0</v>
          </cell>
          <cell r="K53">
            <v>0</v>
          </cell>
          <cell r="AL53">
            <v>0</v>
          </cell>
        </row>
        <row r="54">
          <cell r="E54" t="str">
            <v>11</v>
          </cell>
          <cell r="J54">
            <v>0</v>
          </cell>
          <cell r="K54">
            <v>0</v>
          </cell>
          <cell r="AL54">
            <v>0</v>
          </cell>
        </row>
        <row r="55">
          <cell r="E55" t="str">
            <v>11</v>
          </cell>
          <cell r="J55">
            <v>0</v>
          </cell>
          <cell r="K55">
            <v>0</v>
          </cell>
          <cell r="AL55">
            <v>0</v>
          </cell>
        </row>
        <row r="56">
          <cell r="E56" t="str">
            <v>11</v>
          </cell>
          <cell r="J56">
            <v>0</v>
          </cell>
          <cell r="K56">
            <v>0</v>
          </cell>
          <cell r="AL56">
            <v>0</v>
          </cell>
        </row>
        <row r="57">
          <cell r="E57" t="str">
            <v>11</v>
          </cell>
          <cell r="J57">
            <v>0</v>
          </cell>
          <cell r="K57">
            <v>0</v>
          </cell>
          <cell r="AL57">
            <v>0</v>
          </cell>
        </row>
        <row r="58">
          <cell r="E58" t="str">
            <v>11</v>
          </cell>
          <cell r="J58">
            <v>0</v>
          </cell>
          <cell r="K58">
            <v>0</v>
          </cell>
          <cell r="AL58">
            <v>0</v>
          </cell>
        </row>
        <row r="59">
          <cell r="E59" t="str">
            <v>11</v>
          </cell>
          <cell r="J59">
            <v>0</v>
          </cell>
          <cell r="K59">
            <v>0</v>
          </cell>
          <cell r="AL59">
            <v>0</v>
          </cell>
        </row>
        <row r="60">
          <cell r="E60" t="str">
            <v>11</v>
          </cell>
          <cell r="J60">
            <v>0</v>
          </cell>
          <cell r="K60">
            <v>0</v>
          </cell>
          <cell r="AL60">
            <v>0</v>
          </cell>
        </row>
        <row r="61">
          <cell r="E61" t="str">
            <v>11</v>
          </cell>
          <cell r="J61">
            <v>0</v>
          </cell>
          <cell r="K61">
            <v>0</v>
          </cell>
          <cell r="AL61">
            <v>0</v>
          </cell>
        </row>
        <row r="62">
          <cell r="E62" t="str">
            <v>11</v>
          </cell>
          <cell r="J62">
            <v>0</v>
          </cell>
          <cell r="K62">
            <v>0</v>
          </cell>
          <cell r="AL62">
            <v>0</v>
          </cell>
        </row>
        <row r="63">
          <cell r="E63" t="str">
            <v>11</v>
          </cell>
          <cell r="J63">
            <v>0</v>
          </cell>
          <cell r="K63">
            <v>0</v>
          </cell>
          <cell r="AL63">
            <v>0</v>
          </cell>
        </row>
        <row r="64">
          <cell r="E64" t="str">
            <v>11</v>
          </cell>
          <cell r="J64">
            <v>0</v>
          </cell>
          <cell r="K64">
            <v>0</v>
          </cell>
          <cell r="AL64">
            <v>0</v>
          </cell>
        </row>
        <row r="65">
          <cell r="E65" t="str">
            <v>11</v>
          </cell>
          <cell r="J65">
            <v>0</v>
          </cell>
          <cell r="K65">
            <v>0</v>
          </cell>
          <cell r="AL65">
            <v>0</v>
          </cell>
        </row>
        <row r="66">
          <cell r="E66" t="str">
            <v>11</v>
          </cell>
          <cell r="J66">
            <v>0</v>
          </cell>
          <cell r="K66">
            <v>0</v>
          </cell>
          <cell r="AL66">
            <v>0</v>
          </cell>
        </row>
        <row r="67">
          <cell r="E67" t="str">
            <v>11</v>
          </cell>
          <cell r="J67">
            <v>0</v>
          </cell>
          <cell r="K67">
            <v>0</v>
          </cell>
          <cell r="AL67">
            <v>0</v>
          </cell>
        </row>
        <row r="68">
          <cell r="E68" t="str">
            <v>13</v>
          </cell>
          <cell r="J68">
            <v>0</v>
          </cell>
          <cell r="K68">
            <v>3400</v>
          </cell>
          <cell r="AL68">
            <v>0</v>
          </cell>
        </row>
        <row r="69">
          <cell r="E69" t="str">
            <v>13</v>
          </cell>
          <cell r="J69">
            <v>0</v>
          </cell>
          <cell r="K69">
            <v>0</v>
          </cell>
          <cell r="AL69">
            <v>0</v>
          </cell>
        </row>
        <row r="70">
          <cell r="E70" t="str">
            <v>13</v>
          </cell>
          <cell r="J70">
            <v>0</v>
          </cell>
          <cell r="K70">
            <v>0</v>
          </cell>
          <cell r="AL70">
            <v>0</v>
          </cell>
        </row>
        <row r="71">
          <cell r="E71" t="str">
            <v>13</v>
          </cell>
          <cell r="J71">
            <v>0</v>
          </cell>
          <cell r="K71">
            <v>515.34000000000015</v>
          </cell>
          <cell r="AL71">
            <v>0</v>
          </cell>
        </row>
        <row r="72">
          <cell r="E72" t="str">
            <v>13</v>
          </cell>
          <cell r="J72">
            <v>0</v>
          </cell>
          <cell r="K72">
            <v>0</v>
          </cell>
          <cell r="AL72">
            <v>0</v>
          </cell>
        </row>
        <row r="73">
          <cell r="E73" t="str">
            <v>13</v>
          </cell>
          <cell r="J73">
            <v>0</v>
          </cell>
          <cell r="K73">
            <v>0</v>
          </cell>
          <cell r="AL73">
            <v>0</v>
          </cell>
        </row>
        <row r="74">
          <cell r="E74" t="str">
            <v>13</v>
          </cell>
          <cell r="J74">
            <v>0</v>
          </cell>
          <cell r="K74">
            <v>560</v>
          </cell>
          <cell r="AL74">
            <v>0</v>
          </cell>
        </row>
        <row r="75">
          <cell r="E75" t="str">
            <v>13</v>
          </cell>
          <cell r="J75">
            <v>0</v>
          </cell>
          <cell r="K75">
            <v>0</v>
          </cell>
          <cell r="AL75">
            <v>0</v>
          </cell>
        </row>
        <row r="76">
          <cell r="E76" t="str">
            <v>13</v>
          </cell>
          <cell r="J76">
            <v>0</v>
          </cell>
          <cell r="K76">
            <v>0</v>
          </cell>
          <cell r="AL76">
            <v>0</v>
          </cell>
        </row>
        <row r="77">
          <cell r="E77" t="str">
            <v>13</v>
          </cell>
          <cell r="J77">
            <v>0</v>
          </cell>
          <cell r="K77">
            <v>0</v>
          </cell>
          <cell r="AL77">
            <v>0</v>
          </cell>
        </row>
        <row r="78">
          <cell r="E78" t="str">
            <v>13</v>
          </cell>
          <cell r="J78">
            <v>0</v>
          </cell>
          <cell r="K78">
            <v>104.74</v>
          </cell>
          <cell r="AL78">
            <v>0</v>
          </cell>
        </row>
        <row r="79">
          <cell r="E79" t="str">
            <v>13</v>
          </cell>
          <cell r="J79">
            <v>0</v>
          </cell>
          <cell r="K79">
            <v>0</v>
          </cell>
          <cell r="AL79">
            <v>0</v>
          </cell>
        </row>
        <row r="80">
          <cell r="E80" t="str">
            <v>13</v>
          </cell>
          <cell r="J80">
            <v>0</v>
          </cell>
          <cell r="K80">
            <v>0</v>
          </cell>
          <cell r="AL80">
            <v>0</v>
          </cell>
        </row>
        <row r="81">
          <cell r="E81" t="str">
            <v>13</v>
          </cell>
          <cell r="J81">
            <v>0</v>
          </cell>
          <cell r="K81">
            <v>0</v>
          </cell>
          <cell r="AL81">
            <v>0</v>
          </cell>
        </row>
        <row r="82">
          <cell r="E82" t="str">
            <v>13</v>
          </cell>
          <cell r="J82">
            <v>0</v>
          </cell>
          <cell r="K82">
            <v>0</v>
          </cell>
          <cell r="AL82">
            <v>0</v>
          </cell>
        </row>
        <row r="83">
          <cell r="E83" t="str">
            <v>13</v>
          </cell>
          <cell r="J83">
            <v>0</v>
          </cell>
          <cell r="K83">
            <v>0</v>
          </cell>
          <cell r="AL83">
            <v>0</v>
          </cell>
        </row>
        <row r="84">
          <cell r="E84" t="str">
            <v>13</v>
          </cell>
          <cell r="J84">
            <v>0</v>
          </cell>
          <cell r="K84">
            <v>0</v>
          </cell>
          <cell r="AL84">
            <v>0</v>
          </cell>
        </row>
        <row r="85">
          <cell r="E85" t="str">
            <v>13</v>
          </cell>
          <cell r="J85">
            <v>0</v>
          </cell>
          <cell r="K85">
            <v>0</v>
          </cell>
          <cell r="AL85">
            <v>0</v>
          </cell>
        </row>
        <row r="86">
          <cell r="E86" t="str">
            <v>13</v>
          </cell>
          <cell r="J86">
            <v>0</v>
          </cell>
          <cell r="K86">
            <v>0</v>
          </cell>
          <cell r="AL86">
            <v>0</v>
          </cell>
        </row>
        <row r="87">
          <cell r="E87" t="str">
            <v>13</v>
          </cell>
          <cell r="J87">
            <v>0</v>
          </cell>
          <cell r="K87">
            <v>0</v>
          </cell>
          <cell r="AL87">
            <v>0</v>
          </cell>
        </row>
        <row r="88">
          <cell r="E88" t="str">
            <v>13</v>
          </cell>
          <cell r="J88">
            <v>0</v>
          </cell>
          <cell r="K88">
            <v>0</v>
          </cell>
          <cell r="AL88">
            <v>0</v>
          </cell>
        </row>
        <row r="89">
          <cell r="E89" t="str">
            <v>13</v>
          </cell>
          <cell r="J89">
            <v>0</v>
          </cell>
          <cell r="K89">
            <v>0</v>
          </cell>
          <cell r="AL89">
            <v>0</v>
          </cell>
        </row>
        <row r="90">
          <cell r="E90" t="str">
            <v>13</v>
          </cell>
          <cell r="J90">
            <v>0</v>
          </cell>
          <cell r="K90">
            <v>0</v>
          </cell>
          <cell r="AL90">
            <v>0</v>
          </cell>
        </row>
        <row r="91">
          <cell r="E91" t="str">
            <v>13</v>
          </cell>
          <cell r="J91">
            <v>0</v>
          </cell>
          <cell r="K91">
            <v>0</v>
          </cell>
          <cell r="AL91">
            <v>0</v>
          </cell>
        </row>
        <row r="92">
          <cell r="E92" t="str">
            <v>13</v>
          </cell>
          <cell r="J92">
            <v>0</v>
          </cell>
          <cell r="K92">
            <v>0</v>
          </cell>
          <cell r="AL92">
            <v>0</v>
          </cell>
        </row>
        <row r="93">
          <cell r="E93" t="str">
            <v>13</v>
          </cell>
          <cell r="J93">
            <v>0</v>
          </cell>
          <cell r="K93">
            <v>0</v>
          </cell>
          <cell r="AL93">
            <v>0</v>
          </cell>
        </row>
        <row r="94">
          <cell r="E94" t="str">
            <v>13</v>
          </cell>
          <cell r="J94">
            <v>0</v>
          </cell>
          <cell r="K94">
            <v>0</v>
          </cell>
          <cell r="AL94">
            <v>0</v>
          </cell>
        </row>
        <row r="95">
          <cell r="E95" t="str">
            <v>13</v>
          </cell>
          <cell r="J95">
            <v>0</v>
          </cell>
          <cell r="K95">
            <v>0</v>
          </cell>
          <cell r="AL95">
            <v>0</v>
          </cell>
        </row>
        <row r="96">
          <cell r="E96" t="str">
            <v>13</v>
          </cell>
          <cell r="J96">
            <v>0</v>
          </cell>
          <cell r="K96">
            <v>0</v>
          </cell>
          <cell r="AL96">
            <v>0</v>
          </cell>
        </row>
        <row r="97">
          <cell r="E97" t="str">
            <v>13</v>
          </cell>
          <cell r="J97">
            <v>0</v>
          </cell>
          <cell r="K97">
            <v>0</v>
          </cell>
          <cell r="AL97">
            <v>0</v>
          </cell>
        </row>
        <row r="98">
          <cell r="E98" t="str">
            <v>13</v>
          </cell>
          <cell r="J98">
            <v>0</v>
          </cell>
          <cell r="K98">
            <v>0</v>
          </cell>
          <cell r="AL98">
            <v>0</v>
          </cell>
        </row>
        <row r="99">
          <cell r="E99" t="str">
            <v>13</v>
          </cell>
          <cell r="J99">
            <v>0</v>
          </cell>
          <cell r="K99">
            <v>0</v>
          </cell>
          <cell r="AL99">
            <v>0</v>
          </cell>
        </row>
        <row r="100">
          <cell r="E100" t="str">
            <v>13</v>
          </cell>
          <cell r="J100">
            <v>0</v>
          </cell>
          <cell r="K100">
            <v>0</v>
          </cell>
          <cell r="AL100">
            <v>0</v>
          </cell>
        </row>
        <row r="101">
          <cell r="E101" t="str">
            <v>13</v>
          </cell>
          <cell r="J101">
            <v>0</v>
          </cell>
          <cell r="K101">
            <v>0</v>
          </cell>
          <cell r="AL101">
            <v>0</v>
          </cell>
        </row>
        <row r="102">
          <cell r="E102" t="str">
            <v>13</v>
          </cell>
          <cell r="J102">
            <v>0</v>
          </cell>
          <cell r="K102">
            <v>0</v>
          </cell>
          <cell r="AL102">
            <v>0</v>
          </cell>
        </row>
        <row r="103">
          <cell r="E103" t="str">
            <v>13</v>
          </cell>
          <cell r="J103">
            <v>0</v>
          </cell>
          <cell r="K103">
            <v>0</v>
          </cell>
          <cell r="AL103">
            <v>0</v>
          </cell>
        </row>
        <row r="104">
          <cell r="E104" t="str">
            <v>13</v>
          </cell>
          <cell r="J104">
            <v>0</v>
          </cell>
          <cell r="K104">
            <v>0</v>
          </cell>
          <cell r="AL104">
            <v>0</v>
          </cell>
        </row>
        <row r="105">
          <cell r="E105" t="str">
            <v>13</v>
          </cell>
          <cell r="J105">
            <v>0</v>
          </cell>
          <cell r="K105">
            <v>0</v>
          </cell>
          <cell r="AL105">
            <v>0</v>
          </cell>
        </row>
        <row r="106">
          <cell r="E106" t="str">
            <v>13</v>
          </cell>
          <cell r="J106">
            <v>0</v>
          </cell>
          <cell r="K106">
            <v>0</v>
          </cell>
          <cell r="AL106">
            <v>0</v>
          </cell>
        </row>
        <row r="107">
          <cell r="E107" t="str">
            <v>13</v>
          </cell>
          <cell r="J107">
            <v>0</v>
          </cell>
          <cell r="K107">
            <v>0</v>
          </cell>
          <cell r="AL107">
            <v>0</v>
          </cell>
        </row>
        <row r="108">
          <cell r="E108" t="str">
            <v>13</v>
          </cell>
          <cell r="J108">
            <v>0</v>
          </cell>
          <cell r="K108">
            <v>6720</v>
          </cell>
          <cell r="AL108">
            <v>0</v>
          </cell>
        </row>
        <row r="109">
          <cell r="E109" t="str">
            <v>13</v>
          </cell>
          <cell r="J109">
            <v>0</v>
          </cell>
          <cell r="K109">
            <v>0</v>
          </cell>
          <cell r="AL109">
            <v>0</v>
          </cell>
        </row>
        <row r="110">
          <cell r="E110" t="str">
            <v>13</v>
          </cell>
          <cell r="J110">
            <v>0</v>
          </cell>
          <cell r="K110">
            <v>21050</v>
          </cell>
          <cell r="AL110">
            <v>0</v>
          </cell>
        </row>
        <row r="111">
          <cell r="E111" t="str">
            <v>13</v>
          </cell>
          <cell r="J111">
            <v>0</v>
          </cell>
          <cell r="K111">
            <v>0</v>
          </cell>
          <cell r="AL111">
            <v>0</v>
          </cell>
        </row>
        <row r="112">
          <cell r="E112" t="str">
            <v>13</v>
          </cell>
          <cell r="J112">
            <v>0</v>
          </cell>
          <cell r="K112">
            <v>0</v>
          </cell>
          <cell r="AL112">
            <v>0</v>
          </cell>
        </row>
        <row r="113">
          <cell r="E113" t="str">
            <v>13</v>
          </cell>
          <cell r="J113">
            <v>0</v>
          </cell>
          <cell r="K113">
            <v>0</v>
          </cell>
          <cell r="AL113">
            <v>0</v>
          </cell>
        </row>
        <row r="114">
          <cell r="E114" t="str">
            <v>13</v>
          </cell>
          <cell r="J114">
            <v>0</v>
          </cell>
          <cell r="K114">
            <v>0</v>
          </cell>
          <cell r="AL114">
            <v>0</v>
          </cell>
        </row>
        <row r="115">
          <cell r="E115" t="str">
            <v>13</v>
          </cell>
          <cell r="J115">
            <v>0</v>
          </cell>
          <cell r="K115">
            <v>0</v>
          </cell>
          <cell r="AL115">
            <v>0</v>
          </cell>
        </row>
        <row r="116">
          <cell r="E116" t="str">
            <v>13</v>
          </cell>
          <cell r="J116">
            <v>0</v>
          </cell>
          <cell r="K116">
            <v>0</v>
          </cell>
          <cell r="AL116">
            <v>0</v>
          </cell>
        </row>
        <row r="117">
          <cell r="E117" t="str">
            <v>13</v>
          </cell>
          <cell r="J117">
            <v>0</v>
          </cell>
          <cell r="K117">
            <v>0</v>
          </cell>
          <cell r="AL117">
            <v>0</v>
          </cell>
        </row>
        <row r="118">
          <cell r="E118" t="str">
            <v>13</v>
          </cell>
          <cell r="J118">
            <v>0</v>
          </cell>
          <cell r="K118">
            <v>0</v>
          </cell>
          <cell r="AL118">
            <v>0</v>
          </cell>
        </row>
        <row r="119">
          <cell r="E119" t="str">
            <v>13</v>
          </cell>
          <cell r="J119">
            <v>0</v>
          </cell>
          <cell r="K119">
            <v>0</v>
          </cell>
          <cell r="AL119">
            <v>0</v>
          </cell>
        </row>
        <row r="120">
          <cell r="E120" t="str">
            <v>13</v>
          </cell>
          <cell r="J120">
            <v>0</v>
          </cell>
          <cell r="K120">
            <v>0</v>
          </cell>
          <cell r="AL120">
            <v>0</v>
          </cell>
        </row>
        <row r="121">
          <cell r="E121" t="str">
            <v>13</v>
          </cell>
          <cell r="J121">
            <v>0</v>
          </cell>
          <cell r="K121">
            <v>0</v>
          </cell>
          <cell r="AL121">
            <v>0</v>
          </cell>
        </row>
        <row r="122">
          <cell r="E122" t="str">
            <v>13</v>
          </cell>
          <cell r="J122">
            <v>0</v>
          </cell>
          <cell r="K122">
            <v>0</v>
          </cell>
          <cell r="AL122">
            <v>0</v>
          </cell>
        </row>
        <row r="123">
          <cell r="E123" t="str">
            <v>13</v>
          </cell>
          <cell r="J123">
            <v>0</v>
          </cell>
          <cell r="K123">
            <v>0</v>
          </cell>
          <cell r="AL123">
            <v>0</v>
          </cell>
        </row>
        <row r="124">
          <cell r="E124" t="str">
            <v>11</v>
          </cell>
          <cell r="J124">
            <v>0</v>
          </cell>
          <cell r="K124">
            <v>0</v>
          </cell>
          <cell r="AL124">
            <v>0</v>
          </cell>
        </row>
        <row r="125">
          <cell r="E125" t="str">
            <v>13</v>
          </cell>
          <cell r="J125">
            <v>0</v>
          </cell>
          <cell r="K125">
            <v>0</v>
          </cell>
          <cell r="AL125">
            <v>0</v>
          </cell>
        </row>
        <row r="126">
          <cell r="E126" t="str">
            <v>11</v>
          </cell>
          <cell r="J126">
            <v>0</v>
          </cell>
          <cell r="K126">
            <v>0</v>
          </cell>
          <cell r="AL126">
            <v>0</v>
          </cell>
        </row>
        <row r="127">
          <cell r="E127" t="str">
            <v>13</v>
          </cell>
          <cell r="J127">
            <v>0</v>
          </cell>
          <cell r="K127">
            <v>0</v>
          </cell>
          <cell r="AL127">
            <v>0</v>
          </cell>
        </row>
        <row r="128">
          <cell r="E128" t="str">
            <v>11</v>
          </cell>
          <cell r="J128">
            <v>0</v>
          </cell>
          <cell r="K128">
            <v>0</v>
          </cell>
          <cell r="AL128">
            <v>0</v>
          </cell>
        </row>
        <row r="129">
          <cell r="E129" t="str">
            <v>13</v>
          </cell>
          <cell r="J129">
            <v>0</v>
          </cell>
          <cell r="K129">
            <v>0</v>
          </cell>
          <cell r="AL129">
            <v>0</v>
          </cell>
        </row>
        <row r="130">
          <cell r="E130" t="str">
            <v>13</v>
          </cell>
          <cell r="J130">
            <v>0</v>
          </cell>
          <cell r="K130">
            <v>0</v>
          </cell>
          <cell r="AL130">
            <v>0</v>
          </cell>
        </row>
        <row r="131">
          <cell r="E131" t="str">
            <v>13</v>
          </cell>
          <cell r="J131">
            <v>0</v>
          </cell>
          <cell r="K131">
            <v>0</v>
          </cell>
          <cell r="AL131">
            <v>0</v>
          </cell>
        </row>
        <row r="132">
          <cell r="E132" t="str">
            <v>13</v>
          </cell>
          <cell r="J132">
            <v>0</v>
          </cell>
          <cell r="K132">
            <v>0</v>
          </cell>
          <cell r="AL132">
            <v>0</v>
          </cell>
        </row>
        <row r="133">
          <cell r="E133" t="str">
            <v>20</v>
          </cell>
          <cell r="J133">
            <v>4041075</v>
          </cell>
          <cell r="K133">
            <v>0</v>
          </cell>
          <cell r="AL133">
            <v>0</v>
          </cell>
        </row>
        <row r="134">
          <cell r="E134" t="str">
            <v>20</v>
          </cell>
          <cell r="J134">
            <v>0</v>
          </cell>
          <cell r="K134">
            <v>0</v>
          </cell>
          <cell r="AL134">
            <v>0</v>
          </cell>
        </row>
        <row r="135">
          <cell r="E135" t="str">
            <v>21</v>
          </cell>
          <cell r="J135">
            <v>-184393824.36006957</v>
          </cell>
          <cell r="K135">
            <v>0</v>
          </cell>
          <cell r="AL135">
            <v>0</v>
          </cell>
        </row>
        <row r="136">
          <cell r="E136" t="str">
            <v>24</v>
          </cell>
          <cell r="J136">
            <v>0</v>
          </cell>
          <cell r="K136">
            <v>0</v>
          </cell>
          <cell r="AL136">
            <v>0</v>
          </cell>
        </row>
        <row r="137">
          <cell r="E137" t="str">
            <v>24</v>
          </cell>
          <cell r="J137">
            <v>0</v>
          </cell>
          <cell r="K137">
            <v>0</v>
          </cell>
          <cell r="AL137">
            <v>0</v>
          </cell>
        </row>
        <row r="138">
          <cell r="E138" t="str">
            <v>24</v>
          </cell>
          <cell r="J138">
            <v>0</v>
          </cell>
          <cell r="K138">
            <v>0</v>
          </cell>
          <cell r="AL138">
            <v>0</v>
          </cell>
        </row>
        <row r="139">
          <cell r="E139" t="str">
            <v>24</v>
          </cell>
          <cell r="J139">
            <v>0</v>
          </cell>
          <cell r="K139">
            <v>0</v>
          </cell>
          <cell r="AL139">
            <v>0</v>
          </cell>
        </row>
        <row r="140">
          <cell r="E140" t="str">
            <v>24</v>
          </cell>
          <cell r="J140">
            <v>0</v>
          </cell>
          <cell r="K140">
            <v>0</v>
          </cell>
          <cell r="AL140">
            <v>0</v>
          </cell>
        </row>
        <row r="141">
          <cell r="E141" t="str">
            <v>24</v>
          </cell>
          <cell r="J141">
            <v>0</v>
          </cell>
          <cell r="K141">
            <v>0</v>
          </cell>
          <cell r="AL141">
            <v>0</v>
          </cell>
        </row>
        <row r="142">
          <cell r="E142" t="str">
            <v>24</v>
          </cell>
          <cell r="J142">
            <v>0</v>
          </cell>
          <cell r="K142">
            <v>0</v>
          </cell>
          <cell r="AL142">
            <v>0</v>
          </cell>
        </row>
        <row r="143">
          <cell r="E143" t="str">
            <v>24</v>
          </cell>
          <cell r="J143">
            <v>0</v>
          </cell>
          <cell r="K143">
            <v>0</v>
          </cell>
          <cell r="AL143">
            <v>0</v>
          </cell>
        </row>
        <row r="144">
          <cell r="E144" t="str">
            <v>24</v>
          </cell>
          <cell r="J144">
            <v>0</v>
          </cell>
          <cell r="K144">
            <v>0</v>
          </cell>
          <cell r="AL144">
            <v>0</v>
          </cell>
        </row>
        <row r="145">
          <cell r="E145" t="str">
            <v>24</v>
          </cell>
          <cell r="J145">
            <v>0</v>
          </cell>
          <cell r="K145">
            <v>0</v>
          </cell>
          <cell r="AL145">
            <v>0</v>
          </cell>
        </row>
        <row r="146">
          <cell r="E146" t="str">
            <v>24</v>
          </cell>
          <cell r="J146">
            <v>0</v>
          </cell>
          <cell r="K146">
            <v>0</v>
          </cell>
          <cell r="AL146">
            <v>0</v>
          </cell>
        </row>
        <row r="147">
          <cell r="E147" t="str">
            <v>24</v>
          </cell>
          <cell r="J147">
            <v>0</v>
          </cell>
          <cell r="K147">
            <v>0</v>
          </cell>
          <cell r="AL147">
            <v>0</v>
          </cell>
        </row>
        <row r="148">
          <cell r="E148" t="str">
            <v>24</v>
          </cell>
          <cell r="J148">
            <v>0</v>
          </cell>
          <cell r="K148">
            <v>0</v>
          </cell>
          <cell r="AL148">
            <v>0</v>
          </cell>
        </row>
        <row r="149">
          <cell r="E149" t="str">
            <v>24</v>
          </cell>
          <cell r="J149">
            <v>0</v>
          </cell>
          <cell r="K149">
            <v>0</v>
          </cell>
          <cell r="AL149">
            <v>0</v>
          </cell>
        </row>
        <row r="150">
          <cell r="E150" t="str">
            <v>24</v>
          </cell>
          <cell r="J150">
            <v>0</v>
          </cell>
          <cell r="K150">
            <v>0</v>
          </cell>
          <cell r="AL150">
            <v>0</v>
          </cell>
        </row>
        <row r="151">
          <cell r="E151" t="str">
            <v>24</v>
          </cell>
          <cell r="J151">
            <v>0</v>
          </cell>
          <cell r="K151">
            <v>0</v>
          </cell>
          <cell r="AL151">
            <v>0</v>
          </cell>
        </row>
        <row r="152">
          <cell r="E152" t="str">
            <v>24</v>
          </cell>
          <cell r="J152">
            <v>0</v>
          </cell>
          <cell r="K152">
            <v>0</v>
          </cell>
          <cell r="AL152">
            <v>0</v>
          </cell>
        </row>
        <row r="153">
          <cell r="E153" t="str">
            <v>24</v>
          </cell>
          <cell r="J153">
            <v>0</v>
          </cell>
          <cell r="K153">
            <v>0</v>
          </cell>
          <cell r="AL153">
            <v>0</v>
          </cell>
        </row>
        <row r="154">
          <cell r="E154" t="str">
            <v>24</v>
          </cell>
          <cell r="J154">
            <v>0</v>
          </cell>
          <cell r="K154">
            <v>0</v>
          </cell>
          <cell r="AL154">
            <v>0</v>
          </cell>
        </row>
        <row r="155">
          <cell r="E155" t="str">
            <v>24</v>
          </cell>
          <cell r="J155">
            <v>848087.34000000008</v>
          </cell>
          <cell r="K155">
            <v>-78868.25</v>
          </cell>
          <cell r="AL155">
            <v>0</v>
          </cell>
        </row>
        <row r="156">
          <cell r="E156" t="str">
            <v>24</v>
          </cell>
          <cell r="J156">
            <v>0</v>
          </cell>
          <cell r="K156">
            <v>1250000</v>
          </cell>
          <cell r="AL156">
            <v>0</v>
          </cell>
        </row>
        <row r="157">
          <cell r="E157" t="str">
            <v>24</v>
          </cell>
          <cell r="J157">
            <v>15529.75</v>
          </cell>
          <cell r="K157">
            <v>-15.740000002086163</v>
          </cell>
          <cell r="AL157">
            <v>0</v>
          </cell>
        </row>
        <row r="158">
          <cell r="E158" t="str">
            <v>24</v>
          </cell>
          <cell r="J158">
            <v>0</v>
          </cell>
          <cell r="K158">
            <v>0</v>
          </cell>
          <cell r="AL158">
            <v>0</v>
          </cell>
        </row>
        <row r="159">
          <cell r="E159" t="str">
            <v>24</v>
          </cell>
          <cell r="J159">
            <v>0</v>
          </cell>
          <cell r="K159">
            <v>0</v>
          </cell>
          <cell r="AL159">
            <v>0</v>
          </cell>
        </row>
        <row r="160">
          <cell r="E160" t="str">
            <v>24</v>
          </cell>
          <cell r="J160">
            <v>0</v>
          </cell>
          <cell r="K160">
            <v>0</v>
          </cell>
          <cell r="AL160">
            <v>0</v>
          </cell>
        </row>
        <row r="161">
          <cell r="E161" t="str">
            <v>24</v>
          </cell>
          <cell r="J161">
            <v>0</v>
          </cell>
          <cell r="K161">
            <v>0</v>
          </cell>
          <cell r="AL161">
            <v>0</v>
          </cell>
        </row>
        <row r="162">
          <cell r="E162" t="str">
            <v>24</v>
          </cell>
          <cell r="J162">
            <v>0</v>
          </cell>
          <cell r="K162">
            <v>0</v>
          </cell>
          <cell r="AL162">
            <v>0</v>
          </cell>
        </row>
        <row r="163">
          <cell r="E163" t="str">
            <v>24</v>
          </cell>
          <cell r="J163">
            <v>0</v>
          </cell>
          <cell r="K163">
            <v>0</v>
          </cell>
          <cell r="AL163">
            <v>0</v>
          </cell>
        </row>
        <row r="164">
          <cell r="E164" t="str">
            <v>24</v>
          </cell>
          <cell r="J164">
            <v>0</v>
          </cell>
          <cell r="K164">
            <v>0</v>
          </cell>
          <cell r="AL164">
            <v>0</v>
          </cell>
        </row>
        <row r="165">
          <cell r="E165" t="str">
            <v>24</v>
          </cell>
          <cell r="J165">
            <v>0</v>
          </cell>
          <cell r="K165">
            <v>0</v>
          </cell>
          <cell r="AL165">
            <v>0</v>
          </cell>
        </row>
        <row r="166">
          <cell r="E166" t="str">
            <v>24</v>
          </cell>
          <cell r="J166">
            <v>0</v>
          </cell>
          <cell r="K166">
            <v>0</v>
          </cell>
          <cell r="AL166">
            <v>0</v>
          </cell>
        </row>
        <row r="167">
          <cell r="E167" t="str">
            <v>24</v>
          </cell>
          <cell r="J167">
            <v>0</v>
          </cell>
          <cell r="K167">
            <v>0</v>
          </cell>
          <cell r="AL167">
            <v>0</v>
          </cell>
        </row>
        <row r="168">
          <cell r="E168" t="str">
            <v>24</v>
          </cell>
          <cell r="J168">
            <v>0</v>
          </cell>
          <cell r="K168">
            <v>0</v>
          </cell>
          <cell r="AL168">
            <v>0</v>
          </cell>
        </row>
        <row r="169">
          <cell r="E169" t="str">
            <v>38</v>
          </cell>
          <cell r="J169">
            <v>0</v>
          </cell>
          <cell r="K169">
            <v>0</v>
          </cell>
          <cell r="AL169">
            <v>0</v>
          </cell>
        </row>
        <row r="170">
          <cell r="E170" t="str">
            <v>38</v>
          </cell>
          <cell r="J170">
            <v>0</v>
          </cell>
          <cell r="K170">
            <v>0</v>
          </cell>
          <cell r="AL170">
            <v>0</v>
          </cell>
        </row>
        <row r="171">
          <cell r="E171" t="str">
            <v>38</v>
          </cell>
          <cell r="J171">
            <v>1732211.8999999994</v>
          </cell>
          <cell r="K171">
            <v>35308.649999999907</v>
          </cell>
          <cell r="AL171">
            <v>0</v>
          </cell>
        </row>
        <row r="172">
          <cell r="E172" t="str">
            <v>38</v>
          </cell>
          <cell r="J172">
            <v>0</v>
          </cell>
          <cell r="K172">
            <v>0</v>
          </cell>
          <cell r="AL172">
            <v>0</v>
          </cell>
        </row>
        <row r="173">
          <cell r="E173" t="str">
            <v>38</v>
          </cell>
          <cell r="J173">
            <v>0</v>
          </cell>
          <cell r="K173">
            <v>0</v>
          </cell>
          <cell r="AL173">
            <v>0</v>
          </cell>
        </row>
        <row r="174">
          <cell r="E174" t="str">
            <v>38</v>
          </cell>
          <cell r="J174">
            <v>0</v>
          </cell>
          <cell r="K174">
            <v>0</v>
          </cell>
          <cell r="AL174">
            <v>0</v>
          </cell>
        </row>
        <row r="175">
          <cell r="E175" t="str">
            <v>38</v>
          </cell>
          <cell r="J175">
            <v>0</v>
          </cell>
          <cell r="K175">
            <v>0</v>
          </cell>
          <cell r="AL175">
            <v>0</v>
          </cell>
        </row>
        <row r="176">
          <cell r="E176" t="str">
            <v>38</v>
          </cell>
          <cell r="J176">
            <v>0</v>
          </cell>
          <cell r="K176">
            <v>0</v>
          </cell>
          <cell r="AL176">
            <v>0</v>
          </cell>
        </row>
        <row r="177">
          <cell r="E177" t="str">
            <v>38</v>
          </cell>
          <cell r="J177">
            <v>0</v>
          </cell>
          <cell r="K177">
            <v>0</v>
          </cell>
          <cell r="AL177">
            <v>0</v>
          </cell>
        </row>
        <row r="178">
          <cell r="E178" t="str">
            <v>38</v>
          </cell>
          <cell r="J178">
            <v>0</v>
          </cell>
          <cell r="K178">
            <v>0</v>
          </cell>
          <cell r="AL178">
            <v>0</v>
          </cell>
        </row>
        <row r="179">
          <cell r="E179" t="str">
            <v>38</v>
          </cell>
          <cell r="J179">
            <v>0</v>
          </cell>
          <cell r="K179">
            <v>0</v>
          </cell>
          <cell r="AL179">
            <v>0</v>
          </cell>
        </row>
        <row r="180">
          <cell r="E180" t="str">
            <v>38</v>
          </cell>
          <cell r="J180">
            <v>0</v>
          </cell>
          <cell r="K180">
            <v>0</v>
          </cell>
          <cell r="AL180">
            <v>0</v>
          </cell>
        </row>
        <row r="181">
          <cell r="E181" t="str">
            <v>38</v>
          </cell>
          <cell r="J181">
            <v>1950262.9900000095</v>
          </cell>
          <cell r="K181">
            <v>1249000.3800000027</v>
          </cell>
          <cell r="AL181">
            <v>0</v>
          </cell>
        </row>
        <row r="182">
          <cell r="E182" t="str">
            <v>38</v>
          </cell>
          <cell r="J182">
            <v>0</v>
          </cell>
          <cell r="K182">
            <v>0</v>
          </cell>
          <cell r="AL182">
            <v>0</v>
          </cell>
        </row>
        <row r="183">
          <cell r="E183" t="str">
            <v>38</v>
          </cell>
          <cell r="J183">
            <v>0</v>
          </cell>
          <cell r="K183">
            <v>0</v>
          </cell>
          <cell r="AL183">
            <v>0</v>
          </cell>
        </row>
        <row r="184">
          <cell r="E184" t="str">
            <v>38</v>
          </cell>
          <cell r="J184">
            <v>0</v>
          </cell>
          <cell r="K184">
            <v>0</v>
          </cell>
          <cell r="AL184">
            <v>0</v>
          </cell>
        </row>
        <row r="185">
          <cell r="E185" t="str">
            <v>38</v>
          </cell>
          <cell r="J185">
            <v>0</v>
          </cell>
          <cell r="K185">
            <v>0</v>
          </cell>
          <cell r="AL185">
            <v>0</v>
          </cell>
        </row>
        <row r="186">
          <cell r="E186" t="str">
            <v>38</v>
          </cell>
          <cell r="J186">
            <v>0</v>
          </cell>
          <cell r="K186">
            <v>0</v>
          </cell>
          <cell r="AL186">
            <v>0</v>
          </cell>
        </row>
        <row r="187">
          <cell r="E187" t="str">
            <v>38</v>
          </cell>
          <cell r="J187">
            <v>0</v>
          </cell>
          <cell r="K187">
            <v>0</v>
          </cell>
          <cell r="AL187">
            <v>0</v>
          </cell>
        </row>
        <row r="188">
          <cell r="E188" t="str">
            <v>38</v>
          </cell>
          <cell r="J188">
            <v>0</v>
          </cell>
          <cell r="K188">
            <v>-26377.679999999978</v>
          </cell>
          <cell r="AL188">
            <v>0</v>
          </cell>
        </row>
        <row r="189">
          <cell r="E189" t="str">
            <v>38</v>
          </cell>
          <cell r="J189">
            <v>0</v>
          </cell>
          <cell r="K189">
            <v>0</v>
          </cell>
          <cell r="AL189">
            <v>0</v>
          </cell>
        </row>
        <row r="190">
          <cell r="E190" t="str">
            <v>38</v>
          </cell>
          <cell r="J190">
            <v>509.5</v>
          </cell>
          <cell r="K190">
            <v>0</v>
          </cell>
          <cell r="AL190">
            <v>0</v>
          </cell>
        </row>
        <row r="191">
          <cell r="E191" t="str">
            <v>38</v>
          </cell>
          <cell r="J191">
            <v>0</v>
          </cell>
          <cell r="K191">
            <v>0</v>
          </cell>
          <cell r="AL191">
            <v>0</v>
          </cell>
        </row>
        <row r="192">
          <cell r="E192" t="str">
            <v>38</v>
          </cell>
          <cell r="J192">
            <v>0</v>
          </cell>
          <cell r="K192">
            <v>0</v>
          </cell>
          <cell r="AL192">
            <v>0</v>
          </cell>
        </row>
        <row r="193">
          <cell r="E193" t="str">
            <v>38</v>
          </cell>
          <cell r="J193">
            <v>0</v>
          </cell>
          <cell r="K193">
            <v>0</v>
          </cell>
          <cell r="AL193">
            <v>0</v>
          </cell>
        </row>
        <row r="194">
          <cell r="E194" t="str">
            <v>38</v>
          </cell>
          <cell r="J194">
            <v>0</v>
          </cell>
          <cell r="K194">
            <v>0</v>
          </cell>
          <cell r="AL194">
            <v>0</v>
          </cell>
        </row>
        <row r="195">
          <cell r="E195" t="str">
            <v>38</v>
          </cell>
          <cell r="J195">
            <v>0</v>
          </cell>
          <cell r="K195">
            <v>0</v>
          </cell>
          <cell r="AL195">
            <v>0</v>
          </cell>
        </row>
        <row r="196">
          <cell r="E196" t="str">
            <v>38</v>
          </cell>
          <cell r="J196">
            <v>100000</v>
          </cell>
          <cell r="K196">
            <v>0</v>
          </cell>
          <cell r="AL196">
            <v>0</v>
          </cell>
        </row>
        <row r="197">
          <cell r="E197" t="str">
            <v>38</v>
          </cell>
          <cell r="J197">
            <v>0</v>
          </cell>
          <cell r="K197">
            <v>0</v>
          </cell>
          <cell r="AL197">
            <v>0</v>
          </cell>
        </row>
        <row r="198">
          <cell r="E198" t="str">
            <v>38</v>
          </cell>
          <cell r="J198">
            <v>220000</v>
          </cell>
          <cell r="K198">
            <v>26000</v>
          </cell>
          <cell r="AL198">
            <v>0</v>
          </cell>
        </row>
        <row r="199">
          <cell r="E199" t="str">
            <v>38</v>
          </cell>
          <cell r="J199">
            <v>0</v>
          </cell>
          <cell r="K199">
            <v>0</v>
          </cell>
          <cell r="AL199">
            <v>0</v>
          </cell>
        </row>
        <row r="200">
          <cell r="E200" t="str">
            <v>38</v>
          </cell>
          <cell r="J200">
            <v>0</v>
          </cell>
          <cell r="K200">
            <v>0</v>
          </cell>
          <cell r="AL200">
            <v>0</v>
          </cell>
        </row>
        <row r="201">
          <cell r="E201" t="str">
            <v>35</v>
          </cell>
          <cell r="J201">
            <v>0</v>
          </cell>
          <cell r="K201">
            <v>0</v>
          </cell>
          <cell r="AL201">
            <v>0</v>
          </cell>
        </row>
        <row r="202">
          <cell r="E202" t="str">
            <v>35</v>
          </cell>
          <cell r="J202">
            <v>0</v>
          </cell>
          <cell r="K202">
            <v>0</v>
          </cell>
          <cell r="AL202">
            <v>0</v>
          </cell>
        </row>
        <row r="203">
          <cell r="E203" t="str">
            <v>35</v>
          </cell>
          <cell r="J203">
            <v>3700</v>
          </cell>
          <cell r="K203">
            <v>0</v>
          </cell>
          <cell r="AL203">
            <v>0</v>
          </cell>
        </row>
        <row r="204">
          <cell r="E204" t="str">
            <v>35</v>
          </cell>
          <cell r="J204">
            <v>-77.709999999999994</v>
          </cell>
          <cell r="K204">
            <v>-104.74</v>
          </cell>
          <cell r="AL204">
            <v>0</v>
          </cell>
        </row>
        <row r="205">
          <cell r="E205" t="str">
            <v>35</v>
          </cell>
          <cell r="J205">
            <v>0</v>
          </cell>
          <cell r="K205">
            <v>0</v>
          </cell>
          <cell r="AL205">
            <v>0</v>
          </cell>
        </row>
        <row r="206">
          <cell r="E206" t="str">
            <v>35</v>
          </cell>
          <cell r="J206">
            <v>0</v>
          </cell>
          <cell r="K206">
            <v>0</v>
          </cell>
          <cell r="AL206">
            <v>0</v>
          </cell>
        </row>
        <row r="207">
          <cell r="E207" t="str">
            <v>35</v>
          </cell>
          <cell r="J207">
            <v>0</v>
          </cell>
          <cell r="K207">
            <v>0</v>
          </cell>
          <cell r="AL207">
            <v>0</v>
          </cell>
        </row>
        <row r="208">
          <cell r="E208" t="str">
            <v>35</v>
          </cell>
          <cell r="J208">
            <v>0</v>
          </cell>
          <cell r="K208">
            <v>0</v>
          </cell>
          <cell r="AL208">
            <v>0</v>
          </cell>
        </row>
        <row r="209">
          <cell r="E209" t="str">
            <v>35</v>
          </cell>
          <cell r="J209">
            <v>0</v>
          </cell>
          <cell r="K209">
            <v>0</v>
          </cell>
          <cell r="AL209">
            <v>0</v>
          </cell>
        </row>
        <row r="210">
          <cell r="E210" t="str">
            <v>35</v>
          </cell>
          <cell r="J210">
            <v>0</v>
          </cell>
          <cell r="K210">
            <v>0</v>
          </cell>
          <cell r="AL210">
            <v>0</v>
          </cell>
        </row>
        <row r="211">
          <cell r="E211" t="str">
            <v>35</v>
          </cell>
          <cell r="J211">
            <v>0</v>
          </cell>
          <cell r="K211">
            <v>0</v>
          </cell>
          <cell r="AL211">
            <v>0</v>
          </cell>
        </row>
        <row r="212">
          <cell r="E212" t="str">
            <v>35</v>
          </cell>
          <cell r="J212">
            <v>0</v>
          </cell>
          <cell r="K212">
            <v>0</v>
          </cell>
          <cell r="AL212">
            <v>0</v>
          </cell>
        </row>
        <row r="213">
          <cell r="E213" t="str">
            <v>35</v>
          </cell>
          <cell r="J213">
            <v>0</v>
          </cell>
          <cell r="K213">
            <v>0</v>
          </cell>
          <cell r="AL213">
            <v>0</v>
          </cell>
        </row>
        <row r="214">
          <cell r="E214" t="str">
            <v>35</v>
          </cell>
          <cell r="J214">
            <v>0</v>
          </cell>
          <cell r="K214">
            <v>0</v>
          </cell>
          <cell r="AL214">
            <v>0</v>
          </cell>
        </row>
        <row r="215">
          <cell r="E215" t="str">
            <v>47</v>
          </cell>
          <cell r="J215">
            <v>420000</v>
          </cell>
          <cell r="K215">
            <v>0</v>
          </cell>
          <cell r="AL215">
            <v>0</v>
          </cell>
        </row>
        <row r="216">
          <cell r="E216" t="str">
            <v>47</v>
          </cell>
          <cell r="J216">
            <v>684625</v>
          </cell>
          <cell r="K216">
            <v>130000</v>
          </cell>
          <cell r="AL216">
            <v>0</v>
          </cell>
        </row>
        <row r="217">
          <cell r="E217" t="str">
            <v>47</v>
          </cell>
          <cell r="J217">
            <v>1003385.6799999998</v>
          </cell>
          <cell r="K217">
            <v>165758.76000000013</v>
          </cell>
          <cell r="AL217">
            <v>0</v>
          </cell>
        </row>
        <row r="218">
          <cell r="E218" t="str">
            <v>46</v>
          </cell>
          <cell r="J218">
            <v>0</v>
          </cell>
          <cell r="K218">
            <v>0</v>
          </cell>
          <cell r="AL218">
            <v>0</v>
          </cell>
        </row>
        <row r="219">
          <cell r="E219" t="str">
            <v>47</v>
          </cell>
          <cell r="J219">
            <v>0</v>
          </cell>
          <cell r="K219">
            <v>0</v>
          </cell>
          <cell r="AL219">
            <v>0</v>
          </cell>
        </row>
        <row r="220">
          <cell r="E220" t="str">
            <v>47</v>
          </cell>
          <cell r="J220">
            <v>0</v>
          </cell>
          <cell r="K220">
            <v>0</v>
          </cell>
          <cell r="AL220">
            <v>0</v>
          </cell>
        </row>
        <row r="221">
          <cell r="E221" t="str">
            <v>48</v>
          </cell>
          <cell r="J221">
            <v>0</v>
          </cell>
          <cell r="K221">
            <v>0</v>
          </cell>
          <cell r="AL221">
            <v>0</v>
          </cell>
        </row>
        <row r="222">
          <cell r="E222" t="str">
            <v>47</v>
          </cell>
          <cell r="J222">
            <v>0</v>
          </cell>
          <cell r="K222">
            <v>0</v>
          </cell>
          <cell r="AL222">
            <v>0</v>
          </cell>
        </row>
        <row r="223">
          <cell r="E223" t="str">
            <v>47</v>
          </cell>
          <cell r="J223">
            <v>0</v>
          </cell>
          <cell r="K223">
            <v>0</v>
          </cell>
          <cell r="AL223">
            <v>0</v>
          </cell>
        </row>
        <row r="224">
          <cell r="E224" t="str">
            <v>47</v>
          </cell>
          <cell r="J224">
            <v>0</v>
          </cell>
          <cell r="K224">
            <v>0</v>
          </cell>
          <cell r="AL224">
            <v>0</v>
          </cell>
        </row>
        <row r="225">
          <cell r="E225" t="str">
            <v>47</v>
          </cell>
          <cell r="J225">
            <v>0</v>
          </cell>
          <cell r="K225">
            <v>0</v>
          </cell>
          <cell r="AL225">
            <v>0</v>
          </cell>
        </row>
        <row r="226">
          <cell r="E226" t="str">
            <v>47</v>
          </cell>
          <cell r="J226">
            <v>0</v>
          </cell>
          <cell r="K226">
            <v>0</v>
          </cell>
          <cell r="AL226">
            <v>0</v>
          </cell>
        </row>
        <row r="227">
          <cell r="E227" t="str">
            <v>38</v>
          </cell>
          <cell r="J227">
            <v>0</v>
          </cell>
          <cell r="K227">
            <v>0</v>
          </cell>
          <cell r="AL227">
            <v>0</v>
          </cell>
        </row>
        <row r="228">
          <cell r="E228" t="str">
            <v>38</v>
          </cell>
          <cell r="J228">
            <v>0</v>
          </cell>
          <cell r="K228">
            <v>0</v>
          </cell>
          <cell r="AL228">
            <v>0</v>
          </cell>
        </row>
        <row r="229">
          <cell r="E229" t="str">
            <v>50</v>
          </cell>
          <cell r="J229">
            <v>0</v>
          </cell>
          <cell r="K229">
            <v>0</v>
          </cell>
          <cell r="AL229">
            <v>0</v>
          </cell>
        </row>
        <row r="230">
          <cell r="E230" t="str">
            <v>45</v>
          </cell>
          <cell r="J230">
            <v>0</v>
          </cell>
          <cell r="K230">
            <v>0</v>
          </cell>
          <cell r="AL230">
            <v>0</v>
          </cell>
        </row>
        <row r="231">
          <cell r="E231" t="str">
            <v>45</v>
          </cell>
          <cell r="J231">
            <v>80981.789999999804</v>
          </cell>
          <cell r="K231">
            <v>-64952.199999999953</v>
          </cell>
          <cell r="AL231">
            <v>0</v>
          </cell>
        </row>
        <row r="232">
          <cell r="E232" t="str">
            <v>45</v>
          </cell>
          <cell r="J232">
            <v>615329.56000000006</v>
          </cell>
          <cell r="K232">
            <v>-573287.5</v>
          </cell>
          <cell r="AL232">
            <v>0</v>
          </cell>
        </row>
        <row r="233">
          <cell r="E233" t="str">
            <v>45</v>
          </cell>
          <cell r="J233">
            <v>-118.5</v>
          </cell>
          <cell r="K233">
            <v>26377.679999999978</v>
          </cell>
          <cell r="AL233">
            <v>0</v>
          </cell>
        </row>
        <row r="234">
          <cell r="E234" t="str">
            <v>45</v>
          </cell>
          <cell r="J234">
            <v>0</v>
          </cell>
          <cell r="K234">
            <v>0</v>
          </cell>
          <cell r="AL234">
            <v>0</v>
          </cell>
        </row>
        <row r="235">
          <cell r="E235" t="str">
            <v>45</v>
          </cell>
          <cell r="J235">
            <v>0</v>
          </cell>
          <cell r="K235">
            <v>0</v>
          </cell>
          <cell r="AL235">
            <v>0</v>
          </cell>
        </row>
        <row r="236">
          <cell r="E236" t="str">
            <v>45</v>
          </cell>
          <cell r="J236">
            <v>0</v>
          </cell>
          <cell r="K236">
            <v>0</v>
          </cell>
          <cell r="AL236">
            <v>0</v>
          </cell>
        </row>
        <row r="237">
          <cell r="E237" t="str">
            <v>45</v>
          </cell>
          <cell r="J237">
            <v>0</v>
          </cell>
          <cell r="K237">
            <v>0</v>
          </cell>
          <cell r="AL237">
            <v>0</v>
          </cell>
        </row>
        <row r="238">
          <cell r="E238" t="str">
            <v>45</v>
          </cell>
          <cell r="J238">
            <v>0</v>
          </cell>
          <cell r="K238">
            <v>0</v>
          </cell>
          <cell r="AL238">
            <v>0</v>
          </cell>
        </row>
        <row r="239">
          <cell r="E239" t="str">
            <v>45</v>
          </cell>
          <cell r="J239">
            <v>0</v>
          </cell>
          <cell r="K239">
            <v>0</v>
          </cell>
          <cell r="AL239">
            <v>0</v>
          </cell>
        </row>
        <row r="240">
          <cell r="E240" t="str">
            <v>45</v>
          </cell>
          <cell r="J240">
            <v>0</v>
          </cell>
          <cell r="K240">
            <v>0</v>
          </cell>
          <cell r="AL240">
            <v>0</v>
          </cell>
        </row>
        <row r="241">
          <cell r="E241" t="str">
            <v>45</v>
          </cell>
          <cell r="J241">
            <v>0</v>
          </cell>
          <cell r="K241">
            <v>0</v>
          </cell>
          <cell r="AL241">
            <v>0</v>
          </cell>
        </row>
        <row r="242">
          <cell r="E242" t="str">
            <v>45</v>
          </cell>
          <cell r="J242">
            <v>0</v>
          </cell>
          <cell r="K242">
            <v>0</v>
          </cell>
          <cell r="AL242">
            <v>0</v>
          </cell>
        </row>
        <row r="243">
          <cell r="E243" t="str">
            <v>45</v>
          </cell>
          <cell r="J243">
            <v>0</v>
          </cell>
          <cell r="K243">
            <v>0</v>
          </cell>
          <cell r="AL243">
            <v>0</v>
          </cell>
        </row>
        <row r="244">
          <cell r="E244" t="str">
            <v>45</v>
          </cell>
          <cell r="J244">
            <v>0</v>
          </cell>
          <cell r="K244">
            <v>0</v>
          </cell>
          <cell r="AL244">
            <v>0</v>
          </cell>
        </row>
        <row r="245">
          <cell r="E245" t="str">
            <v>45</v>
          </cell>
          <cell r="J245">
            <v>0</v>
          </cell>
          <cell r="K245">
            <v>0</v>
          </cell>
          <cell r="AL245">
            <v>0</v>
          </cell>
        </row>
        <row r="246">
          <cell r="E246" t="str">
            <v>45</v>
          </cell>
          <cell r="J246">
            <v>0</v>
          </cell>
          <cell r="K246">
            <v>0</v>
          </cell>
          <cell r="AL246">
            <v>0</v>
          </cell>
        </row>
        <row r="247">
          <cell r="E247" t="str">
            <v>45</v>
          </cell>
          <cell r="J247">
            <v>0</v>
          </cell>
          <cell r="K247">
            <v>0</v>
          </cell>
          <cell r="AL247">
            <v>0</v>
          </cell>
        </row>
        <row r="248">
          <cell r="E248" t="str">
            <v>50</v>
          </cell>
          <cell r="J248">
            <v>40000</v>
          </cell>
          <cell r="K248">
            <v>-623300.16</v>
          </cell>
          <cell r="AL248">
            <v>0</v>
          </cell>
        </row>
        <row r="249">
          <cell r="E249" t="str">
            <v>50</v>
          </cell>
          <cell r="J249">
            <v>927249.61000000034</v>
          </cell>
          <cell r="K249">
            <v>146095.10000000009</v>
          </cell>
          <cell r="AL249">
            <v>0</v>
          </cell>
        </row>
        <row r="250">
          <cell r="E250" t="str">
            <v>50</v>
          </cell>
          <cell r="J250">
            <v>0</v>
          </cell>
          <cell r="K250">
            <v>101347.2300000001</v>
          </cell>
          <cell r="AL250">
            <v>0</v>
          </cell>
        </row>
        <row r="251">
          <cell r="E251" t="str">
            <v>50</v>
          </cell>
          <cell r="J251">
            <v>0</v>
          </cell>
          <cell r="K251">
            <v>12668.400000000009</v>
          </cell>
          <cell r="AL251">
            <v>0</v>
          </cell>
        </row>
        <row r="252">
          <cell r="E252" t="str">
            <v>50</v>
          </cell>
          <cell r="J252">
            <v>124234.02000000002</v>
          </cell>
          <cell r="K252">
            <v>2450.0300000000279</v>
          </cell>
          <cell r="AL252">
            <v>0</v>
          </cell>
        </row>
        <row r="253">
          <cell r="E253" t="str">
            <v>50</v>
          </cell>
          <cell r="J253">
            <v>0</v>
          </cell>
          <cell r="K253">
            <v>0</v>
          </cell>
          <cell r="AL253">
            <v>0</v>
          </cell>
        </row>
        <row r="254">
          <cell r="E254" t="str">
            <v>50</v>
          </cell>
          <cell r="J254">
            <v>0</v>
          </cell>
          <cell r="K254">
            <v>0</v>
          </cell>
          <cell r="AL254">
            <v>0</v>
          </cell>
        </row>
        <row r="255">
          <cell r="E255" t="str">
            <v>51</v>
          </cell>
          <cell r="J255">
            <v>0</v>
          </cell>
          <cell r="K255">
            <v>0</v>
          </cell>
          <cell r="AL255">
            <v>0</v>
          </cell>
        </row>
        <row r="256">
          <cell r="E256" t="str">
            <v>50</v>
          </cell>
          <cell r="J256">
            <v>2162.5</v>
          </cell>
          <cell r="K256">
            <v>2250</v>
          </cell>
          <cell r="AL256">
            <v>0</v>
          </cell>
        </row>
        <row r="257">
          <cell r="E257" t="str">
            <v>50</v>
          </cell>
          <cell r="J257">
            <v>0</v>
          </cell>
          <cell r="K257">
            <v>0</v>
          </cell>
          <cell r="AL257">
            <v>0</v>
          </cell>
        </row>
        <row r="258">
          <cell r="E258" t="str">
            <v>50</v>
          </cell>
          <cell r="J258">
            <v>0</v>
          </cell>
          <cell r="K258">
            <v>0</v>
          </cell>
          <cell r="AL258">
            <v>0</v>
          </cell>
        </row>
        <row r="259">
          <cell r="E259" t="str">
            <v>50</v>
          </cell>
          <cell r="J259">
            <v>0</v>
          </cell>
          <cell r="K259">
            <v>-200</v>
          </cell>
          <cell r="AL259">
            <v>0</v>
          </cell>
        </row>
        <row r="260">
          <cell r="E260" t="str">
            <v>50</v>
          </cell>
          <cell r="J260">
            <v>0</v>
          </cell>
          <cell r="K260">
            <v>0</v>
          </cell>
          <cell r="AL260">
            <v>0</v>
          </cell>
        </row>
        <row r="261">
          <cell r="E261" t="str">
            <v>50</v>
          </cell>
          <cell r="J261">
            <v>0</v>
          </cell>
          <cell r="K261">
            <v>0</v>
          </cell>
          <cell r="AL261">
            <v>0</v>
          </cell>
        </row>
        <row r="262">
          <cell r="E262" t="str">
            <v>50</v>
          </cell>
          <cell r="J262">
            <v>-120</v>
          </cell>
          <cell r="K262">
            <v>0</v>
          </cell>
          <cell r="AL262">
            <v>0</v>
          </cell>
        </row>
        <row r="263">
          <cell r="E263" t="str">
            <v>50</v>
          </cell>
          <cell r="J263">
            <v>0</v>
          </cell>
          <cell r="K263">
            <v>0</v>
          </cell>
          <cell r="AL263">
            <v>0</v>
          </cell>
        </row>
        <row r="264">
          <cell r="E264" t="str">
            <v>50</v>
          </cell>
          <cell r="J264">
            <v>-344.73</v>
          </cell>
          <cell r="K264">
            <v>-77.38</v>
          </cell>
          <cell r="AL264">
            <v>0</v>
          </cell>
        </row>
        <row r="265">
          <cell r="E265" t="str">
            <v>50</v>
          </cell>
          <cell r="J265">
            <v>0</v>
          </cell>
          <cell r="K265">
            <v>0</v>
          </cell>
          <cell r="AL265">
            <v>0</v>
          </cell>
        </row>
        <row r="266">
          <cell r="E266" t="str">
            <v>50</v>
          </cell>
          <cell r="J266">
            <v>-50542</v>
          </cell>
          <cell r="K266">
            <v>0</v>
          </cell>
          <cell r="AL266">
            <v>0</v>
          </cell>
        </row>
        <row r="267">
          <cell r="E267" t="str">
            <v>50</v>
          </cell>
          <cell r="J267">
            <v>229389</v>
          </cell>
          <cell r="K267">
            <v>0</v>
          </cell>
          <cell r="AL267">
            <v>0</v>
          </cell>
        </row>
        <row r="270">
          <cell r="E270" t="str">
            <v>10</v>
          </cell>
          <cell r="J270">
            <v>0</v>
          </cell>
          <cell r="K270">
            <v>705417.45000000019</v>
          </cell>
          <cell r="AL270">
            <v>0</v>
          </cell>
          <cell r="BJ270" t="str">
            <v>BOT</v>
          </cell>
        </row>
        <row r="271">
          <cell r="E271" t="str">
            <v>10</v>
          </cell>
          <cell r="J271">
            <v>0</v>
          </cell>
          <cell r="K271">
            <v>80696.100000000035</v>
          </cell>
          <cell r="AL271">
            <v>0</v>
          </cell>
          <cell r="BJ271" t="str">
            <v>BOT</v>
          </cell>
        </row>
        <row r="272">
          <cell r="E272" t="str">
            <v>10</v>
          </cell>
          <cell r="J272">
            <v>0</v>
          </cell>
          <cell r="K272">
            <v>0</v>
          </cell>
          <cell r="AL272">
            <v>0</v>
          </cell>
          <cell r="BJ272" t="str">
            <v>BOT</v>
          </cell>
        </row>
        <row r="273">
          <cell r="E273" t="str">
            <v>10</v>
          </cell>
          <cell r="J273">
            <v>0</v>
          </cell>
          <cell r="K273">
            <v>556376</v>
          </cell>
          <cell r="AL273">
            <v>0</v>
          </cell>
          <cell r="BJ273" t="str">
            <v>BOT</v>
          </cell>
        </row>
        <row r="274">
          <cell r="E274" t="str">
            <v>10</v>
          </cell>
          <cell r="J274">
            <v>0</v>
          </cell>
          <cell r="K274">
            <v>6.8212102632969618E-13</v>
          </cell>
          <cell r="AL274">
            <v>0</v>
          </cell>
          <cell r="BJ274" t="str">
            <v>BOT</v>
          </cell>
        </row>
        <row r="275">
          <cell r="E275" t="str">
            <v>10</v>
          </cell>
          <cell r="J275">
            <v>0</v>
          </cell>
          <cell r="K275">
            <v>0</v>
          </cell>
          <cell r="AL275">
            <v>0</v>
          </cell>
          <cell r="BJ275" t="str">
            <v>BOT</v>
          </cell>
        </row>
        <row r="276">
          <cell r="E276" t="str">
            <v>10</v>
          </cell>
          <cell r="J276">
            <v>0</v>
          </cell>
          <cell r="K276">
            <v>0</v>
          </cell>
          <cell r="AL276">
            <v>0</v>
          </cell>
          <cell r="BJ276" t="str">
            <v>BOT</v>
          </cell>
        </row>
        <row r="277">
          <cell r="E277" t="str">
            <v>10</v>
          </cell>
          <cell r="J277">
            <v>0</v>
          </cell>
          <cell r="K277">
            <v>0</v>
          </cell>
          <cell r="AL277">
            <v>0</v>
          </cell>
          <cell r="BJ277" t="str">
            <v>BOT</v>
          </cell>
        </row>
        <row r="278">
          <cell r="E278" t="str">
            <v>10</v>
          </cell>
          <cell r="J278">
            <v>0</v>
          </cell>
          <cell r="K278">
            <v>0</v>
          </cell>
          <cell r="AL278">
            <v>0</v>
          </cell>
          <cell r="BJ278" t="str">
            <v>BOT</v>
          </cell>
        </row>
        <row r="279">
          <cell r="E279" t="str">
            <v>10</v>
          </cell>
          <cell r="J279">
            <v>0</v>
          </cell>
          <cell r="K279">
            <v>0</v>
          </cell>
          <cell r="AL279">
            <v>0</v>
          </cell>
          <cell r="BJ279" t="str">
            <v>BOT</v>
          </cell>
        </row>
        <row r="280">
          <cell r="E280" t="str">
            <v>10</v>
          </cell>
          <cell r="J280">
            <v>0</v>
          </cell>
          <cell r="K280">
            <v>0</v>
          </cell>
          <cell r="AL280">
            <v>0</v>
          </cell>
          <cell r="BJ280" t="str">
            <v>BOT</v>
          </cell>
        </row>
        <row r="281">
          <cell r="E281" t="str">
            <v>10</v>
          </cell>
          <cell r="J281">
            <v>0</v>
          </cell>
          <cell r="K281">
            <v>0</v>
          </cell>
          <cell r="AL281">
            <v>0</v>
          </cell>
          <cell r="BJ281" t="str">
            <v>BOT</v>
          </cell>
        </row>
        <row r="282">
          <cell r="E282" t="str">
            <v>10</v>
          </cell>
          <cell r="J282">
            <v>0</v>
          </cell>
          <cell r="K282">
            <v>0</v>
          </cell>
          <cell r="AL282">
            <v>0</v>
          </cell>
          <cell r="BJ282" t="str">
            <v>BOT</v>
          </cell>
        </row>
        <row r="283">
          <cell r="E283" t="str">
            <v>10</v>
          </cell>
          <cell r="J283">
            <v>0</v>
          </cell>
          <cell r="K283">
            <v>1.4210854715202004E-14</v>
          </cell>
          <cell r="AL283">
            <v>0</v>
          </cell>
          <cell r="BJ283" t="str">
            <v>BOT</v>
          </cell>
        </row>
        <row r="284">
          <cell r="E284" t="str">
            <v>10</v>
          </cell>
          <cell r="J284">
            <v>0</v>
          </cell>
          <cell r="K284">
            <v>0</v>
          </cell>
          <cell r="AL284">
            <v>0</v>
          </cell>
          <cell r="BJ284" t="str">
            <v>BOT</v>
          </cell>
        </row>
        <row r="285">
          <cell r="E285" t="str">
            <v>10</v>
          </cell>
          <cell r="J285">
            <v>0</v>
          </cell>
          <cell r="K285">
            <v>0</v>
          </cell>
          <cell r="AL285">
            <v>0</v>
          </cell>
          <cell r="BJ285" t="str">
            <v>BOT</v>
          </cell>
        </row>
        <row r="286">
          <cell r="E286" t="str">
            <v>10</v>
          </cell>
          <cell r="J286">
            <v>0</v>
          </cell>
          <cell r="K286">
            <v>0</v>
          </cell>
          <cell r="AL286">
            <v>0</v>
          </cell>
          <cell r="BJ286" t="str">
            <v>BOT</v>
          </cell>
        </row>
        <row r="287">
          <cell r="E287" t="str">
            <v>10</v>
          </cell>
          <cell r="J287">
            <v>0</v>
          </cell>
          <cell r="K287">
            <v>0</v>
          </cell>
          <cell r="AL287">
            <v>0</v>
          </cell>
          <cell r="BJ287" t="str">
            <v>BOT</v>
          </cell>
        </row>
        <row r="288">
          <cell r="E288" t="str">
            <v>10</v>
          </cell>
          <cell r="J288">
            <v>0</v>
          </cell>
          <cell r="K288">
            <v>0</v>
          </cell>
          <cell r="AL288">
            <v>0</v>
          </cell>
          <cell r="BJ288" t="str">
            <v>BOT</v>
          </cell>
        </row>
        <row r="289">
          <cell r="E289" t="str">
            <v>10</v>
          </cell>
          <cell r="J289">
            <v>0</v>
          </cell>
          <cell r="K289">
            <v>0</v>
          </cell>
          <cell r="AL289">
            <v>0</v>
          </cell>
          <cell r="BJ289" t="str">
            <v>BOT</v>
          </cell>
        </row>
        <row r="290">
          <cell r="E290" t="str">
            <v>10</v>
          </cell>
          <cell r="J290">
            <v>0</v>
          </cell>
          <cell r="K290">
            <v>0</v>
          </cell>
          <cell r="AL290">
            <v>0</v>
          </cell>
          <cell r="BJ290" t="str">
            <v>BOT</v>
          </cell>
        </row>
        <row r="291">
          <cell r="E291" t="str">
            <v>10</v>
          </cell>
          <cell r="J291">
            <v>0</v>
          </cell>
          <cell r="K291">
            <v>0</v>
          </cell>
          <cell r="AL291">
            <v>0</v>
          </cell>
          <cell r="BJ291" t="str">
            <v>BOT</v>
          </cell>
        </row>
        <row r="292">
          <cell r="E292" t="str">
            <v>10</v>
          </cell>
          <cell r="J292">
            <v>0</v>
          </cell>
          <cell r="K292">
            <v>0</v>
          </cell>
          <cell r="AL292">
            <v>0</v>
          </cell>
          <cell r="BJ292" t="str">
            <v>BOT</v>
          </cell>
        </row>
        <row r="293">
          <cell r="E293" t="str">
            <v>10</v>
          </cell>
          <cell r="J293">
            <v>0</v>
          </cell>
          <cell r="K293">
            <v>0</v>
          </cell>
          <cell r="AL293">
            <v>0</v>
          </cell>
          <cell r="BJ293" t="str">
            <v>BOT</v>
          </cell>
        </row>
        <row r="294">
          <cell r="E294" t="str">
            <v>10</v>
          </cell>
          <cell r="J294">
            <v>0</v>
          </cell>
          <cell r="K294">
            <v>0</v>
          </cell>
          <cell r="AL294">
            <v>0</v>
          </cell>
          <cell r="BJ294" t="str">
            <v>BOT</v>
          </cell>
        </row>
        <row r="295">
          <cell r="E295" t="str">
            <v>11</v>
          </cell>
          <cell r="J295">
            <v>0</v>
          </cell>
          <cell r="K295">
            <v>-4.6566128730773926E-10</v>
          </cell>
          <cell r="AL295">
            <v>0</v>
          </cell>
          <cell r="BJ295" t="str">
            <v>BOT</v>
          </cell>
        </row>
        <row r="296">
          <cell r="E296" t="str">
            <v>11</v>
          </cell>
          <cell r="J296">
            <v>0</v>
          </cell>
          <cell r="K296">
            <v>279407.19</v>
          </cell>
          <cell r="AL296">
            <v>0</v>
          </cell>
          <cell r="BJ296" t="str">
            <v>BOT</v>
          </cell>
        </row>
        <row r="297">
          <cell r="E297" t="str">
            <v>11</v>
          </cell>
          <cell r="J297">
            <v>0</v>
          </cell>
          <cell r="K297">
            <v>0</v>
          </cell>
          <cell r="AL297">
            <v>0</v>
          </cell>
          <cell r="BJ297" t="str">
            <v>BOT</v>
          </cell>
        </row>
        <row r="298">
          <cell r="E298" t="str">
            <v>11</v>
          </cell>
          <cell r="J298">
            <v>0</v>
          </cell>
          <cell r="K298">
            <v>300.77999999999884</v>
          </cell>
          <cell r="AL298">
            <v>0</v>
          </cell>
          <cell r="BJ298" t="str">
            <v>BOT</v>
          </cell>
        </row>
        <row r="299">
          <cell r="E299" t="str">
            <v>11</v>
          </cell>
          <cell r="J299">
            <v>0</v>
          </cell>
          <cell r="K299">
            <v>20000</v>
          </cell>
          <cell r="AL299">
            <v>0</v>
          </cell>
          <cell r="BJ299" t="str">
            <v>BOT</v>
          </cell>
        </row>
        <row r="300">
          <cell r="E300" t="str">
            <v>11</v>
          </cell>
          <cell r="J300">
            <v>0</v>
          </cell>
          <cell r="K300">
            <v>0</v>
          </cell>
          <cell r="AL300">
            <v>0</v>
          </cell>
          <cell r="BJ300" t="str">
            <v>BOT</v>
          </cell>
        </row>
        <row r="301">
          <cell r="E301" t="str">
            <v>11</v>
          </cell>
          <cell r="J301">
            <v>0</v>
          </cell>
          <cell r="K301">
            <v>-246170.3599999994</v>
          </cell>
          <cell r="AL301">
            <v>0</v>
          </cell>
          <cell r="BJ301" t="str">
            <v>BOT</v>
          </cell>
        </row>
        <row r="302">
          <cell r="E302" t="str">
            <v>11</v>
          </cell>
          <cell r="J302">
            <v>0</v>
          </cell>
          <cell r="K302">
            <v>155070.53000000003</v>
          </cell>
          <cell r="AL302">
            <v>0</v>
          </cell>
          <cell r="BJ302" t="str">
            <v>BOT</v>
          </cell>
        </row>
        <row r="303">
          <cell r="E303" t="str">
            <v>11</v>
          </cell>
          <cell r="J303">
            <v>0</v>
          </cell>
          <cell r="K303">
            <v>0</v>
          </cell>
          <cell r="AL303">
            <v>0</v>
          </cell>
          <cell r="BJ303" t="str">
            <v>BOT</v>
          </cell>
        </row>
        <row r="304">
          <cell r="E304" t="str">
            <v>11</v>
          </cell>
          <cell r="J304">
            <v>0</v>
          </cell>
          <cell r="K304">
            <v>0</v>
          </cell>
          <cell r="AL304">
            <v>0</v>
          </cell>
          <cell r="BJ304" t="str">
            <v>BOT</v>
          </cell>
        </row>
        <row r="305">
          <cell r="E305" t="str">
            <v>11</v>
          </cell>
          <cell r="J305">
            <v>0</v>
          </cell>
          <cell r="K305">
            <v>0</v>
          </cell>
          <cell r="AL305">
            <v>0</v>
          </cell>
          <cell r="BJ305" t="str">
            <v>BOT</v>
          </cell>
        </row>
        <row r="306">
          <cell r="E306" t="str">
            <v>11</v>
          </cell>
          <cell r="J306">
            <v>0</v>
          </cell>
          <cell r="K306">
            <v>0</v>
          </cell>
          <cell r="AL306">
            <v>0</v>
          </cell>
          <cell r="BJ306" t="str">
            <v>BOT</v>
          </cell>
        </row>
        <row r="307">
          <cell r="E307" t="str">
            <v>11</v>
          </cell>
          <cell r="J307">
            <v>0</v>
          </cell>
          <cell r="K307">
            <v>0</v>
          </cell>
          <cell r="AL307">
            <v>0</v>
          </cell>
          <cell r="BJ307" t="str">
            <v>BOT</v>
          </cell>
        </row>
        <row r="308">
          <cell r="E308" t="str">
            <v>11</v>
          </cell>
          <cell r="J308">
            <v>0</v>
          </cell>
          <cell r="K308">
            <v>0</v>
          </cell>
          <cell r="AL308">
            <v>0</v>
          </cell>
          <cell r="BJ308" t="str">
            <v>BOT</v>
          </cell>
        </row>
        <row r="309">
          <cell r="E309" t="str">
            <v>11</v>
          </cell>
          <cell r="J309">
            <v>0</v>
          </cell>
          <cell r="K309">
            <v>0</v>
          </cell>
          <cell r="AL309">
            <v>0</v>
          </cell>
          <cell r="BJ309" t="str">
            <v>BOT</v>
          </cell>
        </row>
        <row r="310">
          <cell r="E310" t="str">
            <v>11</v>
          </cell>
          <cell r="J310">
            <v>0</v>
          </cell>
          <cell r="K310">
            <v>31910.700000000012</v>
          </cell>
          <cell r="AL310">
            <v>0</v>
          </cell>
          <cell r="BJ310" t="str">
            <v>BOT</v>
          </cell>
        </row>
        <row r="311">
          <cell r="E311" t="str">
            <v>11</v>
          </cell>
          <cell r="J311">
            <v>0</v>
          </cell>
          <cell r="K311">
            <v>0</v>
          </cell>
          <cell r="AL311">
            <v>0</v>
          </cell>
          <cell r="BJ311" t="str">
            <v>BOT</v>
          </cell>
        </row>
        <row r="312">
          <cell r="E312" t="str">
            <v>11</v>
          </cell>
          <cell r="J312">
            <v>0</v>
          </cell>
          <cell r="K312">
            <v>0</v>
          </cell>
          <cell r="AL312">
            <v>0</v>
          </cell>
          <cell r="BJ312" t="str">
            <v>BOT</v>
          </cell>
        </row>
        <row r="313">
          <cell r="E313" t="str">
            <v>11</v>
          </cell>
          <cell r="J313">
            <v>0</v>
          </cell>
          <cell r="K313">
            <v>0</v>
          </cell>
          <cell r="AL313">
            <v>0</v>
          </cell>
          <cell r="BJ313" t="str">
            <v>BOT</v>
          </cell>
        </row>
        <row r="314">
          <cell r="E314" t="str">
            <v>11</v>
          </cell>
          <cell r="J314">
            <v>0</v>
          </cell>
          <cell r="K314">
            <v>0</v>
          </cell>
          <cell r="AL314">
            <v>0</v>
          </cell>
          <cell r="BJ314" t="str">
            <v>BOT</v>
          </cell>
        </row>
        <row r="315">
          <cell r="E315" t="str">
            <v>11</v>
          </cell>
          <cell r="J315">
            <v>0</v>
          </cell>
          <cell r="K315">
            <v>0</v>
          </cell>
          <cell r="AL315">
            <v>0</v>
          </cell>
          <cell r="BJ315" t="str">
            <v>BOT</v>
          </cell>
        </row>
        <row r="316">
          <cell r="E316" t="str">
            <v>11</v>
          </cell>
          <cell r="J316">
            <v>0</v>
          </cell>
          <cell r="K316">
            <v>0</v>
          </cell>
          <cell r="AL316">
            <v>0</v>
          </cell>
          <cell r="BJ316" t="str">
            <v>BOT</v>
          </cell>
        </row>
        <row r="317">
          <cell r="E317" t="str">
            <v>11</v>
          </cell>
          <cell r="J317">
            <v>0</v>
          </cell>
          <cell r="K317">
            <v>0</v>
          </cell>
          <cell r="AL317">
            <v>0</v>
          </cell>
          <cell r="BJ317" t="str">
            <v>BOT</v>
          </cell>
        </row>
        <row r="318">
          <cell r="E318" t="str">
            <v>11</v>
          </cell>
          <cell r="J318">
            <v>0</v>
          </cell>
          <cell r="K318">
            <v>0</v>
          </cell>
          <cell r="AL318">
            <v>0</v>
          </cell>
          <cell r="BJ318" t="str">
            <v>BOT</v>
          </cell>
        </row>
        <row r="319">
          <cell r="E319" t="str">
            <v>11</v>
          </cell>
          <cell r="J319">
            <v>0</v>
          </cell>
          <cell r="K319">
            <v>0</v>
          </cell>
          <cell r="AL319">
            <v>0</v>
          </cell>
          <cell r="BJ319" t="str">
            <v>BOT</v>
          </cell>
        </row>
        <row r="320">
          <cell r="E320" t="str">
            <v>11</v>
          </cell>
          <cell r="J320">
            <v>0</v>
          </cell>
          <cell r="K320">
            <v>0</v>
          </cell>
          <cell r="AL320">
            <v>0</v>
          </cell>
          <cell r="BJ320" t="str">
            <v>BOT</v>
          </cell>
        </row>
        <row r="321">
          <cell r="E321" t="str">
            <v>11</v>
          </cell>
          <cell r="J321">
            <v>0</v>
          </cell>
          <cell r="K321">
            <v>37918.370000000024</v>
          </cell>
          <cell r="AL321">
            <v>0</v>
          </cell>
          <cell r="BJ321" t="str">
            <v>BOT</v>
          </cell>
        </row>
        <row r="322">
          <cell r="E322" t="str">
            <v>11</v>
          </cell>
          <cell r="J322">
            <v>0</v>
          </cell>
          <cell r="K322">
            <v>0</v>
          </cell>
          <cell r="AL322">
            <v>0</v>
          </cell>
          <cell r="BJ322" t="str">
            <v>BOT</v>
          </cell>
        </row>
        <row r="323">
          <cell r="E323" t="str">
            <v>11</v>
          </cell>
          <cell r="J323">
            <v>0</v>
          </cell>
          <cell r="K323">
            <v>0</v>
          </cell>
          <cell r="AL323">
            <v>0</v>
          </cell>
          <cell r="BJ323" t="str">
            <v>BOT</v>
          </cell>
        </row>
        <row r="324">
          <cell r="E324" t="str">
            <v>11</v>
          </cell>
          <cell r="J324">
            <v>0</v>
          </cell>
          <cell r="K324">
            <v>0</v>
          </cell>
          <cell r="AL324">
            <v>0</v>
          </cell>
          <cell r="BJ324" t="str">
            <v>BOT</v>
          </cell>
        </row>
        <row r="325">
          <cell r="E325" t="str">
            <v>11</v>
          </cell>
          <cell r="J325">
            <v>0</v>
          </cell>
          <cell r="K325">
            <v>0</v>
          </cell>
          <cell r="AL325">
            <v>0</v>
          </cell>
          <cell r="BJ325" t="str">
            <v>BOT</v>
          </cell>
        </row>
        <row r="326">
          <cell r="E326" t="str">
            <v>11</v>
          </cell>
          <cell r="J326">
            <v>0</v>
          </cell>
          <cell r="K326">
            <v>0</v>
          </cell>
          <cell r="AL326">
            <v>0</v>
          </cell>
          <cell r="BJ326" t="str">
            <v>BOT</v>
          </cell>
        </row>
        <row r="327">
          <cell r="E327" t="str">
            <v>11</v>
          </cell>
          <cell r="J327">
            <v>0</v>
          </cell>
          <cell r="K327">
            <v>0</v>
          </cell>
          <cell r="AL327">
            <v>0</v>
          </cell>
          <cell r="BJ327" t="str">
            <v>BOT</v>
          </cell>
        </row>
        <row r="328">
          <cell r="E328" t="str">
            <v>13</v>
          </cell>
          <cell r="J328">
            <v>0</v>
          </cell>
          <cell r="K328">
            <v>6100</v>
          </cell>
          <cell r="AL328">
            <v>0</v>
          </cell>
          <cell r="BJ328" t="str">
            <v>BOT</v>
          </cell>
        </row>
        <row r="329">
          <cell r="E329" t="str">
            <v>13</v>
          </cell>
          <cell r="J329">
            <v>0</v>
          </cell>
          <cell r="K329">
            <v>0</v>
          </cell>
          <cell r="AL329">
            <v>0</v>
          </cell>
          <cell r="BJ329" t="str">
            <v>BOT</v>
          </cell>
        </row>
        <row r="330">
          <cell r="E330" t="str">
            <v>13</v>
          </cell>
          <cell r="J330">
            <v>0</v>
          </cell>
          <cell r="K330">
            <v>10500</v>
          </cell>
          <cell r="AL330">
            <v>0</v>
          </cell>
          <cell r="BJ330" t="str">
            <v>BOT</v>
          </cell>
        </row>
        <row r="331">
          <cell r="E331" t="str">
            <v>13</v>
          </cell>
          <cell r="J331">
            <v>0</v>
          </cell>
          <cell r="K331">
            <v>19029.099999999977</v>
          </cell>
          <cell r="AL331">
            <v>0</v>
          </cell>
          <cell r="BJ331" t="str">
            <v>BOT</v>
          </cell>
        </row>
        <row r="332">
          <cell r="E332" t="str">
            <v>13</v>
          </cell>
          <cell r="J332">
            <v>0</v>
          </cell>
          <cell r="K332">
            <v>25.270000000000437</v>
          </cell>
          <cell r="AL332">
            <v>0</v>
          </cell>
          <cell r="BJ332" t="str">
            <v>BOT</v>
          </cell>
        </row>
        <row r="333">
          <cell r="E333" t="str">
            <v>13</v>
          </cell>
          <cell r="J333">
            <v>0</v>
          </cell>
          <cell r="K333">
            <v>0</v>
          </cell>
          <cell r="AL333">
            <v>0</v>
          </cell>
          <cell r="BJ333" t="str">
            <v>BOT</v>
          </cell>
        </row>
        <row r="334">
          <cell r="E334" t="str">
            <v>13</v>
          </cell>
          <cell r="J334">
            <v>0</v>
          </cell>
          <cell r="K334">
            <v>6000</v>
          </cell>
          <cell r="AL334">
            <v>0</v>
          </cell>
          <cell r="BJ334" t="str">
            <v>BOT</v>
          </cell>
        </row>
        <row r="335">
          <cell r="E335" t="str">
            <v>13</v>
          </cell>
          <cell r="J335">
            <v>0</v>
          </cell>
          <cell r="K335">
            <v>0</v>
          </cell>
          <cell r="AL335">
            <v>0</v>
          </cell>
          <cell r="BJ335" t="str">
            <v>BOT</v>
          </cell>
        </row>
        <row r="336">
          <cell r="E336" t="str">
            <v>13</v>
          </cell>
          <cell r="J336">
            <v>0</v>
          </cell>
          <cell r="K336">
            <v>4500</v>
          </cell>
          <cell r="AL336">
            <v>0</v>
          </cell>
          <cell r="BJ336" t="str">
            <v>BOT</v>
          </cell>
        </row>
        <row r="337">
          <cell r="E337" t="str">
            <v>13</v>
          </cell>
          <cell r="J337">
            <v>0</v>
          </cell>
          <cell r="K337">
            <v>10554.970000000001</v>
          </cell>
          <cell r="AL337">
            <v>0</v>
          </cell>
          <cell r="BJ337" t="str">
            <v>BOT</v>
          </cell>
        </row>
        <row r="338">
          <cell r="E338" t="str">
            <v>13</v>
          </cell>
          <cell r="J338">
            <v>0</v>
          </cell>
          <cell r="K338">
            <v>3211.9700000000303</v>
          </cell>
          <cell r="AL338">
            <v>0</v>
          </cell>
          <cell r="BJ338" t="str">
            <v>BOT</v>
          </cell>
        </row>
        <row r="339">
          <cell r="E339" t="str">
            <v>13</v>
          </cell>
          <cell r="J339">
            <v>0</v>
          </cell>
          <cell r="K339">
            <v>0</v>
          </cell>
          <cell r="AL339">
            <v>0</v>
          </cell>
          <cell r="BJ339" t="str">
            <v>BOT</v>
          </cell>
        </row>
        <row r="340">
          <cell r="E340" t="str">
            <v>13</v>
          </cell>
          <cell r="J340">
            <v>0</v>
          </cell>
          <cell r="K340">
            <v>5000</v>
          </cell>
          <cell r="AL340">
            <v>0</v>
          </cell>
          <cell r="BJ340" t="str">
            <v>BOT</v>
          </cell>
        </row>
        <row r="341">
          <cell r="E341" t="str">
            <v>13</v>
          </cell>
          <cell r="J341">
            <v>0</v>
          </cell>
          <cell r="K341">
            <v>0</v>
          </cell>
          <cell r="AL341">
            <v>0</v>
          </cell>
          <cell r="BJ341" t="str">
            <v>BOT</v>
          </cell>
        </row>
        <row r="342">
          <cell r="E342" t="str">
            <v>13</v>
          </cell>
          <cell r="J342">
            <v>0</v>
          </cell>
          <cell r="K342">
            <v>0</v>
          </cell>
          <cell r="AL342">
            <v>0</v>
          </cell>
          <cell r="BJ342" t="str">
            <v>BOT</v>
          </cell>
        </row>
        <row r="343">
          <cell r="E343" t="str">
            <v>13</v>
          </cell>
          <cell r="J343">
            <v>0</v>
          </cell>
          <cell r="K343">
            <v>0</v>
          </cell>
          <cell r="AL343">
            <v>0</v>
          </cell>
          <cell r="BJ343" t="str">
            <v>BOT</v>
          </cell>
        </row>
        <row r="344">
          <cell r="E344" t="str">
            <v>13</v>
          </cell>
          <cell r="J344">
            <v>0</v>
          </cell>
          <cell r="K344">
            <v>2039.9199999999983</v>
          </cell>
          <cell r="AL344">
            <v>0</v>
          </cell>
          <cell r="BJ344" t="str">
            <v>BOT</v>
          </cell>
        </row>
        <row r="345">
          <cell r="E345" t="str">
            <v>13</v>
          </cell>
          <cell r="J345">
            <v>0</v>
          </cell>
          <cell r="K345">
            <v>150</v>
          </cell>
          <cell r="AL345">
            <v>0</v>
          </cell>
          <cell r="BJ345" t="str">
            <v>BOT</v>
          </cell>
        </row>
        <row r="346">
          <cell r="E346" t="str">
            <v>13</v>
          </cell>
          <cell r="J346">
            <v>0</v>
          </cell>
          <cell r="K346">
            <v>0</v>
          </cell>
          <cell r="AL346">
            <v>0</v>
          </cell>
          <cell r="BJ346" t="str">
            <v>BOT</v>
          </cell>
        </row>
        <row r="347">
          <cell r="E347" t="str">
            <v>13</v>
          </cell>
          <cell r="J347">
            <v>0</v>
          </cell>
          <cell r="K347">
            <v>1918.8799999999974</v>
          </cell>
          <cell r="AL347">
            <v>0</v>
          </cell>
          <cell r="BJ347" t="str">
            <v>BOT</v>
          </cell>
        </row>
        <row r="348">
          <cell r="E348" t="str">
            <v>13</v>
          </cell>
          <cell r="J348">
            <v>0</v>
          </cell>
          <cell r="K348">
            <v>2764.5300000000025</v>
          </cell>
          <cell r="AL348">
            <v>0</v>
          </cell>
          <cell r="BJ348" t="str">
            <v>BOT</v>
          </cell>
        </row>
        <row r="349">
          <cell r="E349" t="str">
            <v>13</v>
          </cell>
          <cell r="J349">
            <v>0</v>
          </cell>
          <cell r="K349">
            <v>0</v>
          </cell>
          <cell r="AL349">
            <v>0</v>
          </cell>
          <cell r="BJ349" t="str">
            <v>BOT</v>
          </cell>
        </row>
        <row r="350">
          <cell r="E350" t="str">
            <v>13</v>
          </cell>
          <cell r="J350">
            <v>0</v>
          </cell>
          <cell r="K350">
            <v>0</v>
          </cell>
          <cell r="AL350">
            <v>0</v>
          </cell>
          <cell r="BJ350" t="str">
            <v>BOT</v>
          </cell>
        </row>
        <row r="351">
          <cell r="E351" t="str">
            <v>13</v>
          </cell>
          <cell r="J351">
            <v>0</v>
          </cell>
          <cell r="K351">
            <v>0</v>
          </cell>
          <cell r="AL351">
            <v>0</v>
          </cell>
          <cell r="BJ351" t="str">
            <v>BOT</v>
          </cell>
        </row>
        <row r="352">
          <cell r="E352" t="str">
            <v>13</v>
          </cell>
          <cell r="J352">
            <v>0</v>
          </cell>
          <cell r="K352">
            <v>0</v>
          </cell>
          <cell r="AL352">
            <v>0</v>
          </cell>
          <cell r="BJ352" t="str">
            <v>BOT</v>
          </cell>
        </row>
        <row r="353">
          <cell r="E353" t="str">
            <v>13</v>
          </cell>
          <cell r="J353">
            <v>0</v>
          </cell>
          <cell r="K353">
            <v>0</v>
          </cell>
          <cell r="AL353">
            <v>0</v>
          </cell>
          <cell r="BJ353" t="str">
            <v>BOT</v>
          </cell>
        </row>
        <row r="354">
          <cell r="E354" t="str">
            <v>13</v>
          </cell>
          <cell r="J354">
            <v>0</v>
          </cell>
          <cell r="K354">
            <v>0</v>
          </cell>
          <cell r="AL354">
            <v>0</v>
          </cell>
          <cell r="BJ354" t="str">
            <v>BOT</v>
          </cell>
        </row>
        <row r="355">
          <cell r="E355" t="str">
            <v>13</v>
          </cell>
          <cell r="J355">
            <v>0</v>
          </cell>
          <cell r="K355">
            <v>0</v>
          </cell>
          <cell r="AL355">
            <v>0</v>
          </cell>
          <cell r="BJ355" t="str">
            <v>BOT</v>
          </cell>
        </row>
        <row r="356">
          <cell r="E356" t="str">
            <v>13</v>
          </cell>
          <cell r="J356">
            <v>0</v>
          </cell>
          <cell r="K356">
            <v>429.14000000000033</v>
          </cell>
          <cell r="AL356">
            <v>0</v>
          </cell>
          <cell r="BJ356" t="str">
            <v>BOT</v>
          </cell>
        </row>
        <row r="357">
          <cell r="E357" t="str">
            <v>13</v>
          </cell>
          <cell r="J357">
            <v>0</v>
          </cell>
          <cell r="K357">
            <v>0</v>
          </cell>
          <cell r="AL357">
            <v>0</v>
          </cell>
          <cell r="BJ357" t="str">
            <v>BOT</v>
          </cell>
        </row>
        <row r="358">
          <cell r="E358" t="str">
            <v>13</v>
          </cell>
          <cell r="J358">
            <v>0</v>
          </cell>
          <cell r="K358">
            <v>167381.97999999998</v>
          </cell>
          <cell r="AL358">
            <v>0</v>
          </cell>
          <cell r="BJ358" t="str">
            <v>BOT</v>
          </cell>
        </row>
        <row r="359">
          <cell r="E359" t="str">
            <v>13</v>
          </cell>
          <cell r="J359">
            <v>0</v>
          </cell>
          <cell r="K359">
            <v>0</v>
          </cell>
          <cell r="AL359">
            <v>0</v>
          </cell>
          <cell r="BJ359" t="str">
            <v>BOT</v>
          </cell>
        </row>
        <row r="360">
          <cell r="E360" t="str">
            <v>13</v>
          </cell>
          <cell r="J360">
            <v>0</v>
          </cell>
          <cell r="K360">
            <v>0</v>
          </cell>
          <cell r="AL360">
            <v>0</v>
          </cell>
          <cell r="BJ360" t="str">
            <v>BOT</v>
          </cell>
        </row>
        <row r="361">
          <cell r="E361" t="str">
            <v>13</v>
          </cell>
          <cell r="J361">
            <v>0</v>
          </cell>
          <cell r="K361">
            <v>41666.669999999925</v>
          </cell>
          <cell r="AL361">
            <v>0</v>
          </cell>
          <cell r="BJ361" t="str">
            <v>BOT</v>
          </cell>
        </row>
        <row r="362">
          <cell r="E362" t="str">
            <v>13</v>
          </cell>
          <cell r="J362">
            <v>0</v>
          </cell>
          <cell r="K362">
            <v>4437.3000000000029</v>
          </cell>
          <cell r="AL362">
            <v>0</v>
          </cell>
          <cell r="BJ362" t="str">
            <v>BOT</v>
          </cell>
        </row>
        <row r="363">
          <cell r="E363" t="str">
            <v>13</v>
          </cell>
          <cell r="J363">
            <v>0</v>
          </cell>
          <cell r="K363">
            <v>12415.599999999999</v>
          </cell>
          <cell r="AL363">
            <v>0</v>
          </cell>
          <cell r="BJ363" t="str">
            <v>BOT</v>
          </cell>
        </row>
        <row r="364">
          <cell r="E364" t="str">
            <v>13</v>
          </cell>
          <cell r="J364">
            <v>0</v>
          </cell>
          <cell r="K364">
            <v>529.80000000000291</v>
          </cell>
          <cell r="AL364">
            <v>0</v>
          </cell>
          <cell r="BJ364" t="str">
            <v>BOT</v>
          </cell>
        </row>
        <row r="365">
          <cell r="E365" t="str">
            <v>13</v>
          </cell>
          <cell r="J365">
            <v>0</v>
          </cell>
          <cell r="K365">
            <v>21197.739999999991</v>
          </cell>
          <cell r="AL365">
            <v>0</v>
          </cell>
          <cell r="BJ365" t="str">
            <v>BOT</v>
          </cell>
        </row>
        <row r="366">
          <cell r="E366" t="str">
            <v>13</v>
          </cell>
          <cell r="J366">
            <v>0</v>
          </cell>
          <cell r="K366">
            <v>-4397.6899999999951</v>
          </cell>
          <cell r="AL366">
            <v>0</v>
          </cell>
          <cell r="BJ366" t="str">
            <v>BOT</v>
          </cell>
        </row>
        <row r="367">
          <cell r="E367" t="str">
            <v>13</v>
          </cell>
          <cell r="J367">
            <v>0</v>
          </cell>
          <cell r="K367">
            <v>4464.1999999999989</v>
          </cell>
          <cell r="AL367">
            <v>0</v>
          </cell>
          <cell r="BJ367" t="str">
            <v>BOT</v>
          </cell>
        </row>
        <row r="368">
          <cell r="E368" t="str">
            <v>13</v>
          </cell>
          <cell r="J368">
            <v>0</v>
          </cell>
          <cell r="K368">
            <v>12013.330000000016</v>
          </cell>
          <cell r="AL368">
            <v>0</v>
          </cell>
          <cell r="BJ368" t="str">
            <v>BOT</v>
          </cell>
        </row>
        <row r="369">
          <cell r="E369" t="str">
            <v>13</v>
          </cell>
          <cell r="J369">
            <v>0</v>
          </cell>
          <cell r="K369">
            <v>0</v>
          </cell>
          <cell r="AL369">
            <v>0</v>
          </cell>
          <cell r="BJ369" t="str">
            <v>BOT</v>
          </cell>
        </row>
        <row r="370">
          <cell r="E370" t="str">
            <v>13</v>
          </cell>
          <cell r="J370">
            <v>0</v>
          </cell>
          <cell r="K370">
            <v>135152.29999999981</v>
          </cell>
          <cell r="AL370">
            <v>0</v>
          </cell>
          <cell r="BJ370" t="str">
            <v>BOT</v>
          </cell>
        </row>
        <row r="371">
          <cell r="E371" t="str">
            <v>13</v>
          </cell>
          <cell r="J371">
            <v>0</v>
          </cell>
          <cell r="K371">
            <v>0</v>
          </cell>
          <cell r="AL371">
            <v>0</v>
          </cell>
          <cell r="BJ371" t="str">
            <v>BOT</v>
          </cell>
        </row>
        <row r="372">
          <cell r="E372" t="str">
            <v>13</v>
          </cell>
          <cell r="J372">
            <v>0</v>
          </cell>
          <cell r="K372">
            <v>0</v>
          </cell>
          <cell r="AL372">
            <v>0</v>
          </cell>
          <cell r="BJ372" t="str">
            <v>BOT</v>
          </cell>
        </row>
        <row r="373">
          <cell r="E373" t="str">
            <v>13</v>
          </cell>
          <cell r="J373">
            <v>0</v>
          </cell>
          <cell r="K373">
            <v>0</v>
          </cell>
          <cell r="AL373">
            <v>0</v>
          </cell>
          <cell r="BJ373" t="str">
            <v>BOT</v>
          </cell>
        </row>
        <row r="374">
          <cell r="E374" t="str">
            <v>13</v>
          </cell>
          <cell r="J374">
            <v>0</v>
          </cell>
          <cell r="K374">
            <v>0</v>
          </cell>
          <cell r="AL374">
            <v>0</v>
          </cell>
          <cell r="BJ374" t="str">
            <v>BOT</v>
          </cell>
        </row>
        <row r="375">
          <cell r="E375" t="str">
            <v>13</v>
          </cell>
          <cell r="J375">
            <v>0</v>
          </cell>
          <cell r="K375">
            <v>1000.8999999999996</v>
          </cell>
          <cell r="AL375">
            <v>0</v>
          </cell>
          <cell r="BJ375" t="str">
            <v>BOT</v>
          </cell>
        </row>
        <row r="376">
          <cell r="E376" t="str">
            <v>13</v>
          </cell>
          <cell r="J376">
            <v>0</v>
          </cell>
          <cell r="K376">
            <v>522.73999999999978</v>
          </cell>
          <cell r="AL376">
            <v>0</v>
          </cell>
          <cell r="BJ376" t="str">
            <v>BOT</v>
          </cell>
        </row>
        <row r="377">
          <cell r="E377" t="str">
            <v>13</v>
          </cell>
          <cell r="J377">
            <v>0</v>
          </cell>
          <cell r="K377">
            <v>4610.5200000000041</v>
          </cell>
          <cell r="AL377">
            <v>0</v>
          </cell>
          <cell r="BJ377" t="str">
            <v>BOT</v>
          </cell>
        </row>
        <row r="378">
          <cell r="E378" t="str">
            <v>13</v>
          </cell>
          <cell r="J378">
            <v>0</v>
          </cell>
          <cell r="K378">
            <v>1608.9100000000035</v>
          </cell>
          <cell r="AL378">
            <v>0</v>
          </cell>
          <cell r="BJ378" t="str">
            <v>BOT</v>
          </cell>
        </row>
        <row r="379">
          <cell r="E379" t="str">
            <v>13</v>
          </cell>
          <cell r="J379">
            <v>0</v>
          </cell>
          <cell r="K379">
            <v>0</v>
          </cell>
          <cell r="AL379">
            <v>0</v>
          </cell>
          <cell r="BJ379" t="str">
            <v>BOT</v>
          </cell>
        </row>
        <row r="380">
          <cell r="E380" t="str">
            <v>13</v>
          </cell>
          <cell r="J380">
            <v>0</v>
          </cell>
          <cell r="K380">
            <v>150</v>
          </cell>
          <cell r="AL380">
            <v>0</v>
          </cell>
          <cell r="BJ380" t="str">
            <v>BOT</v>
          </cell>
        </row>
        <row r="381">
          <cell r="E381" t="str">
            <v>13</v>
          </cell>
          <cell r="J381">
            <v>0</v>
          </cell>
          <cell r="K381">
            <v>0</v>
          </cell>
          <cell r="AL381">
            <v>0</v>
          </cell>
          <cell r="BJ381" t="str">
            <v>BOT</v>
          </cell>
        </row>
        <row r="382">
          <cell r="E382" t="str">
            <v>13</v>
          </cell>
          <cell r="J382">
            <v>0</v>
          </cell>
          <cell r="K382">
            <v>0</v>
          </cell>
          <cell r="AL382">
            <v>0</v>
          </cell>
          <cell r="BJ382" t="str">
            <v>BOT</v>
          </cell>
        </row>
        <row r="383">
          <cell r="E383" t="str">
            <v>11</v>
          </cell>
          <cell r="J383">
            <v>0</v>
          </cell>
          <cell r="K383">
            <v>0</v>
          </cell>
          <cell r="AL383">
            <v>0</v>
          </cell>
          <cell r="BJ383" t="str">
            <v>BOT</v>
          </cell>
        </row>
        <row r="384">
          <cell r="E384" t="str">
            <v>13</v>
          </cell>
          <cell r="J384">
            <v>0</v>
          </cell>
          <cell r="K384">
            <v>0</v>
          </cell>
          <cell r="AL384">
            <v>0</v>
          </cell>
          <cell r="BJ384" t="str">
            <v>BOT</v>
          </cell>
        </row>
        <row r="385">
          <cell r="E385" t="str">
            <v>11</v>
          </cell>
          <cell r="J385">
            <v>0</v>
          </cell>
          <cell r="K385">
            <v>0</v>
          </cell>
          <cell r="AL385">
            <v>0</v>
          </cell>
          <cell r="BJ385" t="str">
            <v>BOT</v>
          </cell>
        </row>
        <row r="386">
          <cell r="E386" t="str">
            <v>13</v>
          </cell>
          <cell r="J386">
            <v>0</v>
          </cell>
          <cell r="K386">
            <v>0</v>
          </cell>
          <cell r="AL386">
            <v>0</v>
          </cell>
          <cell r="BJ386" t="str">
            <v>BOT</v>
          </cell>
        </row>
        <row r="387">
          <cell r="E387" t="str">
            <v>11</v>
          </cell>
          <cell r="J387">
            <v>0</v>
          </cell>
          <cell r="K387">
            <v>0</v>
          </cell>
          <cell r="AL387">
            <v>0</v>
          </cell>
          <cell r="BJ387" t="str">
            <v>BOT</v>
          </cell>
        </row>
        <row r="388">
          <cell r="E388" t="str">
            <v>13</v>
          </cell>
          <cell r="J388">
            <v>0</v>
          </cell>
          <cell r="K388">
            <v>0</v>
          </cell>
          <cell r="AL388">
            <v>0</v>
          </cell>
          <cell r="BJ388" t="str">
            <v>BOT</v>
          </cell>
        </row>
        <row r="389">
          <cell r="E389" t="str">
            <v>13</v>
          </cell>
          <cell r="J389">
            <v>0</v>
          </cell>
          <cell r="K389">
            <v>0</v>
          </cell>
          <cell r="AL389">
            <v>0</v>
          </cell>
          <cell r="BJ389" t="str">
            <v>BOT</v>
          </cell>
        </row>
        <row r="390">
          <cell r="E390" t="str">
            <v>13</v>
          </cell>
          <cell r="J390">
            <v>0</v>
          </cell>
          <cell r="K390">
            <v>0</v>
          </cell>
          <cell r="AL390">
            <v>0</v>
          </cell>
          <cell r="BJ390" t="str">
            <v>BOT</v>
          </cell>
        </row>
        <row r="391">
          <cell r="E391" t="str">
            <v>13</v>
          </cell>
          <cell r="J391">
            <v>0</v>
          </cell>
          <cell r="K391">
            <v>0</v>
          </cell>
          <cell r="AL391">
            <v>0</v>
          </cell>
          <cell r="BJ391" t="str">
            <v>BOT</v>
          </cell>
        </row>
        <row r="392">
          <cell r="E392" t="str">
            <v>20</v>
          </cell>
          <cell r="J392">
            <v>600</v>
          </cell>
          <cell r="K392">
            <v>0</v>
          </cell>
          <cell r="AL392">
            <v>0</v>
          </cell>
          <cell r="BJ392" t="str">
            <v>BOT</v>
          </cell>
        </row>
        <row r="393">
          <cell r="E393" t="str">
            <v>20</v>
          </cell>
          <cell r="J393">
            <v>0</v>
          </cell>
          <cell r="K393">
            <v>0</v>
          </cell>
          <cell r="AL393">
            <v>0</v>
          </cell>
          <cell r="BJ393" t="str">
            <v>BOT</v>
          </cell>
        </row>
        <row r="394">
          <cell r="E394" t="str">
            <v>21</v>
          </cell>
          <cell r="J394">
            <v>0</v>
          </cell>
          <cell r="K394">
            <v>0</v>
          </cell>
          <cell r="AL394">
            <v>0</v>
          </cell>
          <cell r="BJ394" t="str">
            <v>BOT</v>
          </cell>
        </row>
        <row r="395">
          <cell r="E395" t="str">
            <v>24</v>
          </cell>
          <cell r="J395">
            <v>0</v>
          </cell>
          <cell r="K395">
            <v>0</v>
          </cell>
          <cell r="AL395">
            <v>0</v>
          </cell>
          <cell r="BJ395" t="str">
            <v>BOT</v>
          </cell>
        </row>
        <row r="396">
          <cell r="E396" t="str">
            <v>24</v>
          </cell>
          <cell r="J396">
            <v>0</v>
          </cell>
          <cell r="K396">
            <v>0</v>
          </cell>
          <cell r="AL396">
            <v>0</v>
          </cell>
          <cell r="BJ396" t="str">
            <v>BOT</v>
          </cell>
        </row>
        <row r="397">
          <cell r="E397" t="str">
            <v>24</v>
          </cell>
          <cell r="J397">
            <v>0</v>
          </cell>
          <cell r="K397">
            <v>0</v>
          </cell>
          <cell r="AL397">
            <v>0</v>
          </cell>
          <cell r="BJ397" t="str">
            <v>BOT</v>
          </cell>
        </row>
        <row r="398">
          <cell r="E398" t="str">
            <v>24</v>
          </cell>
          <cell r="J398">
            <v>0</v>
          </cell>
          <cell r="K398">
            <v>0</v>
          </cell>
          <cell r="AL398">
            <v>0</v>
          </cell>
          <cell r="BJ398" t="str">
            <v>BOT</v>
          </cell>
        </row>
        <row r="399">
          <cell r="E399" t="str">
            <v>24</v>
          </cell>
          <cell r="J399">
            <v>0</v>
          </cell>
          <cell r="K399">
            <v>0</v>
          </cell>
          <cell r="AL399">
            <v>0</v>
          </cell>
          <cell r="BJ399" t="str">
            <v>BOT</v>
          </cell>
        </row>
        <row r="400">
          <cell r="E400" t="str">
            <v>24</v>
          </cell>
          <cell r="J400">
            <v>0</v>
          </cell>
          <cell r="K400">
            <v>0</v>
          </cell>
          <cell r="AL400">
            <v>0</v>
          </cell>
          <cell r="BJ400" t="str">
            <v>BOT</v>
          </cell>
        </row>
        <row r="401">
          <cell r="E401" t="str">
            <v>24</v>
          </cell>
          <cell r="J401">
            <v>0</v>
          </cell>
          <cell r="K401">
            <v>0</v>
          </cell>
          <cell r="AL401">
            <v>0</v>
          </cell>
          <cell r="BJ401" t="str">
            <v>BOT</v>
          </cell>
        </row>
        <row r="402">
          <cell r="E402" t="str">
            <v>24</v>
          </cell>
          <cell r="J402">
            <v>0</v>
          </cell>
          <cell r="K402">
            <v>0</v>
          </cell>
          <cell r="AL402">
            <v>0</v>
          </cell>
          <cell r="BJ402" t="str">
            <v>BOT</v>
          </cell>
        </row>
        <row r="403">
          <cell r="E403" t="str">
            <v>24</v>
          </cell>
          <cell r="J403">
            <v>0</v>
          </cell>
          <cell r="K403">
            <v>0</v>
          </cell>
          <cell r="AL403">
            <v>0</v>
          </cell>
          <cell r="BJ403" t="str">
            <v>BOT</v>
          </cell>
        </row>
        <row r="404">
          <cell r="E404" t="str">
            <v>24</v>
          </cell>
          <cell r="J404">
            <v>0</v>
          </cell>
          <cell r="K404">
            <v>0</v>
          </cell>
          <cell r="AL404">
            <v>0</v>
          </cell>
          <cell r="BJ404" t="str">
            <v>BOT</v>
          </cell>
        </row>
        <row r="405">
          <cell r="E405" t="str">
            <v>24</v>
          </cell>
          <cell r="J405">
            <v>0</v>
          </cell>
          <cell r="K405">
            <v>0</v>
          </cell>
          <cell r="AL405">
            <v>0</v>
          </cell>
          <cell r="BJ405" t="str">
            <v>BOT</v>
          </cell>
        </row>
        <row r="406">
          <cell r="E406" t="str">
            <v>24</v>
          </cell>
          <cell r="J406">
            <v>0</v>
          </cell>
          <cell r="K406">
            <v>0</v>
          </cell>
          <cell r="AL406">
            <v>0</v>
          </cell>
          <cell r="BJ406" t="str">
            <v>BOT</v>
          </cell>
        </row>
        <row r="407">
          <cell r="E407" t="str">
            <v>24</v>
          </cell>
          <cell r="J407">
            <v>0</v>
          </cell>
          <cell r="K407">
            <v>0</v>
          </cell>
          <cell r="AL407">
            <v>0</v>
          </cell>
          <cell r="BJ407" t="str">
            <v>BOT</v>
          </cell>
        </row>
        <row r="408">
          <cell r="E408" t="str">
            <v>24</v>
          </cell>
          <cell r="J408">
            <v>0</v>
          </cell>
          <cell r="K408">
            <v>0</v>
          </cell>
          <cell r="AL408">
            <v>0</v>
          </cell>
          <cell r="BJ408" t="str">
            <v>BOT</v>
          </cell>
        </row>
        <row r="409">
          <cell r="E409" t="str">
            <v>24</v>
          </cell>
          <cell r="J409">
            <v>322318.73</v>
          </cell>
          <cell r="K409">
            <v>-8366.2200000000303</v>
          </cell>
          <cell r="AL409">
            <v>0</v>
          </cell>
          <cell r="BJ409" t="str">
            <v>BOT</v>
          </cell>
        </row>
        <row r="410">
          <cell r="E410" t="str">
            <v>24</v>
          </cell>
          <cell r="J410">
            <v>0</v>
          </cell>
          <cell r="K410">
            <v>0</v>
          </cell>
          <cell r="AL410">
            <v>0</v>
          </cell>
          <cell r="BJ410" t="str">
            <v>BOT</v>
          </cell>
        </row>
        <row r="411">
          <cell r="E411" t="str">
            <v>24</v>
          </cell>
          <cell r="J411">
            <v>0</v>
          </cell>
          <cell r="K411">
            <v>0</v>
          </cell>
          <cell r="AL411">
            <v>0</v>
          </cell>
          <cell r="BJ411" t="str">
            <v>BOT</v>
          </cell>
        </row>
        <row r="412">
          <cell r="E412" t="str">
            <v>24</v>
          </cell>
          <cell r="J412">
            <v>-5.8207660913467407E-11</v>
          </cell>
          <cell r="K412">
            <v>0</v>
          </cell>
          <cell r="AL412">
            <v>0</v>
          </cell>
          <cell r="BJ412" t="str">
            <v>BOT</v>
          </cell>
        </row>
        <row r="413">
          <cell r="E413" t="str">
            <v>24</v>
          </cell>
          <cell r="J413">
            <v>1000000</v>
          </cell>
          <cell r="K413">
            <v>0</v>
          </cell>
          <cell r="AL413">
            <v>0</v>
          </cell>
          <cell r="BJ413" t="str">
            <v>BOT</v>
          </cell>
        </row>
        <row r="414">
          <cell r="E414" t="str">
            <v>24</v>
          </cell>
          <cell r="J414">
            <v>0</v>
          </cell>
          <cell r="K414">
            <v>0</v>
          </cell>
          <cell r="AL414">
            <v>0</v>
          </cell>
          <cell r="BJ414" t="str">
            <v>BOT</v>
          </cell>
        </row>
        <row r="415">
          <cell r="E415" t="str">
            <v>24</v>
          </cell>
          <cell r="J415">
            <v>15105764.839999996</v>
          </cell>
          <cell r="K415">
            <v>1019504.9699999914</v>
          </cell>
          <cell r="AL415">
            <v>0</v>
          </cell>
          <cell r="BJ415" t="str">
            <v>BOT</v>
          </cell>
        </row>
        <row r="416">
          <cell r="E416" t="str">
            <v>24</v>
          </cell>
          <cell r="J416">
            <v>0</v>
          </cell>
          <cell r="K416">
            <v>0</v>
          </cell>
          <cell r="AL416">
            <v>0</v>
          </cell>
          <cell r="BJ416" t="str">
            <v>BOT</v>
          </cell>
        </row>
        <row r="417">
          <cell r="E417" t="str">
            <v>24</v>
          </cell>
          <cell r="J417">
            <v>0</v>
          </cell>
          <cell r="K417">
            <v>0</v>
          </cell>
          <cell r="AL417">
            <v>0</v>
          </cell>
          <cell r="BJ417" t="str">
            <v>BOT</v>
          </cell>
        </row>
        <row r="418">
          <cell r="E418" t="str">
            <v>24</v>
          </cell>
          <cell r="J418">
            <v>0</v>
          </cell>
          <cell r="K418">
            <v>0</v>
          </cell>
          <cell r="AL418">
            <v>0</v>
          </cell>
          <cell r="BJ418" t="str">
            <v>BOT</v>
          </cell>
        </row>
        <row r="419">
          <cell r="E419" t="str">
            <v>24</v>
          </cell>
          <cell r="J419">
            <v>0</v>
          </cell>
          <cell r="K419">
            <v>0</v>
          </cell>
          <cell r="AL419">
            <v>0</v>
          </cell>
          <cell r="BJ419" t="str">
            <v>BOT</v>
          </cell>
        </row>
        <row r="420">
          <cell r="E420" t="str">
            <v>24</v>
          </cell>
          <cell r="J420">
            <v>0</v>
          </cell>
          <cell r="K420">
            <v>0</v>
          </cell>
          <cell r="AL420">
            <v>0</v>
          </cell>
          <cell r="BJ420" t="str">
            <v>BOT</v>
          </cell>
        </row>
        <row r="421">
          <cell r="E421" t="str">
            <v>24</v>
          </cell>
          <cell r="J421">
            <v>1950263.4899999946</v>
          </cell>
          <cell r="K421">
            <v>1248449.8800000027</v>
          </cell>
          <cell r="AL421">
            <v>0</v>
          </cell>
          <cell r="BJ421" t="str">
            <v>BOT</v>
          </cell>
        </row>
        <row r="422">
          <cell r="E422" t="str">
            <v>24</v>
          </cell>
          <cell r="J422">
            <v>0</v>
          </cell>
          <cell r="K422">
            <v>0</v>
          </cell>
          <cell r="AL422">
            <v>0</v>
          </cell>
          <cell r="BJ422" t="str">
            <v>BOT</v>
          </cell>
        </row>
        <row r="423">
          <cell r="E423" t="str">
            <v>24</v>
          </cell>
          <cell r="J423">
            <v>0</v>
          </cell>
          <cell r="K423">
            <v>0</v>
          </cell>
          <cell r="AL423">
            <v>0</v>
          </cell>
          <cell r="BJ423" t="str">
            <v>BOT</v>
          </cell>
        </row>
        <row r="424">
          <cell r="E424" t="str">
            <v>24</v>
          </cell>
          <cell r="J424">
            <v>0</v>
          </cell>
          <cell r="K424">
            <v>0</v>
          </cell>
          <cell r="AL424">
            <v>0</v>
          </cell>
          <cell r="BJ424" t="str">
            <v>BOT</v>
          </cell>
        </row>
        <row r="425">
          <cell r="E425" t="str">
            <v>24</v>
          </cell>
          <cell r="J425">
            <v>0</v>
          </cell>
          <cell r="K425">
            <v>0</v>
          </cell>
          <cell r="AL425">
            <v>0</v>
          </cell>
          <cell r="BJ425" t="str">
            <v>BOT</v>
          </cell>
        </row>
        <row r="426">
          <cell r="E426" t="str">
            <v>24</v>
          </cell>
          <cell r="J426">
            <v>0</v>
          </cell>
          <cell r="K426">
            <v>0</v>
          </cell>
          <cell r="AL426">
            <v>0</v>
          </cell>
          <cell r="BJ426" t="str">
            <v>BOT</v>
          </cell>
        </row>
        <row r="427">
          <cell r="E427" t="str">
            <v>38</v>
          </cell>
          <cell r="J427">
            <v>0</v>
          </cell>
          <cell r="K427">
            <v>0</v>
          </cell>
          <cell r="AL427">
            <v>0</v>
          </cell>
          <cell r="BJ427" t="str">
            <v>BOT</v>
          </cell>
        </row>
        <row r="428">
          <cell r="E428" t="str">
            <v>38</v>
          </cell>
          <cell r="J428">
            <v>0</v>
          </cell>
          <cell r="K428">
            <v>0</v>
          </cell>
          <cell r="AL428">
            <v>0</v>
          </cell>
          <cell r="BJ428" t="str">
            <v>BOT</v>
          </cell>
        </row>
        <row r="429">
          <cell r="E429" t="str">
            <v>38</v>
          </cell>
          <cell r="J429">
            <v>0</v>
          </cell>
          <cell r="K429">
            <v>0</v>
          </cell>
          <cell r="AL429">
            <v>0</v>
          </cell>
          <cell r="BJ429" t="str">
            <v>BOT</v>
          </cell>
        </row>
        <row r="430">
          <cell r="E430" t="str">
            <v>38</v>
          </cell>
          <cell r="J430">
            <v>3096192.1299999994</v>
          </cell>
          <cell r="K430">
            <v>98721.209999999963</v>
          </cell>
          <cell r="AL430">
            <v>0</v>
          </cell>
          <cell r="BJ430" t="str">
            <v>BOT</v>
          </cell>
        </row>
        <row r="431">
          <cell r="E431" t="str">
            <v>38</v>
          </cell>
          <cell r="J431">
            <v>0</v>
          </cell>
          <cell r="K431">
            <v>0</v>
          </cell>
          <cell r="AL431">
            <v>0</v>
          </cell>
          <cell r="BJ431" t="str">
            <v>BOT</v>
          </cell>
        </row>
        <row r="432">
          <cell r="E432" t="str">
            <v>38</v>
          </cell>
          <cell r="J432">
            <v>0</v>
          </cell>
          <cell r="K432">
            <v>0</v>
          </cell>
          <cell r="AL432">
            <v>0</v>
          </cell>
          <cell r="BJ432" t="str">
            <v>BOT</v>
          </cell>
        </row>
        <row r="433">
          <cell r="E433" t="str">
            <v>38</v>
          </cell>
          <cell r="J433">
            <v>0</v>
          </cell>
          <cell r="K433">
            <v>0</v>
          </cell>
          <cell r="AL433">
            <v>0</v>
          </cell>
          <cell r="BJ433" t="str">
            <v>BOT</v>
          </cell>
        </row>
        <row r="434">
          <cell r="E434" t="str">
            <v>38</v>
          </cell>
          <cell r="J434">
            <v>0</v>
          </cell>
          <cell r="K434">
            <v>0</v>
          </cell>
          <cell r="AL434">
            <v>0</v>
          </cell>
          <cell r="BJ434" t="str">
            <v>BOT</v>
          </cell>
        </row>
        <row r="435">
          <cell r="E435" t="str">
            <v>38</v>
          </cell>
          <cell r="J435">
            <v>0</v>
          </cell>
          <cell r="K435">
            <v>0</v>
          </cell>
          <cell r="AL435">
            <v>0</v>
          </cell>
          <cell r="BJ435" t="str">
            <v>BOT</v>
          </cell>
        </row>
        <row r="436">
          <cell r="E436" t="str">
            <v>38</v>
          </cell>
          <cell r="J436">
            <v>0</v>
          </cell>
          <cell r="K436">
            <v>0</v>
          </cell>
          <cell r="AL436">
            <v>0</v>
          </cell>
          <cell r="BJ436" t="str">
            <v>BOT</v>
          </cell>
        </row>
        <row r="437">
          <cell r="E437" t="str">
            <v>38</v>
          </cell>
          <cell r="J437">
            <v>0</v>
          </cell>
          <cell r="K437">
            <v>0</v>
          </cell>
          <cell r="AL437">
            <v>0</v>
          </cell>
          <cell r="BJ437" t="str">
            <v>BOT</v>
          </cell>
        </row>
        <row r="438">
          <cell r="E438" t="str">
            <v>38</v>
          </cell>
          <cell r="J438">
            <v>0</v>
          </cell>
          <cell r="K438">
            <v>0</v>
          </cell>
          <cell r="AL438">
            <v>0</v>
          </cell>
          <cell r="BJ438" t="str">
            <v>BOT</v>
          </cell>
        </row>
        <row r="439">
          <cell r="E439" t="str">
            <v>38</v>
          </cell>
          <cell r="J439">
            <v>0</v>
          </cell>
          <cell r="K439">
            <v>0</v>
          </cell>
          <cell r="AL439">
            <v>0</v>
          </cell>
          <cell r="BJ439" t="str">
            <v>BOT</v>
          </cell>
        </row>
        <row r="440">
          <cell r="E440" t="str">
            <v>38</v>
          </cell>
          <cell r="J440">
            <v>0</v>
          </cell>
          <cell r="K440">
            <v>0</v>
          </cell>
          <cell r="AL440">
            <v>0</v>
          </cell>
          <cell r="BJ440" t="str">
            <v>BOT</v>
          </cell>
        </row>
        <row r="441">
          <cell r="E441" t="str">
            <v>38</v>
          </cell>
          <cell r="J441">
            <v>0</v>
          </cell>
          <cell r="K441">
            <v>0</v>
          </cell>
          <cell r="AL441">
            <v>0</v>
          </cell>
          <cell r="BJ441" t="str">
            <v>BOT</v>
          </cell>
        </row>
        <row r="442">
          <cell r="E442" t="str">
            <v>38</v>
          </cell>
          <cell r="J442">
            <v>0</v>
          </cell>
          <cell r="K442">
            <v>0</v>
          </cell>
          <cell r="AL442">
            <v>0</v>
          </cell>
          <cell r="BJ442" t="str">
            <v>BOT</v>
          </cell>
        </row>
        <row r="443">
          <cell r="E443" t="str">
            <v>38</v>
          </cell>
          <cell r="J443">
            <v>0</v>
          </cell>
          <cell r="K443">
            <v>0</v>
          </cell>
          <cell r="AL443">
            <v>0</v>
          </cell>
          <cell r="BJ443" t="str">
            <v>BOT</v>
          </cell>
        </row>
        <row r="444">
          <cell r="E444" t="str">
            <v>38</v>
          </cell>
          <cell r="J444">
            <v>24051.739999999998</v>
          </cell>
          <cell r="K444">
            <v>-3084.6500000000015</v>
          </cell>
          <cell r="AL444">
            <v>0</v>
          </cell>
          <cell r="BJ444" t="str">
            <v>BOT</v>
          </cell>
        </row>
        <row r="445">
          <cell r="E445" t="str">
            <v>38</v>
          </cell>
          <cell r="J445">
            <v>0</v>
          </cell>
          <cell r="K445">
            <v>0</v>
          </cell>
          <cell r="AL445">
            <v>0</v>
          </cell>
          <cell r="BJ445" t="str">
            <v>BOT</v>
          </cell>
        </row>
        <row r="446">
          <cell r="E446" t="str">
            <v>38</v>
          </cell>
          <cell r="J446">
            <v>0</v>
          </cell>
          <cell r="K446">
            <v>0</v>
          </cell>
          <cell r="AL446">
            <v>0</v>
          </cell>
          <cell r="BJ446" t="str">
            <v>BOT</v>
          </cell>
        </row>
        <row r="447">
          <cell r="E447" t="str">
            <v>38</v>
          </cell>
          <cell r="J447">
            <v>0</v>
          </cell>
          <cell r="K447">
            <v>0</v>
          </cell>
          <cell r="AL447">
            <v>0</v>
          </cell>
          <cell r="BJ447" t="str">
            <v>BOT</v>
          </cell>
        </row>
        <row r="448">
          <cell r="E448" t="str">
            <v>38</v>
          </cell>
          <cell r="J448">
            <v>0</v>
          </cell>
          <cell r="K448">
            <v>0</v>
          </cell>
          <cell r="AL448">
            <v>0</v>
          </cell>
          <cell r="BJ448" t="str">
            <v>BOT</v>
          </cell>
        </row>
        <row r="449">
          <cell r="E449" t="str">
            <v>38</v>
          </cell>
          <cell r="J449">
            <v>0</v>
          </cell>
          <cell r="K449">
            <v>0</v>
          </cell>
          <cell r="AL449">
            <v>0</v>
          </cell>
          <cell r="BJ449" t="str">
            <v>BOT</v>
          </cell>
        </row>
        <row r="450">
          <cell r="E450" t="str">
            <v>38</v>
          </cell>
          <cell r="J450">
            <v>0</v>
          </cell>
          <cell r="K450">
            <v>0</v>
          </cell>
          <cell r="AL450">
            <v>0</v>
          </cell>
          <cell r="BJ450" t="str">
            <v>BOT</v>
          </cell>
        </row>
        <row r="451">
          <cell r="E451" t="str">
            <v>38</v>
          </cell>
          <cell r="J451">
            <v>0</v>
          </cell>
          <cell r="K451">
            <v>0</v>
          </cell>
          <cell r="AL451">
            <v>0</v>
          </cell>
          <cell r="BJ451" t="str">
            <v>BOT</v>
          </cell>
        </row>
        <row r="452">
          <cell r="E452" t="str">
            <v>38</v>
          </cell>
          <cell r="J452">
            <v>0</v>
          </cell>
          <cell r="K452">
            <v>0</v>
          </cell>
          <cell r="AL452">
            <v>0</v>
          </cell>
          <cell r="BJ452" t="str">
            <v>BOT</v>
          </cell>
        </row>
        <row r="453">
          <cell r="E453" t="str">
            <v>38</v>
          </cell>
          <cell r="J453">
            <v>0</v>
          </cell>
          <cell r="K453">
            <v>0</v>
          </cell>
          <cell r="AL453">
            <v>0</v>
          </cell>
          <cell r="BJ453" t="str">
            <v>BOT</v>
          </cell>
        </row>
        <row r="454">
          <cell r="E454" t="str">
            <v>38</v>
          </cell>
          <cell r="J454">
            <v>0</v>
          </cell>
          <cell r="K454">
            <v>0</v>
          </cell>
          <cell r="AL454">
            <v>0</v>
          </cell>
          <cell r="BJ454" t="str">
            <v>BOT</v>
          </cell>
        </row>
        <row r="455">
          <cell r="E455" t="str">
            <v>38</v>
          </cell>
          <cell r="J455">
            <v>0</v>
          </cell>
          <cell r="K455">
            <v>0</v>
          </cell>
          <cell r="AL455">
            <v>0</v>
          </cell>
          <cell r="BJ455" t="str">
            <v>BOT</v>
          </cell>
        </row>
        <row r="456">
          <cell r="E456" t="str">
            <v>35</v>
          </cell>
          <cell r="J456">
            <v>0</v>
          </cell>
          <cell r="K456">
            <v>0</v>
          </cell>
          <cell r="AL456">
            <v>0</v>
          </cell>
          <cell r="BJ456" t="str">
            <v>BOT</v>
          </cell>
        </row>
        <row r="457">
          <cell r="E457" t="str">
            <v>35</v>
          </cell>
          <cell r="J457">
            <v>0</v>
          </cell>
          <cell r="K457">
            <v>0</v>
          </cell>
          <cell r="AL457">
            <v>0</v>
          </cell>
          <cell r="BJ457" t="str">
            <v>BOT</v>
          </cell>
        </row>
        <row r="458">
          <cell r="E458" t="str">
            <v>35</v>
          </cell>
          <cell r="J458">
            <v>90485.8</v>
          </cell>
          <cell r="K458">
            <v>-5624.1100000000006</v>
          </cell>
          <cell r="AL458">
            <v>0</v>
          </cell>
          <cell r="BJ458" t="str">
            <v>BOT</v>
          </cell>
        </row>
        <row r="459">
          <cell r="E459" t="str">
            <v>35</v>
          </cell>
          <cell r="J459">
            <v>-22524.2</v>
          </cell>
          <cell r="K459">
            <v>-630.43000000000029</v>
          </cell>
          <cell r="AL459">
            <v>0</v>
          </cell>
          <cell r="BJ459" t="str">
            <v>BOT</v>
          </cell>
        </row>
        <row r="460">
          <cell r="E460" t="str">
            <v>35</v>
          </cell>
          <cell r="J460">
            <v>34203</v>
          </cell>
          <cell r="K460">
            <v>24035.199999999997</v>
          </cell>
          <cell r="AL460">
            <v>0</v>
          </cell>
          <cell r="BJ460" t="str">
            <v>BOT</v>
          </cell>
        </row>
        <row r="461">
          <cell r="E461" t="str">
            <v>35</v>
          </cell>
          <cell r="J461">
            <v>-3925.6499999999996</v>
          </cell>
          <cell r="K461">
            <v>-571.73000000000047</v>
          </cell>
          <cell r="AL461">
            <v>0</v>
          </cell>
          <cell r="BJ461" t="str">
            <v>BOT</v>
          </cell>
        </row>
        <row r="462">
          <cell r="E462" t="str">
            <v>35</v>
          </cell>
          <cell r="J462">
            <v>371259.97</v>
          </cell>
          <cell r="K462">
            <v>0</v>
          </cell>
          <cell r="AL462">
            <v>0</v>
          </cell>
          <cell r="BJ462" t="str">
            <v>BOT</v>
          </cell>
        </row>
        <row r="463">
          <cell r="E463" t="str">
            <v>35</v>
          </cell>
          <cell r="J463">
            <v>-43940.899999999994</v>
          </cell>
          <cell r="K463">
            <v>-1.4551915228366852E-11</v>
          </cell>
          <cell r="AL463">
            <v>0</v>
          </cell>
          <cell r="BJ463" t="str">
            <v>BOT</v>
          </cell>
        </row>
        <row r="464">
          <cell r="E464" t="str">
            <v>35</v>
          </cell>
          <cell r="J464">
            <v>14012.13</v>
          </cell>
          <cell r="K464">
            <v>0</v>
          </cell>
          <cell r="AL464">
            <v>0</v>
          </cell>
          <cell r="BJ464" t="str">
            <v>BOT</v>
          </cell>
        </row>
        <row r="465">
          <cell r="E465" t="str">
            <v>35</v>
          </cell>
          <cell r="J465">
            <v>-3718.8000000000015</v>
          </cell>
          <cell r="K465">
            <v>-238.01000000000022</v>
          </cell>
          <cell r="AL465">
            <v>0</v>
          </cell>
          <cell r="BJ465" t="str">
            <v>BOT</v>
          </cell>
        </row>
        <row r="466">
          <cell r="E466" t="str">
            <v>35</v>
          </cell>
          <cell r="J466">
            <v>0</v>
          </cell>
          <cell r="K466">
            <v>0</v>
          </cell>
          <cell r="AL466">
            <v>0</v>
          </cell>
          <cell r="BJ466" t="str">
            <v>BOT</v>
          </cell>
        </row>
        <row r="467">
          <cell r="E467" t="str">
            <v>35</v>
          </cell>
          <cell r="J467">
            <v>0</v>
          </cell>
          <cell r="K467">
            <v>0</v>
          </cell>
          <cell r="AL467">
            <v>0</v>
          </cell>
          <cell r="BJ467" t="str">
            <v>BOT</v>
          </cell>
        </row>
        <row r="468">
          <cell r="E468" t="str">
            <v>35</v>
          </cell>
          <cell r="J468">
            <v>0</v>
          </cell>
          <cell r="K468">
            <v>0</v>
          </cell>
          <cell r="AL468">
            <v>0</v>
          </cell>
          <cell r="BJ468" t="str">
            <v>BOT</v>
          </cell>
        </row>
        <row r="469">
          <cell r="E469" t="str">
            <v>35</v>
          </cell>
          <cell r="J469">
            <v>0</v>
          </cell>
          <cell r="K469">
            <v>0</v>
          </cell>
          <cell r="AL469">
            <v>0</v>
          </cell>
          <cell r="BJ469" t="str">
            <v>BOT</v>
          </cell>
        </row>
        <row r="470">
          <cell r="E470" t="str">
            <v>47</v>
          </cell>
          <cell r="J470">
            <v>42456.610000000044</v>
          </cell>
          <cell r="K470">
            <v>-41765.409999999974</v>
          </cell>
          <cell r="AL470">
            <v>0</v>
          </cell>
          <cell r="BJ470" t="str">
            <v>BOT</v>
          </cell>
        </row>
        <row r="471">
          <cell r="E471" t="str">
            <v>46</v>
          </cell>
          <cell r="J471">
            <v>0</v>
          </cell>
          <cell r="K471">
            <v>0</v>
          </cell>
          <cell r="AL471">
            <v>0</v>
          </cell>
          <cell r="BJ471" t="str">
            <v>BOT</v>
          </cell>
        </row>
        <row r="472">
          <cell r="E472" t="str">
            <v>47</v>
          </cell>
          <cell r="J472">
            <v>0</v>
          </cell>
          <cell r="K472">
            <v>0</v>
          </cell>
          <cell r="AL472">
            <v>0</v>
          </cell>
          <cell r="BJ472" t="str">
            <v>BOT</v>
          </cell>
        </row>
        <row r="473">
          <cell r="E473" t="str">
            <v>47</v>
          </cell>
          <cell r="J473">
            <v>24350</v>
          </cell>
          <cell r="K473">
            <v>2500</v>
          </cell>
          <cell r="AL473">
            <v>0</v>
          </cell>
          <cell r="BJ473" t="str">
            <v>BOT</v>
          </cell>
        </row>
        <row r="474">
          <cell r="E474" t="str">
            <v>48</v>
          </cell>
          <cell r="J474">
            <v>0</v>
          </cell>
          <cell r="K474">
            <v>0</v>
          </cell>
          <cell r="AL474">
            <v>0</v>
          </cell>
          <cell r="BJ474" t="str">
            <v>BOT</v>
          </cell>
        </row>
        <row r="475">
          <cell r="E475" t="str">
            <v>47</v>
          </cell>
          <cell r="J475">
            <v>0</v>
          </cell>
          <cell r="K475">
            <v>0</v>
          </cell>
          <cell r="AL475">
            <v>0</v>
          </cell>
          <cell r="BJ475" t="str">
            <v>BOT</v>
          </cell>
        </row>
        <row r="476">
          <cell r="E476" t="str">
            <v>47</v>
          </cell>
          <cell r="J476">
            <v>0</v>
          </cell>
          <cell r="K476">
            <v>0</v>
          </cell>
          <cell r="AL476">
            <v>0</v>
          </cell>
          <cell r="BJ476" t="str">
            <v>BOT</v>
          </cell>
        </row>
        <row r="477">
          <cell r="E477" t="str">
            <v>47</v>
          </cell>
          <cell r="J477">
            <v>0</v>
          </cell>
          <cell r="K477">
            <v>0</v>
          </cell>
          <cell r="AL477">
            <v>0</v>
          </cell>
          <cell r="BJ477" t="str">
            <v>BOT</v>
          </cell>
        </row>
        <row r="478">
          <cell r="E478" t="str">
            <v>47</v>
          </cell>
          <cell r="J478">
            <v>2291.7399999964982</v>
          </cell>
          <cell r="K478">
            <v>1902512.0700000003</v>
          </cell>
          <cell r="AL478">
            <v>0</v>
          </cell>
          <cell r="BJ478" t="str">
            <v>BOT</v>
          </cell>
        </row>
        <row r="479">
          <cell r="E479" t="str">
            <v>47</v>
          </cell>
          <cell r="J479">
            <v>0</v>
          </cell>
          <cell r="K479">
            <v>0</v>
          </cell>
          <cell r="AL479">
            <v>0</v>
          </cell>
          <cell r="BJ479" t="str">
            <v>BOT</v>
          </cell>
        </row>
        <row r="480">
          <cell r="E480" t="str">
            <v>38</v>
          </cell>
          <cell r="J480">
            <v>12550238.22000001</v>
          </cell>
          <cell r="K480">
            <v>2504781.3000000007</v>
          </cell>
          <cell r="AL480">
            <v>0</v>
          </cell>
          <cell r="BJ480" t="str">
            <v>BOT</v>
          </cell>
        </row>
        <row r="481">
          <cell r="E481" t="str">
            <v>38</v>
          </cell>
          <cell r="J481">
            <v>-478561</v>
          </cell>
          <cell r="K481">
            <v>-144323.90000000037</v>
          </cell>
          <cell r="AL481">
            <v>0</v>
          </cell>
          <cell r="BJ481" t="str">
            <v>BOT</v>
          </cell>
        </row>
        <row r="482">
          <cell r="E482" t="str">
            <v>50</v>
          </cell>
          <cell r="J482">
            <v>571231.35000000021</v>
          </cell>
          <cell r="K482">
            <v>155070.53000000003</v>
          </cell>
          <cell r="AL482">
            <v>0</v>
          </cell>
          <cell r="BJ482" t="str">
            <v>BOT</v>
          </cell>
        </row>
        <row r="483">
          <cell r="E483" t="str">
            <v>45</v>
          </cell>
          <cell r="J483">
            <v>215307.48000000045</v>
          </cell>
          <cell r="K483">
            <v>56815.14999999851</v>
          </cell>
          <cell r="AL483">
            <v>0</v>
          </cell>
          <cell r="BJ483" t="str">
            <v>BOT</v>
          </cell>
        </row>
        <row r="484">
          <cell r="E484" t="str">
            <v>45</v>
          </cell>
          <cell r="J484">
            <v>263061.62999999151</v>
          </cell>
          <cell r="K484">
            <v>228436.37999999896</v>
          </cell>
          <cell r="AL484">
            <v>0</v>
          </cell>
          <cell r="BJ484" t="str">
            <v>BOT</v>
          </cell>
        </row>
        <row r="485">
          <cell r="E485" t="str">
            <v>45</v>
          </cell>
          <cell r="J485">
            <v>0</v>
          </cell>
          <cell r="K485">
            <v>0</v>
          </cell>
          <cell r="AL485">
            <v>0</v>
          </cell>
          <cell r="BJ485" t="str">
            <v>BOT</v>
          </cell>
        </row>
        <row r="486">
          <cell r="E486" t="str">
            <v>45</v>
          </cell>
          <cell r="J486">
            <v>1271060.870000001</v>
          </cell>
          <cell r="K486">
            <v>-1500563.6099999975</v>
          </cell>
          <cell r="AL486">
            <v>0</v>
          </cell>
          <cell r="BJ486" t="str">
            <v>BOT</v>
          </cell>
        </row>
        <row r="487">
          <cell r="E487" t="str">
            <v>45</v>
          </cell>
          <cell r="J487">
            <v>0</v>
          </cell>
          <cell r="K487">
            <v>0</v>
          </cell>
          <cell r="AL487">
            <v>0</v>
          </cell>
          <cell r="BJ487" t="str">
            <v>BOT</v>
          </cell>
        </row>
        <row r="488">
          <cell r="E488" t="str">
            <v>45</v>
          </cell>
          <cell r="J488">
            <v>-3902.4000000000087</v>
          </cell>
          <cell r="K488">
            <v>-121.54999999999563</v>
          </cell>
          <cell r="AL488">
            <v>0</v>
          </cell>
          <cell r="BJ488" t="str">
            <v>BOT</v>
          </cell>
        </row>
        <row r="489">
          <cell r="E489" t="str">
            <v>45</v>
          </cell>
          <cell r="J489">
            <v>5.6843418860808015E-14</v>
          </cell>
          <cell r="K489">
            <v>0</v>
          </cell>
          <cell r="AL489">
            <v>0</v>
          </cell>
          <cell r="BJ489" t="str">
            <v>BOT</v>
          </cell>
        </row>
        <row r="490">
          <cell r="E490" t="str">
            <v>45</v>
          </cell>
          <cell r="J490">
            <v>0</v>
          </cell>
          <cell r="K490">
            <v>80000</v>
          </cell>
          <cell r="AL490">
            <v>0</v>
          </cell>
          <cell r="BJ490" t="str">
            <v>BOT</v>
          </cell>
        </row>
        <row r="491">
          <cell r="E491" t="str">
            <v>45</v>
          </cell>
          <cell r="J491">
            <v>0</v>
          </cell>
          <cell r="K491">
            <v>0</v>
          </cell>
          <cell r="AL491">
            <v>0</v>
          </cell>
          <cell r="BJ491" t="str">
            <v>BOT</v>
          </cell>
        </row>
        <row r="492">
          <cell r="E492" t="str">
            <v>45</v>
          </cell>
          <cell r="J492">
            <v>1406.6999999999825</v>
          </cell>
          <cell r="K492">
            <v>-805.05000000001746</v>
          </cell>
          <cell r="AL492">
            <v>0</v>
          </cell>
          <cell r="BJ492" t="str">
            <v>BOT</v>
          </cell>
        </row>
        <row r="493">
          <cell r="E493" t="str">
            <v>45</v>
          </cell>
          <cell r="J493">
            <v>0</v>
          </cell>
          <cell r="K493">
            <v>0</v>
          </cell>
          <cell r="AL493">
            <v>0</v>
          </cell>
          <cell r="BJ493" t="str">
            <v>BOT</v>
          </cell>
        </row>
        <row r="494">
          <cell r="E494" t="str">
            <v>45</v>
          </cell>
          <cell r="J494">
            <v>0</v>
          </cell>
          <cell r="K494">
            <v>0</v>
          </cell>
          <cell r="AL494">
            <v>0</v>
          </cell>
          <cell r="BJ494" t="str">
            <v>BOT</v>
          </cell>
        </row>
        <row r="495">
          <cell r="E495" t="str">
            <v>45</v>
          </cell>
          <cell r="J495">
            <v>0</v>
          </cell>
          <cell r="K495">
            <v>0</v>
          </cell>
          <cell r="AL495">
            <v>0</v>
          </cell>
          <cell r="BJ495" t="str">
            <v>BOT</v>
          </cell>
        </row>
        <row r="496">
          <cell r="E496" t="str">
            <v>45</v>
          </cell>
          <cell r="J496">
            <v>0</v>
          </cell>
          <cell r="K496">
            <v>0</v>
          </cell>
          <cell r="AL496">
            <v>0</v>
          </cell>
          <cell r="BJ496" t="str">
            <v>BOT</v>
          </cell>
        </row>
        <row r="497">
          <cell r="E497" t="str">
            <v>45</v>
          </cell>
          <cell r="J497">
            <v>0</v>
          </cell>
          <cell r="K497">
            <v>0</v>
          </cell>
          <cell r="AL497">
            <v>0</v>
          </cell>
          <cell r="BJ497" t="str">
            <v>BOT</v>
          </cell>
        </row>
        <row r="498">
          <cell r="E498" t="str">
            <v>45</v>
          </cell>
          <cell r="J498">
            <v>0</v>
          </cell>
          <cell r="K498">
            <v>0</v>
          </cell>
          <cell r="AL498">
            <v>0</v>
          </cell>
          <cell r="BJ498" t="str">
            <v>BOT</v>
          </cell>
        </row>
        <row r="499">
          <cell r="E499" t="str">
            <v>45</v>
          </cell>
          <cell r="J499">
            <v>0</v>
          </cell>
          <cell r="K499">
            <v>0</v>
          </cell>
          <cell r="AL499">
            <v>0</v>
          </cell>
          <cell r="BJ499" t="str">
            <v>BOT</v>
          </cell>
        </row>
        <row r="500">
          <cell r="E500" t="str">
            <v>45</v>
          </cell>
          <cell r="J500">
            <v>0</v>
          </cell>
          <cell r="K500">
            <v>7.2759576141834259E-12</v>
          </cell>
          <cell r="AL500">
            <v>0</v>
          </cell>
          <cell r="BJ500" t="str">
            <v>BOT</v>
          </cell>
        </row>
        <row r="501">
          <cell r="E501" t="str">
            <v>45</v>
          </cell>
          <cell r="J501">
            <v>0</v>
          </cell>
          <cell r="K501">
            <v>0</v>
          </cell>
          <cell r="AL501">
            <v>0</v>
          </cell>
          <cell r="BJ501" t="str">
            <v>BOT</v>
          </cell>
        </row>
        <row r="502">
          <cell r="E502" t="str">
            <v>45</v>
          </cell>
          <cell r="J502">
            <v>0</v>
          </cell>
          <cell r="K502">
            <v>0</v>
          </cell>
          <cell r="AL502">
            <v>0</v>
          </cell>
          <cell r="BJ502" t="str">
            <v>BOT</v>
          </cell>
        </row>
        <row r="503">
          <cell r="E503" t="str">
            <v>45</v>
          </cell>
          <cell r="J503">
            <v>0</v>
          </cell>
          <cell r="K503">
            <v>0</v>
          </cell>
          <cell r="AL503">
            <v>0</v>
          </cell>
          <cell r="BJ503" t="str">
            <v>BOT</v>
          </cell>
        </row>
        <row r="504">
          <cell r="E504" t="str">
            <v>45</v>
          </cell>
          <cell r="J504">
            <v>0</v>
          </cell>
          <cell r="K504">
            <v>0</v>
          </cell>
          <cell r="AL504">
            <v>0</v>
          </cell>
          <cell r="BJ504" t="str">
            <v>BOT</v>
          </cell>
        </row>
        <row r="505">
          <cell r="E505" t="str">
            <v>45</v>
          </cell>
          <cell r="J505">
            <v>0</v>
          </cell>
          <cell r="K505">
            <v>0</v>
          </cell>
          <cell r="AL505">
            <v>0</v>
          </cell>
          <cell r="BJ505" t="str">
            <v>BOT</v>
          </cell>
        </row>
        <row r="506">
          <cell r="E506" t="str">
            <v>45</v>
          </cell>
          <cell r="J506">
            <v>0</v>
          </cell>
          <cell r="K506">
            <v>0</v>
          </cell>
          <cell r="AL506">
            <v>0</v>
          </cell>
          <cell r="BJ506" t="str">
            <v>BOT</v>
          </cell>
        </row>
        <row r="507">
          <cell r="E507" t="str">
            <v>45</v>
          </cell>
          <cell r="J507">
            <v>0</v>
          </cell>
          <cell r="K507">
            <v>0</v>
          </cell>
          <cell r="AL507">
            <v>0</v>
          </cell>
          <cell r="BJ507" t="str">
            <v>BOT</v>
          </cell>
        </row>
        <row r="508">
          <cell r="E508" t="str">
            <v>50</v>
          </cell>
          <cell r="J508">
            <v>193465.24000000022</v>
          </cell>
          <cell r="K508">
            <v>2685.6899999999441</v>
          </cell>
          <cell r="AL508">
            <v>0</v>
          </cell>
          <cell r="BJ508" t="str">
            <v>BOT</v>
          </cell>
        </row>
        <row r="509">
          <cell r="E509" t="str">
            <v>50</v>
          </cell>
          <cell r="J509">
            <v>52525.629999999976</v>
          </cell>
          <cell r="K509">
            <v>139196.27000000005</v>
          </cell>
          <cell r="AL509">
            <v>0</v>
          </cell>
          <cell r="BJ509" t="str">
            <v>BOT</v>
          </cell>
        </row>
        <row r="510">
          <cell r="E510" t="str">
            <v>50</v>
          </cell>
          <cell r="J510">
            <v>-34899.729999996722</v>
          </cell>
          <cell r="K510">
            <v>50856.75</v>
          </cell>
          <cell r="AL510">
            <v>0</v>
          </cell>
          <cell r="BJ510" t="str">
            <v>BOT</v>
          </cell>
        </row>
        <row r="511">
          <cell r="E511" t="str">
            <v>51</v>
          </cell>
          <cell r="J511">
            <v>0</v>
          </cell>
          <cell r="K511">
            <v>0</v>
          </cell>
          <cell r="AL511">
            <v>0</v>
          </cell>
          <cell r="BJ511" t="str">
            <v>BOT</v>
          </cell>
        </row>
        <row r="512">
          <cell r="E512" t="str">
            <v>50</v>
          </cell>
          <cell r="J512">
            <v>12838.839999999997</v>
          </cell>
          <cell r="K512">
            <v>1936.359999999986</v>
          </cell>
          <cell r="AL512">
            <v>0</v>
          </cell>
          <cell r="BJ512" t="str">
            <v>BOT</v>
          </cell>
        </row>
        <row r="513">
          <cell r="E513" t="str">
            <v>50</v>
          </cell>
          <cell r="J513">
            <v>0</v>
          </cell>
          <cell r="K513">
            <v>0</v>
          </cell>
          <cell r="AL513">
            <v>0</v>
          </cell>
          <cell r="BJ513" t="str">
            <v>BOT</v>
          </cell>
        </row>
        <row r="514">
          <cell r="E514" t="str">
            <v>50</v>
          </cell>
          <cell r="J514">
            <v>0</v>
          </cell>
          <cell r="K514">
            <v>0.5</v>
          </cell>
          <cell r="AL514">
            <v>0</v>
          </cell>
          <cell r="BJ514" t="str">
            <v>BOT</v>
          </cell>
        </row>
        <row r="515">
          <cell r="E515" t="str">
            <v>50</v>
          </cell>
          <cell r="J515">
            <v>0</v>
          </cell>
          <cell r="K515">
            <v>280</v>
          </cell>
          <cell r="AL515">
            <v>0</v>
          </cell>
          <cell r="BJ515" t="str">
            <v>BOT</v>
          </cell>
        </row>
        <row r="516">
          <cell r="E516" t="str">
            <v>50</v>
          </cell>
          <cell r="J516">
            <v>0</v>
          </cell>
          <cell r="K516">
            <v>0</v>
          </cell>
          <cell r="AL516">
            <v>0</v>
          </cell>
          <cell r="BJ516" t="str">
            <v>BOT</v>
          </cell>
        </row>
        <row r="517">
          <cell r="E517" t="str">
            <v>50</v>
          </cell>
          <cell r="J517">
            <v>0</v>
          </cell>
          <cell r="K517">
            <v>0</v>
          </cell>
          <cell r="AL517">
            <v>0</v>
          </cell>
          <cell r="BJ517" t="str">
            <v>BOT</v>
          </cell>
        </row>
        <row r="518">
          <cell r="E518" t="str">
            <v>50</v>
          </cell>
          <cell r="J518">
            <v>-9.3132257461547852E-10</v>
          </cell>
          <cell r="K518">
            <v>0</v>
          </cell>
          <cell r="AL518">
            <v>0</v>
          </cell>
          <cell r="BJ518" t="str">
            <v>BOT</v>
          </cell>
        </row>
        <row r="519">
          <cell r="E519" t="str">
            <v>50</v>
          </cell>
          <cell r="J519">
            <v>0</v>
          </cell>
          <cell r="K519">
            <v>0</v>
          </cell>
          <cell r="AL519">
            <v>0</v>
          </cell>
          <cell r="BJ519" t="str">
            <v>BOT</v>
          </cell>
        </row>
        <row r="520">
          <cell r="E520" t="str">
            <v>50</v>
          </cell>
          <cell r="J520">
            <v>0</v>
          </cell>
          <cell r="K520">
            <v>0</v>
          </cell>
          <cell r="AL520">
            <v>0</v>
          </cell>
          <cell r="BJ520" t="str">
            <v>BOT</v>
          </cell>
        </row>
        <row r="521">
          <cell r="E521" t="str">
            <v>50</v>
          </cell>
          <cell r="J521">
            <v>17282.750000000087</v>
          </cell>
          <cell r="K521">
            <v>1383.8700000000244</v>
          </cell>
          <cell r="AL521">
            <v>0</v>
          </cell>
          <cell r="BJ521" t="str">
            <v>BOT</v>
          </cell>
        </row>
        <row r="522">
          <cell r="E522" t="str">
            <v>50</v>
          </cell>
          <cell r="J522">
            <v>0</v>
          </cell>
          <cell r="K522">
            <v>0</v>
          </cell>
          <cell r="AL522">
            <v>0</v>
          </cell>
          <cell r="BJ522" t="str">
            <v>BOT</v>
          </cell>
        </row>
        <row r="523">
          <cell r="E523" t="str">
            <v>50</v>
          </cell>
          <cell r="J523">
            <v>-162000</v>
          </cell>
          <cell r="K523">
            <v>0</v>
          </cell>
          <cell r="AL523">
            <v>0</v>
          </cell>
          <cell r="BJ523" t="str">
            <v>BOT</v>
          </cell>
        </row>
        <row r="524">
          <cell r="E524" t="str">
            <v>10</v>
          </cell>
          <cell r="J524">
            <v>0</v>
          </cell>
          <cell r="K524">
            <v>1.4551915228366852E-11</v>
          </cell>
          <cell r="AL524">
            <v>0</v>
          </cell>
          <cell r="BJ524" t="str">
            <v>MAU</v>
          </cell>
        </row>
        <row r="525">
          <cell r="E525" t="str">
            <v>10</v>
          </cell>
          <cell r="J525">
            <v>0</v>
          </cell>
          <cell r="K525">
            <v>0</v>
          </cell>
          <cell r="AL525">
            <v>0</v>
          </cell>
          <cell r="BJ525" t="str">
            <v>MAU</v>
          </cell>
        </row>
        <row r="526">
          <cell r="E526" t="str">
            <v>10</v>
          </cell>
          <cell r="J526">
            <v>0</v>
          </cell>
          <cell r="K526">
            <v>0</v>
          </cell>
          <cell r="AL526">
            <v>0</v>
          </cell>
          <cell r="BJ526" t="str">
            <v>MAU</v>
          </cell>
        </row>
        <row r="527">
          <cell r="E527" t="str">
            <v>10</v>
          </cell>
          <cell r="J527">
            <v>0</v>
          </cell>
          <cell r="K527">
            <v>0</v>
          </cell>
          <cell r="AL527">
            <v>0</v>
          </cell>
          <cell r="BJ527" t="str">
            <v>MAU</v>
          </cell>
        </row>
        <row r="528">
          <cell r="E528" t="str">
            <v>10</v>
          </cell>
          <cell r="J528">
            <v>0</v>
          </cell>
          <cell r="K528">
            <v>0</v>
          </cell>
          <cell r="AL528">
            <v>0</v>
          </cell>
          <cell r="BJ528" t="str">
            <v>MAU</v>
          </cell>
        </row>
        <row r="529">
          <cell r="E529" t="str">
            <v>10</v>
          </cell>
          <cell r="J529">
            <v>0</v>
          </cell>
          <cell r="K529">
            <v>0</v>
          </cell>
          <cell r="AL529">
            <v>0</v>
          </cell>
          <cell r="BJ529" t="str">
            <v>MAU</v>
          </cell>
        </row>
        <row r="530">
          <cell r="E530" t="str">
            <v>10</v>
          </cell>
          <cell r="J530">
            <v>0</v>
          </cell>
          <cell r="K530">
            <v>0</v>
          </cell>
          <cell r="AL530">
            <v>0</v>
          </cell>
          <cell r="BJ530" t="str">
            <v>MAU</v>
          </cell>
        </row>
        <row r="531">
          <cell r="E531" t="str">
            <v>10</v>
          </cell>
          <cell r="J531">
            <v>0</v>
          </cell>
          <cell r="K531">
            <v>0</v>
          </cell>
          <cell r="AL531">
            <v>0</v>
          </cell>
          <cell r="BJ531" t="str">
            <v>MAU</v>
          </cell>
        </row>
        <row r="532">
          <cell r="E532" t="str">
            <v>10</v>
          </cell>
          <cell r="J532">
            <v>0</v>
          </cell>
          <cell r="K532">
            <v>0</v>
          </cell>
          <cell r="AL532">
            <v>0</v>
          </cell>
          <cell r="BJ532" t="str">
            <v>MAU</v>
          </cell>
        </row>
        <row r="533">
          <cell r="E533" t="str">
            <v>10</v>
          </cell>
          <cell r="J533">
            <v>0</v>
          </cell>
          <cell r="K533">
            <v>0</v>
          </cell>
          <cell r="AL533">
            <v>0</v>
          </cell>
          <cell r="BJ533" t="str">
            <v>MAU</v>
          </cell>
        </row>
        <row r="534">
          <cell r="E534" t="str">
            <v>10</v>
          </cell>
          <cell r="J534">
            <v>0</v>
          </cell>
          <cell r="K534">
            <v>0</v>
          </cell>
          <cell r="AL534">
            <v>0</v>
          </cell>
          <cell r="BJ534" t="str">
            <v>MAU</v>
          </cell>
        </row>
        <row r="535">
          <cell r="E535" t="str">
            <v>10</v>
          </cell>
          <cell r="J535">
            <v>0</v>
          </cell>
          <cell r="K535">
            <v>90474.760000000009</v>
          </cell>
          <cell r="AL535">
            <v>0</v>
          </cell>
          <cell r="BJ535" t="str">
            <v>MAU</v>
          </cell>
        </row>
        <row r="536">
          <cell r="E536" t="str">
            <v>10</v>
          </cell>
          <cell r="J536">
            <v>0</v>
          </cell>
          <cell r="K536">
            <v>0</v>
          </cell>
          <cell r="AL536">
            <v>0</v>
          </cell>
          <cell r="BJ536" t="str">
            <v>MAU</v>
          </cell>
        </row>
        <row r="537">
          <cell r="E537" t="str">
            <v>10</v>
          </cell>
          <cell r="J537">
            <v>0</v>
          </cell>
          <cell r="K537">
            <v>0</v>
          </cell>
          <cell r="AL537">
            <v>0</v>
          </cell>
          <cell r="BJ537" t="str">
            <v>MAU</v>
          </cell>
        </row>
        <row r="538">
          <cell r="E538" t="str">
            <v>10</v>
          </cell>
          <cell r="J538">
            <v>0</v>
          </cell>
          <cell r="K538">
            <v>394.52</v>
          </cell>
          <cell r="AL538">
            <v>0</v>
          </cell>
          <cell r="BJ538" t="str">
            <v>MAU</v>
          </cell>
        </row>
        <row r="539">
          <cell r="E539" t="str">
            <v>10</v>
          </cell>
          <cell r="J539">
            <v>0</v>
          </cell>
          <cell r="K539">
            <v>0</v>
          </cell>
          <cell r="AL539">
            <v>0</v>
          </cell>
          <cell r="BJ539" t="str">
            <v>MAU</v>
          </cell>
        </row>
        <row r="540">
          <cell r="E540" t="str">
            <v>10</v>
          </cell>
          <cell r="J540">
            <v>0</v>
          </cell>
          <cell r="K540">
            <v>0</v>
          </cell>
          <cell r="AL540">
            <v>0</v>
          </cell>
          <cell r="BJ540" t="str">
            <v>MAU</v>
          </cell>
        </row>
        <row r="541">
          <cell r="E541" t="str">
            <v>10</v>
          </cell>
          <cell r="J541">
            <v>0</v>
          </cell>
          <cell r="K541">
            <v>0</v>
          </cell>
          <cell r="AL541">
            <v>0</v>
          </cell>
          <cell r="BJ541" t="str">
            <v>MAU</v>
          </cell>
        </row>
        <row r="542">
          <cell r="E542" t="str">
            <v>10</v>
          </cell>
          <cell r="J542">
            <v>0</v>
          </cell>
          <cell r="K542">
            <v>0</v>
          </cell>
          <cell r="AL542">
            <v>0</v>
          </cell>
          <cell r="BJ542" t="str">
            <v>MAU</v>
          </cell>
        </row>
        <row r="543">
          <cell r="E543" t="str">
            <v>10</v>
          </cell>
          <cell r="J543">
            <v>0</v>
          </cell>
          <cell r="K543">
            <v>0</v>
          </cell>
          <cell r="AL543">
            <v>0</v>
          </cell>
          <cell r="BJ543" t="str">
            <v>MAU</v>
          </cell>
        </row>
        <row r="544">
          <cell r="E544" t="str">
            <v>10</v>
          </cell>
          <cell r="J544">
            <v>0</v>
          </cell>
          <cell r="K544">
            <v>0</v>
          </cell>
          <cell r="AL544">
            <v>0</v>
          </cell>
          <cell r="BJ544" t="str">
            <v>MAU</v>
          </cell>
        </row>
        <row r="545">
          <cell r="E545" t="str">
            <v>10</v>
          </cell>
          <cell r="J545">
            <v>0</v>
          </cell>
          <cell r="K545">
            <v>0</v>
          </cell>
          <cell r="AL545">
            <v>0</v>
          </cell>
          <cell r="BJ545" t="str">
            <v>MAU</v>
          </cell>
        </row>
        <row r="546">
          <cell r="E546" t="str">
            <v>10</v>
          </cell>
          <cell r="J546">
            <v>0</v>
          </cell>
          <cell r="K546">
            <v>0</v>
          </cell>
          <cell r="AL546">
            <v>0</v>
          </cell>
          <cell r="BJ546" t="str">
            <v>MAU</v>
          </cell>
        </row>
        <row r="547">
          <cell r="E547" t="str">
            <v>10</v>
          </cell>
          <cell r="J547">
            <v>0</v>
          </cell>
          <cell r="K547">
            <v>0</v>
          </cell>
          <cell r="AL547">
            <v>0</v>
          </cell>
          <cell r="BJ547" t="str">
            <v>MAU</v>
          </cell>
        </row>
        <row r="548">
          <cell r="E548" t="str">
            <v>10</v>
          </cell>
          <cell r="J548">
            <v>0</v>
          </cell>
          <cell r="K548">
            <v>0</v>
          </cell>
          <cell r="AL548">
            <v>0</v>
          </cell>
          <cell r="BJ548" t="str">
            <v>MAU</v>
          </cell>
        </row>
        <row r="549">
          <cell r="E549" t="str">
            <v>11</v>
          </cell>
          <cell r="J549">
            <v>0</v>
          </cell>
          <cell r="K549">
            <v>210.76000000000931</v>
          </cell>
          <cell r="AL549">
            <v>0</v>
          </cell>
          <cell r="BJ549" t="str">
            <v>MAU</v>
          </cell>
        </row>
        <row r="550">
          <cell r="E550" t="str">
            <v>11</v>
          </cell>
          <cell r="J550">
            <v>0</v>
          </cell>
          <cell r="K550">
            <v>0</v>
          </cell>
          <cell r="AL550">
            <v>0</v>
          </cell>
          <cell r="BJ550" t="str">
            <v>MAU</v>
          </cell>
        </row>
        <row r="551">
          <cell r="E551" t="str">
            <v>11</v>
          </cell>
          <cell r="J551">
            <v>0</v>
          </cell>
          <cell r="K551">
            <v>0</v>
          </cell>
          <cell r="AL551">
            <v>0</v>
          </cell>
          <cell r="BJ551" t="str">
            <v>MAU</v>
          </cell>
        </row>
        <row r="552">
          <cell r="E552" t="str">
            <v>11</v>
          </cell>
          <cell r="J552">
            <v>0</v>
          </cell>
          <cell r="K552">
            <v>0</v>
          </cell>
          <cell r="AL552">
            <v>0</v>
          </cell>
          <cell r="BJ552" t="str">
            <v>MAU</v>
          </cell>
        </row>
        <row r="553">
          <cell r="E553" t="str">
            <v>11</v>
          </cell>
          <cell r="J553">
            <v>0</v>
          </cell>
          <cell r="K553">
            <v>0</v>
          </cell>
          <cell r="AL553">
            <v>0</v>
          </cell>
          <cell r="BJ553" t="str">
            <v>MAU</v>
          </cell>
        </row>
        <row r="554">
          <cell r="E554" t="str">
            <v>11</v>
          </cell>
          <cell r="J554">
            <v>0</v>
          </cell>
          <cell r="K554">
            <v>0</v>
          </cell>
          <cell r="AL554">
            <v>0</v>
          </cell>
          <cell r="BJ554" t="str">
            <v>MAU</v>
          </cell>
        </row>
        <row r="555">
          <cell r="E555" t="str">
            <v>11</v>
          </cell>
          <cell r="J555">
            <v>0</v>
          </cell>
          <cell r="K555">
            <v>49191.390000000014</v>
          </cell>
          <cell r="AL555">
            <v>0</v>
          </cell>
          <cell r="BJ555" t="str">
            <v>MAU</v>
          </cell>
        </row>
        <row r="556">
          <cell r="E556" t="str">
            <v>11</v>
          </cell>
          <cell r="J556">
            <v>0</v>
          </cell>
          <cell r="K556">
            <v>0</v>
          </cell>
          <cell r="AL556">
            <v>0</v>
          </cell>
          <cell r="BJ556" t="str">
            <v>MAU</v>
          </cell>
        </row>
        <row r="557">
          <cell r="E557" t="str">
            <v>11</v>
          </cell>
          <cell r="J557">
            <v>0</v>
          </cell>
          <cell r="K557">
            <v>0</v>
          </cell>
          <cell r="AL557">
            <v>0</v>
          </cell>
          <cell r="BJ557" t="str">
            <v>MAU</v>
          </cell>
        </row>
        <row r="558">
          <cell r="E558" t="str">
            <v>11</v>
          </cell>
          <cell r="J558">
            <v>0</v>
          </cell>
          <cell r="K558">
            <v>0</v>
          </cell>
          <cell r="AL558">
            <v>0</v>
          </cell>
          <cell r="BJ558" t="str">
            <v>MAU</v>
          </cell>
        </row>
        <row r="559">
          <cell r="E559" t="str">
            <v>11</v>
          </cell>
          <cell r="J559">
            <v>0</v>
          </cell>
          <cell r="K559">
            <v>0</v>
          </cell>
          <cell r="AL559">
            <v>0</v>
          </cell>
          <cell r="BJ559" t="str">
            <v>MAU</v>
          </cell>
        </row>
        <row r="560">
          <cell r="E560" t="str">
            <v>11</v>
          </cell>
          <cell r="J560">
            <v>0</v>
          </cell>
          <cell r="K560">
            <v>0</v>
          </cell>
          <cell r="AL560">
            <v>0</v>
          </cell>
          <cell r="BJ560" t="str">
            <v>MAU</v>
          </cell>
        </row>
        <row r="561">
          <cell r="E561" t="str">
            <v>11</v>
          </cell>
          <cell r="J561">
            <v>0</v>
          </cell>
          <cell r="K561">
            <v>0</v>
          </cell>
          <cell r="AL561">
            <v>0</v>
          </cell>
          <cell r="BJ561" t="str">
            <v>MAU</v>
          </cell>
        </row>
        <row r="562">
          <cell r="E562" t="str">
            <v>11</v>
          </cell>
          <cell r="J562">
            <v>0</v>
          </cell>
          <cell r="K562">
            <v>0</v>
          </cell>
          <cell r="AL562">
            <v>0</v>
          </cell>
          <cell r="BJ562" t="str">
            <v>MAU</v>
          </cell>
        </row>
        <row r="563">
          <cell r="E563" t="str">
            <v>11</v>
          </cell>
          <cell r="J563">
            <v>0</v>
          </cell>
          <cell r="K563">
            <v>0</v>
          </cell>
          <cell r="AL563">
            <v>0</v>
          </cell>
          <cell r="BJ563" t="str">
            <v>MAU</v>
          </cell>
        </row>
        <row r="564">
          <cell r="E564" t="str">
            <v>11</v>
          </cell>
          <cell r="J564">
            <v>0</v>
          </cell>
          <cell r="K564">
            <v>0</v>
          </cell>
          <cell r="AL564">
            <v>0</v>
          </cell>
          <cell r="BJ564" t="str">
            <v>MAU</v>
          </cell>
        </row>
        <row r="565">
          <cell r="E565" t="str">
            <v>11</v>
          </cell>
          <cell r="J565">
            <v>0</v>
          </cell>
          <cell r="K565">
            <v>0</v>
          </cell>
          <cell r="AL565">
            <v>0</v>
          </cell>
          <cell r="BJ565" t="str">
            <v>MAU</v>
          </cell>
        </row>
        <row r="566">
          <cell r="E566" t="str">
            <v>11</v>
          </cell>
          <cell r="J566">
            <v>0</v>
          </cell>
          <cell r="K566">
            <v>0</v>
          </cell>
          <cell r="AL566">
            <v>0</v>
          </cell>
          <cell r="BJ566" t="str">
            <v>MAU</v>
          </cell>
        </row>
        <row r="567">
          <cell r="E567" t="str">
            <v>11</v>
          </cell>
          <cell r="J567">
            <v>0</v>
          </cell>
          <cell r="K567">
            <v>0</v>
          </cell>
          <cell r="AL567">
            <v>0</v>
          </cell>
          <cell r="BJ567" t="str">
            <v>MAU</v>
          </cell>
        </row>
        <row r="568">
          <cell r="E568" t="str">
            <v>11</v>
          </cell>
          <cell r="J568">
            <v>0</v>
          </cell>
          <cell r="K568">
            <v>0</v>
          </cell>
          <cell r="AL568">
            <v>0</v>
          </cell>
          <cell r="BJ568" t="str">
            <v>MAU</v>
          </cell>
        </row>
        <row r="569">
          <cell r="E569" t="str">
            <v>11</v>
          </cell>
          <cell r="J569">
            <v>0</v>
          </cell>
          <cell r="K569">
            <v>0</v>
          </cell>
          <cell r="AL569">
            <v>0</v>
          </cell>
          <cell r="BJ569" t="str">
            <v>MAU</v>
          </cell>
        </row>
        <row r="570">
          <cell r="E570" t="str">
            <v>11</v>
          </cell>
          <cell r="J570">
            <v>0</v>
          </cell>
          <cell r="K570">
            <v>0</v>
          </cell>
          <cell r="AL570">
            <v>0</v>
          </cell>
          <cell r="BJ570" t="str">
            <v>MAU</v>
          </cell>
        </row>
        <row r="571">
          <cell r="E571" t="str">
            <v>11</v>
          </cell>
          <cell r="J571">
            <v>0</v>
          </cell>
          <cell r="K571">
            <v>0</v>
          </cell>
          <cell r="AL571">
            <v>0</v>
          </cell>
          <cell r="BJ571" t="str">
            <v>MAU</v>
          </cell>
        </row>
        <row r="572">
          <cell r="E572" t="str">
            <v>11</v>
          </cell>
          <cell r="J572">
            <v>0</v>
          </cell>
          <cell r="K572">
            <v>0</v>
          </cell>
          <cell r="AL572">
            <v>0</v>
          </cell>
          <cell r="BJ572" t="str">
            <v>MAU</v>
          </cell>
        </row>
        <row r="573">
          <cell r="E573" t="str">
            <v>11</v>
          </cell>
          <cell r="J573">
            <v>0</v>
          </cell>
          <cell r="K573">
            <v>0</v>
          </cell>
          <cell r="AL573">
            <v>0</v>
          </cell>
          <cell r="BJ573" t="str">
            <v>MAU</v>
          </cell>
        </row>
        <row r="574">
          <cell r="E574" t="str">
            <v>11</v>
          </cell>
          <cell r="J574">
            <v>0</v>
          </cell>
          <cell r="K574">
            <v>0</v>
          </cell>
          <cell r="AL574">
            <v>0</v>
          </cell>
          <cell r="BJ574" t="str">
            <v>MAU</v>
          </cell>
        </row>
        <row r="575">
          <cell r="E575" t="str">
            <v>11</v>
          </cell>
          <cell r="J575">
            <v>0</v>
          </cell>
          <cell r="K575">
            <v>0</v>
          </cell>
          <cell r="AL575">
            <v>0</v>
          </cell>
          <cell r="BJ575" t="str">
            <v>MAU</v>
          </cell>
        </row>
        <row r="576">
          <cell r="E576" t="str">
            <v>11</v>
          </cell>
          <cell r="J576">
            <v>0</v>
          </cell>
          <cell r="K576">
            <v>0</v>
          </cell>
          <cell r="AL576">
            <v>0</v>
          </cell>
          <cell r="BJ576" t="str">
            <v>MAU</v>
          </cell>
        </row>
        <row r="577">
          <cell r="E577" t="str">
            <v>11</v>
          </cell>
          <cell r="J577">
            <v>0</v>
          </cell>
          <cell r="K577">
            <v>0</v>
          </cell>
          <cell r="AL577">
            <v>0</v>
          </cell>
          <cell r="BJ577" t="str">
            <v>MAU</v>
          </cell>
        </row>
        <row r="578">
          <cell r="E578" t="str">
            <v>11</v>
          </cell>
          <cell r="J578">
            <v>0</v>
          </cell>
          <cell r="K578">
            <v>0</v>
          </cell>
          <cell r="AL578">
            <v>0</v>
          </cell>
          <cell r="BJ578" t="str">
            <v>MAU</v>
          </cell>
        </row>
        <row r="579">
          <cell r="E579" t="str">
            <v>11</v>
          </cell>
          <cell r="J579">
            <v>0</v>
          </cell>
          <cell r="K579">
            <v>0</v>
          </cell>
          <cell r="AL579">
            <v>0</v>
          </cell>
          <cell r="BJ579" t="str">
            <v>MAU</v>
          </cell>
        </row>
        <row r="580">
          <cell r="E580" t="str">
            <v>11</v>
          </cell>
          <cell r="J580">
            <v>0</v>
          </cell>
          <cell r="K580">
            <v>0</v>
          </cell>
          <cell r="AL580">
            <v>0</v>
          </cell>
          <cell r="BJ580" t="str">
            <v>MAU</v>
          </cell>
        </row>
        <row r="581">
          <cell r="E581" t="str">
            <v>11</v>
          </cell>
          <cell r="J581">
            <v>0</v>
          </cell>
          <cell r="K581">
            <v>0</v>
          </cell>
          <cell r="AL581">
            <v>0</v>
          </cell>
          <cell r="BJ581" t="str">
            <v>MAU</v>
          </cell>
        </row>
        <row r="582">
          <cell r="E582" t="str">
            <v>13</v>
          </cell>
          <cell r="J582">
            <v>0</v>
          </cell>
          <cell r="K582">
            <v>2750</v>
          </cell>
          <cell r="AL582">
            <v>0</v>
          </cell>
          <cell r="BJ582" t="str">
            <v>MAU</v>
          </cell>
        </row>
        <row r="583">
          <cell r="E583" t="str">
            <v>13</v>
          </cell>
          <cell r="J583">
            <v>0</v>
          </cell>
          <cell r="K583">
            <v>0</v>
          </cell>
          <cell r="AL583">
            <v>0</v>
          </cell>
          <cell r="BJ583" t="str">
            <v>MAU</v>
          </cell>
        </row>
        <row r="584">
          <cell r="E584" t="str">
            <v>13</v>
          </cell>
          <cell r="J584">
            <v>0</v>
          </cell>
          <cell r="K584">
            <v>0</v>
          </cell>
          <cell r="AL584">
            <v>0</v>
          </cell>
          <cell r="BJ584" t="str">
            <v>MAU</v>
          </cell>
        </row>
        <row r="585">
          <cell r="E585" t="str">
            <v>13</v>
          </cell>
          <cell r="J585">
            <v>0</v>
          </cell>
          <cell r="K585">
            <v>1178.3900000000012</v>
          </cell>
          <cell r="AL585">
            <v>0</v>
          </cell>
          <cell r="BJ585" t="str">
            <v>MAU</v>
          </cell>
        </row>
        <row r="586">
          <cell r="E586" t="str">
            <v>13</v>
          </cell>
          <cell r="J586">
            <v>0</v>
          </cell>
          <cell r="K586">
            <v>0</v>
          </cell>
          <cell r="AL586">
            <v>0</v>
          </cell>
          <cell r="BJ586" t="str">
            <v>MAU</v>
          </cell>
        </row>
        <row r="587">
          <cell r="E587" t="str">
            <v>13</v>
          </cell>
          <cell r="J587">
            <v>0</v>
          </cell>
          <cell r="K587">
            <v>0</v>
          </cell>
          <cell r="AL587">
            <v>0</v>
          </cell>
          <cell r="BJ587" t="str">
            <v>MAU</v>
          </cell>
        </row>
        <row r="588">
          <cell r="E588" t="str">
            <v>13</v>
          </cell>
          <cell r="J588">
            <v>0</v>
          </cell>
          <cell r="K588">
            <v>70505.760000000009</v>
          </cell>
          <cell r="AL588">
            <v>0</v>
          </cell>
          <cell r="BJ588" t="str">
            <v>MAU</v>
          </cell>
        </row>
        <row r="589">
          <cell r="E589" t="str">
            <v>13</v>
          </cell>
          <cell r="J589">
            <v>0</v>
          </cell>
          <cell r="K589">
            <v>0</v>
          </cell>
          <cell r="AL589">
            <v>0</v>
          </cell>
          <cell r="BJ589" t="str">
            <v>MAU</v>
          </cell>
        </row>
        <row r="590">
          <cell r="E590" t="str">
            <v>13</v>
          </cell>
          <cell r="J590">
            <v>0</v>
          </cell>
          <cell r="K590">
            <v>0</v>
          </cell>
          <cell r="AL590">
            <v>0</v>
          </cell>
          <cell r="BJ590" t="str">
            <v>MAU</v>
          </cell>
        </row>
        <row r="591">
          <cell r="E591" t="str">
            <v>13</v>
          </cell>
          <cell r="J591">
            <v>0</v>
          </cell>
          <cell r="K591">
            <v>0</v>
          </cell>
          <cell r="AL591">
            <v>0</v>
          </cell>
          <cell r="BJ591" t="str">
            <v>MAU</v>
          </cell>
        </row>
        <row r="592">
          <cell r="E592" t="str">
            <v>13</v>
          </cell>
          <cell r="J592">
            <v>0</v>
          </cell>
          <cell r="K592">
            <v>5300</v>
          </cell>
          <cell r="AL592">
            <v>0</v>
          </cell>
          <cell r="BJ592" t="str">
            <v>MAU</v>
          </cell>
        </row>
        <row r="593">
          <cell r="E593" t="str">
            <v>13</v>
          </cell>
          <cell r="J593">
            <v>0</v>
          </cell>
          <cell r="K593">
            <v>0</v>
          </cell>
          <cell r="AL593">
            <v>0</v>
          </cell>
          <cell r="BJ593" t="str">
            <v>MAU</v>
          </cell>
        </row>
        <row r="594">
          <cell r="E594" t="str">
            <v>13</v>
          </cell>
          <cell r="J594">
            <v>0</v>
          </cell>
          <cell r="K594">
            <v>0</v>
          </cell>
          <cell r="AL594">
            <v>0</v>
          </cell>
          <cell r="BJ594" t="str">
            <v>MAU</v>
          </cell>
        </row>
        <row r="595">
          <cell r="E595" t="str">
            <v>13</v>
          </cell>
          <cell r="J595">
            <v>0</v>
          </cell>
          <cell r="K595">
            <v>0</v>
          </cell>
          <cell r="AL595">
            <v>0</v>
          </cell>
          <cell r="BJ595" t="str">
            <v>MAU</v>
          </cell>
        </row>
        <row r="596">
          <cell r="E596" t="str">
            <v>13</v>
          </cell>
          <cell r="J596">
            <v>0</v>
          </cell>
          <cell r="K596">
            <v>0</v>
          </cell>
          <cell r="AL596">
            <v>0</v>
          </cell>
          <cell r="BJ596" t="str">
            <v>MAU</v>
          </cell>
        </row>
        <row r="597">
          <cell r="E597" t="str">
            <v>13</v>
          </cell>
          <cell r="J597">
            <v>0</v>
          </cell>
          <cell r="K597">
            <v>0</v>
          </cell>
          <cell r="AL597">
            <v>0</v>
          </cell>
          <cell r="BJ597" t="str">
            <v>MAU</v>
          </cell>
        </row>
        <row r="598">
          <cell r="E598" t="str">
            <v>13</v>
          </cell>
          <cell r="J598">
            <v>0</v>
          </cell>
          <cell r="K598">
            <v>0</v>
          </cell>
          <cell r="AL598">
            <v>0</v>
          </cell>
          <cell r="BJ598" t="str">
            <v>MAU</v>
          </cell>
        </row>
        <row r="599">
          <cell r="E599" t="str">
            <v>13</v>
          </cell>
          <cell r="J599">
            <v>0</v>
          </cell>
          <cell r="K599">
            <v>0</v>
          </cell>
          <cell r="AL599">
            <v>0</v>
          </cell>
          <cell r="BJ599" t="str">
            <v>MAU</v>
          </cell>
        </row>
        <row r="600">
          <cell r="E600" t="str">
            <v>13</v>
          </cell>
          <cell r="J600">
            <v>0</v>
          </cell>
          <cell r="K600">
            <v>0</v>
          </cell>
          <cell r="AL600">
            <v>0</v>
          </cell>
          <cell r="BJ600" t="str">
            <v>MAU</v>
          </cell>
        </row>
        <row r="601">
          <cell r="E601" t="str">
            <v>13</v>
          </cell>
          <cell r="J601">
            <v>0</v>
          </cell>
          <cell r="K601">
            <v>0</v>
          </cell>
          <cell r="AL601">
            <v>0</v>
          </cell>
          <cell r="BJ601" t="str">
            <v>MAU</v>
          </cell>
        </row>
        <row r="602">
          <cell r="E602" t="str">
            <v>13</v>
          </cell>
          <cell r="J602">
            <v>0</v>
          </cell>
          <cell r="K602">
            <v>0</v>
          </cell>
          <cell r="AL602">
            <v>0</v>
          </cell>
          <cell r="BJ602" t="str">
            <v>MAU</v>
          </cell>
        </row>
        <row r="603">
          <cell r="E603" t="str">
            <v>13</v>
          </cell>
          <cell r="J603">
            <v>0</v>
          </cell>
          <cell r="K603">
            <v>0</v>
          </cell>
          <cell r="AL603">
            <v>0</v>
          </cell>
          <cell r="BJ603" t="str">
            <v>MAU</v>
          </cell>
        </row>
        <row r="604">
          <cell r="E604" t="str">
            <v>13</v>
          </cell>
          <cell r="J604">
            <v>0</v>
          </cell>
          <cell r="K604">
            <v>0</v>
          </cell>
          <cell r="AL604">
            <v>0</v>
          </cell>
          <cell r="BJ604" t="str">
            <v>MAU</v>
          </cell>
        </row>
        <row r="605">
          <cell r="E605" t="str">
            <v>13</v>
          </cell>
          <cell r="J605">
            <v>0</v>
          </cell>
          <cell r="K605">
            <v>0</v>
          </cell>
          <cell r="AL605">
            <v>0</v>
          </cell>
          <cell r="BJ605" t="str">
            <v>MAU</v>
          </cell>
        </row>
        <row r="606">
          <cell r="E606" t="str">
            <v>13</v>
          </cell>
          <cell r="J606">
            <v>0</v>
          </cell>
          <cell r="K606">
            <v>0</v>
          </cell>
          <cell r="AL606">
            <v>0</v>
          </cell>
          <cell r="BJ606" t="str">
            <v>MAU</v>
          </cell>
        </row>
        <row r="607">
          <cell r="E607" t="str">
            <v>13</v>
          </cell>
          <cell r="J607">
            <v>0</v>
          </cell>
          <cell r="K607">
            <v>0</v>
          </cell>
          <cell r="AL607">
            <v>0</v>
          </cell>
          <cell r="BJ607" t="str">
            <v>MAU</v>
          </cell>
        </row>
        <row r="608">
          <cell r="E608" t="str">
            <v>13</v>
          </cell>
          <cell r="J608">
            <v>0</v>
          </cell>
          <cell r="K608">
            <v>0</v>
          </cell>
          <cell r="AL608">
            <v>0</v>
          </cell>
          <cell r="BJ608" t="str">
            <v>MAU</v>
          </cell>
        </row>
        <row r="609">
          <cell r="E609" t="str">
            <v>13</v>
          </cell>
          <cell r="J609">
            <v>0</v>
          </cell>
          <cell r="K609">
            <v>0</v>
          </cell>
          <cell r="AL609">
            <v>0</v>
          </cell>
          <cell r="BJ609" t="str">
            <v>MAU</v>
          </cell>
        </row>
        <row r="610">
          <cell r="E610" t="str">
            <v>13</v>
          </cell>
          <cell r="J610">
            <v>0</v>
          </cell>
          <cell r="K610">
            <v>0</v>
          </cell>
          <cell r="AL610">
            <v>0</v>
          </cell>
          <cell r="BJ610" t="str">
            <v>MAU</v>
          </cell>
        </row>
        <row r="611">
          <cell r="E611" t="str">
            <v>13</v>
          </cell>
          <cell r="J611">
            <v>0</v>
          </cell>
          <cell r="K611">
            <v>0</v>
          </cell>
          <cell r="AL611">
            <v>0</v>
          </cell>
          <cell r="BJ611" t="str">
            <v>MAU</v>
          </cell>
        </row>
        <row r="612">
          <cell r="E612" t="str">
            <v>13</v>
          </cell>
          <cell r="J612">
            <v>0</v>
          </cell>
          <cell r="K612">
            <v>0</v>
          </cell>
          <cell r="AL612">
            <v>0</v>
          </cell>
          <cell r="BJ612" t="str">
            <v>MAU</v>
          </cell>
        </row>
        <row r="613">
          <cell r="E613" t="str">
            <v>13</v>
          </cell>
          <cell r="J613">
            <v>0</v>
          </cell>
          <cell r="K613">
            <v>0</v>
          </cell>
          <cell r="AL613">
            <v>0</v>
          </cell>
          <cell r="BJ613" t="str">
            <v>MAU</v>
          </cell>
        </row>
        <row r="614">
          <cell r="E614" t="str">
            <v>13</v>
          </cell>
          <cell r="J614">
            <v>0</v>
          </cell>
          <cell r="K614">
            <v>0</v>
          </cell>
          <cell r="AL614">
            <v>0</v>
          </cell>
          <cell r="BJ614" t="str">
            <v>MAU</v>
          </cell>
        </row>
        <row r="615">
          <cell r="E615" t="str">
            <v>13</v>
          </cell>
          <cell r="J615">
            <v>0</v>
          </cell>
          <cell r="K615">
            <v>0</v>
          </cell>
          <cell r="AL615">
            <v>0</v>
          </cell>
          <cell r="BJ615" t="str">
            <v>MAU</v>
          </cell>
        </row>
        <row r="616">
          <cell r="E616" t="str">
            <v>13</v>
          </cell>
          <cell r="J616">
            <v>0</v>
          </cell>
          <cell r="K616">
            <v>0</v>
          </cell>
          <cell r="AL616">
            <v>0</v>
          </cell>
          <cell r="BJ616" t="str">
            <v>MAU</v>
          </cell>
        </row>
        <row r="617">
          <cell r="E617" t="str">
            <v>13</v>
          </cell>
          <cell r="J617">
            <v>0</v>
          </cell>
          <cell r="K617">
            <v>0</v>
          </cell>
          <cell r="AL617">
            <v>0</v>
          </cell>
          <cell r="BJ617" t="str">
            <v>MAU</v>
          </cell>
        </row>
        <row r="618">
          <cell r="E618" t="str">
            <v>13</v>
          </cell>
          <cell r="J618">
            <v>0</v>
          </cell>
          <cell r="K618">
            <v>0</v>
          </cell>
          <cell r="AL618">
            <v>0</v>
          </cell>
          <cell r="BJ618" t="str">
            <v>MAU</v>
          </cell>
        </row>
        <row r="619">
          <cell r="E619" t="str">
            <v>13</v>
          </cell>
          <cell r="J619">
            <v>0</v>
          </cell>
          <cell r="K619">
            <v>0</v>
          </cell>
          <cell r="AL619">
            <v>0</v>
          </cell>
          <cell r="BJ619" t="str">
            <v>MAU</v>
          </cell>
        </row>
        <row r="620">
          <cell r="E620" t="str">
            <v>13</v>
          </cell>
          <cell r="J620">
            <v>0</v>
          </cell>
          <cell r="K620">
            <v>0</v>
          </cell>
          <cell r="AL620">
            <v>0</v>
          </cell>
          <cell r="BJ620" t="str">
            <v>MAU</v>
          </cell>
        </row>
        <row r="621">
          <cell r="E621" t="str">
            <v>13</v>
          </cell>
          <cell r="J621">
            <v>0</v>
          </cell>
          <cell r="K621">
            <v>0</v>
          </cell>
          <cell r="AL621">
            <v>0</v>
          </cell>
          <cell r="BJ621" t="str">
            <v>MAU</v>
          </cell>
        </row>
        <row r="622">
          <cell r="E622" t="str">
            <v>13</v>
          </cell>
          <cell r="J622">
            <v>0</v>
          </cell>
          <cell r="K622">
            <v>0</v>
          </cell>
          <cell r="AL622">
            <v>0</v>
          </cell>
          <cell r="BJ622" t="str">
            <v>MAU</v>
          </cell>
        </row>
        <row r="623">
          <cell r="E623" t="str">
            <v>13</v>
          </cell>
          <cell r="J623">
            <v>0</v>
          </cell>
          <cell r="K623">
            <v>0</v>
          </cell>
          <cell r="AL623">
            <v>0</v>
          </cell>
          <cell r="BJ623" t="str">
            <v>MAU</v>
          </cell>
        </row>
        <row r="624">
          <cell r="E624" t="str">
            <v>13</v>
          </cell>
          <cell r="J624">
            <v>0</v>
          </cell>
          <cell r="K624">
            <v>0</v>
          </cell>
          <cell r="AL624">
            <v>0</v>
          </cell>
          <cell r="BJ624" t="str">
            <v>MAU</v>
          </cell>
        </row>
        <row r="625">
          <cell r="E625" t="str">
            <v>13</v>
          </cell>
          <cell r="J625">
            <v>0</v>
          </cell>
          <cell r="K625">
            <v>0</v>
          </cell>
          <cell r="AL625">
            <v>0</v>
          </cell>
          <cell r="BJ625" t="str">
            <v>MAU</v>
          </cell>
        </row>
        <row r="626">
          <cell r="E626" t="str">
            <v>13</v>
          </cell>
          <cell r="J626">
            <v>0</v>
          </cell>
          <cell r="K626">
            <v>0</v>
          </cell>
          <cell r="AL626">
            <v>0</v>
          </cell>
          <cell r="BJ626" t="str">
            <v>MAU</v>
          </cell>
        </row>
        <row r="627">
          <cell r="E627" t="str">
            <v>13</v>
          </cell>
          <cell r="J627">
            <v>0</v>
          </cell>
          <cell r="K627">
            <v>0</v>
          </cell>
          <cell r="AL627">
            <v>0</v>
          </cell>
          <cell r="BJ627" t="str">
            <v>MAU</v>
          </cell>
        </row>
        <row r="628">
          <cell r="E628" t="str">
            <v>13</v>
          </cell>
          <cell r="J628">
            <v>0</v>
          </cell>
          <cell r="K628">
            <v>0</v>
          </cell>
          <cell r="AL628">
            <v>0</v>
          </cell>
          <cell r="BJ628" t="str">
            <v>MAU</v>
          </cell>
        </row>
        <row r="629">
          <cell r="E629" t="str">
            <v>13</v>
          </cell>
          <cell r="J629">
            <v>0</v>
          </cell>
          <cell r="K629">
            <v>0</v>
          </cell>
          <cell r="AL629">
            <v>0</v>
          </cell>
          <cell r="BJ629" t="str">
            <v>MAU</v>
          </cell>
        </row>
        <row r="630">
          <cell r="E630" t="str">
            <v>13</v>
          </cell>
          <cell r="J630">
            <v>0</v>
          </cell>
          <cell r="K630">
            <v>0</v>
          </cell>
          <cell r="AL630">
            <v>0</v>
          </cell>
          <cell r="BJ630" t="str">
            <v>MAU</v>
          </cell>
        </row>
        <row r="631">
          <cell r="E631" t="str">
            <v>13</v>
          </cell>
          <cell r="J631">
            <v>0</v>
          </cell>
          <cell r="K631">
            <v>0</v>
          </cell>
          <cell r="AL631">
            <v>0</v>
          </cell>
          <cell r="BJ631" t="str">
            <v>MAU</v>
          </cell>
        </row>
        <row r="632">
          <cell r="E632" t="str">
            <v>13</v>
          </cell>
          <cell r="J632">
            <v>0</v>
          </cell>
          <cell r="K632">
            <v>0</v>
          </cell>
          <cell r="AL632">
            <v>0</v>
          </cell>
          <cell r="BJ632" t="str">
            <v>MAU</v>
          </cell>
        </row>
        <row r="633">
          <cell r="E633" t="str">
            <v>13</v>
          </cell>
          <cell r="J633">
            <v>0</v>
          </cell>
          <cell r="K633">
            <v>0</v>
          </cell>
          <cell r="AL633">
            <v>0</v>
          </cell>
          <cell r="BJ633" t="str">
            <v>MAU</v>
          </cell>
        </row>
        <row r="634">
          <cell r="E634" t="str">
            <v>13</v>
          </cell>
          <cell r="J634">
            <v>0</v>
          </cell>
          <cell r="K634">
            <v>0</v>
          </cell>
          <cell r="AL634">
            <v>0</v>
          </cell>
          <cell r="BJ634" t="str">
            <v>MAU</v>
          </cell>
        </row>
        <row r="635">
          <cell r="E635" t="str">
            <v>13</v>
          </cell>
          <cell r="J635">
            <v>0</v>
          </cell>
          <cell r="K635">
            <v>0</v>
          </cell>
          <cell r="AL635">
            <v>0</v>
          </cell>
          <cell r="BJ635" t="str">
            <v>MAU</v>
          </cell>
        </row>
        <row r="636">
          <cell r="E636" t="str">
            <v>13</v>
          </cell>
          <cell r="J636">
            <v>0</v>
          </cell>
          <cell r="K636">
            <v>0</v>
          </cell>
          <cell r="AL636">
            <v>0</v>
          </cell>
          <cell r="BJ636" t="str">
            <v>MAU</v>
          </cell>
        </row>
        <row r="637">
          <cell r="E637" t="str">
            <v>13</v>
          </cell>
          <cell r="J637">
            <v>0</v>
          </cell>
          <cell r="K637">
            <v>0</v>
          </cell>
          <cell r="AL637">
            <v>0</v>
          </cell>
          <cell r="BJ637" t="str">
            <v>MAU</v>
          </cell>
        </row>
        <row r="638">
          <cell r="E638" t="str">
            <v>11</v>
          </cell>
          <cell r="J638">
            <v>0</v>
          </cell>
          <cell r="K638">
            <v>0</v>
          </cell>
          <cell r="AL638">
            <v>0</v>
          </cell>
          <cell r="BJ638" t="str">
            <v>MAU</v>
          </cell>
        </row>
        <row r="639">
          <cell r="E639" t="str">
            <v>13</v>
          </cell>
          <cell r="J639">
            <v>0</v>
          </cell>
          <cell r="K639">
            <v>0</v>
          </cell>
          <cell r="AL639">
            <v>0</v>
          </cell>
          <cell r="BJ639" t="str">
            <v>MAU</v>
          </cell>
        </row>
        <row r="640">
          <cell r="E640" t="str">
            <v>11</v>
          </cell>
          <cell r="J640">
            <v>0</v>
          </cell>
          <cell r="K640">
            <v>0</v>
          </cell>
          <cell r="AL640">
            <v>0</v>
          </cell>
          <cell r="BJ640" t="str">
            <v>MAU</v>
          </cell>
        </row>
        <row r="641">
          <cell r="E641" t="str">
            <v>13</v>
          </cell>
          <cell r="J641">
            <v>0</v>
          </cell>
          <cell r="K641">
            <v>0</v>
          </cell>
          <cell r="AL641">
            <v>0</v>
          </cell>
          <cell r="BJ641" t="str">
            <v>MAU</v>
          </cell>
        </row>
        <row r="642">
          <cell r="E642" t="str">
            <v>11</v>
          </cell>
          <cell r="J642">
            <v>0</v>
          </cell>
          <cell r="K642">
            <v>0</v>
          </cell>
          <cell r="AL642">
            <v>0</v>
          </cell>
          <cell r="BJ642" t="str">
            <v>MAU</v>
          </cell>
        </row>
        <row r="643">
          <cell r="E643" t="str">
            <v>13</v>
          </cell>
          <cell r="J643">
            <v>0</v>
          </cell>
          <cell r="K643">
            <v>0</v>
          </cell>
          <cell r="AL643">
            <v>0</v>
          </cell>
          <cell r="BJ643" t="str">
            <v>MAU</v>
          </cell>
        </row>
        <row r="644">
          <cell r="E644" t="str">
            <v>13</v>
          </cell>
          <cell r="J644">
            <v>0</v>
          </cell>
          <cell r="K644">
            <v>0</v>
          </cell>
          <cell r="AL644">
            <v>0</v>
          </cell>
          <cell r="BJ644" t="str">
            <v>MAU</v>
          </cell>
        </row>
        <row r="645">
          <cell r="E645" t="str">
            <v>13</v>
          </cell>
          <cell r="J645">
            <v>0</v>
          </cell>
          <cell r="K645">
            <v>0</v>
          </cell>
          <cell r="AL645">
            <v>0</v>
          </cell>
          <cell r="BJ645" t="str">
            <v>MAU</v>
          </cell>
        </row>
        <row r="646">
          <cell r="E646" t="str">
            <v>13</v>
          </cell>
          <cell r="J646">
            <v>0</v>
          </cell>
          <cell r="K646">
            <v>0</v>
          </cell>
          <cell r="AL646">
            <v>0</v>
          </cell>
          <cell r="BJ646" t="str">
            <v>MAU</v>
          </cell>
        </row>
        <row r="647">
          <cell r="E647" t="str">
            <v>20</v>
          </cell>
          <cell r="J647">
            <v>8465405.1400000006</v>
          </cell>
          <cell r="K647">
            <v>0</v>
          </cell>
          <cell r="AL647">
            <v>0</v>
          </cell>
          <cell r="BJ647" t="str">
            <v>MAU</v>
          </cell>
        </row>
        <row r="648">
          <cell r="E648" t="str">
            <v>20</v>
          </cell>
          <cell r="J648">
            <v>0</v>
          </cell>
          <cell r="K648">
            <v>0</v>
          </cell>
          <cell r="AL648">
            <v>0</v>
          </cell>
          <cell r="BJ648" t="str">
            <v>MAU</v>
          </cell>
        </row>
        <row r="649">
          <cell r="E649" t="str">
            <v>21</v>
          </cell>
          <cell r="J649">
            <v>0</v>
          </cell>
          <cell r="K649">
            <v>0</v>
          </cell>
          <cell r="AL649">
            <v>0</v>
          </cell>
          <cell r="BJ649" t="str">
            <v>MAU</v>
          </cell>
        </row>
        <row r="650">
          <cell r="E650" t="str">
            <v>24</v>
          </cell>
          <cell r="J650">
            <v>0</v>
          </cell>
          <cell r="K650">
            <v>0</v>
          </cell>
          <cell r="AL650">
            <v>0</v>
          </cell>
          <cell r="BJ650" t="str">
            <v>MAU</v>
          </cell>
        </row>
        <row r="651">
          <cell r="E651" t="str">
            <v>24</v>
          </cell>
          <cell r="J651">
            <v>0</v>
          </cell>
          <cell r="K651">
            <v>0</v>
          </cell>
          <cell r="AL651">
            <v>0</v>
          </cell>
          <cell r="BJ651" t="str">
            <v>MAU</v>
          </cell>
        </row>
        <row r="652">
          <cell r="E652" t="str">
            <v>24</v>
          </cell>
          <cell r="J652">
            <v>0</v>
          </cell>
          <cell r="K652">
            <v>0</v>
          </cell>
          <cell r="AL652">
            <v>0</v>
          </cell>
          <cell r="BJ652" t="str">
            <v>MAU</v>
          </cell>
        </row>
        <row r="653">
          <cell r="E653" t="str">
            <v>24</v>
          </cell>
          <cell r="J653">
            <v>0</v>
          </cell>
          <cell r="K653">
            <v>0</v>
          </cell>
          <cell r="AL653">
            <v>0</v>
          </cell>
          <cell r="BJ653" t="str">
            <v>MAU</v>
          </cell>
        </row>
        <row r="654">
          <cell r="E654" t="str">
            <v>24</v>
          </cell>
          <cell r="J654">
            <v>15744.209999999031</v>
          </cell>
          <cell r="K654">
            <v>981784.47000000067</v>
          </cell>
          <cell r="AL654">
            <v>0</v>
          </cell>
          <cell r="BJ654" t="str">
            <v>MAU</v>
          </cell>
        </row>
        <row r="655">
          <cell r="E655" t="str">
            <v>24</v>
          </cell>
          <cell r="J655">
            <v>14770.750000000931</v>
          </cell>
          <cell r="K655">
            <v>70182.290000000037</v>
          </cell>
          <cell r="AL655">
            <v>0</v>
          </cell>
          <cell r="BJ655" t="str">
            <v>MAU</v>
          </cell>
        </row>
        <row r="656">
          <cell r="E656" t="str">
            <v>24</v>
          </cell>
          <cell r="J656">
            <v>0</v>
          </cell>
          <cell r="K656">
            <v>0</v>
          </cell>
          <cell r="AL656">
            <v>0</v>
          </cell>
          <cell r="BJ656" t="str">
            <v>MAU</v>
          </cell>
        </row>
        <row r="657">
          <cell r="E657" t="str">
            <v>24</v>
          </cell>
          <cell r="J657">
            <v>0</v>
          </cell>
          <cell r="K657">
            <v>0</v>
          </cell>
          <cell r="AL657">
            <v>0</v>
          </cell>
          <cell r="BJ657" t="str">
            <v>MAU</v>
          </cell>
        </row>
        <row r="658">
          <cell r="E658" t="str">
            <v>24</v>
          </cell>
          <cell r="J658">
            <v>-1500</v>
          </cell>
          <cell r="K658">
            <v>0</v>
          </cell>
          <cell r="AL658">
            <v>0</v>
          </cell>
          <cell r="BJ658" t="str">
            <v>MAU</v>
          </cell>
        </row>
        <row r="659">
          <cell r="E659" t="str">
            <v>24</v>
          </cell>
          <cell r="J659">
            <v>-1537.99</v>
          </cell>
          <cell r="K659">
            <v>0</v>
          </cell>
          <cell r="AL659">
            <v>0</v>
          </cell>
          <cell r="BJ659" t="str">
            <v>MAU</v>
          </cell>
        </row>
        <row r="660">
          <cell r="E660" t="str">
            <v>24</v>
          </cell>
          <cell r="J660">
            <v>0</v>
          </cell>
          <cell r="K660">
            <v>0</v>
          </cell>
          <cell r="AL660">
            <v>0</v>
          </cell>
          <cell r="BJ660" t="str">
            <v>MAU</v>
          </cell>
        </row>
        <row r="661">
          <cell r="E661" t="str">
            <v>24</v>
          </cell>
          <cell r="J661">
            <v>0</v>
          </cell>
          <cell r="K661">
            <v>0</v>
          </cell>
          <cell r="AL661">
            <v>0</v>
          </cell>
          <cell r="BJ661" t="str">
            <v>MAU</v>
          </cell>
        </row>
        <row r="662">
          <cell r="E662" t="str">
            <v>24</v>
          </cell>
          <cell r="J662">
            <v>0</v>
          </cell>
          <cell r="K662">
            <v>0</v>
          </cell>
          <cell r="AL662">
            <v>0</v>
          </cell>
          <cell r="BJ662" t="str">
            <v>MAU</v>
          </cell>
        </row>
        <row r="663">
          <cell r="E663" t="str">
            <v>24</v>
          </cell>
          <cell r="J663">
            <v>0</v>
          </cell>
          <cell r="K663">
            <v>0</v>
          </cell>
          <cell r="AL663">
            <v>0</v>
          </cell>
          <cell r="BJ663" t="str">
            <v>MAU</v>
          </cell>
        </row>
        <row r="664">
          <cell r="E664" t="str">
            <v>24</v>
          </cell>
          <cell r="J664">
            <v>0</v>
          </cell>
          <cell r="K664">
            <v>0</v>
          </cell>
          <cell r="AL664">
            <v>0</v>
          </cell>
          <cell r="BJ664" t="str">
            <v>MAU</v>
          </cell>
        </row>
        <row r="665">
          <cell r="E665" t="str">
            <v>24</v>
          </cell>
          <cell r="J665">
            <v>0</v>
          </cell>
          <cell r="K665">
            <v>0</v>
          </cell>
          <cell r="AL665">
            <v>0</v>
          </cell>
          <cell r="BJ665" t="str">
            <v>MAU</v>
          </cell>
        </row>
        <row r="666">
          <cell r="E666" t="str">
            <v>24</v>
          </cell>
          <cell r="J666">
            <v>0</v>
          </cell>
          <cell r="K666">
            <v>0</v>
          </cell>
          <cell r="AL666">
            <v>0</v>
          </cell>
          <cell r="BJ666" t="str">
            <v>MAU</v>
          </cell>
        </row>
        <row r="667">
          <cell r="E667" t="str">
            <v>24</v>
          </cell>
          <cell r="J667">
            <v>0</v>
          </cell>
          <cell r="K667">
            <v>0</v>
          </cell>
          <cell r="AL667">
            <v>0</v>
          </cell>
          <cell r="BJ667" t="str">
            <v>MAU</v>
          </cell>
        </row>
        <row r="668">
          <cell r="E668" t="str">
            <v>24</v>
          </cell>
          <cell r="J668">
            <v>0</v>
          </cell>
          <cell r="K668">
            <v>0</v>
          </cell>
          <cell r="AL668">
            <v>0</v>
          </cell>
          <cell r="BJ668" t="str">
            <v>MAU</v>
          </cell>
        </row>
        <row r="669">
          <cell r="E669" t="str">
            <v>24</v>
          </cell>
          <cell r="J669">
            <v>0</v>
          </cell>
          <cell r="K669">
            <v>0</v>
          </cell>
          <cell r="AL669">
            <v>0</v>
          </cell>
          <cell r="BJ669" t="str">
            <v>MAU</v>
          </cell>
        </row>
        <row r="670">
          <cell r="E670" t="str">
            <v>24</v>
          </cell>
          <cell r="J670">
            <v>0</v>
          </cell>
          <cell r="K670">
            <v>0</v>
          </cell>
          <cell r="AL670">
            <v>0</v>
          </cell>
          <cell r="BJ670" t="str">
            <v>MAU</v>
          </cell>
        </row>
        <row r="671">
          <cell r="E671" t="str">
            <v>24</v>
          </cell>
          <cell r="J671">
            <v>0</v>
          </cell>
          <cell r="K671">
            <v>0</v>
          </cell>
          <cell r="AL671">
            <v>0</v>
          </cell>
          <cell r="BJ671" t="str">
            <v>MAU</v>
          </cell>
        </row>
        <row r="672">
          <cell r="E672" t="str">
            <v>24</v>
          </cell>
          <cell r="J672">
            <v>0</v>
          </cell>
          <cell r="K672">
            <v>0</v>
          </cell>
          <cell r="AL672">
            <v>0</v>
          </cell>
          <cell r="BJ672" t="str">
            <v>MAU</v>
          </cell>
        </row>
        <row r="673">
          <cell r="E673" t="str">
            <v>24</v>
          </cell>
          <cell r="J673">
            <v>0</v>
          </cell>
          <cell r="K673">
            <v>0</v>
          </cell>
          <cell r="AL673">
            <v>0</v>
          </cell>
          <cell r="BJ673" t="str">
            <v>MAU</v>
          </cell>
        </row>
        <row r="674">
          <cell r="E674" t="str">
            <v>24</v>
          </cell>
          <cell r="J674">
            <v>0</v>
          </cell>
          <cell r="K674">
            <v>0</v>
          </cell>
          <cell r="AL674">
            <v>0</v>
          </cell>
          <cell r="BJ674" t="str">
            <v>MAU</v>
          </cell>
        </row>
        <row r="675">
          <cell r="E675" t="str">
            <v>24</v>
          </cell>
          <cell r="J675">
            <v>0</v>
          </cell>
          <cell r="K675">
            <v>0</v>
          </cell>
          <cell r="AL675">
            <v>0</v>
          </cell>
          <cell r="BJ675" t="str">
            <v>MAU</v>
          </cell>
        </row>
        <row r="676">
          <cell r="E676" t="str">
            <v>24</v>
          </cell>
          <cell r="J676">
            <v>0</v>
          </cell>
          <cell r="K676">
            <v>0</v>
          </cell>
          <cell r="AL676">
            <v>0</v>
          </cell>
          <cell r="BJ676" t="str">
            <v>MAU</v>
          </cell>
        </row>
        <row r="677">
          <cell r="E677" t="str">
            <v>24</v>
          </cell>
          <cell r="J677">
            <v>0</v>
          </cell>
          <cell r="K677">
            <v>0</v>
          </cell>
          <cell r="AL677">
            <v>0</v>
          </cell>
          <cell r="BJ677" t="str">
            <v>MAU</v>
          </cell>
        </row>
        <row r="678">
          <cell r="E678" t="str">
            <v>24</v>
          </cell>
          <cell r="J678">
            <v>0</v>
          </cell>
          <cell r="K678">
            <v>0</v>
          </cell>
          <cell r="AL678">
            <v>0</v>
          </cell>
          <cell r="BJ678" t="str">
            <v>MAU</v>
          </cell>
        </row>
        <row r="679">
          <cell r="E679" t="str">
            <v>24</v>
          </cell>
          <cell r="J679">
            <v>0</v>
          </cell>
          <cell r="K679">
            <v>0</v>
          </cell>
          <cell r="AL679">
            <v>0</v>
          </cell>
          <cell r="BJ679" t="str">
            <v>MAU</v>
          </cell>
        </row>
        <row r="680">
          <cell r="E680" t="str">
            <v>24</v>
          </cell>
          <cell r="J680">
            <v>0</v>
          </cell>
          <cell r="K680">
            <v>0</v>
          </cell>
          <cell r="AL680">
            <v>0</v>
          </cell>
          <cell r="BJ680" t="str">
            <v>MAU</v>
          </cell>
        </row>
        <row r="681">
          <cell r="E681" t="str">
            <v>24</v>
          </cell>
          <cell r="J681">
            <v>0</v>
          </cell>
          <cell r="K681">
            <v>0</v>
          </cell>
          <cell r="AL681">
            <v>0</v>
          </cell>
          <cell r="BJ681" t="str">
            <v>MAU</v>
          </cell>
        </row>
        <row r="682">
          <cell r="E682" t="str">
            <v>38</v>
          </cell>
          <cell r="J682">
            <v>0</v>
          </cell>
          <cell r="K682">
            <v>0</v>
          </cell>
          <cell r="AL682">
            <v>0</v>
          </cell>
          <cell r="BJ682" t="str">
            <v>MAU</v>
          </cell>
        </row>
        <row r="683">
          <cell r="E683" t="str">
            <v>38</v>
          </cell>
          <cell r="J683">
            <v>0</v>
          </cell>
          <cell r="K683">
            <v>0</v>
          </cell>
          <cell r="AL683">
            <v>0</v>
          </cell>
          <cell r="BJ683" t="str">
            <v>MAU</v>
          </cell>
        </row>
        <row r="684">
          <cell r="E684" t="str">
            <v>38</v>
          </cell>
          <cell r="J684">
            <v>0</v>
          </cell>
          <cell r="K684">
            <v>0</v>
          </cell>
          <cell r="AL684">
            <v>0</v>
          </cell>
          <cell r="BJ684" t="str">
            <v>MAU</v>
          </cell>
        </row>
        <row r="685">
          <cell r="E685" t="str">
            <v>38</v>
          </cell>
          <cell r="J685">
            <v>0</v>
          </cell>
          <cell r="K685">
            <v>0</v>
          </cell>
          <cell r="AL685">
            <v>0</v>
          </cell>
          <cell r="BJ685" t="str">
            <v>MAU</v>
          </cell>
        </row>
        <row r="686">
          <cell r="E686" t="str">
            <v>38</v>
          </cell>
          <cell r="J686">
            <v>0</v>
          </cell>
          <cell r="K686">
            <v>0</v>
          </cell>
          <cell r="AL686">
            <v>0</v>
          </cell>
          <cell r="BJ686" t="str">
            <v>MAU</v>
          </cell>
        </row>
        <row r="687">
          <cell r="E687" t="str">
            <v>38</v>
          </cell>
          <cell r="J687">
            <v>0</v>
          </cell>
          <cell r="K687">
            <v>0</v>
          </cell>
          <cell r="AL687">
            <v>0</v>
          </cell>
          <cell r="BJ687" t="str">
            <v>MAU</v>
          </cell>
        </row>
        <row r="688">
          <cell r="E688" t="str">
            <v>38</v>
          </cell>
          <cell r="J688">
            <v>0</v>
          </cell>
          <cell r="K688">
            <v>100394.52</v>
          </cell>
          <cell r="AL688">
            <v>0</v>
          </cell>
          <cell r="BJ688" t="str">
            <v>MAU</v>
          </cell>
        </row>
        <row r="689">
          <cell r="E689" t="str">
            <v>38</v>
          </cell>
          <cell r="J689">
            <v>0</v>
          </cell>
          <cell r="K689">
            <v>0</v>
          </cell>
          <cell r="AL689">
            <v>0</v>
          </cell>
          <cell r="BJ689" t="str">
            <v>MAU</v>
          </cell>
        </row>
        <row r="690">
          <cell r="E690" t="str">
            <v>38</v>
          </cell>
          <cell r="J690">
            <v>0</v>
          </cell>
          <cell r="K690">
            <v>0</v>
          </cell>
          <cell r="AL690">
            <v>0</v>
          </cell>
          <cell r="BJ690" t="str">
            <v>MAU</v>
          </cell>
        </row>
        <row r="691">
          <cell r="E691" t="str">
            <v>38</v>
          </cell>
          <cell r="J691">
            <v>0</v>
          </cell>
          <cell r="K691">
            <v>0</v>
          </cell>
          <cell r="AL691">
            <v>0</v>
          </cell>
          <cell r="BJ691" t="str">
            <v>MAU</v>
          </cell>
        </row>
        <row r="692">
          <cell r="E692" t="str">
            <v>38</v>
          </cell>
          <cell r="J692">
            <v>2050142.56</v>
          </cell>
          <cell r="K692">
            <v>-9827.8300000005402</v>
          </cell>
          <cell r="AL692">
            <v>0</v>
          </cell>
          <cell r="BJ692" t="str">
            <v>MAU</v>
          </cell>
        </row>
        <row r="693">
          <cell r="E693" t="str">
            <v>38</v>
          </cell>
          <cell r="J693">
            <v>704667.20999999985</v>
          </cell>
          <cell r="K693">
            <v>0</v>
          </cell>
          <cell r="AL693">
            <v>0</v>
          </cell>
          <cell r="BJ693" t="str">
            <v>MAU</v>
          </cell>
        </row>
        <row r="694">
          <cell r="E694" t="str">
            <v>38</v>
          </cell>
          <cell r="J694">
            <v>1747463.42</v>
          </cell>
          <cell r="K694">
            <v>153144.40000000037</v>
          </cell>
          <cell r="AL694">
            <v>0</v>
          </cell>
          <cell r="BJ694" t="str">
            <v>MAU</v>
          </cell>
        </row>
        <row r="695">
          <cell r="E695" t="str">
            <v>38</v>
          </cell>
          <cell r="J695">
            <v>399840.99999999977</v>
          </cell>
          <cell r="K695">
            <v>1358.3700000001118</v>
          </cell>
          <cell r="AL695">
            <v>0</v>
          </cell>
          <cell r="BJ695" t="str">
            <v>MAU</v>
          </cell>
        </row>
        <row r="696">
          <cell r="E696" t="str">
            <v>38</v>
          </cell>
          <cell r="J696">
            <v>1795.640000000596</v>
          </cell>
          <cell r="K696">
            <v>30.520000000484288</v>
          </cell>
          <cell r="AL696">
            <v>0</v>
          </cell>
          <cell r="BJ696" t="str">
            <v>MAU</v>
          </cell>
        </row>
        <row r="697">
          <cell r="E697" t="str">
            <v>38</v>
          </cell>
          <cell r="J697">
            <v>409442.41999999993</v>
          </cell>
          <cell r="K697">
            <v>226577.90999999992</v>
          </cell>
          <cell r="AL697">
            <v>0</v>
          </cell>
          <cell r="BJ697" t="str">
            <v>MAU</v>
          </cell>
        </row>
        <row r="698">
          <cell r="E698" t="str">
            <v>38</v>
          </cell>
          <cell r="J698">
            <v>3443.5</v>
          </cell>
          <cell r="K698">
            <v>0</v>
          </cell>
          <cell r="AL698">
            <v>0</v>
          </cell>
          <cell r="BJ698" t="str">
            <v>MAU</v>
          </cell>
        </row>
        <row r="699">
          <cell r="E699" t="str">
            <v>38</v>
          </cell>
          <cell r="J699">
            <v>0</v>
          </cell>
          <cell r="K699">
            <v>0</v>
          </cell>
          <cell r="AL699">
            <v>0</v>
          </cell>
          <cell r="BJ699" t="str">
            <v>MAU</v>
          </cell>
        </row>
        <row r="700">
          <cell r="E700" t="str">
            <v>38</v>
          </cell>
          <cell r="J700">
            <v>60661.440000000002</v>
          </cell>
          <cell r="K700">
            <v>-10000</v>
          </cell>
          <cell r="AL700">
            <v>0</v>
          </cell>
          <cell r="BJ700" t="str">
            <v>MAU</v>
          </cell>
        </row>
        <row r="701">
          <cell r="E701" t="str">
            <v>38</v>
          </cell>
          <cell r="J701">
            <v>0</v>
          </cell>
          <cell r="K701">
            <v>0</v>
          </cell>
          <cell r="AL701">
            <v>0</v>
          </cell>
          <cell r="BJ701" t="str">
            <v>MAU</v>
          </cell>
        </row>
        <row r="702">
          <cell r="E702" t="str">
            <v>38</v>
          </cell>
          <cell r="J702">
            <v>0</v>
          </cell>
          <cell r="K702">
            <v>0</v>
          </cell>
          <cell r="AL702">
            <v>0</v>
          </cell>
          <cell r="BJ702" t="str">
            <v>MAU</v>
          </cell>
        </row>
        <row r="703">
          <cell r="E703" t="str">
            <v>38</v>
          </cell>
          <cell r="J703">
            <v>297000</v>
          </cell>
          <cell r="K703">
            <v>0</v>
          </cell>
          <cell r="AL703">
            <v>0</v>
          </cell>
          <cell r="BJ703" t="str">
            <v>MAU</v>
          </cell>
        </row>
        <row r="704">
          <cell r="E704" t="str">
            <v>38</v>
          </cell>
          <cell r="J704">
            <v>1137634.3900000001</v>
          </cell>
          <cell r="K704">
            <v>0</v>
          </cell>
          <cell r="AL704">
            <v>0</v>
          </cell>
          <cell r="BJ704" t="str">
            <v>MAU</v>
          </cell>
        </row>
        <row r="705">
          <cell r="E705" t="str">
            <v>38</v>
          </cell>
          <cell r="J705">
            <v>550000</v>
          </cell>
          <cell r="K705">
            <v>0</v>
          </cell>
          <cell r="AL705">
            <v>0</v>
          </cell>
          <cell r="BJ705" t="str">
            <v>MAU</v>
          </cell>
        </row>
        <row r="706">
          <cell r="E706" t="str">
            <v>38</v>
          </cell>
          <cell r="J706">
            <v>0</v>
          </cell>
          <cell r="K706">
            <v>0</v>
          </cell>
          <cell r="AL706">
            <v>0</v>
          </cell>
          <cell r="BJ706" t="str">
            <v>MAU</v>
          </cell>
        </row>
        <row r="707">
          <cell r="E707" t="str">
            <v>38</v>
          </cell>
          <cell r="J707">
            <v>500000</v>
          </cell>
          <cell r="K707">
            <v>0</v>
          </cell>
          <cell r="AL707">
            <v>0</v>
          </cell>
          <cell r="BJ707" t="str">
            <v>MAU</v>
          </cell>
        </row>
        <row r="708">
          <cell r="E708" t="str">
            <v>38</v>
          </cell>
          <cell r="J708">
            <v>0</v>
          </cell>
          <cell r="K708">
            <v>0</v>
          </cell>
          <cell r="AL708">
            <v>0</v>
          </cell>
          <cell r="BJ708" t="str">
            <v>MAU</v>
          </cell>
        </row>
        <row r="709">
          <cell r="E709" t="str">
            <v>35</v>
          </cell>
          <cell r="J709">
            <v>0</v>
          </cell>
          <cell r="K709">
            <v>0</v>
          </cell>
          <cell r="AL709">
            <v>0</v>
          </cell>
          <cell r="BJ709" t="str">
            <v>MAU</v>
          </cell>
        </row>
        <row r="710">
          <cell r="E710" t="str">
            <v>35</v>
          </cell>
          <cell r="J710">
            <v>0</v>
          </cell>
          <cell r="K710">
            <v>0</v>
          </cell>
          <cell r="AL710">
            <v>0</v>
          </cell>
          <cell r="BJ710" t="str">
            <v>MAU</v>
          </cell>
        </row>
        <row r="711">
          <cell r="E711" t="str">
            <v>35</v>
          </cell>
          <cell r="J711">
            <v>0</v>
          </cell>
          <cell r="K711">
            <v>0</v>
          </cell>
          <cell r="AL711">
            <v>0</v>
          </cell>
          <cell r="BJ711" t="str">
            <v>MAU</v>
          </cell>
        </row>
        <row r="712">
          <cell r="E712" t="str">
            <v>35</v>
          </cell>
          <cell r="J712">
            <v>0</v>
          </cell>
          <cell r="K712">
            <v>0</v>
          </cell>
          <cell r="AL712">
            <v>0</v>
          </cell>
          <cell r="BJ712" t="str">
            <v>MAU</v>
          </cell>
        </row>
        <row r="713">
          <cell r="E713" t="str">
            <v>35</v>
          </cell>
          <cell r="J713">
            <v>0</v>
          </cell>
          <cell r="K713">
            <v>0</v>
          </cell>
          <cell r="AL713">
            <v>0</v>
          </cell>
          <cell r="BJ713" t="str">
            <v>MAU</v>
          </cell>
        </row>
        <row r="714">
          <cell r="E714" t="str">
            <v>35</v>
          </cell>
          <cell r="J714">
            <v>0</v>
          </cell>
          <cell r="K714">
            <v>0</v>
          </cell>
          <cell r="AL714">
            <v>0</v>
          </cell>
          <cell r="BJ714" t="str">
            <v>MAU</v>
          </cell>
        </row>
        <row r="715">
          <cell r="E715" t="str">
            <v>35</v>
          </cell>
          <cell r="J715">
            <v>0</v>
          </cell>
          <cell r="K715">
            <v>0</v>
          </cell>
          <cell r="AL715">
            <v>0</v>
          </cell>
          <cell r="BJ715" t="str">
            <v>MAU</v>
          </cell>
        </row>
        <row r="716">
          <cell r="E716" t="str">
            <v>35</v>
          </cell>
          <cell r="J716">
            <v>0</v>
          </cell>
          <cell r="K716">
            <v>0</v>
          </cell>
          <cell r="AL716">
            <v>0</v>
          </cell>
          <cell r="BJ716" t="str">
            <v>MAU</v>
          </cell>
        </row>
        <row r="717">
          <cell r="E717" t="str">
            <v>35</v>
          </cell>
          <cell r="J717">
            <v>0</v>
          </cell>
          <cell r="K717">
            <v>0</v>
          </cell>
          <cell r="AL717">
            <v>0</v>
          </cell>
          <cell r="BJ717" t="str">
            <v>MAU</v>
          </cell>
        </row>
        <row r="718">
          <cell r="E718" t="str">
            <v>35</v>
          </cell>
          <cell r="J718">
            <v>0</v>
          </cell>
          <cell r="K718">
            <v>0</v>
          </cell>
          <cell r="AL718">
            <v>0</v>
          </cell>
          <cell r="BJ718" t="str">
            <v>MAU</v>
          </cell>
        </row>
        <row r="719">
          <cell r="E719" t="str">
            <v>35</v>
          </cell>
          <cell r="J719">
            <v>282000</v>
          </cell>
          <cell r="K719">
            <v>36000</v>
          </cell>
          <cell r="AL719">
            <v>0</v>
          </cell>
          <cell r="BJ719" t="str">
            <v>MAU</v>
          </cell>
        </row>
        <row r="720">
          <cell r="E720" t="str">
            <v>35</v>
          </cell>
          <cell r="J720">
            <v>-28966.67</v>
          </cell>
          <cell r="K720">
            <v>-5300</v>
          </cell>
          <cell r="AL720">
            <v>0</v>
          </cell>
          <cell r="BJ720" t="str">
            <v>MAU</v>
          </cell>
        </row>
        <row r="721">
          <cell r="E721" t="str">
            <v>35</v>
          </cell>
          <cell r="J721">
            <v>0</v>
          </cell>
          <cell r="K721">
            <v>0</v>
          </cell>
          <cell r="AL721">
            <v>0</v>
          </cell>
          <cell r="BJ721" t="str">
            <v>MAU</v>
          </cell>
        </row>
        <row r="722">
          <cell r="E722" t="str">
            <v>35</v>
          </cell>
          <cell r="J722">
            <v>0</v>
          </cell>
          <cell r="K722">
            <v>0</v>
          </cell>
          <cell r="AL722">
            <v>0</v>
          </cell>
          <cell r="BJ722" t="str">
            <v>MAU</v>
          </cell>
        </row>
        <row r="723">
          <cell r="E723" t="str">
            <v>47</v>
          </cell>
          <cell r="J723">
            <v>0</v>
          </cell>
          <cell r="K723">
            <v>0</v>
          </cell>
          <cell r="AL723">
            <v>0</v>
          </cell>
          <cell r="BJ723" t="str">
            <v>MAU</v>
          </cell>
        </row>
        <row r="724">
          <cell r="E724" t="str">
            <v>46</v>
          </cell>
          <cell r="J724">
            <v>0</v>
          </cell>
          <cell r="K724">
            <v>0</v>
          </cell>
          <cell r="AL724">
            <v>0</v>
          </cell>
          <cell r="BJ724" t="str">
            <v>MAU</v>
          </cell>
        </row>
        <row r="725">
          <cell r="E725" t="str">
            <v>47</v>
          </cell>
          <cell r="J725">
            <v>0</v>
          </cell>
          <cell r="K725">
            <v>0</v>
          </cell>
          <cell r="AL725">
            <v>0</v>
          </cell>
          <cell r="BJ725" t="str">
            <v>MAU</v>
          </cell>
        </row>
        <row r="726">
          <cell r="E726" t="str">
            <v>47</v>
          </cell>
          <cell r="J726">
            <v>0</v>
          </cell>
          <cell r="K726">
            <v>0</v>
          </cell>
          <cell r="AL726">
            <v>0</v>
          </cell>
          <cell r="BJ726" t="str">
            <v>MAU</v>
          </cell>
        </row>
        <row r="727">
          <cell r="E727" t="str">
            <v>48</v>
          </cell>
          <cell r="J727">
            <v>0</v>
          </cell>
          <cell r="K727">
            <v>0</v>
          </cell>
          <cell r="AL727">
            <v>0</v>
          </cell>
          <cell r="BJ727" t="str">
            <v>MAU</v>
          </cell>
        </row>
        <row r="728">
          <cell r="E728" t="str">
            <v>47</v>
          </cell>
          <cell r="J728">
            <v>0</v>
          </cell>
          <cell r="K728">
            <v>0</v>
          </cell>
          <cell r="AL728">
            <v>0</v>
          </cell>
          <cell r="BJ728" t="str">
            <v>MAU</v>
          </cell>
        </row>
        <row r="729">
          <cell r="E729" t="str">
            <v>47</v>
          </cell>
          <cell r="J729">
            <v>0</v>
          </cell>
          <cell r="K729">
            <v>0</v>
          </cell>
          <cell r="AL729">
            <v>0</v>
          </cell>
          <cell r="BJ729" t="str">
            <v>MAU</v>
          </cell>
        </row>
        <row r="730">
          <cell r="E730" t="str">
            <v>47</v>
          </cell>
          <cell r="J730">
            <v>0</v>
          </cell>
          <cell r="K730">
            <v>0</v>
          </cell>
          <cell r="AL730">
            <v>0</v>
          </cell>
          <cell r="BJ730" t="str">
            <v>MAU</v>
          </cell>
        </row>
        <row r="731">
          <cell r="E731" t="str">
            <v>47</v>
          </cell>
          <cell r="J731">
            <v>0</v>
          </cell>
          <cell r="K731">
            <v>0</v>
          </cell>
          <cell r="AL731">
            <v>0</v>
          </cell>
          <cell r="BJ731" t="str">
            <v>MAU</v>
          </cell>
        </row>
        <row r="732">
          <cell r="E732" t="str">
            <v>47</v>
          </cell>
          <cell r="J732">
            <v>0</v>
          </cell>
          <cell r="K732">
            <v>0</v>
          </cell>
          <cell r="AL732">
            <v>0</v>
          </cell>
          <cell r="BJ732" t="str">
            <v>MAU</v>
          </cell>
        </row>
        <row r="733">
          <cell r="E733" t="str">
            <v>38</v>
          </cell>
          <cell r="J733">
            <v>0</v>
          </cell>
          <cell r="K733">
            <v>0</v>
          </cell>
          <cell r="AL733">
            <v>0</v>
          </cell>
          <cell r="BJ733" t="str">
            <v>MAU</v>
          </cell>
        </row>
        <row r="734">
          <cell r="E734" t="str">
            <v>38</v>
          </cell>
          <cell r="J734">
            <v>0</v>
          </cell>
          <cell r="K734">
            <v>0</v>
          </cell>
          <cell r="AL734">
            <v>0</v>
          </cell>
          <cell r="BJ734" t="str">
            <v>MAU</v>
          </cell>
        </row>
        <row r="735">
          <cell r="E735" t="str">
            <v>50</v>
          </cell>
          <cell r="J735">
            <v>0</v>
          </cell>
          <cell r="K735">
            <v>0</v>
          </cell>
          <cell r="AL735">
            <v>0</v>
          </cell>
          <cell r="BJ735" t="str">
            <v>MAU</v>
          </cell>
        </row>
        <row r="736">
          <cell r="E736" t="str">
            <v>45</v>
          </cell>
          <cell r="J736">
            <v>361817.3200000003</v>
          </cell>
          <cell r="K736">
            <v>524071.84999999963</v>
          </cell>
          <cell r="AL736">
            <v>0</v>
          </cell>
          <cell r="BJ736" t="str">
            <v>MAU</v>
          </cell>
        </row>
        <row r="737">
          <cell r="E737" t="str">
            <v>45</v>
          </cell>
          <cell r="J737">
            <v>0</v>
          </cell>
          <cell r="K737">
            <v>0</v>
          </cell>
          <cell r="AL737">
            <v>0</v>
          </cell>
          <cell r="BJ737" t="str">
            <v>MAU</v>
          </cell>
        </row>
        <row r="738">
          <cell r="E738" t="str">
            <v>45</v>
          </cell>
          <cell r="J738">
            <v>0</v>
          </cell>
          <cell r="K738">
            <v>0</v>
          </cell>
          <cell r="AL738">
            <v>0</v>
          </cell>
          <cell r="BJ738" t="str">
            <v>MAU</v>
          </cell>
        </row>
        <row r="739">
          <cell r="E739" t="str">
            <v>45</v>
          </cell>
          <cell r="J739">
            <v>0</v>
          </cell>
          <cell r="K739">
            <v>0</v>
          </cell>
          <cell r="AL739">
            <v>0</v>
          </cell>
          <cell r="BJ739" t="str">
            <v>MAU</v>
          </cell>
        </row>
        <row r="740">
          <cell r="E740" t="str">
            <v>45</v>
          </cell>
          <cell r="J740">
            <v>0</v>
          </cell>
          <cell r="K740">
            <v>0</v>
          </cell>
          <cell r="AL740">
            <v>0</v>
          </cell>
          <cell r="BJ740" t="str">
            <v>MAU</v>
          </cell>
        </row>
        <row r="741">
          <cell r="E741" t="str">
            <v>45</v>
          </cell>
          <cell r="J741">
            <v>0</v>
          </cell>
          <cell r="K741">
            <v>0</v>
          </cell>
          <cell r="AL741">
            <v>0</v>
          </cell>
          <cell r="BJ741" t="str">
            <v>MAU</v>
          </cell>
        </row>
        <row r="742">
          <cell r="E742" t="str">
            <v>45</v>
          </cell>
          <cell r="J742">
            <v>0</v>
          </cell>
          <cell r="K742">
            <v>0</v>
          </cell>
          <cell r="AL742">
            <v>0</v>
          </cell>
          <cell r="BJ742" t="str">
            <v>MAU</v>
          </cell>
        </row>
        <row r="743">
          <cell r="E743" t="str">
            <v>45</v>
          </cell>
          <cell r="J743">
            <v>0</v>
          </cell>
          <cell r="K743">
            <v>0</v>
          </cell>
          <cell r="AL743">
            <v>0</v>
          </cell>
          <cell r="BJ743" t="str">
            <v>MAU</v>
          </cell>
        </row>
        <row r="744">
          <cell r="E744" t="str">
            <v>45</v>
          </cell>
          <cell r="J744">
            <v>0</v>
          </cell>
          <cell r="K744">
            <v>0</v>
          </cell>
          <cell r="AL744">
            <v>0</v>
          </cell>
          <cell r="BJ744" t="str">
            <v>MAU</v>
          </cell>
        </row>
        <row r="745">
          <cell r="E745" t="str">
            <v>45</v>
          </cell>
          <cell r="J745">
            <v>0</v>
          </cell>
          <cell r="K745">
            <v>0</v>
          </cell>
          <cell r="AL745">
            <v>0</v>
          </cell>
          <cell r="BJ745" t="str">
            <v>MAU</v>
          </cell>
        </row>
        <row r="746">
          <cell r="E746" t="str">
            <v>45</v>
          </cell>
          <cell r="J746">
            <v>0</v>
          </cell>
          <cell r="K746">
            <v>0</v>
          </cell>
          <cell r="AL746">
            <v>0</v>
          </cell>
          <cell r="BJ746" t="str">
            <v>MAU</v>
          </cell>
        </row>
        <row r="747">
          <cell r="E747" t="str">
            <v>45</v>
          </cell>
          <cell r="J747">
            <v>0</v>
          </cell>
          <cell r="K747">
            <v>0</v>
          </cell>
          <cell r="AL747">
            <v>0</v>
          </cell>
          <cell r="BJ747" t="str">
            <v>MAU</v>
          </cell>
        </row>
        <row r="748">
          <cell r="E748" t="str">
            <v>45</v>
          </cell>
          <cell r="J748">
            <v>0</v>
          </cell>
          <cell r="K748">
            <v>0</v>
          </cell>
          <cell r="AL748">
            <v>0</v>
          </cell>
          <cell r="BJ748" t="str">
            <v>MAU</v>
          </cell>
        </row>
        <row r="749">
          <cell r="E749" t="str">
            <v>45</v>
          </cell>
          <cell r="J749">
            <v>0</v>
          </cell>
          <cell r="K749">
            <v>0</v>
          </cell>
          <cell r="AL749">
            <v>0</v>
          </cell>
          <cell r="BJ749" t="str">
            <v>MAU</v>
          </cell>
        </row>
        <row r="750">
          <cell r="E750" t="str">
            <v>50</v>
          </cell>
          <cell r="J750">
            <v>29267.860000000102</v>
          </cell>
          <cell r="K750">
            <v>2750</v>
          </cell>
          <cell r="AL750">
            <v>0</v>
          </cell>
          <cell r="BJ750" t="str">
            <v>MAU</v>
          </cell>
        </row>
        <row r="751">
          <cell r="E751" t="str">
            <v>50</v>
          </cell>
          <cell r="J751">
            <v>0</v>
          </cell>
          <cell r="K751">
            <v>0</v>
          </cell>
          <cell r="AL751">
            <v>0</v>
          </cell>
          <cell r="BJ751" t="str">
            <v>MAU</v>
          </cell>
        </row>
        <row r="752">
          <cell r="E752" t="str">
            <v>50</v>
          </cell>
          <cell r="J752">
            <v>0</v>
          </cell>
          <cell r="K752">
            <v>0</v>
          </cell>
          <cell r="AL752">
            <v>0</v>
          </cell>
          <cell r="BJ752" t="str">
            <v>MAU</v>
          </cell>
        </row>
        <row r="753">
          <cell r="E753" t="str">
            <v>51</v>
          </cell>
          <cell r="J753">
            <v>0</v>
          </cell>
          <cell r="K753">
            <v>0</v>
          </cell>
          <cell r="AL753">
            <v>0</v>
          </cell>
          <cell r="BJ753" t="str">
            <v>MAU</v>
          </cell>
        </row>
        <row r="754">
          <cell r="E754" t="str">
            <v>50</v>
          </cell>
          <cell r="J754">
            <v>0</v>
          </cell>
          <cell r="K754">
            <v>0</v>
          </cell>
          <cell r="AL754">
            <v>0</v>
          </cell>
          <cell r="BJ754" t="str">
            <v>MAU</v>
          </cell>
        </row>
        <row r="755">
          <cell r="E755" t="str">
            <v>50</v>
          </cell>
          <cell r="J755">
            <v>0</v>
          </cell>
          <cell r="K755">
            <v>0</v>
          </cell>
          <cell r="AL755">
            <v>0</v>
          </cell>
          <cell r="BJ755" t="str">
            <v>MAU</v>
          </cell>
        </row>
        <row r="756">
          <cell r="E756" t="str">
            <v>50</v>
          </cell>
          <cell r="J756">
            <v>0</v>
          </cell>
          <cell r="K756">
            <v>0</v>
          </cell>
          <cell r="AL756">
            <v>0</v>
          </cell>
          <cell r="BJ756" t="str">
            <v>MAU</v>
          </cell>
        </row>
        <row r="757">
          <cell r="E757" t="str">
            <v>50</v>
          </cell>
          <cell r="J757">
            <v>0</v>
          </cell>
          <cell r="K757">
            <v>0</v>
          </cell>
          <cell r="AL757">
            <v>0</v>
          </cell>
          <cell r="BJ757" t="str">
            <v>MAU</v>
          </cell>
        </row>
        <row r="758">
          <cell r="E758" t="str">
            <v>50</v>
          </cell>
          <cell r="J758">
            <v>0</v>
          </cell>
          <cell r="K758">
            <v>0</v>
          </cell>
          <cell r="AL758">
            <v>0</v>
          </cell>
          <cell r="BJ758" t="str">
            <v>MAU</v>
          </cell>
        </row>
        <row r="759">
          <cell r="E759" t="str">
            <v>50</v>
          </cell>
          <cell r="J759">
            <v>15</v>
          </cell>
          <cell r="K759">
            <v>0</v>
          </cell>
          <cell r="AL759">
            <v>0</v>
          </cell>
          <cell r="BJ759" t="str">
            <v>MAU</v>
          </cell>
        </row>
        <row r="760">
          <cell r="E760" t="str">
            <v>50</v>
          </cell>
          <cell r="J760">
            <v>0</v>
          </cell>
          <cell r="K760">
            <v>0</v>
          </cell>
          <cell r="AL760">
            <v>0</v>
          </cell>
          <cell r="BJ760" t="str">
            <v>MAU</v>
          </cell>
        </row>
        <row r="761">
          <cell r="E761" t="str">
            <v>50</v>
          </cell>
          <cell r="J761">
            <v>0</v>
          </cell>
          <cell r="K761">
            <v>0</v>
          </cell>
          <cell r="AL761">
            <v>0</v>
          </cell>
          <cell r="BJ761" t="str">
            <v>MAU</v>
          </cell>
        </row>
        <row r="762">
          <cell r="E762" t="str">
            <v>50</v>
          </cell>
          <cell r="J762">
            <v>0</v>
          </cell>
          <cell r="K762">
            <v>0</v>
          </cell>
          <cell r="AL762">
            <v>0</v>
          </cell>
          <cell r="BJ762" t="str">
            <v>MAU</v>
          </cell>
        </row>
        <row r="763">
          <cell r="E763" t="str">
            <v>50</v>
          </cell>
          <cell r="J763">
            <v>0</v>
          </cell>
          <cell r="K763">
            <v>0</v>
          </cell>
          <cell r="AL763">
            <v>0</v>
          </cell>
          <cell r="BJ763" t="str">
            <v>MAU</v>
          </cell>
        </row>
        <row r="764">
          <cell r="E764" t="str">
            <v>50</v>
          </cell>
          <cell r="J764">
            <v>0</v>
          </cell>
          <cell r="K764">
            <v>0</v>
          </cell>
          <cell r="AL764">
            <v>0</v>
          </cell>
          <cell r="BJ764" t="str">
            <v>MAU</v>
          </cell>
        </row>
        <row r="765">
          <cell r="E765" t="str">
            <v>10</v>
          </cell>
          <cell r="J765">
            <v>0</v>
          </cell>
          <cell r="K765">
            <v>60581.429999999993</v>
          </cell>
          <cell r="AL765">
            <v>0</v>
          </cell>
          <cell r="BJ765" t="str">
            <v>ZIM</v>
          </cell>
        </row>
        <row r="766">
          <cell r="E766" t="str">
            <v>10</v>
          </cell>
          <cell r="J766">
            <v>0</v>
          </cell>
          <cell r="K766">
            <v>13447.499999999993</v>
          </cell>
          <cell r="AL766">
            <v>0</v>
          </cell>
          <cell r="BJ766" t="str">
            <v>ZIM</v>
          </cell>
        </row>
        <row r="767">
          <cell r="E767" t="str">
            <v>10</v>
          </cell>
          <cell r="J767">
            <v>0</v>
          </cell>
          <cell r="K767">
            <v>53294.499999999971</v>
          </cell>
          <cell r="AL767">
            <v>0</v>
          </cell>
          <cell r="BJ767" t="str">
            <v>ZIM</v>
          </cell>
        </row>
        <row r="768">
          <cell r="E768" t="str">
            <v>10</v>
          </cell>
          <cell r="J768">
            <v>0</v>
          </cell>
          <cell r="K768">
            <v>49807.22</v>
          </cell>
          <cell r="AL768">
            <v>0</v>
          </cell>
          <cell r="BJ768" t="str">
            <v>ZIM</v>
          </cell>
        </row>
        <row r="769">
          <cell r="E769" t="str">
            <v>10</v>
          </cell>
          <cell r="J769">
            <v>0</v>
          </cell>
          <cell r="K769">
            <v>155.56999999999994</v>
          </cell>
          <cell r="AL769">
            <v>0</v>
          </cell>
          <cell r="BJ769" t="str">
            <v>ZIM</v>
          </cell>
        </row>
        <row r="770">
          <cell r="E770" t="str">
            <v>10</v>
          </cell>
          <cell r="J770">
            <v>0</v>
          </cell>
          <cell r="K770">
            <v>0</v>
          </cell>
          <cell r="AL770">
            <v>0</v>
          </cell>
          <cell r="BJ770" t="str">
            <v>ZIM</v>
          </cell>
        </row>
        <row r="771">
          <cell r="E771" t="str">
            <v>10</v>
          </cell>
          <cell r="J771">
            <v>0</v>
          </cell>
          <cell r="K771">
            <v>0</v>
          </cell>
          <cell r="AL771">
            <v>0</v>
          </cell>
          <cell r="BJ771" t="str">
            <v>ZIM</v>
          </cell>
        </row>
        <row r="772">
          <cell r="E772" t="str">
            <v>10</v>
          </cell>
          <cell r="J772">
            <v>0</v>
          </cell>
          <cell r="K772">
            <v>0</v>
          </cell>
          <cell r="AL772">
            <v>0</v>
          </cell>
          <cell r="BJ772" t="str">
            <v>ZIM</v>
          </cell>
        </row>
        <row r="773">
          <cell r="E773" t="str">
            <v>10</v>
          </cell>
          <cell r="J773">
            <v>0</v>
          </cell>
          <cell r="K773">
            <v>0</v>
          </cell>
          <cell r="AL773">
            <v>0</v>
          </cell>
          <cell r="BJ773" t="str">
            <v>ZIM</v>
          </cell>
        </row>
        <row r="774">
          <cell r="E774" t="str">
            <v>10</v>
          </cell>
          <cell r="J774">
            <v>0</v>
          </cell>
          <cell r="K774">
            <v>0</v>
          </cell>
          <cell r="AL774">
            <v>0</v>
          </cell>
          <cell r="BJ774" t="str">
            <v>ZIM</v>
          </cell>
        </row>
        <row r="775">
          <cell r="E775" t="str">
            <v>10</v>
          </cell>
          <cell r="J775">
            <v>0</v>
          </cell>
          <cell r="K775">
            <v>0</v>
          </cell>
          <cell r="AL775">
            <v>0</v>
          </cell>
          <cell r="BJ775" t="str">
            <v>ZIM</v>
          </cell>
        </row>
        <row r="776">
          <cell r="E776" t="str">
            <v>10</v>
          </cell>
          <cell r="J776">
            <v>0</v>
          </cell>
          <cell r="K776">
            <v>0</v>
          </cell>
          <cell r="AL776">
            <v>0</v>
          </cell>
          <cell r="BJ776" t="str">
            <v>ZIM</v>
          </cell>
        </row>
        <row r="777">
          <cell r="E777" t="str">
            <v>10</v>
          </cell>
          <cell r="J777">
            <v>0</v>
          </cell>
          <cell r="K777">
            <v>0</v>
          </cell>
          <cell r="AL777">
            <v>0</v>
          </cell>
          <cell r="BJ777" t="str">
            <v>ZIM</v>
          </cell>
        </row>
        <row r="778">
          <cell r="E778" t="str">
            <v>10</v>
          </cell>
          <cell r="J778">
            <v>0</v>
          </cell>
          <cell r="K778">
            <v>0</v>
          </cell>
          <cell r="AL778">
            <v>0</v>
          </cell>
          <cell r="BJ778" t="str">
            <v>ZIM</v>
          </cell>
        </row>
        <row r="779">
          <cell r="E779" t="str">
            <v>10</v>
          </cell>
          <cell r="J779">
            <v>0</v>
          </cell>
          <cell r="K779">
            <v>0</v>
          </cell>
          <cell r="AL779">
            <v>0</v>
          </cell>
          <cell r="BJ779" t="str">
            <v>ZIM</v>
          </cell>
        </row>
        <row r="780">
          <cell r="E780" t="str">
            <v>10</v>
          </cell>
          <cell r="J780">
            <v>0</v>
          </cell>
          <cell r="K780">
            <v>0</v>
          </cell>
          <cell r="AL780">
            <v>0</v>
          </cell>
          <cell r="BJ780" t="str">
            <v>ZIM</v>
          </cell>
        </row>
        <row r="781">
          <cell r="E781" t="str">
            <v>10</v>
          </cell>
          <cell r="J781">
            <v>0</v>
          </cell>
          <cell r="K781">
            <v>0</v>
          </cell>
          <cell r="AL781">
            <v>0</v>
          </cell>
          <cell r="BJ781" t="str">
            <v>ZIM</v>
          </cell>
        </row>
        <row r="782">
          <cell r="E782" t="str">
            <v>10</v>
          </cell>
          <cell r="J782">
            <v>0</v>
          </cell>
          <cell r="K782">
            <v>0</v>
          </cell>
          <cell r="AL782">
            <v>0</v>
          </cell>
          <cell r="BJ782" t="str">
            <v>ZIM</v>
          </cell>
        </row>
        <row r="783">
          <cell r="E783" t="str">
            <v>10</v>
          </cell>
          <cell r="J783">
            <v>0</v>
          </cell>
          <cell r="K783">
            <v>0</v>
          </cell>
          <cell r="AL783">
            <v>0</v>
          </cell>
          <cell r="BJ783" t="str">
            <v>ZIM</v>
          </cell>
        </row>
        <row r="784">
          <cell r="E784" t="str">
            <v>10</v>
          </cell>
          <cell r="J784">
            <v>0</v>
          </cell>
          <cell r="K784">
            <v>0</v>
          </cell>
          <cell r="AL784">
            <v>0</v>
          </cell>
          <cell r="BJ784" t="str">
            <v>ZIM</v>
          </cell>
        </row>
        <row r="785">
          <cell r="E785" t="str">
            <v>10</v>
          </cell>
          <cell r="J785">
            <v>0</v>
          </cell>
          <cell r="K785">
            <v>0</v>
          </cell>
          <cell r="AL785">
            <v>0</v>
          </cell>
          <cell r="BJ785" t="str">
            <v>ZIM</v>
          </cell>
        </row>
        <row r="786">
          <cell r="E786" t="str">
            <v>10</v>
          </cell>
          <cell r="J786">
            <v>0</v>
          </cell>
          <cell r="K786">
            <v>0</v>
          </cell>
          <cell r="AL786">
            <v>0</v>
          </cell>
          <cell r="BJ786" t="str">
            <v>ZIM</v>
          </cell>
        </row>
        <row r="787">
          <cell r="E787" t="str">
            <v>10</v>
          </cell>
          <cell r="J787">
            <v>0</v>
          </cell>
          <cell r="K787">
            <v>0</v>
          </cell>
          <cell r="AL787">
            <v>0</v>
          </cell>
          <cell r="BJ787" t="str">
            <v>ZIM</v>
          </cell>
        </row>
        <row r="788">
          <cell r="E788" t="str">
            <v>10</v>
          </cell>
          <cell r="J788">
            <v>0</v>
          </cell>
          <cell r="K788">
            <v>0</v>
          </cell>
          <cell r="AL788">
            <v>0</v>
          </cell>
          <cell r="BJ788" t="str">
            <v>ZIM</v>
          </cell>
        </row>
        <row r="789">
          <cell r="E789" t="str">
            <v>10</v>
          </cell>
          <cell r="J789">
            <v>0</v>
          </cell>
          <cell r="K789">
            <v>0</v>
          </cell>
          <cell r="AL789">
            <v>0</v>
          </cell>
          <cell r="BJ789" t="str">
            <v>ZIM</v>
          </cell>
        </row>
        <row r="790">
          <cell r="E790" t="str">
            <v>11</v>
          </cell>
          <cell r="J790">
            <v>0</v>
          </cell>
          <cell r="K790">
            <v>0</v>
          </cell>
          <cell r="AL790">
            <v>0</v>
          </cell>
          <cell r="BJ790" t="str">
            <v>ZIM</v>
          </cell>
        </row>
        <row r="791">
          <cell r="E791" t="str">
            <v>11</v>
          </cell>
          <cell r="J791">
            <v>0</v>
          </cell>
          <cell r="K791">
            <v>1358.37</v>
          </cell>
          <cell r="AL791">
            <v>0</v>
          </cell>
          <cell r="BJ791" t="str">
            <v>ZIM</v>
          </cell>
        </row>
        <row r="792">
          <cell r="E792" t="str">
            <v>11</v>
          </cell>
          <cell r="J792">
            <v>0</v>
          </cell>
          <cell r="K792">
            <v>0</v>
          </cell>
          <cell r="AL792">
            <v>0</v>
          </cell>
          <cell r="BJ792" t="str">
            <v>ZIM</v>
          </cell>
        </row>
        <row r="793">
          <cell r="E793" t="str">
            <v>11</v>
          </cell>
          <cell r="J793">
            <v>0</v>
          </cell>
          <cell r="K793">
            <v>13206.86</v>
          </cell>
          <cell r="AL793">
            <v>0</v>
          </cell>
          <cell r="BJ793" t="str">
            <v>ZIM</v>
          </cell>
        </row>
        <row r="794">
          <cell r="E794" t="str">
            <v>11</v>
          </cell>
          <cell r="J794">
            <v>0</v>
          </cell>
          <cell r="K794">
            <v>0</v>
          </cell>
          <cell r="AL794">
            <v>0</v>
          </cell>
          <cell r="BJ794" t="str">
            <v>ZIM</v>
          </cell>
        </row>
        <row r="795">
          <cell r="E795" t="str">
            <v>11</v>
          </cell>
          <cell r="J795">
            <v>0</v>
          </cell>
          <cell r="K795">
            <v>0</v>
          </cell>
          <cell r="AL795">
            <v>0</v>
          </cell>
          <cell r="BJ795" t="str">
            <v>ZIM</v>
          </cell>
        </row>
        <row r="796">
          <cell r="E796" t="str">
            <v>11</v>
          </cell>
          <cell r="J796">
            <v>0</v>
          </cell>
          <cell r="K796">
            <v>4.6100000000000136</v>
          </cell>
          <cell r="AL796">
            <v>0</v>
          </cell>
          <cell r="BJ796" t="str">
            <v>ZIM</v>
          </cell>
        </row>
        <row r="797">
          <cell r="E797" t="str">
            <v>11</v>
          </cell>
          <cell r="J797">
            <v>0</v>
          </cell>
          <cell r="K797">
            <v>21467.75</v>
          </cell>
          <cell r="AL797">
            <v>0</v>
          </cell>
          <cell r="BJ797" t="str">
            <v>ZIM</v>
          </cell>
        </row>
        <row r="798">
          <cell r="E798" t="str">
            <v>11</v>
          </cell>
          <cell r="J798">
            <v>0</v>
          </cell>
          <cell r="K798">
            <v>0</v>
          </cell>
          <cell r="AL798">
            <v>0</v>
          </cell>
          <cell r="BJ798" t="str">
            <v>ZIM</v>
          </cell>
        </row>
        <row r="799">
          <cell r="E799" t="str">
            <v>11</v>
          </cell>
          <cell r="J799">
            <v>0</v>
          </cell>
          <cell r="K799">
            <v>0</v>
          </cell>
          <cell r="AL799">
            <v>0</v>
          </cell>
          <cell r="BJ799" t="str">
            <v>ZIM</v>
          </cell>
        </row>
        <row r="800">
          <cell r="E800" t="str">
            <v>11</v>
          </cell>
          <cell r="J800">
            <v>0</v>
          </cell>
          <cell r="K800">
            <v>0</v>
          </cell>
          <cell r="AL800">
            <v>0</v>
          </cell>
          <cell r="BJ800" t="str">
            <v>ZIM</v>
          </cell>
        </row>
        <row r="801">
          <cell r="E801" t="str">
            <v>11</v>
          </cell>
          <cell r="J801">
            <v>0</v>
          </cell>
          <cell r="K801">
            <v>0</v>
          </cell>
          <cell r="AL801">
            <v>0</v>
          </cell>
          <cell r="BJ801" t="str">
            <v>ZIM</v>
          </cell>
        </row>
        <row r="802">
          <cell r="E802" t="str">
            <v>11</v>
          </cell>
          <cell r="J802">
            <v>0</v>
          </cell>
          <cell r="K802">
            <v>0</v>
          </cell>
          <cell r="AL802">
            <v>0</v>
          </cell>
          <cell r="BJ802" t="str">
            <v>ZIM</v>
          </cell>
        </row>
        <row r="803">
          <cell r="E803" t="str">
            <v>11</v>
          </cell>
          <cell r="J803">
            <v>0</v>
          </cell>
          <cell r="K803">
            <v>0</v>
          </cell>
          <cell r="AL803">
            <v>0</v>
          </cell>
          <cell r="BJ803" t="str">
            <v>ZIM</v>
          </cell>
        </row>
        <row r="804">
          <cell r="E804" t="str">
            <v>11</v>
          </cell>
          <cell r="J804">
            <v>0</v>
          </cell>
          <cell r="K804">
            <v>0</v>
          </cell>
          <cell r="AL804">
            <v>0</v>
          </cell>
          <cell r="BJ804" t="str">
            <v>ZIM</v>
          </cell>
        </row>
        <row r="805">
          <cell r="E805" t="str">
            <v>11</v>
          </cell>
          <cell r="J805">
            <v>0</v>
          </cell>
          <cell r="K805">
            <v>7251</v>
          </cell>
          <cell r="AL805">
            <v>0</v>
          </cell>
          <cell r="BJ805" t="str">
            <v>ZIM</v>
          </cell>
        </row>
        <row r="806">
          <cell r="E806" t="str">
            <v>11</v>
          </cell>
          <cell r="J806">
            <v>0</v>
          </cell>
          <cell r="K806">
            <v>340</v>
          </cell>
          <cell r="AL806">
            <v>0</v>
          </cell>
          <cell r="BJ806" t="str">
            <v>ZIM</v>
          </cell>
        </row>
        <row r="807">
          <cell r="E807" t="str">
            <v>11</v>
          </cell>
          <cell r="J807">
            <v>0</v>
          </cell>
          <cell r="K807">
            <v>0</v>
          </cell>
          <cell r="AL807">
            <v>0</v>
          </cell>
          <cell r="BJ807" t="str">
            <v>ZIM</v>
          </cell>
        </row>
        <row r="808">
          <cell r="E808" t="str">
            <v>11</v>
          </cell>
          <cell r="J808">
            <v>0</v>
          </cell>
          <cell r="K808">
            <v>8933</v>
          </cell>
          <cell r="AL808">
            <v>0</v>
          </cell>
          <cell r="BJ808" t="str">
            <v>ZIM</v>
          </cell>
        </row>
        <row r="809">
          <cell r="E809" t="str">
            <v>11</v>
          </cell>
          <cell r="J809">
            <v>0</v>
          </cell>
          <cell r="K809">
            <v>0</v>
          </cell>
          <cell r="AL809">
            <v>0</v>
          </cell>
          <cell r="BJ809" t="str">
            <v>ZIM</v>
          </cell>
        </row>
        <row r="810">
          <cell r="E810" t="str">
            <v>11</v>
          </cell>
          <cell r="J810">
            <v>0</v>
          </cell>
          <cell r="K810">
            <v>0</v>
          </cell>
          <cell r="AL810">
            <v>0</v>
          </cell>
          <cell r="BJ810" t="str">
            <v>ZIM</v>
          </cell>
        </row>
        <row r="811">
          <cell r="E811" t="str">
            <v>11</v>
          </cell>
          <cell r="J811">
            <v>0</v>
          </cell>
          <cell r="K811">
            <v>0</v>
          </cell>
          <cell r="AL811">
            <v>0</v>
          </cell>
          <cell r="BJ811" t="str">
            <v>ZIM</v>
          </cell>
        </row>
        <row r="812">
          <cell r="E812" t="str">
            <v>11</v>
          </cell>
          <cell r="J812">
            <v>0</v>
          </cell>
          <cell r="K812">
            <v>0</v>
          </cell>
          <cell r="AL812">
            <v>0</v>
          </cell>
          <cell r="BJ812" t="str">
            <v>ZIM</v>
          </cell>
        </row>
        <row r="813">
          <cell r="E813" t="str">
            <v>11</v>
          </cell>
          <cell r="J813">
            <v>0</v>
          </cell>
          <cell r="K813">
            <v>0</v>
          </cell>
          <cell r="AL813">
            <v>0</v>
          </cell>
          <cell r="BJ813" t="str">
            <v>ZIM</v>
          </cell>
        </row>
        <row r="814">
          <cell r="E814" t="str">
            <v>11</v>
          </cell>
          <cell r="J814">
            <v>0</v>
          </cell>
          <cell r="K814">
            <v>0</v>
          </cell>
          <cell r="AL814">
            <v>0</v>
          </cell>
          <cell r="BJ814" t="str">
            <v>ZIM</v>
          </cell>
        </row>
        <row r="815">
          <cell r="E815" t="str">
            <v>11</v>
          </cell>
          <cell r="J815">
            <v>0</v>
          </cell>
          <cell r="K815">
            <v>0</v>
          </cell>
          <cell r="AL815">
            <v>0</v>
          </cell>
          <cell r="BJ815" t="str">
            <v>ZIM</v>
          </cell>
        </row>
        <row r="816">
          <cell r="E816" t="str">
            <v>11</v>
          </cell>
          <cell r="J816">
            <v>0</v>
          </cell>
          <cell r="K816">
            <v>-10063.940000000002</v>
          </cell>
          <cell r="AL816">
            <v>0</v>
          </cell>
          <cell r="BJ816" t="str">
            <v>ZIM</v>
          </cell>
        </row>
        <row r="817">
          <cell r="E817" t="str">
            <v>11</v>
          </cell>
          <cell r="J817">
            <v>0</v>
          </cell>
          <cell r="K817">
            <v>0</v>
          </cell>
          <cell r="AL817">
            <v>0</v>
          </cell>
          <cell r="BJ817" t="str">
            <v>ZIM</v>
          </cell>
        </row>
        <row r="818">
          <cell r="E818" t="str">
            <v>11</v>
          </cell>
          <cell r="J818">
            <v>0</v>
          </cell>
          <cell r="K818">
            <v>0</v>
          </cell>
          <cell r="AL818">
            <v>0</v>
          </cell>
          <cell r="BJ818" t="str">
            <v>ZIM</v>
          </cell>
        </row>
        <row r="819">
          <cell r="E819" t="str">
            <v>11</v>
          </cell>
          <cell r="J819">
            <v>0</v>
          </cell>
          <cell r="K819">
            <v>0</v>
          </cell>
          <cell r="AL819">
            <v>0</v>
          </cell>
          <cell r="BJ819" t="str">
            <v>ZIM</v>
          </cell>
        </row>
        <row r="820">
          <cell r="E820" t="str">
            <v>11</v>
          </cell>
          <cell r="J820">
            <v>0</v>
          </cell>
          <cell r="K820">
            <v>0</v>
          </cell>
          <cell r="AL820">
            <v>0</v>
          </cell>
          <cell r="BJ820" t="str">
            <v>ZIM</v>
          </cell>
        </row>
        <row r="821">
          <cell r="E821" t="str">
            <v>11</v>
          </cell>
          <cell r="J821">
            <v>0</v>
          </cell>
          <cell r="K821">
            <v>0</v>
          </cell>
          <cell r="AL821">
            <v>0</v>
          </cell>
          <cell r="BJ821" t="str">
            <v>ZIM</v>
          </cell>
        </row>
        <row r="822">
          <cell r="E822" t="str">
            <v>11</v>
          </cell>
          <cell r="J822">
            <v>0</v>
          </cell>
          <cell r="K822">
            <v>0</v>
          </cell>
          <cell r="AL822">
            <v>0</v>
          </cell>
          <cell r="BJ822" t="str">
            <v>ZIM</v>
          </cell>
        </row>
        <row r="823">
          <cell r="E823" t="str">
            <v>13</v>
          </cell>
          <cell r="J823">
            <v>0</v>
          </cell>
          <cell r="K823">
            <v>1000</v>
          </cell>
          <cell r="AL823">
            <v>0</v>
          </cell>
          <cell r="BJ823" t="str">
            <v>ZIM</v>
          </cell>
        </row>
        <row r="824">
          <cell r="E824" t="str">
            <v>13</v>
          </cell>
          <cell r="J824">
            <v>0</v>
          </cell>
          <cell r="K824">
            <v>0</v>
          </cell>
          <cell r="AL824">
            <v>0</v>
          </cell>
          <cell r="BJ824" t="str">
            <v>ZIM</v>
          </cell>
        </row>
        <row r="825">
          <cell r="E825" t="str">
            <v>13</v>
          </cell>
          <cell r="J825">
            <v>0</v>
          </cell>
          <cell r="K825">
            <v>2800</v>
          </cell>
          <cell r="AL825">
            <v>0</v>
          </cell>
          <cell r="BJ825" t="str">
            <v>ZIM</v>
          </cell>
        </row>
        <row r="826">
          <cell r="E826" t="str">
            <v>13</v>
          </cell>
          <cell r="J826">
            <v>0</v>
          </cell>
          <cell r="K826">
            <v>5786.0200000000768</v>
          </cell>
          <cell r="AL826">
            <v>0</v>
          </cell>
          <cell r="BJ826" t="str">
            <v>ZIM</v>
          </cell>
        </row>
        <row r="827">
          <cell r="E827" t="str">
            <v>13</v>
          </cell>
          <cell r="J827">
            <v>0</v>
          </cell>
          <cell r="K827">
            <v>280.72000000000025</v>
          </cell>
          <cell r="AL827">
            <v>0</v>
          </cell>
          <cell r="BJ827" t="str">
            <v>ZIM</v>
          </cell>
        </row>
        <row r="828">
          <cell r="E828" t="str">
            <v>13</v>
          </cell>
          <cell r="J828">
            <v>0</v>
          </cell>
          <cell r="K828">
            <v>0</v>
          </cell>
          <cell r="AL828">
            <v>0</v>
          </cell>
          <cell r="BJ828" t="str">
            <v>ZIM</v>
          </cell>
        </row>
        <row r="829">
          <cell r="E829" t="str">
            <v>13</v>
          </cell>
          <cell r="J829">
            <v>0</v>
          </cell>
          <cell r="K829">
            <v>0</v>
          </cell>
          <cell r="AL829">
            <v>0</v>
          </cell>
          <cell r="BJ829" t="str">
            <v>ZIM</v>
          </cell>
        </row>
        <row r="830">
          <cell r="E830" t="str">
            <v>13</v>
          </cell>
          <cell r="J830">
            <v>0</v>
          </cell>
          <cell r="K830">
            <v>0</v>
          </cell>
          <cell r="AL830">
            <v>0</v>
          </cell>
          <cell r="BJ830" t="str">
            <v>ZIM</v>
          </cell>
        </row>
        <row r="831">
          <cell r="E831" t="str">
            <v>13</v>
          </cell>
          <cell r="J831">
            <v>0</v>
          </cell>
          <cell r="K831">
            <v>502.87000000000012</v>
          </cell>
          <cell r="AL831">
            <v>0</v>
          </cell>
          <cell r="BJ831" t="str">
            <v>ZIM</v>
          </cell>
        </row>
        <row r="832">
          <cell r="E832" t="str">
            <v>13</v>
          </cell>
          <cell r="J832">
            <v>0</v>
          </cell>
          <cell r="K832">
            <v>663</v>
          </cell>
          <cell r="AL832">
            <v>0</v>
          </cell>
          <cell r="BJ832" t="str">
            <v>ZIM</v>
          </cell>
        </row>
        <row r="833">
          <cell r="E833" t="str">
            <v>13</v>
          </cell>
          <cell r="J833">
            <v>0</v>
          </cell>
          <cell r="K833">
            <v>1809.25</v>
          </cell>
          <cell r="AL833">
            <v>0</v>
          </cell>
          <cell r="BJ833" t="str">
            <v>ZIM</v>
          </cell>
        </row>
        <row r="834">
          <cell r="E834" t="str">
            <v>13</v>
          </cell>
          <cell r="J834">
            <v>0</v>
          </cell>
          <cell r="K834">
            <v>0</v>
          </cell>
          <cell r="AL834">
            <v>0</v>
          </cell>
          <cell r="BJ834" t="str">
            <v>ZIM</v>
          </cell>
        </row>
        <row r="835">
          <cell r="E835" t="str">
            <v>13</v>
          </cell>
          <cell r="J835">
            <v>0</v>
          </cell>
          <cell r="K835">
            <v>0</v>
          </cell>
          <cell r="AL835">
            <v>0</v>
          </cell>
          <cell r="BJ835" t="str">
            <v>ZIM</v>
          </cell>
        </row>
        <row r="836">
          <cell r="E836" t="str">
            <v>13</v>
          </cell>
          <cell r="J836">
            <v>0</v>
          </cell>
          <cell r="K836">
            <v>0</v>
          </cell>
          <cell r="AL836">
            <v>0</v>
          </cell>
          <cell r="BJ836" t="str">
            <v>ZIM</v>
          </cell>
        </row>
        <row r="837">
          <cell r="E837" t="str">
            <v>13</v>
          </cell>
          <cell r="J837">
            <v>0</v>
          </cell>
          <cell r="K837">
            <v>0</v>
          </cell>
          <cell r="AL837">
            <v>0</v>
          </cell>
          <cell r="BJ837" t="str">
            <v>ZIM</v>
          </cell>
        </row>
        <row r="838">
          <cell r="E838" t="str">
            <v>13</v>
          </cell>
          <cell r="J838">
            <v>0</v>
          </cell>
          <cell r="K838">
            <v>0</v>
          </cell>
          <cell r="AL838">
            <v>0</v>
          </cell>
          <cell r="BJ838" t="str">
            <v>ZIM</v>
          </cell>
        </row>
        <row r="839">
          <cell r="E839" t="str">
            <v>13</v>
          </cell>
          <cell r="J839">
            <v>0</v>
          </cell>
          <cell r="K839">
            <v>1180.2399999999998</v>
          </cell>
          <cell r="AL839">
            <v>0</v>
          </cell>
          <cell r="BJ839" t="str">
            <v>ZIM</v>
          </cell>
        </row>
        <row r="840">
          <cell r="E840" t="str">
            <v>13</v>
          </cell>
          <cell r="J840">
            <v>0</v>
          </cell>
          <cell r="K840">
            <v>0</v>
          </cell>
          <cell r="AL840">
            <v>0</v>
          </cell>
          <cell r="BJ840" t="str">
            <v>ZIM</v>
          </cell>
        </row>
        <row r="841">
          <cell r="E841" t="str">
            <v>13</v>
          </cell>
          <cell r="J841">
            <v>0</v>
          </cell>
          <cell r="K841">
            <v>80.5</v>
          </cell>
          <cell r="AL841">
            <v>0</v>
          </cell>
          <cell r="BJ841" t="str">
            <v>ZIM</v>
          </cell>
        </row>
        <row r="842">
          <cell r="E842" t="str">
            <v>13</v>
          </cell>
          <cell r="J842">
            <v>0</v>
          </cell>
          <cell r="K842">
            <v>135</v>
          </cell>
          <cell r="AL842">
            <v>0</v>
          </cell>
          <cell r="BJ842" t="str">
            <v>ZIM</v>
          </cell>
        </row>
        <row r="843">
          <cell r="E843" t="str">
            <v>13</v>
          </cell>
          <cell r="J843">
            <v>0</v>
          </cell>
          <cell r="K843">
            <v>26.5</v>
          </cell>
          <cell r="AL843">
            <v>0</v>
          </cell>
          <cell r="BJ843" t="str">
            <v>ZIM</v>
          </cell>
        </row>
        <row r="844">
          <cell r="E844" t="str">
            <v>13</v>
          </cell>
          <cell r="J844">
            <v>0</v>
          </cell>
          <cell r="K844">
            <v>0</v>
          </cell>
          <cell r="AL844">
            <v>0</v>
          </cell>
          <cell r="BJ844" t="str">
            <v>ZIM</v>
          </cell>
        </row>
        <row r="845">
          <cell r="E845" t="str">
            <v>13</v>
          </cell>
          <cell r="J845">
            <v>0</v>
          </cell>
          <cell r="K845">
            <v>0</v>
          </cell>
          <cell r="AL845">
            <v>0</v>
          </cell>
          <cell r="BJ845" t="str">
            <v>ZIM</v>
          </cell>
        </row>
        <row r="846">
          <cell r="E846" t="str">
            <v>13</v>
          </cell>
          <cell r="J846">
            <v>0</v>
          </cell>
          <cell r="K846">
            <v>0</v>
          </cell>
          <cell r="AL846">
            <v>0</v>
          </cell>
          <cell r="BJ846" t="str">
            <v>ZIM</v>
          </cell>
        </row>
        <row r="847">
          <cell r="E847" t="str">
            <v>13</v>
          </cell>
          <cell r="J847">
            <v>0</v>
          </cell>
          <cell r="K847">
            <v>0</v>
          </cell>
          <cell r="AL847">
            <v>0</v>
          </cell>
          <cell r="BJ847" t="str">
            <v>ZIM</v>
          </cell>
        </row>
        <row r="848">
          <cell r="E848" t="str">
            <v>13</v>
          </cell>
          <cell r="J848">
            <v>0</v>
          </cell>
          <cell r="K848">
            <v>0</v>
          </cell>
          <cell r="AL848">
            <v>0</v>
          </cell>
          <cell r="BJ848" t="str">
            <v>ZIM</v>
          </cell>
        </row>
        <row r="849">
          <cell r="E849" t="str">
            <v>13</v>
          </cell>
          <cell r="J849">
            <v>0</v>
          </cell>
          <cell r="K849">
            <v>0</v>
          </cell>
          <cell r="AL849">
            <v>0</v>
          </cell>
          <cell r="BJ849" t="str">
            <v>ZIM</v>
          </cell>
        </row>
        <row r="850">
          <cell r="E850" t="str">
            <v>13</v>
          </cell>
          <cell r="J850">
            <v>0</v>
          </cell>
          <cell r="K850">
            <v>0</v>
          </cell>
          <cell r="AL850">
            <v>0</v>
          </cell>
          <cell r="BJ850" t="str">
            <v>ZIM</v>
          </cell>
        </row>
        <row r="851">
          <cell r="E851" t="str">
            <v>13</v>
          </cell>
          <cell r="J851">
            <v>0</v>
          </cell>
          <cell r="K851">
            <v>1134.6399999999994</v>
          </cell>
          <cell r="AL851">
            <v>0</v>
          </cell>
          <cell r="BJ851" t="str">
            <v>ZIM</v>
          </cell>
        </row>
        <row r="852">
          <cell r="E852" t="str">
            <v>13</v>
          </cell>
          <cell r="J852">
            <v>0</v>
          </cell>
          <cell r="K852">
            <v>0</v>
          </cell>
          <cell r="AL852">
            <v>0</v>
          </cell>
          <cell r="BJ852" t="str">
            <v>ZIM</v>
          </cell>
        </row>
        <row r="853">
          <cell r="E853" t="str">
            <v>13</v>
          </cell>
          <cell r="J853">
            <v>0</v>
          </cell>
          <cell r="K853">
            <v>16250</v>
          </cell>
          <cell r="AL853">
            <v>0</v>
          </cell>
          <cell r="BJ853" t="str">
            <v>ZIM</v>
          </cell>
        </row>
        <row r="854">
          <cell r="E854" t="str">
            <v>13</v>
          </cell>
          <cell r="J854">
            <v>0</v>
          </cell>
          <cell r="K854">
            <v>0</v>
          </cell>
          <cell r="AL854">
            <v>0</v>
          </cell>
          <cell r="BJ854" t="str">
            <v>ZIM</v>
          </cell>
        </row>
        <row r="855">
          <cell r="E855" t="str">
            <v>13</v>
          </cell>
          <cell r="J855">
            <v>0</v>
          </cell>
          <cell r="K855">
            <v>0</v>
          </cell>
          <cell r="AL855">
            <v>0</v>
          </cell>
          <cell r="BJ855" t="str">
            <v>ZIM</v>
          </cell>
        </row>
        <row r="856">
          <cell r="E856" t="str">
            <v>13</v>
          </cell>
          <cell r="J856">
            <v>0</v>
          </cell>
          <cell r="K856">
            <v>5094</v>
          </cell>
          <cell r="AL856">
            <v>0</v>
          </cell>
          <cell r="BJ856" t="str">
            <v>ZIM</v>
          </cell>
        </row>
        <row r="857">
          <cell r="E857" t="str">
            <v>13</v>
          </cell>
          <cell r="J857">
            <v>0</v>
          </cell>
          <cell r="K857">
            <v>2717</v>
          </cell>
          <cell r="AL857">
            <v>0</v>
          </cell>
          <cell r="BJ857" t="str">
            <v>ZIM</v>
          </cell>
        </row>
        <row r="858">
          <cell r="E858" t="str">
            <v>13</v>
          </cell>
          <cell r="J858">
            <v>0</v>
          </cell>
          <cell r="K858">
            <v>117.92000000000007</v>
          </cell>
          <cell r="AL858">
            <v>0</v>
          </cell>
          <cell r="BJ858" t="str">
            <v>ZIM</v>
          </cell>
        </row>
        <row r="859">
          <cell r="E859" t="str">
            <v>13</v>
          </cell>
          <cell r="J859">
            <v>0</v>
          </cell>
          <cell r="K859">
            <v>0</v>
          </cell>
          <cell r="AL859">
            <v>0</v>
          </cell>
          <cell r="BJ859" t="str">
            <v>ZIM</v>
          </cell>
        </row>
        <row r="860">
          <cell r="E860" t="str">
            <v>13</v>
          </cell>
          <cell r="J860">
            <v>0</v>
          </cell>
          <cell r="K860">
            <v>2142.8899999999994</v>
          </cell>
          <cell r="AL860">
            <v>0</v>
          </cell>
          <cell r="BJ860" t="str">
            <v>ZIM</v>
          </cell>
        </row>
        <row r="861">
          <cell r="E861" t="str">
            <v>13</v>
          </cell>
          <cell r="J861">
            <v>0</v>
          </cell>
          <cell r="K861">
            <v>0</v>
          </cell>
          <cell r="AL861">
            <v>0</v>
          </cell>
          <cell r="BJ861" t="str">
            <v>ZIM</v>
          </cell>
        </row>
        <row r="862">
          <cell r="E862" t="str">
            <v>13</v>
          </cell>
          <cell r="J862">
            <v>0</v>
          </cell>
          <cell r="K862">
            <v>258.63999999999987</v>
          </cell>
          <cell r="AL862">
            <v>0</v>
          </cell>
          <cell r="BJ862" t="str">
            <v>ZIM</v>
          </cell>
        </row>
        <row r="863">
          <cell r="E863" t="str">
            <v>13</v>
          </cell>
          <cell r="J863">
            <v>0</v>
          </cell>
          <cell r="K863">
            <v>5993.5</v>
          </cell>
          <cell r="AL863">
            <v>0</v>
          </cell>
          <cell r="BJ863" t="str">
            <v>ZIM</v>
          </cell>
        </row>
        <row r="864">
          <cell r="E864" t="str">
            <v>13</v>
          </cell>
          <cell r="J864">
            <v>0</v>
          </cell>
          <cell r="K864">
            <v>0</v>
          </cell>
          <cell r="AL864">
            <v>0</v>
          </cell>
          <cell r="BJ864" t="str">
            <v>ZIM</v>
          </cell>
        </row>
        <row r="865">
          <cell r="E865" t="str">
            <v>13</v>
          </cell>
          <cell r="J865">
            <v>0</v>
          </cell>
          <cell r="K865">
            <v>32463.820000000065</v>
          </cell>
          <cell r="AL865">
            <v>0</v>
          </cell>
          <cell r="BJ865" t="str">
            <v>ZIM</v>
          </cell>
        </row>
        <row r="866">
          <cell r="E866" t="str">
            <v>13</v>
          </cell>
          <cell r="J866">
            <v>0</v>
          </cell>
          <cell r="K866">
            <v>0</v>
          </cell>
          <cell r="AL866">
            <v>0</v>
          </cell>
          <cell r="BJ866" t="str">
            <v>ZIM</v>
          </cell>
        </row>
        <row r="867">
          <cell r="E867" t="str">
            <v>13</v>
          </cell>
          <cell r="J867">
            <v>0</v>
          </cell>
          <cell r="K867">
            <v>0</v>
          </cell>
          <cell r="AL867">
            <v>0</v>
          </cell>
          <cell r="BJ867" t="str">
            <v>ZIM</v>
          </cell>
        </row>
        <row r="868">
          <cell r="E868" t="str">
            <v>13</v>
          </cell>
          <cell r="J868">
            <v>0</v>
          </cell>
          <cell r="K868">
            <v>0</v>
          </cell>
          <cell r="AL868">
            <v>0</v>
          </cell>
          <cell r="BJ868" t="str">
            <v>ZIM</v>
          </cell>
        </row>
        <row r="869">
          <cell r="E869" t="str">
            <v>13</v>
          </cell>
          <cell r="J869">
            <v>0</v>
          </cell>
          <cell r="K869">
            <v>0</v>
          </cell>
          <cell r="AL869">
            <v>0</v>
          </cell>
          <cell r="BJ869" t="str">
            <v>ZIM</v>
          </cell>
        </row>
        <row r="870">
          <cell r="E870" t="str">
            <v>13</v>
          </cell>
          <cell r="J870">
            <v>0</v>
          </cell>
          <cell r="K870">
            <v>0</v>
          </cell>
          <cell r="AL870">
            <v>0</v>
          </cell>
          <cell r="BJ870" t="str">
            <v>ZIM</v>
          </cell>
        </row>
        <row r="871">
          <cell r="E871" t="str">
            <v>13</v>
          </cell>
          <cell r="J871">
            <v>0</v>
          </cell>
          <cell r="K871">
            <v>0</v>
          </cell>
          <cell r="AL871">
            <v>0</v>
          </cell>
          <cell r="BJ871" t="str">
            <v>ZIM</v>
          </cell>
        </row>
        <row r="872">
          <cell r="E872" t="str">
            <v>13</v>
          </cell>
          <cell r="J872">
            <v>0</v>
          </cell>
          <cell r="K872">
            <v>2700</v>
          </cell>
          <cell r="AL872">
            <v>0</v>
          </cell>
          <cell r="BJ872" t="str">
            <v>ZIM</v>
          </cell>
        </row>
        <row r="873">
          <cell r="E873" t="str">
            <v>13</v>
          </cell>
          <cell r="J873">
            <v>0</v>
          </cell>
          <cell r="K873">
            <v>166</v>
          </cell>
          <cell r="AL873">
            <v>0</v>
          </cell>
          <cell r="BJ873" t="str">
            <v>ZIM</v>
          </cell>
        </row>
        <row r="874">
          <cell r="E874" t="str">
            <v>13</v>
          </cell>
          <cell r="J874">
            <v>0</v>
          </cell>
          <cell r="K874">
            <v>522</v>
          </cell>
          <cell r="AL874">
            <v>0</v>
          </cell>
          <cell r="BJ874" t="str">
            <v>ZIM</v>
          </cell>
        </row>
        <row r="875">
          <cell r="E875" t="str">
            <v>13</v>
          </cell>
          <cell r="J875">
            <v>0</v>
          </cell>
          <cell r="K875">
            <v>0</v>
          </cell>
          <cell r="AL875">
            <v>0</v>
          </cell>
          <cell r="BJ875" t="str">
            <v>ZIM</v>
          </cell>
        </row>
        <row r="876">
          <cell r="E876" t="str">
            <v>13</v>
          </cell>
          <cell r="J876">
            <v>0</v>
          </cell>
          <cell r="K876">
            <v>0</v>
          </cell>
          <cell r="AL876">
            <v>0</v>
          </cell>
          <cell r="BJ876" t="str">
            <v>ZIM</v>
          </cell>
        </row>
        <row r="877">
          <cell r="E877" t="str">
            <v>13</v>
          </cell>
          <cell r="J877">
            <v>0</v>
          </cell>
          <cell r="K877">
            <v>346</v>
          </cell>
          <cell r="AL877">
            <v>0</v>
          </cell>
          <cell r="BJ877" t="str">
            <v>ZIM</v>
          </cell>
        </row>
        <row r="878">
          <cell r="E878" t="str">
            <v>13</v>
          </cell>
          <cell r="J878">
            <v>0</v>
          </cell>
          <cell r="K878">
            <v>0</v>
          </cell>
          <cell r="AL878">
            <v>0</v>
          </cell>
          <cell r="BJ878" t="str">
            <v>ZIM</v>
          </cell>
        </row>
        <row r="879">
          <cell r="E879" t="str">
            <v>13</v>
          </cell>
          <cell r="J879">
            <v>0</v>
          </cell>
          <cell r="K879">
            <v>0</v>
          </cell>
          <cell r="AL879">
            <v>0</v>
          </cell>
          <cell r="BJ879" t="str">
            <v>ZIM</v>
          </cell>
        </row>
        <row r="880">
          <cell r="E880" t="str">
            <v>11</v>
          </cell>
          <cell r="J880">
            <v>0</v>
          </cell>
          <cell r="K880">
            <v>0</v>
          </cell>
          <cell r="AL880">
            <v>0</v>
          </cell>
          <cell r="BJ880" t="str">
            <v>ZIM</v>
          </cell>
        </row>
        <row r="881">
          <cell r="E881" t="str">
            <v>13</v>
          </cell>
          <cell r="J881">
            <v>0</v>
          </cell>
          <cell r="K881">
            <v>0</v>
          </cell>
          <cell r="AL881">
            <v>0</v>
          </cell>
          <cell r="BJ881" t="str">
            <v>ZIM</v>
          </cell>
        </row>
        <row r="882">
          <cell r="E882" t="str">
            <v>11</v>
          </cell>
          <cell r="J882">
            <v>0</v>
          </cell>
          <cell r="K882">
            <v>0</v>
          </cell>
          <cell r="AL882">
            <v>0</v>
          </cell>
          <cell r="BJ882" t="str">
            <v>ZIM</v>
          </cell>
        </row>
        <row r="883">
          <cell r="E883" t="str">
            <v>13</v>
          </cell>
          <cell r="J883">
            <v>0</v>
          </cell>
          <cell r="K883">
            <v>0</v>
          </cell>
          <cell r="AL883">
            <v>0</v>
          </cell>
          <cell r="BJ883" t="str">
            <v>ZIM</v>
          </cell>
        </row>
        <row r="884">
          <cell r="E884" t="str">
            <v>11</v>
          </cell>
          <cell r="J884">
            <v>0</v>
          </cell>
          <cell r="K884">
            <v>0</v>
          </cell>
          <cell r="AL884">
            <v>0</v>
          </cell>
          <cell r="BJ884" t="str">
            <v>ZIM</v>
          </cell>
        </row>
        <row r="885">
          <cell r="E885" t="str">
            <v>13</v>
          </cell>
          <cell r="J885">
            <v>0</v>
          </cell>
          <cell r="K885">
            <v>0</v>
          </cell>
          <cell r="AL885">
            <v>0</v>
          </cell>
          <cell r="BJ885" t="str">
            <v>ZIM</v>
          </cell>
        </row>
        <row r="886">
          <cell r="E886" t="str">
            <v>13</v>
          </cell>
          <cell r="J886">
            <v>0</v>
          </cell>
          <cell r="K886">
            <v>0</v>
          </cell>
          <cell r="AL886">
            <v>0</v>
          </cell>
          <cell r="BJ886" t="str">
            <v>ZIM</v>
          </cell>
        </row>
        <row r="887">
          <cell r="E887" t="str">
            <v>13</v>
          </cell>
          <cell r="J887">
            <v>0</v>
          </cell>
          <cell r="K887">
            <v>0</v>
          </cell>
          <cell r="AL887">
            <v>0</v>
          </cell>
          <cell r="BJ887" t="str">
            <v>ZIM</v>
          </cell>
        </row>
        <row r="888">
          <cell r="E888" t="str">
            <v>13</v>
          </cell>
          <cell r="J888">
            <v>0</v>
          </cell>
          <cell r="K888">
            <v>0</v>
          </cell>
          <cell r="AL888">
            <v>0</v>
          </cell>
          <cell r="BJ888" t="str">
            <v>ZIM</v>
          </cell>
        </row>
        <row r="889">
          <cell r="E889" t="str">
            <v>20</v>
          </cell>
          <cell r="J889">
            <v>1000000</v>
          </cell>
          <cell r="K889">
            <v>0</v>
          </cell>
          <cell r="AL889">
            <v>0</v>
          </cell>
          <cell r="BJ889" t="str">
            <v>ZIM</v>
          </cell>
        </row>
        <row r="890">
          <cell r="E890" t="str">
            <v>20</v>
          </cell>
          <cell r="J890">
            <v>0</v>
          </cell>
          <cell r="K890">
            <v>0</v>
          </cell>
          <cell r="AL890">
            <v>0</v>
          </cell>
          <cell r="BJ890" t="str">
            <v>ZIM</v>
          </cell>
        </row>
        <row r="891">
          <cell r="E891" t="str">
            <v>21</v>
          </cell>
          <cell r="J891">
            <v>0</v>
          </cell>
          <cell r="K891">
            <v>0</v>
          </cell>
          <cell r="AL891">
            <v>0</v>
          </cell>
          <cell r="BJ891" t="str">
            <v>ZIM</v>
          </cell>
        </row>
        <row r="892">
          <cell r="E892" t="str">
            <v>24</v>
          </cell>
          <cell r="J892">
            <v>0</v>
          </cell>
          <cell r="K892">
            <v>0</v>
          </cell>
          <cell r="AL892">
            <v>0</v>
          </cell>
          <cell r="BJ892" t="str">
            <v>ZIM</v>
          </cell>
        </row>
        <row r="893">
          <cell r="E893" t="str">
            <v>24</v>
          </cell>
          <cell r="J893">
            <v>0</v>
          </cell>
          <cell r="K893">
            <v>0</v>
          </cell>
          <cell r="AL893">
            <v>0</v>
          </cell>
          <cell r="BJ893" t="str">
            <v>ZIM</v>
          </cell>
        </row>
        <row r="894">
          <cell r="E894" t="str">
            <v>24</v>
          </cell>
          <cell r="J894">
            <v>0</v>
          </cell>
          <cell r="K894">
            <v>0</v>
          </cell>
          <cell r="AL894">
            <v>0</v>
          </cell>
          <cell r="BJ894" t="str">
            <v>ZIM</v>
          </cell>
        </row>
        <row r="895">
          <cell r="E895" t="str">
            <v>24</v>
          </cell>
          <cell r="J895">
            <v>-50</v>
          </cell>
          <cell r="K895">
            <v>0</v>
          </cell>
          <cell r="AL895">
            <v>0</v>
          </cell>
          <cell r="BJ895" t="str">
            <v>ZIM</v>
          </cell>
        </row>
        <row r="896">
          <cell r="E896" t="str">
            <v>24</v>
          </cell>
          <cell r="J896">
            <v>0</v>
          </cell>
          <cell r="K896">
            <v>0</v>
          </cell>
          <cell r="AL896">
            <v>0</v>
          </cell>
          <cell r="BJ896" t="str">
            <v>ZIM</v>
          </cell>
        </row>
        <row r="897">
          <cell r="E897" t="str">
            <v>24</v>
          </cell>
          <cell r="J897">
            <v>0</v>
          </cell>
          <cell r="K897">
            <v>0</v>
          </cell>
          <cell r="AL897">
            <v>0</v>
          </cell>
          <cell r="BJ897" t="str">
            <v>ZIM</v>
          </cell>
        </row>
        <row r="898">
          <cell r="E898" t="str">
            <v>24</v>
          </cell>
          <cell r="J898">
            <v>0</v>
          </cell>
          <cell r="K898">
            <v>0</v>
          </cell>
          <cell r="AL898">
            <v>0</v>
          </cell>
          <cell r="BJ898" t="str">
            <v>ZIM</v>
          </cell>
        </row>
        <row r="899">
          <cell r="E899" t="str">
            <v>24</v>
          </cell>
          <cell r="J899">
            <v>0</v>
          </cell>
          <cell r="K899">
            <v>0</v>
          </cell>
          <cell r="AL899">
            <v>0</v>
          </cell>
          <cell r="BJ899" t="str">
            <v>ZIM</v>
          </cell>
        </row>
        <row r="900">
          <cell r="E900" t="str">
            <v>24</v>
          </cell>
          <cell r="J900">
            <v>0</v>
          </cell>
          <cell r="K900">
            <v>0</v>
          </cell>
          <cell r="AL900">
            <v>0</v>
          </cell>
          <cell r="BJ900" t="str">
            <v>ZIM</v>
          </cell>
        </row>
        <row r="901">
          <cell r="E901" t="str">
            <v>24</v>
          </cell>
          <cell r="J901">
            <v>0</v>
          </cell>
          <cell r="K901">
            <v>0</v>
          </cell>
          <cell r="AL901">
            <v>0</v>
          </cell>
          <cell r="BJ901" t="str">
            <v>ZIM</v>
          </cell>
        </row>
        <row r="902">
          <cell r="E902" t="str">
            <v>24</v>
          </cell>
          <cell r="J902">
            <v>0</v>
          </cell>
          <cell r="K902">
            <v>0</v>
          </cell>
          <cell r="AL902">
            <v>0</v>
          </cell>
          <cell r="BJ902" t="str">
            <v>ZIM</v>
          </cell>
        </row>
        <row r="903">
          <cell r="E903" t="str">
            <v>24</v>
          </cell>
          <cell r="J903">
            <v>0</v>
          </cell>
          <cell r="K903">
            <v>0</v>
          </cell>
          <cell r="AL903">
            <v>0</v>
          </cell>
          <cell r="BJ903" t="str">
            <v>ZIM</v>
          </cell>
        </row>
        <row r="904">
          <cell r="E904" t="str">
            <v>24</v>
          </cell>
          <cell r="J904">
            <v>0</v>
          </cell>
          <cell r="K904">
            <v>0</v>
          </cell>
          <cell r="AL904">
            <v>0</v>
          </cell>
          <cell r="BJ904" t="str">
            <v>ZIM</v>
          </cell>
        </row>
        <row r="905">
          <cell r="E905" t="str">
            <v>24</v>
          </cell>
          <cell r="J905">
            <v>0</v>
          </cell>
          <cell r="K905">
            <v>0</v>
          </cell>
          <cell r="AL905">
            <v>0</v>
          </cell>
          <cell r="BJ905" t="str">
            <v>ZIM</v>
          </cell>
        </row>
        <row r="906">
          <cell r="E906" t="str">
            <v>24</v>
          </cell>
          <cell r="J906">
            <v>0</v>
          </cell>
          <cell r="K906">
            <v>0</v>
          </cell>
          <cell r="AL906">
            <v>0</v>
          </cell>
          <cell r="BJ906" t="str">
            <v>ZIM</v>
          </cell>
        </row>
        <row r="907">
          <cell r="E907" t="str">
            <v>24</v>
          </cell>
          <cell r="J907">
            <v>205269.94000000006</v>
          </cell>
          <cell r="K907">
            <v>305971.44</v>
          </cell>
          <cell r="AL907">
            <v>0</v>
          </cell>
          <cell r="BJ907" t="str">
            <v>ZIM</v>
          </cell>
        </row>
        <row r="908">
          <cell r="E908" t="str">
            <v>24</v>
          </cell>
          <cell r="J908">
            <v>0</v>
          </cell>
          <cell r="K908">
            <v>0</v>
          </cell>
          <cell r="AL908">
            <v>0</v>
          </cell>
          <cell r="BJ908" t="str">
            <v>ZIM</v>
          </cell>
        </row>
        <row r="909">
          <cell r="E909" t="str">
            <v>24</v>
          </cell>
          <cell r="J909">
            <v>0</v>
          </cell>
          <cell r="K909">
            <v>0</v>
          </cell>
          <cell r="AL909">
            <v>0</v>
          </cell>
          <cell r="BJ909" t="str">
            <v>ZIM</v>
          </cell>
        </row>
        <row r="910">
          <cell r="E910" t="str">
            <v>24</v>
          </cell>
          <cell r="J910">
            <v>0</v>
          </cell>
          <cell r="K910">
            <v>0</v>
          </cell>
          <cell r="AL910">
            <v>0</v>
          </cell>
          <cell r="BJ910" t="str">
            <v>ZIM</v>
          </cell>
        </row>
        <row r="911">
          <cell r="E911" t="str">
            <v>24</v>
          </cell>
          <cell r="J911">
            <v>0</v>
          </cell>
          <cell r="K911">
            <v>0</v>
          </cell>
          <cell r="AL911">
            <v>0</v>
          </cell>
          <cell r="BJ911" t="str">
            <v>ZIM</v>
          </cell>
        </row>
        <row r="912">
          <cell r="E912" t="str">
            <v>24</v>
          </cell>
          <cell r="J912">
            <v>0</v>
          </cell>
          <cell r="K912">
            <v>0</v>
          </cell>
          <cell r="AL912">
            <v>0</v>
          </cell>
          <cell r="BJ912" t="str">
            <v>ZIM</v>
          </cell>
        </row>
        <row r="913">
          <cell r="E913" t="str">
            <v>24</v>
          </cell>
          <cell r="J913">
            <v>0</v>
          </cell>
          <cell r="K913">
            <v>0</v>
          </cell>
          <cell r="AL913">
            <v>0</v>
          </cell>
          <cell r="BJ913" t="str">
            <v>ZIM</v>
          </cell>
        </row>
        <row r="914">
          <cell r="E914" t="str">
            <v>24</v>
          </cell>
          <cell r="J914">
            <v>399842</v>
          </cell>
          <cell r="K914">
            <v>1358.3700000001118</v>
          </cell>
          <cell r="AL914">
            <v>0</v>
          </cell>
          <cell r="BJ914" t="str">
            <v>ZIM</v>
          </cell>
        </row>
        <row r="915">
          <cell r="E915" t="str">
            <v>24</v>
          </cell>
          <cell r="J915">
            <v>0</v>
          </cell>
          <cell r="K915">
            <v>0</v>
          </cell>
          <cell r="AL915">
            <v>0</v>
          </cell>
          <cell r="BJ915" t="str">
            <v>ZIM</v>
          </cell>
        </row>
        <row r="916">
          <cell r="E916" t="str">
            <v>24</v>
          </cell>
          <cell r="J916">
            <v>0</v>
          </cell>
          <cell r="K916">
            <v>0</v>
          </cell>
          <cell r="AL916">
            <v>0</v>
          </cell>
          <cell r="BJ916" t="str">
            <v>ZIM</v>
          </cell>
        </row>
        <row r="917">
          <cell r="E917" t="str">
            <v>24</v>
          </cell>
          <cell r="J917">
            <v>0</v>
          </cell>
          <cell r="K917">
            <v>0</v>
          </cell>
          <cell r="AL917">
            <v>0</v>
          </cell>
          <cell r="BJ917" t="str">
            <v>ZIM</v>
          </cell>
        </row>
        <row r="918">
          <cell r="E918" t="str">
            <v>24</v>
          </cell>
          <cell r="J918">
            <v>0</v>
          </cell>
          <cell r="K918">
            <v>0</v>
          </cell>
          <cell r="AL918">
            <v>0</v>
          </cell>
          <cell r="BJ918" t="str">
            <v>ZIM</v>
          </cell>
        </row>
        <row r="919">
          <cell r="E919" t="str">
            <v>24</v>
          </cell>
          <cell r="J919">
            <v>0</v>
          </cell>
          <cell r="K919">
            <v>0</v>
          </cell>
          <cell r="AL919">
            <v>0</v>
          </cell>
          <cell r="BJ919" t="str">
            <v>ZIM</v>
          </cell>
        </row>
        <row r="920">
          <cell r="E920" t="str">
            <v>24</v>
          </cell>
          <cell r="J920">
            <v>0</v>
          </cell>
          <cell r="K920">
            <v>0</v>
          </cell>
          <cell r="AL920">
            <v>0</v>
          </cell>
          <cell r="BJ920" t="str">
            <v>ZIM</v>
          </cell>
        </row>
        <row r="921">
          <cell r="E921" t="str">
            <v>24</v>
          </cell>
          <cell r="J921">
            <v>0</v>
          </cell>
          <cell r="K921">
            <v>0</v>
          </cell>
          <cell r="AL921">
            <v>0</v>
          </cell>
          <cell r="BJ921" t="str">
            <v>ZIM</v>
          </cell>
        </row>
        <row r="922">
          <cell r="E922" t="str">
            <v>24</v>
          </cell>
          <cell r="J922">
            <v>1009.6299999999992</v>
          </cell>
          <cell r="K922">
            <v>4.6100000000005821</v>
          </cell>
          <cell r="AL922">
            <v>0</v>
          </cell>
          <cell r="BJ922" t="str">
            <v>ZIM</v>
          </cell>
        </row>
        <row r="923">
          <cell r="E923" t="str">
            <v>24</v>
          </cell>
          <cell r="J923">
            <v>0</v>
          </cell>
          <cell r="K923">
            <v>0</v>
          </cell>
          <cell r="AL923">
            <v>0</v>
          </cell>
          <cell r="BJ923" t="str">
            <v>ZIM</v>
          </cell>
        </row>
        <row r="924">
          <cell r="E924" t="str">
            <v>24</v>
          </cell>
          <cell r="J924">
            <v>0</v>
          </cell>
          <cell r="K924">
            <v>0</v>
          </cell>
          <cell r="AL924">
            <v>0</v>
          </cell>
          <cell r="BJ924" t="str">
            <v>ZIM</v>
          </cell>
        </row>
        <row r="925">
          <cell r="E925" t="str">
            <v>38</v>
          </cell>
          <cell r="J925">
            <v>0</v>
          </cell>
          <cell r="K925">
            <v>0</v>
          </cell>
          <cell r="AL925">
            <v>0</v>
          </cell>
          <cell r="BJ925" t="str">
            <v>ZIM</v>
          </cell>
        </row>
        <row r="926">
          <cell r="E926" t="str">
            <v>38</v>
          </cell>
          <cell r="J926">
            <v>0</v>
          </cell>
          <cell r="K926">
            <v>0</v>
          </cell>
          <cell r="AL926">
            <v>0</v>
          </cell>
          <cell r="BJ926" t="str">
            <v>ZIM</v>
          </cell>
        </row>
        <row r="927">
          <cell r="E927" t="str">
            <v>38</v>
          </cell>
          <cell r="J927">
            <v>0</v>
          </cell>
          <cell r="K927">
            <v>0</v>
          </cell>
          <cell r="AL927">
            <v>0</v>
          </cell>
          <cell r="BJ927" t="str">
            <v>ZIM</v>
          </cell>
        </row>
        <row r="928">
          <cell r="E928" t="str">
            <v>38</v>
          </cell>
          <cell r="J928">
            <v>0</v>
          </cell>
          <cell r="K928">
            <v>0</v>
          </cell>
          <cell r="AL928">
            <v>0</v>
          </cell>
          <cell r="BJ928" t="str">
            <v>ZIM</v>
          </cell>
        </row>
        <row r="929">
          <cell r="E929" t="str">
            <v>38</v>
          </cell>
          <cell r="J929">
            <v>0</v>
          </cell>
          <cell r="K929">
            <v>0</v>
          </cell>
          <cell r="AL929">
            <v>0</v>
          </cell>
          <cell r="BJ929" t="str">
            <v>ZIM</v>
          </cell>
        </row>
        <row r="930">
          <cell r="E930" t="str">
            <v>38</v>
          </cell>
          <cell r="J930">
            <v>0</v>
          </cell>
          <cell r="K930">
            <v>0</v>
          </cell>
          <cell r="AL930">
            <v>0</v>
          </cell>
          <cell r="BJ930" t="str">
            <v>ZIM</v>
          </cell>
        </row>
        <row r="931">
          <cell r="E931" t="str">
            <v>38</v>
          </cell>
          <cell r="J931">
            <v>0</v>
          </cell>
          <cell r="K931">
            <v>0</v>
          </cell>
          <cell r="AL931">
            <v>0</v>
          </cell>
          <cell r="BJ931" t="str">
            <v>ZIM</v>
          </cell>
        </row>
        <row r="932">
          <cell r="E932" t="str">
            <v>38</v>
          </cell>
          <cell r="J932">
            <v>0</v>
          </cell>
          <cell r="K932">
            <v>0</v>
          </cell>
          <cell r="AL932">
            <v>0</v>
          </cell>
          <cell r="BJ932" t="str">
            <v>ZIM</v>
          </cell>
        </row>
        <row r="933">
          <cell r="E933" t="str">
            <v>38</v>
          </cell>
          <cell r="J933">
            <v>0</v>
          </cell>
          <cell r="K933">
            <v>0</v>
          </cell>
          <cell r="AL933">
            <v>0</v>
          </cell>
          <cell r="BJ933" t="str">
            <v>ZIM</v>
          </cell>
        </row>
        <row r="934">
          <cell r="E934" t="str">
            <v>38</v>
          </cell>
          <cell r="J934">
            <v>0</v>
          </cell>
          <cell r="K934">
            <v>0</v>
          </cell>
          <cell r="AL934">
            <v>0</v>
          </cell>
          <cell r="BJ934" t="str">
            <v>ZIM</v>
          </cell>
        </row>
        <row r="935">
          <cell r="E935" t="str">
            <v>38</v>
          </cell>
          <cell r="J935">
            <v>0</v>
          </cell>
          <cell r="K935">
            <v>0</v>
          </cell>
          <cell r="AL935">
            <v>0</v>
          </cell>
          <cell r="BJ935" t="str">
            <v>ZIM</v>
          </cell>
        </row>
        <row r="936">
          <cell r="E936" t="str">
            <v>38</v>
          </cell>
          <cell r="J936">
            <v>0</v>
          </cell>
          <cell r="K936">
            <v>0</v>
          </cell>
          <cell r="AL936">
            <v>0</v>
          </cell>
          <cell r="BJ936" t="str">
            <v>ZIM</v>
          </cell>
        </row>
        <row r="937">
          <cell r="E937" t="str">
            <v>38</v>
          </cell>
          <cell r="J937">
            <v>0</v>
          </cell>
          <cell r="K937">
            <v>0</v>
          </cell>
          <cell r="AL937">
            <v>0</v>
          </cell>
          <cell r="BJ937" t="str">
            <v>ZIM</v>
          </cell>
        </row>
        <row r="938">
          <cell r="E938" t="str">
            <v>38</v>
          </cell>
          <cell r="J938">
            <v>0</v>
          </cell>
          <cell r="K938">
            <v>0</v>
          </cell>
          <cell r="AL938">
            <v>0</v>
          </cell>
          <cell r="BJ938" t="str">
            <v>ZIM</v>
          </cell>
        </row>
        <row r="939">
          <cell r="E939" t="str">
            <v>38</v>
          </cell>
          <cell r="J939">
            <v>0</v>
          </cell>
          <cell r="K939">
            <v>0</v>
          </cell>
          <cell r="AL939">
            <v>0</v>
          </cell>
          <cell r="BJ939" t="str">
            <v>ZIM</v>
          </cell>
        </row>
        <row r="940">
          <cell r="E940" t="str">
            <v>38</v>
          </cell>
          <cell r="J940">
            <v>0</v>
          </cell>
          <cell r="K940">
            <v>0</v>
          </cell>
          <cell r="AL940">
            <v>0</v>
          </cell>
          <cell r="BJ940" t="str">
            <v>ZIM</v>
          </cell>
        </row>
        <row r="941">
          <cell r="E941" t="str">
            <v>38</v>
          </cell>
          <cell r="J941">
            <v>0</v>
          </cell>
          <cell r="K941">
            <v>0</v>
          </cell>
          <cell r="AL941">
            <v>0</v>
          </cell>
          <cell r="BJ941" t="str">
            <v>ZIM</v>
          </cell>
        </row>
        <row r="942">
          <cell r="E942" t="str">
            <v>38</v>
          </cell>
          <cell r="J942">
            <v>0</v>
          </cell>
          <cell r="K942">
            <v>0</v>
          </cell>
          <cell r="AL942">
            <v>0</v>
          </cell>
          <cell r="BJ942" t="str">
            <v>ZIM</v>
          </cell>
        </row>
        <row r="943">
          <cell r="E943" t="str">
            <v>38</v>
          </cell>
          <cell r="J943">
            <v>0</v>
          </cell>
          <cell r="K943">
            <v>0</v>
          </cell>
          <cell r="AL943">
            <v>0</v>
          </cell>
          <cell r="BJ943" t="str">
            <v>ZIM</v>
          </cell>
        </row>
        <row r="944">
          <cell r="E944" t="str">
            <v>38</v>
          </cell>
          <cell r="J944">
            <v>0</v>
          </cell>
          <cell r="K944">
            <v>0</v>
          </cell>
          <cell r="AL944">
            <v>0</v>
          </cell>
          <cell r="BJ944" t="str">
            <v>ZIM</v>
          </cell>
        </row>
        <row r="945">
          <cell r="E945" t="str">
            <v>38</v>
          </cell>
          <cell r="J945">
            <v>0</v>
          </cell>
          <cell r="K945">
            <v>0</v>
          </cell>
          <cell r="AL945">
            <v>0</v>
          </cell>
          <cell r="BJ945" t="str">
            <v>ZIM</v>
          </cell>
        </row>
        <row r="946">
          <cell r="E946" t="str">
            <v>38</v>
          </cell>
          <cell r="J946">
            <v>0</v>
          </cell>
          <cell r="K946">
            <v>0</v>
          </cell>
          <cell r="AL946">
            <v>0</v>
          </cell>
          <cell r="BJ946" t="str">
            <v>ZIM</v>
          </cell>
        </row>
        <row r="947">
          <cell r="E947" t="str">
            <v>38</v>
          </cell>
          <cell r="J947">
            <v>0</v>
          </cell>
          <cell r="K947">
            <v>0</v>
          </cell>
          <cell r="AL947">
            <v>0</v>
          </cell>
          <cell r="BJ947" t="str">
            <v>ZIM</v>
          </cell>
        </row>
        <row r="948">
          <cell r="E948" t="str">
            <v>38</v>
          </cell>
          <cell r="J948">
            <v>0</v>
          </cell>
          <cell r="K948">
            <v>0</v>
          </cell>
          <cell r="AL948">
            <v>0</v>
          </cell>
          <cell r="BJ948" t="str">
            <v>ZIM</v>
          </cell>
        </row>
        <row r="949">
          <cell r="E949" t="str">
            <v>38</v>
          </cell>
          <cell r="J949">
            <v>0</v>
          </cell>
          <cell r="K949">
            <v>0</v>
          </cell>
          <cell r="AL949">
            <v>0</v>
          </cell>
          <cell r="BJ949" t="str">
            <v>ZIM</v>
          </cell>
        </row>
        <row r="950">
          <cell r="E950" t="str">
            <v>38</v>
          </cell>
          <cell r="J950">
            <v>0</v>
          </cell>
          <cell r="K950">
            <v>0</v>
          </cell>
          <cell r="AL950">
            <v>0</v>
          </cell>
          <cell r="BJ950" t="str">
            <v>ZIM</v>
          </cell>
        </row>
        <row r="951">
          <cell r="E951" t="str">
            <v>38</v>
          </cell>
          <cell r="J951">
            <v>0</v>
          </cell>
          <cell r="K951">
            <v>0</v>
          </cell>
          <cell r="AL951">
            <v>0</v>
          </cell>
          <cell r="BJ951" t="str">
            <v>ZIM</v>
          </cell>
        </row>
        <row r="952">
          <cell r="E952" t="str">
            <v>38</v>
          </cell>
          <cell r="J952">
            <v>0</v>
          </cell>
          <cell r="K952">
            <v>0</v>
          </cell>
          <cell r="AL952">
            <v>0</v>
          </cell>
          <cell r="BJ952" t="str">
            <v>ZIM</v>
          </cell>
        </row>
        <row r="953">
          <cell r="E953" t="str">
            <v>38</v>
          </cell>
          <cell r="J953">
            <v>0</v>
          </cell>
          <cell r="K953">
            <v>0</v>
          </cell>
          <cell r="AL953">
            <v>0</v>
          </cell>
          <cell r="BJ953" t="str">
            <v>ZIM</v>
          </cell>
        </row>
        <row r="954">
          <cell r="E954" t="str">
            <v>35</v>
          </cell>
          <cell r="J954">
            <v>0</v>
          </cell>
          <cell r="K954">
            <v>0</v>
          </cell>
          <cell r="AL954">
            <v>0</v>
          </cell>
          <cell r="BJ954" t="str">
            <v>ZIM</v>
          </cell>
        </row>
        <row r="955">
          <cell r="E955" t="str">
            <v>35</v>
          </cell>
          <cell r="J955">
            <v>0</v>
          </cell>
          <cell r="K955">
            <v>0</v>
          </cell>
          <cell r="AL955">
            <v>0</v>
          </cell>
          <cell r="BJ955" t="str">
            <v>ZIM</v>
          </cell>
        </row>
        <row r="956">
          <cell r="E956" t="str">
            <v>35</v>
          </cell>
          <cell r="J956">
            <v>21640.400000000001</v>
          </cell>
          <cell r="K956">
            <v>0</v>
          </cell>
          <cell r="AL956">
            <v>0</v>
          </cell>
          <cell r="BJ956" t="str">
            <v>ZIM</v>
          </cell>
        </row>
        <row r="957">
          <cell r="E957" t="str">
            <v>35</v>
          </cell>
          <cell r="J957">
            <v>-5315.2</v>
          </cell>
          <cell r="K957">
            <v>-612.59000000000015</v>
          </cell>
          <cell r="AL957">
            <v>0</v>
          </cell>
          <cell r="BJ957" t="str">
            <v>ZIM</v>
          </cell>
        </row>
        <row r="958">
          <cell r="E958" t="str">
            <v>35</v>
          </cell>
          <cell r="J958">
            <v>48582.52</v>
          </cell>
          <cell r="K958">
            <v>101</v>
          </cell>
          <cell r="AL958">
            <v>0</v>
          </cell>
          <cell r="BJ958" t="str">
            <v>ZIM</v>
          </cell>
        </row>
        <row r="959">
          <cell r="E959" t="str">
            <v>35</v>
          </cell>
          <cell r="J959">
            <v>-5686.64</v>
          </cell>
          <cell r="K959">
            <v>-688.56999999999971</v>
          </cell>
          <cell r="AL959">
            <v>0</v>
          </cell>
          <cell r="BJ959" t="str">
            <v>ZIM</v>
          </cell>
        </row>
        <row r="960">
          <cell r="E960" t="str">
            <v>35</v>
          </cell>
          <cell r="J960">
            <v>0</v>
          </cell>
          <cell r="K960">
            <v>0</v>
          </cell>
          <cell r="AL960">
            <v>0</v>
          </cell>
          <cell r="BJ960" t="str">
            <v>ZIM</v>
          </cell>
        </row>
        <row r="961">
          <cell r="E961" t="str">
            <v>35</v>
          </cell>
          <cell r="J961">
            <v>0</v>
          </cell>
          <cell r="K961">
            <v>0</v>
          </cell>
          <cell r="AL961">
            <v>0</v>
          </cell>
          <cell r="BJ961" t="str">
            <v>ZIM</v>
          </cell>
        </row>
        <row r="962">
          <cell r="E962" t="str">
            <v>35</v>
          </cell>
          <cell r="J962">
            <v>8672.94</v>
          </cell>
          <cell r="K962">
            <v>0</v>
          </cell>
          <cell r="AL962">
            <v>0</v>
          </cell>
          <cell r="BJ962" t="str">
            <v>ZIM</v>
          </cell>
        </row>
        <row r="963">
          <cell r="E963" t="str">
            <v>35</v>
          </cell>
          <cell r="J963">
            <v>-1151.73</v>
          </cell>
          <cell r="K963">
            <v>-207.6400000000001</v>
          </cell>
          <cell r="AL963">
            <v>0</v>
          </cell>
          <cell r="BJ963" t="str">
            <v>ZIM</v>
          </cell>
        </row>
        <row r="964">
          <cell r="E964" t="str">
            <v>35</v>
          </cell>
          <cell r="J964">
            <v>2384</v>
          </cell>
          <cell r="K964">
            <v>0</v>
          </cell>
          <cell r="AL964">
            <v>0</v>
          </cell>
          <cell r="BJ964" t="str">
            <v>ZIM</v>
          </cell>
        </row>
        <row r="965">
          <cell r="E965" t="str">
            <v>35</v>
          </cell>
          <cell r="J965">
            <v>-1077.7</v>
          </cell>
          <cell r="K965">
            <v>-300.45000000000005</v>
          </cell>
          <cell r="AL965">
            <v>0</v>
          </cell>
          <cell r="BJ965" t="str">
            <v>ZIM</v>
          </cell>
        </row>
        <row r="966">
          <cell r="E966" t="str">
            <v>35</v>
          </cell>
          <cell r="J966">
            <v>0</v>
          </cell>
          <cell r="K966">
            <v>0</v>
          </cell>
          <cell r="AL966">
            <v>0</v>
          </cell>
          <cell r="BJ966" t="str">
            <v>ZIM</v>
          </cell>
        </row>
        <row r="967">
          <cell r="E967" t="str">
            <v>35</v>
          </cell>
          <cell r="J967">
            <v>0</v>
          </cell>
          <cell r="K967">
            <v>0</v>
          </cell>
          <cell r="AL967">
            <v>0</v>
          </cell>
          <cell r="BJ967" t="str">
            <v>ZIM</v>
          </cell>
        </row>
        <row r="968">
          <cell r="E968" t="str">
            <v>47</v>
          </cell>
          <cell r="J968">
            <v>3469.3699999998789</v>
          </cell>
          <cell r="K968">
            <v>1790.3600000001024</v>
          </cell>
          <cell r="AL968">
            <v>0</v>
          </cell>
          <cell r="BJ968" t="str">
            <v>ZIM</v>
          </cell>
        </row>
        <row r="969">
          <cell r="E969" t="str">
            <v>46</v>
          </cell>
          <cell r="J969">
            <v>0</v>
          </cell>
          <cell r="K969">
            <v>0</v>
          </cell>
          <cell r="AL969">
            <v>0</v>
          </cell>
          <cell r="BJ969" t="str">
            <v>ZIM</v>
          </cell>
        </row>
        <row r="970">
          <cell r="E970" t="str">
            <v>47</v>
          </cell>
          <cell r="J970">
            <v>3103.630000000001</v>
          </cell>
          <cell r="K970">
            <v>-809.67000000000007</v>
          </cell>
          <cell r="AL970">
            <v>0</v>
          </cell>
          <cell r="BJ970" t="str">
            <v>ZIM</v>
          </cell>
        </row>
        <row r="971">
          <cell r="E971" t="str">
            <v>47</v>
          </cell>
          <cell r="J971">
            <v>8010</v>
          </cell>
          <cell r="K971">
            <v>280</v>
          </cell>
          <cell r="AL971">
            <v>0</v>
          </cell>
          <cell r="BJ971" t="str">
            <v>ZIM</v>
          </cell>
        </row>
        <row r="972">
          <cell r="E972" t="str">
            <v>48</v>
          </cell>
          <cell r="J972">
            <v>0</v>
          </cell>
          <cell r="K972">
            <v>0</v>
          </cell>
          <cell r="AL972">
            <v>0</v>
          </cell>
          <cell r="BJ972" t="str">
            <v>ZIM</v>
          </cell>
        </row>
        <row r="973">
          <cell r="E973" t="str">
            <v>47</v>
          </cell>
          <cell r="J973">
            <v>0</v>
          </cell>
          <cell r="K973">
            <v>0</v>
          </cell>
          <cell r="AL973">
            <v>0</v>
          </cell>
          <cell r="BJ973" t="str">
            <v>ZIM</v>
          </cell>
        </row>
        <row r="974">
          <cell r="E974" t="str">
            <v>47</v>
          </cell>
          <cell r="J974">
            <v>0</v>
          </cell>
          <cell r="K974">
            <v>0</v>
          </cell>
          <cell r="AL974">
            <v>0</v>
          </cell>
          <cell r="BJ974" t="str">
            <v>ZIM</v>
          </cell>
        </row>
        <row r="975">
          <cell r="E975" t="str">
            <v>47</v>
          </cell>
          <cell r="J975">
            <v>0</v>
          </cell>
          <cell r="K975">
            <v>0</v>
          </cell>
          <cell r="AL975">
            <v>0</v>
          </cell>
          <cell r="BJ975" t="str">
            <v>ZIM</v>
          </cell>
        </row>
        <row r="976">
          <cell r="E976" t="str">
            <v>47</v>
          </cell>
          <cell r="J976">
            <v>-13746.46000000299</v>
          </cell>
          <cell r="K976">
            <v>9548.5299999995623</v>
          </cell>
          <cell r="AL976">
            <v>0</v>
          </cell>
          <cell r="BJ976" t="str">
            <v>ZIM</v>
          </cell>
        </row>
        <row r="977">
          <cell r="E977" t="str">
            <v>47</v>
          </cell>
          <cell r="J977">
            <v>0</v>
          </cell>
          <cell r="K977">
            <v>0</v>
          </cell>
          <cell r="AL977">
            <v>0</v>
          </cell>
          <cell r="BJ977" t="str">
            <v>ZIM</v>
          </cell>
        </row>
        <row r="978">
          <cell r="E978" t="str">
            <v>38</v>
          </cell>
          <cell r="J978">
            <v>1313390.4500000039</v>
          </cell>
          <cell r="K978">
            <v>379961.19999999972</v>
          </cell>
          <cell r="AL978">
            <v>0</v>
          </cell>
          <cell r="BJ978" t="str">
            <v>ZIM</v>
          </cell>
        </row>
        <row r="979">
          <cell r="E979" t="str">
            <v>38</v>
          </cell>
          <cell r="J979">
            <v>-104617.04999999999</v>
          </cell>
          <cell r="K979">
            <v>-29667</v>
          </cell>
          <cell r="AL979">
            <v>0</v>
          </cell>
          <cell r="BJ979" t="str">
            <v>ZIM</v>
          </cell>
        </row>
        <row r="980">
          <cell r="E980" t="str">
            <v>50</v>
          </cell>
          <cell r="J980">
            <v>37804.17</v>
          </cell>
          <cell r="K980">
            <v>21467.75</v>
          </cell>
          <cell r="AL980">
            <v>0</v>
          </cell>
          <cell r="BJ980" t="str">
            <v>ZIM</v>
          </cell>
        </row>
        <row r="981">
          <cell r="E981" t="str">
            <v>45</v>
          </cell>
          <cell r="J981">
            <v>185311.81000000099</v>
          </cell>
          <cell r="K981">
            <v>-7122.7899999995716</v>
          </cell>
          <cell r="AL981">
            <v>0</v>
          </cell>
          <cell r="BJ981" t="str">
            <v>ZIM</v>
          </cell>
        </row>
        <row r="982">
          <cell r="E982" t="str">
            <v>45</v>
          </cell>
          <cell r="J982">
            <v>20472.199999999953</v>
          </cell>
          <cell r="K982">
            <v>-16865</v>
          </cell>
          <cell r="AL982">
            <v>0</v>
          </cell>
          <cell r="BJ982" t="str">
            <v>ZIM</v>
          </cell>
        </row>
        <row r="983">
          <cell r="E983" t="str">
            <v>45</v>
          </cell>
          <cell r="J983">
            <v>166.36999999999534</v>
          </cell>
          <cell r="K983">
            <v>-15</v>
          </cell>
          <cell r="AL983">
            <v>0</v>
          </cell>
          <cell r="BJ983" t="str">
            <v>ZIM</v>
          </cell>
        </row>
        <row r="984">
          <cell r="E984" t="str">
            <v>45</v>
          </cell>
          <cell r="J984">
            <v>921.27000000003682</v>
          </cell>
          <cell r="K984">
            <v>5637.700000000008</v>
          </cell>
          <cell r="AL984">
            <v>0</v>
          </cell>
          <cell r="BJ984" t="str">
            <v>ZIM</v>
          </cell>
        </row>
        <row r="985">
          <cell r="E985" t="str">
            <v>45</v>
          </cell>
          <cell r="J985">
            <v>95</v>
          </cell>
          <cell r="K985">
            <v>22182.120000004797</v>
          </cell>
          <cell r="AL985">
            <v>0</v>
          </cell>
          <cell r="BJ985" t="str">
            <v>ZIM</v>
          </cell>
        </row>
        <row r="986">
          <cell r="E986" t="str">
            <v>45</v>
          </cell>
          <cell r="J986">
            <v>0</v>
          </cell>
          <cell r="K986">
            <v>0</v>
          </cell>
          <cell r="AL986">
            <v>0</v>
          </cell>
          <cell r="BJ986" t="str">
            <v>ZIM</v>
          </cell>
        </row>
        <row r="987">
          <cell r="E987" t="str">
            <v>45</v>
          </cell>
          <cell r="J987">
            <v>0</v>
          </cell>
          <cell r="K987">
            <v>198.57999999999998</v>
          </cell>
          <cell r="AL987">
            <v>0</v>
          </cell>
          <cell r="BJ987" t="str">
            <v>ZIM</v>
          </cell>
        </row>
        <row r="988">
          <cell r="E988" t="str">
            <v>45</v>
          </cell>
          <cell r="J988">
            <v>0</v>
          </cell>
          <cell r="K988">
            <v>0</v>
          </cell>
          <cell r="AL988">
            <v>0</v>
          </cell>
          <cell r="BJ988" t="str">
            <v>ZIM</v>
          </cell>
        </row>
        <row r="989">
          <cell r="E989" t="str">
            <v>45</v>
          </cell>
          <cell r="J989">
            <v>0</v>
          </cell>
          <cell r="K989">
            <v>0</v>
          </cell>
          <cell r="AL989">
            <v>0</v>
          </cell>
          <cell r="BJ989" t="str">
            <v>ZIM</v>
          </cell>
        </row>
        <row r="990">
          <cell r="E990" t="str">
            <v>45</v>
          </cell>
          <cell r="J990">
            <v>-2.9999999795109034E-2</v>
          </cell>
          <cell r="K990">
            <v>547.70000000018626</v>
          </cell>
          <cell r="AL990">
            <v>0</v>
          </cell>
          <cell r="BJ990" t="str">
            <v>ZIM</v>
          </cell>
        </row>
        <row r="991">
          <cell r="E991" t="str">
            <v>45</v>
          </cell>
          <cell r="J991">
            <v>0</v>
          </cell>
          <cell r="K991">
            <v>0</v>
          </cell>
          <cell r="AL991">
            <v>0</v>
          </cell>
          <cell r="BJ991" t="str">
            <v>ZIM</v>
          </cell>
        </row>
        <row r="992">
          <cell r="E992" t="str">
            <v>45</v>
          </cell>
          <cell r="J992">
            <v>0</v>
          </cell>
          <cell r="K992">
            <v>0</v>
          </cell>
          <cell r="AL992">
            <v>0</v>
          </cell>
          <cell r="BJ992" t="str">
            <v>ZIM</v>
          </cell>
        </row>
        <row r="993">
          <cell r="E993" t="str">
            <v>45</v>
          </cell>
          <cell r="J993">
            <v>0</v>
          </cell>
          <cell r="K993">
            <v>0</v>
          </cell>
          <cell r="AL993">
            <v>0</v>
          </cell>
          <cell r="BJ993" t="str">
            <v>ZIM</v>
          </cell>
        </row>
        <row r="994">
          <cell r="E994" t="str">
            <v>45</v>
          </cell>
          <cell r="J994">
            <v>0</v>
          </cell>
          <cell r="K994">
            <v>400</v>
          </cell>
          <cell r="AL994">
            <v>0</v>
          </cell>
          <cell r="BJ994" t="str">
            <v>ZIM</v>
          </cell>
        </row>
        <row r="995">
          <cell r="E995" t="str">
            <v>45</v>
          </cell>
          <cell r="J995">
            <v>0</v>
          </cell>
          <cell r="K995">
            <v>0</v>
          </cell>
          <cell r="AL995">
            <v>0</v>
          </cell>
          <cell r="BJ995" t="str">
            <v>ZIM</v>
          </cell>
        </row>
        <row r="996">
          <cell r="E996" t="str">
            <v>45</v>
          </cell>
          <cell r="J996">
            <v>0</v>
          </cell>
          <cell r="K996">
            <v>0</v>
          </cell>
          <cell r="AL996">
            <v>0</v>
          </cell>
          <cell r="BJ996" t="str">
            <v>ZIM</v>
          </cell>
        </row>
        <row r="997">
          <cell r="E997" t="str">
            <v>45</v>
          </cell>
          <cell r="J997">
            <v>5.8207660913467407E-11</v>
          </cell>
          <cell r="K997">
            <v>0</v>
          </cell>
          <cell r="AL997">
            <v>0</v>
          </cell>
          <cell r="BJ997" t="str">
            <v>ZIM</v>
          </cell>
        </row>
        <row r="998">
          <cell r="E998" t="str">
            <v>45</v>
          </cell>
          <cell r="J998">
            <v>0</v>
          </cell>
          <cell r="K998">
            <v>0</v>
          </cell>
          <cell r="AL998">
            <v>0</v>
          </cell>
          <cell r="BJ998" t="str">
            <v>ZIM</v>
          </cell>
        </row>
        <row r="999">
          <cell r="E999" t="str">
            <v>45</v>
          </cell>
          <cell r="J999">
            <v>0</v>
          </cell>
          <cell r="K999">
            <v>0</v>
          </cell>
          <cell r="AL999">
            <v>0</v>
          </cell>
          <cell r="BJ999" t="str">
            <v>ZIM</v>
          </cell>
        </row>
        <row r="1000">
          <cell r="E1000" t="str">
            <v>45</v>
          </cell>
          <cell r="J1000">
            <v>0</v>
          </cell>
          <cell r="K1000">
            <v>0</v>
          </cell>
          <cell r="AL1000">
            <v>0</v>
          </cell>
          <cell r="BJ1000" t="str">
            <v>ZIM</v>
          </cell>
        </row>
        <row r="1001">
          <cell r="E1001" t="str">
            <v>45</v>
          </cell>
          <cell r="J1001">
            <v>0</v>
          </cell>
          <cell r="K1001">
            <v>2.000000000003638</v>
          </cell>
          <cell r="AL1001">
            <v>0</v>
          </cell>
          <cell r="BJ1001" t="str">
            <v>ZIM</v>
          </cell>
        </row>
        <row r="1002">
          <cell r="E1002" t="str">
            <v>45</v>
          </cell>
          <cell r="J1002">
            <v>0</v>
          </cell>
          <cell r="K1002">
            <v>236</v>
          </cell>
          <cell r="AL1002">
            <v>0</v>
          </cell>
          <cell r="BJ1002" t="str">
            <v>ZIM</v>
          </cell>
        </row>
        <row r="1003">
          <cell r="E1003" t="str">
            <v>45</v>
          </cell>
          <cell r="J1003">
            <v>0</v>
          </cell>
          <cell r="K1003">
            <v>478</v>
          </cell>
          <cell r="AL1003">
            <v>0</v>
          </cell>
          <cell r="BJ1003" t="str">
            <v>ZIM</v>
          </cell>
        </row>
        <row r="1004">
          <cell r="E1004" t="str">
            <v>45</v>
          </cell>
          <cell r="J1004">
            <v>0</v>
          </cell>
          <cell r="K1004">
            <v>0</v>
          </cell>
          <cell r="AL1004">
            <v>0</v>
          </cell>
          <cell r="BJ1004" t="str">
            <v>ZIM</v>
          </cell>
        </row>
        <row r="1005">
          <cell r="E1005" t="str">
            <v>45</v>
          </cell>
          <cell r="J1005">
            <v>0</v>
          </cell>
          <cell r="K1005">
            <v>0</v>
          </cell>
          <cell r="AL1005">
            <v>0</v>
          </cell>
          <cell r="BJ1005" t="str">
            <v>ZIM</v>
          </cell>
        </row>
        <row r="1006">
          <cell r="E1006" t="str">
            <v>45</v>
          </cell>
          <cell r="J1006">
            <v>0</v>
          </cell>
          <cell r="K1006">
            <v>275</v>
          </cell>
          <cell r="AL1006">
            <v>0</v>
          </cell>
          <cell r="BJ1006" t="str">
            <v>ZIM</v>
          </cell>
        </row>
        <row r="1007">
          <cell r="E1007" t="str">
            <v>45</v>
          </cell>
          <cell r="J1007">
            <v>0</v>
          </cell>
          <cell r="K1007">
            <v>97</v>
          </cell>
          <cell r="AL1007">
            <v>0</v>
          </cell>
          <cell r="BJ1007" t="str">
            <v>ZIM</v>
          </cell>
        </row>
        <row r="1008">
          <cell r="E1008" t="str">
            <v>45</v>
          </cell>
          <cell r="J1008">
            <v>0</v>
          </cell>
          <cell r="K1008">
            <v>0</v>
          </cell>
          <cell r="AL1008">
            <v>0</v>
          </cell>
          <cell r="BJ1008" t="str">
            <v>ZIM</v>
          </cell>
        </row>
        <row r="1009">
          <cell r="E1009" t="str">
            <v>45</v>
          </cell>
          <cell r="J1009">
            <v>0</v>
          </cell>
          <cell r="K1009">
            <v>325</v>
          </cell>
          <cell r="AL1009">
            <v>0</v>
          </cell>
          <cell r="BJ1009" t="str">
            <v>ZIM</v>
          </cell>
        </row>
        <row r="1010">
          <cell r="E1010" t="str">
            <v>45</v>
          </cell>
          <cell r="J1010">
            <v>0</v>
          </cell>
          <cell r="K1010">
            <v>290</v>
          </cell>
          <cell r="AL1010">
            <v>0</v>
          </cell>
          <cell r="BJ1010" t="str">
            <v>ZIM</v>
          </cell>
        </row>
        <row r="1011">
          <cell r="E1011" t="str">
            <v>45</v>
          </cell>
          <cell r="J1011">
            <v>0</v>
          </cell>
          <cell r="K1011">
            <v>170</v>
          </cell>
          <cell r="AL1011">
            <v>0</v>
          </cell>
          <cell r="BJ1011" t="str">
            <v>ZIM</v>
          </cell>
        </row>
        <row r="1012">
          <cell r="E1012" t="str">
            <v>50</v>
          </cell>
          <cell r="J1012">
            <v>13653.240000000005</v>
          </cell>
          <cell r="K1012">
            <v>1000.0000000000073</v>
          </cell>
          <cell r="AL1012">
            <v>0</v>
          </cell>
          <cell r="BJ1012" t="str">
            <v>ZIM</v>
          </cell>
        </row>
        <row r="1013">
          <cell r="E1013" t="str">
            <v>50</v>
          </cell>
          <cell r="J1013">
            <v>-170.65000000000146</v>
          </cell>
          <cell r="K1013">
            <v>1398.5199999999995</v>
          </cell>
          <cell r="AL1013">
            <v>0</v>
          </cell>
          <cell r="BJ1013" t="str">
            <v>ZIM</v>
          </cell>
        </row>
        <row r="1014">
          <cell r="E1014" t="str">
            <v>50</v>
          </cell>
          <cell r="J1014">
            <v>400.98999999999978</v>
          </cell>
          <cell r="K1014">
            <v>-17149.460000000028</v>
          </cell>
          <cell r="AL1014">
            <v>0</v>
          </cell>
          <cell r="BJ1014" t="str">
            <v>ZIM</v>
          </cell>
        </row>
        <row r="1015">
          <cell r="E1015" t="str">
            <v>51</v>
          </cell>
          <cell r="J1015">
            <v>0</v>
          </cell>
          <cell r="K1015">
            <v>0</v>
          </cell>
          <cell r="AL1015">
            <v>0</v>
          </cell>
          <cell r="BJ1015" t="str">
            <v>ZIM</v>
          </cell>
        </row>
        <row r="1016">
          <cell r="E1016" t="str">
            <v>50</v>
          </cell>
          <cell r="J1016">
            <v>4317.5600000000122</v>
          </cell>
          <cell r="K1016">
            <v>201.90000000000146</v>
          </cell>
          <cell r="AL1016">
            <v>0</v>
          </cell>
          <cell r="BJ1016" t="str">
            <v>ZIM</v>
          </cell>
        </row>
        <row r="1017">
          <cell r="E1017" t="str">
            <v>50</v>
          </cell>
          <cell r="J1017">
            <v>761</v>
          </cell>
          <cell r="K1017">
            <v>-82</v>
          </cell>
          <cell r="AL1017">
            <v>0</v>
          </cell>
          <cell r="BJ1017" t="str">
            <v>ZIM</v>
          </cell>
        </row>
        <row r="1018">
          <cell r="E1018" t="str">
            <v>50</v>
          </cell>
          <cell r="J1018">
            <v>0</v>
          </cell>
          <cell r="K1018">
            <v>0</v>
          </cell>
          <cell r="AL1018">
            <v>0</v>
          </cell>
          <cell r="BJ1018" t="str">
            <v>ZIM</v>
          </cell>
        </row>
        <row r="1019">
          <cell r="E1019" t="str">
            <v>50</v>
          </cell>
          <cell r="J1019">
            <v>129.57999999999993</v>
          </cell>
          <cell r="K1019">
            <v>6.0599999999999454</v>
          </cell>
          <cell r="AL1019">
            <v>0</v>
          </cell>
          <cell r="BJ1019" t="str">
            <v>ZIM</v>
          </cell>
        </row>
        <row r="1020">
          <cell r="E1020" t="str">
            <v>50</v>
          </cell>
          <cell r="J1020">
            <v>0</v>
          </cell>
          <cell r="K1020">
            <v>0</v>
          </cell>
          <cell r="AL1020">
            <v>0</v>
          </cell>
          <cell r="BJ1020" t="str">
            <v>ZIM</v>
          </cell>
        </row>
        <row r="1021">
          <cell r="E1021" t="str">
            <v>50</v>
          </cell>
          <cell r="J1021">
            <v>302.65000000000032</v>
          </cell>
          <cell r="K1021">
            <v>3.3799999999998818</v>
          </cell>
          <cell r="AL1021">
            <v>0</v>
          </cell>
          <cell r="BJ1021" t="str">
            <v>ZIM</v>
          </cell>
        </row>
        <row r="1022">
          <cell r="E1022" t="str">
            <v>50</v>
          </cell>
          <cell r="J1022">
            <v>912</v>
          </cell>
          <cell r="K1022">
            <v>156</v>
          </cell>
          <cell r="AL1022">
            <v>0</v>
          </cell>
          <cell r="BJ1022" t="str">
            <v>ZIM</v>
          </cell>
        </row>
        <row r="1023">
          <cell r="E1023" t="str">
            <v>50</v>
          </cell>
          <cell r="J1023">
            <v>158.12000000000023</v>
          </cell>
          <cell r="K1023">
            <v>1.2299999999999045</v>
          </cell>
          <cell r="AL1023">
            <v>0</v>
          </cell>
          <cell r="BJ1023" t="str">
            <v>ZIM</v>
          </cell>
        </row>
        <row r="1024">
          <cell r="E1024" t="str">
            <v>50</v>
          </cell>
          <cell r="J1024">
            <v>147.34999999999991</v>
          </cell>
          <cell r="K1024">
            <v>11.120000000000118</v>
          </cell>
          <cell r="AL1024">
            <v>0</v>
          </cell>
          <cell r="BJ1024" t="str">
            <v>ZIM</v>
          </cell>
        </row>
        <row r="1025">
          <cell r="E1025" t="str">
            <v>50</v>
          </cell>
          <cell r="J1025">
            <v>-240</v>
          </cell>
          <cell r="K1025">
            <v>3702</v>
          </cell>
          <cell r="AL1025">
            <v>0</v>
          </cell>
          <cell r="BJ1025" t="str">
            <v>ZIM</v>
          </cell>
        </row>
        <row r="1026">
          <cell r="E1026" t="str">
            <v>50</v>
          </cell>
          <cell r="J1026">
            <v>0</v>
          </cell>
          <cell r="K1026">
            <v>0</v>
          </cell>
          <cell r="AL1026">
            <v>0</v>
          </cell>
          <cell r="BJ1026" t="str">
            <v>ZIM</v>
          </cell>
        </row>
        <row r="1027">
          <cell r="E1027" t="str">
            <v>50</v>
          </cell>
          <cell r="J1027">
            <v>0</v>
          </cell>
          <cell r="K1027">
            <v>0</v>
          </cell>
          <cell r="AL1027">
            <v>0</v>
          </cell>
          <cell r="BJ1027" t="str">
            <v>ZIM</v>
          </cell>
        </row>
        <row r="1028">
          <cell r="E1028" t="str">
            <v>50</v>
          </cell>
          <cell r="J1028">
            <v>0</v>
          </cell>
          <cell r="K1028">
            <v>0</v>
          </cell>
          <cell r="AL1028">
            <v>0</v>
          </cell>
          <cell r="BJ1028" t="str">
            <v>ZIM</v>
          </cell>
        </row>
        <row r="1029">
          <cell r="E1029" t="str">
            <v>50</v>
          </cell>
          <cell r="J1029">
            <v>0</v>
          </cell>
          <cell r="K1029">
            <v>0</v>
          </cell>
          <cell r="AL1029">
            <v>0</v>
          </cell>
          <cell r="BJ1029" t="str">
            <v>ZIM</v>
          </cell>
        </row>
        <row r="1030">
          <cell r="E1030" t="str">
            <v>50</v>
          </cell>
          <cell r="J1030">
            <v>0</v>
          </cell>
          <cell r="K1030">
            <v>0</v>
          </cell>
          <cell r="AL1030">
            <v>0</v>
          </cell>
          <cell r="BJ1030" t="str">
            <v>ZIM</v>
          </cell>
        </row>
        <row r="1031">
          <cell r="E1031" t="str">
            <v>50</v>
          </cell>
          <cell r="J1031">
            <v>2437.5</v>
          </cell>
          <cell r="K1031">
            <v>-2437.5</v>
          </cell>
          <cell r="AL1031">
            <v>0</v>
          </cell>
          <cell r="BJ1031" t="str">
            <v>ZIM</v>
          </cell>
        </row>
        <row r="1032">
          <cell r="E1032" t="str">
            <v>10</v>
          </cell>
          <cell r="J1032">
            <v>0</v>
          </cell>
          <cell r="K1032">
            <v>3846395.3299999996</v>
          </cell>
          <cell r="AL1032">
            <v>0</v>
          </cell>
          <cell r="BJ1032" t="str">
            <v>MAL</v>
          </cell>
        </row>
        <row r="1033">
          <cell r="E1033" t="str">
            <v>10</v>
          </cell>
          <cell r="J1033">
            <v>0</v>
          </cell>
          <cell r="K1033">
            <v>344233.39999999991</v>
          </cell>
          <cell r="AL1033">
            <v>0</v>
          </cell>
          <cell r="BJ1033" t="str">
            <v>MAL</v>
          </cell>
        </row>
        <row r="1034">
          <cell r="E1034" t="str">
            <v>10</v>
          </cell>
          <cell r="J1034">
            <v>0</v>
          </cell>
          <cell r="K1034">
            <v>491812.5</v>
          </cell>
          <cell r="AL1034">
            <v>0</v>
          </cell>
          <cell r="BJ1034" t="str">
            <v>MAL</v>
          </cell>
        </row>
        <row r="1035">
          <cell r="E1035" t="str">
            <v>10</v>
          </cell>
          <cell r="J1035">
            <v>0</v>
          </cell>
          <cell r="K1035">
            <v>5929568.0800000001</v>
          </cell>
          <cell r="AL1035">
            <v>0</v>
          </cell>
          <cell r="BJ1035" t="str">
            <v>MAL</v>
          </cell>
        </row>
        <row r="1036">
          <cell r="E1036" t="str">
            <v>10</v>
          </cell>
          <cell r="J1036">
            <v>0</v>
          </cell>
          <cell r="K1036">
            <v>0</v>
          </cell>
          <cell r="AL1036">
            <v>0</v>
          </cell>
          <cell r="BJ1036" t="str">
            <v>MAL</v>
          </cell>
        </row>
        <row r="1037">
          <cell r="E1037" t="str">
            <v>10</v>
          </cell>
          <cell r="J1037">
            <v>0</v>
          </cell>
          <cell r="K1037">
            <v>0</v>
          </cell>
          <cell r="AL1037">
            <v>0</v>
          </cell>
          <cell r="BJ1037" t="str">
            <v>MAL</v>
          </cell>
        </row>
        <row r="1038">
          <cell r="E1038" t="str">
            <v>10</v>
          </cell>
          <cell r="J1038">
            <v>0</v>
          </cell>
          <cell r="K1038">
            <v>0</v>
          </cell>
          <cell r="AL1038">
            <v>0</v>
          </cell>
          <cell r="BJ1038" t="str">
            <v>MAL</v>
          </cell>
        </row>
        <row r="1039">
          <cell r="E1039" t="str">
            <v>10</v>
          </cell>
          <cell r="J1039">
            <v>0</v>
          </cell>
          <cell r="K1039">
            <v>0</v>
          </cell>
          <cell r="AL1039">
            <v>0</v>
          </cell>
          <cell r="BJ1039" t="str">
            <v>MAL</v>
          </cell>
        </row>
        <row r="1040">
          <cell r="E1040" t="str">
            <v>10</v>
          </cell>
          <cell r="J1040">
            <v>0</v>
          </cell>
          <cell r="K1040">
            <v>0</v>
          </cell>
          <cell r="AL1040">
            <v>0</v>
          </cell>
          <cell r="BJ1040" t="str">
            <v>MAL</v>
          </cell>
        </row>
        <row r="1041">
          <cell r="E1041" t="str">
            <v>10</v>
          </cell>
          <cell r="J1041">
            <v>0</v>
          </cell>
          <cell r="K1041">
            <v>0</v>
          </cell>
          <cell r="AL1041">
            <v>0</v>
          </cell>
          <cell r="BJ1041" t="str">
            <v>MAL</v>
          </cell>
        </row>
        <row r="1042">
          <cell r="E1042" t="str">
            <v>10</v>
          </cell>
          <cell r="J1042">
            <v>0</v>
          </cell>
          <cell r="K1042">
            <v>0</v>
          </cell>
          <cell r="AL1042">
            <v>0</v>
          </cell>
          <cell r="BJ1042" t="str">
            <v>MAL</v>
          </cell>
        </row>
        <row r="1043">
          <cell r="E1043" t="str">
            <v>10</v>
          </cell>
          <cell r="J1043">
            <v>0</v>
          </cell>
          <cell r="K1043">
            <v>0</v>
          </cell>
          <cell r="AL1043">
            <v>0</v>
          </cell>
          <cell r="BJ1043" t="str">
            <v>MAL</v>
          </cell>
        </row>
        <row r="1044">
          <cell r="E1044" t="str">
            <v>10</v>
          </cell>
          <cell r="J1044">
            <v>0</v>
          </cell>
          <cell r="K1044">
            <v>0</v>
          </cell>
          <cell r="AL1044">
            <v>0</v>
          </cell>
          <cell r="BJ1044" t="str">
            <v>MAL</v>
          </cell>
        </row>
        <row r="1045">
          <cell r="E1045" t="str">
            <v>10</v>
          </cell>
          <cell r="J1045">
            <v>0</v>
          </cell>
          <cell r="K1045">
            <v>4001.58</v>
          </cell>
          <cell r="AL1045">
            <v>0</v>
          </cell>
          <cell r="BJ1045" t="str">
            <v>MAL</v>
          </cell>
        </row>
        <row r="1046">
          <cell r="E1046" t="str">
            <v>10</v>
          </cell>
          <cell r="J1046">
            <v>0</v>
          </cell>
          <cell r="K1046">
            <v>0</v>
          </cell>
          <cell r="AL1046">
            <v>0</v>
          </cell>
          <cell r="BJ1046" t="str">
            <v>MAL</v>
          </cell>
        </row>
        <row r="1047">
          <cell r="E1047" t="str">
            <v>10</v>
          </cell>
          <cell r="J1047">
            <v>0</v>
          </cell>
          <cell r="K1047">
            <v>0</v>
          </cell>
          <cell r="AL1047">
            <v>0</v>
          </cell>
          <cell r="BJ1047" t="str">
            <v>MAL</v>
          </cell>
        </row>
        <row r="1048">
          <cell r="E1048" t="str">
            <v>10</v>
          </cell>
          <cell r="J1048">
            <v>0</v>
          </cell>
          <cell r="K1048">
            <v>0</v>
          </cell>
          <cell r="AL1048">
            <v>0</v>
          </cell>
          <cell r="BJ1048" t="str">
            <v>MAL</v>
          </cell>
        </row>
        <row r="1049">
          <cell r="E1049" t="str">
            <v>10</v>
          </cell>
          <cell r="J1049">
            <v>0</v>
          </cell>
          <cell r="K1049">
            <v>0</v>
          </cell>
          <cell r="AL1049">
            <v>0</v>
          </cell>
          <cell r="BJ1049" t="str">
            <v>MAL</v>
          </cell>
        </row>
        <row r="1050">
          <cell r="E1050" t="str">
            <v>10</v>
          </cell>
          <cell r="J1050">
            <v>0</v>
          </cell>
          <cell r="K1050">
            <v>0</v>
          </cell>
          <cell r="AL1050">
            <v>0</v>
          </cell>
          <cell r="BJ1050" t="str">
            <v>MAL</v>
          </cell>
        </row>
        <row r="1051">
          <cell r="E1051" t="str">
            <v>10</v>
          </cell>
          <cell r="J1051">
            <v>0</v>
          </cell>
          <cell r="K1051">
            <v>0</v>
          </cell>
          <cell r="AL1051">
            <v>0</v>
          </cell>
          <cell r="BJ1051" t="str">
            <v>MAL</v>
          </cell>
        </row>
        <row r="1052">
          <cell r="E1052" t="str">
            <v>10</v>
          </cell>
          <cell r="J1052">
            <v>0</v>
          </cell>
          <cell r="K1052">
            <v>0</v>
          </cell>
          <cell r="AL1052">
            <v>0</v>
          </cell>
          <cell r="BJ1052" t="str">
            <v>MAL</v>
          </cell>
        </row>
        <row r="1053">
          <cell r="E1053" t="str">
            <v>10</v>
          </cell>
          <cell r="J1053">
            <v>0</v>
          </cell>
          <cell r="K1053">
            <v>0</v>
          </cell>
          <cell r="AL1053">
            <v>0</v>
          </cell>
          <cell r="BJ1053" t="str">
            <v>MAL</v>
          </cell>
        </row>
        <row r="1054">
          <cell r="E1054" t="str">
            <v>10</v>
          </cell>
          <cell r="J1054">
            <v>0</v>
          </cell>
          <cell r="K1054">
            <v>0</v>
          </cell>
          <cell r="AL1054">
            <v>0</v>
          </cell>
          <cell r="BJ1054" t="str">
            <v>MAL</v>
          </cell>
        </row>
        <row r="1055">
          <cell r="E1055" t="str">
            <v>10</v>
          </cell>
          <cell r="J1055">
            <v>0</v>
          </cell>
          <cell r="K1055">
            <v>0</v>
          </cell>
          <cell r="AL1055">
            <v>0</v>
          </cell>
          <cell r="BJ1055" t="str">
            <v>MAL</v>
          </cell>
        </row>
        <row r="1056">
          <cell r="E1056" t="str">
            <v>10</v>
          </cell>
          <cell r="J1056">
            <v>0</v>
          </cell>
          <cell r="K1056">
            <v>0</v>
          </cell>
          <cell r="AL1056">
            <v>0</v>
          </cell>
          <cell r="BJ1056" t="str">
            <v>MAL</v>
          </cell>
        </row>
        <row r="1057">
          <cell r="E1057" t="str">
            <v>11</v>
          </cell>
          <cell r="J1057">
            <v>0</v>
          </cell>
          <cell r="K1057">
            <v>0</v>
          </cell>
          <cell r="AL1057">
            <v>0</v>
          </cell>
          <cell r="BJ1057" t="str">
            <v>MAL</v>
          </cell>
        </row>
        <row r="1058">
          <cell r="E1058" t="str">
            <v>11</v>
          </cell>
          <cell r="J1058">
            <v>0</v>
          </cell>
          <cell r="K1058">
            <v>3792903.94</v>
          </cell>
          <cell r="AL1058">
            <v>0</v>
          </cell>
          <cell r="BJ1058" t="str">
            <v>MAL</v>
          </cell>
        </row>
        <row r="1059">
          <cell r="E1059" t="str">
            <v>11</v>
          </cell>
          <cell r="J1059">
            <v>0</v>
          </cell>
          <cell r="K1059">
            <v>0</v>
          </cell>
          <cell r="AL1059">
            <v>0</v>
          </cell>
          <cell r="BJ1059" t="str">
            <v>MAL</v>
          </cell>
        </row>
        <row r="1060">
          <cell r="E1060" t="str">
            <v>11</v>
          </cell>
          <cell r="J1060">
            <v>0</v>
          </cell>
          <cell r="K1060">
            <v>3918.6699999999946</v>
          </cell>
          <cell r="AL1060">
            <v>0</v>
          </cell>
          <cell r="BJ1060" t="str">
            <v>MAL</v>
          </cell>
        </row>
        <row r="1061">
          <cell r="E1061" t="str">
            <v>11</v>
          </cell>
          <cell r="J1061">
            <v>0</v>
          </cell>
          <cell r="K1061">
            <v>0</v>
          </cell>
          <cell r="AL1061">
            <v>0</v>
          </cell>
          <cell r="BJ1061" t="str">
            <v>MAL</v>
          </cell>
        </row>
        <row r="1062">
          <cell r="E1062" t="str">
            <v>11</v>
          </cell>
          <cell r="J1062">
            <v>0</v>
          </cell>
          <cell r="K1062">
            <v>-2.9103830456733704E-11</v>
          </cell>
          <cell r="AL1062">
            <v>0</v>
          </cell>
          <cell r="BJ1062" t="str">
            <v>MAL</v>
          </cell>
        </row>
        <row r="1063">
          <cell r="E1063" t="str">
            <v>11</v>
          </cell>
          <cell r="J1063">
            <v>0</v>
          </cell>
          <cell r="K1063">
            <v>-248614.78999996558</v>
          </cell>
          <cell r="AL1063">
            <v>0</v>
          </cell>
          <cell r="BJ1063" t="str">
            <v>MAL</v>
          </cell>
        </row>
        <row r="1064">
          <cell r="E1064" t="str">
            <v>11</v>
          </cell>
          <cell r="J1064">
            <v>0</v>
          </cell>
          <cell r="K1064">
            <v>596048.69999999995</v>
          </cell>
          <cell r="AL1064">
            <v>0</v>
          </cell>
          <cell r="BJ1064" t="str">
            <v>MAL</v>
          </cell>
        </row>
        <row r="1065">
          <cell r="E1065" t="str">
            <v>11</v>
          </cell>
          <cell r="J1065">
            <v>0</v>
          </cell>
          <cell r="K1065">
            <v>0</v>
          </cell>
          <cell r="AL1065">
            <v>0</v>
          </cell>
          <cell r="BJ1065" t="str">
            <v>MAL</v>
          </cell>
        </row>
        <row r="1066">
          <cell r="E1066" t="str">
            <v>11</v>
          </cell>
          <cell r="J1066">
            <v>0</v>
          </cell>
          <cell r="K1066">
            <v>0</v>
          </cell>
          <cell r="AL1066">
            <v>0</v>
          </cell>
          <cell r="BJ1066" t="str">
            <v>MAL</v>
          </cell>
        </row>
        <row r="1067">
          <cell r="E1067" t="str">
            <v>11</v>
          </cell>
          <cell r="J1067">
            <v>0</v>
          </cell>
          <cell r="K1067">
            <v>0</v>
          </cell>
          <cell r="AL1067">
            <v>0</v>
          </cell>
          <cell r="BJ1067" t="str">
            <v>MAL</v>
          </cell>
        </row>
        <row r="1068">
          <cell r="E1068" t="str">
            <v>11</v>
          </cell>
          <cell r="J1068">
            <v>0</v>
          </cell>
          <cell r="K1068">
            <v>0</v>
          </cell>
          <cell r="AL1068">
            <v>0</v>
          </cell>
          <cell r="BJ1068" t="str">
            <v>MAL</v>
          </cell>
        </row>
        <row r="1069">
          <cell r="E1069" t="str">
            <v>11</v>
          </cell>
          <cell r="J1069">
            <v>0</v>
          </cell>
          <cell r="K1069">
            <v>0</v>
          </cell>
          <cell r="AL1069">
            <v>0</v>
          </cell>
          <cell r="BJ1069" t="str">
            <v>MAL</v>
          </cell>
        </row>
        <row r="1070">
          <cell r="E1070" t="str">
            <v>11</v>
          </cell>
          <cell r="J1070">
            <v>0</v>
          </cell>
          <cell r="K1070">
            <v>0</v>
          </cell>
          <cell r="AL1070">
            <v>0</v>
          </cell>
          <cell r="BJ1070" t="str">
            <v>MAL</v>
          </cell>
        </row>
        <row r="1071">
          <cell r="E1071" t="str">
            <v>11</v>
          </cell>
          <cell r="J1071">
            <v>0</v>
          </cell>
          <cell r="K1071">
            <v>0</v>
          </cell>
          <cell r="AL1071">
            <v>0</v>
          </cell>
          <cell r="BJ1071" t="str">
            <v>MAL</v>
          </cell>
        </row>
        <row r="1072">
          <cell r="E1072" t="str">
            <v>11</v>
          </cell>
          <cell r="J1072">
            <v>0</v>
          </cell>
          <cell r="K1072">
            <v>1546200</v>
          </cell>
          <cell r="AL1072">
            <v>0</v>
          </cell>
          <cell r="BJ1072" t="str">
            <v>MAL</v>
          </cell>
        </row>
        <row r="1073">
          <cell r="E1073" t="str">
            <v>11</v>
          </cell>
          <cell r="J1073">
            <v>0</v>
          </cell>
          <cell r="K1073">
            <v>0</v>
          </cell>
          <cell r="AL1073">
            <v>0</v>
          </cell>
          <cell r="BJ1073" t="str">
            <v>MAL</v>
          </cell>
        </row>
        <row r="1074">
          <cell r="E1074" t="str">
            <v>11</v>
          </cell>
          <cell r="J1074">
            <v>0</v>
          </cell>
          <cell r="K1074">
            <v>0</v>
          </cell>
          <cell r="AL1074">
            <v>0</v>
          </cell>
          <cell r="BJ1074" t="str">
            <v>MAL</v>
          </cell>
        </row>
        <row r="1075">
          <cell r="E1075" t="str">
            <v>11</v>
          </cell>
          <cell r="J1075">
            <v>0</v>
          </cell>
          <cell r="K1075">
            <v>0</v>
          </cell>
          <cell r="AL1075">
            <v>0</v>
          </cell>
          <cell r="BJ1075" t="str">
            <v>MAL</v>
          </cell>
        </row>
        <row r="1076">
          <cell r="E1076" t="str">
            <v>11</v>
          </cell>
          <cell r="J1076">
            <v>0</v>
          </cell>
          <cell r="K1076">
            <v>0</v>
          </cell>
          <cell r="AL1076">
            <v>0</v>
          </cell>
          <cell r="BJ1076" t="str">
            <v>MAL</v>
          </cell>
        </row>
        <row r="1077">
          <cell r="E1077" t="str">
            <v>11</v>
          </cell>
          <cell r="J1077">
            <v>0</v>
          </cell>
          <cell r="K1077">
            <v>0</v>
          </cell>
          <cell r="AL1077">
            <v>0</v>
          </cell>
          <cell r="BJ1077" t="str">
            <v>MAL</v>
          </cell>
        </row>
        <row r="1078">
          <cell r="E1078" t="str">
            <v>11</v>
          </cell>
          <cell r="J1078">
            <v>0</v>
          </cell>
          <cell r="K1078">
            <v>0</v>
          </cell>
          <cell r="AL1078">
            <v>0</v>
          </cell>
          <cell r="BJ1078" t="str">
            <v>MAL</v>
          </cell>
        </row>
        <row r="1079">
          <cell r="E1079" t="str">
            <v>11</v>
          </cell>
          <cell r="J1079">
            <v>0</v>
          </cell>
          <cell r="K1079">
            <v>0</v>
          </cell>
          <cell r="AL1079">
            <v>0</v>
          </cell>
          <cell r="BJ1079" t="str">
            <v>MAL</v>
          </cell>
        </row>
        <row r="1080">
          <cell r="E1080" t="str">
            <v>11</v>
          </cell>
          <cell r="J1080">
            <v>0</v>
          </cell>
          <cell r="K1080">
            <v>0</v>
          </cell>
          <cell r="AL1080">
            <v>0</v>
          </cell>
          <cell r="BJ1080" t="str">
            <v>MAL</v>
          </cell>
        </row>
        <row r="1081">
          <cell r="E1081" t="str">
            <v>11</v>
          </cell>
          <cell r="J1081">
            <v>0</v>
          </cell>
          <cell r="K1081">
            <v>0</v>
          </cell>
          <cell r="AL1081">
            <v>0</v>
          </cell>
          <cell r="BJ1081" t="str">
            <v>MAL</v>
          </cell>
        </row>
        <row r="1082">
          <cell r="E1082" t="str">
            <v>11</v>
          </cell>
          <cell r="J1082">
            <v>0</v>
          </cell>
          <cell r="K1082">
            <v>0</v>
          </cell>
          <cell r="AL1082">
            <v>0</v>
          </cell>
          <cell r="BJ1082" t="str">
            <v>MAL</v>
          </cell>
        </row>
        <row r="1083">
          <cell r="E1083" t="str">
            <v>11</v>
          </cell>
          <cell r="J1083">
            <v>0</v>
          </cell>
          <cell r="K1083">
            <v>198477.8</v>
          </cell>
          <cell r="AL1083">
            <v>0</v>
          </cell>
          <cell r="BJ1083" t="str">
            <v>MAL</v>
          </cell>
        </row>
        <row r="1084">
          <cell r="E1084" t="str">
            <v>11</v>
          </cell>
          <cell r="J1084">
            <v>0</v>
          </cell>
          <cell r="K1084">
            <v>0</v>
          </cell>
          <cell r="AL1084">
            <v>0</v>
          </cell>
          <cell r="BJ1084" t="str">
            <v>MAL</v>
          </cell>
        </row>
        <row r="1085">
          <cell r="E1085" t="str">
            <v>11</v>
          </cell>
          <cell r="J1085">
            <v>0</v>
          </cell>
          <cell r="K1085">
            <v>0</v>
          </cell>
          <cell r="AL1085">
            <v>0</v>
          </cell>
          <cell r="BJ1085" t="str">
            <v>MAL</v>
          </cell>
        </row>
        <row r="1086">
          <cell r="E1086" t="str">
            <v>11</v>
          </cell>
          <cell r="J1086">
            <v>0</v>
          </cell>
          <cell r="K1086">
            <v>0</v>
          </cell>
          <cell r="AL1086">
            <v>0</v>
          </cell>
          <cell r="BJ1086" t="str">
            <v>MAL</v>
          </cell>
        </row>
        <row r="1087">
          <cell r="E1087" t="str">
            <v>11</v>
          </cell>
          <cell r="J1087">
            <v>0</v>
          </cell>
          <cell r="K1087">
            <v>0</v>
          </cell>
          <cell r="AL1087">
            <v>0</v>
          </cell>
          <cell r="BJ1087" t="str">
            <v>MAL</v>
          </cell>
        </row>
        <row r="1088">
          <cell r="E1088" t="str">
            <v>11</v>
          </cell>
          <cell r="J1088">
            <v>0</v>
          </cell>
          <cell r="K1088">
            <v>0</v>
          </cell>
          <cell r="AL1088">
            <v>0</v>
          </cell>
          <cell r="BJ1088" t="str">
            <v>MAL</v>
          </cell>
        </row>
        <row r="1089">
          <cell r="E1089" t="str">
            <v>11</v>
          </cell>
          <cell r="J1089">
            <v>0</v>
          </cell>
          <cell r="K1089">
            <v>0</v>
          </cell>
          <cell r="AL1089">
            <v>0</v>
          </cell>
          <cell r="BJ1089" t="str">
            <v>MAL</v>
          </cell>
        </row>
        <row r="1090">
          <cell r="E1090" t="str">
            <v>13</v>
          </cell>
          <cell r="J1090">
            <v>0</v>
          </cell>
          <cell r="K1090">
            <v>261478.41999999993</v>
          </cell>
          <cell r="AL1090">
            <v>0</v>
          </cell>
          <cell r="BJ1090" t="str">
            <v>MAL</v>
          </cell>
        </row>
        <row r="1091">
          <cell r="E1091" t="str">
            <v>13</v>
          </cell>
          <cell r="J1091">
            <v>0</v>
          </cell>
          <cell r="K1091">
            <v>0</v>
          </cell>
          <cell r="AL1091">
            <v>0</v>
          </cell>
          <cell r="BJ1091" t="str">
            <v>MAL</v>
          </cell>
        </row>
        <row r="1092">
          <cell r="E1092" t="str">
            <v>13</v>
          </cell>
          <cell r="J1092">
            <v>0</v>
          </cell>
          <cell r="K1092">
            <v>2714863.716</v>
          </cell>
          <cell r="AL1092">
            <v>0</v>
          </cell>
          <cell r="BJ1092" t="str">
            <v>MAL</v>
          </cell>
        </row>
        <row r="1093">
          <cell r="E1093" t="str">
            <v>13</v>
          </cell>
          <cell r="J1093">
            <v>0</v>
          </cell>
          <cell r="K1093">
            <v>105342.08000000002</v>
          </cell>
          <cell r="AL1093">
            <v>0</v>
          </cell>
          <cell r="BJ1093" t="str">
            <v>MAL</v>
          </cell>
        </row>
        <row r="1094">
          <cell r="E1094" t="str">
            <v>13</v>
          </cell>
          <cell r="J1094">
            <v>0</v>
          </cell>
          <cell r="K1094">
            <v>0</v>
          </cell>
          <cell r="AL1094">
            <v>0</v>
          </cell>
          <cell r="BJ1094" t="str">
            <v>MAL</v>
          </cell>
        </row>
        <row r="1095">
          <cell r="E1095" t="str">
            <v>13</v>
          </cell>
          <cell r="J1095">
            <v>0</v>
          </cell>
          <cell r="K1095">
            <v>0</v>
          </cell>
          <cell r="AL1095">
            <v>0</v>
          </cell>
          <cell r="BJ1095" t="str">
            <v>MAL</v>
          </cell>
        </row>
        <row r="1096">
          <cell r="E1096" t="str">
            <v>13</v>
          </cell>
          <cell r="J1096">
            <v>0</v>
          </cell>
          <cell r="K1096">
            <v>0</v>
          </cell>
          <cell r="AL1096">
            <v>0</v>
          </cell>
          <cell r="BJ1096" t="str">
            <v>MAL</v>
          </cell>
        </row>
        <row r="1097">
          <cell r="E1097" t="str">
            <v>13</v>
          </cell>
          <cell r="J1097">
            <v>0</v>
          </cell>
          <cell r="K1097">
            <v>0</v>
          </cell>
          <cell r="AL1097">
            <v>0</v>
          </cell>
          <cell r="BJ1097" t="str">
            <v>MAL</v>
          </cell>
        </row>
        <row r="1098">
          <cell r="E1098" t="str">
            <v>13</v>
          </cell>
          <cell r="J1098">
            <v>0</v>
          </cell>
          <cell r="K1098">
            <v>3060</v>
          </cell>
          <cell r="AL1098">
            <v>0</v>
          </cell>
          <cell r="BJ1098" t="str">
            <v>MAL</v>
          </cell>
        </row>
        <row r="1099">
          <cell r="E1099" t="str">
            <v>13</v>
          </cell>
          <cell r="J1099">
            <v>0</v>
          </cell>
          <cell r="K1099">
            <v>12295.330000000002</v>
          </cell>
          <cell r="AL1099">
            <v>0</v>
          </cell>
          <cell r="BJ1099" t="str">
            <v>MAL</v>
          </cell>
        </row>
        <row r="1100">
          <cell r="E1100" t="str">
            <v>13</v>
          </cell>
          <cell r="J1100">
            <v>0</v>
          </cell>
          <cell r="K1100">
            <v>1244588.4900000002</v>
          </cell>
          <cell r="AL1100">
            <v>0</v>
          </cell>
          <cell r="BJ1100" t="str">
            <v>MAL</v>
          </cell>
        </row>
        <row r="1101">
          <cell r="E1101" t="str">
            <v>13</v>
          </cell>
          <cell r="J1101">
            <v>0</v>
          </cell>
          <cell r="K1101">
            <v>0</v>
          </cell>
          <cell r="AL1101">
            <v>0</v>
          </cell>
          <cell r="BJ1101" t="str">
            <v>MAL</v>
          </cell>
        </row>
        <row r="1102">
          <cell r="E1102" t="str">
            <v>13</v>
          </cell>
          <cell r="J1102">
            <v>0</v>
          </cell>
          <cell r="K1102">
            <v>0</v>
          </cell>
          <cell r="AL1102">
            <v>0</v>
          </cell>
          <cell r="BJ1102" t="str">
            <v>MAL</v>
          </cell>
        </row>
        <row r="1103">
          <cell r="E1103" t="str">
            <v>13</v>
          </cell>
          <cell r="J1103">
            <v>0</v>
          </cell>
          <cell r="K1103">
            <v>0</v>
          </cell>
          <cell r="AL1103">
            <v>0</v>
          </cell>
          <cell r="BJ1103" t="str">
            <v>MAL</v>
          </cell>
        </row>
        <row r="1104">
          <cell r="E1104" t="str">
            <v>13</v>
          </cell>
          <cell r="J1104">
            <v>0</v>
          </cell>
          <cell r="K1104">
            <v>0</v>
          </cell>
          <cell r="AL1104">
            <v>0</v>
          </cell>
          <cell r="BJ1104" t="str">
            <v>MAL</v>
          </cell>
        </row>
        <row r="1105">
          <cell r="E1105" t="str">
            <v>13</v>
          </cell>
          <cell r="J1105">
            <v>0</v>
          </cell>
          <cell r="K1105">
            <v>0</v>
          </cell>
          <cell r="AL1105">
            <v>0</v>
          </cell>
          <cell r="BJ1105" t="str">
            <v>MAL</v>
          </cell>
        </row>
        <row r="1106">
          <cell r="E1106" t="str">
            <v>13</v>
          </cell>
          <cell r="J1106">
            <v>0</v>
          </cell>
          <cell r="K1106">
            <v>150000</v>
          </cell>
          <cell r="AL1106">
            <v>0</v>
          </cell>
          <cell r="BJ1106" t="str">
            <v>MAL</v>
          </cell>
        </row>
        <row r="1107">
          <cell r="E1107" t="str">
            <v>13</v>
          </cell>
          <cell r="J1107">
            <v>0</v>
          </cell>
          <cell r="K1107">
            <v>106609.67999999993</v>
          </cell>
          <cell r="AL1107">
            <v>0</v>
          </cell>
          <cell r="BJ1107" t="str">
            <v>MAL</v>
          </cell>
        </row>
        <row r="1108">
          <cell r="E1108" t="str">
            <v>13</v>
          </cell>
          <cell r="J1108">
            <v>0</v>
          </cell>
          <cell r="K1108">
            <v>256300</v>
          </cell>
          <cell r="AL1108">
            <v>0</v>
          </cell>
          <cell r="BJ1108" t="str">
            <v>MAL</v>
          </cell>
        </row>
        <row r="1109">
          <cell r="E1109" t="str">
            <v>13</v>
          </cell>
          <cell r="J1109">
            <v>0</v>
          </cell>
          <cell r="K1109">
            <v>2640</v>
          </cell>
          <cell r="AL1109">
            <v>0</v>
          </cell>
          <cell r="BJ1109" t="str">
            <v>MAL</v>
          </cell>
        </row>
        <row r="1110">
          <cell r="E1110" t="str">
            <v>13</v>
          </cell>
          <cell r="J1110">
            <v>0</v>
          </cell>
          <cell r="K1110">
            <v>0</v>
          </cell>
          <cell r="AL1110">
            <v>0</v>
          </cell>
          <cell r="BJ1110" t="str">
            <v>MAL</v>
          </cell>
        </row>
        <row r="1111">
          <cell r="E1111" t="str">
            <v>13</v>
          </cell>
          <cell r="J1111">
            <v>0</v>
          </cell>
          <cell r="K1111">
            <v>0</v>
          </cell>
          <cell r="AL1111">
            <v>0</v>
          </cell>
          <cell r="BJ1111" t="str">
            <v>MAL</v>
          </cell>
        </row>
        <row r="1112">
          <cell r="E1112" t="str">
            <v>13</v>
          </cell>
          <cell r="J1112">
            <v>0</v>
          </cell>
          <cell r="K1112">
            <v>0</v>
          </cell>
          <cell r="AL1112">
            <v>0</v>
          </cell>
          <cell r="BJ1112" t="str">
            <v>MAL</v>
          </cell>
        </row>
        <row r="1113">
          <cell r="E1113" t="str">
            <v>13</v>
          </cell>
          <cell r="J1113">
            <v>0</v>
          </cell>
          <cell r="K1113">
            <v>0</v>
          </cell>
          <cell r="AL1113">
            <v>0</v>
          </cell>
          <cell r="BJ1113" t="str">
            <v>MAL</v>
          </cell>
        </row>
        <row r="1114">
          <cell r="E1114" t="str">
            <v>13</v>
          </cell>
          <cell r="J1114">
            <v>0</v>
          </cell>
          <cell r="K1114">
            <v>0</v>
          </cell>
          <cell r="AL1114">
            <v>0</v>
          </cell>
          <cell r="BJ1114" t="str">
            <v>MAL</v>
          </cell>
        </row>
        <row r="1115">
          <cell r="E1115" t="str">
            <v>13</v>
          </cell>
          <cell r="J1115">
            <v>0</v>
          </cell>
          <cell r="K1115">
            <v>0</v>
          </cell>
          <cell r="AL1115">
            <v>0</v>
          </cell>
          <cell r="BJ1115" t="str">
            <v>MAL</v>
          </cell>
        </row>
        <row r="1116">
          <cell r="E1116" t="str">
            <v>13</v>
          </cell>
          <cell r="J1116">
            <v>0</v>
          </cell>
          <cell r="K1116">
            <v>0</v>
          </cell>
          <cell r="AL1116">
            <v>0</v>
          </cell>
          <cell r="BJ1116" t="str">
            <v>MAL</v>
          </cell>
        </row>
        <row r="1117">
          <cell r="E1117" t="str">
            <v>13</v>
          </cell>
          <cell r="J1117">
            <v>0</v>
          </cell>
          <cell r="K1117">
            <v>0</v>
          </cell>
          <cell r="AL1117">
            <v>0</v>
          </cell>
          <cell r="BJ1117" t="str">
            <v>MAL</v>
          </cell>
        </row>
        <row r="1118">
          <cell r="E1118" t="str">
            <v>13</v>
          </cell>
          <cell r="J1118">
            <v>0</v>
          </cell>
          <cell r="K1118">
            <v>22010</v>
          </cell>
          <cell r="AL1118">
            <v>0</v>
          </cell>
          <cell r="BJ1118" t="str">
            <v>MAL</v>
          </cell>
        </row>
        <row r="1119">
          <cell r="E1119" t="str">
            <v>13</v>
          </cell>
          <cell r="J1119">
            <v>0</v>
          </cell>
          <cell r="K1119">
            <v>0</v>
          </cell>
          <cell r="AL1119">
            <v>0</v>
          </cell>
          <cell r="BJ1119" t="str">
            <v>MAL</v>
          </cell>
        </row>
        <row r="1120">
          <cell r="E1120" t="str">
            <v>13</v>
          </cell>
          <cell r="J1120">
            <v>0</v>
          </cell>
          <cell r="K1120">
            <v>4222998.7799999993</v>
          </cell>
          <cell r="AL1120">
            <v>0</v>
          </cell>
          <cell r="BJ1120" t="str">
            <v>MAL</v>
          </cell>
        </row>
        <row r="1121">
          <cell r="E1121" t="str">
            <v>13</v>
          </cell>
          <cell r="J1121">
            <v>0</v>
          </cell>
          <cell r="K1121">
            <v>0</v>
          </cell>
          <cell r="AL1121">
            <v>0</v>
          </cell>
          <cell r="BJ1121" t="str">
            <v>MAL</v>
          </cell>
        </row>
        <row r="1122">
          <cell r="E1122" t="str">
            <v>13</v>
          </cell>
          <cell r="J1122">
            <v>0</v>
          </cell>
          <cell r="K1122">
            <v>0</v>
          </cell>
          <cell r="AL1122">
            <v>0</v>
          </cell>
          <cell r="BJ1122" t="str">
            <v>MAL</v>
          </cell>
        </row>
        <row r="1123">
          <cell r="E1123" t="str">
            <v>13</v>
          </cell>
          <cell r="J1123">
            <v>0</v>
          </cell>
          <cell r="K1123">
            <v>2751552.6239999998</v>
          </cell>
          <cell r="AL1123">
            <v>0</v>
          </cell>
          <cell r="BJ1123" t="str">
            <v>MAL</v>
          </cell>
        </row>
        <row r="1124">
          <cell r="E1124" t="str">
            <v>13</v>
          </cell>
          <cell r="J1124">
            <v>0</v>
          </cell>
          <cell r="K1124">
            <v>850072.32299999986</v>
          </cell>
          <cell r="AL1124">
            <v>0</v>
          </cell>
          <cell r="BJ1124" t="str">
            <v>MAL</v>
          </cell>
        </row>
        <row r="1125">
          <cell r="E1125" t="str">
            <v>13</v>
          </cell>
          <cell r="J1125">
            <v>0</v>
          </cell>
          <cell r="K1125">
            <v>29114.048499999801</v>
          </cell>
          <cell r="AL1125">
            <v>0</v>
          </cell>
          <cell r="BJ1125" t="str">
            <v>MAL</v>
          </cell>
        </row>
        <row r="1126">
          <cell r="E1126" t="str">
            <v>13</v>
          </cell>
          <cell r="J1126">
            <v>0</v>
          </cell>
          <cell r="K1126">
            <v>306389.26400000043</v>
          </cell>
          <cell r="AL1126">
            <v>0</v>
          </cell>
          <cell r="BJ1126" t="str">
            <v>MAL</v>
          </cell>
        </row>
        <row r="1127">
          <cell r="E1127" t="str">
            <v>13</v>
          </cell>
          <cell r="J1127">
            <v>0</v>
          </cell>
          <cell r="K1127">
            <v>623542.5</v>
          </cell>
          <cell r="AL1127">
            <v>0</v>
          </cell>
          <cell r="BJ1127" t="str">
            <v>MAL</v>
          </cell>
        </row>
        <row r="1128">
          <cell r="E1128" t="str">
            <v>13</v>
          </cell>
          <cell r="J1128">
            <v>0</v>
          </cell>
          <cell r="K1128">
            <v>0</v>
          </cell>
          <cell r="AL1128">
            <v>0</v>
          </cell>
          <cell r="BJ1128" t="str">
            <v>MAL</v>
          </cell>
        </row>
        <row r="1129">
          <cell r="E1129" t="str">
            <v>13</v>
          </cell>
          <cell r="J1129">
            <v>0</v>
          </cell>
          <cell r="K1129">
            <v>55806</v>
          </cell>
          <cell r="AL1129">
            <v>0</v>
          </cell>
          <cell r="BJ1129" t="str">
            <v>MAL</v>
          </cell>
        </row>
        <row r="1130">
          <cell r="E1130" t="str">
            <v>13</v>
          </cell>
          <cell r="J1130">
            <v>0</v>
          </cell>
          <cell r="K1130">
            <v>2632774.1100000022</v>
          </cell>
          <cell r="AL1130">
            <v>0</v>
          </cell>
          <cell r="BJ1130" t="str">
            <v>MAL</v>
          </cell>
        </row>
        <row r="1131">
          <cell r="E1131" t="str">
            <v>13</v>
          </cell>
          <cell r="J1131">
            <v>0</v>
          </cell>
          <cell r="K1131">
            <v>0</v>
          </cell>
          <cell r="AL1131">
            <v>0</v>
          </cell>
          <cell r="BJ1131" t="str">
            <v>MAL</v>
          </cell>
        </row>
        <row r="1132">
          <cell r="E1132" t="str">
            <v>13</v>
          </cell>
          <cell r="J1132">
            <v>0</v>
          </cell>
          <cell r="K1132">
            <v>9018889.5</v>
          </cell>
          <cell r="AL1132">
            <v>0</v>
          </cell>
          <cell r="BJ1132" t="str">
            <v>MAL</v>
          </cell>
        </row>
        <row r="1133">
          <cell r="E1133" t="str">
            <v>13</v>
          </cell>
          <cell r="J1133">
            <v>0</v>
          </cell>
          <cell r="K1133">
            <v>0</v>
          </cell>
          <cell r="AL1133">
            <v>0</v>
          </cell>
          <cell r="BJ1133" t="str">
            <v>MAL</v>
          </cell>
        </row>
        <row r="1134">
          <cell r="E1134" t="str">
            <v>13</v>
          </cell>
          <cell r="J1134">
            <v>0</v>
          </cell>
          <cell r="K1134">
            <v>0</v>
          </cell>
          <cell r="AL1134">
            <v>0</v>
          </cell>
          <cell r="BJ1134" t="str">
            <v>MAL</v>
          </cell>
        </row>
        <row r="1135">
          <cell r="E1135" t="str">
            <v>13</v>
          </cell>
          <cell r="J1135">
            <v>0</v>
          </cell>
          <cell r="K1135">
            <v>0</v>
          </cell>
          <cell r="AL1135">
            <v>0</v>
          </cell>
          <cell r="BJ1135" t="str">
            <v>MAL</v>
          </cell>
        </row>
        <row r="1136">
          <cell r="E1136" t="str">
            <v>13</v>
          </cell>
          <cell r="J1136">
            <v>0</v>
          </cell>
          <cell r="K1136">
            <v>0</v>
          </cell>
          <cell r="AL1136">
            <v>0</v>
          </cell>
          <cell r="BJ1136" t="str">
            <v>MAL</v>
          </cell>
        </row>
        <row r="1137">
          <cell r="E1137" t="str">
            <v>13</v>
          </cell>
          <cell r="J1137">
            <v>0</v>
          </cell>
          <cell r="K1137">
            <v>216120</v>
          </cell>
          <cell r="AL1137">
            <v>0</v>
          </cell>
          <cell r="BJ1137" t="str">
            <v>MAL</v>
          </cell>
        </row>
        <row r="1138">
          <cell r="E1138" t="str">
            <v>13</v>
          </cell>
          <cell r="J1138">
            <v>0</v>
          </cell>
          <cell r="K1138">
            <v>304169.44000000018</v>
          </cell>
          <cell r="AL1138">
            <v>0</v>
          </cell>
          <cell r="BJ1138" t="str">
            <v>MAL</v>
          </cell>
        </row>
        <row r="1139">
          <cell r="E1139" t="str">
            <v>13</v>
          </cell>
          <cell r="J1139">
            <v>0</v>
          </cell>
          <cell r="K1139">
            <v>11000</v>
          </cell>
          <cell r="AL1139">
            <v>0</v>
          </cell>
          <cell r="BJ1139" t="str">
            <v>MAL</v>
          </cell>
        </row>
        <row r="1140">
          <cell r="E1140" t="str">
            <v>13</v>
          </cell>
          <cell r="J1140">
            <v>0</v>
          </cell>
          <cell r="K1140">
            <v>719920.79999999981</v>
          </cell>
          <cell r="AL1140">
            <v>0</v>
          </cell>
          <cell r="BJ1140" t="str">
            <v>MAL</v>
          </cell>
        </row>
        <row r="1141">
          <cell r="E1141" t="str">
            <v>13</v>
          </cell>
          <cell r="J1141">
            <v>0</v>
          </cell>
          <cell r="K1141">
            <v>0</v>
          </cell>
          <cell r="AL1141">
            <v>0</v>
          </cell>
          <cell r="BJ1141" t="str">
            <v>MAL</v>
          </cell>
        </row>
        <row r="1142">
          <cell r="E1142" t="str">
            <v>13</v>
          </cell>
          <cell r="J1142">
            <v>0</v>
          </cell>
          <cell r="K1142">
            <v>0</v>
          </cell>
          <cell r="AL1142">
            <v>0</v>
          </cell>
          <cell r="BJ1142" t="str">
            <v>MAL</v>
          </cell>
        </row>
        <row r="1143">
          <cell r="E1143" t="str">
            <v>13</v>
          </cell>
          <cell r="J1143">
            <v>0</v>
          </cell>
          <cell r="K1143">
            <v>543686</v>
          </cell>
          <cell r="AL1143">
            <v>0</v>
          </cell>
          <cell r="BJ1143" t="str">
            <v>MAL</v>
          </cell>
        </row>
        <row r="1144">
          <cell r="E1144" t="str">
            <v>13</v>
          </cell>
          <cell r="J1144">
            <v>0</v>
          </cell>
          <cell r="K1144">
            <v>5000</v>
          </cell>
          <cell r="AL1144">
            <v>0</v>
          </cell>
          <cell r="BJ1144" t="str">
            <v>MAL</v>
          </cell>
        </row>
        <row r="1145">
          <cell r="E1145" t="str">
            <v>13</v>
          </cell>
          <cell r="J1145">
            <v>0</v>
          </cell>
          <cell r="K1145">
            <v>0</v>
          </cell>
          <cell r="AL1145">
            <v>0</v>
          </cell>
          <cell r="BJ1145" t="str">
            <v>MAL</v>
          </cell>
        </row>
        <row r="1146">
          <cell r="E1146" t="str">
            <v>11</v>
          </cell>
          <cell r="J1146">
            <v>0</v>
          </cell>
          <cell r="K1146">
            <v>0</v>
          </cell>
          <cell r="AL1146">
            <v>0</v>
          </cell>
          <cell r="BJ1146" t="str">
            <v>MAL</v>
          </cell>
        </row>
        <row r="1147">
          <cell r="E1147" t="str">
            <v>13</v>
          </cell>
          <cell r="J1147">
            <v>0</v>
          </cell>
          <cell r="K1147">
            <v>0</v>
          </cell>
          <cell r="AL1147">
            <v>0</v>
          </cell>
          <cell r="BJ1147" t="str">
            <v>MAL</v>
          </cell>
        </row>
        <row r="1148">
          <cell r="E1148" t="str">
            <v>11</v>
          </cell>
          <cell r="J1148">
            <v>0</v>
          </cell>
          <cell r="K1148">
            <v>0</v>
          </cell>
          <cell r="AL1148">
            <v>0</v>
          </cell>
          <cell r="BJ1148" t="str">
            <v>MAL</v>
          </cell>
        </row>
        <row r="1149">
          <cell r="E1149" t="str">
            <v>13</v>
          </cell>
          <cell r="J1149">
            <v>0</v>
          </cell>
          <cell r="K1149">
            <v>0</v>
          </cell>
          <cell r="AL1149">
            <v>0</v>
          </cell>
          <cell r="BJ1149" t="str">
            <v>MAL</v>
          </cell>
        </row>
        <row r="1150">
          <cell r="E1150" t="str">
            <v>11</v>
          </cell>
          <cell r="J1150">
            <v>0</v>
          </cell>
          <cell r="K1150">
            <v>0</v>
          </cell>
          <cell r="AL1150">
            <v>0</v>
          </cell>
          <cell r="BJ1150" t="str">
            <v>MAL</v>
          </cell>
        </row>
        <row r="1151">
          <cell r="E1151" t="str">
            <v>13</v>
          </cell>
          <cell r="J1151">
            <v>0</v>
          </cell>
          <cell r="K1151">
            <v>0</v>
          </cell>
          <cell r="AL1151">
            <v>0</v>
          </cell>
          <cell r="BJ1151" t="str">
            <v>MAL</v>
          </cell>
        </row>
        <row r="1152">
          <cell r="E1152" t="str">
            <v>13</v>
          </cell>
          <cell r="J1152">
            <v>0</v>
          </cell>
          <cell r="K1152">
            <v>0</v>
          </cell>
          <cell r="AL1152">
            <v>0</v>
          </cell>
          <cell r="BJ1152" t="str">
            <v>MAL</v>
          </cell>
        </row>
        <row r="1153">
          <cell r="E1153" t="str">
            <v>13</v>
          </cell>
          <cell r="J1153">
            <v>0</v>
          </cell>
          <cell r="K1153">
            <v>0</v>
          </cell>
          <cell r="AL1153">
            <v>0</v>
          </cell>
          <cell r="BJ1153" t="str">
            <v>MAL</v>
          </cell>
        </row>
        <row r="1154">
          <cell r="E1154" t="str">
            <v>13</v>
          </cell>
          <cell r="J1154">
            <v>0</v>
          </cell>
          <cell r="K1154">
            <v>0</v>
          </cell>
          <cell r="AL1154">
            <v>0</v>
          </cell>
          <cell r="BJ1154" t="str">
            <v>MAL</v>
          </cell>
        </row>
        <row r="1155">
          <cell r="E1155" t="str">
            <v>20</v>
          </cell>
          <cell r="J1155">
            <v>98970024</v>
          </cell>
          <cell r="K1155">
            <v>0</v>
          </cell>
          <cell r="AL1155">
            <v>0</v>
          </cell>
          <cell r="BJ1155" t="str">
            <v>MAL</v>
          </cell>
        </row>
        <row r="1156">
          <cell r="E1156" t="str">
            <v>20</v>
          </cell>
          <cell r="J1156">
            <v>0</v>
          </cell>
          <cell r="K1156">
            <v>0</v>
          </cell>
          <cell r="AL1156">
            <v>0</v>
          </cell>
          <cell r="BJ1156" t="str">
            <v>MAL</v>
          </cell>
        </row>
        <row r="1157">
          <cell r="E1157" t="str">
            <v>21</v>
          </cell>
          <cell r="J1157">
            <v>0</v>
          </cell>
          <cell r="K1157">
            <v>0</v>
          </cell>
          <cell r="AL1157">
            <v>0</v>
          </cell>
          <cell r="BJ1157" t="str">
            <v>MAL</v>
          </cell>
        </row>
        <row r="1158">
          <cell r="E1158" t="str">
            <v>24</v>
          </cell>
          <cell r="J1158">
            <v>0</v>
          </cell>
          <cell r="K1158">
            <v>0</v>
          </cell>
          <cell r="AL1158">
            <v>0</v>
          </cell>
          <cell r="BJ1158" t="str">
            <v>MAL</v>
          </cell>
        </row>
        <row r="1159">
          <cell r="E1159" t="str">
            <v>24</v>
          </cell>
          <cell r="J1159">
            <v>0</v>
          </cell>
          <cell r="K1159">
            <v>0</v>
          </cell>
          <cell r="AL1159">
            <v>0</v>
          </cell>
          <cell r="BJ1159" t="str">
            <v>MAL</v>
          </cell>
        </row>
        <row r="1160">
          <cell r="E1160" t="str">
            <v>24</v>
          </cell>
          <cell r="J1160">
            <v>0</v>
          </cell>
          <cell r="K1160">
            <v>0</v>
          </cell>
          <cell r="AL1160">
            <v>0</v>
          </cell>
          <cell r="BJ1160" t="str">
            <v>MAL</v>
          </cell>
        </row>
        <row r="1161">
          <cell r="E1161" t="str">
            <v>24</v>
          </cell>
          <cell r="J1161">
            <v>0</v>
          </cell>
          <cell r="K1161">
            <v>0</v>
          </cell>
          <cell r="AL1161">
            <v>0</v>
          </cell>
          <cell r="BJ1161" t="str">
            <v>MAL</v>
          </cell>
        </row>
        <row r="1162">
          <cell r="E1162" t="str">
            <v>24</v>
          </cell>
          <cell r="J1162">
            <v>0</v>
          </cell>
          <cell r="K1162">
            <v>0</v>
          </cell>
          <cell r="AL1162">
            <v>0</v>
          </cell>
          <cell r="BJ1162" t="str">
            <v>MAL</v>
          </cell>
        </row>
        <row r="1163">
          <cell r="E1163" t="str">
            <v>24</v>
          </cell>
          <cell r="J1163">
            <v>0</v>
          </cell>
          <cell r="K1163">
            <v>0</v>
          </cell>
          <cell r="AL1163">
            <v>0</v>
          </cell>
          <cell r="BJ1163" t="str">
            <v>MAL</v>
          </cell>
        </row>
        <row r="1164">
          <cell r="E1164" t="str">
            <v>24</v>
          </cell>
          <cell r="J1164">
            <v>0</v>
          </cell>
          <cell r="K1164">
            <v>0</v>
          </cell>
          <cell r="AL1164">
            <v>0</v>
          </cell>
          <cell r="BJ1164" t="str">
            <v>MAL</v>
          </cell>
        </row>
        <row r="1165">
          <cell r="E1165" t="str">
            <v>24</v>
          </cell>
          <cell r="J1165">
            <v>0</v>
          </cell>
          <cell r="K1165">
            <v>0</v>
          </cell>
          <cell r="AL1165">
            <v>0</v>
          </cell>
          <cell r="BJ1165" t="str">
            <v>MAL</v>
          </cell>
        </row>
        <row r="1166">
          <cell r="E1166" t="str">
            <v>24</v>
          </cell>
          <cell r="J1166">
            <v>0</v>
          </cell>
          <cell r="K1166">
            <v>0</v>
          </cell>
          <cell r="AL1166">
            <v>0</v>
          </cell>
          <cell r="BJ1166" t="str">
            <v>MAL</v>
          </cell>
        </row>
        <row r="1167">
          <cell r="E1167" t="str">
            <v>24</v>
          </cell>
          <cell r="J1167">
            <v>0</v>
          </cell>
          <cell r="K1167">
            <v>0</v>
          </cell>
          <cell r="AL1167">
            <v>0</v>
          </cell>
          <cell r="BJ1167" t="str">
            <v>MAL</v>
          </cell>
        </row>
        <row r="1168">
          <cell r="E1168" t="str">
            <v>24</v>
          </cell>
          <cell r="J1168">
            <v>0</v>
          </cell>
          <cell r="K1168">
            <v>0</v>
          </cell>
          <cell r="AL1168">
            <v>0</v>
          </cell>
          <cell r="BJ1168" t="str">
            <v>MAL</v>
          </cell>
        </row>
        <row r="1169">
          <cell r="E1169" t="str">
            <v>24</v>
          </cell>
          <cell r="J1169">
            <v>0</v>
          </cell>
          <cell r="K1169">
            <v>0</v>
          </cell>
          <cell r="AL1169">
            <v>0</v>
          </cell>
          <cell r="BJ1169" t="str">
            <v>MAL</v>
          </cell>
        </row>
        <row r="1170">
          <cell r="E1170" t="str">
            <v>24</v>
          </cell>
          <cell r="J1170">
            <v>0</v>
          </cell>
          <cell r="K1170">
            <v>0</v>
          </cell>
          <cell r="AL1170">
            <v>0</v>
          </cell>
          <cell r="BJ1170" t="str">
            <v>MAL</v>
          </cell>
        </row>
        <row r="1171">
          <cell r="E1171" t="str">
            <v>24</v>
          </cell>
          <cell r="J1171">
            <v>0</v>
          </cell>
          <cell r="K1171">
            <v>0</v>
          </cell>
          <cell r="AL1171">
            <v>0</v>
          </cell>
          <cell r="BJ1171" t="str">
            <v>MAL</v>
          </cell>
        </row>
        <row r="1172">
          <cell r="E1172" t="str">
            <v>24</v>
          </cell>
          <cell r="J1172">
            <v>0</v>
          </cell>
          <cell r="K1172">
            <v>0</v>
          </cell>
          <cell r="AL1172">
            <v>0</v>
          </cell>
          <cell r="BJ1172" t="str">
            <v>MAL</v>
          </cell>
        </row>
        <row r="1173">
          <cell r="E1173" t="str">
            <v>24</v>
          </cell>
          <cell r="J1173">
            <v>0</v>
          </cell>
          <cell r="K1173">
            <v>0</v>
          </cell>
          <cell r="AL1173">
            <v>0</v>
          </cell>
          <cell r="BJ1173" t="str">
            <v>MAL</v>
          </cell>
        </row>
        <row r="1174">
          <cell r="E1174" t="str">
            <v>24</v>
          </cell>
          <cell r="J1174">
            <v>0</v>
          </cell>
          <cell r="K1174">
            <v>0</v>
          </cell>
          <cell r="AL1174">
            <v>0</v>
          </cell>
          <cell r="BJ1174" t="str">
            <v>MAL</v>
          </cell>
        </row>
        <row r="1175">
          <cell r="E1175" t="str">
            <v>24</v>
          </cell>
          <cell r="J1175">
            <v>0</v>
          </cell>
          <cell r="K1175">
            <v>0</v>
          </cell>
          <cell r="AL1175">
            <v>0</v>
          </cell>
          <cell r="BJ1175" t="str">
            <v>MAL</v>
          </cell>
        </row>
        <row r="1176">
          <cell r="E1176" t="str">
            <v>24</v>
          </cell>
          <cell r="J1176">
            <v>0</v>
          </cell>
          <cell r="K1176">
            <v>0</v>
          </cell>
          <cell r="AL1176">
            <v>0</v>
          </cell>
          <cell r="BJ1176" t="str">
            <v>MAL</v>
          </cell>
        </row>
        <row r="1177">
          <cell r="E1177" t="str">
            <v>24</v>
          </cell>
          <cell r="J1177">
            <v>0</v>
          </cell>
          <cell r="K1177">
            <v>0</v>
          </cell>
          <cell r="AL1177">
            <v>0</v>
          </cell>
          <cell r="BJ1177" t="str">
            <v>MAL</v>
          </cell>
        </row>
        <row r="1178">
          <cell r="E1178" t="str">
            <v>24</v>
          </cell>
          <cell r="J1178">
            <v>134017862.67999999</v>
          </cell>
          <cell r="K1178">
            <v>72224085.170000032</v>
          </cell>
          <cell r="AL1178">
            <v>0</v>
          </cell>
          <cell r="BJ1178" t="str">
            <v>MAL</v>
          </cell>
        </row>
        <row r="1179">
          <cell r="E1179" t="str">
            <v>24</v>
          </cell>
          <cell r="J1179">
            <v>0</v>
          </cell>
          <cell r="K1179">
            <v>0</v>
          </cell>
          <cell r="AL1179">
            <v>0</v>
          </cell>
          <cell r="BJ1179" t="str">
            <v>MAL</v>
          </cell>
        </row>
        <row r="1180">
          <cell r="E1180" t="str">
            <v>24</v>
          </cell>
          <cell r="J1180">
            <v>0</v>
          </cell>
          <cell r="K1180">
            <v>0</v>
          </cell>
          <cell r="AL1180">
            <v>0</v>
          </cell>
          <cell r="BJ1180" t="str">
            <v>MAL</v>
          </cell>
        </row>
        <row r="1181">
          <cell r="E1181" t="str">
            <v>24</v>
          </cell>
          <cell r="J1181">
            <v>0</v>
          </cell>
          <cell r="K1181">
            <v>0</v>
          </cell>
          <cell r="AL1181">
            <v>0</v>
          </cell>
          <cell r="BJ1181" t="str">
            <v>MAL</v>
          </cell>
        </row>
        <row r="1182">
          <cell r="E1182" t="str">
            <v>24</v>
          </cell>
          <cell r="J1182">
            <v>0</v>
          </cell>
          <cell r="K1182">
            <v>0</v>
          </cell>
          <cell r="AL1182">
            <v>0</v>
          </cell>
          <cell r="BJ1182" t="str">
            <v>MAL</v>
          </cell>
        </row>
        <row r="1183">
          <cell r="E1183" t="str">
            <v>24</v>
          </cell>
          <cell r="J1183">
            <v>0</v>
          </cell>
          <cell r="K1183">
            <v>0</v>
          </cell>
          <cell r="AL1183">
            <v>0</v>
          </cell>
          <cell r="BJ1183" t="str">
            <v>MAL</v>
          </cell>
        </row>
        <row r="1184">
          <cell r="E1184" t="str">
            <v>24</v>
          </cell>
          <cell r="J1184">
            <v>0</v>
          </cell>
          <cell r="K1184">
            <v>0</v>
          </cell>
          <cell r="AL1184">
            <v>0</v>
          </cell>
          <cell r="BJ1184" t="str">
            <v>MAL</v>
          </cell>
        </row>
        <row r="1185">
          <cell r="E1185" t="str">
            <v>24</v>
          </cell>
          <cell r="J1185">
            <v>0</v>
          </cell>
          <cell r="K1185">
            <v>0</v>
          </cell>
          <cell r="AL1185">
            <v>0</v>
          </cell>
          <cell r="BJ1185" t="str">
            <v>MAL</v>
          </cell>
        </row>
        <row r="1186">
          <cell r="E1186" t="str">
            <v>24</v>
          </cell>
          <cell r="J1186">
            <v>0</v>
          </cell>
          <cell r="K1186">
            <v>0</v>
          </cell>
          <cell r="AL1186">
            <v>0</v>
          </cell>
          <cell r="BJ1186" t="str">
            <v>MAL</v>
          </cell>
        </row>
        <row r="1187">
          <cell r="E1187" t="str">
            <v>24</v>
          </cell>
          <cell r="J1187">
            <v>0</v>
          </cell>
          <cell r="K1187">
            <v>0</v>
          </cell>
          <cell r="AL1187">
            <v>0</v>
          </cell>
          <cell r="BJ1187" t="str">
            <v>MAL</v>
          </cell>
        </row>
        <row r="1188">
          <cell r="E1188" t="str">
            <v>24</v>
          </cell>
          <cell r="J1188">
            <v>10375066.209999999</v>
          </cell>
          <cell r="K1188">
            <v>3347051.08</v>
          </cell>
          <cell r="AL1188">
            <v>0</v>
          </cell>
          <cell r="BJ1188" t="str">
            <v>MAL</v>
          </cell>
        </row>
        <row r="1189">
          <cell r="E1189" t="str">
            <v>24</v>
          </cell>
          <cell r="J1189">
            <v>0</v>
          </cell>
          <cell r="K1189">
            <v>0</v>
          </cell>
          <cell r="AL1189">
            <v>0</v>
          </cell>
          <cell r="BJ1189" t="str">
            <v>MAL</v>
          </cell>
        </row>
        <row r="1190">
          <cell r="E1190" t="str">
            <v>38</v>
          </cell>
          <cell r="J1190">
            <v>0</v>
          </cell>
          <cell r="K1190">
            <v>0</v>
          </cell>
          <cell r="AL1190">
            <v>0</v>
          </cell>
          <cell r="BJ1190" t="str">
            <v>MAL</v>
          </cell>
        </row>
        <row r="1191">
          <cell r="E1191" t="str">
            <v>38</v>
          </cell>
          <cell r="J1191">
            <v>0</v>
          </cell>
          <cell r="K1191">
            <v>0</v>
          </cell>
          <cell r="AL1191">
            <v>0</v>
          </cell>
          <cell r="BJ1191" t="str">
            <v>MAL</v>
          </cell>
        </row>
        <row r="1192">
          <cell r="E1192" t="str">
            <v>38</v>
          </cell>
          <cell r="J1192">
            <v>0</v>
          </cell>
          <cell r="K1192">
            <v>0</v>
          </cell>
          <cell r="AL1192">
            <v>0</v>
          </cell>
          <cell r="BJ1192" t="str">
            <v>MAL</v>
          </cell>
        </row>
        <row r="1193">
          <cell r="E1193" t="str">
            <v>38</v>
          </cell>
          <cell r="J1193">
            <v>0</v>
          </cell>
          <cell r="K1193">
            <v>0</v>
          </cell>
          <cell r="AL1193">
            <v>0</v>
          </cell>
          <cell r="BJ1193" t="str">
            <v>MAL</v>
          </cell>
        </row>
        <row r="1194">
          <cell r="E1194" t="str">
            <v>38</v>
          </cell>
          <cell r="J1194">
            <v>0</v>
          </cell>
          <cell r="K1194">
            <v>0</v>
          </cell>
          <cell r="AL1194">
            <v>0</v>
          </cell>
          <cell r="BJ1194" t="str">
            <v>MAL</v>
          </cell>
        </row>
        <row r="1195">
          <cell r="E1195" t="str">
            <v>38</v>
          </cell>
          <cell r="J1195">
            <v>0</v>
          </cell>
          <cell r="K1195">
            <v>0</v>
          </cell>
          <cell r="AL1195">
            <v>0</v>
          </cell>
          <cell r="BJ1195" t="str">
            <v>MAL</v>
          </cell>
        </row>
        <row r="1196">
          <cell r="E1196" t="str">
            <v>38</v>
          </cell>
          <cell r="J1196">
            <v>0</v>
          </cell>
          <cell r="K1196">
            <v>0</v>
          </cell>
          <cell r="AL1196">
            <v>0</v>
          </cell>
          <cell r="BJ1196" t="str">
            <v>MAL</v>
          </cell>
        </row>
        <row r="1197">
          <cell r="E1197" t="str">
            <v>38</v>
          </cell>
          <cell r="J1197">
            <v>0</v>
          </cell>
          <cell r="K1197">
            <v>0</v>
          </cell>
          <cell r="AL1197">
            <v>0</v>
          </cell>
          <cell r="BJ1197" t="str">
            <v>MAL</v>
          </cell>
        </row>
        <row r="1198">
          <cell r="E1198" t="str">
            <v>38</v>
          </cell>
          <cell r="J1198">
            <v>0</v>
          </cell>
          <cell r="K1198">
            <v>0</v>
          </cell>
          <cell r="AL1198">
            <v>0</v>
          </cell>
          <cell r="BJ1198" t="str">
            <v>MAL</v>
          </cell>
        </row>
        <row r="1199">
          <cell r="E1199" t="str">
            <v>38</v>
          </cell>
          <cell r="J1199">
            <v>0</v>
          </cell>
          <cell r="K1199">
            <v>0</v>
          </cell>
          <cell r="AL1199">
            <v>0</v>
          </cell>
          <cell r="BJ1199" t="str">
            <v>MAL</v>
          </cell>
        </row>
        <row r="1200">
          <cell r="E1200" t="str">
            <v>38</v>
          </cell>
          <cell r="J1200">
            <v>0</v>
          </cell>
          <cell r="K1200">
            <v>0</v>
          </cell>
          <cell r="AL1200">
            <v>0</v>
          </cell>
          <cell r="BJ1200" t="str">
            <v>MAL</v>
          </cell>
        </row>
        <row r="1201">
          <cell r="E1201" t="str">
            <v>38</v>
          </cell>
          <cell r="J1201">
            <v>0</v>
          </cell>
          <cell r="K1201">
            <v>0</v>
          </cell>
          <cell r="AL1201">
            <v>0</v>
          </cell>
          <cell r="BJ1201" t="str">
            <v>MAL</v>
          </cell>
        </row>
        <row r="1202">
          <cell r="E1202" t="str">
            <v>38</v>
          </cell>
          <cell r="J1202">
            <v>0</v>
          </cell>
          <cell r="K1202">
            <v>0</v>
          </cell>
          <cell r="AL1202">
            <v>0</v>
          </cell>
          <cell r="BJ1202" t="str">
            <v>MAL</v>
          </cell>
        </row>
        <row r="1203">
          <cell r="E1203" t="str">
            <v>38</v>
          </cell>
          <cell r="J1203">
            <v>0</v>
          </cell>
          <cell r="K1203">
            <v>0</v>
          </cell>
          <cell r="AL1203">
            <v>0</v>
          </cell>
          <cell r="BJ1203" t="str">
            <v>MAL</v>
          </cell>
        </row>
        <row r="1204">
          <cell r="E1204" t="str">
            <v>38</v>
          </cell>
          <cell r="J1204">
            <v>0</v>
          </cell>
          <cell r="K1204">
            <v>0</v>
          </cell>
          <cell r="AL1204">
            <v>0</v>
          </cell>
          <cell r="BJ1204" t="str">
            <v>MAL</v>
          </cell>
        </row>
        <row r="1205">
          <cell r="E1205" t="str">
            <v>38</v>
          </cell>
          <cell r="J1205">
            <v>0</v>
          </cell>
          <cell r="K1205">
            <v>0</v>
          </cell>
          <cell r="AL1205">
            <v>0</v>
          </cell>
          <cell r="BJ1205" t="str">
            <v>MAL</v>
          </cell>
        </row>
        <row r="1206">
          <cell r="E1206" t="str">
            <v>38</v>
          </cell>
          <cell r="J1206">
            <v>0</v>
          </cell>
          <cell r="K1206">
            <v>0</v>
          </cell>
          <cell r="AL1206">
            <v>0</v>
          </cell>
          <cell r="BJ1206" t="str">
            <v>MAL</v>
          </cell>
        </row>
        <row r="1207">
          <cell r="E1207" t="str">
            <v>38</v>
          </cell>
          <cell r="J1207">
            <v>0</v>
          </cell>
          <cell r="K1207">
            <v>0</v>
          </cell>
          <cell r="AL1207">
            <v>0</v>
          </cell>
          <cell r="BJ1207" t="str">
            <v>MAL</v>
          </cell>
        </row>
        <row r="1208">
          <cell r="E1208" t="str">
            <v>38</v>
          </cell>
          <cell r="J1208">
            <v>0</v>
          </cell>
          <cell r="K1208">
            <v>0</v>
          </cell>
          <cell r="AL1208">
            <v>0</v>
          </cell>
          <cell r="BJ1208" t="str">
            <v>MAL</v>
          </cell>
        </row>
        <row r="1209">
          <cell r="E1209" t="str">
            <v>38</v>
          </cell>
          <cell r="J1209">
            <v>0</v>
          </cell>
          <cell r="K1209">
            <v>0</v>
          </cell>
          <cell r="AL1209">
            <v>0</v>
          </cell>
          <cell r="BJ1209" t="str">
            <v>MAL</v>
          </cell>
        </row>
        <row r="1210">
          <cell r="E1210" t="str">
            <v>38</v>
          </cell>
          <cell r="J1210">
            <v>0</v>
          </cell>
          <cell r="K1210">
            <v>0</v>
          </cell>
          <cell r="AL1210">
            <v>0</v>
          </cell>
          <cell r="BJ1210" t="str">
            <v>MAL</v>
          </cell>
        </row>
        <row r="1211">
          <cell r="E1211" t="str">
            <v>38</v>
          </cell>
          <cell r="J1211">
            <v>0</v>
          </cell>
          <cell r="K1211">
            <v>0</v>
          </cell>
          <cell r="AL1211">
            <v>0</v>
          </cell>
          <cell r="BJ1211" t="str">
            <v>MAL</v>
          </cell>
        </row>
        <row r="1212">
          <cell r="E1212" t="str">
            <v>38</v>
          </cell>
          <cell r="J1212">
            <v>0</v>
          </cell>
          <cell r="K1212">
            <v>0</v>
          </cell>
          <cell r="AL1212">
            <v>0</v>
          </cell>
          <cell r="BJ1212" t="str">
            <v>MAL</v>
          </cell>
        </row>
        <row r="1213">
          <cell r="E1213" t="str">
            <v>38</v>
          </cell>
          <cell r="J1213">
            <v>0</v>
          </cell>
          <cell r="K1213">
            <v>0</v>
          </cell>
          <cell r="AL1213">
            <v>0</v>
          </cell>
          <cell r="BJ1213" t="str">
            <v>MAL</v>
          </cell>
        </row>
        <row r="1214">
          <cell r="E1214" t="str">
            <v>38</v>
          </cell>
          <cell r="J1214">
            <v>0</v>
          </cell>
          <cell r="K1214">
            <v>0</v>
          </cell>
          <cell r="AL1214">
            <v>0</v>
          </cell>
          <cell r="BJ1214" t="str">
            <v>MAL</v>
          </cell>
        </row>
        <row r="1215">
          <cell r="E1215" t="str">
            <v>38</v>
          </cell>
          <cell r="J1215">
            <v>0</v>
          </cell>
          <cell r="K1215">
            <v>0</v>
          </cell>
          <cell r="AL1215">
            <v>0</v>
          </cell>
          <cell r="BJ1215" t="str">
            <v>MAL</v>
          </cell>
        </row>
        <row r="1216">
          <cell r="E1216" t="str">
            <v>38</v>
          </cell>
          <cell r="J1216">
            <v>0</v>
          </cell>
          <cell r="K1216">
            <v>0</v>
          </cell>
          <cell r="AL1216">
            <v>0</v>
          </cell>
          <cell r="BJ1216" t="str">
            <v>MAL</v>
          </cell>
        </row>
        <row r="1217">
          <cell r="E1217" t="str">
            <v>38</v>
          </cell>
          <cell r="J1217">
            <v>0</v>
          </cell>
          <cell r="K1217">
            <v>0</v>
          </cell>
          <cell r="AL1217">
            <v>0</v>
          </cell>
          <cell r="BJ1217" t="str">
            <v>MAL</v>
          </cell>
        </row>
        <row r="1218">
          <cell r="E1218" t="str">
            <v>38</v>
          </cell>
          <cell r="J1218">
            <v>0</v>
          </cell>
          <cell r="K1218">
            <v>0</v>
          </cell>
          <cell r="AL1218">
            <v>0</v>
          </cell>
          <cell r="BJ1218" t="str">
            <v>MAL</v>
          </cell>
        </row>
        <row r="1219">
          <cell r="E1219" t="str">
            <v>35</v>
          </cell>
          <cell r="J1219">
            <v>0</v>
          </cell>
          <cell r="K1219">
            <v>0</v>
          </cell>
          <cell r="AL1219">
            <v>0</v>
          </cell>
          <cell r="BJ1219" t="str">
            <v>MAL</v>
          </cell>
        </row>
        <row r="1220">
          <cell r="E1220" t="str">
            <v>35</v>
          </cell>
          <cell r="J1220">
            <v>0</v>
          </cell>
          <cell r="K1220">
            <v>0</v>
          </cell>
          <cell r="AL1220">
            <v>0</v>
          </cell>
          <cell r="BJ1220" t="str">
            <v>MAL</v>
          </cell>
        </row>
        <row r="1221">
          <cell r="E1221" t="str">
            <v>35</v>
          </cell>
          <cell r="J1221">
            <v>8086291.330000001</v>
          </cell>
          <cell r="K1221">
            <v>1250860.5000000009</v>
          </cell>
          <cell r="AL1221">
            <v>0</v>
          </cell>
          <cell r="BJ1221" t="str">
            <v>MAL</v>
          </cell>
        </row>
        <row r="1222">
          <cell r="E1222" t="str">
            <v>35</v>
          </cell>
          <cell r="J1222">
            <v>-711087.24999999988</v>
          </cell>
          <cell r="K1222">
            <v>-226637.70000000007</v>
          </cell>
          <cell r="AL1222">
            <v>0</v>
          </cell>
          <cell r="BJ1222" t="str">
            <v>MAL</v>
          </cell>
        </row>
        <row r="1223">
          <cell r="E1223" t="str">
            <v>35</v>
          </cell>
          <cell r="J1223">
            <v>6972000.75</v>
          </cell>
          <cell r="K1223">
            <v>480861.69999999925</v>
          </cell>
          <cell r="AL1223">
            <v>0</v>
          </cell>
          <cell r="BJ1223" t="str">
            <v>MAL</v>
          </cell>
        </row>
        <row r="1224">
          <cell r="E1224" t="str">
            <v>35</v>
          </cell>
          <cell r="J1224">
            <v>-103705.58</v>
          </cell>
          <cell r="K1224">
            <v>-109344.50000000001</v>
          </cell>
          <cell r="AL1224">
            <v>0</v>
          </cell>
          <cell r="BJ1224" t="str">
            <v>MAL</v>
          </cell>
        </row>
        <row r="1225">
          <cell r="E1225" t="str">
            <v>35</v>
          </cell>
          <cell r="J1225">
            <v>11629804.5</v>
          </cell>
          <cell r="K1225">
            <v>0</v>
          </cell>
          <cell r="AL1225">
            <v>0</v>
          </cell>
          <cell r="BJ1225" t="str">
            <v>MAL</v>
          </cell>
        </row>
        <row r="1226">
          <cell r="E1226" t="str">
            <v>35</v>
          </cell>
          <cell r="J1226">
            <v>-1028729.52</v>
          </cell>
          <cell r="K1226">
            <v>-197547.37999999989</v>
          </cell>
          <cell r="AL1226">
            <v>0</v>
          </cell>
          <cell r="BJ1226" t="str">
            <v>MAL</v>
          </cell>
        </row>
        <row r="1227">
          <cell r="E1227" t="str">
            <v>35</v>
          </cell>
          <cell r="J1227">
            <v>12658180.5</v>
          </cell>
          <cell r="K1227">
            <v>47262</v>
          </cell>
          <cell r="AL1227">
            <v>0</v>
          </cell>
          <cell r="BJ1227" t="str">
            <v>MAL</v>
          </cell>
        </row>
        <row r="1228">
          <cell r="E1228" t="str">
            <v>35</v>
          </cell>
          <cell r="J1228">
            <v>-1596960.58</v>
          </cell>
          <cell r="K1228">
            <v>-212894.92999999993</v>
          </cell>
          <cell r="AL1228">
            <v>0</v>
          </cell>
          <cell r="BJ1228" t="str">
            <v>MAL</v>
          </cell>
        </row>
        <row r="1229">
          <cell r="E1229" t="str">
            <v>35</v>
          </cell>
          <cell r="J1229">
            <v>663109.04</v>
          </cell>
          <cell r="K1229">
            <v>315423.75</v>
          </cell>
          <cell r="AL1229">
            <v>0</v>
          </cell>
          <cell r="BJ1229" t="str">
            <v>MAL</v>
          </cell>
        </row>
        <row r="1230">
          <cell r="E1230" t="str">
            <v>35</v>
          </cell>
          <cell r="J1230">
            <v>-8667.58</v>
          </cell>
          <cell r="K1230">
            <v>-34894.800000000003</v>
          </cell>
          <cell r="AL1230">
            <v>0</v>
          </cell>
          <cell r="BJ1230" t="str">
            <v>MAL</v>
          </cell>
        </row>
        <row r="1231">
          <cell r="E1231" t="str">
            <v>35</v>
          </cell>
          <cell r="J1231">
            <v>27638296.299999997</v>
          </cell>
          <cell r="K1231">
            <v>7279595.1099999994</v>
          </cell>
          <cell r="AL1231">
            <v>0</v>
          </cell>
          <cell r="BJ1231" t="str">
            <v>MAL</v>
          </cell>
        </row>
        <row r="1232">
          <cell r="E1232" t="str">
            <v>35</v>
          </cell>
          <cell r="J1232">
            <v>-1275620.5599999998</v>
          </cell>
          <cell r="K1232">
            <v>-463269.1800000004</v>
          </cell>
          <cell r="AL1232">
            <v>0</v>
          </cell>
          <cell r="BJ1232" t="str">
            <v>MAL</v>
          </cell>
        </row>
        <row r="1233">
          <cell r="E1233" t="str">
            <v>47</v>
          </cell>
          <cell r="J1233">
            <v>176080</v>
          </cell>
          <cell r="K1233">
            <v>475340</v>
          </cell>
          <cell r="AL1233">
            <v>0</v>
          </cell>
          <cell r="BJ1233" t="str">
            <v>MAL</v>
          </cell>
        </row>
        <row r="1234">
          <cell r="E1234" t="str">
            <v>46</v>
          </cell>
          <cell r="J1234">
            <v>989699</v>
          </cell>
          <cell r="K1234">
            <v>0</v>
          </cell>
          <cell r="AL1234">
            <v>0</v>
          </cell>
          <cell r="BJ1234" t="str">
            <v>MAL</v>
          </cell>
        </row>
        <row r="1235">
          <cell r="E1235" t="str">
            <v>47</v>
          </cell>
          <cell r="J1235">
            <v>0</v>
          </cell>
          <cell r="K1235">
            <v>0</v>
          </cell>
          <cell r="AL1235">
            <v>0</v>
          </cell>
          <cell r="BJ1235" t="str">
            <v>MAL</v>
          </cell>
        </row>
        <row r="1236">
          <cell r="E1236" t="str">
            <v>47</v>
          </cell>
          <cell r="J1236">
            <v>4426504.7</v>
          </cell>
          <cell r="K1236">
            <v>0</v>
          </cell>
          <cell r="AL1236">
            <v>0</v>
          </cell>
          <cell r="BJ1236" t="str">
            <v>MAL</v>
          </cell>
        </row>
        <row r="1237">
          <cell r="E1237" t="str">
            <v>48</v>
          </cell>
          <cell r="J1237">
            <v>0</v>
          </cell>
          <cell r="K1237">
            <v>0</v>
          </cell>
          <cell r="AL1237">
            <v>0</v>
          </cell>
          <cell r="BJ1237" t="str">
            <v>MAL</v>
          </cell>
        </row>
        <row r="1238">
          <cell r="E1238" t="str">
            <v>47</v>
          </cell>
          <cell r="J1238">
            <v>0</v>
          </cell>
          <cell r="K1238">
            <v>0</v>
          </cell>
          <cell r="AL1238">
            <v>0</v>
          </cell>
          <cell r="BJ1238" t="str">
            <v>MAL</v>
          </cell>
        </row>
        <row r="1239">
          <cell r="E1239" t="str">
            <v>47</v>
          </cell>
          <cell r="J1239">
            <v>0</v>
          </cell>
          <cell r="K1239">
            <v>0</v>
          </cell>
          <cell r="AL1239">
            <v>0</v>
          </cell>
          <cell r="BJ1239" t="str">
            <v>MAL</v>
          </cell>
        </row>
        <row r="1240">
          <cell r="E1240" t="str">
            <v>47</v>
          </cell>
          <cell r="J1240">
            <v>0</v>
          </cell>
          <cell r="K1240">
            <v>0</v>
          </cell>
          <cell r="AL1240">
            <v>0</v>
          </cell>
          <cell r="BJ1240" t="str">
            <v>MAL</v>
          </cell>
        </row>
        <row r="1241">
          <cell r="E1241" t="str">
            <v>47</v>
          </cell>
          <cell r="J1241">
            <v>489127.5</v>
          </cell>
          <cell r="K1241">
            <v>3552404.51</v>
          </cell>
          <cell r="AL1241">
            <v>0</v>
          </cell>
          <cell r="BJ1241" t="str">
            <v>MAL</v>
          </cell>
        </row>
        <row r="1242">
          <cell r="E1242" t="str">
            <v>47</v>
          </cell>
          <cell r="J1242">
            <v>0</v>
          </cell>
          <cell r="K1242">
            <v>0</v>
          </cell>
          <cell r="AL1242">
            <v>0</v>
          </cell>
          <cell r="BJ1242" t="str">
            <v>MAL</v>
          </cell>
        </row>
        <row r="1243">
          <cell r="E1243" t="str">
            <v>38</v>
          </cell>
          <cell r="J1243">
            <v>60834130.330000006</v>
          </cell>
          <cell r="K1243">
            <v>45172410.289999984</v>
          </cell>
          <cell r="AL1243">
            <v>0</v>
          </cell>
          <cell r="BJ1243" t="str">
            <v>MAL</v>
          </cell>
        </row>
        <row r="1244">
          <cell r="E1244" t="str">
            <v>38</v>
          </cell>
          <cell r="J1244">
            <v>-4244225</v>
          </cell>
          <cell r="K1244">
            <v>-3515666.5999999996</v>
          </cell>
          <cell r="AL1244">
            <v>0</v>
          </cell>
          <cell r="BJ1244" t="str">
            <v>MAL</v>
          </cell>
        </row>
        <row r="1245">
          <cell r="E1245" t="str">
            <v>50</v>
          </cell>
          <cell r="J1245">
            <v>600645.25</v>
          </cell>
          <cell r="K1245">
            <v>596048.69999999995</v>
          </cell>
          <cell r="AL1245">
            <v>0</v>
          </cell>
          <cell r="BJ1245" t="str">
            <v>MAL</v>
          </cell>
        </row>
        <row r="1246">
          <cell r="E1246" t="str">
            <v>45</v>
          </cell>
          <cell r="J1246">
            <v>0</v>
          </cell>
          <cell r="K1246">
            <v>34008.79999999702</v>
          </cell>
          <cell r="AL1246">
            <v>0</v>
          </cell>
          <cell r="BJ1246" t="str">
            <v>MAL</v>
          </cell>
        </row>
        <row r="1247">
          <cell r="E1247" t="str">
            <v>45</v>
          </cell>
          <cell r="J1247">
            <v>3986119.9799999893</v>
          </cell>
          <cell r="K1247">
            <v>18749608.879999995</v>
          </cell>
          <cell r="AL1247">
            <v>0</v>
          </cell>
          <cell r="BJ1247" t="str">
            <v>MAL</v>
          </cell>
        </row>
        <row r="1248">
          <cell r="E1248" t="str">
            <v>45</v>
          </cell>
          <cell r="J1248">
            <v>2119921.8300000131</v>
          </cell>
          <cell r="K1248">
            <v>-266509.01999998093</v>
          </cell>
          <cell r="AL1248">
            <v>0</v>
          </cell>
          <cell r="BJ1248" t="str">
            <v>MAL</v>
          </cell>
        </row>
        <row r="1249">
          <cell r="E1249" t="str">
            <v>45</v>
          </cell>
          <cell r="J1249">
            <v>-8920557.6600000039</v>
          </cell>
          <cell r="K1249">
            <v>9127294.1699999943</v>
          </cell>
          <cell r="AL1249">
            <v>0</v>
          </cell>
          <cell r="BJ1249" t="str">
            <v>MAL</v>
          </cell>
        </row>
        <row r="1250">
          <cell r="E1250" t="str">
            <v>45</v>
          </cell>
          <cell r="J1250">
            <v>1331337.58</v>
          </cell>
          <cell r="K1250">
            <v>-382483.68999999948</v>
          </cell>
          <cell r="AL1250">
            <v>0</v>
          </cell>
          <cell r="BJ1250" t="str">
            <v>MAL</v>
          </cell>
        </row>
        <row r="1251">
          <cell r="E1251" t="str">
            <v>45</v>
          </cell>
          <cell r="J1251">
            <v>83.200000017881393</v>
          </cell>
          <cell r="K1251">
            <v>-83.200000017881393</v>
          </cell>
          <cell r="AL1251">
            <v>0</v>
          </cell>
          <cell r="BJ1251" t="str">
            <v>MAL</v>
          </cell>
        </row>
        <row r="1252">
          <cell r="E1252" t="str">
            <v>45</v>
          </cell>
          <cell r="J1252">
            <v>0</v>
          </cell>
          <cell r="K1252">
            <v>0</v>
          </cell>
          <cell r="AL1252">
            <v>0</v>
          </cell>
          <cell r="BJ1252" t="str">
            <v>MAL</v>
          </cell>
        </row>
        <row r="1253">
          <cell r="E1253" t="str">
            <v>45</v>
          </cell>
          <cell r="J1253">
            <v>6078000</v>
          </cell>
          <cell r="K1253">
            <v>-11944018.400000006</v>
          </cell>
          <cell r="AL1253">
            <v>0</v>
          </cell>
          <cell r="BJ1253" t="str">
            <v>MAL</v>
          </cell>
        </row>
        <row r="1254">
          <cell r="E1254" t="str">
            <v>45</v>
          </cell>
          <cell r="J1254">
            <v>0</v>
          </cell>
          <cell r="K1254">
            <v>0</v>
          </cell>
          <cell r="AL1254">
            <v>0</v>
          </cell>
          <cell r="BJ1254" t="str">
            <v>MAL</v>
          </cell>
        </row>
        <row r="1255">
          <cell r="E1255" t="str">
            <v>45</v>
          </cell>
          <cell r="J1255">
            <v>0</v>
          </cell>
          <cell r="K1255">
            <v>0</v>
          </cell>
          <cell r="AL1255">
            <v>0</v>
          </cell>
          <cell r="BJ1255" t="str">
            <v>MAL</v>
          </cell>
        </row>
        <row r="1256">
          <cell r="E1256" t="str">
            <v>45</v>
          </cell>
          <cell r="J1256">
            <v>0</v>
          </cell>
          <cell r="K1256">
            <v>0</v>
          </cell>
          <cell r="AL1256">
            <v>0</v>
          </cell>
          <cell r="BJ1256" t="str">
            <v>MAL</v>
          </cell>
        </row>
        <row r="1257">
          <cell r="E1257" t="str">
            <v>45</v>
          </cell>
          <cell r="J1257">
            <v>0</v>
          </cell>
          <cell r="K1257">
            <v>0</v>
          </cell>
          <cell r="AL1257">
            <v>0</v>
          </cell>
          <cell r="BJ1257" t="str">
            <v>MAL</v>
          </cell>
        </row>
        <row r="1258">
          <cell r="E1258" t="str">
            <v>45</v>
          </cell>
          <cell r="J1258">
            <v>0</v>
          </cell>
          <cell r="K1258">
            <v>0</v>
          </cell>
          <cell r="AL1258">
            <v>0</v>
          </cell>
          <cell r="BJ1258" t="str">
            <v>MAL</v>
          </cell>
        </row>
        <row r="1259">
          <cell r="E1259" t="str">
            <v>45</v>
          </cell>
          <cell r="J1259">
            <v>88334.080000000075</v>
          </cell>
          <cell r="K1259">
            <v>-88334.080000000075</v>
          </cell>
          <cell r="AL1259">
            <v>0</v>
          </cell>
          <cell r="BJ1259" t="str">
            <v>MAL</v>
          </cell>
        </row>
        <row r="1260">
          <cell r="E1260" t="str">
            <v>45</v>
          </cell>
          <cell r="J1260">
            <v>0</v>
          </cell>
          <cell r="K1260">
            <v>0</v>
          </cell>
          <cell r="AL1260">
            <v>0</v>
          </cell>
          <cell r="BJ1260" t="str">
            <v>MAL</v>
          </cell>
        </row>
        <row r="1261">
          <cell r="E1261" t="str">
            <v>45</v>
          </cell>
          <cell r="J1261">
            <v>0</v>
          </cell>
          <cell r="K1261">
            <v>0</v>
          </cell>
          <cell r="AL1261">
            <v>0</v>
          </cell>
          <cell r="BJ1261" t="str">
            <v>MAL</v>
          </cell>
        </row>
        <row r="1262">
          <cell r="E1262" t="str">
            <v>45</v>
          </cell>
          <cell r="J1262">
            <v>0</v>
          </cell>
          <cell r="K1262">
            <v>0</v>
          </cell>
          <cell r="AL1262">
            <v>0</v>
          </cell>
          <cell r="BJ1262" t="str">
            <v>MAL</v>
          </cell>
        </row>
        <row r="1263">
          <cell r="E1263" t="str">
            <v>45</v>
          </cell>
          <cell r="J1263">
            <v>0</v>
          </cell>
          <cell r="K1263">
            <v>0</v>
          </cell>
          <cell r="AL1263">
            <v>0</v>
          </cell>
          <cell r="BJ1263" t="str">
            <v>MAL</v>
          </cell>
        </row>
        <row r="1264">
          <cell r="E1264" t="str">
            <v>45</v>
          </cell>
          <cell r="J1264">
            <v>0</v>
          </cell>
          <cell r="K1264">
            <v>0</v>
          </cell>
          <cell r="AL1264">
            <v>0</v>
          </cell>
          <cell r="BJ1264" t="str">
            <v>MAL</v>
          </cell>
        </row>
        <row r="1265">
          <cell r="E1265" t="str">
            <v>45</v>
          </cell>
          <cell r="J1265">
            <v>0</v>
          </cell>
          <cell r="K1265">
            <v>0</v>
          </cell>
          <cell r="AL1265">
            <v>0</v>
          </cell>
          <cell r="BJ1265" t="str">
            <v>MAL</v>
          </cell>
        </row>
        <row r="1266">
          <cell r="E1266" t="str">
            <v>50</v>
          </cell>
          <cell r="J1266">
            <v>12208295.199999996</v>
          </cell>
          <cell r="K1266">
            <v>7816131.7800000012</v>
          </cell>
          <cell r="AL1266">
            <v>0</v>
          </cell>
          <cell r="BJ1266" t="str">
            <v>MAL</v>
          </cell>
        </row>
        <row r="1267">
          <cell r="E1267" t="str">
            <v>50</v>
          </cell>
          <cell r="J1267">
            <v>0</v>
          </cell>
          <cell r="K1267">
            <v>0</v>
          </cell>
          <cell r="AL1267">
            <v>0</v>
          </cell>
          <cell r="BJ1267" t="str">
            <v>MAL</v>
          </cell>
        </row>
        <row r="1268">
          <cell r="E1268" t="str">
            <v>50</v>
          </cell>
          <cell r="J1268">
            <v>-112000</v>
          </cell>
          <cell r="K1268">
            <v>4872293.07</v>
          </cell>
          <cell r="AL1268">
            <v>0</v>
          </cell>
          <cell r="BJ1268" t="str">
            <v>MAL</v>
          </cell>
        </row>
        <row r="1269">
          <cell r="E1269" t="str">
            <v>51</v>
          </cell>
          <cell r="J1269">
            <v>0</v>
          </cell>
          <cell r="K1269">
            <v>0</v>
          </cell>
          <cell r="AL1269">
            <v>0</v>
          </cell>
          <cell r="BJ1269" t="str">
            <v>MAL</v>
          </cell>
        </row>
        <row r="1270">
          <cell r="E1270" t="str">
            <v>50</v>
          </cell>
          <cell r="J1270">
            <v>2093730</v>
          </cell>
          <cell r="K1270">
            <v>143014.5</v>
          </cell>
          <cell r="AL1270">
            <v>0</v>
          </cell>
          <cell r="BJ1270" t="str">
            <v>MAL</v>
          </cell>
        </row>
        <row r="1271">
          <cell r="E1271" t="str">
            <v>50</v>
          </cell>
          <cell r="J1271">
            <v>0</v>
          </cell>
          <cell r="K1271">
            <v>0</v>
          </cell>
          <cell r="AL1271">
            <v>0</v>
          </cell>
          <cell r="BJ1271" t="str">
            <v>MAL</v>
          </cell>
        </row>
        <row r="1272">
          <cell r="E1272" t="str">
            <v>50</v>
          </cell>
          <cell r="J1272">
            <v>-65670</v>
          </cell>
          <cell r="K1272">
            <v>0</v>
          </cell>
          <cell r="AL1272">
            <v>0</v>
          </cell>
          <cell r="BJ1272" t="str">
            <v>MAL</v>
          </cell>
        </row>
        <row r="1273">
          <cell r="E1273" t="str">
            <v>50</v>
          </cell>
          <cell r="J1273">
            <v>0</v>
          </cell>
          <cell r="K1273">
            <v>0</v>
          </cell>
          <cell r="AL1273">
            <v>0</v>
          </cell>
          <cell r="BJ1273" t="str">
            <v>MAL</v>
          </cell>
        </row>
        <row r="1274">
          <cell r="E1274" t="str">
            <v>50</v>
          </cell>
          <cell r="J1274">
            <v>433610.41999999946</v>
          </cell>
          <cell r="K1274">
            <v>-7411.840000001248</v>
          </cell>
          <cell r="AL1274">
            <v>0</v>
          </cell>
          <cell r="BJ1274" t="str">
            <v>MAL</v>
          </cell>
        </row>
        <row r="1275">
          <cell r="E1275" t="str">
            <v>50</v>
          </cell>
          <cell r="J1275">
            <v>0</v>
          </cell>
          <cell r="K1275">
            <v>0</v>
          </cell>
          <cell r="AL1275">
            <v>0</v>
          </cell>
          <cell r="BJ1275" t="str">
            <v>MAL</v>
          </cell>
        </row>
        <row r="1276">
          <cell r="E1276" t="str">
            <v>50</v>
          </cell>
          <cell r="J1276">
            <v>0</v>
          </cell>
          <cell r="K1276">
            <v>0</v>
          </cell>
          <cell r="AL1276">
            <v>0</v>
          </cell>
          <cell r="BJ1276" t="str">
            <v>MAL</v>
          </cell>
        </row>
        <row r="1277">
          <cell r="E1277" t="str">
            <v>50</v>
          </cell>
          <cell r="J1277">
            <v>1.4901161193847656E-8</v>
          </cell>
          <cell r="K1277">
            <v>0</v>
          </cell>
          <cell r="AL1277">
            <v>0</v>
          </cell>
          <cell r="BJ1277" t="str">
            <v>MAL</v>
          </cell>
        </row>
        <row r="1278">
          <cell r="E1278" t="str">
            <v>50</v>
          </cell>
          <cell r="J1278">
            <v>0</v>
          </cell>
          <cell r="K1278">
            <v>0</v>
          </cell>
          <cell r="AL1278">
            <v>0</v>
          </cell>
          <cell r="BJ1278" t="str">
            <v>MAL</v>
          </cell>
        </row>
        <row r="1279">
          <cell r="E1279" t="str">
            <v>50</v>
          </cell>
          <cell r="J1279">
            <v>0</v>
          </cell>
          <cell r="K1279">
            <v>0</v>
          </cell>
          <cell r="AL1279">
            <v>0</v>
          </cell>
          <cell r="BJ1279" t="str">
            <v>MAL</v>
          </cell>
        </row>
        <row r="1280">
          <cell r="E1280" t="str">
            <v>50</v>
          </cell>
          <cell r="J1280">
            <v>4303239.74</v>
          </cell>
          <cell r="K1280">
            <v>2495320.3055000007</v>
          </cell>
          <cell r="AL1280">
            <v>0</v>
          </cell>
          <cell r="BJ1280" t="str">
            <v>MAL</v>
          </cell>
        </row>
        <row r="1281">
          <cell r="E1281" t="str">
            <v>50</v>
          </cell>
          <cell r="J1281">
            <v>0</v>
          </cell>
          <cell r="K1281">
            <v>0</v>
          </cell>
          <cell r="AL1281">
            <v>0</v>
          </cell>
          <cell r="BJ1281" t="str">
            <v>MAL</v>
          </cell>
        </row>
        <row r="1282">
          <cell r="E1282" t="str">
            <v>50</v>
          </cell>
          <cell r="J1282">
            <v>0</v>
          </cell>
          <cell r="K1282">
            <v>0</v>
          </cell>
          <cell r="AL1282">
            <v>0</v>
          </cell>
          <cell r="BJ1282" t="str">
            <v>MAL</v>
          </cell>
        </row>
        <row r="1283">
          <cell r="E1283" t="str">
            <v>10</v>
          </cell>
          <cell r="J1283">
            <v>0</v>
          </cell>
          <cell r="K1283">
            <v>17484125.020000011</v>
          </cell>
          <cell r="AL1283">
            <v>0</v>
          </cell>
          <cell r="BJ1283" t="str">
            <v>KEN</v>
          </cell>
        </row>
        <row r="1284">
          <cell r="E1284" t="str">
            <v>10</v>
          </cell>
          <cell r="J1284">
            <v>0</v>
          </cell>
          <cell r="K1284">
            <v>1183501.7999999998</v>
          </cell>
          <cell r="AL1284">
            <v>0</v>
          </cell>
          <cell r="BJ1284" t="str">
            <v>KEN</v>
          </cell>
        </row>
        <row r="1285">
          <cell r="E1285" t="str">
            <v>10</v>
          </cell>
          <cell r="J1285">
            <v>0</v>
          </cell>
          <cell r="K1285">
            <v>930720</v>
          </cell>
          <cell r="AL1285">
            <v>0</v>
          </cell>
          <cell r="BJ1285" t="str">
            <v>KEN</v>
          </cell>
        </row>
        <row r="1286">
          <cell r="E1286" t="str">
            <v>10</v>
          </cell>
          <cell r="J1286">
            <v>0</v>
          </cell>
          <cell r="K1286">
            <v>2889590.2599999979</v>
          </cell>
          <cell r="AL1286">
            <v>0</v>
          </cell>
          <cell r="BJ1286" t="str">
            <v>KEN</v>
          </cell>
        </row>
        <row r="1287">
          <cell r="E1287" t="str">
            <v>10</v>
          </cell>
          <cell r="J1287">
            <v>0</v>
          </cell>
          <cell r="K1287">
            <v>1200</v>
          </cell>
          <cell r="AL1287">
            <v>0</v>
          </cell>
          <cell r="BJ1287" t="str">
            <v>KEN</v>
          </cell>
        </row>
        <row r="1288">
          <cell r="E1288" t="str">
            <v>10</v>
          </cell>
          <cell r="J1288">
            <v>0</v>
          </cell>
          <cell r="K1288">
            <v>0</v>
          </cell>
          <cell r="AL1288">
            <v>0</v>
          </cell>
          <cell r="BJ1288" t="str">
            <v>KEN</v>
          </cell>
        </row>
        <row r="1289">
          <cell r="E1289" t="str">
            <v>10</v>
          </cell>
          <cell r="J1289">
            <v>0</v>
          </cell>
          <cell r="K1289">
            <v>0</v>
          </cell>
          <cell r="AL1289">
            <v>0</v>
          </cell>
          <cell r="BJ1289" t="str">
            <v>KEN</v>
          </cell>
        </row>
        <row r="1290">
          <cell r="E1290" t="str">
            <v>10</v>
          </cell>
          <cell r="J1290">
            <v>0</v>
          </cell>
          <cell r="K1290">
            <v>283564.79999999999</v>
          </cell>
          <cell r="AL1290">
            <v>0</v>
          </cell>
          <cell r="BJ1290" t="str">
            <v>KEN</v>
          </cell>
        </row>
        <row r="1291">
          <cell r="E1291" t="str">
            <v>10</v>
          </cell>
          <cell r="J1291">
            <v>0</v>
          </cell>
          <cell r="K1291">
            <v>881745.56</v>
          </cell>
          <cell r="AL1291">
            <v>0</v>
          </cell>
          <cell r="BJ1291" t="str">
            <v>KEN</v>
          </cell>
        </row>
        <row r="1292">
          <cell r="E1292" t="str">
            <v>10</v>
          </cell>
          <cell r="J1292">
            <v>0</v>
          </cell>
          <cell r="K1292">
            <v>0</v>
          </cell>
          <cell r="AL1292">
            <v>0</v>
          </cell>
          <cell r="BJ1292" t="str">
            <v>KEN</v>
          </cell>
        </row>
        <row r="1293">
          <cell r="E1293" t="str">
            <v>10</v>
          </cell>
          <cell r="J1293">
            <v>0</v>
          </cell>
          <cell r="K1293">
            <v>0</v>
          </cell>
          <cell r="AL1293">
            <v>0</v>
          </cell>
          <cell r="BJ1293" t="str">
            <v>KEN</v>
          </cell>
        </row>
        <row r="1294">
          <cell r="E1294" t="str">
            <v>10</v>
          </cell>
          <cell r="J1294">
            <v>0</v>
          </cell>
          <cell r="K1294">
            <v>0</v>
          </cell>
          <cell r="AL1294">
            <v>0</v>
          </cell>
          <cell r="BJ1294" t="str">
            <v>KEN</v>
          </cell>
        </row>
        <row r="1295">
          <cell r="E1295" t="str">
            <v>10</v>
          </cell>
          <cell r="J1295">
            <v>0</v>
          </cell>
          <cell r="K1295">
            <v>0</v>
          </cell>
          <cell r="AL1295">
            <v>0</v>
          </cell>
          <cell r="BJ1295" t="str">
            <v>KEN</v>
          </cell>
        </row>
        <row r="1296">
          <cell r="E1296" t="str">
            <v>10</v>
          </cell>
          <cell r="J1296">
            <v>0</v>
          </cell>
          <cell r="K1296">
            <v>0</v>
          </cell>
          <cell r="AL1296">
            <v>0</v>
          </cell>
          <cell r="BJ1296" t="str">
            <v>KEN</v>
          </cell>
        </row>
        <row r="1297">
          <cell r="E1297" t="str">
            <v>10</v>
          </cell>
          <cell r="J1297">
            <v>0</v>
          </cell>
          <cell r="K1297">
            <v>0</v>
          </cell>
          <cell r="AL1297">
            <v>0</v>
          </cell>
          <cell r="BJ1297" t="str">
            <v>KEN</v>
          </cell>
        </row>
        <row r="1298">
          <cell r="E1298" t="str">
            <v>10</v>
          </cell>
          <cell r="J1298">
            <v>0</v>
          </cell>
          <cell r="K1298">
            <v>0</v>
          </cell>
          <cell r="AL1298">
            <v>0</v>
          </cell>
          <cell r="BJ1298" t="str">
            <v>KEN</v>
          </cell>
        </row>
        <row r="1299">
          <cell r="E1299" t="str">
            <v>10</v>
          </cell>
          <cell r="J1299">
            <v>0</v>
          </cell>
          <cell r="K1299">
            <v>0</v>
          </cell>
          <cell r="AL1299">
            <v>0</v>
          </cell>
          <cell r="BJ1299" t="str">
            <v>KEN</v>
          </cell>
        </row>
        <row r="1300">
          <cell r="E1300" t="str">
            <v>10</v>
          </cell>
          <cell r="J1300">
            <v>0</v>
          </cell>
          <cell r="K1300">
            <v>0</v>
          </cell>
          <cell r="AL1300">
            <v>0</v>
          </cell>
          <cell r="BJ1300" t="str">
            <v>KEN</v>
          </cell>
        </row>
        <row r="1301">
          <cell r="E1301" t="str">
            <v>10</v>
          </cell>
          <cell r="J1301">
            <v>0</v>
          </cell>
          <cell r="K1301">
            <v>0</v>
          </cell>
          <cell r="AL1301">
            <v>0</v>
          </cell>
          <cell r="BJ1301" t="str">
            <v>KEN</v>
          </cell>
        </row>
        <row r="1302">
          <cell r="E1302" t="str">
            <v>10</v>
          </cell>
          <cell r="J1302">
            <v>0</v>
          </cell>
          <cell r="K1302">
            <v>0</v>
          </cell>
          <cell r="AL1302">
            <v>0</v>
          </cell>
          <cell r="BJ1302" t="str">
            <v>KEN</v>
          </cell>
        </row>
        <row r="1303">
          <cell r="E1303" t="str">
            <v>10</v>
          </cell>
          <cell r="J1303">
            <v>0</v>
          </cell>
          <cell r="K1303">
            <v>0</v>
          </cell>
          <cell r="AL1303">
            <v>0</v>
          </cell>
          <cell r="BJ1303" t="str">
            <v>KEN</v>
          </cell>
        </row>
        <row r="1304">
          <cell r="E1304" t="str">
            <v>10</v>
          </cell>
          <cell r="J1304">
            <v>0</v>
          </cell>
          <cell r="K1304">
            <v>0</v>
          </cell>
          <cell r="AL1304">
            <v>0</v>
          </cell>
          <cell r="BJ1304" t="str">
            <v>KEN</v>
          </cell>
        </row>
        <row r="1305">
          <cell r="E1305" t="str">
            <v>10</v>
          </cell>
          <cell r="J1305">
            <v>0</v>
          </cell>
          <cell r="K1305">
            <v>0</v>
          </cell>
          <cell r="AL1305">
            <v>0</v>
          </cell>
          <cell r="BJ1305" t="str">
            <v>KEN</v>
          </cell>
        </row>
        <row r="1306">
          <cell r="E1306" t="str">
            <v>10</v>
          </cell>
          <cell r="J1306">
            <v>0</v>
          </cell>
          <cell r="K1306">
            <v>0</v>
          </cell>
          <cell r="AL1306">
            <v>0</v>
          </cell>
          <cell r="BJ1306" t="str">
            <v>KEN</v>
          </cell>
        </row>
        <row r="1307">
          <cell r="E1307" t="str">
            <v>10</v>
          </cell>
          <cell r="J1307">
            <v>0</v>
          </cell>
          <cell r="K1307">
            <v>0</v>
          </cell>
          <cell r="AL1307">
            <v>0</v>
          </cell>
          <cell r="BJ1307" t="str">
            <v>KEN</v>
          </cell>
        </row>
        <row r="1308">
          <cell r="E1308" t="str">
            <v>11</v>
          </cell>
          <cell r="J1308">
            <v>0</v>
          </cell>
          <cell r="K1308">
            <v>0</v>
          </cell>
          <cell r="AL1308">
            <v>0</v>
          </cell>
          <cell r="BJ1308" t="str">
            <v>KEN</v>
          </cell>
        </row>
        <row r="1309">
          <cell r="E1309" t="str">
            <v>11</v>
          </cell>
          <cell r="J1309">
            <v>0</v>
          </cell>
          <cell r="K1309">
            <v>3808574.39</v>
          </cell>
          <cell r="AL1309">
            <v>0</v>
          </cell>
          <cell r="BJ1309" t="str">
            <v>KEN</v>
          </cell>
        </row>
        <row r="1310">
          <cell r="E1310" t="str">
            <v>11</v>
          </cell>
          <cell r="J1310">
            <v>0</v>
          </cell>
          <cell r="K1310">
            <v>0</v>
          </cell>
          <cell r="AL1310">
            <v>0</v>
          </cell>
          <cell r="BJ1310" t="str">
            <v>KEN</v>
          </cell>
        </row>
        <row r="1311">
          <cell r="E1311" t="str">
            <v>11</v>
          </cell>
          <cell r="J1311">
            <v>0</v>
          </cell>
          <cell r="K1311">
            <v>73563.549999999988</v>
          </cell>
          <cell r="AL1311">
            <v>0</v>
          </cell>
          <cell r="BJ1311" t="str">
            <v>KEN</v>
          </cell>
        </row>
        <row r="1312">
          <cell r="E1312" t="str">
            <v>11</v>
          </cell>
          <cell r="J1312">
            <v>0</v>
          </cell>
          <cell r="K1312">
            <v>0</v>
          </cell>
          <cell r="AL1312">
            <v>0</v>
          </cell>
          <cell r="BJ1312" t="str">
            <v>KEN</v>
          </cell>
        </row>
        <row r="1313">
          <cell r="E1313" t="str">
            <v>11</v>
          </cell>
          <cell r="J1313">
            <v>0</v>
          </cell>
          <cell r="K1313">
            <v>0</v>
          </cell>
          <cell r="AL1313">
            <v>0</v>
          </cell>
          <cell r="BJ1313" t="str">
            <v>KEN</v>
          </cell>
        </row>
        <row r="1314">
          <cell r="E1314" t="str">
            <v>11</v>
          </cell>
          <cell r="J1314">
            <v>0</v>
          </cell>
          <cell r="K1314">
            <v>24130.540000002831</v>
          </cell>
          <cell r="AL1314">
            <v>0</v>
          </cell>
          <cell r="BJ1314" t="str">
            <v>KEN</v>
          </cell>
        </row>
        <row r="1315">
          <cell r="E1315" t="str">
            <v>11</v>
          </cell>
          <cell r="J1315">
            <v>0</v>
          </cell>
          <cell r="K1315">
            <v>2494758.8400000036</v>
          </cell>
          <cell r="AL1315">
            <v>0</v>
          </cell>
          <cell r="BJ1315" t="str">
            <v>KEN</v>
          </cell>
        </row>
        <row r="1316">
          <cell r="E1316" t="str">
            <v>11</v>
          </cell>
          <cell r="J1316">
            <v>0</v>
          </cell>
          <cell r="K1316">
            <v>0</v>
          </cell>
          <cell r="AL1316">
            <v>0</v>
          </cell>
          <cell r="BJ1316" t="str">
            <v>KEN</v>
          </cell>
        </row>
        <row r="1317">
          <cell r="E1317" t="str">
            <v>11</v>
          </cell>
          <cell r="J1317">
            <v>0</v>
          </cell>
          <cell r="K1317">
            <v>0</v>
          </cell>
          <cell r="AL1317">
            <v>0</v>
          </cell>
          <cell r="BJ1317" t="str">
            <v>KEN</v>
          </cell>
        </row>
        <row r="1318">
          <cell r="E1318" t="str">
            <v>11</v>
          </cell>
          <cell r="J1318">
            <v>0</v>
          </cell>
          <cell r="K1318">
            <v>0</v>
          </cell>
          <cell r="AL1318">
            <v>0</v>
          </cell>
          <cell r="BJ1318" t="str">
            <v>KEN</v>
          </cell>
        </row>
        <row r="1319">
          <cell r="E1319" t="str">
            <v>11</v>
          </cell>
          <cell r="J1319">
            <v>0</v>
          </cell>
          <cell r="K1319">
            <v>0</v>
          </cell>
          <cell r="AL1319">
            <v>0</v>
          </cell>
          <cell r="BJ1319" t="str">
            <v>KEN</v>
          </cell>
        </row>
        <row r="1320">
          <cell r="E1320" t="str">
            <v>11</v>
          </cell>
          <cell r="J1320">
            <v>0</v>
          </cell>
          <cell r="K1320">
            <v>0</v>
          </cell>
          <cell r="AL1320">
            <v>0</v>
          </cell>
          <cell r="BJ1320" t="str">
            <v>KEN</v>
          </cell>
        </row>
        <row r="1321">
          <cell r="E1321" t="str">
            <v>11</v>
          </cell>
          <cell r="J1321">
            <v>0</v>
          </cell>
          <cell r="K1321">
            <v>0</v>
          </cell>
          <cell r="AL1321">
            <v>0</v>
          </cell>
          <cell r="BJ1321" t="str">
            <v>KEN</v>
          </cell>
        </row>
        <row r="1322">
          <cell r="E1322" t="str">
            <v>11</v>
          </cell>
          <cell r="J1322">
            <v>0</v>
          </cell>
          <cell r="K1322">
            <v>0</v>
          </cell>
          <cell r="AL1322">
            <v>0</v>
          </cell>
          <cell r="BJ1322" t="str">
            <v>KEN</v>
          </cell>
        </row>
        <row r="1323">
          <cell r="E1323" t="str">
            <v>11</v>
          </cell>
          <cell r="J1323">
            <v>0</v>
          </cell>
          <cell r="K1323">
            <v>1191275.8099999987</v>
          </cell>
          <cell r="AL1323">
            <v>0</v>
          </cell>
          <cell r="BJ1323" t="str">
            <v>KEN</v>
          </cell>
        </row>
        <row r="1324">
          <cell r="E1324" t="str">
            <v>11</v>
          </cell>
          <cell r="J1324">
            <v>0</v>
          </cell>
          <cell r="K1324">
            <v>141248</v>
          </cell>
          <cell r="AL1324">
            <v>0</v>
          </cell>
          <cell r="BJ1324" t="str">
            <v>KEN</v>
          </cell>
        </row>
        <row r="1325">
          <cell r="E1325" t="str">
            <v>11</v>
          </cell>
          <cell r="J1325">
            <v>0</v>
          </cell>
          <cell r="K1325">
            <v>0</v>
          </cell>
          <cell r="AL1325">
            <v>0</v>
          </cell>
          <cell r="BJ1325" t="str">
            <v>KEN</v>
          </cell>
        </row>
        <row r="1326">
          <cell r="E1326" t="str">
            <v>11</v>
          </cell>
          <cell r="J1326">
            <v>0</v>
          </cell>
          <cell r="K1326">
            <v>172000</v>
          </cell>
          <cell r="AL1326">
            <v>0</v>
          </cell>
          <cell r="BJ1326" t="str">
            <v>KEN</v>
          </cell>
        </row>
        <row r="1327">
          <cell r="E1327" t="str">
            <v>11</v>
          </cell>
          <cell r="J1327">
            <v>0</v>
          </cell>
          <cell r="K1327">
            <v>62250</v>
          </cell>
          <cell r="AL1327">
            <v>0</v>
          </cell>
          <cell r="BJ1327" t="str">
            <v>KEN</v>
          </cell>
        </row>
        <row r="1328">
          <cell r="E1328" t="str">
            <v>11</v>
          </cell>
          <cell r="J1328">
            <v>0</v>
          </cell>
          <cell r="K1328">
            <v>0</v>
          </cell>
          <cell r="AL1328">
            <v>0</v>
          </cell>
          <cell r="BJ1328" t="str">
            <v>KEN</v>
          </cell>
        </row>
        <row r="1329">
          <cell r="E1329" t="str">
            <v>11</v>
          </cell>
          <cell r="J1329">
            <v>0</v>
          </cell>
          <cell r="K1329">
            <v>0</v>
          </cell>
          <cell r="AL1329">
            <v>0</v>
          </cell>
          <cell r="BJ1329" t="str">
            <v>KEN</v>
          </cell>
        </row>
        <row r="1330">
          <cell r="E1330" t="str">
            <v>11</v>
          </cell>
          <cell r="J1330">
            <v>0</v>
          </cell>
          <cell r="K1330">
            <v>0</v>
          </cell>
          <cell r="AL1330">
            <v>0</v>
          </cell>
          <cell r="BJ1330" t="str">
            <v>KEN</v>
          </cell>
        </row>
        <row r="1331">
          <cell r="E1331" t="str">
            <v>11</v>
          </cell>
          <cell r="J1331">
            <v>0</v>
          </cell>
          <cell r="K1331">
            <v>0</v>
          </cell>
          <cell r="AL1331">
            <v>0</v>
          </cell>
          <cell r="BJ1331" t="str">
            <v>KEN</v>
          </cell>
        </row>
        <row r="1332">
          <cell r="E1332" t="str">
            <v>11</v>
          </cell>
          <cell r="J1332">
            <v>0</v>
          </cell>
          <cell r="K1332">
            <v>0</v>
          </cell>
          <cell r="AL1332">
            <v>0</v>
          </cell>
          <cell r="BJ1332" t="str">
            <v>KEN</v>
          </cell>
        </row>
        <row r="1333">
          <cell r="E1333" t="str">
            <v>11</v>
          </cell>
          <cell r="J1333">
            <v>0</v>
          </cell>
          <cell r="K1333">
            <v>0</v>
          </cell>
          <cell r="AL1333">
            <v>0</v>
          </cell>
          <cell r="BJ1333" t="str">
            <v>KEN</v>
          </cell>
        </row>
        <row r="1334">
          <cell r="E1334" t="str">
            <v>11</v>
          </cell>
          <cell r="J1334">
            <v>0</v>
          </cell>
          <cell r="K1334">
            <v>126596</v>
          </cell>
          <cell r="AL1334">
            <v>0</v>
          </cell>
          <cell r="BJ1334" t="str">
            <v>KEN</v>
          </cell>
        </row>
        <row r="1335">
          <cell r="E1335" t="str">
            <v>11</v>
          </cell>
          <cell r="J1335">
            <v>0</v>
          </cell>
          <cell r="K1335">
            <v>0</v>
          </cell>
          <cell r="AL1335">
            <v>0</v>
          </cell>
          <cell r="BJ1335" t="str">
            <v>KEN</v>
          </cell>
        </row>
        <row r="1336">
          <cell r="E1336" t="str">
            <v>11</v>
          </cell>
          <cell r="J1336">
            <v>0</v>
          </cell>
          <cell r="K1336">
            <v>0</v>
          </cell>
          <cell r="AL1336">
            <v>0</v>
          </cell>
          <cell r="BJ1336" t="str">
            <v>KEN</v>
          </cell>
        </row>
        <row r="1337">
          <cell r="E1337" t="str">
            <v>11</v>
          </cell>
          <cell r="J1337">
            <v>0</v>
          </cell>
          <cell r="K1337">
            <v>0</v>
          </cell>
          <cell r="AL1337">
            <v>0</v>
          </cell>
          <cell r="BJ1337" t="str">
            <v>KEN</v>
          </cell>
        </row>
        <row r="1338">
          <cell r="E1338" t="str">
            <v>11</v>
          </cell>
          <cell r="J1338">
            <v>0</v>
          </cell>
          <cell r="K1338">
            <v>0</v>
          </cell>
          <cell r="AL1338">
            <v>0</v>
          </cell>
          <cell r="BJ1338" t="str">
            <v>KEN</v>
          </cell>
        </row>
        <row r="1339">
          <cell r="E1339" t="str">
            <v>11</v>
          </cell>
          <cell r="J1339">
            <v>0</v>
          </cell>
          <cell r="K1339">
            <v>0</v>
          </cell>
          <cell r="AL1339">
            <v>0</v>
          </cell>
          <cell r="BJ1339" t="str">
            <v>KEN</v>
          </cell>
        </row>
        <row r="1340">
          <cell r="E1340" t="str">
            <v>12</v>
          </cell>
          <cell r="J1340">
            <v>0</v>
          </cell>
          <cell r="K1340">
            <v>0</v>
          </cell>
          <cell r="AL1340">
            <v>0</v>
          </cell>
          <cell r="BJ1340" t="str">
            <v>KEN</v>
          </cell>
        </row>
        <row r="1341">
          <cell r="E1341" t="str">
            <v>13</v>
          </cell>
          <cell r="J1341">
            <v>0</v>
          </cell>
          <cell r="K1341">
            <v>168942.16999999993</v>
          </cell>
          <cell r="AL1341">
            <v>0</v>
          </cell>
          <cell r="BJ1341" t="str">
            <v>KEN</v>
          </cell>
        </row>
        <row r="1342">
          <cell r="E1342" t="str">
            <v>13</v>
          </cell>
          <cell r="J1342">
            <v>0</v>
          </cell>
          <cell r="K1342">
            <v>0</v>
          </cell>
          <cell r="AL1342">
            <v>0</v>
          </cell>
          <cell r="BJ1342" t="str">
            <v>KEN</v>
          </cell>
        </row>
        <row r="1343">
          <cell r="E1343" t="str">
            <v>13</v>
          </cell>
          <cell r="J1343">
            <v>0</v>
          </cell>
          <cell r="K1343">
            <v>200000</v>
          </cell>
          <cell r="AL1343">
            <v>0</v>
          </cell>
          <cell r="BJ1343" t="str">
            <v>KEN</v>
          </cell>
        </row>
        <row r="1344">
          <cell r="E1344" t="str">
            <v>13</v>
          </cell>
          <cell r="J1344">
            <v>0</v>
          </cell>
          <cell r="K1344">
            <v>93200.419999999925</v>
          </cell>
          <cell r="AL1344">
            <v>0</v>
          </cell>
          <cell r="BJ1344" t="str">
            <v>KEN</v>
          </cell>
        </row>
        <row r="1345">
          <cell r="E1345" t="str">
            <v>13</v>
          </cell>
          <cell r="J1345">
            <v>0</v>
          </cell>
          <cell r="K1345">
            <v>2.4700000000011642</v>
          </cell>
          <cell r="AL1345">
            <v>0</v>
          </cell>
          <cell r="BJ1345" t="str">
            <v>KEN</v>
          </cell>
        </row>
        <row r="1346">
          <cell r="E1346" t="str">
            <v>13</v>
          </cell>
          <cell r="J1346">
            <v>0</v>
          </cell>
          <cell r="K1346">
            <v>0</v>
          </cell>
          <cell r="AL1346">
            <v>0</v>
          </cell>
          <cell r="BJ1346" t="str">
            <v>KEN</v>
          </cell>
        </row>
        <row r="1347">
          <cell r="E1347" t="str">
            <v>13</v>
          </cell>
          <cell r="J1347">
            <v>0</v>
          </cell>
          <cell r="K1347">
            <v>30000</v>
          </cell>
          <cell r="AL1347">
            <v>0</v>
          </cell>
          <cell r="BJ1347" t="str">
            <v>KEN</v>
          </cell>
        </row>
        <row r="1348">
          <cell r="E1348" t="str">
            <v>13</v>
          </cell>
          <cell r="J1348">
            <v>0</v>
          </cell>
          <cell r="K1348">
            <v>0</v>
          </cell>
          <cell r="AL1348">
            <v>0</v>
          </cell>
          <cell r="BJ1348" t="str">
            <v>KEN</v>
          </cell>
        </row>
        <row r="1349">
          <cell r="E1349" t="str">
            <v>13</v>
          </cell>
          <cell r="J1349">
            <v>0</v>
          </cell>
          <cell r="K1349">
            <v>49900</v>
          </cell>
          <cell r="AL1349">
            <v>0</v>
          </cell>
          <cell r="BJ1349" t="str">
            <v>KEN</v>
          </cell>
        </row>
        <row r="1350">
          <cell r="E1350" t="str">
            <v>13</v>
          </cell>
          <cell r="J1350">
            <v>0</v>
          </cell>
          <cell r="K1350">
            <v>103979.80999999994</v>
          </cell>
          <cell r="AL1350">
            <v>0</v>
          </cell>
          <cell r="BJ1350" t="str">
            <v>KEN</v>
          </cell>
        </row>
        <row r="1351">
          <cell r="E1351" t="str">
            <v>13</v>
          </cell>
          <cell r="J1351">
            <v>0</v>
          </cell>
          <cell r="K1351">
            <v>343394.75</v>
          </cell>
          <cell r="AL1351">
            <v>0</v>
          </cell>
          <cell r="BJ1351" t="str">
            <v>KEN</v>
          </cell>
        </row>
        <row r="1352">
          <cell r="E1352" t="str">
            <v>13</v>
          </cell>
          <cell r="J1352">
            <v>0</v>
          </cell>
          <cell r="K1352">
            <v>0</v>
          </cell>
          <cell r="AL1352">
            <v>0</v>
          </cell>
          <cell r="BJ1352" t="str">
            <v>KEN</v>
          </cell>
        </row>
        <row r="1353">
          <cell r="E1353" t="str">
            <v>13</v>
          </cell>
          <cell r="J1353">
            <v>0</v>
          </cell>
          <cell r="K1353">
            <v>174600</v>
          </cell>
          <cell r="AL1353">
            <v>0</v>
          </cell>
          <cell r="BJ1353" t="str">
            <v>KEN</v>
          </cell>
        </row>
        <row r="1354">
          <cell r="E1354" t="str">
            <v>13</v>
          </cell>
          <cell r="J1354">
            <v>0</v>
          </cell>
          <cell r="K1354">
            <v>0</v>
          </cell>
          <cell r="AL1354">
            <v>0</v>
          </cell>
          <cell r="BJ1354" t="str">
            <v>KEN</v>
          </cell>
        </row>
        <row r="1355">
          <cell r="E1355" t="str">
            <v>13</v>
          </cell>
          <cell r="J1355">
            <v>0</v>
          </cell>
          <cell r="K1355">
            <v>0</v>
          </cell>
          <cell r="AL1355">
            <v>0</v>
          </cell>
          <cell r="BJ1355" t="str">
            <v>KEN</v>
          </cell>
        </row>
        <row r="1356">
          <cell r="E1356" t="str">
            <v>13</v>
          </cell>
          <cell r="J1356">
            <v>0</v>
          </cell>
          <cell r="K1356">
            <v>0</v>
          </cell>
          <cell r="AL1356">
            <v>0</v>
          </cell>
          <cell r="BJ1356" t="str">
            <v>KEN</v>
          </cell>
        </row>
        <row r="1357">
          <cell r="E1357" t="str">
            <v>13</v>
          </cell>
          <cell r="J1357">
            <v>0</v>
          </cell>
          <cell r="K1357">
            <v>49556</v>
          </cell>
          <cell r="AL1357">
            <v>0</v>
          </cell>
          <cell r="BJ1357" t="str">
            <v>KEN</v>
          </cell>
        </row>
        <row r="1358">
          <cell r="E1358" t="str">
            <v>13</v>
          </cell>
          <cell r="J1358">
            <v>0</v>
          </cell>
          <cell r="K1358">
            <v>0</v>
          </cell>
          <cell r="AL1358">
            <v>0</v>
          </cell>
          <cell r="BJ1358" t="str">
            <v>KEN</v>
          </cell>
        </row>
        <row r="1359">
          <cell r="E1359" t="str">
            <v>13</v>
          </cell>
          <cell r="J1359">
            <v>0</v>
          </cell>
          <cell r="K1359">
            <v>0</v>
          </cell>
          <cell r="AL1359">
            <v>0</v>
          </cell>
          <cell r="BJ1359" t="str">
            <v>KEN</v>
          </cell>
        </row>
        <row r="1360">
          <cell r="E1360" t="str">
            <v>13</v>
          </cell>
          <cell r="J1360">
            <v>0</v>
          </cell>
          <cell r="K1360">
            <v>20850</v>
          </cell>
          <cell r="AL1360">
            <v>0</v>
          </cell>
          <cell r="BJ1360" t="str">
            <v>KEN</v>
          </cell>
        </row>
        <row r="1361">
          <cell r="E1361" t="str">
            <v>13</v>
          </cell>
          <cell r="J1361">
            <v>0</v>
          </cell>
          <cell r="K1361">
            <v>94962.840000000026</v>
          </cell>
          <cell r="AL1361">
            <v>0</v>
          </cell>
          <cell r="BJ1361" t="str">
            <v>KEN</v>
          </cell>
        </row>
        <row r="1362">
          <cell r="E1362" t="str">
            <v>13</v>
          </cell>
          <cell r="J1362">
            <v>0</v>
          </cell>
          <cell r="K1362">
            <v>0</v>
          </cell>
          <cell r="AL1362">
            <v>0</v>
          </cell>
          <cell r="BJ1362" t="str">
            <v>KEN</v>
          </cell>
        </row>
        <row r="1363">
          <cell r="E1363" t="str">
            <v>13</v>
          </cell>
          <cell r="J1363">
            <v>0</v>
          </cell>
          <cell r="K1363">
            <v>0</v>
          </cell>
          <cell r="AL1363">
            <v>0</v>
          </cell>
          <cell r="BJ1363" t="str">
            <v>KEN</v>
          </cell>
        </row>
        <row r="1364">
          <cell r="E1364" t="str">
            <v>13</v>
          </cell>
          <cell r="J1364">
            <v>0</v>
          </cell>
          <cell r="K1364">
            <v>0</v>
          </cell>
          <cell r="AL1364">
            <v>0</v>
          </cell>
          <cell r="BJ1364" t="str">
            <v>KEN</v>
          </cell>
        </row>
        <row r="1365">
          <cell r="E1365" t="str">
            <v>13</v>
          </cell>
          <cell r="J1365">
            <v>0</v>
          </cell>
          <cell r="K1365">
            <v>0</v>
          </cell>
          <cell r="AL1365">
            <v>0</v>
          </cell>
          <cell r="BJ1365" t="str">
            <v>KEN</v>
          </cell>
        </row>
        <row r="1366">
          <cell r="E1366" t="str">
            <v>13</v>
          </cell>
          <cell r="J1366">
            <v>0</v>
          </cell>
          <cell r="K1366">
            <v>0</v>
          </cell>
          <cell r="AL1366">
            <v>0</v>
          </cell>
          <cell r="BJ1366" t="str">
            <v>KEN</v>
          </cell>
        </row>
        <row r="1367">
          <cell r="E1367" t="str">
            <v>13</v>
          </cell>
          <cell r="J1367">
            <v>0</v>
          </cell>
          <cell r="K1367">
            <v>0</v>
          </cell>
          <cell r="AL1367">
            <v>0</v>
          </cell>
          <cell r="BJ1367" t="str">
            <v>KEN</v>
          </cell>
        </row>
        <row r="1368">
          <cell r="E1368" t="str">
            <v>13</v>
          </cell>
          <cell r="J1368">
            <v>0</v>
          </cell>
          <cell r="K1368">
            <v>0</v>
          </cell>
          <cell r="AL1368">
            <v>0</v>
          </cell>
          <cell r="BJ1368" t="str">
            <v>KEN</v>
          </cell>
        </row>
        <row r="1369">
          <cell r="E1369" t="str">
            <v>13</v>
          </cell>
          <cell r="J1369">
            <v>0</v>
          </cell>
          <cell r="K1369">
            <v>86166.670000000042</v>
          </cell>
          <cell r="AL1369">
            <v>0</v>
          </cell>
          <cell r="BJ1369" t="str">
            <v>KEN</v>
          </cell>
        </row>
        <row r="1370">
          <cell r="E1370" t="str">
            <v>13</v>
          </cell>
          <cell r="J1370">
            <v>0</v>
          </cell>
          <cell r="K1370">
            <v>0</v>
          </cell>
          <cell r="AL1370">
            <v>0</v>
          </cell>
          <cell r="BJ1370" t="str">
            <v>KEN</v>
          </cell>
        </row>
        <row r="1371">
          <cell r="E1371" t="str">
            <v>13</v>
          </cell>
          <cell r="J1371">
            <v>0</v>
          </cell>
          <cell r="K1371">
            <v>2283341.0099999942</v>
          </cell>
          <cell r="AL1371">
            <v>0</v>
          </cell>
          <cell r="BJ1371" t="str">
            <v>KEN</v>
          </cell>
        </row>
        <row r="1372">
          <cell r="E1372" t="str">
            <v>13</v>
          </cell>
          <cell r="J1372">
            <v>0</v>
          </cell>
          <cell r="K1372">
            <v>0</v>
          </cell>
          <cell r="AL1372">
            <v>0</v>
          </cell>
          <cell r="BJ1372" t="str">
            <v>KEN</v>
          </cell>
        </row>
        <row r="1373">
          <cell r="E1373" t="str">
            <v>13</v>
          </cell>
          <cell r="J1373">
            <v>0</v>
          </cell>
          <cell r="K1373">
            <v>0</v>
          </cell>
          <cell r="AL1373">
            <v>0</v>
          </cell>
          <cell r="BJ1373" t="str">
            <v>KEN</v>
          </cell>
        </row>
        <row r="1374">
          <cell r="E1374" t="str">
            <v>13</v>
          </cell>
          <cell r="J1374">
            <v>0</v>
          </cell>
          <cell r="K1374">
            <v>368820</v>
          </cell>
          <cell r="AL1374">
            <v>0</v>
          </cell>
          <cell r="BJ1374" t="str">
            <v>KEN</v>
          </cell>
        </row>
        <row r="1375">
          <cell r="E1375" t="str">
            <v>13</v>
          </cell>
          <cell r="J1375">
            <v>0</v>
          </cell>
          <cell r="K1375">
            <v>126480</v>
          </cell>
          <cell r="AL1375">
            <v>0</v>
          </cell>
          <cell r="BJ1375" t="str">
            <v>KEN</v>
          </cell>
        </row>
        <row r="1376">
          <cell r="E1376" t="str">
            <v>13</v>
          </cell>
          <cell r="J1376">
            <v>0</v>
          </cell>
          <cell r="K1376">
            <v>37334</v>
          </cell>
          <cell r="AL1376">
            <v>0</v>
          </cell>
          <cell r="BJ1376" t="str">
            <v>KEN</v>
          </cell>
        </row>
        <row r="1377">
          <cell r="E1377" t="str">
            <v>13</v>
          </cell>
          <cell r="J1377">
            <v>0</v>
          </cell>
          <cell r="K1377">
            <v>83750</v>
          </cell>
          <cell r="AL1377">
            <v>0</v>
          </cell>
          <cell r="BJ1377" t="str">
            <v>KEN</v>
          </cell>
        </row>
        <row r="1378">
          <cell r="E1378" t="str">
            <v>13</v>
          </cell>
          <cell r="J1378">
            <v>0</v>
          </cell>
          <cell r="K1378">
            <v>145075</v>
          </cell>
          <cell r="AL1378">
            <v>0</v>
          </cell>
          <cell r="BJ1378" t="str">
            <v>KEN</v>
          </cell>
        </row>
        <row r="1379">
          <cell r="E1379" t="str">
            <v>13</v>
          </cell>
          <cell r="J1379">
            <v>0</v>
          </cell>
          <cell r="K1379">
            <v>0</v>
          </cell>
          <cell r="AL1379">
            <v>0</v>
          </cell>
          <cell r="BJ1379" t="str">
            <v>KEN</v>
          </cell>
        </row>
        <row r="1380">
          <cell r="E1380" t="str">
            <v>13</v>
          </cell>
          <cell r="J1380">
            <v>0</v>
          </cell>
          <cell r="K1380">
            <v>31024</v>
          </cell>
          <cell r="AL1380">
            <v>0</v>
          </cell>
          <cell r="BJ1380" t="str">
            <v>KEN</v>
          </cell>
        </row>
        <row r="1381">
          <cell r="E1381" t="str">
            <v>13</v>
          </cell>
          <cell r="J1381">
            <v>0</v>
          </cell>
          <cell r="K1381">
            <v>1084611.5700000003</v>
          </cell>
          <cell r="AL1381">
            <v>0</v>
          </cell>
          <cell r="BJ1381" t="str">
            <v>KEN</v>
          </cell>
        </row>
        <row r="1382">
          <cell r="E1382" t="str">
            <v>13</v>
          </cell>
          <cell r="J1382">
            <v>0</v>
          </cell>
          <cell r="K1382">
            <v>0</v>
          </cell>
          <cell r="AL1382">
            <v>0</v>
          </cell>
          <cell r="BJ1382" t="str">
            <v>KEN</v>
          </cell>
        </row>
        <row r="1383">
          <cell r="E1383" t="str">
            <v>13</v>
          </cell>
          <cell r="J1383">
            <v>0</v>
          </cell>
          <cell r="K1383">
            <v>3995389.049999997</v>
          </cell>
          <cell r="AL1383">
            <v>0</v>
          </cell>
          <cell r="BJ1383" t="str">
            <v>KEN</v>
          </cell>
        </row>
        <row r="1384">
          <cell r="E1384" t="str">
            <v>13</v>
          </cell>
          <cell r="J1384">
            <v>0</v>
          </cell>
          <cell r="K1384">
            <v>0</v>
          </cell>
          <cell r="AL1384">
            <v>0</v>
          </cell>
          <cell r="BJ1384" t="str">
            <v>KEN</v>
          </cell>
        </row>
        <row r="1385">
          <cell r="E1385" t="str">
            <v>13</v>
          </cell>
          <cell r="J1385">
            <v>0</v>
          </cell>
          <cell r="K1385">
            <v>0</v>
          </cell>
          <cell r="AL1385">
            <v>0</v>
          </cell>
          <cell r="BJ1385" t="str">
            <v>KEN</v>
          </cell>
        </row>
        <row r="1386">
          <cell r="E1386" t="str">
            <v>13</v>
          </cell>
          <cell r="J1386">
            <v>0</v>
          </cell>
          <cell r="K1386">
            <v>0</v>
          </cell>
          <cell r="AL1386">
            <v>0</v>
          </cell>
          <cell r="BJ1386" t="str">
            <v>KEN</v>
          </cell>
        </row>
        <row r="1387">
          <cell r="E1387" t="str">
            <v>13</v>
          </cell>
          <cell r="J1387">
            <v>0</v>
          </cell>
          <cell r="K1387">
            <v>0</v>
          </cell>
          <cell r="AL1387">
            <v>0</v>
          </cell>
          <cell r="BJ1387" t="str">
            <v>KEN</v>
          </cell>
        </row>
        <row r="1388">
          <cell r="E1388" t="str">
            <v>13</v>
          </cell>
          <cell r="J1388">
            <v>0</v>
          </cell>
          <cell r="K1388">
            <v>54656.979999999981</v>
          </cell>
          <cell r="AL1388">
            <v>0</v>
          </cell>
          <cell r="BJ1388" t="str">
            <v>KEN</v>
          </cell>
        </row>
        <row r="1389">
          <cell r="E1389" t="str">
            <v>13</v>
          </cell>
          <cell r="J1389">
            <v>0</v>
          </cell>
          <cell r="K1389">
            <v>1000</v>
          </cell>
          <cell r="AL1389">
            <v>0</v>
          </cell>
          <cell r="BJ1389" t="str">
            <v>KEN</v>
          </cell>
        </row>
        <row r="1390">
          <cell r="E1390" t="str">
            <v>13</v>
          </cell>
          <cell r="J1390">
            <v>0</v>
          </cell>
          <cell r="K1390">
            <v>133720</v>
          </cell>
          <cell r="AL1390">
            <v>0</v>
          </cell>
          <cell r="BJ1390" t="str">
            <v>KEN</v>
          </cell>
        </row>
        <row r="1391">
          <cell r="E1391" t="str">
            <v>13</v>
          </cell>
          <cell r="J1391">
            <v>0</v>
          </cell>
          <cell r="K1391">
            <v>152180</v>
          </cell>
          <cell r="AL1391">
            <v>0</v>
          </cell>
          <cell r="BJ1391" t="str">
            <v>KEN</v>
          </cell>
        </row>
        <row r="1392">
          <cell r="E1392" t="str">
            <v>13</v>
          </cell>
          <cell r="J1392">
            <v>0</v>
          </cell>
          <cell r="K1392">
            <v>0</v>
          </cell>
          <cell r="AL1392">
            <v>0</v>
          </cell>
          <cell r="BJ1392" t="str">
            <v>KEN</v>
          </cell>
        </row>
        <row r="1393">
          <cell r="E1393" t="str">
            <v>13</v>
          </cell>
          <cell r="J1393">
            <v>0</v>
          </cell>
          <cell r="K1393">
            <v>158600</v>
          </cell>
          <cell r="AL1393">
            <v>0</v>
          </cell>
          <cell r="BJ1393" t="str">
            <v>KEN</v>
          </cell>
        </row>
        <row r="1394">
          <cell r="E1394" t="str">
            <v>13</v>
          </cell>
          <cell r="J1394">
            <v>0</v>
          </cell>
          <cell r="K1394">
            <v>110960</v>
          </cell>
          <cell r="AL1394">
            <v>0</v>
          </cell>
          <cell r="BJ1394" t="str">
            <v>KEN</v>
          </cell>
        </row>
        <row r="1395">
          <cell r="E1395" t="str">
            <v>13</v>
          </cell>
          <cell r="J1395">
            <v>0</v>
          </cell>
          <cell r="K1395">
            <v>0</v>
          </cell>
          <cell r="AL1395">
            <v>0</v>
          </cell>
          <cell r="BJ1395" t="str">
            <v>KEN</v>
          </cell>
        </row>
        <row r="1396">
          <cell r="E1396" t="str">
            <v>11</v>
          </cell>
          <cell r="J1396">
            <v>0</v>
          </cell>
          <cell r="K1396">
            <v>0</v>
          </cell>
          <cell r="AL1396">
            <v>0</v>
          </cell>
          <cell r="BJ1396" t="str">
            <v>KEN</v>
          </cell>
        </row>
        <row r="1397">
          <cell r="E1397" t="str">
            <v>13</v>
          </cell>
          <cell r="J1397">
            <v>0</v>
          </cell>
          <cell r="K1397">
            <v>0</v>
          </cell>
          <cell r="AL1397">
            <v>0</v>
          </cell>
          <cell r="BJ1397" t="str">
            <v>KEN</v>
          </cell>
        </row>
        <row r="1398">
          <cell r="E1398" t="str">
            <v>11</v>
          </cell>
          <cell r="J1398">
            <v>0</v>
          </cell>
          <cell r="K1398">
            <v>0</v>
          </cell>
          <cell r="AL1398">
            <v>0</v>
          </cell>
          <cell r="BJ1398" t="str">
            <v>KEN</v>
          </cell>
        </row>
        <row r="1399">
          <cell r="E1399" t="str">
            <v>13</v>
          </cell>
          <cell r="J1399">
            <v>0</v>
          </cell>
          <cell r="K1399">
            <v>364016.80999999959</v>
          </cell>
          <cell r="AL1399">
            <v>0</v>
          </cell>
          <cell r="BJ1399" t="str">
            <v>KEN</v>
          </cell>
        </row>
        <row r="1400">
          <cell r="E1400" t="str">
            <v>11</v>
          </cell>
          <cell r="J1400">
            <v>0</v>
          </cell>
          <cell r="K1400">
            <v>0</v>
          </cell>
          <cell r="AL1400">
            <v>0</v>
          </cell>
          <cell r="BJ1400" t="str">
            <v>KEN</v>
          </cell>
        </row>
        <row r="1401">
          <cell r="E1401" t="str">
            <v>13</v>
          </cell>
          <cell r="J1401">
            <v>0</v>
          </cell>
          <cell r="K1401">
            <v>0</v>
          </cell>
          <cell r="AL1401">
            <v>0</v>
          </cell>
          <cell r="BJ1401" t="str">
            <v>KEN</v>
          </cell>
        </row>
        <row r="1402">
          <cell r="E1402" t="str">
            <v>13</v>
          </cell>
          <cell r="J1402">
            <v>0</v>
          </cell>
          <cell r="K1402">
            <v>0</v>
          </cell>
          <cell r="AL1402">
            <v>0</v>
          </cell>
          <cell r="BJ1402" t="str">
            <v>KEN</v>
          </cell>
        </row>
        <row r="1403">
          <cell r="E1403" t="str">
            <v>13</v>
          </cell>
          <cell r="J1403">
            <v>0</v>
          </cell>
          <cell r="K1403">
            <v>0</v>
          </cell>
          <cell r="AL1403">
            <v>0</v>
          </cell>
          <cell r="BJ1403" t="str">
            <v>KEN</v>
          </cell>
        </row>
        <row r="1404">
          <cell r="E1404" t="str">
            <v>13</v>
          </cell>
          <cell r="J1404">
            <v>0</v>
          </cell>
          <cell r="K1404">
            <v>0</v>
          </cell>
          <cell r="AL1404">
            <v>0</v>
          </cell>
          <cell r="BJ1404" t="str">
            <v>KEN</v>
          </cell>
        </row>
        <row r="1405">
          <cell r="E1405" t="str">
            <v>20</v>
          </cell>
          <cell r="J1405">
            <v>83695500</v>
          </cell>
          <cell r="K1405">
            <v>0</v>
          </cell>
          <cell r="AL1405">
            <v>0</v>
          </cell>
          <cell r="BJ1405" t="str">
            <v>KEN</v>
          </cell>
        </row>
        <row r="1406">
          <cell r="E1406" t="str">
            <v>20</v>
          </cell>
          <cell r="J1406">
            <v>0</v>
          </cell>
          <cell r="K1406">
            <v>0</v>
          </cell>
          <cell r="AL1406">
            <v>0</v>
          </cell>
          <cell r="BJ1406" t="str">
            <v>KEN</v>
          </cell>
        </row>
        <row r="1407">
          <cell r="E1407" t="str">
            <v>21</v>
          </cell>
          <cell r="J1407">
            <v>0</v>
          </cell>
          <cell r="K1407">
            <v>0</v>
          </cell>
          <cell r="AL1407">
            <v>0</v>
          </cell>
          <cell r="BJ1407" t="str">
            <v>KEN</v>
          </cell>
        </row>
        <row r="1408">
          <cell r="E1408" t="str">
            <v>24</v>
          </cell>
          <cell r="J1408">
            <v>0</v>
          </cell>
          <cell r="K1408">
            <v>0</v>
          </cell>
          <cell r="AL1408">
            <v>0</v>
          </cell>
          <cell r="BJ1408" t="str">
            <v>KEN</v>
          </cell>
        </row>
        <row r="1409">
          <cell r="E1409" t="str">
            <v>24</v>
          </cell>
          <cell r="J1409">
            <v>0</v>
          </cell>
          <cell r="K1409">
            <v>0</v>
          </cell>
          <cell r="AL1409">
            <v>0</v>
          </cell>
          <cell r="BJ1409" t="str">
            <v>KEN</v>
          </cell>
        </row>
        <row r="1410">
          <cell r="E1410" t="str">
            <v>24</v>
          </cell>
          <cell r="J1410">
            <v>0</v>
          </cell>
          <cell r="K1410">
            <v>0</v>
          </cell>
          <cell r="AL1410">
            <v>0</v>
          </cell>
          <cell r="BJ1410" t="str">
            <v>KEN</v>
          </cell>
        </row>
        <row r="1411">
          <cell r="E1411" t="str">
            <v>24</v>
          </cell>
          <cell r="J1411">
            <v>0</v>
          </cell>
          <cell r="K1411">
            <v>0</v>
          </cell>
          <cell r="AL1411">
            <v>0</v>
          </cell>
          <cell r="BJ1411" t="str">
            <v>KEN</v>
          </cell>
        </row>
        <row r="1412">
          <cell r="E1412" t="str">
            <v>24</v>
          </cell>
          <cell r="J1412">
            <v>0</v>
          </cell>
          <cell r="K1412">
            <v>0</v>
          </cell>
          <cell r="AL1412">
            <v>0</v>
          </cell>
          <cell r="BJ1412" t="str">
            <v>KEN</v>
          </cell>
        </row>
        <row r="1413">
          <cell r="E1413" t="str">
            <v>24</v>
          </cell>
          <cell r="J1413">
            <v>0</v>
          </cell>
          <cell r="K1413">
            <v>0</v>
          </cell>
          <cell r="AL1413">
            <v>0</v>
          </cell>
          <cell r="BJ1413" t="str">
            <v>KEN</v>
          </cell>
        </row>
        <row r="1414">
          <cell r="E1414" t="str">
            <v>24</v>
          </cell>
          <cell r="J1414">
            <v>0</v>
          </cell>
          <cell r="K1414">
            <v>0</v>
          </cell>
          <cell r="AL1414">
            <v>0</v>
          </cell>
          <cell r="BJ1414" t="str">
            <v>KEN</v>
          </cell>
        </row>
        <row r="1415">
          <cell r="E1415" t="str">
            <v>24</v>
          </cell>
          <cell r="J1415">
            <v>0</v>
          </cell>
          <cell r="K1415">
            <v>0</v>
          </cell>
          <cell r="AL1415">
            <v>0</v>
          </cell>
          <cell r="BJ1415" t="str">
            <v>KEN</v>
          </cell>
        </row>
        <row r="1416">
          <cell r="E1416" t="str">
            <v>24</v>
          </cell>
          <cell r="J1416">
            <v>0</v>
          </cell>
          <cell r="K1416">
            <v>0</v>
          </cell>
          <cell r="AL1416">
            <v>0</v>
          </cell>
          <cell r="BJ1416" t="str">
            <v>KEN</v>
          </cell>
        </row>
        <row r="1417">
          <cell r="E1417" t="str">
            <v>24</v>
          </cell>
          <cell r="J1417">
            <v>0</v>
          </cell>
          <cell r="K1417">
            <v>0</v>
          </cell>
          <cell r="AL1417">
            <v>0</v>
          </cell>
          <cell r="BJ1417" t="str">
            <v>KEN</v>
          </cell>
        </row>
        <row r="1418">
          <cell r="E1418" t="str">
            <v>24</v>
          </cell>
          <cell r="J1418">
            <v>0</v>
          </cell>
          <cell r="K1418">
            <v>0</v>
          </cell>
          <cell r="AL1418">
            <v>0</v>
          </cell>
          <cell r="BJ1418" t="str">
            <v>KEN</v>
          </cell>
        </row>
        <row r="1419">
          <cell r="E1419" t="str">
            <v>24</v>
          </cell>
          <cell r="J1419">
            <v>0</v>
          </cell>
          <cell r="K1419">
            <v>0</v>
          </cell>
          <cell r="AL1419">
            <v>0</v>
          </cell>
          <cell r="BJ1419" t="str">
            <v>KEN</v>
          </cell>
        </row>
        <row r="1420">
          <cell r="E1420" t="str">
            <v>24</v>
          </cell>
          <cell r="J1420">
            <v>0</v>
          </cell>
          <cell r="K1420">
            <v>0</v>
          </cell>
          <cell r="AL1420">
            <v>0</v>
          </cell>
          <cell r="BJ1420" t="str">
            <v>KEN</v>
          </cell>
        </row>
        <row r="1421">
          <cell r="E1421" t="str">
            <v>24</v>
          </cell>
          <cell r="J1421">
            <v>0</v>
          </cell>
          <cell r="K1421">
            <v>0</v>
          </cell>
          <cell r="AL1421">
            <v>0</v>
          </cell>
          <cell r="BJ1421" t="str">
            <v>KEN</v>
          </cell>
        </row>
        <row r="1422">
          <cell r="E1422" t="str">
            <v>24</v>
          </cell>
          <cell r="J1422">
            <v>3503283.5199999977</v>
          </cell>
          <cell r="K1422">
            <v>-158941.15999999922</v>
          </cell>
          <cell r="AL1422">
            <v>0</v>
          </cell>
          <cell r="BJ1422" t="str">
            <v>KEN</v>
          </cell>
        </row>
        <row r="1423">
          <cell r="E1423" t="str">
            <v>24</v>
          </cell>
          <cell r="J1423">
            <v>0</v>
          </cell>
          <cell r="K1423">
            <v>0</v>
          </cell>
          <cell r="AL1423">
            <v>0</v>
          </cell>
          <cell r="BJ1423" t="str">
            <v>KEN</v>
          </cell>
        </row>
        <row r="1424">
          <cell r="E1424" t="str">
            <v>24</v>
          </cell>
          <cell r="J1424">
            <v>0</v>
          </cell>
          <cell r="K1424">
            <v>0</v>
          </cell>
          <cell r="AL1424">
            <v>0</v>
          </cell>
          <cell r="BJ1424" t="str">
            <v>KEN</v>
          </cell>
        </row>
        <row r="1425">
          <cell r="E1425" t="str">
            <v>24</v>
          </cell>
          <cell r="J1425">
            <v>0</v>
          </cell>
          <cell r="K1425">
            <v>0</v>
          </cell>
          <cell r="AL1425">
            <v>0</v>
          </cell>
          <cell r="BJ1425" t="str">
            <v>KEN</v>
          </cell>
        </row>
        <row r="1426">
          <cell r="E1426" t="str">
            <v>24</v>
          </cell>
          <cell r="J1426">
            <v>0</v>
          </cell>
          <cell r="K1426">
            <v>0</v>
          </cell>
          <cell r="AL1426">
            <v>0</v>
          </cell>
          <cell r="BJ1426" t="str">
            <v>KEN</v>
          </cell>
        </row>
        <row r="1427">
          <cell r="E1427" t="str">
            <v>24</v>
          </cell>
          <cell r="J1427">
            <v>0</v>
          </cell>
          <cell r="K1427">
            <v>0</v>
          </cell>
          <cell r="AL1427">
            <v>0</v>
          </cell>
          <cell r="BJ1427" t="str">
            <v>KEN</v>
          </cell>
        </row>
        <row r="1428">
          <cell r="E1428" t="str">
            <v>24</v>
          </cell>
          <cell r="J1428">
            <v>176783042.43000001</v>
          </cell>
          <cell r="K1428">
            <v>3808574.3899999857</v>
          </cell>
          <cell r="AL1428">
            <v>0</v>
          </cell>
          <cell r="BJ1428" t="str">
            <v>KEN</v>
          </cell>
        </row>
        <row r="1429">
          <cell r="E1429" t="str">
            <v>24</v>
          </cell>
          <cell r="J1429">
            <v>59605424.280000001</v>
          </cell>
          <cell r="K1429">
            <v>0</v>
          </cell>
          <cell r="AL1429">
            <v>0</v>
          </cell>
          <cell r="BJ1429" t="str">
            <v>KEN</v>
          </cell>
        </row>
        <row r="1430">
          <cell r="E1430" t="str">
            <v>24</v>
          </cell>
          <cell r="J1430">
            <v>0</v>
          </cell>
          <cell r="K1430">
            <v>0</v>
          </cell>
          <cell r="AL1430">
            <v>0</v>
          </cell>
          <cell r="BJ1430" t="str">
            <v>KEN</v>
          </cell>
        </row>
        <row r="1431">
          <cell r="E1431" t="str">
            <v>24</v>
          </cell>
          <cell r="J1431">
            <v>0</v>
          </cell>
          <cell r="K1431">
            <v>0</v>
          </cell>
          <cell r="AL1431">
            <v>0</v>
          </cell>
          <cell r="BJ1431" t="str">
            <v>KEN</v>
          </cell>
        </row>
        <row r="1432">
          <cell r="E1432" t="str">
            <v>24</v>
          </cell>
          <cell r="J1432">
            <v>0</v>
          </cell>
          <cell r="K1432">
            <v>0</v>
          </cell>
          <cell r="AL1432">
            <v>0</v>
          </cell>
          <cell r="BJ1432" t="str">
            <v>KEN</v>
          </cell>
        </row>
        <row r="1433">
          <cell r="E1433" t="str">
            <v>24</v>
          </cell>
          <cell r="J1433">
            <v>0</v>
          </cell>
          <cell r="K1433">
            <v>0</v>
          </cell>
          <cell r="AL1433">
            <v>0</v>
          </cell>
          <cell r="BJ1433" t="str">
            <v>KEN</v>
          </cell>
        </row>
        <row r="1434">
          <cell r="E1434" t="str">
            <v>24</v>
          </cell>
          <cell r="J1434">
            <v>0</v>
          </cell>
          <cell r="K1434">
            <v>0</v>
          </cell>
          <cell r="AL1434">
            <v>0</v>
          </cell>
          <cell r="BJ1434" t="str">
            <v>KEN</v>
          </cell>
        </row>
        <row r="1435">
          <cell r="E1435" t="str">
            <v>24</v>
          </cell>
          <cell r="J1435">
            <v>0</v>
          </cell>
          <cell r="K1435">
            <v>0</v>
          </cell>
          <cell r="AL1435">
            <v>0</v>
          </cell>
          <cell r="BJ1435" t="str">
            <v>KEN</v>
          </cell>
        </row>
        <row r="1436">
          <cell r="E1436" t="str">
            <v>24</v>
          </cell>
          <cell r="J1436">
            <v>0</v>
          </cell>
          <cell r="K1436">
            <v>0</v>
          </cell>
          <cell r="AL1436">
            <v>0</v>
          </cell>
          <cell r="BJ1436" t="str">
            <v>KEN</v>
          </cell>
        </row>
        <row r="1437">
          <cell r="E1437" t="str">
            <v>24</v>
          </cell>
          <cell r="J1437">
            <v>0</v>
          </cell>
          <cell r="K1437">
            <v>0</v>
          </cell>
          <cell r="AL1437">
            <v>0</v>
          </cell>
          <cell r="BJ1437" t="str">
            <v>KEN</v>
          </cell>
        </row>
        <row r="1438">
          <cell r="E1438" t="str">
            <v>24</v>
          </cell>
          <cell r="J1438">
            <v>0</v>
          </cell>
          <cell r="K1438">
            <v>0</v>
          </cell>
          <cell r="AL1438">
            <v>0</v>
          </cell>
          <cell r="BJ1438" t="str">
            <v>KEN</v>
          </cell>
        </row>
        <row r="1439">
          <cell r="E1439" t="str">
            <v>24</v>
          </cell>
          <cell r="J1439">
            <v>0</v>
          </cell>
          <cell r="K1439">
            <v>0</v>
          </cell>
          <cell r="AL1439">
            <v>0</v>
          </cell>
          <cell r="BJ1439" t="str">
            <v>KEN</v>
          </cell>
        </row>
        <row r="1440">
          <cell r="E1440" t="str">
            <v>38</v>
          </cell>
          <cell r="J1440">
            <v>0</v>
          </cell>
          <cell r="K1440">
            <v>0</v>
          </cell>
          <cell r="AL1440">
            <v>0</v>
          </cell>
          <cell r="BJ1440" t="str">
            <v>KEN</v>
          </cell>
        </row>
        <row r="1441">
          <cell r="E1441" t="str">
            <v>38</v>
          </cell>
          <cell r="J1441">
            <v>0</v>
          </cell>
          <cell r="K1441">
            <v>0</v>
          </cell>
          <cell r="AL1441">
            <v>0</v>
          </cell>
          <cell r="BJ1441" t="str">
            <v>KEN</v>
          </cell>
        </row>
        <row r="1442">
          <cell r="E1442" t="str">
            <v>38</v>
          </cell>
          <cell r="J1442">
            <v>0</v>
          </cell>
          <cell r="K1442">
            <v>0</v>
          </cell>
          <cell r="AL1442">
            <v>0</v>
          </cell>
          <cell r="BJ1442" t="str">
            <v>KEN</v>
          </cell>
        </row>
        <row r="1443">
          <cell r="E1443" t="str">
            <v>38</v>
          </cell>
          <cell r="J1443">
            <v>0</v>
          </cell>
          <cell r="K1443">
            <v>0</v>
          </cell>
          <cell r="AL1443">
            <v>0</v>
          </cell>
          <cell r="BJ1443" t="str">
            <v>KEN</v>
          </cell>
        </row>
        <row r="1444">
          <cell r="E1444" t="str">
            <v>38</v>
          </cell>
          <cell r="J1444">
            <v>0</v>
          </cell>
          <cell r="K1444">
            <v>0</v>
          </cell>
          <cell r="AL1444">
            <v>0</v>
          </cell>
          <cell r="BJ1444" t="str">
            <v>KEN</v>
          </cell>
        </row>
        <row r="1445">
          <cell r="E1445" t="str">
            <v>38</v>
          </cell>
          <cell r="J1445">
            <v>0</v>
          </cell>
          <cell r="K1445">
            <v>0</v>
          </cell>
          <cell r="AL1445">
            <v>0</v>
          </cell>
          <cell r="BJ1445" t="str">
            <v>KEN</v>
          </cell>
        </row>
        <row r="1446">
          <cell r="E1446" t="str">
            <v>38</v>
          </cell>
          <cell r="J1446">
            <v>0</v>
          </cell>
          <cell r="K1446">
            <v>0</v>
          </cell>
          <cell r="AL1446">
            <v>0</v>
          </cell>
          <cell r="BJ1446" t="str">
            <v>KEN</v>
          </cell>
        </row>
        <row r="1447">
          <cell r="E1447" t="str">
            <v>38</v>
          </cell>
          <cell r="J1447">
            <v>0</v>
          </cell>
          <cell r="K1447">
            <v>0</v>
          </cell>
          <cell r="AL1447">
            <v>0</v>
          </cell>
          <cell r="BJ1447" t="str">
            <v>KEN</v>
          </cell>
        </row>
        <row r="1448">
          <cell r="E1448" t="str">
            <v>38</v>
          </cell>
          <cell r="J1448">
            <v>0</v>
          </cell>
          <cell r="K1448">
            <v>0</v>
          </cell>
          <cell r="AL1448">
            <v>0</v>
          </cell>
          <cell r="BJ1448" t="str">
            <v>KEN</v>
          </cell>
        </row>
        <row r="1449">
          <cell r="E1449" t="str">
            <v>38</v>
          </cell>
          <cell r="J1449">
            <v>0</v>
          </cell>
          <cell r="K1449">
            <v>0</v>
          </cell>
          <cell r="AL1449">
            <v>0</v>
          </cell>
          <cell r="BJ1449" t="str">
            <v>KEN</v>
          </cell>
        </row>
        <row r="1450">
          <cell r="E1450" t="str">
            <v>38</v>
          </cell>
          <cell r="J1450">
            <v>0</v>
          </cell>
          <cell r="K1450">
            <v>0</v>
          </cell>
          <cell r="AL1450">
            <v>0</v>
          </cell>
          <cell r="BJ1450" t="str">
            <v>KEN</v>
          </cell>
        </row>
        <row r="1451">
          <cell r="E1451" t="str">
            <v>38</v>
          </cell>
          <cell r="J1451">
            <v>0</v>
          </cell>
          <cell r="K1451">
            <v>0</v>
          </cell>
          <cell r="AL1451">
            <v>0</v>
          </cell>
          <cell r="BJ1451" t="str">
            <v>KEN</v>
          </cell>
        </row>
        <row r="1452">
          <cell r="E1452" t="str">
            <v>38</v>
          </cell>
          <cell r="J1452">
            <v>0</v>
          </cell>
          <cell r="K1452">
            <v>0</v>
          </cell>
          <cell r="AL1452">
            <v>0</v>
          </cell>
          <cell r="BJ1452" t="str">
            <v>KEN</v>
          </cell>
        </row>
        <row r="1453">
          <cell r="E1453" t="str">
            <v>38</v>
          </cell>
          <cell r="J1453">
            <v>0</v>
          </cell>
          <cell r="K1453">
            <v>0</v>
          </cell>
          <cell r="AL1453">
            <v>0</v>
          </cell>
          <cell r="BJ1453" t="str">
            <v>KEN</v>
          </cell>
        </row>
        <row r="1454">
          <cell r="E1454" t="str">
            <v>38</v>
          </cell>
          <cell r="J1454">
            <v>0</v>
          </cell>
          <cell r="K1454">
            <v>0</v>
          </cell>
          <cell r="AL1454">
            <v>0</v>
          </cell>
          <cell r="BJ1454" t="str">
            <v>KEN</v>
          </cell>
        </row>
        <row r="1455">
          <cell r="E1455" t="str">
            <v>38</v>
          </cell>
          <cell r="J1455">
            <v>0</v>
          </cell>
          <cell r="K1455">
            <v>0</v>
          </cell>
          <cell r="AL1455">
            <v>0</v>
          </cell>
          <cell r="BJ1455" t="str">
            <v>KEN</v>
          </cell>
        </row>
        <row r="1456">
          <cell r="E1456" t="str">
            <v>38</v>
          </cell>
          <cell r="J1456">
            <v>0</v>
          </cell>
          <cell r="K1456">
            <v>0</v>
          </cell>
          <cell r="AL1456">
            <v>0</v>
          </cell>
          <cell r="BJ1456" t="str">
            <v>KEN</v>
          </cell>
        </row>
        <row r="1457">
          <cell r="E1457" t="str">
            <v>38</v>
          </cell>
          <cell r="J1457">
            <v>0</v>
          </cell>
          <cell r="K1457">
            <v>0</v>
          </cell>
          <cell r="AL1457">
            <v>0</v>
          </cell>
          <cell r="BJ1457" t="str">
            <v>KEN</v>
          </cell>
        </row>
        <row r="1458">
          <cell r="E1458" t="str">
            <v>38</v>
          </cell>
          <cell r="J1458">
            <v>0</v>
          </cell>
          <cell r="K1458">
            <v>0</v>
          </cell>
          <cell r="AL1458">
            <v>0</v>
          </cell>
          <cell r="BJ1458" t="str">
            <v>KEN</v>
          </cell>
        </row>
        <row r="1459">
          <cell r="E1459" t="str">
            <v>38</v>
          </cell>
          <cell r="J1459">
            <v>0</v>
          </cell>
          <cell r="K1459">
            <v>0</v>
          </cell>
          <cell r="AL1459">
            <v>0</v>
          </cell>
          <cell r="BJ1459" t="str">
            <v>KEN</v>
          </cell>
        </row>
        <row r="1460">
          <cell r="E1460" t="str">
            <v>38</v>
          </cell>
          <cell r="J1460">
            <v>0</v>
          </cell>
          <cell r="K1460">
            <v>0</v>
          </cell>
          <cell r="AL1460">
            <v>0</v>
          </cell>
          <cell r="BJ1460" t="str">
            <v>KEN</v>
          </cell>
        </row>
        <row r="1461">
          <cell r="E1461" t="str">
            <v>38</v>
          </cell>
          <cell r="J1461">
            <v>0</v>
          </cell>
          <cell r="K1461">
            <v>0</v>
          </cell>
          <cell r="AL1461">
            <v>0</v>
          </cell>
          <cell r="BJ1461" t="str">
            <v>KEN</v>
          </cell>
        </row>
        <row r="1462">
          <cell r="E1462" t="str">
            <v>38</v>
          </cell>
          <cell r="J1462">
            <v>0</v>
          </cell>
          <cell r="K1462">
            <v>0</v>
          </cell>
          <cell r="AL1462">
            <v>0</v>
          </cell>
          <cell r="BJ1462" t="str">
            <v>KEN</v>
          </cell>
        </row>
        <row r="1463">
          <cell r="E1463" t="str">
            <v>38</v>
          </cell>
          <cell r="J1463">
            <v>0</v>
          </cell>
          <cell r="K1463">
            <v>0</v>
          </cell>
          <cell r="AL1463">
            <v>0</v>
          </cell>
          <cell r="BJ1463" t="str">
            <v>KEN</v>
          </cell>
        </row>
        <row r="1464">
          <cell r="E1464" t="str">
            <v>38</v>
          </cell>
          <cell r="J1464">
            <v>0</v>
          </cell>
          <cell r="K1464">
            <v>0</v>
          </cell>
          <cell r="AL1464">
            <v>0</v>
          </cell>
          <cell r="BJ1464" t="str">
            <v>KEN</v>
          </cell>
        </row>
        <row r="1465">
          <cell r="E1465" t="str">
            <v>38</v>
          </cell>
          <cell r="J1465">
            <v>0</v>
          </cell>
          <cell r="K1465">
            <v>0</v>
          </cell>
          <cell r="AL1465">
            <v>0</v>
          </cell>
          <cell r="BJ1465" t="str">
            <v>KEN</v>
          </cell>
        </row>
        <row r="1466">
          <cell r="E1466" t="str">
            <v>38</v>
          </cell>
          <cell r="J1466">
            <v>0</v>
          </cell>
          <cell r="K1466">
            <v>0</v>
          </cell>
          <cell r="AL1466">
            <v>0</v>
          </cell>
          <cell r="BJ1466" t="str">
            <v>KEN</v>
          </cell>
        </row>
        <row r="1467">
          <cell r="E1467" t="str">
            <v>38</v>
          </cell>
          <cell r="J1467">
            <v>0</v>
          </cell>
          <cell r="K1467">
            <v>0</v>
          </cell>
          <cell r="AL1467">
            <v>0</v>
          </cell>
          <cell r="BJ1467" t="str">
            <v>KEN</v>
          </cell>
        </row>
        <row r="1468">
          <cell r="E1468" t="str">
            <v>38</v>
          </cell>
          <cell r="J1468">
            <v>0</v>
          </cell>
          <cell r="K1468">
            <v>0</v>
          </cell>
          <cell r="AL1468">
            <v>0</v>
          </cell>
          <cell r="BJ1468" t="str">
            <v>KEN</v>
          </cell>
        </row>
        <row r="1469">
          <cell r="E1469" t="str">
            <v>35</v>
          </cell>
          <cell r="J1469">
            <v>0</v>
          </cell>
          <cell r="K1469">
            <v>0</v>
          </cell>
          <cell r="AL1469">
            <v>0</v>
          </cell>
          <cell r="BJ1469" t="str">
            <v>KEN</v>
          </cell>
        </row>
        <row r="1470">
          <cell r="E1470" t="str">
            <v>35</v>
          </cell>
          <cell r="J1470">
            <v>0</v>
          </cell>
          <cell r="K1470">
            <v>0</v>
          </cell>
          <cell r="AL1470">
            <v>0</v>
          </cell>
          <cell r="BJ1470" t="str">
            <v>KEN</v>
          </cell>
        </row>
        <row r="1471">
          <cell r="E1471" t="str">
            <v>35</v>
          </cell>
          <cell r="J1471">
            <v>2684424.09</v>
          </cell>
          <cell r="K1471">
            <v>0</v>
          </cell>
          <cell r="AL1471">
            <v>0</v>
          </cell>
          <cell r="BJ1471" t="str">
            <v>KEN</v>
          </cell>
        </row>
        <row r="1472">
          <cell r="E1472" t="str">
            <v>35</v>
          </cell>
          <cell r="J1472">
            <v>-406856.98</v>
          </cell>
          <cell r="K1472">
            <v>-45598.44</v>
          </cell>
          <cell r="AL1472">
            <v>0</v>
          </cell>
          <cell r="BJ1472" t="str">
            <v>KEN</v>
          </cell>
        </row>
        <row r="1473">
          <cell r="E1473" t="str">
            <v>35</v>
          </cell>
          <cell r="J1473">
            <v>6126743.6699999999</v>
          </cell>
          <cell r="K1473">
            <v>403450</v>
          </cell>
          <cell r="AL1473">
            <v>0</v>
          </cell>
          <cell r="BJ1473" t="str">
            <v>KEN</v>
          </cell>
        </row>
        <row r="1474">
          <cell r="E1474" t="str">
            <v>35</v>
          </cell>
          <cell r="J1474">
            <v>-880237.77000000014</v>
          </cell>
          <cell r="K1474">
            <v>-79391.410000000033</v>
          </cell>
          <cell r="AL1474">
            <v>0</v>
          </cell>
          <cell r="BJ1474" t="str">
            <v>KEN</v>
          </cell>
        </row>
        <row r="1475">
          <cell r="E1475" t="str">
            <v>35</v>
          </cell>
          <cell r="J1475">
            <v>6739150</v>
          </cell>
          <cell r="K1475">
            <v>0</v>
          </cell>
          <cell r="AL1475">
            <v>0</v>
          </cell>
          <cell r="BJ1475" t="str">
            <v>KEN</v>
          </cell>
        </row>
        <row r="1476">
          <cell r="E1476" t="str">
            <v>35</v>
          </cell>
          <cell r="J1476">
            <v>-1234050.8599999999</v>
          </cell>
          <cell r="K1476">
            <v>-171709.85000000009</v>
          </cell>
          <cell r="AL1476">
            <v>0</v>
          </cell>
          <cell r="BJ1476" t="str">
            <v>KEN</v>
          </cell>
        </row>
        <row r="1477">
          <cell r="E1477" t="str">
            <v>35</v>
          </cell>
          <cell r="J1477">
            <v>1248431.97</v>
          </cell>
          <cell r="K1477">
            <v>0</v>
          </cell>
          <cell r="AL1477">
            <v>0</v>
          </cell>
          <cell r="BJ1477" t="str">
            <v>KEN</v>
          </cell>
        </row>
        <row r="1478">
          <cell r="E1478" t="str">
            <v>35</v>
          </cell>
          <cell r="J1478">
            <v>-352598.95</v>
          </cell>
          <cell r="K1478">
            <v>-34990.31</v>
          </cell>
          <cell r="AL1478">
            <v>0</v>
          </cell>
          <cell r="BJ1478" t="str">
            <v>KEN</v>
          </cell>
        </row>
        <row r="1479">
          <cell r="E1479" t="str">
            <v>35</v>
          </cell>
          <cell r="J1479">
            <v>459379.76</v>
          </cell>
          <cell r="K1479">
            <v>0</v>
          </cell>
          <cell r="AL1479">
            <v>0</v>
          </cell>
          <cell r="BJ1479" t="str">
            <v>KEN</v>
          </cell>
        </row>
        <row r="1480">
          <cell r="E1480" t="str">
            <v>35</v>
          </cell>
          <cell r="J1480">
            <v>-65859.739999999991</v>
          </cell>
          <cell r="K1480">
            <v>-11704.740000000005</v>
          </cell>
          <cell r="AL1480">
            <v>0</v>
          </cell>
          <cell r="BJ1480" t="str">
            <v>KEN</v>
          </cell>
        </row>
        <row r="1481">
          <cell r="E1481" t="str">
            <v>35</v>
          </cell>
          <cell r="J1481">
            <v>0</v>
          </cell>
          <cell r="K1481">
            <v>0</v>
          </cell>
          <cell r="AL1481">
            <v>0</v>
          </cell>
          <cell r="BJ1481" t="str">
            <v>KEN</v>
          </cell>
        </row>
        <row r="1482">
          <cell r="E1482" t="str">
            <v>35</v>
          </cell>
          <cell r="J1482">
            <v>0</v>
          </cell>
          <cell r="K1482">
            <v>0</v>
          </cell>
          <cell r="AL1482">
            <v>0</v>
          </cell>
          <cell r="BJ1482" t="str">
            <v>KEN</v>
          </cell>
        </row>
        <row r="1483">
          <cell r="E1483" t="str">
            <v>47</v>
          </cell>
          <cell r="J1483">
            <v>2334524.959999999</v>
          </cell>
          <cell r="K1483">
            <v>1058304.9299999997</v>
          </cell>
          <cell r="AL1483">
            <v>0</v>
          </cell>
          <cell r="BJ1483" t="str">
            <v>KEN</v>
          </cell>
        </row>
        <row r="1484">
          <cell r="E1484" t="str">
            <v>46</v>
          </cell>
          <cell r="J1484">
            <v>0</v>
          </cell>
          <cell r="K1484">
            <v>0</v>
          </cell>
          <cell r="AL1484">
            <v>0</v>
          </cell>
          <cell r="BJ1484" t="str">
            <v>KEN</v>
          </cell>
        </row>
        <row r="1485">
          <cell r="E1485" t="str">
            <v>47</v>
          </cell>
          <cell r="J1485">
            <v>59999.999999999534</v>
          </cell>
          <cell r="K1485">
            <v>10000</v>
          </cell>
          <cell r="AL1485">
            <v>0</v>
          </cell>
          <cell r="BJ1485" t="str">
            <v>KEN</v>
          </cell>
        </row>
        <row r="1486">
          <cell r="E1486" t="str">
            <v>47</v>
          </cell>
          <cell r="J1486">
            <v>3781981.5999999996</v>
          </cell>
          <cell r="K1486">
            <v>-426666.66999999993</v>
          </cell>
          <cell r="AL1486">
            <v>0</v>
          </cell>
          <cell r="BJ1486" t="str">
            <v>KEN</v>
          </cell>
        </row>
        <row r="1487">
          <cell r="E1487" t="str">
            <v>48</v>
          </cell>
          <cell r="J1487">
            <v>0</v>
          </cell>
          <cell r="K1487">
            <v>0</v>
          </cell>
          <cell r="AL1487">
            <v>0</v>
          </cell>
          <cell r="BJ1487" t="str">
            <v>KEN</v>
          </cell>
        </row>
        <row r="1488">
          <cell r="E1488" t="str">
            <v>47</v>
          </cell>
          <cell r="J1488">
            <v>834955</v>
          </cell>
          <cell r="K1488">
            <v>0</v>
          </cell>
          <cell r="AL1488">
            <v>0</v>
          </cell>
          <cell r="BJ1488" t="str">
            <v>KEN</v>
          </cell>
        </row>
        <row r="1489">
          <cell r="E1489" t="str">
            <v>47</v>
          </cell>
          <cell r="J1489">
            <v>0</v>
          </cell>
          <cell r="K1489">
            <v>0</v>
          </cell>
          <cell r="AL1489">
            <v>0</v>
          </cell>
          <cell r="BJ1489" t="str">
            <v>KEN</v>
          </cell>
        </row>
        <row r="1490">
          <cell r="E1490" t="str">
            <v>47</v>
          </cell>
          <cell r="J1490">
            <v>0</v>
          </cell>
          <cell r="K1490">
            <v>0</v>
          </cell>
          <cell r="AL1490">
            <v>0</v>
          </cell>
          <cell r="BJ1490" t="str">
            <v>KEN</v>
          </cell>
        </row>
        <row r="1491">
          <cell r="E1491" t="str">
            <v>47</v>
          </cell>
          <cell r="J1491">
            <v>16388758.950000018</v>
          </cell>
          <cell r="K1491">
            <v>3469510.099999994</v>
          </cell>
          <cell r="AL1491">
            <v>0</v>
          </cell>
          <cell r="BJ1491" t="str">
            <v>KEN</v>
          </cell>
        </row>
        <row r="1492">
          <cell r="E1492" t="str">
            <v>47</v>
          </cell>
          <cell r="J1492">
            <v>0</v>
          </cell>
          <cell r="K1492">
            <v>0</v>
          </cell>
          <cell r="AL1492">
            <v>0</v>
          </cell>
          <cell r="BJ1492" t="str">
            <v>KEN</v>
          </cell>
        </row>
        <row r="1493">
          <cell r="E1493" t="str">
            <v>38</v>
          </cell>
          <cell r="J1493">
            <v>277152983.84149987</v>
          </cell>
          <cell r="K1493">
            <v>11229871.970000029</v>
          </cell>
          <cell r="AL1493">
            <v>0</v>
          </cell>
          <cell r="BJ1493" t="str">
            <v>KEN</v>
          </cell>
        </row>
        <row r="1494">
          <cell r="E1494" t="str">
            <v>38</v>
          </cell>
          <cell r="J1494">
            <v>-9084104.5370000005</v>
          </cell>
          <cell r="K1494">
            <v>182153.19999999553</v>
          </cell>
          <cell r="AL1494">
            <v>0</v>
          </cell>
          <cell r="BJ1494" t="str">
            <v>KEN</v>
          </cell>
        </row>
        <row r="1495">
          <cell r="E1495" t="str">
            <v>50</v>
          </cell>
          <cell r="J1495">
            <v>30215613.220000006</v>
          </cell>
          <cell r="K1495">
            <v>2494758.8400000036</v>
          </cell>
          <cell r="AL1495">
            <v>0</v>
          </cell>
          <cell r="BJ1495" t="str">
            <v>KEN</v>
          </cell>
        </row>
        <row r="1496">
          <cell r="E1496" t="str">
            <v>45</v>
          </cell>
          <cell r="J1496">
            <v>12201923.2700001</v>
          </cell>
          <cell r="K1496">
            <v>-3112043.4700000286</v>
          </cell>
          <cell r="AL1496">
            <v>0</v>
          </cell>
          <cell r="BJ1496" t="str">
            <v>KEN</v>
          </cell>
        </row>
        <row r="1497">
          <cell r="E1497" t="str">
            <v>45</v>
          </cell>
          <cell r="J1497">
            <v>20751.277000010014</v>
          </cell>
          <cell r="K1497">
            <v>129654.15999999642</v>
          </cell>
          <cell r="AL1497">
            <v>0</v>
          </cell>
          <cell r="BJ1497" t="str">
            <v>KEN</v>
          </cell>
        </row>
        <row r="1498">
          <cell r="E1498" t="str">
            <v>45</v>
          </cell>
          <cell r="J1498">
            <v>2000090</v>
          </cell>
          <cell r="K1498">
            <v>-1335</v>
          </cell>
          <cell r="AL1498">
            <v>0</v>
          </cell>
          <cell r="BJ1498" t="str">
            <v>KEN</v>
          </cell>
        </row>
        <row r="1499">
          <cell r="E1499" t="str">
            <v>45</v>
          </cell>
          <cell r="J1499">
            <v>0</v>
          </cell>
          <cell r="K1499">
            <v>0</v>
          </cell>
          <cell r="AL1499">
            <v>0</v>
          </cell>
          <cell r="BJ1499" t="str">
            <v>KEN</v>
          </cell>
        </row>
        <row r="1500">
          <cell r="E1500" t="str">
            <v>45</v>
          </cell>
          <cell r="J1500">
            <v>0</v>
          </cell>
          <cell r="K1500">
            <v>0</v>
          </cell>
          <cell r="AL1500">
            <v>0</v>
          </cell>
          <cell r="BJ1500" t="str">
            <v>KEN</v>
          </cell>
        </row>
        <row r="1501">
          <cell r="E1501" t="str">
            <v>45</v>
          </cell>
          <cell r="J1501">
            <v>0</v>
          </cell>
          <cell r="K1501">
            <v>0</v>
          </cell>
          <cell r="AL1501">
            <v>0</v>
          </cell>
          <cell r="BJ1501" t="str">
            <v>KEN</v>
          </cell>
        </row>
        <row r="1502">
          <cell r="E1502" t="str">
            <v>45</v>
          </cell>
          <cell r="J1502">
            <v>16041.699999988079</v>
          </cell>
          <cell r="K1502">
            <v>368919</v>
          </cell>
          <cell r="AL1502">
            <v>0</v>
          </cell>
          <cell r="BJ1502" t="str">
            <v>KEN</v>
          </cell>
        </row>
        <row r="1503">
          <cell r="E1503" t="str">
            <v>45</v>
          </cell>
          <cell r="J1503">
            <v>0</v>
          </cell>
          <cell r="K1503">
            <v>0</v>
          </cell>
          <cell r="AL1503">
            <v>0</v>
          </cell>
          <cell r="BJ1503" t="str">
            <v>KEN</v>
          </cell>
        </row>
        <row r="1504">
          <cell r="E1504" t="str">
            <v>45</v>
          </cell>
          <cell r="J1504">
            <v>281.90000000002328</v>
          </cell>
          <cell r="K1504">
            <v>4100</v>
          </cell>
          <cell r="AL1504">
            <v>0</v>
          </cell>
          <cell r="BJ1504" t="str">
            <v>KEN</v>
          </cell>
        </row>
        <row r="1505">
          <cell r="E1505" t="str">
            <v>45</v>
          </cell>
          <cell r="J1505">
            <v>0</v>
          </cell>
          <cell r="K1505">
            <v>0</v>
          </cell>
          <cell r="AL1505">
            <v>0</v>
          </cell>
          <cell r="BJ1505" t="str">
            <v>KEN</v>
          </cell>
        </row>
        <row r="1506">
          <cell r="E1506" t="str">
            <v>45</v>
          </cell>
          <cell r="J1506">
            <v>0</v>
          </cell>
          <cell r="K1506">
            <v>0</v>
          </cell>
          <cell r="AL1506">
            <v>0</v>
          </cell>
          <cell r="BJ1506" t="str">
            <v>KEN</v>
          </cell>
        </row>
        <row r="1507">
          <cell r="E1507" t="str">
            <v>45</v>
          </cell>
          <cell r="J1507">
            <v>950</v>
          </cell>
          <cell r="K1507">
            <v>-632</v>
          </cell>
          <cell r="AL1507">
            <v>0</v>
          </cell>
          <cell r="BJ1507" t="str">
            <v>KEN</v>
          </cell>
        </row>
        <row r="1508">
          <cell r="E1508" t="str">
            <v>45</v>
          </cell>
          <cell r="J1508">
            <v>0</v>
          </cell>
          <cell r="K1508">
            <v>0</v>
          </cell>
          <cell r="AL1508">
            <v>0</v>
          </cell>
          <cell r="BJ1508" t="str">
            <v>KEN</v>
          </cell>
        </row>
        <row r="1509">
          <cell r="E1509" t="str">
            <v>45</v>
          </cell>
          <cell r="J1509">
            <v>0</v>
          </cell>
          <cell r="K1509">
            <v>0</v>
          </cell>
          <cell r="AL1509">
            <v>0</v>
          </cell>
          <cell r="BJ1509" t="str">
            <v>KEN</v>
          </cell>
        </row>
        <row r="1510">
          <cell r="E1510" t="str">
            <v>45</v>
          </cell>
          <cell r="J1510">
            <v>7</v>
          </cell>
          <cell r="K1510">
            <v>0</v>
          </cell>
          <cell r="AL1510">
            <v>0</v>
          </cell>
          <cell r="BJ1510" t="str">
            <v>KEN</v>
          </cell>
        </row>
        <row r="1511">
          <cell r="E1511" t="str">
            <v>45</v>
          </cell>
          <cell r="J1511">
            <v>0</v>
          </cell>
          <cell r="K1511">
            <v>0</v>
          </cell>
          <cell r="AL1511">
            <v>0</v>
          </cell>
          <cell r="BJ1511" t="str">
            <v>KEN</v>
          </cell>
        </row>
        <row r="1512">
          <cell r="E1512" t="str">
            <v>45</v>
          </cell>
          <cell r="J1512">
            <v>0</v>
          </cell>
          <cell r="K1512">
            <v>0</v>
          </cell>
          <cell r="AL1512">
            <v>0</v>
          </cell>
          <cell r="BJ1512" t="str">
            <v>KEN</v>
          </cell>
        </row>
        <row r="1513">
          <cell r="E1513" t="str">
            <v>45</v>
          </cell>
          <cell r="J1513">
            <v>0</v>
          </cell>
          <cell r="K1513">
            <v>0</v>
          </cell>
          <cell r="AL1513">
            <v>0</v>
          </cell>
          <cell r="BJ1513" t="str">
            <v>KEN</v>
          </cell>
        </row>
        <row r="1514">
          <cell r="E1514" t="str">
            <v>45</v>
          </cell>
          <cell r="J1514">
            <v>5000</v>
          </cell>
          <cell r="K1514">
            <v>5000</v>
          </cell>
          <cell r="AL1514">
            <v>0</v>
          </cell>
          <cell r="BJ1514" t="str">
            <v>KEN</v>
          </cell>
        </row>
        <row r="1515">
          <cell r="E1515" t="str">
            <v>45</v>
          </cell>
          <cell r="J1515">
            <v>0</v>
          </cell>
          <cell r="K1515">
            <v>0</v>
          </cell>
          <cell r="AL1515">
            <v>0</v>
          </cell>
          <cell r="BJ1515" t="str">
            <v>KEN</v>
          </cell>
        </row>
        <row r="1516">
          <cell r="E1516" t="str">
            <v>45</v>
          </cell>
          <cell r="J1516">
            <v>0</v>
          </cell>
          <cell r="K1516">
            <v>0</v>
          </cell>
          <cell r="AL1516">
            <v>0</v>
          </cell>
          <cell r="BJ1516" t="str">
            <v>KEN</v>
          </cell>
        </row>
        <row r="1517">
          <cell r="E1517" t="str">
            <v>45</v>
          </cell>
          <cell r="J1517">
            <v>0</v>
          </cell>
          <cell r="K1517">
            <v>0</v>
          </cell>
          <cell r="AL1517">
            <v>0</v>
          </cell>
          <cell r="BJ1517" t="str">
            <v>KEN</v>
          </cell>
        </row>
        <row r="1518">
          <cell r="E1518" t="str">
            <v>45</v>
          </cell>
          <cell r="J1518">
            <v>0</v>
          </cell>
          <cell r="K1518">
            <v>0</v>
          </cell>
          <cell r="AL1518">
            <v>0</v>
          </cell>
          <cell r="BJ1518" t="str">
            <v>KEN</v>
          </cell>
        </row>
        <row r="1519">
          <cell r="E1519" t="str">
            <v>45</v>
          </cell>
          <cell r="J1519">
            <v>0</v>
          </cell>
          <cell r="K1519">
            <v>0</v>
          </cell>
          <cell r="AL1519">
            <v>0</v>
          </cell>
          <cell r="BJ1519" t="str">
            <v>KEN</v>
          </cell>
        </row>
        <row r="1520">
          <cell r="E1520" t="str">
            <v>45</v>
          </cell>
          <cell r="J1520">
            <v>29</v>
          </cell>
          <cell r="K1520">
            <v>28</v>
          </cell>
          <cell r="AL1520">
            <v>0</v>
          </cell>
          <cell r="BJ1520" t="str">
            <v>KEN</v>
          </cell>
        </row>
        <row r="1521">
          <cell r="E1521" t="str">
            <v>45</v>
          </cell>
          <cell r="J1521">
            <v>520</v>
          </cell>
          <cell r="K1521">
            <v>-195</v>
          </cell>
          <cell r="AL1521">
            <v>0</v>
          </cell>
          <cell r="BJ1521" t="str">
            <v>KEN</v>
          </cell>
        </row>
        <row r="1522">
          <cell r="E1522" t="str">
            <v>45</v>
          </cell>
          <cell r="J1522">
            <v>1</v>
          </cell>
          <cell r="K1522">
            <v>1</v>
          </cell>
          <cell r="AL1522">
            <v>0</v>
          </cell>
          <cell r="BJ1522" t="str">
            <v>KEN</v>
          </cell>
        </row>
        <row r="1523">
          <cell r="E1523" t="str">
            <v>45</v>
          </cell>
          <cell r="J1523">
            <v>4245</v>
          </cell>
          <cell r="K1523">
            <v>-3672</v>
          </cell>
          <cell r="AL1523">
            <v>0</v>
          </cell>
          <cell r="BJ1523" t="str">
            <v>KEN</v>
          </cell>
        </row>
        <row r="1524">
          <cell r="E1524" t="str">
            <v>45</v>
          </cell>
          <cell r="J1524">
            <v>986</v>
          </cell>
          <cell r="K1524">
            <v>195</v>
          </cell>
          <cell r="AL1524">
            <v>0</v>
          </cell>
          <cell r="BJ1524" t="str">
            <v>KEN</v>
          </cell>
        </row>
        <row r="1525">
          <cell r="E1525" t="str">
            <v>45</v>
          </cell>
          <cell r="J1525">
            <v>12</v>
          </cell>
          <cell r="K1525">
            <v>0</v>
          </cell>
          <cell r="AL1525">
            <v>0</v>
          </cell>
          <cell r="BJ1525" t="str">
            <v>KEN</v>
          </cell>
        </row>
        <row r="1526">
          <cell r="E1526" t="str">
            <v>45</v>
          </cell>
          <cell r="J1526">
            <v>0</v>
          </cell>
          <cell r="K1526">
            <v>0</v>
          </cell>
          <cell r="AL1526">
            <v>0</v>
          </cell>
          <cell r="BJ1526" t="str">
            <v>KEN</v>
          </cell>
        </row>
        <row r="1527">
          <cell r="E1527" t="str">
            <v>45</v>
          </cell>
          <cell r="J1527">
            <v>400</v>
          </cell>
          <cell r="K1527">
            <v>1050</v>
          </cell>
          <cell r="AL1527">
            <v>0</v>
          </cell>
          <cell r="BJ1527" t="str">
            <v>KEN</v>
          </cell>
        </row>
        <row r="1528">
          <cell r="E1528" t="str">
            <v>45</v>
          </cell>
          <cell r="J1528">
            <v>0</v>
          </cell>
          <cell r="K1528">
            <v>0</v>
          </cell>
          <cell r="AL1528">
            <v>0</v>
          </cell>
          <cell r="BJ1528" t="str">
            <v>KEN</v>
          </cell>
        </row>
        <row r="1529">
          <cell r="E1529" t="str">
            <v>45</v>
          </cell>
          <cell r="J1529">
            <v>0</v>
          </cell>
          <cell r="K1529">
            <v>0</v>
          </cell>
          <cell r="AL1529">
            <v>0</v>
          </cell>
          <cell r="BJ1529" t="str">
            <v>KEN</v>
          </cell>
        </row>
        <row r="1530">
          <cell r="E1530" t="str">
            <v>45</v>
          </cell>
          <cell r="J1530">
            <v>166</v>
          </cell>
          <cell r="K1530">
            <v>-70</v>
          </cell>
          <cell r="AL1530">
            <v>0</v>
          </cell>
          <cell r="BJ1530" t="str">
            <v>KEN</v>
          </cell>
        </row>
        <row r="1531">
          <cell r="E1531" t="str">
            <v>45</v>
          </cell>
          <cell r="J1531">
            <v>0</v>
          </cell>
          <cell r="K1531">
            <v>318</v>
          </cell>
          <cell r="AL1531">
            <v>0</v>
          </cell>
          <cell r="BJ1531" t="str">
            <v>KEN</v>
          </cell>
        </row>
        <row r="1532">
          <cell r="E1532" t="str">
            <v>50</v>
          </cell>
          <cell r="J1532">
            <v>4956623.790000001</v>
          </cell>
          <cell r="K1532">
            <v>1457191.08</v>
          </cell>
          <cell r="AL1532">
            <v>0</v>
          </cell>
          <cell r="BJ1532" t="str">
            <v>KEN</v>
          </cell>
        </row>
        <row r="1533">
          <cell r="E1533" t="str">
            <v>50</v>
          </cell>
          <cell r="J1533">
            <v>239171.60000000009</v>
          </cell>
          <cell r="K1533">
            <v>24492</v>
          </cell>
          <cell r="AL1533">
            <v>0</v>
          </cell>
          <cell r="BJ1533" t="str">
            <v>KEN</v>
          </cell>
        </row>
        <row r="1534">
          <cell r="E1534" t="str">
            <v>50</v>
          </cell>
          <cell r="J1534">
            <v>0</v>
          </cell>
          <cell r="K1534">
            <v>0</v>
          </cell>
          <cell r="AL1534">
            <v>0</v>
          </cell>
          <cell r="BJ1534" t="str">
            <v>KEN</v>
          </cell>
        </row>
        <row r="1535">
          <cell r="E1535" t="str">
            <v>51</v>
          </cell>
          <cell r="J1535">
            <v>0</v>
          </cell>
          <cell r="K1535">
            <v>0</v>
          </cell>
          <cell r="AL1535">
            <v>0</v>
          </cell>
          <cell r="BJ1535" t="str">
            <v>KEN</v>
          </cell>
        </row>
        <row r="1536">
          <cell r="E1536" t="str">
            <v>50</v>
          </cell>
          <cell r="J1536">
            <v>873500</v>
          </cell>
          <cell r="K1536">
            <v>-48838</v>
          </cell>
          <cell r="AL1536">
            <v>0</v>
          </cell>
          <cell r="BJ1536" t="str">
            <v>KEN</v>
          </cell>
        </row>
        <row r="1537">
          <cell r="E1537" t="str">
            <v>50</v>
          </cell>
          <cell r="J1537">
            <v>18000</v>
          </cell>
          <cell r="K1537">
            <v>1200</v>
          </cell>
          <cell r="AL1537">
            <v>0</v>
          </cell>
          <cell r="BJ1537" t="str">
            <v>KEN</v>
          </cell>
        </row>
        <row r="1538">
          <cell r="E1538" t="str">
            <v>50</v>
          </cell>
          <cell r="J1538">
            <v>0</v>
          </cell>
          <cell r="K1538">
            <v>0</v>
          </cell>
          <cell r="AL1538">
            <v>0</v>
          </cell>
          <cell r="BJ1538" t="str">
            <v>KEN</v>
          </cell>
        </row>
        <row r="1539">
          <cell r="E1539" t="str">
            <v>50</v>
          </cell>
          <cell r="J1539">
            <v>14400</v>
          </cell>
          <cell r="K1539">
            <v>960</v>
          </cell>
          <cell r="AL1539">
            <v>0</v>
          </cell>
          <cell r="BJ1539" t="str">
            <v>KEN</v>
          </cell>
        </row>
        <row r="1540">
          <cell r="E1540" t="str">
            <v>50</v>
          </cell>
          <cell r="J1540">
            <v>0</v>
          </cell>
          <cell r="K1540">
            <v>0</v>
          </cell>
          <cell r="AL1540">
            <v>0</v>
          </cell>
          <cell r="BJ1540" t="str">
            <v>KEN</v>
          </cell>
        </row>
        <row r="1541">
          <cell r="E1541" t="str">
            <v>50</v>
          </cell>
          <cell r="J1541">
            <v>69555.070000000007</v>
          </cell>
          <cell r="K1541">
            <v>8783.359999999986</v>
          </cell>
          <cell r="AL1541">
            <v>0</v>
          </cell>
          <cell r="BJ1541" t="str">
            <v>KEN</v>
          </cell>
        </row>
        <row r="1542">
          <cell r="E1542" t="str">
            <v>50</v>
          </cell>
          <cell r="J1542">
            <v>0</v>
          </cell>
          <cell r="K1542">
            <v>0</v>
          </cell>
          <cell r="AL1542">
            <v>0</v>
          </cell>
          <cell r="BJ1542" t="str">
            <v>KEN</v>
          </cell>
        </row>
        <row r="1543">
          <cell r="E1543" t="str">
            <v>50</v>
          </cell>
          <cell r="J1543">
            <v>0</v>
          </cell>
          <cell r="K1543">
            <v>0</v>
          </cell>
          <cell r="AL1543">
            <v>0</v>
          </cell>
          <cell r="BJ1543" t="str">
            <v>KEN</v>
          </cell>
        </row>
        <row r="1544">
          <cell r="E1544" t="str">
            <v>50</v>
          </cell>
          <cell r="J1544">
            <v>0</v>
          </cell>
          <cell r="K1544">
            <v>0</v>
          </cell>
          <cell r="AL1544">
            <v>0</v>
          </cell>
          <cell r="BJ1544" t="str">
            <v>KEN</v>
          </cell>
        </row>
        <row r="1545">
          <cell r="E1545" t="str">
            <v>50</v>
          </cell>
          <cell r="J1545">
            <v>0</v>
          </cell>
          <cell r="K1545">
            <v>0</v>
          </cell>
          <cell r="AL1545">
            <v>0</v>
          </cell>
          <cell r="BJ1545" t="str">
            <v>KEN</v>
          </cell>
        </row>
        <row r="1546">
          <cell r="E1546" t="str">
            <v>50</v>
          </cell>
          <cell r="J1546">
            <v>5168451.92</v>
          </cell>
          <cell r="K1546">
            <v>364016.80999999959</v>
          </cell>
          <cell r="AL1546">
            <v>0</v>
          </cell>
          <cell r="BJ1546" t="str">
            <v>KEN</v>
          </cell>
        </row>
        <row r="1547">
          <cell r="E1547" t="str">
            <v>50</v>
          </cell>
          <cell r="J1547">
            <v>446208.62000000104</v>
          </cell>
          <cell r="K1547">
            <v>8812.390000000596</v>
          </cell>
          <cell r="AL1547">
            <v>0</v>
          </cell>
          <cell r="BJ1547" t="str">
            <v>KEN</v>
          </cell>
        </row>
        <row r="1548">
          <cell r="E1548" t="str">
            <v>24</v>
          </cell>
          <cell r="J1548">
            <v>0</v>
          </cell>
          <cell r="K1548">
            <v>0</v>
          </cell>
          <cell r="AL1548">
            <v>0</v>
          </cell>
          <cell r="BJ1548" t="str">
            <v>KEN</v>
          </cell>
        </row>
        <row r="1549">
          <cell r="E1549" t="str">
            <v>50</v>
          </cell>
          <cell r="J1549">
            <v>0</v>
          </cell>
          <cell r="K1549">
            <v>0</v>
          </cell>
          <cell r="AL1549">
            <v>0</v>
          </cell>
          <cell r="BJ1549" t="str">
            <v>KEN</v>
          </cell>
        </row>
        <row r="1550">
          <cell r="E1550" t="str">
            <v>10</v>
          </cell>
          <cell r="J1550">
            <v>0</v>
          </cell>
          <cell r="K1550">
            <v>0</v>
          </cell>
          <cell r="AL1550">
            <v>0</v>
          </cell>
          <cell r="BJ1550" t="str">
            <v>RSA</v>
          </cell>
        </row>
        <row r="1551">
          <cell r="E1551" t="str">
            <v>10</v>
          </cell>
          <cell r="J1551">
            <v>0</v>
          </cell>
          <cell r="K1551">
            <v>0</v>
          </cell>
          <cell r="AL1551">
            <v>0</v>
          </cell>
          <cell r="BJ1551" t="str">
            <v>RSA</v>
          </cell>
        </row>
        <row r="1552">
          <cell r="E1552" t="str">
            <v>10</v>
          </cell>
          <cell r="J1552">
            <v>0</v>
          </cell>
          <cell r="K1552">
            <v>0</v>
          </cell>
          <cell r="AL1552">
            <v>0</v>
          </cell>
          <cell r="BJ1552" t="str">
            <v>RSA</v>
          </cell>
        </row>
        <row r="1553">
          <cell r="E1553" t="str">
            <v>10</v>
          </cell>
          <cell r="J1553">
            <v>0</v>
          </cell>
          <cell r="K1553">
            <v>0</v>
          </cell>
          <cell r="AL1553">
            <v>0</v>
          </cell>
          <cell r="BJ1553" t="str">
            <v>RSA</v>
          </cell>
        </row>
        <row r="1554">
          <cell r="E1554" t="str">
            <v>10</v>
          </cell>
          <cell r="J1554">
            <v>0</v>
          </cell>
          <cell r="K1554">
            <v>0</v>
          </cell>
          <cell r="AL1554">
            <v>0</v>
          </cell>
          <cell r="BJ1554" t="str">
            <v>RSA</v>
          </cell>
        </row>
        <row r="1555">
          <cell r="E1555" t="str">
            <v>10</v>
          </cell>
          <cell r="J1555">
            <v>0</v>
          </cell>
          <cell r="K1555">
            <v>0</v>
          </cell>
          <cell r="AL1555">
            <v>0</v>
          </cell>
          <cell r="BJ1555" t="str">
            <v>RSA</v>
          </cell>
        </row>
        <row r="1556">
          <cell r="E1556" t="str">
            <v>10</v>
          </cell>
          <cell r="J1556">
            <v>0</v>
          </cell>
          <cell r="K1556">
            <v>0</v>
          </cell>
          <cell r="AL1556">
            <v>0</v>
          </cell>
          <cell r="BJ1556" t="str">
            <v>RSA</v>
          </cell>
        </row>
        <row r="1557">
          <cell r="E1557" t="str">
            <v>10</v>
          </cell>
          <cell r="J1557">
            <v>0</v>
          </cell>
          <cell r="K1557">
            <v>0</v>
          </cell>
          <cell r="AL1557">
            <v>0</v>
          </cell>
          <cell r="BJ1557" t="str">
            <v>RSA</v>
          </cell>
        </row>
        <row r="1558">
          <cell r="E1558" t="str">
            <v>10</v>
          </cell>
          <cell r="J1558">
            <v>0</v>
          </cell>
          <cell r="K1558">
            <v>0</v>
          </cell>
          <cell r="AL1558">
            <v>0</v>
          </cell>
          <cell r="BJ1558" t="str">
            <v>RSA</v>
          </cell>
        </row>
        <row r="1559">
          <cell r="E1559" t="str">
            <v>10</v>
          </cell>
          <cell r="J1559">
            <v>0</v>
          </cell>
          <cell r="K1559">
            <v>0</v>
          </cell>
          <cell r="AL1559">
            <v>0</v>
          </cell>
          <cell r="BJ1559" t="str">
            <v>RSA</v>
          </cell>
        </row>
        <row r="1560">
          <cell r="E1560" t="str">
            <v>10</v>
          </cell>
          <cell r="J1560">
            <v>0</v>
          </cell>
          <cell r="K1560">
            <v>0</v>
          </cell>
          <cell r="AL1560">
            <v>0</v>
          </cell>
          <cell r="BJ1560" t="str">
            <v>RSA</v>
          </cell>
        </row>
        <row r="1561">
          <cell r="E1561" t="str">
            <v>10</v>
          </cell>
          <cell r="J1561">
            <v>0</v>
          </cell>
          <cell r="K1561">
            <v>0</v>
          </cell>
          <cell r="AL1561">
            <v>0</v>
          </cell>
          <cell r="BJ1561" t="str">
            <v>RSA</v>
          </cell>
        </row>
        <row r="1562">
          <cell r="E1562" t="str">
            <v>10</v>
          </cell>
          <cell r="J1562">
            <v>0</v>
          </cell>
          <cell r="K1562">
            <v>0</v>
          </cell>
          <cell r="AL1562">
            <v>0</v>
          </cell>
          <cell r="BJ1562" t="str">
            <v>RSA</v>
          </cell>
        </row>
        <row r="1563">
          <cell r="E1563" t="str">
            <v>10</v>
          </cell>
          <cell r="J1563">
            <v>0</v>
          </cell>
          <cell r="K1563">
            <v>5.21</v>
          </cell>
          <cell r="AL1563">
            <v>0</v>
          </cell>
          <cell r="BJ1563" t="str">
            <v>RSA</v>
          </cell>
        </row>
        <row r="1564">
          <cell r="E1564" t="str">
            <v>10</v>
          </cell>
          <cell r="J1564">
            <v>0</v>
          </cell>
          <cell r="K1564">
            <v>0</v>
          </cell>
          <cell r="AL1564">
            <v>0</v>
          </cell>
          <cell r="BJ1564" t="str">
            <v>RSA</v>
          </cell>
        </row>
        <row r="1565">
          <cell r="E1565" t="str">
            <v>10</v>
          </cell>
          <cell r="J1565">
            <v>0</v>
          </cell>
          <cell r="K1565">
            <v>0</v>
          </cell>
          <cell r="AL1565">
            <v>0</v>
          </cell>
          <cell r="BJ1565" t="str">
            <v>RSA</v>
          </cell>
        </row>
        <row r="1566">
          <cell r="E1566" t="str">
            <v>10</v>
          </cell>
          <cell r="J1566">
            <v>0</v>
          </cell>
          <cell r="K1566">
            <v>0</v>
          </cell>
          <cell r="AL1566">
            <v>0</v>
          </cell>
          <cell r="BJ1566" t="str">
            <v>RSA</v>
          </cell>
        </row>
        <row r="1567">
          <cell r="E1567" t="str">
            <v>10</v>
          </cell>
          <cell r="J1567">
            <v>0</v>
          </cell>
          <cell r="K1567">
            <v>1074532.620000001</v>
          </cell>
          <cell r="AL1567">
            <v>0</v>
          </cell>
          <cell r="BJ1567" t="str">
            <v>RSA</v>
          </cell>
        </row>
        <row r="1568">
          <cell r="E1568" t="str">
            <v>10</v>
          </cell>
          <cell r="J1568">
            <v>0</v>
          </cell>
          <cell r="K1568">
            <v>0</v>
          </cell>
          <cell r="AL1568">
            <v>0</v>
          </cell>
          <cell r="BJ1568" t="str">
            <v>RSA</v>
          </cell>
        </row>
        <row r="1569">
          <cell r="E1569" t="str">
            <v>10</v>
          </cell>
          <cell r="J1569">
            <v>0</v>
          </cell>
          <cell r="K1569">
            <v>0</v>
          </cell>
          <cell r="AL1569">
            <v>0</v>
          </cell>
          <cell r="BJ1569" t="str">
            <v>RSA</v>
          </cell>
        </row>
        <row r="1570">
          <cell r="E1570" t="str">
            <v>10</v>
          </cell>
          <cell r="J1570">
            <v>0</v>
          </cell>
          <cell r="K1570">
            <v>0</v>
          </cell>
          <cell r="AL1570">
            <v>0</v>
          </cell>
          <cell r="BJ1570" t="str">
            <v>RSA</v>
          </cell>
        </row>
        <row r="1571">
          <cell r="E1571" t="str">
            <v>10</v>
          </cell>
          <cell r="J1571">
            <v>0</v>
          </cell>
          <cell r="K1571">
            <v>0</v>
          </cell>
          <cell r="AL1571">
            <v>0</v>
          </cell>
          <cell r="BJ1571" t="str">
            <v>RSA</v>
          </cell>
        </row>
        <row r="1572">
          <cell r="E1572" t="str">
            <v>10</v>
          </cell>
          <cell r="J1572">
            <v>0</v>
          </cell>
          <cell r="K1572">
            <v>0</v>
          </cell>
          <cell r="AL1572">
            <v>0</v>
          </cell>
          <cell r="BJ1572" t="str">
            <v>RSA</v>
          </cell>
        </row>
        <row r="1573">
          <cell r="E1573" t="str">
            <v>10</v>
          </cell>
          <cell r="J1573">
            <v>0</v>
          </cell>
          <cell r="K1573">
            <v>0</v>
          </cell>
          <cell r="AL1573">
            <v>0</v>
          </cell>
          <cell r="BJ1573" t="str">
            <v>RSA</v>
          </cell>
        </row>
        <row r="1574">
          <cell r="E1574" t="str">
            <v>10</v>
          </cell>
          <cell r="J1574">
            <v>0</v>
          </cell>
          <cell r="K1574">
            <v>0</v>
          </cell>
          <cell r="AL1574">
            <v>0</v>
          </cell>
          <cell r="BJ1574" t="str">
            <v>RSA</v>
          </cell>
        </row>
        <row r="1575">
          <cell r="E1575" t="str">
            <v>11</v>
          </cell>
          <cell r="J1575">
            <v>0</v>
          </cell>
          <cell r="K1575">
            <v>0</v>
          </cell>
          <cell r="AL1575">
            <v>0</v>
          </cell>
          <cell r="BJ1575" t="str">
            <v>RSA</v>
          </cell>
        </row>
        <row r="1576">
          <cell r="E1576" t="str">
            <v>11</v>
          </cell>
          <cell r="J1576">
            <v>0</v>
          </cell>
          <cell r="K1576">
            <v>0</v>
          </cell>
          <cell r="AL1576">
            <v>0</v>
          </cell>
          <cell r="BJ1576" t="str">
            <v>RSA</v>
          </cell>
        </row>
        <row r="1577">
          <cell r="E1577" t="str">
            <v>11</v>
          </cell>
          <cell r="J1577">
            <v>0</v>
          </cell>
          <cell r="K1577">
            <v>0</v>
          </cell>
          <cell r="AL1577">
            <v>0</v>
          </cell>
          <cell r="BJ1577" t="str">
            <v>RSA</v>
          </cell>
        </row>
        <row r="1578">
          <cell r="E1578" t="str">
            <v>11</v>
          </cell>
          <cell r="J1578">
            <v>0</v>
          </cell>
          <cell r="K1578">
            <v>6.05</v>
          </cell>
          <cell r="AL1578">
            <v>0</v>
          </cell>
          <cell r="BJ1578" t="str">
            <v>RSA</v>
          </cell>
        </row>
        <row r="1579">
          <cell r="E1579" t="str">
            <v>11</v>
          </cell>
          <cell r="J1579">
            <v>0</v>
          </cell>
          <cell r="K1579">
            <v>0</v>
          </cell>
          <cell r="AL1579">
            <v>0</v>
          </cell>
          <cell r="BJ1579" t="str">
            <v>RSA</v>
          </cell>
        </row>
        <row r="1580">
          <cell r="E1580" t="str">
            <v>11</v>
          </cell>
          <cell r="J1580">
            <v>0</v>
          </cell>
          <cell r="K1580">
            <v>0</v>
          </cell>
          <cell r="AL1580">
            <v>0</v>
          </cell>
          <cell r="BJ1580" t="str">
            <v>RSA</v>
          </cell>
        </row>
        <row r="1581">
          <cell r="E1581" t="str">
            <v>11</v>
          </cell>
          <cell r="J1581">
            <v>0</v>
          </cell>
          <cell r="K1581">
            <v>-2284.3499999999913</v>
          </cell>
          <cell r="AL1581">
            <v>0</v>
          </cell>
          <cell r="BJ1581" t="str">
            <v>RSA</v>
          </cell>
        </row>
        <row r="1582">
          <cell r="E1582" t="str">
            <v>11</v>
          </cell>
          <cell r="J1582">
            <v>0</v>
          </cell>
          <cell r="K1582">
            <v>0</v>
          </cell>
          <cell r="AL1582">
            <v>0</v>
          </cell>
          <cell r="BJ1582" t="str">
            <v>RSA</v>
          </cell>
        </row>
        <row r="1583">
          <cell r="E1583" t="str">
            <v>11</v>
          </cell>
          <cell r="J1583">
            <v>0</v>
          </cell>
          <cell r="K1583">
            <v>0</v>
          </cell>
          <cell r="AL1583">
            <v>0</v>
          </cell>
          <cell r="BJ1583" t="str">
            <v>RSA</v>
          </cell>
        </row>
        <row r="1584">
          <cell r="E1584" t="str">
            <v>11</v>
          </cell>
          <cell r="J1584">
            <v>0</v>
          </cell>
          <cell r="K1584">
            <v>0</v>
          </cell>
          <cell r="AL1584">
            <v>0</v>
          </cell>
          <cell r="BJ1584" t="str">
            <v>RSA</v>
          </cell>
        </row>
        <row r="1585">
          <cell r="E1585" t="str">
            <v>11</v>
          </cell>
          <cell r="J1585">
            <v>0</v>
          </cell>
          <cell r="K1585">
            <v>0</v>
          </cell>
          <cell r="AL1585">
            <v>0</v>
          </cell>
          <cell r="BJ1585" t="str">
            <v>RSA</v>
          </cell>
        </row>
        <row r="1586">
          <cell r="E1586" t="str">
            <v>11</v>
          </cell>
          <cell r="J1586">
            <v>0</v>
          </cell>
          <cell r="K1586">
            <v>0</v>
          </cell>
          <cell r="AL1586">
            <v>0</v>
          </cell>
          <cell r="BJ1586" t="str">
            <v>RSA</v>
          </cell>
        </row>
        <row r="1587">
          <cell r="E1587" t="str">
            <v>11</v>
          </cell>
          <cell r="J1587">
            <v>0</v>
          </cell>
          <cell r="K1587">
            <v>0</v>
          </cell>
          <cell r="AL1587">
            <v>0</v>
          </cell>
          <cell r="BJ1587" t="str">
            <v>RSA</v>
          </cell>
        </row>
        <row r="1588">
          <cell r="E1588" t="str">
            <v>11</v>
          </cell>
          <cell r="J1588">
            <v>0</v>
          </cell>
          <cell r="K1588">
            <v>0</v>
          </cell>
          <cell r="AL1588">
            <v>0</v>
          </cell>
          <cell r="BJ1588" t="str">
            <v>RSA</v>
          </cell>
        </row>
        <row r="1589">
          <cell r="E1589" t="str">
            <v>11</v>
          </cell>
          <cell r="J1589">
            <v>0</v>
          </cell>
          <cell r="K1589">
            <v>0</v>
          </cell>
          <cell r="AL1589">
            <v>0</v>
          </cell>
          <cell r="BJ1589" t="str">
            <v>RSA</v>
          </cell>
        </row>
        <row r="1590">
          <cell r="E1590" t="str">
            <v>11</v>
          </cell>
          <cell r="J1590">
            <v>0</v>
          </cell>
          <cell r="K1590">
            <v>0</v>
          </cell>
          <cell r="AL1590">
            <v>0</v>
          </cell>
          <cell r="BJ1590" t="str">
            <v>RSA</v>
          </cell>
        </row>
        <row r="1591">
          <cell r="E1591" t="str">
            <v>11</v>
          </cell>
          <cell r="J1591">
            <v>0</v>
          </cell>
          <cell r="K1591">
            <v>0</v>
          </cell>
          <cell r="AL1591">
            <v>0</v>
          </cell>
          <cell r="BJ1591" t="str">
            <v>RSA</v>
          </cell>
        </row>
        <row r="1592">
          <cell r="E1592" t="str">
            <v>11</v>
          </cell>
          <cell r="J1592">
            <v>0</v>
          </cell>
          <cell r="K1592">
            <v>0</v>
          </cell>
          <cell r="AL1592">
            <v>0</v>
          </cell>
          <cell r="BJ1592" t="str">
            <v>RSA</v>
          </cell>
        </row>
        <row r="1593">
          <cell r="E1593" t="str">
            <v>11</v>
          </cell>
          <cell r="J1593">
            <v>0</v>
          </cell>
          <cell r="K1593">
            <v>0</v>
          </cell>
          <cell r="AL1593">
            <v>0</v>
          </cell>
          <cell r="BJ1593" t="str">
            <v>RSA</v>
          </cell>
        </row>
        <row r="1594">
          <cell r="E1594" t="str">
            <v>11</v>
          </cell>
          <cell r="J1594">
            <v>0</v>
          </cell>
          <cell r="K1594">
            <v>0</v>
          </cell>
          <cell r="AL1594">
            <v>0</v>
          </cell>
          <cell r="BJ1594" t="str">
            <v>RSA</v>
          </cell>
        </row>
        <row r="1595">
          <cell r="E1595" t="str">
            <v>11</v>
          </cell>
          <cell r="J1595">
            <v>0</v>
          </cell>
          <cell r="K1595">
            <v>0</v>
          </cell>
          <cell r="AL1595">
            <v>0</v>
          </cell>
          <cell r="BJ1595" t="str">
            <v>RSA</v>
          </cell>
        </row>
        <row r="1596">
          <cell r="E1596" t="str">
            <v>11</v>
          </cell>
          <cell r="J1596">
            <v>0</v>
          </cell>
          <cell r="K1596">
            <v>0</v>
          </cell>
          <cell r="AL1596">
            <v>0</v>
          </cell>
          <cell r="BJ1596" t="str">
            <v>RSA</v>
          </cell>
        </row>
        <row r="1597">
          <cell r="E1597" t="str">
            <v>11</v>
          </cell>
          <cell r="J1597">
            <v>0</v>
          </cell>
          <cell r="K1597">
            <v>0</v>
          </cell>
          <cell r="AL1597">
            <v>0</v>
          </cell>
          <cell r="BJ1597" t="str">
            <v>RSA</v>
          </cell>
        </row>
        <row r="1598">
          <cell r="E1598" t="str">
            <v>11</v>
          </cell>
          <cell r="J1598">
            <v>0</v>
          </cell>
          <cell r="K1598">
            <v>0</v>
          </cell>
          <cell r="AL1598">
            <v>0</v>
          </cell>
          <cell r="BJ1598" t="str">
            <v>RSA</v>
          </cell>
        </row>
        <row r="1599">
          <cell r="E1599" t="str">
            <v>11</v>
          </cell>
          <cell r="J1599">
            <v>0</v>
          </cell>
          <cell r="K1599">
            <v>0</v>
          </cell>
          <cell r="AL1599">
            <v>0</v>
          </cell>
          <cell r="BJ1599" t="str">
            <v>RSA</v>
          </cell>
        </row>
        <row r="1600">
          <cell r="E1600" t="str">
            <v>11</v>
          </cell>
          <cell r="J1600">
            <v>0</v>
          </cell>
          <cell r="K1600">
            <v>0</v>
          </cell>
          <cell r="AL1600">
            <v>0</v>
          </cell>
          <cell r="BJ1600" t="str">
            <v>RSA</v>
          </cell>
        </row>
        <row r="1601">
          <cell r="E1601" t="str">
            <v>11</v>
          </cell>
          <cell r="J1601">
            <v>0</v>
          </cell>
          <cell r="K1601">
            <v>0</v>
          </cell>
          <cell r="AL1601">
            <v>0</v>
          </cell>
          <cell r="BJ1601" t="str">
            <v>RSA</v>
          </cell>
        </row>
        <row r="1602">
          <cell r="E1602" t="str">
            <v>11</v>
          </cell>
          <cell r="J1602">
            <v>0</v>
          </cell>
          <cell r="K1602">
            <v>0</v>
          </cell>
          <cell r="AL1602">
            <v>0</v>
          </cell>
          <cell r="BJ1602" t="str">
            <v>RSA</v>
          </cell>
        </row>
        <row r="1603">
          <cell r="E1603" t="str">
            <v>11</v>
          </cell>
          <cell r="J1603">
            <v>0</v>
          </cell>
          <cell r="K1603">
            <v>0</v>
          </cell>
          <cell r="AL1603">
            <v>0</v>
          </cell>
          <cell r="BJ1603" t="str">
            <v>RSA</v>
          </cell>
        </row>
        <row r="1604">
          <cell r="E1604" t="str">
            <v>11</v>
          </cell>
          <cell r="J1604">
            <v>0</v>
          </cell>
          <cell r="K1604">
            <v>0</v>
          </cell>
          <cell r="AL1604">
            <v>0</v>
          </cell>
          <cell r="BJ1604" t="str">
            <v>RSA</v>
          </cell>
        </row>
        <row r="1605">
          <cell r="E1605" t="str">
            <v>11</v>
          </cell>
          <cell r="J1605">
            <v>0</v>
          </cell>
          <cell r="K1605">
            <v>0</v>
          </cell>
          <cell r="AL1605">
            <v>0</v>
          </cell>
          <cell r="BJ1605" t="str">
            <v>RSA</v>
          </cell>
        </row>
        <row r="1606">
          <cell r="E1606" t="str">
            <v>11</v>
          </cell>
          <cell r="J1606">
            <v>0</v>
          </cell>
          <cell r="K1606">
            <v>0</v>
          </cell>
          <cell r="AL1606">
            <v>0</v>
          </cell>
          <cell r="BJ1606" t="str">
            <v>RSA</v>
          </cell>
        </row>
        <row r="1607">
          <cell r="E1607" t="str">
            <v>11</v>
          </cell>
          <cell r="J1607">
            <v>0</v>
          </cell>
          <cell r="K1607">
            <v>0</v>
          </cell>
          <cell r="AL1607">
            <v>0</v>
          </cell>
          <cell r="BJ1607" t="str">
            <v>RSA</v>
          </cell>
        </row>
        <row r="1608">
          <cell r="E1608" t="str">
            <v>13</v>
          </cell>
          <cell r="J1608">
            <v>0</v>
          </cell>
          <cell r="K1608">
            <v>5000</v>
          </cell>
          <cell r="AL1608">
            <v>0</v>
          </cell>
          <cell r="BJ1608" t="str">
            <v>RSA</v>
          </cell>
        </row>
        <row r="1609">
          <cell r="E1609" t="str">
            <v>13</v>
          </cell>
          <cell r="J1609">
            <v>0</v>
          </cell>
          <cell r="K1609">
            <v>0</v>
          </cell>
          <cell r="AL1609">
            <v>0</v>
          </cell>
          <cell r="BJ1609" t="str">
            <v>RSA</v>
          </cell>
        </row>
        <row r="1610">
          <cell r="E1610" t="str">
            <v>13</v>
          </cell>
          <cell r="J1610">
            <v>0</v>
          </cell>
          <cell r="K1610">
            <v>0</v>
          </cell>
          <cell r="AL1610">
            <v>0</v>
          </cell>
          <cell r="BJ1610" t="str">
            <v>RSA</v>
          </cell>
        </row>
        <row r="1611">
          <cell r="E1611" t="str">
            <v>13</v>
          </cell>
          <cell r="J1611">
            <v>0</v>
          </cell>
          <cell r="K1611">
            <v>2628.619999999999</v>
          </cell>
          <cell r="AL1611">
            <v>0</v>
          </cell>
          <cell r="BJ1611" t="str">
            <v>RSA</v>
          </cell>
        </row>
        <row r="1612">
          <cell r="E1612" t="str">
            <v>13</v>
          </cell>
          <cell r="J1612">
            <v>0</v>
          </cell>
          <cell r="K1612">
            <v>0</v>
          </cell>
          <cell r="AL1612">
            <v>0</v>
          </cell>
          <cell r="BJ1612" t="str">
            <v>RSA</v>
          </cell>
        </row>
        <row r="1613">
          <cell r="E1613" t="str">
            <v>13</v>
          </cell>
          <cell r="J1613">
            <v>0</v>
          </cell>
          <cell r="K1613">
            <v>0</v>
          </cell>
          <cell r="AL1613">
            <v>0</v>
          </cell>
          <cell r="BJ1613" t="str">
            <v>RSA</v>
          </cell>
        </row>
        <row r="1614">
          <cell r="E1614" t="str">
            <v>13</v>
          </cell>
          <cell r="J1614">
            <v>0</v>
          </cell>
          <cell r="K1614">
            <v>67184.300000000047</v>
          </cell>
          <cell r="AL1614">
            <v>0</v>
          </cell>
          <cell r="BJ1614" t="str">
            <v>RSA</v>
          </cell>
        </row>
        <row r="1615">
          <cell r="E1615" t="str">
            <v>13</v>
          </cell>
          <cell r="J1615">
            <v>0</v>
          </cell>
          <cell r="K1615">
            <v>0</v>
          </cell>
          <cell r="AL1615">
            <v>0</v>
          </cell>
          <cell r="BJ1615" t="str">
            <v>RSA</v>
          </cell>
        </row>
        <row r="1616">
          <cell r="E1616" t="str">
            <v>13</v>
          </cell>
          <cell r="J1616">
            <v>0</v>
          </cell>
          <cell r="K1616">
            <v>1008.0099999999948</v>
          </cell>
          <cell r="AL1616">
            <v>0</v>
          </cell>
          <cell r="BJ1616" t="str">
            <v>RSA</v>
          </cell>
        </row>
        <row r="1617">
          <cell r="E1617" t="str">
            <v>13</v>
          </cell>
          <cell r="J1617">
            <v>0</v>
          </cell>
          <cell r="K1617">
            <v>0</v>
          </cell>
          <cell r="AL1617">
            <v>0</v>
          </cell>
          <cell r="BJ1617" t="str">
            <v>RSA</v>
          </cell>
        </row>
        <row r="1618">
          <cell r="E1618" t="str">
            <v>13</v>
          </cell>
          <cell r="J1618">
            <v>0</v>
          </cell>
          <cell r="K1618">
            <v>22105.690000000002</v>
          </cell>
          <cell r="AL1618">
            <v>0</v>
          </cell>
          <cell r="BJ1618" t="str">
            <v>RSA</v>
          </cell>
        </row>
        <row r="1619">
          <cell r="E1619" t="str">
            <v>13</v>
          </cell>
          <cell r="J1619">
            <v>0</v>
          </cell>
          <cell r="K1619">
            <v>0</v>
          </cell>
          <cell r="AL1619">
            <v>0</v>
          </cell>
          <cell r="BJ1619" t="str">
            <v>RSA</v>
          </cell>
        </row>
        <row r="1620">
          <cell r="E1620" t="str">
            <v>13</v>
          </cell>
          <cell r="J1620">
            <v>0</v>
          </cell>
          <cell r="K1620">
            <v>0</v>
          </cell>
          <cell r="AL1620">
            <v>0</v>
          </cell>
          <cell r="BJ1620" t="str">
            <v>RSA</v>
          </cell>
        </row>
        <row r="1621">
          <cell r="E1621" t="str">
            <v>13</v>
          </cell>
          <cell r="J1621">
            <v>0</v>
          </cell>
          <cell r="K1621">
            <v>0</v>
          </cell>
          <cell r="AL1621">
            <v>0</v>
          </cell>
          <cell r="BJ1621" t="str">
            <v>RSA</v>
          </cell>
        </row>
        <row r="1622">
          <cell r="E1622" t="str">
            <v>13</v>
          </cell>
          <cell r="J1622">
            <v>0</v>
          </cell>
          <cell r="K1622">
            <v>0</v>
          </cell>
          <cell r="AL1622">
            <v>0</v>
          </cell>
          <cell r="BJ1622" t="str">
            <v>RSA</v>
          </cell>
        </row>
        <row r="1623">
          <cell r="E1623" t="str">
            <v>13</v>
          </cell>
          <cell r="J1623">
            <v>0</v>
          </cell>
          <cell r="K1623">
            <v>0</v>
          </cell>
          <cell r="AL1623">
            <v>0</v>
          </cell>
          <cell r="BJ1623" t="str">
            <v>RSA</v>
          </cell>
        </row>
        <row r="1624">
          <cell r="E1624" t="str">
            <v>13</v>
          </cell>
          <cell r="J1624">
            <v>0</v>
          </cell>
          <cell r="K1624">
            <v>0</v>
          </cell>
          <cell r="AL1624">
            <v>0</v>
          </cell>
          <cell r="BJ1624" t="str">
            <v>RSA</v>
          </cell>
        </row>
        <row r="1625">
          <cell r="E1625" t="str">
            <v>13</v>
          </cell>
          <cell r="J1625">
            <v>0</v>
          </cell>
          <cell r="K1625">
            <v>0</v>
          </cell>
          <cell r="AL1625">
            <v>0</v>
          </cell>
          <cell r="BJ1625" t="str">
            <v>RSA</v>
          </cell>
        </row>
        <row r="1626">
          <cell r="E1626" t="str">
            <v>13</v>
          </cell>
          <cell r="J1626">
            <v>0</v>
          </cell>
          <cell r="K1626">
            <v>0</v>
          </cell>
          <cell r="AL1626">
            <v>0</v>
          </cell>
          <cell r="BJ1626" t="str">
            <v>RSA</v>
          </cell>
        </row>
        <row r="1627">
          <cell r="E1627" t="str">
            <v>13</v>
          </cell>
          <cell r="J1627">
            <v>0</v>
          </cell>
          <cell r="K1627">
            <v>0</v>
          </cell>
          <cell r="AL1627">
            <v>0</v>
          </cell>
          <cell r="BJ1627" t="str">
            <v>RSA</v>
          </cell>
        </row>
        <row r="1628">
          <cell r="E1628" t="str">
            <v>13</v>
          </cell>
          <cell r="J1628">
            <v>0</v>
          </cell>
          <cell r="K1628">
            <v>0</v>
          </cell>
          <cell r="AL1628">
            <v>0</v>
          </cell>
          <cell r="BJ1628" t="str">
            <v>RSA</v>
          </cell>
        </row>
        <row r="1629">
          <cell r="E1629" t="str">
            <v>13</v>
          </cell>
          <cell r="J1629">
            <v>0</v>
          </cell>
          <cell r="K1629">
            <v>0</v>
          </cell>
          <cell r="AL1629">
            <v>0</v>
          </cell>
          <cell r="BJ1629" t="str">
            <v>RSA</v>
          </cell>
        </row>
        <row r="1630">
          <cell r="E1630" t="str">
            <v>13</v>
          </cell>
          <cell r="J1630">
            <v>0</v>
          </cell>
          <cell r="K1630">
            <v>0</v>
          </cell>
          <cell r="AL1630">
            <v>0</v>
          </cell>
          <cell r="BJ1630" t="str">
            <v>RSA</v>
          </cell>
        </row>
        <row r="1631">
          <cell r="E1631" t="str">
            <v>13</v>
          </cell>
          <cell r="J1631">
            <v>0</v>
          </cell>
          <cell r="K1631">
            <v>0</v>
          </cell>
          <cell r="AL1631">
            <v>0</v>
          </cell>
          <cell r="BJ1631" t="str">
            <v>RSA</v>
          </cell>
        </row>
        <row r="1632">
          <cell r="E1632" t="str">
            <v>13</v>
          </cell>
          <cell r="J1632">
            <v>0</v>
          </cell>
          <cell r="K1632">
            <v>0</v>
          </cell>
          <cell r="AL1632">
            <v>0</v>
          </cell>
          <cell r="BJ1632" t="str">
            <v>RSA</v>
          </cell>
        </row>
        <row r="1633">
          <cell r="E1633" t="str">
            <v>13</v>
          </cell>
          <cell r="J1633">
            <v>0</v>
          </cell>
          <cell r="K1633">
            <v>0</v>
          </cell>
          <cell r="AL1633">
            <v>0</v>
          </cell>
          <cell r="BJ1633" t="str">
            <v>RSA</v>
          </cell>
        </row>
        <row r="1634">
          <cell r="E1634" t="str">
            <v>13</v>
          </cell>
          <cell r="J1634">
            <v>0</v>
          </cell>
          <cell r="K1634">
            <v>0</v>
          </cell>
          <cell r="AL1634">
            <v>0</v>
          </cell>
          <cell r="BJ1634" t="str">
            <v>RSA</v>
          </cell>
        </row>
        <row r="1635">
          <cell r="E1635" t="str">
            <v>13</v>
          </cell>
          <cell r="J1635">
            <v>0</v>
          </cell>
          <cell r="K1635">
            <v>0</v>
          </cell>
          <cell r="AL1635">
            <v>0</v>
          </cell>
          <cell r="BJ1635" t="str">
            <v>RSA</v>
          </cell>
        </row>
        <row r="1636">
          <cell r="E1636" t="str">
            <v>13</v>
          </cell>
          <cell r="J1636">
            <v>0</v>
          </cell>
          <cell r="K1636">
            <v>0</v>
          </cell>
          <cell r="AL1636">
            <v>0</v>
          </cell>
          <cell r="BJ1636" t="str">
            <v>RSA</v>
          </cell>
        </row>
        <row r="1637">
          <cell r="E1637" t="str">
            <v>13</v>
          </cell>
          <cell r="J1637">
            <v>0</v>
          </cell>
          <cell r="K1637">
            <v>0</v>
          </cell>
          <cell r="AL1637">
            <v>0</v>
          </cell>
          <cell r="BJ1637" t="str">
            <v>RSA</v>
          </cell>
        </row>
        <row r="1638">
          <cell r="E1638" t="str">
            <v>13</v>
          </cell>
          <cell r="J1638">
            <v>0</v>
          </cell>
          <cell r="K1638">
            <v>0</v>
          </cell>
          <cell r="AL1638">
            <v>0</v>
          </cell>
          <cell r="BJ1638" t="str">
            <v>RSA</v>
          </cell>
        </row>
        <row r="1639">
          <cell r="E1639" t="str">
            <v>13</v>
          </cell>
          <cell r="J1639">
            <v>0</v>
          </cell>
          <cell r="K1639">
            <v>0</v>
          </cell>
          <cell r="AL1639">
            <v>0</v>
          </cell>
          <cell r="BJ1639" t="str">
            <v>RSA</v>
          </cell>
        </row>
        <row r="1640">
          <cell r="E1640" t="str">
            <v>13</v>
          </cell>
          <cell r="J1640">
            <v>0</v>
          </cell>
          <cell r="K1640">
            <v>0</v>
          </cell>
          <cell r="AL1640">
            <v>0</v>
          </cell>
          <cell r="BJ1640" t="str">
            <v>RSA</v>
          </cell>
        </row>
        <row r="1641">
          <cell r="E1641" t="str">
            <v>13</v>
          </cell>
          <cell r="J1641">
            <v>0</v>
          </cell>
          <cell r="K1641">
            <v>37300</v>
          </cell>
          <cell r="AL1641">
            <v>0</v>
          </cell>
          <cell r="BJ1641" t="str">
            <v>RSA</v>
          </cell>
        </row>
        <row r="1642">
          <cell r="E1642" t="str">
            <v>13</v>
          </cell>
          <cell r="J1642">
            <v>0</v>
          </cell>
          <cell r="K1642">
            <v>0</v>
          </cell>
          <cell r="AL1642">
            <v>0</v>
          </cell>
          <cell r="BJ1642" t="str">
            <v>RSA</v>
          </cell>
        </row>
        <row r="1643">
          <cell r="E1643" t="str">
            <v>13</v>
          </cell>
          <cell r="J1643">
            <v>0</v>
          </cell>
          <cell r="K1643">
            <v>100.30000000000018</v>
          </cell>
          <cell r="AL1643">
            <v>0</v>
          </cell>
          <cell r="BJ1643" t="str">
            <v>RSA</v>
          </cell>
        </row>
        <row r="1644">
          <cell r="E1644" t="str">
            <v>13</v>
          </cell>
          <cell r="J1644">
            <v>0</v>
          </cell>
          <cell r="K1644">
            <v>0</v>
          </cell>
          <cell r="AL1644">
            <v>0</v>
          </cell>
          <cell r="BJ1644" t="str">
            <v>RSA</v>
          </cell>
        </row>
        <row r="1645">
          <cell r="E1645" t="str">
            <v>13</v>
          </cell>
          <cell r="J1645">
            <v>0</v>
          </cell>
          <cell r="K1645">
            <v>22421.279999999999</v>
          </cell>
          <cell r="AL1645">
            <v>0</v>
          </cell>
          <cell r="BJ1645" t="str">
            <v>RSA</v>
          </cell>
        </row>
        <row r="1646">
          <cell r="E1646" t="str">
            <v>13</v>
          </cell>
          <cell r="J1646">
            <v>0</v>
          </cell>
          <cell r="K1646">
            <v>0</v>
          </cell>
          <cell r="AL1646">
            <v>0</v>
          </cell>
          <cell r="BJ1646" t="str">
            <v>RSA</v>
          </cell>
        </row>
        <row r="1647">
          <cell r="E1647" t="str">
            <v>13</v>
          </cell>
          <cell r="J1647">
            <v>0</v>
          </cell>
          <cell r="K1647">
            <v>5330.68</v>
          </cell>
          <cell r="AL1647">
            <v>0</v>
          </cell>
          <cell r="BJ1647" t="str">
            <v>RSA</v>
          </cell>
        </row>
        <row r="1648">
          <cell r="E1648" t="str">
            <v>13</v>
          </cell>
          <cell r="J1648">
            <v>0</v>
          </cell>
          <cell r="K1648">
            <v>0</v>
          </cell>
          <cell r="AL1648">
            <v>0</v>
          </cell>
          <cell r="BJ1648" t="str">
            <v>RSA</v>
          </cell>
        </row>
        <row r="1649">
          <cell r="E1649" t="str">
            <v>13</v>
          </cell>
          <cell r="J1649">
            <v>0</v>
          </cell>
          <cell r="K1649">
            <v>147930.57000000007</v>
          </cell>
          <cell r="AL1649">
            <v>0</v>
          </cell>
          <cell r="BJ1649" t="str">
            <v>RSA</v>
          </cell>
        </row>
        <row r="1650">
          <cell r="E1650" t="str">
            <v>13</v>
          </cell>
          <cell r="J1650">
            <v>0</v>
          </cell>
          <cell r="K1650">
            <v>817558.88999999966</v>
          </cell>
          <cell r="AL1650">
            <v>0</v>
          </cell>
          <cell r="BJ1650" t="str">
            <v>RSA</v>
          </cell>
        </row>
        <row r="1651">
          <cell r="E1651" t="str">
            <v>13</v>
          </cell>
          <cell r="J1651">
            <v>0</v>
          </cell>
          <cell r="K1651">
            <v>0</v>
          </cell>
          <cell r="AL1651">
            <v>0</v>
          </cell>
          <cell r="BJ1651" t="str">
            <v>RSA</v>
          </cell>
        </row>
        <row r="1652">
          <cell r="E1652" t="str">
            <v>13</v>
          </cell>
          <cell r="J1652">
            <v>0</v>
          </cell>
          <cell r="K1652">
            <v>0</v>
          </cell>
          <cell r="AL1652">
            <v>0</v>
          </cell>
          <cell r="BJ1652" t="str">
            <v>RSA</v>
          </cell>
        </row>
        <row r="1653">
          <cell r="E1653" t="str">
            <v>13</v>
          </cell>
          <cell r="J1653">
            <v>0</v>
          </cell>
          <cell r="K1653">
            <v>0</v>
          </cell>
          <cell r="AL1653">
            <v>0</v>
          </cell>
          <cell r="BJ1653" t="str">
            <v>RSA</v>
          </cell>
        </row>
        <row r="1654">
          <cell r="E1654" t="str">
            <v>13</v>
          </cell>
          <cell r="J1654">
            <v>0</v>
          </cell>
          <cell r="K1654">
            <v>0</v>
          </cell>
          <cell r="AL1654">
            <v>0</v>
          </cell>
          <cell r="BJ1654" t="str">
            <v>RSA</v>
          </cell>
        </row>
        <row r="1655">
          <cell r="E1655" t="str">
            <v>13</v>
          </cell>
          <cell r="J1655">
            <v>0</v>
          </cell>
          <cell r="K1655">
            <v>0</v>
          </cell>
          <cell r="AL1655">
            <v>0</v>
          </cell>
          <cell r="BJ1655" t="str">
            <v>RSA</v>
          </cell>
        </row>
        <row r="1656">
          <cell r="E1656" t="str">
            <v>13</v>
          </cell>
          <cell r="J1656">
            <v>0</v>
          </cell>
          <cell r="K1656">
            <v>0</v>
          </cell>
          <cell r="AL1656">
            <v>0</v>
          </cell>
          <cell r="BJ1656" t="str">
            <v>RSA</v>
          </cell>
        </row>
        <row r="1657">
          <cell r="E1657" t="str">
            <v>13</v>
          </cell>
          <cell r="J1657">
            <v>0</v>
          </cell>
          <cell r="K1657">
            <v>0</v>
          </cell>
          <cell r="AL1657">
            <v>0</v>
          </cell>
          <cell r="BJ1657" t="str">
            <v>RSA</v>
          </cell>
        </row>
        <row r="1658">
          <cell r="E1658" t="str">
            <v>13</v>
          </cell>
          <cell r="J1658">
            <v>0</v>
          </cell>
          <cell r="K1658">
            <v>0</v>
          </cell>
          <cell r="AL1658">
            <v>0</v>
          </cell>
          <cell r="BJ1658" t="str">
            <v>RSA</v>
          </cell>
        </row>
        <row r="1659">
          <cell r="E1659" t="str">
            <v>13</v>
          </cell>
          <cell r="J1659">
            <v>0</v>
          </cell>
          <cell r="K1659">
            <v>0</v>
          </cell>
          <cell r="AL1659">
            <v>0</v>
          </cell>
          <cell r="BJ1659" t="str">
            <v>RSA</v>
          </cell>
        </row>
        <row r="1660">
          <cell r="E1660" t="str">
            <v>13</v>
          </cell>
          <cell r="J1660">
            <v>0</v>
          </cell>
          <cell r="K1660">
            <v>7675.9300000000076</v>
          </cell>
          <cell r="AL1660">
            <v>0</v>
          </cell>
          <cell r="BJ1660" t="str">
            <v>RSA</v>
          </cell>
        </row>
        <row r="1661">
          <cell r="E1661" t="str">
            <v>13</v>
          </cell>
          <cell r="J1661">
            <v>0</v>
          </cell>
          <cell r="K1661">
            <v>0</v>
          </cell>
          <cell r="AL1661">
            <v>0</v>
          </cell>
          <cell r="BJ1661" t="str">
            <v>RSA</v>
          </cell>
        </row>
        <row r="1662">
          <cell r="E1662" t="str">
            <v>13</v>
          </cell>
          <cell r="J1662">
            <v>0</v>
          </cell>
          <cell r="K1662">
            <v>4210.4499999999971</v>
          </cell>
          <cell r="AL1662">
            <v>0</v>
          </cell>
          <cell r="BJ1662" t="str">
            <v>RSA</v>
          </cell>
        </row>
        <row r="1663">
          <cell r="E1663" t="str">
            <v>13</v>
          </cell>
          <cell r="J1663">
            <v>0</v>
          </cell>
          <cell r="K1663">
            <v>346376.80999999994</v>
          </cell>
          <cell r="AL1663">
            <v>0</v>
          </cell>
          <cell r="BJ1663" t="str">
            <v>RSA</v>
          </cell>
        </row>
        <row r="1664">
          <cell r="E1664" t="str">
            <v>13</v>
          </cell>
          <cell r="J1664">
            <v>0</v>
          </cell>
          <cell r="K1664">
            <v>0</v>
          </cell>
          <cell r="AL1664">
            <v>0</v>
          </cell>
          <cell r="BJ1664" t="str">
            <v>RSA</v>
          </cell>
        </row>
        <row r="1665">
          <cell r="E1665" t="str">
            <v>11</v>
          </cell>
          <cell r="J1665">
            <v>0</v>
          </cell>
          <cell r="K1665">
            <v>0</v>
          </cell>
          <cell r="AL1665">
            <v>0</v>
          </cell>
          <cell r="BJ1665" t="str">
            <v>RSA</v>
          </cell>
        </row>
        <row r="1666">
          <cell r="E1666" t="str">
            <v>13</v>
          </cell>
          <cell r="J1666">
            <v>0</v>
          </cell>
          <cell r="K1666">
            <v>0</v>
          </cell>
          <cell r="AL1666">
            <v>0</v>
          </cell>
          <cell r="BJ1666" t="str">
            <v>RSA</v>
          </cell>
        </row>
        <row r="1667">
          <cell r="E1667" t="str">
            <v>11</v>
          </cell>
          <cell r="J1667">
            <v>0</v>
          </cell>
          <cell r="K1667">
            <v>0</v>
          </cell>
          <cell r="AL1667">
            <v>0</v>
          </cell>
          <cell r="BJ1667" t="str">
            <v>RSA</v>
          </cell>
        </row>
        <row r="1668">
          <cell r="E1668" t="str">
            <v>13</v>
          </cell>
          <cell r="J1668">
            <v>0</v>
          </cell>
          <cell r="K1668">
            <v>0</v>
          </cell>
          <cell r="AL1668">
            <v>0</v>
          </cell>
          <cell r="BJ1668" t="str">
            <v>RSA</v>
          </cell>
        </row>
        <row r="1669">
          <cell r="E1669" t="str">
            <v>11</v>
          </cell>
          <cell r="J1669">
            <v>0</v>
          </cell>
          <cell r="K1669">
            <v>0</v>
          </cell>
          <cell r="AL1669">
            <v>0</v>
          </cell>
          <cell r="BJ1669" t="str">
            <v>RSA</v>
          </cell>
        </row>
        <row r="1670">
          <cell r="E1670" t="str">
            <v>13</v>
          </cell>
          <cell r="J1670">
            <v>0</v>
          </cell>
          <cell r="K1670">
            <v>0</v>
          </cell>
          <cell r="AL1670">
            <v>0</v>
          </cell>
          <cell r="BJ1670" t="str">
            <v>RSA</v>
          </cell>
        </row>
        <row r="1671">
          <cell r="E1671" t="str">
            <v>13</v>
          </cell>
          <cell r="J1671">
            <v>0</v>
          </cell>
          <cell r="K1671">
            <v>0</v>
          </cell>
          <cell r="AL1671">
            <v>0</v>
          </cell>
          <cell r="BJ1671" t="str">
            <v>RSA</v>
          </cell>
        </row>
        <row r="1672">
          <cell r="E1672" t="str">
            <v>13</v>
          </cell>
          <cell r="J1672">
            <v>0</v>
          </cell>
          <cell r="K1672">
            <v>0</v>
          </cell>
          <cell r="AL1672">
            <v>0</v>
          </cell>
          <cell r="BJ1672" t="str">
            <v>RSA</v>
          </cell>
        </row>
        <row r="1673">
          <cell r="E1673" t="str">
            <v>13</v>
          </cell>
          <cell r="J1673">
            <v>0</v>
          </cell>
          <cell r="K1673">
            <v>0</v>
          </cell>
          <cell r="AL1673">
            <v>0</v>
          </cell>
          <cell r="BJ1673" t="str">
            <v>RSA</v>
          </cell>
        </row>
        <row r="1674">
          <cell r="E1674" t="str">
            <v>20</v>
          </cell>
          <cell r="J1674">
            <v>1000</v>
          </cell>
          <cell r="K1674">
            <v>0</v>
          </cell>
          <cell r="AL1674">
            <v>0</v>
          </cell>
          <cell r="BJ1674" t="str">
            <v>RSA</v>
          </cell>
        </row>
        <row r="1675">
          <cell r="E1675" t="str">
            <v>20</v>
          </cell>
          <cell r="J1675">
            <v>0</v>
          </cell>
          <cell r="K1675">
            <v>0</v>
          </cell>
          <cell r="AL1675">
            <v>0</v>
          </cell>
          <cell r="BJ1675" t="str">
            <v>RSA</v>
          </cell>
        </row>
        <row r="1676">
          <cell r="E1676" t="str">
            <v>21</v>
          </cell>
          <cell r="J1676">
            <v>0</v>
          </cell>
          <cell r="K1676">
            <v>0</v>
          </cell>
          <cell r="AL1676">
            <v>0</v>
          </cell>
          <cell r="BJ1676" t="str">
            <v>RSA</v>
          </cell>
        </row>
        <row r="1677">
          <cell r="E1677" t="str">
            <v>24</v>
          </cell>
          <cell r="J1677">
            <v>0</v>
          </cell>
          <cell r="K1677">
            <v>0</v>
          </cell>
          <cell r="AL1677">
            <v>0</v>
          </cell>
          <cell r="BJ1677" t="str">
            <v>RSA</v>
          </cell>
        </row>
        <row r="1678">
          <cell r="E1678" t="str">
            <v>24</v>
          </cell>
          <cell r="J1678">
            <v>0</v>
          </cell>
          <cell r="K1678">
            <v>0</v>
          </cell>
          <cell r="AL1678">
            <v>0</v>
          </cell>
          <cell r="BJ1678" t="str">
            <v>RSA</v>
          </cell>
        </row>
        <row r="1679">
          <cell r="E1679" t="str">
            <v>24</v>
          </cell>
          <cell r="J1679">
            <v>0</v>
          </cell>
          <cell r="K1679">
            <v>0</v>
          </cell>
          <cell r="AL1679">
            <v>0</v>
          </cell>
          <cell r="BJ1679" t="str">
            <v>RSA</v>
          </cell>
        </row>
        <row r="1680">
          <cell r="E1680" t="str">
            <v>24</v>
          </cell>
          <cell r="J1680">
            <v>0</v>
          </cell>
          <cell r="K1680">
            <v>0</v>
          </cell>
          <cell r="AL1680">
            <v>0</v>
          </cell>
          <cell r="BJ1680" t="str">
            <v>RSA</v>
          </cell>
        </row>
        <row r="1681">
          <cell r="E1681" t="str">
            <v>24</v>
          </cell>
          <cell r="J1681">
            <v>0</v>
          </cell>
          <cell r="K1681">
            <v>0</v>
          </cell>
          <cell r="AL1681">
            <v>0</v>
          </cell>
          <cell r="BJ1681" t="str">
            <v>RSA</v>
          </cell>
        </row>
        <row r="1682">
          <cell r="E1682" t="str">
            <v>24</v>
          </cell>
          <cell r="J1682">
            <v>0</v>
          </cell>
          <cell r="K1682">
            <v>0</v>
          </cell>
          <cell r="AL1682">
            <v>0</v>
          </cell>
          <cell r="BJ1682" t="str">
            <v>RSA</v>
          </cell>
        </row>
        <row r="1683">
          <cell r="E1683" t="str">
            <v>24</v>
          </cell>
          <cell r="J1683">
            <v>0</v>
          </cell>
          <cell r="K1683">
            <v>0</v>
          </cell>
          <cell r="AL1683">
            <v>0</v>
          </cell>
          <cell r="BJ1683" t="str">
            <v>RSA</v>
          </cell>
        </row>
        <row r="1684">
          <cell r="E1684" t="str">
            <v>24</v>
          </cell>
          <cell r="J1684">
            <v>0</v>
          </cell>
          <cell r="K1684">
            <v>0</v>
          </cell>
          <cell r="AL1684">
            <v>0</v>
          </cell>
          <cell r="BJ1684" t="str">
            <v>RSA</v>
          </cell>
        </row>
        <row r="1685">
          <cell r="E1685" t="str">
            <v>24</v>
          </cell>
          <cell r="J1685">
            <v>0</v>
          </cell>
          <cell r="K1685">
            <v>0</v>
          </cell>
          <cell r="AL1685">
            <v>0</v>
          </cell>
          <cell r="BJ1685" t="str">
            <v>RSA</v>
          </cell>
        </row>
        <row r="1686">
          <cell r="E1686" t="str">
            <v>24</v>
          </cell>
          <cell r="J1686">
            <v>0</v>
          </cell>
          <cell r="K1686">
            <v>0</v>
          </cell>
          <cell r="AL1686">
            <v>0</v>
          </cell>
          <cell r="BJ1686" t="str">
            <v>RSA</v>
          </cell>
        </row>
        <row r="1687">
          <cell r="E1687" t="str">
            <v>24</v>
          </cell>
          <cell r="J1687">
            <v>0</v>
          </cell>
          <cell r="K1687">
            <v>0</v>
          </cell>
          <cell r="AL1687">
            <v>0</v>
          </cell>
          <cell r="BJ1687" t="str">
            <v>RSA</v>
          </cell>
        </row>
        <row r="1688">
          <cell r="E1688" t="str">
            <v>24</v>
          </cell>
          <cell r="J1688">
            <v>0</v>
          </cell>
          <cell r="K1688">
            <v>0</v>
          </cell>
          <cell r="AL1688">
            <v>0</v>
          </cell>
          <cell r="BJ1688" t="str">
            <v>RSA</v>
          </cell>
        </row>
        <row r="1689">
          <cell r="E1689" t="str">
            <v>24</v>
          </cell>
          <cell r="J1689">
            <v>5.8207660913467407E-11</v>
          </cell>
          <cell r="K1689">
            <v>0</v>
          </cell>
          <cell r="AL1689">
            <v>0</v>
          </cell>
          <cell r="BJ1689" t="str">
            <v>RSA</v>
          </cell>
        </row>
        <row r="1690">
          <cell r="E1690" t="str">
            <v>24</v>
          </cell>
          <cell r="J1690">
            <v>0</v>
          </cell>
          <cell r="K1690">
            <v>0</v>
          </cell>
          <cell r="AL1690">
            <v>0</v>
          </cell>
          <cell r="BJ1690" t="str">
            <v>RSA</v>
          </cell>
        </row>
        <row r="1691">
          <cell r="E1691" t="str">
            <v>24</v>
          </cell>
          <cell r="J1691">
            <v>0</v>
          </cell>
          <cell r="K1691">
            <v>0</v>
          </cell>
          <cell r="AL1691">
            <v>0</v>
          </cell>
          <cell r="BJ1691" t="str">
            <v>RSA</v>
          </cell>
        </row>
        <row r="1692">
          <cell r="E1692" t="str">
            <v>24</v>
          </cell>
          <cell r="J1692">
            <v>0</v>
          </cell>
          <cell r="K1692">
            <v>0</v>
          </cell>
          <cell r="AL1692">
            <v>0</v>
          </cell>
          <cell r="BJ1692" t="str">
            <v>RSA</v>
          </cell>
        </row>
        <row r="1693">
          <cell r="E1693" t="str">
            <v>24</v>
          </cell>
          <cell r="J1693">
            <v>0</v>
          </cell>
          <cell r="K1693">
            <v>0</v>
          </cell>
          <cell r="AL1693">
            <v>0</v>
          </cell>
          <cell r="BJ1693" t="str">
            <v>RSA</v>
          </cell>
        </row>
        <row r="1694">
          <cell r="E1694" t="str">
            <v>24</v>
          </cell>
          <cell r="J1694">
            <v>0</v>
          </cell>
          <cell r="K1694">
            <v>0</v>
          </cell>
          <cell r="AL1694">
            <v>0</v>
          </cell>
          <cell r="BJ1694" t="str">
            <v>RSA</v>
          </cell>
        </row>
        <row r="1695">
          <cell r="E1695" t="str">
            <v>24</v>
          </cell>
          <cell r="J1695">
            <v>0</v>
          </cell>
          <cell r="K1695">
            <v>0</v>
          </cell>
          <cell r="AL1695">
            <v>0</v>
          </cell>
          <cell r="BJ1695" t="str">
            <v>RSA</v>
          </cell>
        </row>
        <row r="1696">
          <cell r="E1696" t="str">
            <v>24</v>
          </cell>
          <cell r="J1696">
            <v>0</v>
          </cell>
          <cell r="K1696">
            <v>0</v>
          </cell>
          <cell r="AL1696">
            <v>0</v>
          </cell>
          <cell r="BJ1696" t="str">
            <v>RSA</v>
          </cell>
        </row>
        <row r="1697">
          <cell r="E1697" t="str">
            <v>24</v>
          </cell>
          <cell r="J1697">
            <v>600832.42000000016</v>
          </cell>
          <cell r="K1697">
            <v>-101330.85000000009</v>
          </cell>
          <cell r="AL1697">
            <v>0</v>
          </cell>
          <cell r="BJ1697" t="str">
            <v>RSA</v>
          </cell>
        </row>
        <row r="1698">
          <cell r="E1698" t="str">
            <v>24</v>
          </cell>
          <cell r="J1698">
            <v>0</v>
          </cell>
          <cell r="K1698">
            <v>0</v>
          </cell>
          <cell r="AL1698">
            <v>0</v>
          </cell>
          <cell r="BJ1698" t="str">
            <v>RSA</v>
          </cell>
        </row>
        <row r="1699">
          <cell r="E1699" t="str">
            <v>24</v>
          </cell>
          <cell r="J1699">
            <v>0</v>
          </cell>
          <cell r="K1699">
            <v>0</v>
          </cell>
          <cell r="AL1699">
            <v>0</v>
          </cell>
          <cell r="BJ1699" t="str">
            <v>RSA</v>
          </cell>
        </row>
        <row r="1700">
          <cell r="E1700" t="str">
            <v>24</v>
          </cell>
          <cell r="J1700">
            <v>0</v>
          </cell>
          <cell r="K1700">
            <v>0</v>
          </cell>
          <cell r="AL1700">
            <v>0</v>
          </cell>
          <cell r="BJ1700" t="str">
            <v>RSA</v>
          </cell>
        </row>
        <row r="1701">
          <cell r="E1701" t="str">
            <v>24</v>
          </cell>
          <cell r="J1701">
            <v>0</v>
          </cell>
          <cell r="K1701">
            <v>0</v>
          </cell>
          <cell r="AL1701">
            <v>0</v>
          </cell>
          <cell r="BJ1701" t="str">
            <v>RSA</v>
          </cell>
        </row>
        <row r="1702">
          <cell r="E1702" t="str">
            <v>24</v>
          </cell>
          <cell r="J1702">
            <v>0</v>
          </cell>
          <cell r="K1702">
            <v>0</v>
          </cell>
          <cell r="AL1702">
            <v>0</v>
          </cell>
          <cell r="BJ1702" t="str">
            <v>RSA</v>
          </cell>
        </row>
        <row r="1703">
          <cell r="E1703" t="str">
            <v>24</v>
          </cell>
          <cell r="J1703">
            <v>0</v>
          </cell>
          <cell r="K1703">
            <v>0</v>
          </cell>
          <cell r="AL1703">
            <v>0</v>
          </cell>
          <cell r="BJ1703" t="str">
            <v>RSA</v>
          </cell>
        </row>
        <row r="1704">
          <cell r="E1704" t="str">
            <v>24</v>
          </cell>
          <cell r="J1704">
            <v>0</v>
          </cell>
          <cell r="K1704">
            <v>0</v>
          </cell>
          <cell r="AL1704">
            <v>0</v>
          </cell>
          <cell r="BJ1704" t="str">
            <v>RSA</v>
          </cell>
        </row>
        <row r="1705">
          <cell r="E1705" t="str">
            <v>24</v>
          </cell>
          <cell r="J1705">
            <v>0</v>
          </cell>
          <cell r="K1705">
            <v>0</v>
          </cell>
          <cell r="AL1705">
            <v>0</v>
          </cell>
          <cell r="BJ1705" t="str">
            <v>RSA</v>
          </cell>
        </row>
        <row r="1706">
          <cell r="E1706" t="str">
            <v>24</v>
          </cell>
          <cell r="J1706">
            <v>1318000.6499999994</v>
          </cell>
          <cell r="K1706">
            <v>339180</v>
          </cell>
          <cell r="AL1706">
            <v>0</v>
          </cell>
          <cell r="BJ1706" t="str">
            <v>RSA</v>
          </cell>
        </row>
        <row r="1707">
          <cell r="E1707" t="str">
            <v>24</v>
          </cell>
          <cell r="J1707">
            <v>0</v>
          </cell>
          <cell r="K1707">
            <v>0</v>
          </cell>
          <cell r="AL1707">
            <v>0</v>
          </cell>
          <cell r="BJ1707" t="str">
            <v>RSA</v>
          </cell>
        </row>
        <row r="1708">
          <cell r="E1708" t="str">
            <v>24</v>
          </cell>
          <cell r="J1708">
            <v>0</v>
          </cell>
          <cell r="K1708">
            <v>0</v>
          </cell>
          <cell r="AL1708">
            <v>0</v>
          </cell>
          <cell r="BJ1708" t="str">
            <v>RSA</v>
          </cell>
        </row>
        <row r="1709">
          <cell r="E1709" t="str">
            <v>38</v>
          </cell>
          <cell r="J1709">
            <v>0</v>
          </cell>
          <cell r="K1709">
            <v>0</v>
          </cell>
          <cell r="AL1709">
            <v>0</v>
          </cell>
          <cell r="BJ1709" t="str">
            <v>RSA</v>
          </cell>
        </row>
        <row r="1710">
          <cell r="E1710" t="str">
            <v>38</v>
          </cell>
          <cell r="J1710">
            <v>3500</v>
          </cell>
          <cell r="K1710">
            <v>0</v>
          </cell>
          <cell r="AL1710">
            <v>0</v>
          </cell>
          <cell r="BJ1710" t="str">
            <v>RSA</v>
          </cell>
        </row>
        <row r="1711">
          <cell r="E1711" t="str">
            <v>38</v>
          </cell>
          <cell r="J1711">
            <v>0</v>
          </cell>
          <cell r="K1711">
            <v>0</v>
          </cell>
          <cell r="AL1711">
            <v>0</v>
          </cell>
          <cell r="BJ1711" t="str">
            <v>RSA</v>
          </cell>
        </row>
        <row r="1712">
          <cell r="E1712" t="str">
            <v>38</v>
          </cell>
          <cell r="J1712">
            <v>0</v>
          </cell>
          <cell r="K1712">
            <v>0</v>
          </cell>
          <cell r="AL1712">
            <v>0</v>
          </cell>
          <cell r="BJ1712" t="str">
            <v>RSA</v>
          </cell>
        </row>
        <row r="1713">
          <cell r="E1713" t="str">
            <v>38</v>
          </cell>
          <cell r="J1713">
            <v>0</v>
          </cell>
          <cell r="K1713">
            <v>0</v>
          </cell>
          <cell r="AL1713">
            <v>0</v>
          </cell>
          <cell r="BJ1713" t="str">
            <v>RSA</v>
          </cell>
        </row>
        <row r="1714">
          <cell r="E1714" t="str">
            <v>38</v>
          </cell>
          <cell r="J1714">
            <v>0</v>
          </cell>
          <cell r="K1714">
            <v>0</v>
          </cell>
          <cell r="AL1714">
            <v>0</v>
          </cell>
          <cell r="BJ1714" t="str">
            <v>RSA</v>
          </cell>
        </row>
        <row r="1715">
          <cell r="E1715" t="str">
            <v>38</v>
          </cell>
          <cell r="J1715">
            <v>0</v>
          </cell>
          <cell r="K1715">
            <v>0</v>
          </cell>
          <cell r="AL1715">
            <v>0</v>
          </cell>
          <cell r="BJ1715" t="str">
            <v>RSA</v>
          </cell>
        </row>
        <row r="1716">
          <cell r="E1716" t="str">
            <v>38</v>
          </cell>
          <cell r="J1716">
            <v>0</v>
          </cell>
          <cell r="K1716">
            <v>0</v>
          </cell>
          <cell r="AL1716">
            <v>0</v>
          </cell>
          <cell r="BJ1716" t="str">
            <v>RSA</v>
          </cell>
        </row>
        <row r="1717">
          <cell r="E1717" t="str">
            <v>38</v>
          </cell>
          <cell r="J1717">
            <v>0</v>
          </cell>
          <cell r="K1717">
            <v>0</v>
          </cell>
          <cell r="AL1717">
            <v>0</v>
          </cell>
          <cell r="BJ1717" t="str">
            <v>RSA</v>
          </cell>
        </row>
        <row r="1718">
          <cell r="E1718" t="str">
            <v>38</v>
          </cell>
          <cell r="J1718">
            <v>0</v>
          </cell>
          <cell r="K1718">
            <v>0</v>
          </cell>
          <cell r="AL1718">
            <v>0</v>
          </cell>
          <cell r="BJ1718" t="str">
            <v>RSA</v>
          </cell>
        </row>
        <row r="1719">
          <cell r="E1719" t="str">
            <v>38</v>
          </cell>
          <cell r="J1719">
            <v>-1.1641532182693481E-10</v>
          </cell>
          <cell r="K1719">
            <v>0</v>
          </cell>
          <cell r="AL1719">
            <v>0</v>
          </cell>
          <cell r="BJ1719" t="str">
            <v>RSA</v>
          </cell>
        </row>
        <row r="1720">
          <cell r="E1720" t="str">
            <v>38</v>
          </cell>
          <cell r="J1720">
            <v>0</v>
          </cell>
          <cell r="K1720">
            <v>0</v>
          </cell>
          <cell r="AL1720">
            <v>0</v>
          </cell>
          <cell r="BJ1720" t="str">
            <v>RSA</v>
          </cell>
        </row>
        <row r="1721">
          <cell r="E1721" t="str">
            <v>38</v>
          </cell>
          <cell r="J1721">
            <v>0</v>
          </cell>
          <cell r="K1721">
            <v>0</v>
          </cell>
          <cell r="AL1721">
            <v>0</v>
          </cell>
          <cell r="BJ1721" t="str">
            <v>RSA</v>
          </cell>
        </row>
        <row r="1722">
          <cell r="E1722" t="str">
            <v>38</v>
          </cell>
          <cell r="J1722">
            <v>0</v>
          </cell>
          <cell r="K1722">
            <v>0</v>
          </cell>
          <cell r="AL1722">
            <v>0</v>
          </cell>
          <cell r="BJ1722" t="str">
            <v>RSA</v>
          </cell>
        </row>
        <row r="1723">
          <cell r="E1723" t="str">
            <v>38</v>
          </cell>
          <cell r="J1723">
            <v>0</v>
          </cell>
          <cell r="K1723">
            <v>0</v>
          </cell>
          <cell r="AL1723">
            <v>0</v>
          </cell>
          <cell r="BJ1723" t="str">
            <v>RSA</v>
          </cell>
        </row>
        <row r="1724">
          <cell r="E1724" t="str">
            <v>38</v>
          </cell>
          <cell r="J1724">
            <v>313948.56</v>
          </cell>
          <cell r="K1724">
            <v>102539.85000000003</v>
          </cell>
          <cell r="AL1724">
            <v>0</v>
          </cell>
          <cell r="BJ1724" t="str">
            <v>RSA</v>
          </cell>
        </row>
        <row r="1725">
          <cell r="E1725" t="str">
            <v>38</v>
          </cell>
          <cell r="J1725">
            <v>0</v>
          </cell>
          <cell r="K1725">
            <v>0</v>
          </cell>
          <cell r="AL1725">
            <v>0</v>
          </cell>
          <cell r="BJ1725" t="str">
            <v>RSA</v>
          </cell>
        </row>
        <row r="1726">
          <cell r="E1726" t="str">
            <v>38</v>
          </cell>
          <cell r="J1726">
            <v>0</v>
          </cell>
          <cell r="K1726">
            <v>0</v>
          </cell>
          <cell r="AL1726">
            <v>0</v>
          </cell>
          <cell r="BJ1726" t="str">
            <v>RSA</v>
          </cell>
        </row>
        <row r="1727">
          <cell r="E1727" t="str">
            <v>38</v>
          </cell>
          <cell r="J1727">
            <v>0</v>
          </cell>
          <cell r="K1727">
            <v>0</v>
          </cell>
          <cell r="AL1727">
            <v>0</v>
          </cell>
          <cell r="BJ1727" t="str">
            <v>RSA</v>
          </cell>
        </row>
        <row r="1728">
          <cell r="E1728" t="str">
            <v>38</v>
          </cell>
          <cell r="J1728">
            <v>0</v>
          </cell>
          <cell r="K1728">
            <v>0</v>
          </cell>
          <cell r="AL1728">
            <v>0</v>
          </cell>
          <cell r="BJ1728" t="str">
            <v>RSA</v>
          </cell>
        </row>
        <row r="1729">
          <cell r="E1729" t="str">
            <v>38</v>
          </cell>
          <cell r="J1729">
            <v>0</v>
          </cell>
          <cell r="K1729">
            <v>0</v>
          </cell>
          <cell r="AL1729">
            <v>0</v>
          </cell>
          <cell r="BJ1729" t="str">
            <v>RSA</v>
          </cell>
        </row>
        <row r="1730">
          <cell r="E1730" t="str">
            <v>38</v>
          </cell>
          <cell r="J1730">
            <v>0</v>
          </cell>
          <cell r="K1730">
            <v>0</v>
          </cell>
          <cell r="AL1730">
            <v>0</v>
          </cell>
          <cell r="BJ1730" t="str">
            <v>RSA</v>
          </cell>
        </row>
        <row r="1731">
          <cell r="E1731" t="str">
            <v>38</v>
          </cell>
          <cell r="J1731">
            <v>0</v>
          </cell>
          <cell r="K1731">
            <v>0</v>
          </cell>
          <cell r="AL1731">
            <v>0</v>
          </cell>
          <cell r="BJ1731" t="str">
            <v>RSA</v>
          </cell>
        </row>
        <row r="1732">
          <cell r="E1732" t="str">
            <v>38</v>
          </cell>
          <cell r="J1732">
            <v>0</v>
          </cell>
          <cell r="K1732">
            <v>0</v>
          </cell>
          <cell r="AL1732">
            <v>0</v>
          </cell>
          <cell r="BJ1732" t="str">
            <v>RSA</v>
          </cell>
        </row>
        <row r="1733">
          <cell r="E1733" t="str">
            <v>38</v>
          </cell>
          <cell r="J1733">
            <v>0</v>
          </cell>
          <cell r="K1733">
            <v>0</v>
          </cell>
          <cell r="AL1733">
            <v>0</v>
          </cell>
          <cell r="BJ1733" t="str">
            <v>RSA</v>
          </cell>
        </row>
        <row r="1734">
          <cell r="E1734" t="str">
            <v>38</v>
          </cell>
          <cell r="J1734">
            <v>0</v>
          </cell>
          <cell r="K1734">
            <v>0</v>
          </cell>
          <cell r="AL1734">
            <v>0</v>
          </cell>
          <cell r="BJ1734" t="str">
            <v>RSA</v>
          </cell>
        </row>
        <row r="1735">
          <cell r="E1735" t="str">
            <v>38</v>
          </cell>
          <cell r="J1735">
            <v>0</v>
          </cell>
          <cell r="K1735">
            <v>0</v>
          </cell>
          <cell r="AL1735">
            <v>0</v>
          </cell>
          <cell r="BJ1735" t="str">
            <v>RSA</v>
          </cell>
        </row>
        <row r="1736">
          <cell r="E1736" t="str">
            <v>38</v>
          </cell>
          <cell r="J1736">
            <v>0</v>
          </cell>
          <cell r="K1736">
            <v>0</v>
          </cell>
          <cell r="AL1736">
            <v>0</v>
          </cell>
          <cell r="BJ1736" t="str">
            <v>RSA</v>
          </cell>
        </row>
        <row r="1737">
          <cell r="E1737" t="str">
            <v>38</v>
          </cell>
          <cell r="J1737">
            <v>0</v>
          </cell>
          <cell r="K1737">
            <v>0</v>
          </cell>
          <cell r="AL1737">
            <v>0</v>
          </cell>
          <cell r="BJ1737" t="str">
            <v>RSA</v>
          </cell>
        </row>
        <row r="1738">
          <cell r="E1738" t="str">
            <v>35</v>
          </cell>
          <cell r="J1738">
            <v>0</v>
          </cell>
          <cell r="K1738">
            <v>0</v>
          </cell>
          <cell r="AL1738">
            <v>0</v>
          </cell>
          <cell r="BJ1738" t="str">
            <v>RSA</v>
          </cell>
        </row>
        <row r="1739">
          <cell r="E1739" t="str">
            <v>35</v>
          </cell>
          <cell r="J1739">
            <v>0</v>
          </cell>
          <cell r="K1739">
            <v>0</v>
          </cell>
          <cell r="AL1739">
            <v>0</v>
          </cell>
          <cell r="BJ1739" t="str">
            <v>RSA</v>
          </cell>
        </row>
        <row r="1740">
          <cell r="E1740" t="str">
            <v>35</v>
          </cell>
          <cell r="J1740">
            <v>92587.94</v>
          </cell>
          <cell r="K1740">
            <v>4844</v>
          </cell>
          <cell r="AL1740">
            <v>0</v>
          </cell>
          <cell r="BJ1740" t="str">
            <v>RSA</v>
          </cell>
        </row>
        <row r="1741">
          <cell r="E1741" t="str">
            <v>35</v>
          </cell>
          <cell r="J1741">
            <v>-16610.239999999998</v>
          </cell>
          <cell r="K1741">
            <v>-2621.2099999999991</v>
          </cell>
          <cell r="AL1741">
            <v>0</v>
          </cell>
          <cell r="BJ1741" t="str">
            <v>RSA</v>
          </cell>
        </row>
        <row r="1742">
          <cell r="E1742" t="str">
            <v>35</v>
          </cell>
          <cell r="J1742">
            <v>550563.72</v>
          </cell>
          <cell r="K1742">
            <v>5306.6999999999534</v>
          </cell>
          <cell r="AL1742">
            <v>0</v>
          </cell>
          <cell r="BJ1742" t="str">
            <v>RSA</v>
          </cell>
        </row>
        <row r="1743">
          <cell r="E1743" t="str">
            <v>35</v>
          </cell>
          <cell r="J1743">
            <v>-48974.009999999995</v>
          </cell>
          <cell r="K1743">
            <v>-7868.489999999998</v>
          </cell>
          <cell r="AL1743">
            <v>0</v>
          </cell>
          <cell r="BJ1743" t="str">
            <v>RSA</v>
          </cell>
        </row>
        <row r="1744">
          <cell r="E1744" t="str">
            <v>35</v>
          </cell>
          <cell r="J1744">
            <v>0</v>
          </cell>
          <cell r="K1744">
            <v>0</v>
          </cell>
          <cell r="AL1744">
            <v>0</v>
          </cell>
          <cell r="BJ1744" t="str">
            <v>RSA</v>
          </cell>
        </row>
        <row r="1745">
          <cell r="E1745" t="str">
            <v>35</v>
          </cell>
          <cell r="J1745">
            <v>0</v>
          </cell>
          <cell r="K1745">
            <v>0</v>
          </cell>
          <cell r="AL1745">
            <v>0</v>
          </cell>
          <cell r="BJ1745" t="str">
            <v>RSA</v>
          </cell>
        </row>
        <row r="1746">
          <cell r="E1746" t="str">
            <v>35</v>
          </cell>
          <cell r="J1746">
            <v>59649.13</v>
          </cell>
          <cell r="K1746">
            <v>0</v>
          </cell>
          <cell r="AL1746">
            <v>0</v>
          </cell>
          <cell r="BJ1746" t="str">
            <v>RSA</v>
          </cell>
        </row>
        <row r="1747">
          <cell r="E1747" t="str">
            <v>35</v>
          </cell>
          <cell r="J1747">
            <v>-5706.32</v>
          </cell>
          <cell r="K1747">
            <v>-1013.2200000000003</v>
          </cell>
          <cell r="AL1747">
            <v>0</v>
          </cell>
          <cell r="BJ1747" t="str">
            <v>RSA</v>
          </cell>
        </row>
        <row r="1748">
          <cell r="E1748" t="str">
            <v>35</v>
          </cell>
          <cell r="J1748">
            <v>27259.32</v>
          </cell>
          <cell r="K1748">
            <v>0</v>
          </cell>
          <cell r="AL1748">
            <v>0</v>
          </cell>
          <cell r="BJ1748" t="str">
            <v>RSA</v>
          </cell>
        </row>
        <row r="1749">
          <cell r="E1749" t="str">
            <v>35</v>
          </cell>
          <cell r="J1749">
            <v>-4089</v>
          </cell>
          <cell r="K1749">
            <v>0</v>
          </cell>
          <cell r="AL1749">
            <v>0</v>
          </cell>
          <cell r="BJ1749" t="str">
            <v>RSA</v>
          </cell>
        </row>
        <row r="1750">
          <cell r="E1750" t="str">
            <v>35</v>
          </cell>
          <cell r="J1750">
            <v>620525.07000000007</v>
          </cell>
          <cell r="K1750">
            <v>0</v>
          </cell>
          <cell r="AL1750">
            <v>0</v>
          </cell>
          <cell r="BJ1750" t="str">
            <v>RSA</v>
          </cell>
        </row>
        <row r="1751">
          <cell r="E1751" t="str">
            <v>35</v>
          </cell>
          <cell r="J1751">
            <v>-88609.570000000094</v>
          </cell>
          <cell r="K1751">
            <v>-10602.770000000019</v>
          </cell>
          <cell r="AL1751">
            <v>0</v>
          </cell>
          <cell r="BJ1751" t="str">
            <v>RSA</v>
          </cell>
        </row>
        <row r="1752">
          <cell r="E1752" t="str">
            <v>47</v>
          </cell>
          <cell r="J1752">
            <v>0</v>
          </cell>
          <cell r="K1752">
            <v>0</v>
          </cell>
          <cell r="AL1752">
            <v>0</v>
          </cell>
          <cell r="BJ1752" t="str">
            <v>RSA</v>
          </cell>
        </row>
        <row r="1753">
          <cell r="E1753" t="str">
            <v>46</v>
          </cell>
          <cell r="J1753">
            <v>47027.999999999767</v>
          </cell>
          <cell r="K1753">
            <v>0</v>
          </cell>
          <cell r="AL1753">
            <v>0</v>
          </cell>
          <cell r="BJ1753" t="str">
            <v>RSA</v>
          </cell>
        </row>
        <row r="1754">
          <cell r="E1754" t="str">
            <v>47</v>
          </cell>
          <cell r="J1754">
            <v>0</v>
          </cell>
          <cell r="K1754">
            <v>0</v>
          </cell>
          <cell r="AL1754">
            <v>0</v>
          </cell>
          <cell r="BJ1754" t="str">
            <v>RSA</v>
          </cell>
        </row>
        <row r="1755">
          <cell r="E1755" t="str">
            <v>47</v>
          </cell>
          <cell r="J1755">
            <v>0</v>
          </cell>
          <cell r="K1755">
            <v>0</v>
          </cell>
          <cell r="AL1755">
            <v>0</v>
          </cell>
          <cell r="BJ1755" t="str">
            <v>RSA</v>
          </cell>
        </row>
        <row r="1756">
          <cell r="E1756" t="str">
            <v>48</v>
          </cell>
          <cell r="J1756">
            <v>0</v>
          </cell>
          <cell r="K1756">
            <v>0</v>
          </cell>
          <cell r="AL1756">
            <v>0</v>
          </cell>
          <cell r="BJ1756" t="str">
            <v>RSA</v>
          </cell>
        </row>
        <row r="1757">
          <cell r="E1757" t="str">
            <v>47</v>
          </cell>
          <cell r="J1757">
            <v>0</v>
          </cell>
          <cell r="K1757">
            <v>0</v>
          </cell>
          <cell r="AL1757">
            <v>0</v>
          </cell>
          <cell r="BJ1757" t="str">
            <v>RSA</v>
          </cell>
        </row>
        <row r="1758">
          <cell r="E1758" t="str">
            <v>47</v>
          </cell>
          <cell r="J1758">
            <v>0</v>
          </cell>
          <cell r="K1758">
            <v>0</v>
          </cell>
          <cell r="AL1758">
            <v>0</v>
          </cell>
          <cell r="BJ1758" t="str">
            <v>RSA</v>
          </cell>
        </row>
        <row r="1759">
          <cell r="E1759" t="str">
            <v>47</v>
          </cell>
          <cell r="J1759">
            <v>0</v>
          </cell>
          <cell r="K1759">
            <v>0</v>
          </cell>
          <cell r="AL1759">
            <v>0</v>
          </cell>
          <cell r="BJ1759" t="str">
            <v>RSA</v>
          </cell>
        </row>
        <row r="1760">
          <cell r="E1760" t="str">
            <v>47</v>
          </cell>
          <cell r="J1760">
            <v>0</v>
          </cell>
          <cell r="K1760">
            <v>0</v>
          </cell>
          <cell r="AL1760">
            <v>0</v>
          </cell>
          <cell r="BJ1760" t="str">
            <v>RSA</v>
          </cell>
        </row>
        <row r="1761">
          <cell r="E1761" t="str">
            <v>47</v>
          </cell>
          <cell r="J1761">
            <v>0</v>
          </cell>
          <cell r="K1761">
            <v>0</v>
          </cell>
          <cell r="AL1761">
            <v>0</v>
          </cell>
          <cell r="BJ1761" t="str">
            <v>RSA</v>
          </cell>
        </row>
        <row r="1762">
          <cell r="E1762" t="str">
            <v>38</v>
          </cell>
          <cell r="J1762">
            <v>0</v>
          </cell>
          <cell r="K1762">
            <v>0</v>
          </cell>
          <cell r="AL1762">
            <v>0</v>
          </cell>
          <cell r="BJ1762" t="str">
            <v>RSA</v>
          </cell>
        </row>
        <row r="1763">
          <cell r="E1763" t="str">
            <v>38</v>
          </cell>
          <cell r="J1763">
            <v>0</v>
          </cell>
          <cell r="K1763">
            <v>0</v>
          </cell>
          <cell r="AL1763">
            <v>0</v>
          </cell>
          <cell r="BJ1763" t="str">
            <v>RSA</v>
          </cell>
        </row>
        <row r="1764">
          <cell r="E1764" t="str">
            <v>50</v>
          </cell>
          <cell r="J1764">
            <v>0</v>
          </cell>
          <cell r="K1764">
            <v>0</v>
          </cell>
          <cell r="AL1764">
            <v>0</v>
          </cell>
          <cell r="BJ1764" t="str">
            <v>RSA</v>
          </cell>
        </row>
        <row r="1765">
          <cell r="E1765" t="str">
            <v>45</v>
          </cell>
          <cell r="J1765">
            <v>295234.16000000015</v>
          </cell>
          <cell r="K1765">
            <v>-55689.259999999776</v>
          </cell>
          <cell r="AL1765">
            <v>0</v>
          </cell>
          <cell r="BJ1765" t="str">
            <v>RSA</v>
          </cell>
        </row>
        <row r="1766">
          <cell r="E1766" t="str">
            <v>45</v>
          </cell>
          <cell r="J1766">
            <v>14183.969999999943</v>
          </cell>
          <cell r="K1766">
            <v>0</v>
          </cell>
          <cell r="AL1766">
            <v>0</v>
          </cell>
          <cell r="BJ1766" t="str">
            <v>RSA</v>
          </cell>
        </row>
        <row r="1767">
          <cell r="E1767" t="str">
            <v>45</v>
          </cell>
          <cell r="J1767">
            <v>-18402.330000000002</v>
          </cell>
          <cell r="K1767">
            <v>-28844.790000000008</v>
          </cell>
          <cell r="AL1767">
            <v>0</v>
          </cell>
          <cell r="BJ1767" t="str">
            <v>RSA</v>
          </cell>
        </row>
        <row r="1768">
          <cell r="E1768" t="str">
            <v>45</v>
          </cell>
          <cell r="J1768">
            <v>-11830</v>
          </cell>
          <cell r="K1768">
            <v>-18224.089999999997</v>
          </cell>
          <cell r="AL1768">
            <v>0</v>
          </cell>
          <cell r="BJ1768" t="str">
            <v>RSA</v>
          </cell>
        </row>
        <row r="1769">
          <cell r="E1769" t="str">
            <v>45</v>
          </cell>
          <cell r="J1769">
            <v>0</v>
          </cell>
          <cell r="K1769">
            <v>0</v>
          </cell>
          <cell r="AL1769">
            <v>0</v>
          </cell>
          <cell r="BJ1769" t="str">
            <v>RSA</v>
          </cell>
        </row>
        <row r="1770">
          <cell r="E1770" t="str">
            <v>45</v>
          </cell>
          <cell r="J1770">
            <v>0</v>
          </cell>
          <cell r="K1770">
            <v>0</v>
          </cell>
          <cell r="AL1770">
            <v>0</v>
          </cell>
          <cell r="BJ1770" t="str">
            <v>RSA</v>
          </cell>
        </row>
        <row r="1771">
          <cell r="E1771" t="str">
            <v>45</v>
          </cell>
          <cell r="J1771">
            <v>0</v>
          </cell>
          <cell r="K1771">
            <v>0</v>
          </cell>
          <cell r="AL1771">
            <v>0</v>
          </cell>
          <cell r="BJ1771" t="str">
            <v>RSA</v>
          </cell>
        </row>
        <row r="1772">
          <cell r="E1772" t="str">
            <v>45</v>
          </cell>
          <cell r="J1772">
            <v>0</v>
          </cell>
          <cell r="K1772">
            <v>0</v>
          </cell>
          <cell r="AL1772">
            <v>0</v>
          </cell>
          <cell r="BJ1772" t="str">
            <v>RSA</v>
          </cell>
        </row>
        <row r="1773">
          <cell r="E1773" t="str">
            <v>45</v>
          </cell>
          <cell r="J1773">
            <v>0</v>
          </cell>
          <cell r="K1773">
            <v>0</v>
          </cell>
          <cell r="AL1773">
            <v>0</v>
          </cell>
          <cell r="BJ1773" t="str">
            <v>RSA</v>
          </cell>
        </row>
        <row r="1774">
          <cell r="E1774" t="str">
            <v>45</v>
          </cell>
          <cell r="J1774">
            <v>0</v>
          </cell>
          <cell r="K1774">
            <v>0</v>
          </cell>
          <cell r="AL1774">
            <v>0</v>
          </cell>
          <cell r="BJ1774" t="str">
            <v>RSA</v>
          </cell>
        </row>
        <row r="1775">
          <cell r="E1775" t="str">
            <v>45</v>
          </cell>
          <cell r="J1775">
            <v>0</v>
          </cell>
          <cell r="K1775">
            <v>0</v>
          </cell>
          <cell r="AL1775">
            <v>0</v>
          </cell>
          <cell r="BJ1775" t="str">
            <v>RSA</v>
          </cell>
        </row>
        <row r="1776">
          <cell r="E1776" t="str">
            <v>45</v>
          </cell>
          <cell r="J1776">
            <v>0</v>
          </cell>
          <cell r="K1776">
            <v>0</v>
          </cell>
          <cell r="AL1776">
            <v>0</v>
          </cell>
          <cell r="BJ1776" t="str">
            <v>RSA</v>
          </cell>
        </row>
        <row r="1777">
          <cell r="E1777" t="str">
            <v>45</v>
          </cell>
          <cell r="J1777">
            <v>0</v>
          </cell>
          <cell r="K1777">
            <v>0</v>
          </cell>
          <cell r="AL1777">
            <v>0</v>
          </cell>
          <cell r="BJ1777" t="str">
            <v>RSA</v>
          </cell>
        </row>
        <row r="1778">
          <cell r="E1778" t="str">
            <v>45</v>
          </cell>
          <cell r="J1778">
            <v>0</v>
          </cell>
          <cell r="K1778">
            <v>0</v>
          </cell>
          <cell r="AL1778">
            <v>0</v>
          </cell>
          <cell r="BJ1778" t="str">
            <v>RSA</v>
          </cell>
        </row>
        <row r="1779">
          <cell r="E1779" t="str">
            <v>45</v>
          </cell>
          <cell r="J1779">
            <v>0</v>
          </cell>
          <cell r="K1779">
            <v>0</v>
          </cell>
          <cell r="AL1779">
            <v>0</v>
          </cell>
          <cell r="BJ1779" t="str">
            <v>RSA</v>
          </cell>
        </row>
        <row r="1780">
          <cell r="E1780" t="str">
            <v>45</v>
          </cell>
          <cell r="J1780">
            <v>0</v>
          </cell>
          <cell r="K1780">
            <v>0</v>
          </cell>
          <cell r="AL1780">
            <v>0</v>
          </cell>
          <cell r="BJ1780" t="str">
            <v>RSA</v>
          </cell>
        </row>
        <row r="1781">
          <cell r="E1781" t="str">
            <v>45</v>
          </cell>
          <cell r="J1781">
            <v>0</v>
          </cell>
          <cell r="K1781">
            <v>0</v>
          </cell>
          <cell r="AL1781">
            <v>0</v>
          </cell>
          <cell r="BJ1781" t="str">
            <v>RSA</v>
          </cell>
        </row>
        <row r="1782">
          <cell r="E1782" t="str">
            <v>45</v>
          </cell>
          <cell r="J1782">
            <v>0</v>
          </cell>
          <cell r="K1782">
            <v>0</v>
          </cell>
          <cell r="AL1782">
            <v>0</v>
          </cell>
          <cell r="BJ1782" t="str">
            <v>RSA</v>
          </cell>
        </row>
        <row r="1783">
          <cell r="E1783" t="str">
            <v>45</v>
          </cell>
          <cell r="J1783">
            <v>0</v>
          </cell>
          <cell r="K1783">
            <v>0</v>
          </cell>
          <cell r="AL1783">
            <v>0</v>
          </cell>
          <cell r="BJ1783" t="str">
            <v>RSA</v>
          </cell>
        </row>
        <row r="1784">
          <cell r="E1784" t="str">
            <v>45</v>
          </cell>
          <cell r="J1784">
            <v>0</v>
          </cell>
          <cell r="K1784">
            <v>0</v>
          </cell>
          <cell r="AL1784">
            <v>0</v>
          </cell>
          <cell r="BJ1784" t="str">
            <v>RSA</v>
          </cell>
        </row>
        <row r="1785">
          <cell r="E1785" t="str">
            <v>45</v>
          </cell>
          <cell r="J1785">
            <v>0</v>
          </cell>
          <cell r="K1785">
            <v>0</v>
          </cell>
          <cell r="AL1785">
            <v>0</v>
          </cell>
          <cell r="BJ1785" t="str">
            <v>RSA</v>
          </cell>
        </row>
        <row r="1786">
          <cell r="E1786" t="str">
            <v>50</v>
          </cell>
          <cell r="J1786">
            <v>502451.75999999931</v>
          </cell>
          <cell r="K1786">
            <v>143948.5</v>
          </cell>
          <cell r="AL1786">
            <v>0</v>
          </cell>
          <cell r="BJ1786" t="str">
            <v>RSA</v>
          </cell>
        </row>
        <row r="1787">
          <cell r="E1787" t="str">
            <v>50</v>
          </cell>
          <cell r="J1787">
            <v>0</v>
          </cell>
          <cell r="K1787">
            <v>0</v>
          </cell>
          <cell r="AL1787">
            <v>0</v>
          </cell>
          <cell r="BJ1787" t="str">
            <v>RSA</v>
          </cell>
        </row>
        <row r="1788">
          <cell r="E1788" t="str">
            <v>50</v>
          </cell>
          <cell r="J1788">
            <v>0</v>
          </cell>
          <cell r="K1788">
            <v>0</v>
          </cell>
          <cell r="AL1788">
            <v>0</v>
          </cell>
          <cell r="BJ1788" t="str">
            <v>RSA</v>
          </cell>
        </row>
        <row r="1789">
          <cell r="E1789" t="str">
            <v>51</v>
          </cell>
          <cell r="J1789">
            <v>12172.589999999851</v>
          </cell>
          <cell r="K1789">
            <v>134243.31000000052</v>
          </cell>
          <cell r="AL1789">
            <v>0</v>
          </cell>
          <cell r="BJ1789" t="str">
            <v>RSA</v>
          </cell>
        </row>
        <row r="1790">
          <cell r="E1790" t="str">
            <v>50</v>
          </cell>
          <cell r="J1790">
            <v>178930.46999999997</v>
          </cell>
          <cell r="K1790">
            <v>33569.709999999963</v>
          </cell>
          <cell r="AL1790">
            <v>0</v>
          </cell>
          <cell r="BJ1790" t="str">
            <v>RSA</v>
          </cell>
        </row>
        <row r="1791">
          <cell r="E1791" t="str">
            <v>50</v>
          </cell>
          <cell r="J1791">
            <v>3686.6200000000026</v>
          </cell>
          <cell r="K1791">
            <v>633.5199999999968</v>
          </cell>
          <cell r="AL1791">
            <v>0</v>
          </cell>
          <cell r="BJ1791" t="str">
            <v>RSA</v>
          </cell>
        </row>
        <row r="1792">
          <cell r="E1792" t="str">
            <v>50</v>
          </cell>
          <cell r="J1792">
            <v>0.26999999908730388</v>
          </cell>
          <cell r="K1792">
            <v>-4.6566128730773926E-10</v>
          </cell>
          <cell r="AL1792">
            <v>0</v>
          </cell>
          <cell r="BJ1792" t="str">
            <v>RSA</v>
          </cell>
        </row>
        <row r="1793">
          <cell r="E1793" t="str">
            <v>50</v>
          </cell>
          <cell r="J1793">
            <v>6441.8899999999994</v>
          </cell>
          <cell r="K1793">
            <v>1147.1399999999994</v>
          </cell>
          <cell r="AL1793">
            <v>0</v>
          </cell>
          <cell r="BJ1793" t="str">
            <v>RSA</v>
          </cell>
        </row>
        <row r="1794">
          <cell r="E1794" t="str">
            <v>50</v>
          </cell>
          <cell r="J1794">
            <v>3273.9000000000015</v>
          </cell>
          <cell r="K1794">
            <v>733.19999999999709</v>
          </cell>
          <cell r="AL1794">
            <v>0</v>
          </cell>
          <cell r="BJ1794" t="str">
            <v>RSA</v>
          </cell>
        </row>
        <row r="1795">
          <cell r="E1795" t="str">
            <v>50</v>
          </cell>
          <cell r="J1795">
            <v>0</v>
          </cell>
          <cell r="K1795">
            <v>0</v>
          </cell>
          <cell r="AL1795">
            <v>0</v>
          </cell>
          <cell r="BJ1795" t="str">
            <v>RSA</v>
          </cell>
        </row>
        <row r="1796">
          <cell r="E1796" t="str">
            <v>50</v>
          </cell>
          <cell r="J1796">
            <v>0</v>
          </cell>
          <cell r="K1796">
            <v>0</v>
          </cell>
          <cell r="AL1796">
            <v>0</v>
          </cell>
          <cell r="BJ1796" t="str">
            <v>RSA</v>
          </cell>
        </row>
        <row r="1797">
          <cell r="E1797" t="str">
            <v>50</v>
          </cell>
          <cell r="J1797">
            <v>9.3132257461547852E-10</v>
          </cell>
          <cell r="K1797">
            <v>500</v>
          </cell>
          <cell r="AL1797">
            <v>0</v>
          </cell>
          <cell r="BJ1797" t="str">
            <v>RSA</v>
          </cell>
        </row>
        <row r="1798">
          <cell r="E1798" t="str">
            <v>50</v>
          </cell>
          <cell r="J1798">
            <v>0</v>
          </cell>
          <cell r="K1798">
            <v>0</v>
          </cell>
          <cell r="AL1798">
            <v>0</v>
          </cell>
          <cell r="BJ1798" t="str">
            <v>RSA</v>
          </cell>
        </row>
        <row r="1799">
          <cell r="E1799" t="str">
            <v>50</v>
          </cell>
          <cell r="J1799">
            <v>-82556.760000000009</v>
          </cell>
          <cell r="K1799">
            <v>-36565.939999999944</v>
          </cell>
          <cell r="AL1799">
            <v>0</v>
          </cell>
          <cell r="BJ1799" t="str">
            <v>RSA</v>
          </cell>
        </row>
        <row r="1800">
          <cell r="E1800" t="str">
            <v>50</v>
          </cell>
          <cell r="J1800">
            <v>-1007306.8999999999</v>
          </cell>
          <cell r="K1800">
            <v>-118216.46999999997</v>
          </cell>
          <cell r="AL1800">
            <v>0</v>
          </cell>
          <cell r="BJ1800" t="str">
            <v>RSA</v>
          </cell>
        </row>
        <row r="1801">
          <cell r="E1801" t="str">
            <v>50</v>
          </cell>
          <cell r="J1801">
            <v>0</v>
          </cell>
          <cell r="K1801">
            <v>0</v>
          </cell>
          <cell r="AL1801">
            <v>0</v>
          </cell>
          <cell r="BJ1801" t="str">
            <v>RSA</v>
          </cell>
        </row>
        <row r="1802">
          <cell r="E1802" t="str">
            <v>50</v>
          </cell>
          <cell r="J1802">
            <v>100806</v>
          </cell>
          <cell r="K1802">
            <v>0</v>
          </cell>
          <cell r="AL1802">
            <v>0</v>
          </cell>
          <cell r="BJ1802" t="str">
            <v>RSA</v>
          </cell>
        </row>
        <row r="1803">
          <cell r="E1803" t="str">
            <v>10</v>
          </cell>
          <cell r="J1803">
            <v>0</v>
          </cell>
          <cell r="K1803">
            <v>419854.44000000041</v>
          </cell>
          <cell r="AL1803">
            <v>0</v>
          </cell>
          <cell r="BJ1803" t="str">
            <v>RSA</v>
          </cell>
        </row>
        <row r="1804">
          <cell r="E1804" t="str">
            <v>10</v>
          </cell>
          <cell r="J1804">
            <v>0</v>
          </cell>
          <cell r="K1804">
            <v>754677.83000000007</v>
          </cell>
          <cell r="AL1804">
            <v>0</v>
          </cell>
          <cell r="BJ1804" t="str">
            <v>RSA</v>
          </cell>
        </row>
        <row r="1805">
          <cell r="E1805" t="str">
            <v>10</v>
          </cell>
          <cell r="J1805">
            <v>0</v>
          </cell>
          <cell r="K1805">
            <v>223562.76999999955</v>
          </cell>
          <cell r="AL1805">
            <v>0</v>
          </cell>
          <cell r="BJ1805" t="str">
            <v>RSA</v>
          </cell>
        </row>
        <row r="1806">
          <cell r="E1806" t="str">
            <v>10</v>
          </cell>
          <cell r="J1806">
            <v>0</v>
          </cell>
          <cell r="K1806">
            <v>0</v>
          </cell>
          <cell r="AL1806">
            <v>0</v>
          </cell>
          <cell r="BJ1806" t="str">
            <v>RSA</v>
          </cell>
        </row>
        <row r="1807">
          <cell r="E1807" t="str">
            <v>10</v>
          </cell>
          <cell r="J1807">
            <v>0</v>
          </cell>
          <cell r="K1807">
            <v>55.339999999999975</v>
          </cell>
          <cell r="AL1807">
            <v>0</v>
          </cell>
          <cell r="BJ1807" t="str">
            <v>RSA</v>
          </cell>
        </row>
        <row r="1808">
          <cell r="E1808" t="str">
            <v>10</v>
          </cell>
          <cell r="J1808">
            <v>0</v>
          </cell>
          <cell r="K1808">
            <v>0</v>
          </cell>
          <cell r="AL1808">
            <v>0</v>
          </cell>
          <cell r="BJ1808" t="str">
            <v>RSA</v>
          </cell>
        </row>
        <row r="1809">
          <cell r="E1809" t="str">
            <v>10</v>
          </cell>
          <cell r="J1809">
            <v>0</v>
          </cell>
          <cell r="K1809">
            <v>0</v>
          </cell>
          <cell r="AL1809">
            <v>0</v>
          </cell>
          <cell r="BJ1809" t="str">
            <v>RSA</v>
          </cell>
        </row>
        <row r="1810">
          <cell r="E1810" t="str">
            <v>10</v>
          </cell>
          <cell r="J1810">
            <v>0</v>
          </cell>
          <cell r="K1810">
            <v>0</v>
          </cell>
          <cell r="AL1810">
            <v>0</v>
          </cell>
          <cell r="BJ1810" t="str">
            <v>RSA</v>
          </cell>
        </row>
        <row r="1811">
          <cell r="E1811" t="str">
            <v>10</v>
          </cell>
          <cell r="J1811">
            <v>0</v>
          </cell>
          <cell r="K1811">
            <v>0</v>
          </cell>
          <cell r="AL1811">
            <v>0</v>
          </cell>
          <cell r="BJ1811" t="str">
            <v>RSA</v>
          </cell>
        </row>
        <row r="1812">
          <cell r="E1812" t="str">
            <v>10</v>
          </cell>
          <cell r="J1812">
            <v>0</v>
          </cell>
          <cell r="K1812">
            <v>222332.68000000005</v>
          </cell>
          <cell r="AL1812">
            <v>0</v>
          </cell>
          <cell r="BJ1812" t="str">
            <v>RSA</v>
          </cell>
        </row>
        <row r="1813">
          <cell r="E1813" t="str">
            <v>10</v>
          </cell>
          <cell r="J1813">
            <v>0</v>
          </cell>
          <cell r="K1813">
            <v>0</v>
          </cell>
          <cell r="AL1813">
            <v>0</v>
          </cell>
          <cell r="BJ1813" t="str">
            <v>RSA</v>
          </cell>
        </row>
        <row r="1814">
          <cell r="E1814" t="str">
            <v>10</v>
          </cell>
          <cell r="J1814">
            <v>0</v>
          </cell>
          <cell r="K1814">
            <v>0</v>
          </cell>
          <cell r="AL1814">
            <v>0</v>
          </cell>
          <cell r="BJ1814" t="str">
            <v>RSA</v>
          </cell>
        </row>
        <row r="1815">
          <cell r="E1815" t="str">
            <v>10</v>
          </cell>
          <cell r="J1815">
            <v>0</v>
          </cell>
          <cell r="K1815">
            <v>0</v>
          </cell>
          <cell r="AL1815">
            <v>0</v>
          </cell>
          <cell r="BJ1815" t="str">
            <v>RSA</v>
          </cell>
        </row>
        <row r="1816">
          <cell r="E1816" t="str">
            <v>10</v>
          </cell>
          <cell r="J1816">
            <v>0</v>
          </cell>
          <cell r="K1816">
            <v>0</v>
          </cell>
          <cell r="AL1816">
            <v>0</v>
          </cell>
          <cell r="BJ1816" t="str">
            <v>RSA</v>
          </cell>
        </row>
        <row r="1817">
          <cell r="E1817" t="str">
            <v>10</v>
          </cell>
          <cell r="J1817">
            <v>0</v>
          </cell>
          <cell r="K1817">
            <v>0</v>
          </cell>
          <cell r="AL1817">
            <v>0</v>
          </cell>
          <cell r="BJ1817" t="str">
            <v>RSA</v>
          </cell>
        </row>
        <row r="1818">
          <cell r="E1818" t="str">
            <v>10</v>
          </cell>
          <cell r="J1818">
            <v>0</v>
          </cell>
          <cell r="K1818">
            <v>0</v>
          </cell>
          <cell r="AL1818">
            <v>0</v>
          </cell>
          <cell r="BJ1818" t="str">
            <v>RSA</v>
          </cell>
        </row>
        <row r="1819">
          <cell r="E1819" t="str">
            <v>10</v>
          </cell>
          <cell r="J1819">
            <v>0</v>
          </cell>
          <cell r="K1819">
            <v>0</v>
          </cell>
          <cell r="AL1819">
            <v>0</v>
          </cell>
          <cell r="BJ1819" t="str">
            <v>RSA</v>
          </cell>
        </row>
        <row r="1820">
          <cell r="E1820" t="str">
            <v>10</v>
          </cell>
          <cell r="J1820">
            <v>0</v>
          </cell>
          <cell r="K1820">
            <v>0</v>
          </cell>
          <cell r="AL1820">
            <v>0</v>
          </cell>
          <cell r="BJ1820" t="str">
            <v>RSA</v>
          </cell>
        </row>
        <row r="1821">
          <cell r="E1821" t="str">
            <v>10</v>
          </cell>
          <cell r="J1821">
            <v>0</v>
          </cell>
          <cell r="K1821">
            <v>0</v>
          </cell>
          <cell r="AL1821">
            <v>0</v>
          </cell>
          <cell r="BJ1821" t="str">
            <v>RSA</v>
          </cell>
        </row>
        <row r="1822">
          <cell r="E1822" t="str">
            <v>10</v>
          </cell>
          <cell r="J1822">
            <v>0</v>
          </cell>
          <cell r="K1822">
            <v>0</v>
          </cell>
          <cell r="AL1822">
            <v>0</v>
          </cell>
          <cell r="BJ1822" t="str">
            <v>RSA</v>
          </cell>
        </row>
        <row r="1823">
          <cell r="E1823" t="str">
            <v>10</v>
          </cell>
          <cell r="J1823">
            <v>0</v>
          </cell>
          <cell r="K1823">
            <v>0</v>
          </cell>
          <cell r="AL1823">
            <v>0</v>
          </cell>
          <cell r="BJ1823" t="str">
            <v>RSA</v>
          </cell>
        </row>
        <row r="1824">
          <cell r="E1824" t="str">
            <v>10</v>
          </cell>
          <cell r="J1824">
            <v>0</v>
          </cell>
          <cell r="K1824">
            <v>0</v>
          </cell>
          <cell r="AL1824">
            <v>0</v>
          </cell>
          <cell r="BJ1824" t="str">
            <v>RSA</v>
          </cell>
        </row>
        <row r="1825">
          <cell r="E1825" t="str">
            <v>10</v>
          </cell>
          <cell r="J1825">
            <v>0</v>
          </cell>
          <cell r="K1825">
            <v>0</v>
          </cell>
          <cell r="AL1825">
            <v>0</v>
          </cell>
          <cell r="BJ1825" t="str">
            <v>RSA</v>
          </cell>
        </row>
        <row r="1826">
          <cell r="E1826" t="str">
            <v>10</v>
          </cell>
          <cell r="J1826">
            <v>0</v>
          </cell>
          <cell r="K1826">
            <v>-56559.6</v>
          </cell>
          <cell r="AL1826">
            <v>0</v>
          </cell>
          <cell r="BJ1826" t="str">
            <v>RSA</v>
          </cell>
        </row>
        <row r="1827">
          <cell r="E1827" t="str">
            <v>10</v>
          </cell>
          <cell r="J1827">
            <v>0</v>
          </cell>
          <cell r="K1827">
            <v>0</v>
          </cell>
          <cell r="AL1827">
            <v>0</v>
          </cell>
          <cell r="BJ1827" t="str">
            <v>RSA</v>
          </cell>
        </row>
        <row r="1828">
          <cell r="E1828" t="str">
            <v>11</v>
          </cell>
          <cell r="J1828">
            <v>0</v>
          </cell>
          <cell r="K1828">
            <v>0</v>
          </cell>
          <cell r="AL1828">
            <v>0</v>
          </cell>
          <cell r="BJ1828" t="str">
            <v>RSA</v>
          </cell>
        </row>
        <row r="1829">
          <cell r="E1829" t="str">
            <v>11</v>
          </cell>
          <cell r="J1829">
            <v>0</v>
          </cell>
          <cell r="K1829">
            <v>0</v>
          </cell>
          <cell r="AL1829">
            <v>0</v>
          </cell>
          <cell r="BJ1829" t="str">
            <v>RSA</v>
          </cell>
        </row>
        <row r="1830">
          <cell r="E1830" t="str">
            <v>11</v>
          </cell>
          <cell r="J1830">
            <v>0</v>
          </cell>
          <cell r="K1830">
            <v>0</v>
          </cell>
          <cell r="AL1830">
            <v>0</v>
          </cell>
          <cell r="BJ1830" t="str">
            <v>RSA</v>
          </cell>
        </row>
        <row r="1831">
          <cell r="E1831" t="str">
            <v>11</v>
          </cell>
          <cell r="J1831">
            <v>0</v>
          </cell>
          <cell r="K1831">
            <v>0</v>
          </cell>
          <cell r="AL1831">
            <v>0</v>
          </cell>
          <cell r="BJ1831" t="str">
            <v>RSA</v>
          </cell>
        </row>
        <row r="1832">
          <cell r="E1832" t="str">
            <v>11</v>
          </cell>
          <cell r="J1832">
            <v>0</v>
          </cell>
          <cell r="K1832">
            <v>0</v>
          </cell>
          <cell r="AL1832">
            <v>0</v>
          </cell>
          <cell r="BJ1832" t="str">
            <v>RSA</v>
          </cell>
        </row>
        <row r="1833">
          <cell r="E1833" t="str">
            <v>11</v>
          </cell>
          <cell r="J1833">
            <v>0</v>
          </cell>
          <cell r="K1833">
            <v>1.3499999999767169</v>
          </cell>
          <cell r="AL1833">
            <v>0</v>
          </cell>
          <cell r="BJ1833" t="str">
            <v>RSA</v>
          </cell>
        </row>
        <row r="1834">
          <cell r="E1834" t="str">
            <v>12</v>
          </cell>
          <cell r="J1834">
            <v>0</v>
          </cell>
          <cell r="K1834">
            <v>0</v>
          </cell>
          <cell r="AL1834">
            <v>0</v>
          </cell>
          <cell r="BJ1834" t="str">
            <v>RSA</v>
          </cell>
        </row>
        <row r="1835">
          <cell r="E1835" t="str">
            <v>11</v>
          </cell>
          <cell r="J1835">
            <v>0</v>
          </cell>
          <cell r="K1835">
            <v>1002987.48</v>
          </cell>
          <cell r="AL1835">
            <v>0</v>
          </cell>
          <cell r="BJ1835" t="str">
            <v>RSA</v>
          </cell>
        </row>
        <row r="1836">
          <cell r="E1836" t="str">
            <v>11</v>
          </cell>
          <cell r="J1836">
            <v>0</v>
          </cell>
          <cell r="K1836">
            <v>380853.36999999988</v>
          </cell>
          <cell r="AL1836">
            <v>0</v>
          </cell>
          <cell r="BJ1836" t="str">
            <v>RSA</v>
          </cell>
        </row>
        <row r="1837">
          <cell r="E1837" t="str">
            <v>11</v>
          </cell>
          <cell r="J1837">
            <v>0</v>
          </cell>
          <cell r="K1837">
            <v>0</v>
          </cell>
          <cell r="AL1837">
            <v>0</v>
          </cell>
          <cell r="BJ1837" t="str">
            <v>RSA</v>
          </cell>
        </row>
        <row r="1838">
          <cell r="E1838" t="str">
            <v>11</v>
          </cell>
          <cell r="J1838">
            <v>0</v>
          </cell>
          <cell r="K1838">
            <v>0</v>
          </cell>
          <cell r="AL1838">
            <v>0</v>
          </cell>
          <cell r="BJ1838" t="str">
            <v>RSA</v>
          </cell>
        </row>
        <row r="1839">
          <cell r="E1839" t="str">
            <v>11</v>
          </cell>
          <cell r="J1839">
            <v>0</v>
          </cell>
          <cell r="K1839">
            <v>131149.74</v>
          </cell>
          <cell r="AL1839">
            <v>0</v>
          </cell>
          <cell r="BJ1839" t="str">
            <v>RSA</v>
          </cell>
        </row>
        <row r="1840">
          <cell r="E1840" t="str">
            <v>11</v>
          </cell>
          <cell r="J1840">
            <v>0</v>
          </cell>
          <cell r="K1840">
            <v>25100</v>
          </cell>
          <cell r="AL1840">
            <v>0</v>
          </cell>
          <cell r="BJ1840" t="str">
            <v>RSA</v>
          </cell>
        </row>
        <row r="1841">
          <cell r="E1841" t="str">
            <v>11</v>
          </cell>
          <cell r="J1841">
            <v>0</v>
          </cell>
          <cell r="K1841">
            <v>0</v>
          </cell>
          <cell r="AL1841">
            <v>0</v>
          </cell>
          <cell r="BJ1841" t="str">
            <v>RSA</v>
          </cell>
        </row>
        <row r="1842">
          <cell r="E1842" t="str">
            <v>11</v>
          </cell>
          <cell r="J1842">
            <v>0</v>
          </cell>
          <cell r="K1842">
            <v>10350</v>
          </cell>
          <cell r="AL1842">
            <v>0</v>
          </cell>
          <cell r="BJ1842" t="str">
            <v>RSA</v>
          </cell>
        </row>
        <row r="1843">
          <cell r="E1843" t="str">
            <v>11</v>
          </cell>
          <cell r="J1843">
            <v>0</v>
          </cell>
          <cell r="K1843">
            <v>5000</v>
          </cell>
          <cell r="AL1843">
            <v>0</v>
          </cell>
          <cell r="BJ1843" t="str">
            <v>RSA</v>
          </cell>
        </row>
        <row r="1844">
          <cell r="E1844" t="str">
            <v>11</v>
          </cell>
          <cell r="J1844">
            <v>0</v>
          </cell>
          <cell r="K1844">
            <v>0</v>
          </cell>
          <cell r="AL1844">
            <v>0</v>
          </cell>
          <cell r="BJ1844" t="str">
            <v>RSA</v>
          </cell>
        </row>
        <row r="1845">
          <cell r="E1845" t="str">
            <v>11</v>
          </cell>
          <cell r="J1845">
            <v>0</v>
          </cell>
          <cell r="K1845">
            <v>0</v>
          </cell>
          <cell r="AL1845">
            <v>0</v>
          </cell>
          <cell r="BJ1845" t="str">
            <v>RSA</v>
          </cell>
        </row>
        <row r="1846">
          <cell r="E1846" t="str">
            <v>11</v>
          </cell>
          <cell r="J1846">
            <v>0</v>
          </cell>
          <cell r="K1846">
            <v>0</v>
          </cell>
          <cell r="AL1846">
            <v>0</v>
          </cell>
          <cell r="BJ1846" t="str">
            <v>RSA</v>
          </cell>
        </row>
        <row r="1847">
          <cell r="E1847" t="str">
            <v>11</v>
          </cell>
          <cell r="J1847">
            <v>0</v>
          </cell>
          <cell r="K1847">
            <v>0</v>
          </cell>
          <cell r="AL1847">
            <v>0</v>
          </cell>
          <cell r="BJ1847" t="str">
            <v>RSA</v>
          </cell>
        </row>
        <row r="1848">
          <cell r="E1848" t="str">
            <v>11</v>
          </cell>
          <cell r="J1848">
            <v>0</v>
          </cell>
          <cell r="K1848">
            <v>0</v>
          </cell>
          <cell r="AL1848">
            <v>0</v>
          </cell>
          <cell r="BJ1848" t="str">
            <v>RSA</v>
          </cell>
        </row>
        <row r="1849">
          <cell r="E1849" t="str">
            <v>11</v>
          </cell>
          <cell r="J1849">
            <v>0</v>
          </cell>
          <cell r="K1849">
            <v>51570.5</v>
          </cell>
          <cell r="AL1849">
            <v>0</v>
          </cell>
          <cell r="BJ1849" t="str">
            <v>RSA</v>
          </cell>
        </row>
        <row r="1850">
          <cell r="E1850" t="str">
            <v>11</v>
          </cell>
          <cell r="J1850">
            <v>0</v>
          </cell>
          <cell r="K1850">
            <v>63287.359999999928</v>
          </cell>
          <cell r="AL1850">
            <v>0</v>
          </cell>
          <cell r="BJ1850" t="str">
            <v>RSA</v>
          </cell>
        </row>
        <row r="1851">
          <cell r="E1851" t="str">
            <v>11</v>
          </cell>
          <cell r="J1851">
            <v>0</v>
          </cell>
          <cell r="K1851">
            <v>5445.989999999998</v>
          </cell>
          <cell r="AL1851">
            <v>0</v>
          </cell>
          <cell r="BJ1851" t="str">
            <v>RSA</v>
          </cell>
        </row>
        <row r="1852">
          <cell r="E1852" t="str">
            <v>11</v>
          </cell>
          <cell r="J1852">
            <v>0</v>
          </cell>
          <cell r="K1852">
            <v>22585.540000000008</v>
          </cell>
          <cell r="AL1852">
            <v>0</v>
          </cell>
          <cell r="BJ1852" t="str">
            <v>RSA</v>
          </cell>
        </row>
        <row r="1853">
          <cell r="E1853" t="str">
            <v>11</v>
          </cell>
          <cell r="J1853">
            <v>0</v>
          </cell>
          <cell r="K1853">
            <v>27300.820000000007</v>
          </cell>
          <cell r="AL1853">
            <v>0</v>
          </cell>
          <cell r="BJ1853" t="str">
            <v>RSA</v>
          </cell>
        </row>
        <row r="1854">
          <cell r="E1854" t="str">
            <v>11</v>
          </cell>
          <cell r="J1854">
            <v>0</v>
          </cell>
          <cell r="K1854">
            <v>0</v>
          </cell>
          <cell r="AL1854">
            <v>0</v>
          </cell>
          <cell r="BJ1854" t="str">
            <v>RSA</v>
          </cell>
        </row>
        <row r="1855">
          <cell r="E1855" t="str">
            <v>11</v>
          </cell>
          <cell r="J1855">
            <v>0</v>
          </cell>
          <cell r="K1855">
            <v>0</v>
          </cell>
          <cell r="AL1855">
            <v>0</v>
          </cell>
          <cell r="BJ1855" t="str">
            <v>RSA</v>
          </cell>
        </row>
        <row r="1856">
          <cell r="E1856" t="str">
            <v>11</v>
          </cell>
          <cell r="J1856">
            <v>0</v>
          </cell>
          <cell r="K1856">
            <v>0</v>
          </cell>
          <cell r="AL1856">
            <v>0</v>
          </cell>
          <cell r="BJ1856" t="str">
            <v>RSA</v>
          </cell>
        </row>
        <row r="1857">
          <cell r="E1857" t="str">
            <v>11</v>
          </cell>
          <cell r="J1857">
            <v>0</v>
          </cell>
          <cell r="K1857">
            <v>0</v>
          </cell>
          <cell r="AL1857">
            <v>0</v>
          </cell>
          <cell r="BJ1857" t="str">
            <v>RSA</v>
          </cell>
        </row>
        <row r="1858">
          <cell r="E1858" t="str">
            <v>11</v>
          </cell>
          <cell r="J1858">
            <v>0</v>
          </cell>
          <cell r="K1858">
            <v>0</v>
          </cell>
          <cell r="AL1858">
            <v>0</v>
          </cell>
          <cell r="BJ1858" t="str">
            <v>RSA</v>
          </cell>
        </row>
        <row r="1859">
          <cell r="E1859" t="str">
            <v>11</v>
          </cell>
          <cell r="J1859">
            <v>0</v>
          </cell>
          <cell r="K1859">
            <v>0</v>
          </cell>
          <cell r="AL1859">
            <v>0</v>
          </cell>
          <cell r="BJ1859" t="str">
            <v>RSA</v>
          </cell>
        </row>
        <row r="1860">
          <cell r="E1860" t="str">
            <v>11</v>
          </cell>
          <cell r="J1860">
            <v>0</v>
          </cell>
          <cell r="K1860">
            <v>0</v>
          </cell>
          <cell r="AL1860">
            <v>0</v>
          </cell>
          <cell r="BJ1860" t="str">
            <v>RSA</v>
          </cell>
        </row>
        <row r="1861">
          <cell r="E1861" t="str">
            <v>13</v>
          </cell>
          <cell r="J1861">
            <v>0</v>
          </cell>
          <cell r="K1861">
            <v>10000</v>
          </cell>
          <cell r="AL1861">
            <v>0</v>
          </cell>
          <cell r="BJ1861" t="str">
            <v>RSA</v>
          </cell>
        </row>
        <row r="1862">
          <cell r="E1862" t="str">
            <v>13</v>
          </cell>
          <cell r="J1862">
            <v>0</v>
          </cell>
          <cell r="K1862">
            <v>0</v>
          </cell>
          <cell r="AL1862">
            <v>0</v>
          </cell>
          <cell r="BJ1862" t="str">
            <v>RSA</v>
          </cell>
        </row>
        <row r="1863">
          <cell r="E1863" t="str">
            <v>13</v>
          </cell>
          <cell r="J1863">
            <v>0</v>
          </cell>
          <cell r="K1863">
            <v>0</v>
          </cell>
          <cell r="AL1863">
            <v>0</v>
          </cell>
          <cell r="BJ1863" t="str">
            <v>RSA</v>
          </cell>
        </row>
        <row r="1864">
          <cell r="E1864" t="str">
            <v>13</v>
          </cell>
          <cell r="J1864">
            <v>0</v>
          </cell>
          <cell r="K1864">
            <v>1553.820000000007</v>
          </cell>
          <cell r="AL1864">
            <v>0</v>
          </cell>
          <cell r="BJ1864" t="str">
            <v>RSA</v>
          </cell>
        </row>
        <row r="1865">
          <cell r="E1865" t="str">
            <v>13</v>
          </cell>
          <cell r="J1865">
            <v>0</v>
          </cell>
          <cell r="K1865">
            <v>0</v>
          </cell>
          <cell r="AL1865">
            <v>0</v>
          </cell>
          <cell r="BJ1865" t="str">
            <v>RSA</v>
          </cell>
        </row>
        <row r="1866">
          <cell r="E1866" t="str">
            <v>13</v>
          </cell>
          <cell r="J1866">
            <v>0</v>
          </cell>
          <cell r="K1866">
            <v>0</v>
          </cell>
          <cell r="AL1866">
            <v>0</v>
          </cell>
          <cell r="BJ1866" t="str">
            <v>RSA</v>
          </cell>
        </row>
        <row r="1867">
          <cell r="E1867" t="str">
            <v>13</v>
          </cell>
          <cell r="J1867">
            <v>0</v>
          </cell>
          <cell r="K1867">
            <v>0</v>
          </cell>
          <cell r="AL1867">
            <v>0</v>
          </cell>
          <cell r="BJ1867" t="str">
            <v>RSA</v>
          </cell>
        </row>
        <row r="1868">
          <cell r="E1868" t="str">
            <v>13</v>
          </cell>
          <cell r="J1868">
            <v>0</v>
          </cell>
          <cell r="K1868">
            <v>0</v>
          </cell>
          <cell r="AL1868">
            <v>0</v>
          </cell>
          <cell r="BJ1868" t="str">
            <v>RSA</v>
          </cell>
        </row>
        <row r="1869">
          <cell r="E1869" t="str">
            <v>13</v>
          </cell>
          <cell r="J1869">
            <v>0</v>
          </cell>
          <cell r="K1869">
            <v>2771.8100000000013</v>
          </cell>
          <cell r="AL1869">
            <v>0</v>
          </cell>
          <cell r="BJ1869" t="str">
            <v>RSA</v>
          </cell>
        </row>
        <row r="1870">
          <cell r="E1870" t="str">
            <v>13</v>
          </cell>
          <cell r="J1870">
            <v>0</v>
          </cell>
          <cell r="K1870">
            <v>0</v>
          </cell>
          <cell r="AL1870">
            <v>0</v>
          </cell>
          <cell r="BJ1870" t="str">
            <v>RSA</v>
          </cell>
        </row>
        <row r="1871">
          <cell r="E1871" t="str">
            <v>13</v>
          </cell>
          <cell r="J1871">
            <v>0</v>
          </cell>
          <cell r="K1871">
            <v>20055.940000000002</v>
          </cell>
          <cell r="AL1871">
            <v>0</v>
          </cell>
          <cell r="BJ1871" t="str">
            <v>RSA</v>
          </cell>
        </row>
        <row r="1872">
          <cell r="E1872" t="str">
            <v>13</v>
          </cell>
          <cell r="J1872">
            <v>0</v>
          </cell>
          <cell r="K1872">
            <v>0</v>
          </cell>
          <cell r="AL1872">
            <v>0</v>
          </cell>
          <cell r="BJ1872" t="str">
            <v>RSA</v>
          </cell>
        </row>
        <row r="1873">
          <cell r="E1873" t="str">
            <v>13</v>
          </cell>
          <cell r="J1873">
            <v>0</v>
          </cell>
          <cell r="K1873">
            <v>0</v>
          </cell>
          <cell r="AL1873">
            <v>0</v>
          </cell>
          <cell r="BJ1873" t="str">
            <v>RSA</v>
          </cell>
        </row>
        <row r="1874">
          <cell r="E1874" t="str">
            <v>13</v>
          </cell>
          <cell r="J1874">
            <v>0</v>
          </cell>
          <cell r="K1874">
            <v>0</v>
          </cell>
          <cell r="AL1874">
            <v>0</v>
          </cell>
          <cell r="BJ1874" t="str">
            <v>RSA</v>
          </cell>
        </row>
        <row r="1875">
          <cell r="E1875" t="str">
            <v>13</v>
          </cell>
          <cell r="J1875">
            <v>0</v>
          </cell>
          <cell r="K1875">
            <v>0</v>
          </cell>
          <cell r="AL1875">
            <v>0</v>
          </cell>
          <cell r="BJ1875" t="str">
            <v>RSA</v>
          </cell>
        </row>
        <row r="1876">
          <cell r="E1876" t="str">
            <v>13</v>
          </cell>
          <cell r="J1876">
            <v>0</v>
          </cell>
          <cell r="K1876">
            <v>0</v>
          </cell>
          <cell r="AL1876">
            <v>0</v>
          </cell>
          <cell r="BJ1876" t="str">
            <v>RSA</v>
          </cell>
        </row>
        <row r="1877">
          <cell r="E1877" t="str">
            <v>13</v>
          </cell>
          <cell r="J1877">
            <v>0</v>
          </cell>
          <cell r="K1877">
            <v>0</v>
          </cell>
          <cell r="AL1877">
            <v>0</v>
          </cell>
          <cell r="BJ1877" t="str">
            <v>RSA</v>
          </cell>
        </row>
        <row r="1878">
          <cell r="E1878" t="str">
            <v>13</v>
          </cell>
          <cell r="J1878">
            <v>0</v>
          </cell>
          <cell r="K1878">
            <v>0</v>
          </cell>
          <cell r="AL1878">
            <v>0</v>
          </cell>
          <cell r="BJ1878" t="str">
            <v>RSA</v>
          </cell>
        </row>
        <row r="1879">
          <cell r="E1879" t="str">
            <v>13</v>
          </cell>
          <cell r="J1879">
            <v>0</v>
          </cell>
          <cell r="K1879">
            <v>0</v>
          </cell>
          <cell r="AL1879">
            <v>0</v>
          </cell>
          <cell r="BJ1879" t="str">
            <v>RSA</v>
          </cell>
        </row>
        <row r="1880">
          <cell r="E1880" t="str">
            <v>13</v>
          </cell>
          <cell r="J1880">
            <v>0</v>
          </cell>
          <cell r="K1880">
            <v>0</v>
          </cell>
          <cell r="AL1880">
            <v>0</v>
          </cell>
          <cell r="BJ1880" t="str">
            <v>RSA</v>
          </cell>
        </row>
        <row r="1881">
          <cell r="E1881" t="str">
            <v>13</v>
          </cell>
          <cell r="J1881">
            <v>0</v>
          </cell>
          <cell r="K1881">
            <v>0</v>
          </cell>
          <cell r="AL1881">
            <v>0</v>
          </cell>
          <cell r="BJ1881" t="str">
            <v>RSA</v>
          </cell>
        </row>
        <row r="1882">
          <cell r="E1882" t="str">
            <v>13</v>
          </cell>
          <cell r="J1882">
            <v>0</v>
          </cell>
          <cell r="K1882">
            <v>0</v>
          </cell>
          <cell r="AL1882">
            <v>0</v>
          </cell>
          <cell r="BJ1882" t="str">
            <v>RSA</v>
          </cell>
        </row>
        <row r="1883">
          <cell r="E1883" t="str">
            <v>13</v>
          </cell>
          <cell r="J1883">
            <v>0</v>
          </cell>
          <cell r="K1883">
            <v>0</v>
          </cell>
          <cell r="AL1883">
            <v>0</v>
          </cell>
          <cell r="BJ1883" t="str">
            <v>RSA</v>
          </cell>
        </row>
        <row r="1884">
          <cell r="E1884" t="str">
            <v>13</v>
          </cell>
          <cell r="J1884">
            <v>0</v>
          </cell>
          <cell r="K1884">
            <v>0</v>
          </cell>
          <cell r="AL1884">
            <v>0</v>
          </cell>
          <cell r="BJ1884" t="str">
            <v>RSA</v>
          </cell>
        </row>
        <row r="1885">
          <cell r="E1885" t="str">
            <v>13</v>
          </cell>
          <cell r="J1885">
            <v>0</v>
          </cell>
          <cell r="K1885">
            <v>0</v>
          </cell>
          <cell r="AL1885">
            <v>0</v>
          </cell>
          <cell r="BJ1885" t="str">
            <v>RSA</v>
          </cell>
        </row>
        <row r="1886">
          <cell r="E1886" t="str">
            <v>13</v>
          </cell>
          <cell r="J1886">
            <v>0</v>
          </cell>
          <cell r="K1886">
            <v>0</v>
          </cell>
          <cell r="AL1886">
            <v>0</v>
          </cell>
          <cell r="BJ1886" t="str">
            <v>RSA</v>
          </cell>
        </row>
        <row r="1887">
          <cell r="E1887" t="str">
            <v>13</v>
          </cell>
          <cell r="J1887">
            <v>0</v>
          </cell>
          <cell r="K1887">
            <v>0</v>
          </cell>
          <cell r="AL1887">
            <v>0</v>
          </cell>
          <cell r="BJ1887" t="str">
            <v>RSA</v>
          </cell>
        </row>
        <row r="1888">
          <cell r="E1888" t="str">
            <v>13</v>
          </cell>
          <cell r="J1888">
            <v>0</v>
          </cell>
          <cell r="K1888">
            <v>9956.25</v>
          </cell>
          <cell r="AL1888">
            <v>0</v>
          </cell>
          <cell r="BJ1888" t="str">
            <v>RSA</v>
          </cell>
        </row>
        <row r="1889">
          <cell r="E1889" t="str">
            <v>13</v>
          </cell>
          <cell r="J1889">
            <v>0</v>
          </cell>
          <cell r="K1889">
            <v>0</v>
          </cell>
          <cell r="AL1889">
            <v>0</v>
          </cell>
          <cell r="BJ1889" t="str">
            <v>RSA</v>
          </cell>
        </row>
        <row r="1890">
          <cell r="E1890" t="str">
            <v>13</v>
          </cell>
          <cell r="J1890">
            <v>0</v>
          </cell>
          <cell r="K1890">
            <v>0</v>
          </cell>
          <cell r="AL1890">
            <v>0</v>
          </cell>
          <cell r="BJ1890" t="str">
            <v>RSA</v>
          </cell>
        </row>
        <row r="1891">
          <cell r="E1891" t="str">
            <v>13</v>
          </cell>
          <cell r="J1891">
            <v>0</v>
          </cell>
          <cell r="K1891">
            <v>0</v>
          </cell>
          <cell r="AL1891">
            <v>0</v>
          </cell>
          <cell r="BJ1891" t="str">
            <v>RSA</v>
          </cell>
        </row>
        <row r="1892">
          <cell r="E1892" t="str">
            <v>13</v>
          </cell>
          <cell r="J1892">
            <v>0</v>
          </cell>
          <cell r="K1892">
            <v>0</v>
          </cell>
          <cell r="AL1892">
            <v>0</v>
          </cell>
          <cell r="BJ1892" t="str">
            <v>RSA</v>
          </cell>
        </row>
        <row r="1893">
          <cell r="E1893" t="str">
            <v>13</v>
          </cell>
          <cell r="J1893">
            <v>0</v>
          </cell>
          <cell r="K1893">
            <v>0</v>
          </cell>
          <cell r="AL1893">
            <v>0</v>
          </cell>
          <cell r="BJ1893" t="str">
            <v>RSA</v>
          </cell>
        </row>
        <row r="1894">
          <cell r="E1894" t="str">
            <v>13</v>
          </cell>
          <cell r="J1894">
            <v>0</v>
          </cell>
          <cell r="K1894">
            <v>2427.0100000000093</v>
          </cell>
          <cell r="AL1894">
            <v>0</v>
          </cell>
          <cell r="BJ1894" t="str">
            <v>RSA</v>
          </cell>
        </row>
        <row r="1895">
          <cell r="E1895" t="str">
            <v>13</v>
          </cell>
          <cell r="J1895">
            <v>0</v>
          </cell>
          <cell r="K1895">
            <v>0</v>
          </cell>
          <cell r="AL1895">
            <v>0</v>
          </cell>
          <cell r="BJ1895" t="str">
            <v>RSA</v>
          </cell>
        </row>
        <row r="1896">
          <cell r="E1896" t="str">
            <v>13</v>
          </cell>
          <cell r="J1896">
            <v>0</v>
          </cell>
          <cell r="K1896">
            <v>0</v>
          </cell>
          <cell r="AL1896">
            <v>0</v>
          </cell>
          <cell r="BJ1896" t="str">
            <v>RSA</v>
          </cell>
        </row>
        <row r="1897">
          <cell r="E1897" t="str">
            <v>13</v>
          </cell>
          <cell r="J1897">
            <v>0</v>
          </cell>
          <cell r="K1897">
            <v>0</v>
          </cell>
          <cell r="AL1897">
            <v>0</v>
          </cell>
          <cell r="BJ1897" t="str">
            <v>RSA</v>
          </cell>
        </row>
        <row r="1898">
          <cell r="E1898" t="str">
            <v>13</v>
          </cell>
          <cell r="J1898">
            <v>0</v>
          </cell>
          <cell r="K1898">
            <v>0</v>
          </cell>
          <cell r="AL1898">
            <v>0</v>
          </cell>
          <cell r="BJ1898" t="str">
            <v>RSA</v>
          </cell>
        </row>
        <row r="1899">
          <cell r="E1899" t="str">
            <v>13</v>
          </cell>
          <cell r="J1899">
            <v>0</v>
          </cell>
          <cell r="K1899">
            <v>0</v>
          </cell>
          <cell r="AL1899">
            <v>0</v>
          </cell>
          <cell r="BJ1899" t="str">
            <v>RSA</v>
          </cell>
        </row>
        <row r="1900">
          <cell r="E1900" t="str">
            <v>13</v>
          </cell>
          <cell r="J1900">
            <v>0</v>
          </cell>
          <cell r="K1900">
            <v>1790.7299999999996</v>
          </cell>
          <cell r="AL1900">
            <v>0</v>
          </cell>
          <cell r="BJ1900" t="str">
            <v>RSA</v>
          </cell>
        </row>
        <row r="1901">
          <cell r="E1901" t="str">
            <v>13</v>
          </cell>
          <cell r="J1901">
            <v>0</v>
          </cell>
          <cell r="K1901">
            <v>0</v>
          </cell>
          <cell r="AL1901">
            <v>0</v>
          </cell>
          <cell r="BJ1901" t="str">
            <v>RSA</v>
          </cell>
        </row>
        <row r="1902">
          <cell r="E1902" t="str">
            <v>13</v>
          </cell>
          <cell r="J1902">
            <v>0</v>
          </cell>
          <cell r="K1902">
            <v>0</v>
          </cell>
          <cell r="AL1902">
            <v>0</v>
          </cell>
          <cell r="BJ1902" t="str">
            <v>RSA</v>
          </cell>
        </row>
        <row r="1903">
          <cell r="E1903" t="str">
            <v>13</v>
          </cell>
          <cell r="J1903">
            <v>0</v>
          </cell>
          <cell r="K1903">
            <v>276099.58000000007</v>
          </cell>
          <cell r="AL1903">
            <v>0</v>
          </cell>
          <cell r="BJ1903" t="str">
            <v>RSA</v>
          </cell>
        </row>
        <row r="1904">
          <cell r="E1904" t="str">
            <v>13</v>
          </cell>
          <cell r="J1904">
            <v>0</v>
          </cell>
          <cell r="K1904">
            <v>0</v>
          </cell>
          <cell r="AL1904">
            <v>0</v>
          </cell>
          <cell r="BJ1904" t="str">
            <v>RSA</v>
          </cell>
        </row>
        <row r="1905">
          <cell r="E1905" t="str">
            <v>13</v>
          </cell>
          <cell r="J1905">
            <v>0</v>
          </cell>
          <cell r="K1905">
            <v>0</v>
          </cell>
          <cell r="AL1905">
            <v>0</v>
          </cell>
          <cell r="BJ1905" t="str">
            <v>RSA</v>
          </cell>
        </row>
        <row r="1906">
          <cell r="E1906" t="str">
            <v>13</v>
          </cell>
          <cell r="J1906">
            <v>0</v>
          </cell>
          <cell r="K1906">
            <v>0</v>
          </cell>
          <cell r="AL1906">
            <v>0</v>
          </cell>
          <cell r="BJ1906" t="str">
            <v>RSA</v>
          </cell>
        </row>
        <row r="1907">
          <cell r="E1907" t="str">
            <v>13</v>
          </cell>
          <cell r="J1907">
            <v>0</v>
          </cell>
          <cell r="K1907">
            <v>0</v>
          </cell>
          <cell r="AL1907">
            <v>0</v>
          </cell>
          <cell r="BJ1907" t="str">
            <v>RSA</v>
          </cell>
        </row>
        <row r="1908">
          <cell r="E1908" t="str">
            <v>13</v>
          </cell>
          <cell r="J1908">
            <v>0</v>
          </cell>
          <cell r="K1908">
            <v>0</v>
          </cell>
          <cell r="AL1908">
            <v>0</v>
          </cell>
          <cell r="BJ1908" t="str">
            <v>RSA</v>
          </cell>
        </row>
        <row r="1909">
          <cell r="E1909" t="str">
            <v>13</v>
          </cell>
          <cell r="J1909">
            <v>0</v>
          </cell>
          <cell r="K1909">
            <v>0</v>
          </cell>
          <cell r="AL1909">
            <v>0</v>
          </cell>
          <cell r="BJ1909" t="str">
            <v>RSA</v>
          </cell>
        </row>
        <row r="1910">
          <cell r="E1910" t="str">
            <v>13</v>
          </cell>
          <cell r="J1910">
            <v>0</v>
          </cell>
          <cell r="K1910">
            <v>0</v>
          </cell>
          <cell r="AL1910">
            <v>0</v>
          </cell>
          <cell r="BJ1910" t="str">
            <v>RSA</v>
          </cell>
        </row>
        <row r="1911">
          <cell r="E1911" t="str">
            <v>13</v>
          </cell>
          <cell r="J1911">
            <v>0</v>
          </cell>
          <cell r="K1911">
            <v>0</v>
          </cell>
          <cell r="AL1911">
            <v>0</v>
          </cell>
          <cell r="BJ1911" t="str">
            <v>RSA</v>
          </cell>
        </row>
        <row r="1912">
          <cell r="E1912" t="str">
            <v>13</v>
          </cell>
          <cell r="J1912">
            <v>0</v>
          </cell>
          <cell r="K1912">
            <v>0</v>
          </cell>
          <cell r="AL1912">
            <v>0</v>
          </cell>
          <cell r="BJ1912" t="str">
            <v>RSA</v>
          </cell>
        </row>
        <row r="1913">
          <cell r="E1913" t="str">
            <v>13</v>
          </cell>
          <cell r="J1913">
            <v>0</v>
          </cell>
          <cell r="K1913">
            <v>0</v>
          </cell>
          <cell r="AL1913">
            <v>0</v>
          </cell>
          <cell r="BJ1913" t="str">
            <v>RSA</v>
          </cell>
        </row>
        <row r="1914">
          <cell r="E1914" t="str">
            <v>13</v>
          </cell>
          <cell r="J1914">
            <v>0</v>
          </cell>
          <cell r="K1914">
            <v>9194.3000000000029</v>
          </cell>
          <cell r="AL1914">
            <v>0</v>
          </cell>
          <cell r="BJ1914" t="str">
            <v>RSA</v>
          </cell>
        </row>
        <row r="1915">
          <cell r="E1915" t="str">
            <v>13</v>
          </cell>
          <cell r="J1915">
            <v>0</v>
          </cell>
          <cell r="K1915">
            <v>0</v>
          </cell>
          <cell r="AL1915">
            <v>0</v>
          </cell>
          <cell r="BJ1915" t="str">
            <v>RSA</v>
          </cell>
        </row>
        <row r="1916">
          <cell r="E1916" t="str">
            <v>13</v>
          </cell>
          <cell r="J1916">
            <v>0</v>
          </cell>
          <cell r="K1916">
            <v>0</v>
          </cell>
          <cell r="AL1916">
            <v>0</v>
          </cell>
          <cell r="BJ1916" t="str">
            <v>RSA</v>
          </cell>
        </row>
        <row r="1917">
          <cell r="E1917" t="str">
            <v>13</v>
          </cell>
          <cell r="J1917">
            <v>0</v>
          </cell>
          <cell r="K1917">
            <v>0</v>
          </cell>
          <cell r="AL1917">
            <v>0</v>
          </cell>
          <cell r="BJ1917" t="str">
            <v>RSA</v>
          </cell>
        </row>
        <row r="1918">
          <cell r="E1918" t="str">
            <v>13</v>
          </cell>
          <cell r="J1918">
            <v>0</v>
          </cell>
          <cell r="K1918">
            <v>0</v>
          </cell>
          <cell r="AL1918">
            <v>0</v>
          </cell>
          <cell r="BJ1918" t="str">
            <v>RSA</v>
          </cell>
        </row>
        <row r="1919">
          <cell r="E1919" t="str">
            <v>11</v>
          </cell>
          <cell r="J1919">
            <v>0</v>
          </cell>
          <cell r="K1919">
            <v>0</v>
          </cell>
          <cell r="AL1919">
            <v>0</v>
          </cell>
          <cell r="BJ1919" t="str">
            <v>RSA</v>
          </cell>
        </row>
        <row r="1920">
          <cell r="E1920" t="str">
            <v>13</v>
          </cell>
          <cell r="J1920">
            <v>0</v>
          </cell>
          <cell r="K1920">
            <v>0</v>
          </cell>
          <cell r="AL1920">
            <v>0</v>
          </cell>
          <cell r="BJ1920" t="str">
            <v>RSA</v>
          </cell>
        </row>
        <row r="1921">
          <cell r="E1921" t="str">
            <v>11</v>
          </cell>
          <cell r="J1921">
            <v>0</v>
          </cell>
          <cell r="K1921">
            <v>0</v>
          </cell>
          <cell r="AL1921">
            <v>0</v>
          </cell>
          <cell r="BJ1921" t="str">
            <v>RSA</v>
          </cell>
        </row>
        <row r="1922">
          <cell r="E1922" t="str">
            <v>13</v>
          </cell>
          <cell r="J1922">
            <v>0</v>
          </cell>
          <cell r="K1922">
            <v>7738.4700000000012</v>
          </cell>
          <cell r="AL1922">
            <v>0</v>
          </cell>
          <cell r="BJ1922" t="str">
            <v>RSA</v>
          </cell>
        </row>
        <row r="1923">
          <cell r="E1923" t="str">
            <v>11</v>
          </cell>
          <cell r="J1923">
            <v>0</v>
          </cell>
          <cell r="K1923">
            <v>0</v>
          </cell>
          <cell r="AL1923">
            <v>0</v>
          </cell>
          <cell r="BJ1923" t="str">
            <v>RSA</v>
          </cell>
        </row>
        <row r="1924">
          <cell r="E1924" t="str">
            <v>15</v>
          </cell>
          <cell r="J1924">
            <v>0</v>
          </cell>
          <cell r="K1924">
            <v>0</v>
          </cell>
          <cell r="AL1924">
            <v>0</v>
          </cell>
          <cell r="BJ1924" t="str">
            <v>RSA</v>
          </cell>
        </row>
        <row r="1925">
          <cell r="E1925" t="str">
            <v>15</v>
          </cell>
          <cell r="J1925">
            <v>0</v>
          </cell>
          <cell r="K1925">
            <v>0</v>
          </cell>
          <cell r="AL1925">
            <v>0</v>
          </cell>
          <cell r="BJ1925" t="str">
            <v>RSA</v>
          </cell>
        </row>
        <row r="1926">
          <cell r="E1926" t="str">
            <v>15</v>
          </cell>
          <cell r="J1926">
            <v>0</v>
          </cell>
          <cell r="K1926">
            <v>0</v>
          </cell>
          <cell r="AL1926">
            <v>0</v>
          </cell>
          <cell r="BJ1926" t="str">
            <v>RSA</v>
          </cell>
        </row>
        <row r="1927">
          <cell r="E1927" t="str">
            <v>13</v>
          </cell>
          <cell r="J1927">
            <v>0</v>
          </cell>
          <cell r="K1927">
            <v>0</v>
          </cell>
          <cell r="AL1927">
            <v>0</v>
          </cell>
          <cell r="BJ1927" t="str">
            <v>RSA</v>
          </cell>
        </row>
        <row r="1928">
          <cell r="E1928" t="str">
            <v>20</v>
          </cell>
          <cell r="J1928">
            <v>15199625</v>
          </cell>
          <cell r="K1928">
            <v>0</v>
          </cell>
          <cell r="AL1928">
            <v>0</v>
          </cell>
          <cell r="BJ1928" t="str">
            <v>RSA</v>
          </cell>
        </row>
        <row r="1929">
          <cell r="E1929" t="str">
            <v>20</v>
          </cell>
          <cell r="J1929">
            <v>0</v>
          </cell>
          <cell r="K1929">
            <v>0</v>
          </cell>
          <cell r="AL1929">
            <v>0</v>
          </cell>
          <cell r="BJ1929" t="str">
            <v>RSA</v>
          </cell>
        </row>
        <row r="1930">
          <cell r="E1930" t="str">
            <v>21</v>
          </cell>
          <cell r="J1930">
            <v>6463.47</v>
          </cell>
          <cell r="K1930">
            <v>0</v>
          </cell>
          <cell r="AL1930">
            <v>0</v>
          </cell>
          <cell r="BJ1930" t="str">
            <v>RSA</v>
          </cell>
        </row>
        <row r="1931">
          <cell r="E1931" t="str">
            <v>24</v>
          </cell>
          <cell r="J1931">
            <v>-9.3132257461547852E-10</v>
          </cell>
          <cell r="K1931">
            <v>0</v>
          </cell>
          <cell r="AL1931">
            <v>0</v>
          </cell>
          <cell r="BJ1931" t="str">
            <v>RSA</v>
          </cell>
        </row>
        <row r="1932">
          <cell r="E1932" t="str">
            <v>24</v>
          </cell>
          <cell r="J1932">
            <v>0</v>
          </cell>
          <cell r="K1932">
            <v>0</v>
          </cell>
          <cell r="AL1932">
            <v>0</v>
          </cell>
          <cell r="BJ1932" t="str">
            <v>RSA</v>
          </cell>
        </row>
        <row r="1933">
          <cell r="E1933" t="str">
            <v>24</v>
          </cell>
          <cell r="J1933">
            <v>5.8207660913467407E-11</v>
          </cell>
          <cell r="K1933">
            <v>0</v>
          </cell>
          <cell r="AL1933">
            <v>0</v>
          </cell>
          <cell r="BJ1933" t="str">
            <v>RSA</v>
          </cell>
        </row>
        <row r="1934">
          <cell r="E1934" t="str">
            <v>24</v>
          </cell>
          <cell r="J1934">
            <v>4.9999999988358468E-2</v>
          </cell>
          <cell r="K1934">
            <v>0</v>
          </cell>
          <cell r="AL1934">
            <v>0</v>
          </cell>
          <cell r="BJ1934" t="str">
            <v>RSA</v>
          </cell>
        </row>
        <row r="1935">
          <cell r="E1935" t="str">
            <v>24</v>
          </cell>
          <cell r="J1935">
            <v>0</v>
          </cell>
          <cell r="K1935">
            <v>0</v>
          </cell>
          <cell r="AL1935">
            <v>0</v>
          </cell>
          <cell r="BJ1935" t="str">
            <v>RSA</v>
          </cell>
        </row>
        <row r="1936">
          <cell r="E1936" t="str">
            <v>24</v>
          </cell>
          <cell r="J1936">
            <v>0</v>
          </cell>
          <cell r="K1936">
            <v>0</v>
          </cell>
          <cell r="AL1936">
            <v>0</v>
          </cell>
          <cell r="BJ1936" t="str">
            <v>RSA</v>
          </cell>
        </row>
        <row r="1937">
          <cell r="E1937" t="str">
            <v>24</v>
          </cell>
          <cell r="J1937">
            <v>0</v>
          </cell>
          <cell r="K1937">
            <v>0</v>
          </cell>
          <cell r="AL1937">
            <v>0</v>
          </cell>
          <cell r="BJ1937" t="str">
            <v>RSA</v>
          </cell>
        </row>
        <row r="1938">
          <cell r="E1938" t="str">
            <v>24</v>
          </cell>
          <cell r="J1938">
            <v>0</v>
          </cell>
          <cell r="K1938">
            <v>0</v>
          </cell>
          <cell r="AL1938">
            <v>0</v>
          </cell>
          <cell r="BJ1938" t="str">
            <v>RSA</v>
          </cell>
        </row>
        <row r="1939">
          <cell r="E1939" t="str">
            <v>24</v>
          </cell>
          <cell r="J1939">
            <v>0</v>
          </cell>
          <cell r="K1939">
            <v>0</v>
          </cell>
          <cell r="AL1939">
            <v>0</v>
          </cell>
          <cell r="BJ1939" t="str">
            <v>RSA</v>
          </cell>
        </row>
        <row r="1940">
          <cell r="E1940" t="str">
            <v>24</v>
          </cell>
          <cell r="J1940">
            <v>0</v>
          </cell>
          <cell r="K1940">
            <v>0</v>
          </cell>
          <cell r="AL1940">
            <v>0</v>
          </cell>
          <cell r="BJ1940" t="str">
            <v>RSA</v>
          </cell>
        </row>
        <row r="1941">
          <cell r="E1941" t="str">
            <v>24</v>
          </cell>
          <cell r="J1941">
            <v>0</v>
          </cell>
          <cell r="K1941">
            <v>0</v>
          </cell>
          <cell r="AL1941">
            <v>0</v>
          </cell>
          <cell r="BJ1941" t="str">
            <v>RSA</v>
          </cell>
        </row>
        <row r="1942">
          <cell r="E1942" t="str">
            <v>24</v>
          </cell>
          <cell r="J1942">
            <v>-1.1641532182693481E-10</v>
          </cell>
          <cell r="K1942">
            <v>0</v>
          </cell>
          <cell r="AL1942">
            <v>0</v>
          </cell>
          <cell r="BJ1942" t="str">
            <v>RSA</v>
          </cell>
        </row>
        <row r="1943">
          <cell r="E1943" t="str">
            <v>24</v>
          </cell>
          <cell r="J1943">
            <v>0</v>
          </cell>
          <cell r="K1943">
            <v>0</v>
          </cell>
          <cell r="AL1943">
            <v>0</v>
          </cell>
          <cell r="BJ1943" t="str">
            <v>RSA</v>
          </cell>
        </row>
        <row r="1944">
          <cell r="E1944" t="str">
            <v>24</v>
          </cell>
          <cell r="J1944">
            <v>0</v>
          </cell>
          <cell r="K1944">
            <v>0</v>
          </cell>
          <cell r="AL1944">
            <v>0</v>
          </cell>
          <cell r="BJ1944" t="str">
            <v>RSA</v>
          </cell>
        </row>
        <row r="1945">
          <cell r="E1945" t="str">
            <v>24</v>
          </cell>
          <cell r="J1945">
            <v>0</v>
          </cell>
          <cell r="K1945">
            <v>0</v>
          </cell>
          <cell r="AL1945">
            <v>0</v>
          </cell>
          <cell r="BJ1945" t="str">
            <v>RSA</v>
          </cell>
        </row>
        <row r="1946">
          <cell r="E1946" t="str">
            <v>24</v>
          </cell>
          <cell r="J1946">
            <v>0</v>
          </cell>
          <cell r="K1946">
            <v>0</v>
          </cell>
          <cell r="AL1946">
            <v>0</v>
          </cell>
          <cell r="BJ1946" t="str">
            <v>RSA</v>
          </cell>
        </row>
        <row r="1947">
          <cell r="E1947" t="str">
            <v>24</v>
          </cell>
          <cell r="J1947">
            <v>0</v>
          </cell>
          <cell r="K1947">
            <v>0</v>
          </cell>
          <cell r="AL1947">
            <v>0</v>
          </cell>
          <cell r="BJ1947" t="str">
            <v>RSA</v>
          </cell>
        </row>
        <row r="1948">
          <cell r="E1948" t="str">
            <v>24</v>
          </cell>
          <cell r="J1948">
            <v>0</v>
          </cell>
          <cell r="K1948">
            <v>0</v>
          </cell>
          <cell r="AL1948">
            <v>0</v>
          </cell>
          <cell r="BJ1948" t="str">
            <v>RSA</v>
          </cell>
        </row>
        <row r="1949">
          <cell r="E1949" t="str">
            <v>24</v>
          </cell>
          <cell r="J1949">
            <v>0</v>
          </cell>
          <cell r="K1949">
            <v>0</v>
          </cell>
          <cell r="AL1949">
            <v>0</v>
          </cell>
          <cell r="BJ1949" t="str">
            <v>RSA</v>
          </cell>
        </row>
        <row r="1950">
          <cell r="E1950" t="str">
            <v>24</v>
          </cell>
          <cell r="J1950">
            <v>0</v>
          </cell>
          <cell r="K1950">
            <v>0</v>
          </cell>
          <cell r="AL1950">
            <v>0</v>
          </cell>
          <cell r="BJ1950" t="str">
            <v>RSA</v>
          </cell>
        </row>
        <row r="1951">
          <cell r="E1951" t="str">
            <v>24</v>
          </cell>
          <cell r="J1951">
            <v>0</v>
          </cell>
          <cell r="K1951">
            <v>0</v>
          </cell>
          <cell r="AL1951">
            <v>0</v>
          </cell>
          <cell r="BJ1951" t="str">
            <v>RSA</v>
          </cell>
        </row>
        <row r="1952">
          <cell r="E1952" t="str">
            <v>24</v>
          </cell>
          <cell r="J1952">
            <v>0</v>
          </cell>
          <cell r="K1952">
            <v>0</v>
          </cell>
          <cell r="AL1952">
            <v>0</v>
          </cell>
          <cell r="BJ1952" t="str">
            <v>RSA</v>
          </cell>
        </row>
        <row r="1953">
          <cell r="E1953" t="str">
            <v>24</v>
          </cell>
          <cell r="J1953">
            <v>0</v>
          </cell>
          <cell r="K1953">
            <v>0</v>
          </cell>
          <cell r="AL1953">
            <v>0</v>
          </cell>
          <cell r="BJ1953" t="str">
            <v>RSA</v>
          </cell>
        </row>
        <row r="1954">
          <cell r="E1954" t="str">
            <v>24</v>
          </cell>
          <cell r="J1954">
            <v>0</v>
          </cell>
          <cell r="K1954">
            <v>0</v>
          </cell>
          <cell r="AL1954">
            <v>0</v>
          </cell>
          <cell r="BJ1954" t="str">
            <v>RSA</v>
          </cell>
        </row>
        <row r="1955">
          <cell r="E1955" t="str">
            <v>24</v>
          </cell>
          <cell r="J1955">
            <v>27061.479999999996</v>
          </cell>
          <cell r="K1955">
            <v>-3420</v>
          </cell>
          <cell r="AL1955">
            <v>0</v>
          </cell>
          <cell r="BJ1955" t="str">
            <v>RSA</v>
          </cell>
        </row>
        <row r="1956">
          <cell r="E1956" t="str">
            <v>24</v>
          </cell>
          <cell r="J1956">
            <v>1.4551915228366852E-11</v>
          </cell>
          <cell r="K1956">
            <v>0</v>
          </cell>
          <cell r="AL1956">
            <v>0</v>
          </cell>
          <cell r="BJ1956" t="str">
            <v>RSA</v>
          </cell>
        </row>
        <row r="1957">
          <cell r="E1957" t="str">
            <v>24</v>
          </cell>
          <cell r="J1957">
            <v>0</v>
          </cell>
          <cell r="K1957">
            <v>0</v>
          </cell>
          <cell r="AL1957">
            <v>0</v>
          </cell>
          <cell r="BJ1957" t="str">
            <v>RSA</v>
          </cell>
        </row>
        <row r="1958">
          <cell r="E1958" t="str">
            <v>24</v>
          </cell>
          <cell r="J1958">
            <v>0</v>
          </cell>
          <cell r="K1958">
            <v>0</v>
          </cell>
          <cell r="AL1958">
            <v>0</v>
          </cell>
          <cell r="BJ1958" t="str">
            <v>RSA</v>
          </cell>
        </row>
        <row r="1959">
          <cell r="E1959" t="str">
            <v>24</v>
          </cell>
          <cell r="J1959">
            <v>0</v>
          </cell>
          <cell r="K1959">
            <v>0</v>
          </cell>
          <cell r="AL1959">
            <v>0</v>
          </cell>
          <cell r="BJ1959" t="str">
            <v>RSA</v>
          </cell>
        </row>
        <row r="1960">
          <cell r="E1960" t="str">
            <v>24</v>
          </cell>
          <cell r="J1960">
            <v>0</v>
          </cell>
          <cell r="K1960">
            <v>0</v>
          </cell>
          <cell r="AL1960">
            <v>0</v>
          </cell>
          <cell r="BJ1960" t="str">
            <v>RSA</v>
          </cell>
        </row>
        <row r="1961">
          <cell r="E1961" t="str">
            <v>24</v>
          </cell>
          <cell r="J1961">
            <v>0</v>
          </cell>
          <cell r="K1961">
            <v>0</v>
          </cell>
          <cell r="AL1961">
            <v>0</v>
          </cell>
          <cell r="BJ1961" t="str">
            <v>RSA</v>
          </cell>
        </row>
        <row r="1962">
          <cell r="E1962" t="str">
            <v>24</v>
          </cell>
          <cell r="J1962">
            <v>0</v>
          </cell>
          <cell r="K1962">
            <v>0</v>
          </cell>
          <cell r="AL1962">
            <v>0</v>
          </cell>
          <cell r="BJ1962" t="str">
            <v>RSA</v>
          </cell>
        </row>
        <row r="1963">
          <cell r="E1963" t="str">
            <v>37</v>
          </cell>
          <cell r="J1963">
            <v>0</v>
          </cell>
          <cell r="K1963">
            <v>0</v>
          </cell>
          <cell r="AL1963">
            <v>0</v>
          </cell>
          <cell r="BJ1963" t="str">
            <v>RSA</v>
          </cell>
        </row>
        <row r="1964">
          <cell r="E1964" t="str">
            <v>37</v>
          </cell>
          <cell r="J1964">
            <v>0</v>
          </cell>
          <cell r="K1964">
            <v>0</v>
          </cell>
          <cell r="AL1964">
            <v>0</v>
          </cell>
          <cell r="BJ1964" t="str">
            <v>RSA</v>
          </cell>
        </row>
        <row r="1965">
          <cell r="E1965" t="str">
            <v>37</v>
          </cell>
          <cell r="J1965">
            <v>0</v>
          </cell>
          <cell r="K1965">
            <v>0</v>
          </cell>
          <cell r="AL1965">
            <v>0</v>
          </cell>
          <cell r="BJ1965" t="str">
            <v>RSA</v>
          </cell>
        </row>
        <row r="1966">
          <cell r="E1966" t="str">
            <v>37</v>
          </cell>
          <cell r="J1966">
            <v>0</v>
          </cell>
          <cell r="K1966">
            <v>0</v>
          </cell>
          <cell r="AL1966">
            <v>0</v>
          </cell>
          <cell r="BJ1966" t="str">
            <v>RSA</v>
          </cell>
        </row>
        <row r="1967">
          <cell r="E1967" t="str">
            <v>37</v>
          </cell>
          <cell r="J1967">
            <v>-19562.679999999818</v>
          </cell>
          <cell r="K1967">
            <v>-218.15000000002328</v>
          </cell>
          <cell r="AL1967">
            <v>0</v>
          </cell>
          <cell r="BJ1967" t="str">
            <v>RSA</v>
          </cell>
        </row>
        <row r="1968">
          <cell r="E1968" t="str">
            <v>37</v>
          </cell>
          <cell r="J1968">
            <v>0</v>
          </cell>
          <cell r="K1968">
            <v>-595073.97</v>
          </cell>
          <cell r="AL1968">
            <v>0</v>
          </cell>
          <cell r="BJ1968" t="str">
            <v>RSA</v>
          </cell>
        </row>
        <row r="1969">
          <cell r="E1969" t="str">
            <v>37</v>
          </cell>
          <cell r="J1969">
            <v>0</v>
          </cell>
          <cell r="K1969">
            <v>0</v>
          </cell>
          <cell r="AL1969">
            <v>0</v>
          </cell>
          <cell r="BJ1969" t="str">
            <v>RSA</v>
          </cell>
        </row>
        <row r="1970">
          <cell r="E1970" t="str">
            <v>37</v>
          </cell>
          <cell r="J1970">
            <v>0</v>
          </cell>
          <cell r="K1970">
            <v>0</v>
          </cell>
          <cell r="AL1970">
            <v>0</v>
          </cell>
          <cell r="BJ1970" t="str">
            <v>RSA</v>
          </cell>
        </row>
        <row r="1971">
          <cell r="E1971" t="str">
            <v>37</v>
          </cell>
          <cell r="J1971">
            <v>0</v>
          </cell>
          <cell r="K1971">
            <v>0</v>
          </cell>
          <cell r="AL1971">
            <v>0</v>
          </cell>
          <cell r="BJ1971" t="str">
            <v>RSA</v>
          </cell>
        </row>
        <row r="1972">
          <cell r="E1972" t="str">
            <v>37</v>
          </cell>
          <cell r="J1972">
            <v>0</v>
          </cell>
          <cell r="K1972">
            <v>0</v>
          </cell>
          <cell r="AL1972">
            <v>0</v>
          </cell>
          <cell r="BJ1972" t="str">
            <v>RSA</v>
          </cell>
        </row>
        <row r="1973">
          <cell r="E1973" t="str">
            <v>37</v>
          </cell>
          <cell r="J1973">
            <v>0</v>
          </cell>
          <cell r="K1973">
            <v>0</v>
          </cell>
          <cell r="AL1973">
            <v>0</v>
          </cell>
          <cell r="BJ1973" t="str">
            <v>RSA</v>
          </cell>
        </row>
        <row r="1974">
          <cell r="E1974" t="str">
            <v>37</v>
          </cell>
          <cell r="J1974">
            <v>0</v>
          </cell>
          <cell r="K1974">
            <v>0</v>
          </cell>
          <cell r="AL1974">
            <v>0</v>
          </cell>
          <cell r="BJ1974" t="str">
            <v>RSA</v>
          </cell>
        </row>
        <row r="1975">
          <cell r="E1975" t="str">
            <v>37</v>
          </cell>
          <cell r="J1975">
            <v>0</v>
          </cell>
          <cell r="K1975">
            <v>0</v>
          </cell>
          <cell r="AL1975">
            <v>0</v>
          </cell>
          <cell r="BJ1975" t="str">
            <v>RSA</v>
          </cell>
        </row>
        <row r="1976">
          <cell r="E1976" t="str">
            <v>37</v>
          </cell>
          <cell r="J1976">
            <v>10000</v>
          </cell>
          <cell r="K1976">
            <v>0</v>
          </cell>
          <cell r="AL1976">
            <v>0</v>
          </cell>
          <cell r="BJ1976" t="str">
            <v>RSA</v>
          </cell>
        </row>
        <row r="1977">
          <cell r="E1977" t="str">
            <v>37</v>
          </cell>
          <cell r="J1977">
            <v>0</v>
          </cell>
          <cell r="K1977">
            <v>0</v>
          </cell>
          <cell r="AL1977">
            <v>0</v>
          </cell>
          <cell r="BJ1977" t="str">
            <v>RSA</v>
          </cell>
        </row>
        <row r="1978">
          <cell r="E1978" t="str">
            <v>37</v>
          </cell>
          <cell r="J1978">
            <v>0</v>
          </cell>
          <cell r="K1978">
            <v>0</v>
          </cell>
          <cell r="AL1978">
            <v>0</v>
          </cell>
          <cell r="BJ1978" t="str">
            <v>RSA</v>
          </cell>
        </row>
        <row r="1979">
          <cell r="E1979" t="str">
            <v>37</v>
          </cell>
          <cell r="J1979">
            <v>0</v>
          </cell>
          <cell r="K1979">
            <v>0</v>
          </cell>
          <cell r="AL1979">
            <v>0</v>
          </cell>
          <cell r="BJ1979" t="str">
            <v>RSA</v>
          </cell>
        </row>
        <row r="1980">
          <cell r="E1980" t="str">
            <v>37</v>
          </cell>
          <cell r="J1980">
            <v>0</v>
          </cell>
          <cell r="K1980">
            <v>0</v>
          </cell>
          <cell r="AL1980">
            <v>0</v>
          </cell>
          <cell r="BJ1980" t="str">
            <v>RSA</v>
          </cell>
        </row>
        <row r="1981">
          <cell r="E1981" t="str">
            <v>37</v>
          </cell>
          <cell r="J1981">
            <v>1318000.6499999999</v>
          </cell>
          <cell r="K1981">
            <v>339680</v>
          </cell>
          <cell r="AL1981">
            <v>0</v>
          </cell>
          <cell r="BJ1981" t="str">
            <v>RSA</v>
          </cell>
        </row>
        <row r="1982">
          <cell r="E1982" t="str">
            <v>37</v>
          </cell>
          <cell r="J1982">
            <v>0</v>
          </cell>
          <cell r="K1982">
            <v>0</v>
          </cell>
          <cell r="AL1982">
            <v>0</v>
          </cell>
          <cell r="BJ1982" t="str">
            <v>RSA</v>
          </cell>
        </row>
        <row r="1983">
          <cell r="E1983" t="str">
            <v>37</v>
          </cell>
          <cell r="J1983">
            <v>0</v>
          </cell>
          <cell r="K1983">
            <v>0</v>
          </cell>
          <cell r="AL1983">
            <v>0</v>
          </cell>
          <cell r="BJ1983" t="str">
            <v>RSA</v>
          </cell>
        </row>
        <row r="1984">
          <cell r="E1984" t="str">
            <v>37</v>
          </cell>
          <cell r="J1984">
            <v>0</v>
          </cell>
          <cell r="K1984">
            <v>0</v>
          </cell>
          <cell r="AL1984">
            <v>0</v>
          </cell>
          <cell r="BJ1984" t="str">
            <v>RSA</v>
          </cell>
        </row>
        <row r="1985">
          <cell r="E1985" t="str">
            <v>37</v>
          </cell>
          <cell r="J1985">
            <v>0</v>
          </cell>
          <cell r="K1985">
            <v>0</v>
          </cell>
          <cell r="AL1985">
            <v>0</v>
          </cell>
          <cell r="BJ1985" t="str">
            <v>RSA</v>
          </cell>
        </row>
        <row r="1986">
          <cell r="E1986" t="str">
            <v>37</v>
          </cell>
          <cell r="J1986">
            <v>0</v>
          </cell>
          <cell r="K1986">
            <v>0</v>
          </cell>
          <cell r="AL1986">
            <v>0</v>
          </cell>
          <cell r="BJ1986" t="str">
            <v>RSA</v>
          </cell>
        </row>
        <row r="1987">
          <cell r="E1987" t="str">
            <v>37</v>
          </cell>
          <cell r="J1987">
            <v>1000</v>
          </cell>
          <cell r="K1987">
            <v>0</v>
          </cell>
          <cell r="AL1987">
            <v>0</v>
          </cell>
          <cell r="BJ1987" t="str">
            <v>RSA</v>
          </cell>
        </row>
        <row r="1988">
          <cell r="E1988" t="str">
            <v>37</v>
          </cell>
          <cell r="J1988">
            <v>0</v>
          </cell>
          <cell r="K1988">
            <v>0</v>
          </cell>
          <cell r="AL1988">
            <v>0</v>
          </cell>
          <cell r="BJ1988" t="str">
            <v>RSA</v>
          </cell>
        </row>
        <row r="1989">
          <cell r="E1989" t="str">
            <v>37</v>
          </cell>
          <cell r="J1989">
            <v>0</v>
          </cell>
          <cell r="K1989">
            <v>0</v>
          </cell>
          <cell r="AL1989">
            <v>0</v>
          </cell>
          <cell r="BJ1989" t="str">
            <v>RSA</v>
          </cell>
        </row>
        <row r="1990">
          <cell r="E1990" t="str">
            <v>37</v>
          </cell>
          <cell r="J1990">
            <v>0</v>
          </cell>
          <cell r="K1990">
            <v>0</v>
          </cell>
          <cell r="AL1990">
            <v>0</v>
          </cell>
          <cell r="BJ1990" t="str">
            <v>RSA</v>
          </cell>
        </row>
        <row r="1991">
          <cell r="E1991" t="str">
            <v>37</v>
          </cell>
          <cell r="J1991">
            <v>0</v>
          </cell>
          <cell r="K1991">
            <v>0</v>
          </cell>
          <cell r="AL1991">
            <v>0</v>
          </cell>
          <cell r="BJ1991" t="str">
            <v>RSA</v>
          </cell>
        </row>
        <row r="1992">
          <cell r="E1992" t="str">
            <v>35</v>
          </cell>
          <cell r="J1992">
            <v>0</v>
          </cell>
          <cell r="K1992">
            <v>0</v>
          </cell>
          <cell r="AL1992">
            <v>0</v>
          </cell>
          <cell r="BJ1992" t="str">
            <v>RSA</v>
          </cell>
        </row>
        <row r="1993">
          <cell r="E1993" t="str">
            <v>35</v>
          </cell>
          <cell r="J1993">
            <v>0</v>
          </cell>
          <cell r="K1993">
            <v>0</v>
          </cell>
          <cell r="AL1993">
            <v>0</v>
          </cell>
          <cell r="BJ1993" t="str">
            <v>RSA</v>
          </cell>
        </row>
        <row r="1994">
          <cell r="E1994" t="str">
            <v>35</v>
          </cell>
          <cell r="J1994">
            <v>283197.739474</v>
          </cell>
          <cell r="K1994">
            <v>0</v>
          </cell>
          <cell r="AL1994">
            <v>0</v>
          </cell>
          <cell r="BJ1994" t="str">
            <v>RSA</v>
          </cell>
        </row>
        <row r="1995">
          <cell r="E1995" t="str">
            <v>35</v>
          </cell>
          <cell r="J1995">
            <v>-82640.800000000003</v>
          </cell>
          <cell r="K1995">
            <v>-19700.059999999998</v>
          </cell>
          <cell r="AL1995">
            <v>0</v>
          </cell>
          <cell r="BJ1995" t="str">
            <v>RSA</v>
          </cell>
        </row>
        <row r="1996">
          <cell r="E1996" t="str">
            <v>35</v>
          </cell>
          <cell r="J1996">
            <v>19954.55</v>
          </cell>
          <cell r="K1996">
            <v>0</v>
          </cell>
          <cell r="AL1996">
            <v>0</v>
          </cell>
          <cell r="BJ1996" t="str">
            <v>RSA</v>
          </cell>
        </row>
        <row r="1997">
          <cell r="E1997" t="str">
            <v>35</v>
          </cell>
          <cell r="J1997">
            <v>-4472.0600000000059</v>
          </cell>
          <cell r="K1997">
            <v>-282.45999999999913</v>
          </cell>
          <cell r="AL1997">
            <v>0</v>
          </cell>
          <cell r="BJ1997" t="str">
            <v>RSA</v>
          </cell>
        </row>
        <row r="1998">
          <cell r="E1998" t="str">
            <v>35</v>
          </cell>
          <cell r="J1998">
            <v>0</v>
          </cell>
          <cell r="K1998">
            <v>0</v>
          </cell>
          <cell r="AL1998">
            <v>0</v>
          </cell>
          <cell r="BJ1998" t="str">
            <v>RSA</v>
          </cell>
        </row>
        <row r="1999">
          <cell r="E1999" t="str">
            <v>35</v>
          </cell>
          <cell r="J1999">
            <v>0</v>
          </cell>
          <cell r="K1999">
            <v>0</v>
          </cell>
          <cell r="AL1999">
            <v>0</v>
          </cell>
          <cell r="BJ1999" t="str">
            <v>RSA</v>
          </cell>
        </row>
        <row r="2000">
          <cell r="E2000" t="str">
            <v>35</v>
          </cell>
          <cell r="J2000">
            <v>4322.22</v>
          </cell>
          <cell r="K2000">
            <v>0</v>
          </cell>
          <cell r="AL2000">
            <v>0</v>
          </cell>
          <cell r="BJ2000" t="str">
            <v>RSA</v>
          </cell>
        </row>
        <row r="2001">
          <cell r="E2001" t="str">
            <v>35</v>
          </cell>
          <cell r="J2001">
            <v>-656.03</v>
          </cell>
          <cell r="K2001">
            <v>-73.419999999999959</v>
          </cell>
          <cell r="AL2001">
            <v>0</v>
          </cell>
          <cell r="BJ2001" t="str">
            <v>RSA</v>
          </cell>
        </row>
        <row r="2002">
          <cell r="E2002" t="str">
            <v>35</v>
          </cell>
          <cell r="J2002">
            <v>0</v>
          </cell>
          <cell r="K2002">
            <v>0</v>
          </cell>
          <cell r="AL2002">
            <v>0</v>
          </cell>
          <cell r="BJ2002" t="str">
            <v>RSA</v>
          </cell>
        </row>
        <row r="2003">
          <cell r="E2003" t="str">
            <v>35</v>
          </cell>
          <cell r="J2003">
            <v>0</v>
          </cell>
          <cell r="K2003">
            <v>0</v>
          </cell>
          <cell r="AL2003">
            <v>0</v>
          </cell>
          <cell r="BJ2003" t="str">
            <v>RSA</v>
          </cell>
        </row>
        <row r="2004">
          <cell r="E2004" t="str">
            <v>35</v>
          </cell>
          <cell r="J2004">
            <v>0</v>
          </cell>
          <cell r="K2004">
            <v>0</v>
          </cell>
          <cell r="AL2004">
            <v>0</v>
          </cell>
          <cell r="BJ2004" t="str">
            <v>RSA</v>
          </cell>
        </row>
        <row r="2005">
          <cell r="E2005" t="str">
            <v>35</v>
          </cell>
          <cell r="J2005">
            <v>0</v>
          </cell>
          <cell r="K2005">
            <v>0</v>
          </cell>
          <cell r="AL2005">
            <v>0</v>
          </cell>
          <cell r="BJ2005" t="str">
            <v>RSA</v>
          </cell>
        </row>
        <row r="2006">
          <cell r="E2006" t="str">
            <v>47</v>
          </cell>
          <cell r="J2006">
            <v>0</v>
          </cell>
          <cell r="K2006">
            <v>0</v>
          </cell>
          <cell r="AL2006">
            <v>0</v>
          </cell>
          <cell r="BJ2006" t="str">
            <v>RSA</v>
          </cell>
        </row>
        <row r="2007">
          <cell r="E2007" t="str">
            <v>47</v>
          </cell>
          <cell r="J2007">
            <v>104945.79999999999</v>
          </cell>
          <cell r="K2007">
            <v>222332.08000000002</v>
          </cell>
          <cell r="AL2007">
            <v>0</v>
          </cell>
          <cell r="BJ2007" t="str">
            <v>RSA</v>
          </cell>
        </row>
        <row r="2008">
          <cell r="E2008" t="str">
            <v>46</v>
          </cell>
          <cell r="J2008">
            <v>-1.1641532182693481E-10</v>
          </cell>
          <cell r="K2008">
            <v>0</v>
          </cell>
          <cell r="AL2008">
            <v>0</v>
          </cell>
          <cell r="BJ2008" t="str">
            <v>RSA</v>
          </cell>
        </row>
        <row r="2009">
          <cell r="E2009" t="str">
            <v>47</v>
          </cell>
          <cell r="J2009">
            <v>3715.3600000000006</v>
          </cell>
          <cell r="K2009">
            <v>240.7799999999952</v>
          </cell>
          <cell r="AL2009">
            <v>0</v>
          </cell>
          <cell r="BJ2009" t="str">
            <v>RSA</v>
          </cell>
        </row>
        <row r="2010">
          <cell r="E2010" t="str">
            <v>47</v>
          </cell>
          <cell r="J2010">
            <v>0</v>
          </cell>
          <cell r="K2010">
            <v>0</v>
          </cell>
          <cell r="AL2010">
            <v>0</v>
          </cell>
          <cell r="BJ2010" t="str">
            <v>RSA</v>
          </cell>
        </row>
        <row r="2011">
          <cell r="E2011" t="str">
            <v>48</v>
          </cell>
          <cell r="J2011">
            <v>0</v>
          </cell>
          <cell r="K2011">
            <v>0</v>
          </cell>
          <cell r="AL2011">
            <v>0</v>
          </cell>
          <cell r="BJ2011" t="str">
            <v>RSA</v>
          </cell>
        </row>
        <row r="2012">
          <cell r="E2012" t="str">
            <v>47</v>
          </cell>
          <cell r="J2012">
            <v>0</v>
          </cell>
          <cell r="K2012">
            <v>0</v>
          </cell>
          <cell r="AL2012">
            <v>0</v>
          </cell>
          <cell r="BJ2012" t="str">
            <v>RSA</v>
          </cell>
        </row>
        <row r="2013">
          <cell r="E2013" t="str">
            <v>47</v>
          </cell>
          <cell r="J2013">
            <v>0</v>
          </cell>
          <cell r="K2013">
            <v>0</v>
          </cell>
          <cell r="AL2013">
            <v>0</v>
          </cell>
          <cell r="BJ2013" t="str">
            <v>RSA</v>
          </cell>
        </row>
        <row r="2014">
          <cell r="E2014" t="str">
            <v>47</v>
          </cell>
          <cell r="J2014">
            <v>0</v>
          </cell>
          <cell r="K2014">
            <v>0</v>
          </cell>
          <cell r="AL2014">
            <v>0</v>
          </cell>
          <cell r="BJ2014" t="str">
            <v>RSA</v>
          </cell>
        </row>
        <row r="2015">
          <cell r="E2015" t="str">
            <v>47</v>
          </cell>
          <cell r="J2015">
            <v>0</v>
          </cell>
          <cell r="K2015">
            <v>0</v>
          </cell>
          <cell r="AL2015">
            <v>0</v>
          </cell>
          <cell r="BJ2015" t="str">
            <v>RSA</v>
          </cell>
        </row>
        <row r="2016">
          <cell r="E2016" t="str">
            <v>50</v>
          </cell>
          <cell r="J2016">
            <v>-7.4505805969238281E-9</v>
          </cell>
          <cell r="K2016">
            <v>0</v>
          </cell>
          <cell r="AL2016">
            <v>0</v>
          </cell>
          <cell r="BJ2016" t="str">
            <v>RSA</v>
          </cell>
        </row>
        <row r="2017">
          <cell r="E2017" t="str">
            <v>47</v>
          </cell>
          <cell r="J2017">
            <v>7033518.3357999995</v>
          </cell>
          <cell r="K2017">
            <v>2480814.5700000003</v>
          </cell>
          <cell r="AL2017">
            <v>0</v>
          </cell>
          <cell r="BJ2017" t="str">
            <v>RSA</v>
          </cell>
        </row>
        <row r="2018">
          <cell r="E2018" t="str">
            <v>47</v>
          </cell>
          <cell r="J2018">
            <v>0</v>
          </cell>
          <cell r="K2018">
            <v>0</v>
          </cell>
          <cell r="AL2018">
            <v>0</v>
          </cell>
          <cell r="BJ2018" t="str">
            <v>RSA</v>
          </cell>
        </row>
        <row r="2019">
          <cell r="E2019" t="str">
            <v>50</v>
          </cell>
          <cell r="J2019">
            <v>466803.58999999939</v>
          </cell>
          <cell r="K2019">
            <v>1009659.4100000006</v>
          </cell>
          <cell r="AL2019">
            <v>0</v>
          </cell>
          <cell r="BJ2019" t="str">
            <v>RSA</v>
          </cell>
        </row>
        <row r="2020">
          <cell r="E2020" t="str">
            <v>45</v>
          </cell>
          <cell r="J2020">
            <v>0</v>
          </cell>
          <cell r="K2020">
            <v>0</v>
          </cell>
          <cell r="AL2020">
            <v>0</v>
          </cell>
          <cell r="BJ2020" t="str">
            <v>RSA</v>
          </cell>
        </row>
        <row r="2021">
          <cell r="E2021" t="str">
            <v>45</v>
          </cell>
          <cell r="J2021">
            <v>186427.95000000112</v>
          </cell>
          <cell r="K2021">
            <v>-146718.21999999974</v>
          </cell>
          <cell r="AL2021">
            <v>0</v>
          </cell>
          <cell r="BJ2021" t="str">
            <v>RSA</v>
          </cell>
        </row>
        <row r="2022">
          <cell r="E2022" t="str">
            <v>45</v>
          </cell>
          <cell r="J2022">
            <v>601.21000000042841</v>
          </cell>
          <cell r="K2022">
            <v>1009.0200000000186</v>
          </cell>
          <cell r="AL2022">
            <v>0</v>
          </cell>
          <cell r="BJ2022" t="str">
            <v>RSA</v>
          </cell>
        </row>
        <row r="2023">
          <cell r="E2023" t="str">
            <v>45</v>
          </cell>
          <cell r="J2023">
            <v>1945320.120000042</v>
          </cell>
          <cell r="K2023">
            <v>-1325698.2399999872</v>
          </cell>
          <cell r="AL2023">
            <v>0</v>
          </cell>
          <cell r="BJ2023" t="str">
            <v>RSA</v>
          </cell>
        </row>
        <row r="2024">
          <cell r="E2024" t="str">
            <v>45</v>
          </cell>
          <cell r="J2024">
            <v>1172.0700000077486</v>
          </cell>
          <cell r="K2024">
            <v>59330.809999998659</v>
          </cell>
          <cell r="AL2024">
            <v>0</v>
          </cell>
          <cell r="BJ2024" t="str">
            <v>RSA</v>
          </cell>
        </row>
        <row r="2025">
          <cell r="E2025" t="str">
            <v>45</v>
          </cell>
          <cell r="J2025">
            <v>135469</v>
          </cell>
          <cell r="K2025">
            <v>-77233.590000001714</v>
          </cell>
          <cell r="AL2025">
            <v>0</v>
          </cell>
          <cell r="BJ2025" t="str">
            <v>RSA</v>
          </cell>
        </row>
        <row r="2026">
          <cell r="E2026" t="str">
            <v>45</v>
          </cell>
          <cell r="J2026">
            <v>122737.88000000082</v>
          </cell>
          <cell r="K2026">
            <v>-86120.120000000112</v>
          </cell>
          <cell r="AL2026">
            <v>0</v>
          </cell>
          <cell r="BJ2026" t="str">
            <v>RSA</v>
          </cell>
        </row>
        <row r="2027">
          <cell r="E2027" t="str">
            <v>45</v>
          </cell>
          <cell r="J2027">
            <v>0</v>
          </cell>
          <cell r="K2027">
            <v>0</v>
          </cell>
          <cell r="AL2027">
            <v>0</v>
          </cell>
          <cell r="BJ2027" t="str">
            <v>RSA</v>
          </cell>
        </row>
        <row r="2028">
          <cell r="E2028" t="str">
            <v>45</v>
          </cell>
          <cell r="J2028">
            <v>-8235.6600000000326</v>
          </cell>
          <cell r="K2028">
            <v>0</v>
          </cell>
          <cell r="AL2028">
            <v>0</v>
          </cell>
          <cell r="BJ2028" t="str">
            <v>RSA</v>
          </cell>
        </row>
        <row r="2029">
          <cell r="E2029" t="str">
            <v>45</v>
          </cell>
          <cell r="J2029">
            <v>0</v>
          </cell>
          <cell r="K2029">
            <v>0</v>
          </cell>
          <cell r="AL2029">
            <v>0</v>
          </cell>
          <cell r="BJ2029" t="str">
            <v>RSA</v>
          </cell>
        </row>
        <row r="2030">
          <cell r="E2030" t="str">
            <v>45</v>
          </cell>
          <cell r="J2030">
            <v>0</v>
          </cell>
          <cell r="K2030">
            <v>0</v>
          </cell>
          <cell r="AL2030">
            <v>0</v>
          </cell>
          <cell r="BJ2030" t="str">
            <v>RSA</v>
          </cell>
        </row>
        <row r="2031">
          <cell r="E2031" t="str">
            <v>45</v>
          </cell>
          <cell r="J2031">
            <v>38950.020000000004</v>
          </cell>
          <cell r="K2031">
            <v>-85388.7</v>
          </cell>
          <cell r="AL2031">
            <v>0</v>
          </cell>
          <cell r="BJ2031" t="str">
            <v>RSA</v>
          </cell>
        </row>
        <row r="2032">
          <cell r="E2032" t="str">
            <v>45</v>
          </cell>
          <cell r="J2032">
            <v>136.5</v>
          </cell>
          <cell r="K2032">
            <v>-85.149999999999977</v>
          </cell>
          <cell r="AL2032">
            <v>0</v>
          </cell>
          <cell r="BJ2032" t="str">
            <v>RSA</v>
          </cell>
        </row>
        <row r="2033">
          <cell r="E2033" t="str">
            <v>45</v>
          </cell>
          <cell r="J2033">
            <v>0</v>
          </cell>
          <cell r="K2033">
            <v>10007.39</v>
          </cell>
          <cell r="AL2033">
            <v>0</v>
          </cell>
          <cell r="BJ2033" t="str">
            <v>RSA</v>
          </cell>
        </row>
        <row r="2034">
          <cell r="E2034" t="str">
            <v>45</v>
          </cell>
          <cell r="J2034">
            <v>0</v>
          </cell>
          <cell r="K2034">
            <v>0</v>
          </cell>
          <cell r="AL2034">
            <v>0</v>
          </cell>
          <cell r="BJ2034" t="str">
            <v>RSA</v>
          </cell>
        </row>
        <row r="2035">
          <cell r="E2035" t="str">
            <v>45</v>
          </cell>
          <cell r="J2035">
            <v>0</v>
          </cell>
          <cell r="K2035">
            <v>-57000</v>
          </cell>
          <cell r="AL2035">
            <v>0</v>
          </cell>
          <cell r="BJ2035" t="str">
            <v>RSA</v>
          </cell>
        </row>
        <row r="2036">
          <cell r="E2036" t="str">
            <v>45</v>
          </cell>
          <cell r="J2036">
            <v>0</v>
          </cell>
          <cell r="K2036">
            <v>0</v>
          </cell>
          <cell r="AL2036">
            <v>0</v>
          </cell>
          <cell r="BJ2036" t="str">
            <v>RSA</v>
          </cell>
        </row>
        <row r="2037">
          <cell r="E2037" t="str">
            <v>45</v>
          </cell>
          <cell r="J2037">
            <v>0</v>
          </cell>
          <cell r="K2037">
            <v>0</v>
          </cell>
          <cell r="AL2037">
            <v>0</v>
          </cell>
          <cell r="BJ2037" t="str">
            <v>RSA</v>
          </cell>
        </row>
        <row r="2038">
          <cell r="E2038" t="str">
            <v>45</v>
          </cell>
          <cell r="J2038">
            <v>0</v>
          </cell>
          <cell r="K2038">
            <v>0</v>
          </cell>
          <cell r="AL2038">
            <v>0</v>
          </cell>
          <cell r="BJ2038" t="str">
            <v>RSA</v>
          </cell>
        </row>
        <row r="2039">
          <cell r="E2039" t="str">
            <v>45</v>
          </cell>
          <cell r="J2039">
            <v>0</v>
          </cell>
          <cell r="K2039">
            <v>0</v>
          </cell>
          <cell r="AL2039">
            <v>0</v>
          </cell>
          <cell r="BJ2039" t="str">
            <v>RSA</v>
          </cell>
        </row>
        <row r="2040">
          <cell r="E2040" t="str">
            <v>45</v>
          </cell>
          <cell r="J2040">
            <v>0</v>
          </cell>
          <cell r="K2040">
            <v>0</v>
          </cell>
          <cell r="AL2040">
            <v>0</v>
          </cell>
          <cell r="BJ2040" t="str">
            <v>RSA</v>
          </cell>
        </row>
        <row r="2041">
          <cell r="E2041" t="str">
            <v>45</v>
          </cell>
          <cell r="J2041">
            <v>0</v>
          </cell>
          <cell r="K2041">
            <v>0</v>
          </cell>
          <cell r="AL2041">
            <v>0</v>
          </cell>
          <cell r="BJ2041" t="str">
            <v>RSA</v>
          </cell>
        </row>
        <row r="2042">
          <cell r="E2042" t="str">
            <v>45</v>
          </cell>
          <cell r="J2042">
            <v>0</v>
          </cell>
          <cell r="K2042">
            <v>0</v>
          </cell>
          <cell r="AL2042">
            <v>0</v>
          </cell>
          <cell r="BJ2042" t="str">
            <v>RSA</v>
          </cell>
        </row>
        <row r="2043">
          <cell r="E2043" t="str">
            <v>45</v>
          </cell>
          <cell r="J2043">
            <v>0</v>
          </cell>
          <cell r="K2043">
            <v>0</v>
          </cell>
          <cell r="AL2043">
            <v>0</v>
          </cell>
          <cell r="BJ2043" t="str">
            <v>RSA</v>
          </cell>
        </row>
        <row r="2044">
          <cell r="E2044" t="str">
            <v>45</v>
          </cell>
          <cell r="J2044">
            <v>0</v>
          </cell>
          <cell r="K2044">
            <v>0</v>
          </cell>
          <cell r="AL2044">
            <v>0</v>
          </cell>
          <cell r="BJ2044" t="str">
            <v>RSA</v>
          </cell>
        </row>
        <row r="2045">
          <cell r="E2045" t="str">
            <v>45</v>
          </cell>
          <cell r="J2045">
            <v>0</v>
          </cell>
          <cell r="K2045">
            <v>0</v>
          </cell>
          <cell r="AL2045">
            <v>0</v>
          </cell>
          <cell r="BJ2045" t="str">
            <v>RSA</v>
          </cell>
        </row>
        <row r="2046">
          <cell r="E2046" t="str">
            <v>45</v>
          </cell>
          <cell r="J2046">
            <v>0</v>
          </cell>
          <cell r="K2046">
            <v>0</v>
          </cell>
          <cell r="AL2046">
            <v>0</v>
          </cell>
          <cell r="BJ2046" t="str">
            <v>RSA</v>
          </cell>
        </row>
        <row r="2047">
          <cell r="E2047" t="str">
            <v>45</v>
          </cell>
          <cell r="J2047">
            <v>0</v>
          </cell>
          <cell r="K2047">
            <v>0</v>
          </cell>
          <cell r="AL2047">
            <v>0</v>
          </cell>
          <cell r="BJ2047" t="str">
            <v>RSA</v>
          </cell>
        </row>
        <row r="2048">
          <cell r="E2048" t="str">
            <v>45</v>
          </cell>
          <cell r="J2048">
            <v>0</v>
          </cell>
          <cell r="K2048">
            <v>0</v>
          </cell>
          <cell r="AL2048">
            <v>0</v>
          </cell>
          <cell r="BJ2048" t="str">
            <v>RSA</v>
          </cell>
        </row>
        <row r="2049">
          <cell r="E2049" t="str">
            <v>45</v>
          </cell>
          <cell r="J2049">
            <v>0</v>
          </cell>
          <cell r="K2049">
            <v>0</v>
          </cell>
          <cell r="AL2049">
            <v>0</v>
          </cell>
          <cell r="BJ2049" t="str">
            <v>RSA</v>
          </cell>
        </row>
        <row r="2050">
          <cell r="E2050" t="str">
            <v>50</v>
          </cell>
          <cell r="J2050">
            <v>288518.52</v>
          </cell>
          <cell r="K2050">
            <v>278345.98</v>
          </cell>
          <cell r="AL2050">
            <v>0</v>
          </cell>
          <cell r="BJ2050" t="str">
            <v>RSA</v>
          </cell>
        </row>
        <row r="2051">
          <cell r="E2051" t="str">
            <v>50</v>
          </cell>
          <cell r="J2051">
            <v>4311.8600000000006</v>
          </cell>
          <cell r="K2051">
            <v>0</v>
          </cell>
          <cell r="AL2051">
            <v>0</v>
          </cell>
          <cell r="BJ2051" t="str">
            <v>RSA</v>
          </cell>
        </row>
        <row r="2052">
          <cell r="E2052" t="str">
            <v>50</v>
          </cell>
          <cell r="J2052">
            <v>0</v>
          </cell>
          <cell r="K2052">
            <v>0</v>
          </cell>
          <cell r="AL2052">
            <v>0</v>
          </cell>
          <cell r="BJ2052" t="str">
            <v>RSA</v>
          </cell>
        </row>
        <row r="2053">
          <cell r="E2053" t="str">
            <v>51</v>
          </cell>
          <cell r="J2053">
            <v>131974.83999999985</v>
          </cell>
          <cell r="K2053">
            <v>23049.669999999925</v>
          </cell>
          <cell r="AL2053">
            <v>0</v>
          </cell>
          <cell r="BJ2053" t="str">
            <v>RSA</v>
          </cell>
        </row>
        <row r="2054">
          <cell r="E2054" t="str">
            <v>50</v>
          </cell>
          <cell r="J2054">
            <v>68697.539999999921</v>
          </cell>
          <cell r="K2054">
            <v>-21575.579999999958</v>
          </cell>
          <cell r="AL2054">
            <v>0</v>
          </cell>
          <cell r="BJ2054" t="str">
            <v>RSA</v>
          </cell>
        </row>
        <row r="2055">
          <cell r="E2055" t="str">
            <v>50</v>
          </cell>
          <cell r="J2055">
            <v>2525.4200000000128</v>
          </cell>
          <cell r="K2055">
            <v>-409.74000000000524</v>
          </cell>
          <cell r="AL2055">
            <v>0</v>
          </cell>
          <cell r="BJ2055" t="str">
            <v>RSA</v>
          </cell>
        </row>
        <row r="2056">
          <cell r="E2056" t="str">
            <v>50</v>
          </cell>
          <cell r="J2056">
            <v>-4.6566128730773926E-10</v>
          </cell>
          <cell r="K2056">
            <v>2764</v>
          </cell>
          <cell r="AL2056">
            <v>0</v>
          </cell>
          <cell r="BJ2056" t="str">
            <v>RSA</v>
          </cell>
        </row>
        <row r="2057">
          <cell r="E2057" t="str">
            <v>50</v>
          </cell>
          <cell r="J2057">
            <v>14561.629999999997</v>
          </cell>
          <cell r="K2057">
            <v>-760.75</v>
          </cell>
          <cell r="AL2057">
            <v>0</v>
          </cell>
          <cell r="BJ2057" t="str">
            <v>RSA</v>
          </cell>
        </row>
        <row r="2058">
          <cell r="E2058" t="str">
            <v>50</v>
          </cell>
          <cell r="J2058">
            <v>10062.429999999993</v>
          </cell>
          <cell r="K2058">
            <v>2545.739999999998</v>
          </cell>
          <cell r="AL2058">
            <v>0</v>
          </cell>
          <cell r="BJ2058" t="str">
            <v>RSA</v>
          </cell>
        </row>
        <row r="2059">
          <cell r="E2059" t="str">
            <v>50</v>
          </cell>
          <cell r="J2059">
            <v>0</v>
          </cell>
          <cell r="K2059">
            <v>0</v>
          </cell>
          <cell r="AL2059">
            <v>0</v>
          </cell>
          <cell r="BJ2059" t="str">
            <v>RSA</v>
          </cell>
        </row>
        <row r="2060">
          <cell r="E2060" t="str">
            <v>50</v>
          </cell>
          <cell r="J2060">
            <v>0</v>
          </cell>
          <cell r="K2060">
            <v>0</v>
          </cell>
          <cell r="AL2060">
            <v>0</v>
          </cell>
          <cell r="BJ2060" t="str">
            <v>RSA</v>
          </cell>
        </row>
        <row r="2061">
          <cell r="E2061" t="str">
            <v>50</v>
          </cell>
          <cell r="J2061">
            <v>8.9999999850988388E-2</v>
          </cell>
          <cell r="K2061">
            <v>0</v>
          </cell>
          <cell r="AL2061">
            <v>0</v>
          </cell>
          <cell r="BJ2061" t="str">
            <v>RSA</v>
          </cell>
        </row>
        <row r="2062">
          <cell r="E2062" t="str">
            <v>50</v>
          </cell>
          <cell r="J2062">
            <v>0</v>
          </cell>
          <cell r="K2062">
            <v>0</v>
          </cell>
          <cell r="AL2062">
            <v>0</v>
          </cell>
          <cell r="BJ2062" t="str">
            <v>RSA</v>
          </cell>
        </row>
        <row r="2063">
          <cell r="E2063" t="str">
            <v>50</v>
          </cell>
          <cell r="J2063">
            <v>183785.17684353795</v>
          </cell>
          <cell r="K2063">
            <v>-67079.560000000056</v>
          </cell>
          <cell r="AL2063">
            <v>0</v>
          </cell>
          <cell r="BJ2063" t="str">
            <v>RSA</v>
          </cell>
        </row>
        <row r="2064">
          <cell r="E2064" t="str">
            <v>50</v>
          </cell>
          <cell r="J2064">
            <v>0</v>
          </cell>
          <cell r="K2064">
            <v>0</v>
          </cell>
          <cell r="AL2064">
            <v>0</v>
          </cell>
          <cell r="BJ2064" t="str">
            <v>RSA</v>
          </cell>
        </row>
        <row r="2065">
          <cell r="E2065" t="str">
            <v>50</v>
          </cell>
          <cell r="J2065">
            <v>0</v>
          </cell>
          <cell r="K2065">
            <v>0</v>
          </cell>
          <cell r="AL2065">
            <v>0</v>
          </cell>
          <cell r="BJ2065" t="str">
            <v>RSA</v>
          </cell>
        </row>
        <row r="2066">
          <cell r="E2066" t="str">
            <v>50</v>
          </cell>
          <cell r="J2066">
            <v>0</v>
          </cell>
          <cell r="K2066">
            <v>0</v>
          </cell>
          <cell r="AL2066">
            <v>0</v>
          </cell>
          <cell r="BJ2066" t="str">
            <v>RSA</v>
          </cell>
        </row>
        <row r="2069">
          <cell r="E2069" t="str">
            <v>10</v>
          </cell>
          <cell r="J2069">
            <v>0</v>
          </cell>
          <cell r="K2069">
            <v>0</v>
          </cell>
          <cell r="AL2069">
            <v>0</v>
          </cell>
          <cell r="BJ2069" t="str">
            <v>RSA</v>
          </cell>
        </row>
        <row r="2070">
          <cell r="E2070" t="str">
            <v>10</v>
          </cell>
          <cell r="J2070">
            <v>0</v>
          </cell>
          <cell r="K2070">
            <v>0</v>
          </cell>
          <cell r="AL2070">
            <v>0</v>
          </cell>
          <cell r="BJ2070" t="str">
            <v>RSA</v>
          </cell>
        </row>
        <row r="2071">
          <cell r="E2071" t="str">
            <v>10</v>
          </cell>
          <cell r="J2071">
            <v>0</v>
          </cell>
          <cell r="K2071">
            <v>0</v>
          </cell>
          <cell r="AL2071">
            <v>0</v>
          </cell>
          <cell r="BJ2071" t="str">
            <v>RSA</v>
          </cell>
        </row>
        <row r="2072">
          <cell r="E2072" t="str">
            <v>10</v>
          </cell>
          <cell r="J2072">
            <v>0</v>
          </cell>
          <cell r="K2072">
            <v>0</v>
          </cell>
          <cell r="AL2072">
            <v>0</v>
          </cell>
          <cell r="BJ2072" t="str">
            <v>RSA</v>
          </cell>
        </row>
        <row r="2073">
          <cell r="E2073" t="str">
            <v>10</v>
          </cell>
          <cell r="J2073">
            <v>0</v>
          </cell>
          <cell r="K2073">
            <v>0</v>
          </cell>
          <cell r="AL2073">
            <v>0</v>
          </cell>
          <cell r="BJ2073" t="str">
            <v>RSA</v>
          </cell>
        </row>
        <row r="2074">
          <cell r="E2074" t="str">
            <v>10</v>
          </cell>
          <cell r="J2074">
            <v>0</v>
          </cell>
          <cell r="K2074">
            <v>0</v>
          </cell>
          <cell r="AL2074">
            <v>0</v>
          </cell>
          <cell r="BJ2074" t="str">
            <v>RSA</v>
          </cell>
        </row>
        <row r="2075">
          <cell r="E2075" t="str">
            <v>10</v>
          </cell>
          <cell r="J2075">
            <v>0</v>
          </cell>
          <cell r="K2075">
            <v>0</v>
          </cell>
          <cell r="AL2075">
            <v>0</v>
          </cell>
          <cell r="BJ2075" t="str">
            <v>RSA</v>
          </cell>
        </row>
        <row r="2076">
          <cell r="E2076" t="str">
            <v>10</v>
          </cell>
          <cell r="J2076">
            <v>0</v>
          </cell>
          <cell r="K2076">
            <v>0</v>
          </cell>
          <cell r="AL2076">
            <v>0</v>
          </cell>
          <cell r="BJ2076" t="str">
            <v>RSA</v>
          </cell>
        </row>
        <row r="2077">
          <cell r="E2077" t="str">
            <v>10</v>
          </cell>
          <cell r="J2077">
            <v>0</v>
          </cell>
          <cell r="K2077">
            <v>0</v>
          </cell>
          <cell r="AL2077">
            <v>0</v>
          </cell>
          <cell r="BJ2077" t="str">
            <v>RSA</v>
          </cell>
        </row>
        <row r="2078">
          <cell r="E2078" t="str">
            <v>10</v>
          </cell>
          <cell r="J2078">
            <v>0</v>
          </cell>
          <cell r="K2078">
            <v>0</v>
          </cell>
          <cell r="AL2078">
            <v>0</v>
          </cell>
          <cell r="BJ2078" t="str">
            <v>RSA</v>
          </cell>
        </row>
        <row r="2079">
          <cell r="E2079" t="str">
            <v>10</v>
          </cell>
          <cell r="J2079">
            <v>0</v>
          </cell>
          <cell r="K2079">
            <v>0</v>
          </cell>
          <cell r="AL2079">
            <v>0</v>
          </cell>
          <cell r="BJ2079" t="str">
            <v>RSA</v>
          </cell>
        </row>
        <row r="2080">
          <cell r="E2080" t="str">
            <v>10</v>
          </cell>
          <cell r="J2080">
            <v>0</v>
          </cell>
          <cell r="K2080">
            <v>0</v>
          </cell>
          <cell r="AL2080">
            <v>0</v>
          </cell>
          <cell r="BJ2080" t="str">
            <v>RSA</v>
          </cell>
        </row>
        <row r="2081">
          <cell r="E2081" t="str">
            <v>10</v>
          </cell>
          <cell r="J2081">
            <v>0</v>
          </cell>
          <cell r="K2081">
            <v>0</v>
          </cell>
          <cell r="AL2081">
            <v>0</v>
          </cell>
          <cell r="BJ2081" t="str">
            <v>RSA</v>
          </cell>
        </row>
        <row r="2082">
          <cell r="E2082" t="str">
            <v>10</v>
          </cell>
          <cell r="J2082">
            <v>0</v>
          </cell>
          <cell r="K2082">
            <v>0</v>
          </cell>
          <cell r="AL2082">
            <v>0</v>
          </cell>
          <cell r="BJ2082" t="str">
            <v>RSA</v>
          </cell>
        </row>
        <row r="2083">
          <cell r="E2083" t="str">
            <v>10</v>
          </cell>
          <cell r="J2083">
            <v>0</v>
          </cell>
          <cell r="K2083">
            <v>0</v>
          </cell>
          <cell r="AL2083">
            <v>0</v>
          </cell>
          <cell r="BJ2083" t="str">
            <v>RSA</v>
          </cell>
        </row>
        <row r="2084">
          <cell r="E2084" t="str">
            <v>10</v>
          </cell>
          <cell r="J2084">
            <v>0</v>
          </cell>
          <cell r="K2084">
            <v>0</v>
          </cell>
          <cell r="AL2084">
            <v>0</v>
          </cell>
          <cell r="BJ2084" t="str">
            <v>RSA</v>
          </cell>
        </row>
        <row r="2085">
          <cell r="E2085" t="str">
            <v>10</v>
          </cell>
          <cell r="J2085">
            <v>0</v>
          </cell>
          <cell r="K2085">
            <v>0</v>
          </cell>
          <cell r="AL2085">
            <v>0</v>
          </cell>
          <cell r="BJ2085" t="str">
            <v>RSA</v>
          </cell>
        </row>
        <row r="2086">
          <cell r="E2086" t="str">
            <v>10</v>
          </cell>
          <cell r="J2086">
            <v>0</v>
          </cell>
          <cell r="K2086">
            <v>0</v>
          </cell>
          <cell r="AL2086">
            <v>0</v>
          </cell>
          <cell r="BJ2086" t="str">
            <v>RSA</v>
          </cell>
        </row>
        <row r="2087">
          <cell r="E2087" t="str">
            <v>10</v>
          </cell>
          <cell r="J2087">
            <v>0</v>
          </cell>
          <cell r="K2087">
            <v>0</v>
          </cell>
          <cell r="AL2087">
            <v>0</v>
          </cell>
          <cell r="BJ2087" t="str">
            <v>RSA</v>
          </cell>
        </row>
        <row r="2088">
          <cell r="E2088" t="str">
            <v>10</v>
          </cell>
          <cell r="J2088">
            <v>0</v>
          </cell>
          <cell r="K2088">
            <v>0</v>
          </cell>
          <cell r="AL2088">
            <v>0</v>
          </cell>
          <cell r="BJ2088" t="str">
            <v>RSA</v>
          </cell>
        </row>
        <row r="2089">
          <cell r="E2089" t="str">
            <v>10</v>
          </cell>
          <cell r="J2089">
            <v>0</v>
          </cell>
          <cell r="K2089">
            <v>0</v>
          </cell>
          <cell r="AL2089">
            <v>0</v>
          </cell>
          <cell r="BJ2089" t="str">
            <v>RSA</v>
          </cell>
        </row>
        <row r="2090">
          <cell r="E2090" t="str">
            <v>10</v>
          </cell>
          <cell r="J2090">
            <v>0</v>
          </cell>
          <cell r="K2090">
            <v>0</v>
          </cell>
          <cell r="AL2090">
            <v>0</v>
          </cell>
          <cell r="BJ2090" t="str">
            <v>RSA</v>
          </cell>
        </row>
        <row r="2091">
          <cell r="E2091" t="str">
            <v>10</v>
          </cell>
          <cell r="J2091">
            <v>0</v>
          </cell>
          <cell r="K2091">
            <v>0</v>
          </cell>
          <cell r="AL2091">
            <v>0</v>
          </cell>
          <cell r="BJ2091" t="str">
            <v>RSA</v>
          </cell>
        </row>
        <row r="2092">
          <cell r="E2092" t="str">
            <v>10</v>
          </cell>
          <cell r="J2092">
            <v>0</v>
          </cell>
          <cell r="K2092">
            <v>0</v>
          </cell>
          <cell r="AL2092">
            <v>0</v>
          </cell>
          <cell r="BJ2092" t="str">
            <v>RSA</v>
          </cell>
        </row>
        <row r="2093">
          <cell r="E2093" t="str">
            <v>10</v>
          </cell>
          <cell r="J2093">
            <v>0</v>
          </cell>
          <cell r="K2093">
            <v>0</v>
          </cell>
          <cell r="AL2093">
            <v>0</v>
          </cell>
          <cell r="BJ2093" t="str">
            <v>RSA</v>
          </cell>
        </row>
        <row r="2094">
          <cell r="E2094" t="str">
            <v>10</v>
          </cell>
          <cell r="J2094">
            <v>0</v>
          </cell>
          <cell r="K2094">
            <v>0</v>
          </cell>
          <cell r="AL2094">
            <v>0</v>
          </cell>
          <cell r="BJ2094" t="str">
            <v>RSA</v>
          </cell>
        </row>
        <row r="2095">
          <cell r="E2095" t="str">
            <v>11</v>
          </cell>
          <cell r="J2095">
            <v>0</v>
          </cell>
          <cell r="K2095">
            <v>0</v>
          </cell>
          <cell r="AL2095">
            <v>0</v>
          </cell>
          <cell r="BJ2095" t="str">
            <v>RSA</v>
          </cell>
        </row>
        <row r="2096">
          <cell r="E2096" t="str">
            <v>11</v>
          </cell>
          <cell r="J2096">
            <v>0</v>
          </cell>
          <cell r="K2096">
            <v>0</v>
          </cell>
          <cell r="AL2096">
            <v>0</v>
          </cell>
          <cell r="BJ2096" t="str">
            <v>RSA</v>
          </cell>
        </row>
        <row r="2097">
          <cell r="E2097" t="str">
            <v>11</v>
          </cell>
          <cell r="J2097">
            <v>0</v>
          </cell>
          <cell r="K2097">
            <v>0</v>
          </cell>
          <cell r="AL2097">
            <v>0</v>
          </cell>
          <cell r="BJ2097" t="str">
            <v>RSA</v>
          </cell>
        </row>
        <row r="2098">
          <cell r="E2098" t="str">
            <v>11</v>
          </cell>
          <cell r="J2098">
            <v>0</v>
          </cell>
          <cell r="K2098">
            <v>0</v>
          </cell>
          <cell r="AL2098">
            <v>0</v>
          </cell>
          <cell r="BJ2098" t="str">
            <v>RSA</v>
          </cell>
        </row>
        <row r="2099">
          <cell r="E2099" t="str">
            <v>11</v>
          </cell>
          <cell r="J2099">
            <v>0</v>
          </cell>
          <cell r="K2099">
            <v>0</v>
          </cell>
          <cell r="AL2099">
            <v>0</v>
          </cell>
          <cell r="BJ2099" t="str">
            <v>RSA</v>
          </cell>
        </row>
        <row r="2100">
          <cell r="E2100" t="str">
            <v>11</v>
          </cell>
          <cell r="J2100">
            <v>0</v>
          </cell>
          <cell r="K2100">
            <v>0</v>
          </cell>
          <cell r="AL2100">
            <v>0</v>
          </cell>
          <cell r="BJ2100" t="str">
            <v>RSA</v>
          </cell>
        </row>
        <row r="2101">
          <cell r="E2101" t="str">
            <v>11</v>
          </cell>
          <cell r="J2101">
            <v>0</v>
          </cell>
          <cell r="K2101">
            <v>0</v>
          </cell>
          <cell r="AL2101">
            <v>0</v>
          </cell>
          <cell r="BJ2101" t="str">
            <v>RSA</v>
          </cell>
        </row>
        <row r="2102">
          <cell r="E2102" t="str">
            <v>11</v>
          </cell>
          <cell r="J2102">
            <v>0</v>
          </cell>
          <cell r="K2102">
            <v>0</v>
          </cell>
          <cell r="AL2102">
            <v>0</v>
          </cell>
          <cell r="BJ2102" t="str">
            <v>RSA</v>
          </cell>
        </row>
        <row r="2103">
          <cell r="E2103" t="str">
            <v>11</v>
          </cell>
          <cell r="J2103">
            <v>0</v>
          </cell>
          <cell r="K2103">
            <v>0</v>
          </cell>
          <cell r="AL2103">
            <v>0</v>
          </cell>
          <cell r="BJ2103" t="str">
            <v>RSA</v>
          </cell>
        </row>
        <row r="2104">
          <cell r="E2104" t="str">
            <v>11</v>
          </cell>
          <cell r="J2104">
            <v>0</v>
          </cell>
          <cell r="K2104">
            <v>0</v>
          </cell>
          <cell r="AL2104">
            <v>0</v>
          </cell>
          <cell r="BJ2104" t="str">
            <v>RSA</v>
          </cell>
        </row>
        <row r="2105">
          <cell r="E2105" t="str">
            <v>11</v>
          </cell>
          <cell r="J2105">
            <v>0</v>
          </cell>
          <cell r="K2105">
            <v>0</v>
          </cell>
          <cell r="AL2105">
            <v>0</v>
          </cell>
          <cell r="BJ2105" t="str">
            <v>RSA</v>
          </cell>
        </row>
        <row r="2106">
          <cell r="E2106" t="str">
            <v>11</v>
          </cell>
          <cell r="J2106">
            <v>0</v>
          </cell>
          <cell r="K2106">
            <v>0</v>
          </cell>
          <cell r="AL2106">
            <v>0</v>
          </cell>
          <cell r="BJ2106" t="str">
            <v>RSA</v>
          </cell>
        </row>
        <row r="2107">
          <cell r="E2107" t="str">
            <v>11</v>
          </cell>
          <cell r="J2107">
            <v>0</v>
          </cell>
          <cell r="K2107">
            <v>0</v>
          </cell>
          <cell r="AL2107">
            <v>0</v>
          </cell>
          <cell r="BJ2107" t="str">
            <v>RSA</v>
          </cell>
        </row>
        <row r="2108">
          <cell r="E2108" t="str">
            <v>11</v>
          </cell>
          <cell r="J2108">
            <v>0</v>
          </cell>
          <cell r="K2108">
            <v>0</v>
          </cell>
          <cell r="AL2108">
            <v>0</v>
          </cell>
          <cell r="BJ2108" t="str">
            <v>RSA</v>
          </cell>
        </row>
        <row r="2109">
          <cell r="E2109" t="str">
            <v>11</v>
          </cell>
          <cell r="J2109">
            <v>0</v>
          </cell>
          <cell r="K2109">
            <v>0</v>
          </cell>
          <cell r="AL2109">
            <v>0</v>
          </cell>
          <cell r="BJ2109" t="str">
            <v>RSA</v>
          </cell>
        </row>
        <row r="2110">
          <cell r="E2110" t="str">
            <v>11</v>
          </cell>
          <cell r="J2110">
            <v>0</v>
          </cell>
          <cell r="K2110">
            <v>0</v>
          </cell>
          <cell r="AL2110">
            <v>0</v>
          </cell>
          <cell r="BJ2110" t="str">
            <v>RSA</v>
          </cell>
        </row>
        <row r="2111">
          <cell r="E2111" t="str">
            <v>11</v>
          </cell>
          <cell r="J2111">
            <v>0</v>
          </cell>
          <cell r="K2111">
            <v>0</v>
          </cell>
          <cell r="AL2111">
            <v>0</v>
          </cell>
          <cell r="BJ2111" t="str">
            <v>RSA</v>
          </cell>
        </row>
        <row r="2112">
          <cell r="E2112" t="str">
            <v>11</v>
          </cell>
          <cell r="J2112">
            <v>0</v>
          </cell>
          <cell r="K2112">
            <v>0</v>
          </cell>
          <cell r="AL2112">
            <v>0</v>
          </cell>
          <cell r="BJ2112" t="str">
            <v>RSA</v>
          </cell>
        </row>
        <row r="2113">
          <cell r="E2113" t="str">
            <v>11</v>
          </cell>
          <cell r="J2113">
            <v>0</v>
          </cell>
          <cell r="K2113">
            <v>0</v>
          </cell>
          <cell r="AL2113">
            <v>0</v>
          </cell>
          <cell r="BJ2113" t="str">
            <v>RSA</v>
          </cell>
        </row>
        <row r="2114">
          <cell r="E2114" t="str">
            <v>11</v>
          </cell>
          <cell r="J2114">
            <v>0</v>
          </cell>
          <cell r="K2114">
            <v>0</v>
          </cell>
          <cell r="AL2114">
            <v>0</v>
          </cell>
          <cell r="BJ2114" t="str">
            <v>RSA</v>
          </cell>
        </row>
        <row r="2115">
          <cell r="E2115" t="str">
            <v>11</v>
          </cell>
          <cell r="J2115">
            <v>0</v>
          </cell>
          <cell r="K2115">
            <v>0</v>
          </cell>
          <cell r="AL2115">
            <v>0</v>
          </cell>
          <cell r="BJ2115" t="str">
            <v>RSA</v>
          </cell>
        </row>
        <row r="2116">
          <cell r="E2116" t="str">
            <v>11</v>
          </cell>
          <cell r="J2116">
            <v>0</v>
          </cell>
          <cell r="K2116">
            <v>0</v>
          </cell>
          <cell r="AL2116">
            <v>0</v>
          </cell>
          <cell r="BJ2116" t="str">
            <v>RSA</v>
          </cell>
        </row>
        <row r="2117">
          <cell r="E2117" t="str">
            <v>11</v>
          </cell>
          <cell r="J2117">
            <v>0</v>
          </cell>
          <cell r="K2117">
            <v>0</v>
          </cell>
          <cell r="AL2117">
            <v>0</v>
          </cell>
          <cell r="BJ2117" t="str">
            <v>RSA</v>
          </cell>
        </row>
        <row r="2118">
          <cell r="E2118" t="str">
            <v>11</v>
          </cell>
          <cell r="J2118">
            <v>0</v>
          </cell>
          <cell r="K2118">
            <v>0</v>
          </cell>
          <cell r="AL2118">
            <v>0</v>
          </cell>
          <cell r="BJ2118" t="str">
            <v>RSA</v>
          </cell>
        </row>
        <row r="2119">
          <cell r="E2119" t="str">
            <v>11</v>
          </cell>
          <cell r="J2119">
            <v>0</v>
          </cell>
          <cell r="K2119">
            <v>0</v>
          </cell>
          <cell r="AL2119">
            <v>0</v>
          </cell>
          <cell r="BJ2119" t="str">
            <v>RSA</v>
          </cell>
        </row>
        <row r="2120">
          <cell r="E2120" t="str">
            <v>11</v>
          </cell>
          <cell r="J2120">
            <v>0</v>
          </cell>
          <cell r="K2120">
            <v>0</v>
          </cell>
          <cell r="AL2120">
            <v>0</v>
          </cell>
          <cell r="BJ2120" t="str">
            <v>RSA</v>
          </cell>
        </row>
        <row r="2121">
          <cell r="E2121" t="str">
            <v>11</v>
          </cell>
          <cell r="J2121">
            <v>0</v>
          </cell>
          <cell r="K2121">
            <v>0</v>
          </cell>
          <cell r="AL2121">
            <v>0</v>
          </cell>
          <cell r="BJ2121" t="str">
            <v>RSA</v>
          </cell>
        </row>
        <row r="2122">
          <cell r="E2122" t="str">
            <v>11</v>
          </cell>
          <cell r="J2122">
            <v>0</v>
          </cell>
          <cell r="K2122">
            <v>0</v>
          </cell>
          <cell r="AL2122">
            <v>0</v>
          </cell>
          <cell r="BJ2122" t="str">
            <v>RSA</v>
          </cell>
        </row>
        <row r="2123">
          <cell r="E2123" t="str">
            <v>11</v>
          </cell>
          <cell r="J2123">
            <v>0</v>
          </cell>
          <cell r="K2123">
            <v>0</v>
          </cell>
          <cell r="AL2123">
            <v>0</v>
          </cell>
          <cell r="BJ2123" t="str">
            <v>RSA</v>
          </cell>
        </row>
        <row r="2124">
          <cell r="E2124" t="str">
            <v>11</v>
          </cell>
          <cell r="J2124">
            <v>0</v>
          </cell>
          <cell r="K2124">
            <v>0</v>
          </cell>
          <cell r="AL2124">
            <v>0</v>
          </cell>
          <cell r="BJ2124" t="str">
            <v>RSA</v>
          </cell>
        </row>
        <row r="2125">
          <cell r="E2125" t="str">
            <v>11</v>
          </cell>
          <cell r="J2125">
            <v>0</v>
          </cell>
          <cell r="K2125">
            <v>0</v>
          </cell>
          <cell r="AL2125">
            <v>0</v>
          </cell>
          <cell r="BJ2125" t="str">
            <v>RSA</v>
          </cell>
        </row>
        <row r="2126">
          <cell r="E2126" t="str">
            <v>11</v>
          </cell>
          <cell r="J2126">
            <v>0</v>
          </cell>
          <cell r="K2126">
            <v>0</v>
          </cell>
          <cell r="AL2126">
            <v>0</v>
          </cell>
          <cell r="BJ2126" t="str">
            <v>RSA</v>
          </cell>
        </row>
        <row r="2127">
          <cell r="E2127" t="str">
            <v>11</v>
          </cell>
          <cell r="J2127">
            <v>0</v>
          </cell>
          <cell r="K2127">
            <v>0</v>
          </cell>
          <cell r="AL2127">
            <v>0</v>
          </cell>
          <cell r="BJ2127" t="str">
            <v>RSA</v>
          </cell>
        </row>
        <row r="2128">
          <cell r="E2128" t="str">
            <v>11</v>
          </cell>
          <cell r="J2128">
            <v>0</v>
          </cell>
          <cell r="K2128">
            <v>0</v>
          </cell>
          <cell r="AL2128">
            <v>0</v>
          </cell>
          <cell r="BJ2128" t="str">
            <v>RSA</v>
          </cell>
        </row>
        <row r="2129">
          <cell r="E2129" t="str">
            <v>13</v>
          </cell>
          <cell r="J2129">
            <v>0</v>
          </cell>
          <cell r="K2129">
            <v>0</v>
          </cell>
          <cell r="AL2129">
            <v>0</v>
          </cell>
          <cell r="BJ2129" t="str">
            <v>RSA</v>
          </cell>
        </row>
        <row r="2130">
          <cell r="E2130" t="str">
            <v>13</v>
          </cell>
          <cell r="J2130">
            <v>0</v>
          </cell>
          <cell r="K2130">
            <v>0</v>
          </cell>
          <cell r="AL2130">
            <v>0</v>
          </cell>
          <cell r="BJ2130" t="str">
            <v>RSA</v>
          </cell>
        </row>
        <row r="2131">
          <cell r="E2131" t="str">
            <v>13</v>
          </cell>
          <cell r="J2131">
            <v>0</v>
          </cell>
          <cell r="K2131">
            <v>0</v>
          </cell>
          <cell r="AL2131">
            <v>0</v>
          </cell>
          <cell r="BJ2131" t="str">
            <v>RSA</v>
          </cell>
        </row>
        <row r="2132">
          <cell r="E2132" t="str">
            <v>13</v>
          </cell>
          <cell r="J2132">
            <v>0</v>
          </cell>
          <cell r="K2132">
            <v>0</v>
          </cell>
          <cell r="AL2132">
            <v>0</v>
          </cell>
          <cell r="BJ2132" t="str">
            <v>RSA</v>
          </cell>
        </row>
        <row r="2133">
          <cell r="E2133" t="str">
            <v>13</v>
          </cell>
          <cell r="J2133">
            <v>0</v>
          </cell>
          <cell r="K2133">
            <v>0</v>
          </cell>
          <cell r="AL2133">
            <v>0</v>
          </cell>
          <cell r="BJ2133" t="str">
            <v>RSA</v>
          </cell>
        </row>
        <row r="2134">
          <cell r="E2134" t="str">
            <v>13</v>
          </cell>
          <cell r="J2134">
            <v>0</v>
          </cell>
          <cell r="K2134">
            <v>0</v>
          </cell>
          <cell r="AL2134">
            <v>0</v>
          </cell>
          <cell r="BJ2134" t="str">
            <v>RSA</v>
          </cell>
        </row>
        <row r="2135">
          <cell r="E2135" t="str">
            <v>13</v>
          </cell>
          <cell r="J2135">
            <v>0</v>
          </cell>
          <cell r="K2135">
            <v>0</v>
          </cell>
          <cell r="AL2135">
            <v>0</v>
          </cell>
          <cell r="BJ2135" t="str">
            <v>RSA</v>
          </cell>
        </row>
        <row r="2136">
          <cell r="E2136" t="str">
            <v>13</v>
          </cell>
          <cell r="J2136">
            <v>0</v>
          </cell>
          <cell r="K2136">
            <v>0</v>
          </cell>
          <cell r="AL2136">
            <v>0</v>
          </cell>
          <cell r="BJ2136" t="str">
            <v>RSA</v>
          </cell>
        </row>
        <row r="2137">
          <cell r="E2137" t="str">
            <v>13</v>
          </cell>
          <cell r="J2137">
            <v>0</v>
          </cell>
          <cell r="K2137">
            <v>0</v>
          </cell>
          <cell r="AL2137">
            <v>0</v>
          </cell>
          <cell r="BJ2137" t="str">
            <v>RSA</v>
          </cell>
        </row>
        <row r="2138">
          <cell r="E2138" t="str">
            <v>13</v>
          </cell>
          <cell r="J2138">
            <v>0</v>
          </cell>
          <cell r="K2138">
            <v>0</v>
          </cell>
          <cell r="AL2138">
            <v>0</v>
          </cell>
          <cell r="BJ2138" t="str">
            <v>RSA</v>
          </cell>
        </row>
        <row r="2139">
          <cell r="E2139" t="str">
            <v>13</v>
          </cell>
          <cell r="J2139">
            <v>0</v>
          </cell>
          <cell r="K2139">
            <v>0</v>
          </cell>
          <cell r="AL2139">
            <v>0</v>
          </cell>
          <cell r="BJ2139" t="str">
            <v>RSA</v>
          </cell>
        </row>
        <row r="2140">
          <cell r="E2140" t="str">
            <v>13</v>
          </cell>
          <cell r="J2140">
            <v>0</v>
          </cell>
          <cell r="K2140">
            <v>0</v>
          </cell>
          <cell r="AL2140">
            <v>0</v>
          </cell>
          <cell r="BJ2140" t="str">
            <v>RSA</v>
          </cell>
        </row>
        <row r="2141">
          <cell r="E2141" t="str">
            <v>13</v>
          </cell>
          <cell r="J2141">
            <v>0</v>
          </cell>
          <cell r="K2141">
            <v>0</v>
          </cell>
          <cell r="AL2141">
            <v>0</v>
          </cell>
          <cell r="BJ2141" t="str">
            <v>RSA</v>
          </cell>
        </row>
        <row r="2142">
          <cell r="E2142" t="str">
            <v>13</v>
          </cell>
          <cell r="J2142">
            <v>0</v>
          </cell>
          <cell r="K2142">
            <v>0</v>
          </cell>
          <cell r="AL2142">
            <v>0</v>
          </cell>
          <cell r="BJ2142" t="str">
            <v>RSA</v>
          </cell>
        </row>
        <row r="2143">
          <cell r="E2143" t="str">
            <v>13</v>
          </cell>
          <cell r="J2143">
            <v>0</v>
          </cell>
          <cell r="K2143">
            <v>0</v>
          </cell>
          <cell r="AL2143">
            <v>0</v>
          </cell>
          <cell r="BJ2143" t="str">
            <v>RSA</v>
          </cell>
        </row>
        <row r="2144">
          <cell r="E2144" t="str">
            <v>13</v>
          </cell>
          <cell r="J2144">
            <v>0</v>
          </cell>
          <cell r="K2144">
            <v>0</v>
          </cell>
          <cell r="AL2144">
            <v>0</v>
          </cell>
          <cell r="BJ2144" t="str">
            <v>RSA</v>
          </cell>
        </row>
        <row r="2145">
          <cell r="E2145" t="str">
            <v>13</v>
          </cell>
          <cell r="J2145">
            <v>0</v>
          </cell>
          <cell r="K2145">
            <v>0</v>
          </cell>
          <cell r="AL2145">
            <v>0</v>
          </cell>
          <cell r="BJ2145" t="str">
            <v>RSA</v>
          </cell>
        </row>
        <row r="2146">
          <cell r="E2146" t="str">
            <v>13</v>
          </cell>
          <cell r="J2146">
            <v>0</v>
          </cell>
          <cell r="K2146">
            <v>0</v>
          </cell>
          <cell r="AL2146">
            <v>0</v>
          </cell>
          <cell r="BJ2146" t="str">
            <v>RSA</v>
          </cell>
        </row>
        <row r="2147">
          <cell r="E2147" t="str">
            <v>13</v>
          </cell>
          <cell r="J2147">
            <v>0</v>
          </cell>
          <cell r="K2147">
            <v>0</v>
          </cell>
          <cell r="AL2147">
            <v>0</v>
          </cell>
          <cell r="BJ2147" t="str">
            <v>RSA</v>
          </cell>
        </row>
        <row r="2148">
          <cell r="E2148" t="str">
            <v>13</v>
          </cell>
          <cell r="J2148">
            <v>0</v>
          </cell>
          <cell r="K2148">
            <v>0</v>
          </cell>
          <cell r="AL2148">
            <v>0</v>
          </cell>
          <cell r="BJ2148" t="str">
            <v>RSA</v>
          </cell>
        </row>
        <row r="2149">
          <cell r="E2149" t="str">
            <v>13</v>
          </cell>
          <cell r="J2149">
            <v>0</v>
          </cell>
          <cell r="K2149">
            <v>0</v>
          </cell>
          <cell r="AL2149">
            <v>0</v>
          </cell>
          <cell r="BJ2149" t="str">
            <v>RSA</v>
          </cell>
        </row>
        <row r="2150">
          <cell r="E2150" t="str">
            <v>13</v>
          </cell>
          <cell r="J2150">
            <v>0</v>
          </cell>
          <cell r="K2150">
            <v>0</v>
          </cell>
          <cell r="AL2150">
            <v>0</v>
          </cell>
          <cell r="BJ2150" t="str">
            <v>RSA</v>
          </cell>
        </row>
        <row r="2151">
          <cell r="E2151" t="str">
            <v>13</v>
          </cell>
          <cell r="J2151">
            <v>0</v>
          </cell>
          <cell r="K2151">
            <v>0</v>
          </cell>
          <cell r="AL2151">
            <v>0</v>
          </cell>
          <cell r="BJ2151" t="str">
            <v>RSA</v>
          </cell>
        </row>
        <row r="2152">
          <cell r="E2152" t="str">
            <v>13</v>
          </cell>
          <cell r="J2152">
            <v>0</v>
          </cell>
          <cell r="K2152">
            <v>0</v>
          </cell>
          <cell r="AL2152">
            <v>0</v>
          </cell>
          <cell r="BJ2152" t="str">
            <v>RSA</v>
          </cell>
        </row>
        <row r="2153">
          <cell r="E2153" t="str">
            <v>13</v>
          </cell>
          <cell r="J2153">
            <v>0</v>
          </cell>
          <cell r="K2153">
            <v>0</v>
          </cell>
          <cell r="AL2153">
            <v>0</v>
          </cell>
          <cell r="BJ2153" t="str">
            <v>RSA</v>
          </cell>
        </row>
        <row r="2154">
          <cell r="E2154" t="str">
            <v>13</v>
          </cell>
          <cell r="J2154">
            <v>0</v>
          </cell>
          <cell r="K2154">
            <v>0</v>
          </cell>
          <cell r="AL2154">
            <v>0</v>
          </cell>
          <cell r="BJ2154" t="str">
            <v>RSA</v>
          </cell>
        </row>
        <row r="2155">
          <cell r="E2155" t="str">
            <v>13</v>
          </cell>
          <cell r="J2155">
            <v>0</v>
          </cell>
          <cell r="K2155">
            <v>0</v>
          </cell>
          <cell r="AL2155">
            <v>0</v>
          </cell>
          <cell r="BJ2155" t="str">
            <v>RSA</v>
          </cell>
        </row>
        <row r="2156">
          <cell r="E2156" t="str">
            <v>13</v>
          </cell>
          <cell r="J2156">
            <v>0</v>
          </cell>
          <cell r="K2156">
            <v>0</v>
          </cell>
          <cell r="AL2156">
            <v>0</v>
          </cell>
          <cell r="BJ2156" t="str">
            <v>RSA</v>
          </cell>
        </row>
        <row r="2157">
          <cell r="E2157" t="str">
            <v>13</v>
          </cell>
          <cell r="J2157">
            <v>0</v>
          </cell>
          <cell r="K2157">
            <v>0</v>
          </cell>
          <cell r="AL2157">
            <v>0</v>
          </cell>
          <cell r="BJ2157" t="str">
            <v>RSA</v>
          </cell>
        </row>
        <row r="2158">
          <cell r="E2158" t="str">
            <v>13</v>
          </cell>
          <cell r="J2158">
            <v>0</v>
          </cell>
          <cell r="K2158">
            <v>0</v>
          </cell>
          <cell r="AL2158">
            <v>0</v>
          </cell>
          <cell r="BJ2158" t="str">
            <v>RSA</v>
          </cell>
        </row>
        <row r="2159">
          <cell r="E2159" t="str">
            <v>13</v>
          </cell>
          <cell r="J2159">
            <v>0</v>
          </cell>
          <cell r="K2159">
            <v>0</v>
          </cell>
          <cell r="AL2159">
            <v>0</v>
          </cell>
          <cell r="BJ2159" t="str">
            <v>RSA</v>
          </cell>
        </row>
        <row r="2160">
          <cell r="E2160" t="str">
            <v>13</v>
          </cell>
          <cell r="J2160">
            <v>0</v>
          </cell>
          <cell r="K2160">
            <v>0</v>
          </cell>
          <cell r="AL2160">
            <v>0</v>
          </cell>
          <cell r="BJ2160" t="str">
            <v>RSA</v>
          </cell>
        </row>
        <row r="2161">
          <cell r="E2161" t="str">
            <v>13</v>
          </cell>
          <cell r="J2161">
            <v>0</v>
          </cell>
          <cell r="K2161">
            <v>0</v>
          </cell>
          <cell r="AL2161">
            <v>0</v>
          </cell>
          <cell r="BJ2161" t="str">
            <v>RSA</v>
          </cell>
        </row>
        <row r="2162">
          <cell r="E2162" t="str">
            <v>13</v>
          </cell>
          <cell r="J2162">
            <v>0</v>
          </cell>
          <cell r="K2162">
            <v>0</v>
          </cell>
          <cell r="AL2162">
            <v>0</v>
          </cell>
          <cell r="BJ2162" t="str">
            <v>RSA</v>
          </cell>
        </row>
        <row r="2163">
          <cell r="E2163" t="str">
            <v>13</v>
          </cell>
          <cell r="J2163">
            <v>0</v>
          </cell>
          <cell r="K2163">
            <v>0</v>
          </cell>
          <cell r="AL2163">
            <v>0</v>
          </cell>
          <cell r="BJ2163" t="str">
            <v>RSA</v>
          </cell>
        </row>
        <row r="2164">
          <cell r="E2164" t="str">
            <v>13</v>
          </cell>
          <cell r="J2164">
            <v>0</v>
          </cell>
          <cell r="K2164">
            <v>0</v>
          </cell>
          <cell r="AL2164">
            <v>0</v>
          </cell>
          <cell r="BJ2164" t="str">
            <v>RSA</v>
          </cell>
        </row>
        <row r="2165">
          <cell r="E2165" t="str">
            <v>13</v>
          </cell>
          <cell r="J2165">
            <v>0</v>
          </cell>
          <cell r="K2165">
            <v>0</v>
          </cell>
          <cell r="AL2165">
            <v>0</v>
          </cell>
          <cell r="BJ2165" t="str">
            <v>RSA</v>
          </cell>
        </row>
        <row r="2166">
          <cell r="E2166" t="str">
            <v>13</v>
          </cell>
          <cell r="J2166">
            <v>0</v>
          </cell>
          <cell r="K2166">
            <v>0</v>
          </cell>
          <cell r="AL2166">
            <v>0</v>
          </cell>
          <cell r="BJ2166" t="str">
            <v>RSA</v>
          </cell>
        </row>
        <row r="2167">
          <cell r="E2167" t="str">
            <v>13</v>
          </cell>
          <cell r="J2167">
            <v>0</v>
          </cell>
          <cell r="K2167">
            <v>0</v>
          </cell>
          <cell r="AL2167">
            <v>0</v>
          </cell>
          <cell r="BJ2167" t="str">
            <v>RSA</v>
          </cell>
        </row>
        <row r="2168">
          <cell r="E2168" t="str">
            <v>13</v>
          </cell>
          <cell r="J2168">
            <v>0</v>
          </cell>
          <cell r="K2168">
            <v>0</v>
          </cell>
          <cell r="AL2168">
            <v>0</v>
          </cell>
          <cell r="BJ2168" t="str">
            <v>RSA</v>
          </cell>
        </row>
        <row r="2169">
          <cell r="E2169" t="str">
            <v>13</v>
          </cell>
          <cell r="J2169">
            <v>0</v>
          </cell>
          <cell r="K2169">
            <v>0</v>
          </cell>
          <cell r="AL2169">
            <v>0</v>
          </cell>
          <cell r="BJ2169" t="str">
            <v>RSA</v>
          </cell>
        </row>
        <row r="2170">
          <cell r="E2170" t="str">
            <v>13</v>
          </cell>
          <cell r="J2170">
            <v>0</v>
          </cell>
          <cell r="K2170">
            <v>0</v>
          </cell>
          <cell r="AL2170">
            <v>0</v>
          </cell>
          <cell r="BJ2170" t="str">
            <v>RSA</v>
          </cell>
        </row>
        <row r="2171">
          <cell r="E2171" t="str">
            <v>13</v>
          </cell>
          <cell r="J2171">
            <v>0</v>
          </cell>
          <cell r="K2171">
            <v>0</v>
          </cell>
          <cell r="AL2171">
            <v>0</v>
          </cell>
          <cell r="BJ2171" t="str">
            <v>RSA</v>
          </cell>
        </row>
        <row r="2172">
          <cell r="E2172" t="str">
            <v>13</v>
          </cell>
          <cell r="J2172">
            <v>0</v>
          </cell>
          <cell r="K2172">
            <v>0</v>
          </cell>
          <cell r="AL2172">
            <v>0</v>
          </cell>
          <cell r="BJ2172" t="str">
            <v>RSA</v>
          </cell>
        </row>
        <row r="2173">
          <cell r="E2173" t="str">
            <v>13</v>
          </cell>
          <cell r="J2173">
            <v>0</v>
          </cell>
          <cell r="K2173">
            <v>0</v>
          </cell>
          <cell r="AL2173">
            <v>0</v>
          </cell>
          <cell r="BJ2173" t="str">
            <v>RSA</v>
          </cell>
        </row>
        <row r="2174">
          <cell r="E2174" t="str">
            <v>13</v>
          </cell>
          <cell r="J2174">
            <v>0</v>
          </cell>
          <cell r="K2174">
            <v>0</v>
          </cell>
          <cell r="AL2174">
            <v>0</v>
          </cell>
          <cell r="BJ2174" t="str">
            <v>RSA</v>
          </cell>
        </row>
        <row r="2175">
          <cell r="E2175" t="str">
            <v>13</v>
          </cell>
          <cell r="J2175">
            <v>0</v>
          </cell>
          <cell r="K2175">
            <v>0</v>
          </cell>
          <cell r="AL2175">
            <v>0</v>
          </cell>
          <cell r="BJ2175" t="str">
            <v>RSA</v>
          </cell>
        </row>
        <row r="2176">
          <cell r="E2176" t="str">
            <v>13</v>
          </cell>
          <cell r="J2176">
            <v>0</v>
          </cell>
          <cell r="K2176">
            <v>0</v>
          </cell>
          <cell r="AL2176">
            <v>0</v>
          </cell>
          <cell r="BJ2176" t="str">
            <v>RSA</v>
          </cell>
        </row>
        <row r="2177">
          <cell r="E2177" t="str">
            <v>13</v>
          </cell>
          <cell r="J2177">
            <v>0</v>
          </cell>
          <cell r="K2177">
            <v>0</v>
          </cell>
          <cell r="AL2177">
            <v>0</v>
          </cell>
          <cell r="BJ2177" t="str">
            <v>RSA</v>
          </cell>
        </row>
        <row r="2178">
          <cell r="E2178" t="str">
            <v>13</v>
          </cell>
          <cell r="J2178">
            <v>0</v>
          </cell>
          <cell r="K2178">
            <v>0</v>
          </cell>
          <cell r="AL2178">
            <v>0</v>
          </cell>
          <cell r="BJ2178" t="str">
            <v>RSA</v>
          </cell>
        </row>
        <row r="2179">
          <cell r="E2179" t="str">
            <v>13</v>
          </cell>
          <cell r="J2179">
            <v>0</v>
          </cell>
          <cell r="K2179">
            <v>0</v>
          </cell>
          <cell r="AL2179">
            <v>0</v>
          </cell>
          <cell r="BJ2179" t="str">
            <v>RSA</v>
          </cell>
        </row>
        <row r="2180">
          <cell r="E2180" t="str">
            <v>13</v>
          </cell>
          <cell r="J2180">
            <v>0</v>
          </cell>
          <cell r="K2180">
            <v>0</v>
          </cell>
          <cell r="AL2180">
            <v>0</v>
          </cell>
          <cell r="BJ2180" t="str">
            <v>RSA</v>
          </cell>
        </row>
        <row r="2181">
          <cell r="E2181" t="str">
            <v>13</v>
          </cell>
          <cell r="J2181">
            <v>0</v>
          </cell>
          <cell r="K2181">
            <v>0</v>
          </cell>
          <cell r="AL2181">
            <v>0</v>
          </cell>
          <cell r="BJ2181" t="str">
            <v>RSA</v>
          </cell>
        </row>
        <row r="2182">
          <cell r="E2182" t="str">
            <v>13</v>
          </cell>
          <cell r="J2182">
            <v>0</v>
          </cell>
          <cell r="K2182">
            <v>0</v>
          </cell>
          <cell r="AL2182">
            <v>0</v>
          </cell>
          <cell r="BJ2182" t="str">
            <v>RSA</v>
          </cell>
        </row>
        <row r="2183">
          <cell r="E2183" t="str">
            <v>13</v>
          </cell>
          <cell r="J2183">
            <v>0</v>
          </cell>
          <cell r="K2183">
            <v>0</v>
          </cell>
          <cell r="AL2183">
            <v>0</v>
          </cell>
          <cell r="BJ2183" t="str">
            <v>RSA</v>
          </cell>
        </row>
        <row r="2184">
          <cell r="E2184" t="str">
            <v>13</v>
          </cell>
          <cell r="J2184">
            <v>0</v>
          </cell>
          <cell r="K2184">
            <v>0</v>
          </cell>
          <cell r="AL2184">
            <v>0</v>
          </cell>
          <cell r="BJ2184" t="str">
            <v>RSA</v>
          </cell>
        </row>
        <row r="2185">
          <cell r="E2185" t="str">
            <v>11</v>
          </cell>
          <cell r="J2185">
            <v>0</v>
          </cell>
          <cell r="K2185">
            <v>0</v>
          </cell>
          <cell r="AL2185">
            <v>0</v>
          </cell>
          <cell r="BJ2185" t="str">
            <v>RSA</v>
          </cell>
        </row>
        <row r="2186">
          <cell r="E2186" t="str">
            <v>13</v>
          </cell>
          <cell r="J2186">
            <v>0</v>
          </cell>
          <cell r="K2186">
            <v>0</v>
          </cell>
          <cell r="AL2186">
            <v>0</v>
          </cell>
          <cell r="BJ2186" t="str">
            <v>RSA</v>
          </cell>
        </row>
        <row r="2187">
          <cell r="E2187" t="str">
            <v>11</v>
          </cell>
          <cell r="J2187">
            <v>0</v>
          </cell>
          <cell r="K2187">
            <v>0</v>
          </cell>
          <cell r="AL2187">
            <v>0</v>
          </cell>
          <cell r="BJ2187" t="str">
            <v>RSA</v>
          </cell>
        </row>
        <row r="2188">
          <cell r="E2188" t="str">
            <v>13</v>
          </cell>
          <cell r="J2188">
            <v>0</v>
          </cell>
          <cell r="K2188">
            <v>0</v>
          </cell>
          <cell r="AL2188">
            <v>0</v>
          </cell>
          <cell r="BJ2188" t="str">
            <v>RSA</v>
          </cell>
        </row>
        <row r="2189">
          <cell r="E2189" t="str">
            <v>11</v>
          </cell>
          <cell r="J2189">
            <v>0</v>
          </cell>
          <cell r="K2189">
            <v>0</v>
          </cell>
          <cell r="AL2189">
            <v>0</v>
          </cell>
          <cell r="BJ2189" t="str">
            <v>RSA</v>
          </cell>
        </row>
        <row r="2190">
          <cell r="E2190" t="str">
            <v>13</v>
          </cell>
          <cell r="J2190">
            <v>0</v>
          </cell>
          <cell r="K2190">
            <v>0</v>
          </cell>
          <cell r="AL2190">
            <v>0</v>
          </cell>
          <cell r="BJ2190" t="str">
            <v>RSA</v>
          </cell>
        </row>
        <row r="2191">
          <cell r="E2191" t="str">
            <v>13</v>
          </cell>
          <cell r="J2191">
            <v>0</v>
          </cell>
          <cell r="K2191">
            <v>0</v>
          </cell>
          <cell r="AL2191">
            <v>0</v>
          </cell>
          <cell r="BJ2191" t="str">
            <v>RSA</v>
          </cell>
        </row>
        <row r="2192">
          <cell r="E2192" t="str">
            <v>13</v>
          </cell>
          <cell r="J2192">
            <v>0</v>
          </cell>
          <cell r="K2192">
            <v>0</v>
          </cell>
          <cell r="AL2192">
            <v>0</v>
          </cell>
          <cell r="BJ2192" t="str">
            <v>RSA</v>
          </cell>
        </row>
        <row r="2193">
          <cell r="E2193" t="str">
            <v>13</v>
          </cell>
          <cell r="J2193">
            <v>0</v>
          </cell>
          <cell r="K2193">
            <v>0</v>
          </cell>
          <cell r="AL2193">
            <v>0</v>
          </cell>
          <cell r="BJ2193" t="str">
            <v>RSA</v>
          </cell>
        </row>
        <row r="2194">
          <cell r="E2194" t="str">
            <v>20</v>
          </cell>
          <cell r="J2194">
            <v>0</v>
          </cell>
          <cell r="K2194">
            <v>0</v>
          </cell>
          <cell r="AL2194">
            <v>0</v>
          </cell>
          <cell r="BJ2194" t="str">
            <v>RSA</v>
          </cell>
        </row>
        <row r="2195">
          <cell r="E2195" t="str">
            <v>20</v>
          </cell>
          <cell r="J2195">
            <v>0</v>
          </cell>
          <cell r="K2195">
            <v>0</v>
          </cell>
          <cell r="AL2195">
            <v>0</v>
          </cell>
          <cell r="BJ2195" t="str">
            <v>RSA</v>
          </cell>
        </row>
        <row r="2196">
          <cell r="E2196" t="str">
            <v>21</v>
          </cell>
          <cell r="J2196">
            <v>0</v>
          </cell>
          <cell r="K2196">
            <v>0</v>
          </cell>
          <cell r="AL2196">
            <v>0</v>
          </cell>
          <cell r="BJ2196" t="str">
            <v>RSA</v>
          </cell>
        </row>
        <row r="2197">
          <cell r="E2197" t="str">
            <v>24</v>
          </cell>
          <cell r="J2197">
            <v>0</v>
          </cell>
          <cell r="K2197">
            <v>0</v>
          </cell>
          <cell r="AL2197">
            <v>0</v>
          </cell>
          <cell r="BJ2197" t="str">
            <v>RSA</v>
          </cell>
        </row>
        <row r="2198">
          <cell r="E2198" t="str">
            <v>24</v>
          </cell>
          <cell r="J2198">
            <v>0</v>
          </cell>
          <cell r="K2198">
            <v>0</v>
          </cell>
          <cell r="AL2198">
            <v>0</v>
          </cell>
          <cell r="BJ2198" t="str">
            <v>RSA</v>
          </cell>
        </row>
        <row r="2199">
          <cell r="E2199" t="str">
            <v>24</v>
          </cell>
          <cell r="J2199">
            <v>0</v>
          </cell>
          <cell r="K2199">
            <v>0</v>
          </cell>
          <cell r="AL2199">
            <v>0</v>
          </cell>
          <cell r="BJ2199" t="str">
            <v>RSA</v>
          </cell>
        </row>
        <row r="2200">
          <cell r="E2200" t="str">
            <v>24</v>
          </cell>
          <cell r="J2200">
            <v>0</v>
          </cell>
          <cell r="K2200">
            <v>0</v>
          </cell>
          <cell r="AL2200">
            <v>0</v>
          </cell>
          <cell r="BJ2200" t="str">
            <v>RSA</v>
          </cell>
        </row>
        <row r="2201">
          <cell r="E2201" t="str">
            <v>24</v>
          </cell>
          <cell r="J2201">
            <v>0</v>
          </cell>
          <cell r="K2201">
            <v>0</v>
          </cell>
          <cell r="AL2201">
            <v>0</v>
          </cell>
          <cell r="BJ2201" t="str">
            <v>RSA</v>
          </cell>
        </row>
        <row r="2202">
          <cell r="E2202" t="str">
            <v>24</v>
          </cell>
          <cell r="J2202">
            <v>0</v>
          </cell>
          <cell r="K2202">
            <v>0</v>
          </cell>
          <cell r="AL2202">
            <v>0</v>
          </cell>
          <cell r="BJ2202" t="str">
            <v>RSA</v>
          </cell>
        </row>
        <row r="2203">
          <cell r="E2203" t="str">
            <v>24</v>
          </cell>
          <cell r="J2203">
            <v>0</v>
          </cell>
          <cell r="K2203">
            <v>0</v>
          </cell>
          <cell r="AL2203">
            <v>0</v>
          </cell>
          <cell r="BJ2203" t="str">
            <v>RSA</v>
          </cell>
        </row>
        <row r="2204">
          <cell r="E2204" t="str">
            <v>24</v>
          </cell>
          <cell r="J2204">
            <v>0</v>
          </cell>
          <cell r="K2204">
            <v>0</v>
          </cell>
          <cell r="AL2204">
            <v>0</v>
          </cell>
          <cell r="BJ2204" t="str">
            <v>RSA</v>
          </cell>
        </row>
        <row r="2205">
          <cell r="E2205" t="str">
            <v>24</v>
          </cell>
          <cell r="J2205">
            <v>0</v>
          </cell>
          <cell r="K2205">
            <v>0</v>
          </cell>
          <cell r="AL2205">
            <v>0</v>
          </cell>
          <cell r="BJ2205" t="str">
            <v>RSA</v>
          </cell>
        </row>
        <row r="2206">
          <cell r="E2206" t="str">
            <v>24</v>
          </cell>
          <cell r="J2206">
            <v>0</v>
          </cell>
          <cell r="K2206">
            <v>0</v>
          </cell>
          <cell r="AL2206">
            <v>0</v>
          </cell>
          <cell r="BJ2206" t="str">
            <v>RSA</v>
          </cell>
        </row>
        <row r="2207">
          <cell r="E2207" t="str">
            <v>24</v>
          </cell>
          <cell r="J2207">
            <v>0</v>
          </cell>
          <cell r="K2207">
            <v>0</v>
          </cell>
          <cell r="AL2207">
            <v>0</v>
          </cell>
          <cell r="BJ2207" t="str">
            <v>RSA</v>
          </cell>
        </row>
        <row r="2208">
          <cell r="E2208" t="str">
            <v>24</v>
          </cell>
          <cell r="J2208">
            <v>0</v>
          </cell>
          <cell r="K2208">
            <v>0</v>
          </cell>
          <cell r="AL2208">
            <v>0</v>
          </cell>
          <cell r="BJ2208" t="str">
            <v>RSA</v>
          </cell>
        </row>
        <row r="2209">
          <cell r="E2209" t="str">
            <v>24</v>
          </cell>
          <cell r="J2209">
            <v>0</v>
          </cell>
          <cell r="K2209">
            <v>0</v>
          </cell>
          <cell r="AL2209">
            <v>0</v>
          </cell>
          <cell r="BJ2209" t="str">
            <v>RSA</v>
          </cell>
        </row>
        <row r="2210">
          <cell r="E2210" t="str">
            <v>24</v>
          </cell>
          <cell r="J2210">
            <v>0</v>
          </cell>
          <cell r="K2210">
            <v>0</v>
          </cell>
          <cell r="AL2210">
            <v>0</v>
          </cell>
          <cell r="BJ2210" t="str">
            <v>RSA</v>
          </cell>
        </row>
        <row r="2211">
          <cell r="E2211" t="str">
            <v>24</v>
          </cell>
          <cell r="J2211">
            <v>0</v>
          </cell>
          <cell r="K2211">
            <v>0</v>
          </cell>
          <cell r="AL2211">
            <v>0</v>
          </cell>
          <cell r="BJ2211" t="str">
            <v>RSA</v>
          </cell>
        </row>
        <row r="2212">
          <cell r="E2212" t="str">
            <v>24</v>
          </cell>
          <cell r="J2212">
            <v>0</v>
          </cell>
          <cell r="K2212">
            <v>0</v>
          </cell>
          <cell r="AL2212">
            <v>0</v>
          </cell>
          <cell r="BJ2212" t="str">
            <v>RSA</v>
          </cell>
        </row>
        <row r="2213">
          <cell r="E2213" t="str">
            <v>24</v>
          </cell>
          <cell r="J2213">
            <v>0</v>
          </cell>
          <cell r="K2213">
            <v>0</v>
          </cell>
          <cell r="AL2213">
            <v>0</v>
          </cell>
          <cell r="BJ2213" t="str">
            <v>RSA</v>
          </cell>
        </row>
        <row r="2214">
          <cell r="E2214" t="str">
            <v>24</v>
          </cell>
          <cell r="J2214">
            <v>0</v>
          </cell>
          <cell r="K2214">
            <v>0</v>
          </cell>
          <cell r="AL2214">
            <v>0</v>
          </cell>
          <cell r="BJ2214" t="str">
            <v>RSA</v>
          </cell>
        </row>
        <row r="2215">
          <cell r="E2215" t="str">
            <v>24</v>
          </cell>
          <cell r="J2215">
            <v>0</v>
          </cell>
          <cell r="K2215">
            <v>0</v>
          </cell>
          <cell r="AL2215">
            <v>0</v>
          </cell>
          <cell r="BJ2215" t="str">
            <v>RSA</v>
          </cell>
        </row>
        <row r="2216">
          <cell r="E2216" t="str">
            <v>24</v>
          </cell>
          <cell r="J2216">
            <v>0</v>
          </cell>
          <cell r="K2216">
            <v>0</v>
          </cell>
          <cell r="AL2216">
            <v>0</v>
          </cell>
          <cell r="BJ2216" t="str">
            <v>RSA</v>
          </cell>
        </row>
        <row r="2217">
          <cell r="E2217" t="str">
            <v>24</v>
          </cell>
          <cell r="J2217">
            <v>0</v>
          </cell>
          <cell r="K2217">
            <v>0</v>
          </cell>
          <cell r="AL2217">
            <v>0</v>
          </cell>
          <cell r="BJ2217" t="str">
            <v>RSA</v>
          </cell>
        </row>
        <row r="2218">
          <cell r="E2218" t="str">
            <v>24</v>
          </cell>
          <cell r="J2218">
            <v>0</v>
          </cell>
          <cell r="K2218">
            <v>0</v>
          </cell>
          <cell r="AL2218">
            <v>0</v>
          </cell>
          <cell r="BJ2218" t="str">
            <v>RSA</v>
          </cell>
        </row>
        <row r="2219">
          <cell r="E2219" t="str">
            <v>24</v>
          </cell>
          <cell r="J2219">
            <v>0</v>
          </cell>
          <cell r="K2219">
            <v>0</v>
          </cell>
          <cell r="AL2219">
            <v>0</v>
          </cell>
          <cell r="BJ2219" t="str">
            <v>RSA</v>
          </cell>
        </row>
        <row r="2220">
          <cell r="E2220" t="str">
            <v>24</v>
          </cell>
          <cell r="J2220">
            <v>0</v>
          </cell>
          <cell r="K2220">
            <v>0</v>
          </cell>
          <cell r="AL2220">
            <v>0</v>
          </cell>
          <cell r="BJ2220" t="str">
            <v>RSA</v>
          </cell>
        </row>
        <row r="2221">
          <cell r="E2221" t="str">
            <v>24</v>
          </cell>
          <cell r="J2221">
            <v>0</v>
          </cell>
          <cell r="K2221">
            <v>0</v>
          </cell>
          <cell r="AL2221">
            <v>0</v>
          </cell>
          <cell r="BJ2221" t="str">
            <v>RSA</v>
          </cell>
        </row>
        <row r="2222">
          <cell r="E2222" t="str">
            <v>24</v>
          </cell>
          <cell r="J2222">
            <v>0</v>
          </cell>
          <cell r="K2222">
            <v>0</v>
          </cell>
          <cell r="AL2222">
            <v>0</v>
          </cell>
          <cell r="BJ2222" t="str">
            <v>RSA</v>
          </cell>
        </row>
        <row r="2223">
          <cell r="E2223" t="str">
            <v>24</v>
          </cell>
          <cell r="J2223">
            <v>0</v>
          </cell>
          <cell r="K2223">
            <v>0</v>
          </cell>
          <cell r="AL2223">
            <v>0</v>
          </cell>
          <cell r="BJ2223" t="str">
            <v>RSA</v>
          </cell>
        </row>
        <row r="2224">
          <cell r="E2224" t="str">
            <v>24</v>
          </cell>
          <cell r="J2224">
            <v>0</v>
          </cell>
          <cell r="K2224">
            <v>0</v>
          </cell>
          <cell r="AL2224">
            <v>0</v>
          </cell>
          <cell r="BJ2224" t="str">
            <v>RSA</v>
          </cell>
        </row>
        <row r="2225">
          <cell r="E2225" t="str">
            <v>24</v>
          </cell>
          <cell r="J2225">
            <v>0</v>
          </cell>
          <cell r="K2225">
            <v>0</v>
          </cell>
          <cell r="AL2225">
            <v>0</v>
          </cell>
          <cell r="BJ2225" t="str">
            <v>RSA</v>
          </cell>
        </row>
        <row r="2226">
          <cell r="E2226" t="str">
            <v>24</v>
          </cell>
          <cell r="J2226">
            <v>0</v>
          </cell>
          <cell r="K2226">
            <v>0</v>
          </cell>
          <cell r="AL2226">
            <v>0</v>
          </cell>
          <cell r="BJ2226" t="str">
            <v>RSA</v>
          </cell>
        </row>
        <row r="2227">
          <cell r="E2227" t="str">
            <v>24</v>
          </cell>
          <cell r="J2227">
            <v>0</v>
          </cell>
          <cell r="K2227">
            <v>0</v>
          </cell>
          <cell r="AL2227">
            <v>0</v>
          </cell>
          <cell r="BJ2227" t="str">
            <v>RSA</v>
          </cell>
        </row>
        <row r="2228">
          <cell r="E2228" t="str">
            <v>24</v>
          </cell>
          <cell r="J2228">
            <v>0</v>
          </cell>
          <cell r="K2228">
            <v>0</v>
          </cell>
          <cell r="AL2228">
            <v>0</v>
          </cell>
          <cell r="BJ2228" t="str">
            <v>RSA</v>
          </cell>
        </row>
        <row r="2229">
          <cell r="E2229" t="str">
            <v>24</v>
          </cell>
          <cell r="J2229">
            <v>0</v>
          </cell>
          <cell r="K2229">
            <v>0</v>
          </cell>
          <cell r="AL2229">
            <v>0</v>
          </cell>
          <cell r="BJ2229" t="str">
            <v>RSA</v>
          </cell>
        </row>
        <row r="2230">
          <cell r="E2230" t="str">
            <v>38</v>
          </cell>
          <cell r="J2230">
            <v>0</v>
          </cell>
          <cell r="K2230">
            <v>0</v>
          </cell>
          <cell r="AL2230">
            <v>0</v>
          </cell>
          <cell r="BJ2230" t="str">
            <v>RSA</v>
          </cell>
        </row>
        <row r="2231">
          <cell r="E2231" t="str">
            <v>38</v>
          </cell>
          <cell r="J2231">
            <v>0</v>
          </cell>
          <cell r="K2231">
            <v>0</v>
          </cell>
          <cell r="AL2231">
            <v>0</v>
          </cell>
          <cell r="BJ2231" t="str">
            <v>RSA</v>
          </cell>
        </row>
        <row r="2232">
          <cell r="E2232" t="str">
            <v>38</v>
          </cell>
          <cell r="J2232">
            <v>0</v>
          </cell>
          <cell r="K2232">
            <v>0</v>
          </cell>
          <cell r="AL2232">
            <v>0</v>
          </cell>
          <cell r="BJ2232" t="str">
            <v>RSA</v>
          </cell>
        </row>
        <row r="2233">
          <cell r="E2233" t="str">
            <v>38</v>
          </cell>
          <cell r="J2233">
            <v>0</v>
          </cell>
          <cell r="K2233">
            <v>0</v>
          </cell>
          <cell r="AL2233">
            <v>0</v>
          </cell>
          <cell r="BJ2233" t="str">
            <v>RSA</v>
          </cell>
        </row>
        <row r="2234">
          <cell r="E2234" t="str">
            <v>38</v>
          </cell>
          <cell r="J2234">
            <v>0</v>
          </cell>
          <cell r="K2234">
            <v>0</v>
          </cell>
          <cell r="AL2234">
            <v>0</v>
          </cell>
          <cell r="BJ2234" t="str">
            <v>RSA</v>
          </cell>
        </row>
        <row r="2235">
          <cell r="E2235" t="str">
            <v>38</v>
          </cell>
          <cell r="J2235">
            <v>0</v>
          </cell>
          <cell r="K2235">
            <v>0</v>
          </cell>
          <cell r="AL2235">
            <v>0</v>
          </cell>
          <cell r="BJ2235" t="str">
            <v>RSA</v>
          </cell>
        </row>
        <row r="2236">
          <cell r="E2236" t="str">
            <v>38</v>
          </cell>
          <cell r="J2236">
            <v>0</v>
          </cell>
          <cell r="K2236">
            <v>0</v>
          </cell>
          <cell r="AL2236">
            <v>0</v>
          </cell>
          <cell r="BJ2236" t="str">
            <v>RSA</v>
          </cell>
        </row>
        <row r="2237">
          <cell r="E2237" t="str">
            <v>38</v>
          </cell>
          <cell r="J2237">
            <v>0</v>
          </cell>
          <cell r="K2237">
            <v>0</v>
          </cell>
          <cell r="AL2237">
            <v>0</v>
          </cell>
          <cell r="BJ2237" t="str">
            <v>RSA</v>
          </cell>
        </row>
        <row r="2238">
          <cell r="E2238" t="str">
            <v>38</v>
          </cell>
          <cell r="J2238">
            <v>0</v>
          </cell>
          <cell r="K2238">
            <v>0</v>
          </cell>
          <cell r="AL2238">
            <v>0</v>
          </cell>
          <cell r="BJ2238" t="str">
            <v>RSA</v>
          </cell>
        </row>
        <row r="2239">
          <cell r="E2239" t="str">
            <v>38</v>
          </cell>
          <cell r="J2239">
            <v>0</v>
          </cell>
          <cell r="K2239">
            <v>0</v>
          </cell>
          <cell r="AL2239">
            <v>0</v>
          </cell>
          <cell r="BJ2239" t="str">
            <v>RSA</v>
          </cell>
        </row>
        <row r="2240">
          <cell r="E2240" t="str">
            <v>38</v>
          </cell>
          <cell r="J2240">
            <v>0</v>
          </cell>
          <cell r="K2240">
            <v>0</v>
          </cell>
          <cell r="AL2240">
            <v>0</v>
          </cell>
          <cell r="BJ2240" t="str">
            <v>RSA</v>
          </cell>
        </row>
        <row r="2241">
          <cell r="E2241" t="str">
            <v>38</v>
          </cell>
          <cell r="J2241">
            <v>0</v>
          </cell>
          <cell r="K2241">
            <v>0</v>
          </cell>
          <cell r="AL2241">
            <v>0</v>
          </cell>
          <cell r="BJ2241" t="str">
            <v>RSA</v>
          </cell>
        </row>
        <row r="2242">
          <cell r="E2242" t="str">
            <v>38</v>
          </cell>
          <cell r="J2242">
            <v>0</v>
          </cell>
          <cell r="K2242">
            <v>0</v>
          </cell>
          <cell r="AL2242">
            <v>0</v>
          </cell>
          <cell r="BJ2242" t="str">
            <v>RSA</v>
          </cell>
        </row>
        <row r="2243">
          <cell r="E2243" t="str">
            <v>38</v>
          </cell>
          <cell r="J2243">
            <v>0</v>
          </cell>
          <cell r="K2243">
            <v>0</v>
          </cell>
          <cell r="AL2243">
            <v>0</v>
          </cell>
          <cell r="BJ2243" t="str">
            <v>RSA</v>
          </cell>
        </row>
        <row r="2244">
          <cell r="E2244" t="str">
            <v>38</v>
          </cell>
          <cell r="J2244">
            <v>0</v>
          </cell>
          <cell r="K2244">
            <v>0</v>
          </cell>
          <cell r="AL2244">
            <v>0</v>
          </cell>
          <cell r="BJ2244" t="str">
            <v>RSA</v>
          </cell>
        </row>
        <row r="2245">
          <cell r="E2245" t="str">
            <v>38</v>
          </cell>
          <cell r="J2245">
            <v>0</v>
          </cell>
          <cell r="K2245">
            <v>0</v>
          </cell>
          <cell r="AL2245">
            <v>0</v>
          </cell>
          <cell r="BJ2245" t="str">
            <v>RSA</v>
          </cell>
        </row>
        <row r="2246">
          <cell r="E2246" t="str">
            <v>38</v>
          </cell>
          <cell r="J2246">
            <v>0</v>
          </cell>
          <cell r="K2246">
            <v>0</v>
          </cell>
          <cell r="AL2246">
            <v>0</v>
          </cell>
          <cell r="BJ2246" t="str">
            <v>RSA</v>
          </cell>
        </row>
        <row r="2247">
          <cell r="E2247" t="str">
            <v>38</v>
          </cell>
          <cell r="J2247">
            <v>0</v>
          </cell>
          <cell r="K2247">
            <v>0</v>
          </cell>
          <cell r="AL2247">
            <v>0</v>
          </cell>
          <cell r="BJ2247" t="str">
            <v>RSA</v>
          </cell>
        </row>
        <row r="2248">
          <cell r="E2248" t="str">
            <v>38</v>
          </cell>
          <cell r="J2248">
            <v>0</v>
          </cell>
          <cell r="K2248">
            <v>0</v>
          </cell>
          <cell r="AL2248">
            <v>0</v>
          </cell>
          <cell r="BJ2248" t="str">
            <v>RSA</v>
          </cell>
        </row>
        <row r="2249">
          <cell r="E2249" t="str">
            <v>38</v>
          </cell>
          <cell r="J2249">
            <v>0</v>
          </cell>
          <cell r="K2249">
            <v>0</v>
          </cell>
          <cell r="AL2249">
            <v>0</v>
          </cell>
          <cell r="BJ2249" t="str">
            <v>RSA</v>
          </cell>
        </row>
        <row r="2250">
          <cell r="E2250" t="str">
            <v>38</v>
          </cell>
          <cell r="J2250">
            <v>0</v>
          </cell>
          <cell r="K2250">
            <v>0</v>
          </cell>
          <cell r="AL2250">
            <v>0</v>
          </cell>
          <cell r="BJ2250" t="str">
            <v>RSA</v>
          </cell>
        </row>
        <row r="2251">
          <cell r="E2251" t="str">
            <v>38</v>
          </cell>
          <cell r="J2251">
            <v>0</v>
          </cell>
          <cell r="K2251">
            <v>0</v>
          </cell>
          <cell r="AL2251">
            <v>0</v>
          </cell>
          <cell r="BJ2251" t="str">
            <v>RSA</v>
          </cell>
        </row>
        <row r="2252">
          <cell r="E2252" t="str">
            <v>38</v>
          </cell>
          <cell r="J2252">
            <v>0</v>
          </cell>
          <cell r="K2252">
            <v>0</v>
          </cell>
          <cell r="AL2252">
            <v>0</v>
          </cell>
          <cell r="BJ2252" t="str">
            <v>RSA</v>
          </cell>
        </row>
        <row r="2253">
          <cell r="E2253" t="str">
            <v>38</v>
          </cell>
          <cell r="J2253">
            <v>0</v>
          </cell>
          <cell r="K2253">
            <v>0</v>
          </cell>
          <cell r="AL2253">
            <v>0</v>
          </cell>
          <cell r="BJ2253" t="str">
            <v>RSA</v>
          </cell>
        </row>
        <row r="2254">
          <cell r="E2254" t="str">
            <v>38</v>
          </cell>
          <cell r="J2254">
            <v>0</v>
          </cell>
          <cell r="K2254">
            <v>0</v>
          </cell>
          <cell r="AL2254">
            <v>0</v>
          </cell>
          <cell r="BJ2254" t="str">
            <v>RSA</v>
          </cell>
        </row>
        <row r="2255">
          <cell r="E2255" t="str">
            <v>38</v>
          </cell>
          <cell r="J2255">
            <v>0</v>
          </cell>
          <cell r="K2255">
            <v>0</v>
          </cell>
          <cell r="AL2255">
            <v>0</v>
          </cell>
          <cell r="BJ2255" t="str">
            <v>RSA</v>
          </cell>
        </row>
        <row r="2256">
          <cell r="E2256" t="str">
            <v>38</v>
          </cell>
          <cell r="J2256">
            <v>0</v>
          </cell>
          <cell r="K2256">
            <v>0</v>
          </cell>
          <cell r="AL2256">
            <v>0</v>
          </cell>
          <cell r="BJ2256" t="str">
            <v>RSA</v>
          </cell>
        </row>
        <row r="2257">
          <cell r="E2257" t="str">
            <v>38</v>
          </cell>
          <cell r="J2257">
            <v>0</v>
          </cell>
          <cell r="K2257">
            <v>0</v>
          </cell>
          <cell r="AL2257">
            <v>0</v>
          </cell>
          <cell r="BJ2257" t="str">
            <v>RSA</v>
          </cell>
        </row>
        <row r="2258">
          <cell r="E2258" t="str">
            <v>38</v>
          </cell>
          <cell r="J2258">
            <v>0</v>
          </cell>
          <cell r="K2258">
            <v>0</v>
          </cell>
          <cell r="AL2258">
            <v>0</v>
          </cell>
          <cell r="BJ2258" t="str">
            <v>RSA</v>
          </cell>
        </row>
        <row r="2259">
          <cell r="E2259" t="str">
            <v>38</v>
          </cell>
          <cell r="J2259">
            <v>0</v>
          </cell>
          <cell r="K2259">
            <v>0</v>
          </cell>
          <cell r="AL2259">
            <v>0</v>
          </cell>
          <cell r="BJ2259" t="str">
            <v>RSA</v>
          </cell>
        </row>
        <row r="2260">
          <cell r="E2260" t="str">
            <v>38</v>
          </cell>
          <cell r="J2260">
            <v>0</v>
          </cell>
          <cell r="K2260">
            <v>0</v>
          </cell>
          <cell r="AL2260">
            <v>0</v>
          </cell>
          <cell r="BJ2260" t="str">
            <v>RSA</v>
          </cell>
        </row>
        <row r="2261">
          <cell r="E2261" t="str">
            <v>38</v>
          </cell>
          <cell r="J2261">
            <v>0</v>
          </cell>
          <cell r="K2261">
            <v>0</v>
          </cell>
          <cell r="AL2261">
            <v>0</v>
          </cell>
          <cell r="BJ2261" t="str">
            <v>RSA</v>
          </cell>
        </row>
        <row r="2262">
          <cell r="E2262" t="str">
            <v>38</v>
          </cell>
          <cell r="J2262">
            <v>0</v>
          </cell>
          <cell r="K2262">
            <v>0</v>
          </cell>
          <cell r="AL2262">
            <v>0</v>
          </cell>
          <cell r="BJ2262" t="str">
            <v>RSA</v>
          </cell>
        </row>
        <row r="2263">
          <cell r="E2263" t="str">
            <v>35</v>
          </cell>
          <cell r="J2263">
            <v>0</v>
          </cell>
          <cell r="K2263">
            <v>0</v>
          </cell>
          <cell r="AL2263">
            <v>0</v>
          </cell>
          <cell r="BJ2263" t="str">
            <v>RSA</v>
          </cell>
        </row>
        <row r="2264">
          <cell r="E2264" t="str">
            <v>35</v>
          </cell>
          <cell r="J2264">
            <v>0</v>
          </cell>
          <cell r="K2264">
            <v>0</v>
          </cell>
          <cell r="AL2264">
            <v>0</v>
          </cell>
          <cell r="BJ2264" t="str">
            <v>RSA</v>
          </cell>
        </row>
        <row r="2265">
          <cell r="E2265" t="str">
            <v>35</v>
          </cell>
          <cell r="J2265">
            <v>0</v>
          </cell>
          <cell r="K2265">
            <v>0</v>
          </cell>
          <cell r="AL2265">
            <v>0</v>
          </cell>
          <cell r="BJ2265" t="str">
            <v>RSA</v>
          </cell>
        </row>
        <row r="2266">
          <cell r="E2266" t="str">
            <v>35</v>
          </cell>
          <cell r="J2266">
            <v>0</v>
          </cell>
          <cell r="K2266">
            <v>0</v>
          </cell>
          <cell r="AL2266">
            <v>0</v>
          </cell>
          <cell r="BJ2266" t="str">
            <v>RSA</v>
          </cell>
        </row>
        <row r="2267">
          <cell r="E2267" t="str">
            <v>35</v>
          </cell>
          <cell r="J2267">
            <v>0</v>
          </cell>
          <cell r="K2267">
            <v>0</v>
          </cell>
          <cell r="AL2267">
            <v>0</v>
          </cell>
          <cell r="BJ2267" t="str">
            <v>RSA</v>
          </cell>
        </row>
        <row r="2268">
          <cell r="E2268" t="str">
            <v>35</v>
          </cell>
          <cell r="J2268">
            <v>0</v>
          </cell>
          <cell r="K2268">
            <v>0</v>
          </cell>
          <cell r="AL2268">
            <v>0</v>
          </cell>
          <cell r="BJ2268" t="str">
            <v>RSA</v>
          </cell>
        </row>
        <row r="2269">
          <cell r="E2269" t="str">
            <v>35</v>
          </cell>
          <cell r="J2269">
            <v>0</v>
          </cell>
          <cell r="K2269">
            <v>0</v>
          </cell>
          <cell r="AL2269">
            <v>0</v>
          </cell>
          <cell r="BJ2269" t="str">
            <v>RSA</v>
          </cell>
        </row>
        <row r="2270">
          <cell r="E2270" t="str">
            <v>35</v>
          </cell>
          <cell r="J2270">
            <v>0</v>
          </cell>
          <cell r="K2270">
            <v>0</v>
          </cell>
          <cell r="AL2270">
            <v>0</v>
          </cell>
          <cell r="BJ2270" t="str">
            <v>RSA</v>
          </cell>
        </row>
        <row r="2271">
          <cell r="E2271" t="str">
            <v>35</v>
          </cell>
          <cell r="J2271">
            <v>0</v>
          </cell>
          <cell r="K2271">
            <v>0</v>
          </cell>
          <cell r="AL2271">
            <v>0</v>
          </cell>
          <cell r="BJ2271" t="str">
            <v>RSA</v>
          </cell>
        </row>
        <row r="2272">
          <cell r="E2272" t="str">
            <v>35</v>
          </cell>
          <cell r="J2272">
            <v>0</v>
          </cell>
          <cell r="K2272">
            <v>0</v>
          </cell>
          <cell r="AL2272">
            <v>0</v>
          </cell>
          <cell r="BJ2272" t="str">
            <v>RSA</v>
          </cell>
        </row>
        <row r="2273">
          <cell r="E2273" t="str">
            <v>35</v>
          </cell>
          <cell r="J2273">
            <v>0</v>
          </cell>
          <cell r="K2273">
            <v>0</v>
          </cell>
          <cell r="AL2273">
            <v>0</v>
          </cell>
          <cell r="BJ2273" t="str">
            <v>RSA</v>
          </cell>
        </row>
        <row r="2274">
          <cell r="E2274" t="str">
            <v>35</v>
          </cell>
          <cell r="J2274">
            <v>0</v>
          </cell>
          <cell r="K2274">
            <v>0</v>
          </cell>
          <cell r="AL2274">
            <v>0</v>
          </cell>
          <cell r="BJ2274" t="str">
            <v>RSA</v>
          </cell>
        </row>
        <row r="2275">
          <cell r="E2275" t="str">
            <v>35</v>
          </cell>
          <cell r="J2275">
            <v>0</v>
          </cell>
          <cell r="K2275">
            <v>0</v>
          </cell>
          <cell r="AL2275">
            <v>0</v>
          </cell>
          <cell r="BJ2275" t="str">
            <v>RSA</v>
          </cell>
        </row>
        <row r="2276">
          <cell r="E2276" t="str">
            <v>35</v>
          </cell>
          <cell r="J2276">
            <v>0</v>
          </cell>
          <cell r="K2276">
            <v>0</v>
          </cell>
          <cell r="AL2276">
            <v>0</v>
          </cell>
          <cell r="BJ2276" t="str">
            <v>RSA</v>
          </cell>
        </row>
        <row r="2277">
          <cell r="E2277" t="str">
            <v>47</v>
          </cell>
          <cell r="J2277">
            <v>0</v>
          </cell>
          <cell r="K2277">
            <v>0</v>
          </cell>
          <cell r="AL2277">
            <v>0</v>
          </cell>
          <cell r="BJ2277" t="str">
            <v>RSA</v>
          </cell>
        </row>
        <row r="2278">
          <cell r="E2278" t="str">
            <v>47</v>
          </cell>
          <cell r="J2278">
            <v>0</v>
          </cell>
          <cell r="K2278">
            <v>0</v>
          </cell>
          <cell r="AL2278">
            <v>0</v>
          </cell>
          <cell r="BJ2278" t="str">
            <v>RSA</v>
          </cell>
        </row>
        <row r="2279">
          <cell r="E2279" t="str">
            <v>47</v>
          </cell>
          <cell r="J2279">
            <v>0</v>
          </cell>
          <cell r="K2279">
            <v>0</v>
          </cell>
          <cell r="AL2279">
            <v>0</v>
          </cell>
          <cell r="BJ2279" t="str">
            <v>RSA</v>
          </cell>
        </row>
        <row r="2280">
          <cell r="E2280" t="str">
            <v>46</v>
          </cell>
          <cell r="J2280">
            <v>0</v>
          </cell>
          <cell r="K2280">
            <v>0</v>
          </cell>
          <cell r="AL2280">
            <v>0</v>
          </cell>
          <cell r="BJ2280" t="str">
            <v>RSA</v>
          </cell>
        </row>
        <row r="2281">
          <cell r="E2281" t="str">
            <v>47</v>
          </cell>
          <cell r="J2281">
            <v>0</v>
          </cell>
          <cell r="K2281">
            <v>0</v>
          </cell>
          <cell r="AL2281">
            <v>0</v>
          </cell>
          <cell r="BJ2281" t="str">
            <v>RSA</v>
          </cell>
        </row>
        <row r="2282">
          <cell r="E2282" t="str">
            <v>47</v>
          </cell>
          <cell r="J2282">
            <v>0</v>
          </cell>
          <cell r="K2282">
            <v>0</v>
          </cell>
          <cell r="AL2282">
            <v>0</v>
          </cell>
          <cell r="BJ2282" t="str">
            <v>RSA</v>
          </cell>
        </row>
        <row r="2283">
          <cell r="E2283" t="str">
            <v>48</v>
          </cell>
          <cell r="J2283">
            <v>0</v>
          </cell>
          <cell r="K2283">
            <v>0</v>
          </cell>
          <cell r="AL2283">
            <v>0</v>
          </cell>
          <cell r="BJ2283" t="str">
            <v>RSA</v>
          </cell>
        </row>
        <row r="2284">
          <cell r="E2284" t="str">
            <v>47</v>
          </cell>
          <cell r="J2284">
            <v>0</v>
          </cell>
          <cell r="K2284">
            <v>0</v>
          </cell>
          <cell r="AL2284">
            <v>0</v>
          </cell>
          <cell r="BJ2284" t="str">
            <v>RSA</v>
          </cell>
        </row>
        <row r="2285">
          <cell r="E2285" t="str">
            <v>47</v>
          </cell>
          <cell r="J2285">
            <v>0</v>
          </cell>
          <cell r="K2285">
            <v>0</v>
          </cell>
          <cell r="AL2285">
            <v>0</v>
          </cell>
          <cell r="BJ2285" t="str">
            <v>RSA</v>
          </cell>
        </row>
        <row r="2286">
          <cell r="E2286" t="str">
            <v>47</v>
          </cell>
          <cell r="J2286">
            <v>0</v>
          </cell>
          <cell r="K2286">
            <v>0</v>
          </cell>
          <cell r="AL2286">
            <v>0</v>
          </cell>
          <cell r="BJ2286" t="str">
            <v>RSA</v>
          </cell>
        </row>
        <row r="2287">
          <cell r="E2287" t="str">
            <v>47</v>
          </cell>
          <cell r="J2287">
            <v>0</v>
          </cell>
          <cell r="K2287">
            <v>0</v>
          </cell>
          <cell r="AL2287">
            <v>0</v>
          </cell>
          <cell r="BJ2287" t="str">
            <v>RSA</v>
          </cell>
        </row>
        <row r="2288">
          <cell r="E2288" t="str">
            <v>47</v>
          </cell>
          <cell r="J2288">
            <v>0</v>
          </cell>
          <cell r="K2288">
            <v>0</v>
          </cell>
          <cell r="AL2288">
            <v>0</v>
          </cell>
          <cell r="BJ2288" t="str">
            <v>RSA</v>
          </cell>
        </row>
        <row r="2289">
          <cell r="E2289" t="str">
            <v>38</v>
          </cell>
          <cell r="J2289">
            <v>0</v>
          </cell>
          <cell r="K2289">
            <v>0</v>
          </cell>
          <cell r="AL2289">
            <v>0</v>
          </cell>
          <cell r="BJ2289" t="str">
            <v>RSA</v>
          </cell>
        </row>
        <row r="2290">
          <cell r="E2290" t="str">
            <v>38</v>
          </cell>
          <cell r="J2290">
            <v>0</v>
          </cell>
          <cell r="K2290">
            <v>0</v>
          </cell>
          <cell r="AL2290">
            <v>0</v>
          </cell>
          <cell r="BJ2290" t="str">
            <v>RSA</v>
          </cell>
        </row>
        <row r="2291">
          <cell r="E2291" t="str">
            <v>50</v>
          </cell>
          <cell r="J2291">
            <v>0</v>
          </cell>
          <cell r="K2291">
            <v>0</v>
          </cell>
          <cell r="AL2291">
            <v>0</v>
          </cell>
          <cell r="BJ2291" t="str">
            <v>RSA</v>
          </cell>
        </row>
        <row r="2292">
          <cell r="E2292" t="str">
            <v>45</v>
          </cell>
          <cell r="J2292">
            <v>0</v>
          </cell>
          <cell r="K2292">
            <v>0</v>
          </cell>
          <cell r="AL2292">
            <v>0</v>
          </cell>
          <cell r="BJ2292" t="str">
            <v>RSA</v>
          </cell>
        </row>
        <row r="2293">
          <cell r="E2293" t="str">
            <v>45</v>
          </cell>
          <cell r="J2293">
            <v>0</v>
          </cell>
          <cell r="K2293">
            <v>0</v>
          </cell>
          <cell r="AL2293">
            <v>0</v>
          </cell>
          <cell r="BJ2293" t="str">
            <v>RSA</v>
          </cell>
        </row>
        <row r="2294">
          <cell r="E2294" t="str">
            <v>45</v>
          </cell>
          <cell r="J2294">
            <v>0</v>
          </cell>
          <cell r="K2294">
            <v>0</v>
          </cell>
          <cell r="AL2294">
            <v>0</v>
          </cell>
          <cell r="BJ2294" t="str">
            <v>RSA</v>
          </cell>
        </row>
        <row r="2295">
          <cell r="E2295" t="str">
            <v>45</v>
          </cell>
          <cell r="J2295">
            <v>0</v>
          </cell>
          <cell r="K2295">
            <v>0</v>
          </cell>
          <cell r="AL2295">
            <v>0</v>
          </cell>
          <cell r="BJ2295" t="str">
            <v>RSA</v>
          </cell>
        </row>
        <row r="2296">
          <cell r="E2296" t="str">
            <v>45</v>
          </cell>
          <cell r="J2296">
            <v>0</v>
          </cell>
          <cell r="K2296">
            <v>0</v>
          </cell>
          <cell r="AL2296">
            <v>0</v>
          </cell>
          <cell r="BJ2296" t="str">
            <v>RSA</v>
          </cell>
        </row>
        <row r="2297">
          <cell r="E2297" t="str">
            <v>45</v>
          </cell>
          <cell r="J2297">
            <v>0</v>
          </cell>
          <cell r="K2297">
            <v>0</v>
          </cell>
          <cell r="AL2297">
            <v>0</v>
          </cell>
          <cell r="BJ2297" t="str">
            <v>RSA</v>
          </cell>
        </row>
        <row r="2298">
          <cell r="E2298" t="str">
            <v>45</v>
          </cell>
          <cell r="J2298">
            <v>0</v>
          </cell>
          <cell r="K2298">
            <v>0</v>
          </cell>
          <cell r="AL2298">
            <v>0</v>
          </cell>
          <cell r="BJ2298" t="str">
            <v>RSA</v>
          </cell>
        </row>
        <row r="2299">
          <cell r="E2299" t="str">
            <v>45</v>
          </cell>
          <cell r="J2299">
            <v>0</v>
          </cell>
          <cell r="K2299">
            <v>0</v>
          </cell>
          <cell r="AL2299">
            <v>0</v>
          </cell>
          <cell r="BJ2299" t="str">
            <v>RSA</v>
          </cell>
        </row>
        <row r="2300">
          <cell r="E2300" t="str">
            <v>45</v>
          </cell>
          <cell r="J2300">
            <v>0</v>
          </cell>
          <cell r="K2300">
            <v>0</v>
          </cell>
          <cell r="AL2300">
            <v>0</v>
          </cell>
          <cell r="BJ2300" t="str">
            <v>RSA</v>
          </cell>
        </row>
        <row r="2301">
          <cell r="E2301" t="str">
            <v>45</v>
          </cell>
          <cell r="J2301">
            <v>0</v>
          </cell>
          <cell r="K2301">
            <v>0</v>
          </cell>
          <cell r="AL2301">
            <v>0</v>
          </cell>
          <cell r="BJ2301" t="str">
            <v>RSA</v>
          </cell>
        </row>
        <row r="2302">
          <cell r="E2302" t="str">
            <v>45</v>
          </cell>
          <cell r="J2302">
            <v>0</v>
          </cell>
          <cell r="K2302">
            <v>0</v>
          </cell>
          <cell r="AL2302">
            <v>0</v>
          </cell>
          <cell r="BJ2302" t="str">
            <v>RSA</v>
          </cell>
        </row>
        <row r="2303">
          <cell r="E2303" t="str">
            <v>45</v>
          </cell>
          <cell r="J2303">
            <v>0</v>
          </cell>
          <cell r="K2303">
            <v>0</v>
          </cell>
          <cell r="AL2303">
            <v>0</v>
          </cell>
          <cell r="BJ2303" t="str">
            <v>RSA</v>
          </cell>
        </row>
        <row r="2304">
          <cell r="E2304" t="str">
            <v>45</v>
          </cell>
          <cell r="J2304">
            <v>0</v>
          </cell>
          <cell r="K2304">
            <v>0</v>
          </cell>
          <cell r="AL2304">
            <v>0</v>
          </cell>
          <cell r="BJ2304" t="str">
            <v>RSA</v>
          </cell>
        </row>
        <row r="2305">
          <cell r="E2305" t="str">
            <v>45</v>
          </cell>
          <cell r="J2305">
            <v>0</v>
          </cell>
          <cell r="K2305">
            <v>0</v>
          </cell>
          <cell r="AL2305">
            <v>0</v>
          </cell>
          <cell r="BJ2305" t="str">
            <v>RSA</v>
          </cell>
        </row>
        <row r="2306">
          <cell r="E2306" t="str">
            <v>45</v>
          </cell>
          <cell r="J2306">
            <v>0</v>
          </cell>
          <cell r="K2306">
            <v>0</v>
          </cell>
          <cell r="AL2306">
            <v>0</v>
          </cell>
          <cell r="BJ2306" t="str">
            <v>RSA</v>
          </cell>
        </row>
        <row r="2307">
          <cell r="E2307" t="str">
            <v>45</v>
          </cell>
          <cell r="J2307">
            <v>0</v>
          </cell>
          <cell r="K2307">
            <v>0</v>
          </cell>
          <cell r="AL2307">
            <v>0</v>
          </cell>
          <cell r="BJ2307" t="str">
            <v>RSA</v>
          </cell>
        </row>
        <row r="2308">
          <cell r="E2308" t="str">
            <v>45</v>
          </cell>
          <cell r="J2308">
            <v>0</v>
          </cell>
          <cell r="K2308">
            <v>0</v>
          </cell>
          <cell r="AL2308">
            <v>0</v>
          </cell>
          <cell r="BJ2308" t="str">
            <v>RSA</v>
          </cell>
        </row>
        <row r="2309">
          <cell r="E2309" t="str">
            <v>45</v>
          </cell>
          <cell r="J2309">
            <v>0</v>
          </cell>
          <cell r="K2309">
            <v>0</v>
          </cell>
          <cell r="AL2309">
            <v>0</v>
          </cell>
          <cell r="BJ2309" t="str">
            <v>RSA</v>
          </cell>
        </row>
        <row r="2310">
          <cell r="E2310" t="str">
            <v>45</v>
          </cell>
          <cell r="J2310">
            <v>0</v>
          </cell>
          <cell r="K2310">
            <v>0</v>
          </cell>
          <cell r="AL2310">
            <v>0</v>
          </cell>
          <cell r="BJ2310" t="str">
            <v>RSA</v>
          </cell>
        </row>
        <row r="2311">
          <cell r="E2311" t="str">
            <v>45</v>
          </cell>
          <cell r="J2311">
            <v>0</v>
          </cell>
          <cell r="K2311">
            <v>0</v>
          </cell>
          <cell r="AL2311">
            <v>0</v>
          </cell>
          <cell r="BJ2311" t="str">
            <v>RSA</v>
          </cell>
        </row>
        <row r="2312">
          <cell r="E2312" t="str">
            <v>45</v>
          </cell>
          <cell r="J2312">
            <v>0</v>
          </cell>
          <cell r="K2312">
            <v>0</v>
          </cell>
          <cell r="AL2312">
            <v>0</v>
          </cell>
          <cell r="BJ2312" t="str">
            <v>RSA</v>
          </cell>
        </row>
        <row r="2313">
          <cell r="E2313" t="str">
            <v>45</v>
          </cell>
          <cell r="J2313">
            <v>0</v>
          </cell>
          <cell r="K2313">
            <v>0</v>
          </cell>
          <cell r="AL2313">
            <v>0</v>
          </cell>
          <cell r="BJ2313" t="str">
            <v>RSA</v>
          </cell>
        </row>
        <row r="2314">
          <cell r="E2314" t="str">
            <v>50</v>
          </cell>
          <cell r="J2314">
            <v>0</v>
          </cell>
          <cell r="K2314">
            <v>0</v>
          </cell>
          <cell r="AL2314">
            <v>0</v>
          </cell>
          <cell r="BJ2314" t="str">
            <v>RSA</v>
          </cell>
        </row>
        <row r="2315">
          <cell r="E2315" t="str">
            <v>50</v>
          </cell>
          <cell r="J2315">
            <v>0</v>
          </cell>
          <cell r="K2315">
            <v>0</v>
          </cell>
          <cell r="AL2315">
            <v>0</v>
          </cell>
          <cell r="BJ2315" t="str">
            <v>RSA</v>
          </cell>
        </row>
        <row r="2316">
          <cell r="E2316" t="str">
            <v>50</v>
          </cell>
          <cell r="J2316">
            <v>0</v>
          </cell>
          <cell r="K2316">
            <v>0</v>
          </cell>
          <cell r="AL2316">
            <v>0</v>
          </cell>
          <cell r="BJ2316" t="str">
            <v>RSA</v>
          </cell>
        </row>
        <row r="2317">
          <cell r="E2317" t="str">
            <v>50</v>
          </cell>
          <cell r="J2317">
            <v>0</v>
          </cell>
          <cell r="K2317">
            <v>0</v>
          </cell>
          <cell r="AL2317">
            <v>0</v>
          </cell>
          <cell r="BJ2317" t="str">
            <v>RSA</v>
          </cell>
        </row>
        <row r="2318">
          <cell r="E2318" t="str">
            <v>50</v>
          </cell>
          <cell r="J2318">
            <v>0</v>
          </cell>
          <cell r="K2318">
            <v>0</v>
          </cell>
          <cell r="AL2318">
            <v>0</v>
          </cell>
          <cell r="BJ2318" t="str">
            <v>RSA</v>
          </cell>
        </row>
        <row r="2319">
          <cell r="E2319" t="str">
            <v>50</v>
          </cell>
          <cell r="J2319">
            <v>0</v>
          </cell>
          <cell r="K2319">
            <v>0</v>
          </cell>
          <cell r="AL2319">
            <v>0</v>
          </cell>
          <cell r="BJ2319" t="str">
            <v>RSA</v>
          </cell>
        </row>
        <row r="2320">
          <cell r="E2320" t="str">
            <v>50</v>
          </cell>
          <cell r="J2320">
            <v>0</v>
          </cell>
          <cell r="K2320">
            <v>0</v>
          </cell>
          <cell r="AL2320">
            <v>0</v>
          </cell>
          <cell r="BJ2320" t="str">
            <v>RSA</v>
          </cell>
        </row>
        <row r="2321">
          <cell r="E2321" t="str">
            <v>51</v>
          </cell>
          <cell r="J2321">
            <v>0</v>
          </cell>
          <cell r="K2321">
            <v>0</v>
          </cell>
          <cell r="AL2321">
            <v>0</v>
          </cell>
          <cell r="BJ2321" t="str">
            <v>RSA</v>
          </cell>
        </row>
        <row r="2322">
          <cell r="E2322" t="str">
            <v>50</v>
          </cell>
          <cell r="J2322">
            <v>0</v>
          </cell>
          <cell r="K2322">
            <v>0</v>
          </cell>
          <cell r="AL2322">
            <v>0</v>
          </cell>
          <cell r="BJ2322" t="str">
            <v>RSA</v>
          </cell>
        </row>
        <row r="2323">
          <cell r="E2323" t="str">
            <v>50</v>
          </cell>
          <cell r="J2323">
            <v>0</v>
          </cell>
          <cell r="K2323">
            <v>0</v>
          </cell>
          <cell r="AL2323">
            <v>0</v>
          </cell>
          <cell r="BJ2323" t="str">
            <v>RSA</v>
          </cell>
        </row>
        <row r="2324">
          <cell r="E2324" t="str">
            <v>50</v>
          </cell>
          <cell r="J2324">
            <v>0</v>
          </cell>
          <cell r="K2324">
            <v>0</v>
          </cell>
          <cell r="AL2324">
            <v>0</v>
          </cell>
          <cell r="BJ2324" t="str">
            <v>RSA</v>
          </cell>
        </row>
        <row r="2325">
          <cell r="E2325" t="str">
            <v>50</v>
          </cell>
          <cell r="J2325">
            <v>0</v>
          </cell>
          <cell r="K2325">
            <v>0</v>
          </cell>
          <cell r="AL2325">
            <v>0</v>
          </cell>
          <cell r="BJ2325" t="str">
            <v>RSA</v>
          </cell>
        </row>
        <row r="2326">
          <cell r="E2326" t="str">
            <v>50</v>
          </cell>
          <cell r="J2326">
            <v>0</v>
          </cell>
          <cell r="K2326">
            <v>0</v>
          </cell>
          <cell r="AL2326">
            <v>0</v>
          </cell>
          <cell r="BJ2326" t="str">
            <v>RSA</v>
          </cell>
        </row>
        <row r="2327">
          <cell r="E2327" t="str">
            <v>50</v>
          </cell>
          <cell r="J2327">
            <v>0</v>
          </cell>
          <cell r="K2327">
            <v>0</v>
          </cell>
          <cell r="AL2327">
            <v>0</v>
          </cell>
          <cell r="BJ2327" t="str">
            <v>RSA</v>
          </cell>
        </row>
        <row r="2328">
          <cell r="E2328" t="str">
            <v>50</v>
          </cell>
          <cell r="J2328">
            <v>0</v>
          </cell>
          <cell r="K2328">
            <v>0</v>
          </cell>
          <cell r="AL2328">
            <v>0</v>
          </cell>
          <cell r="BJ2328" t="str">
            <v>RSA</v>
          </cell>
        </row>
        <row r="2329">
          <cell r="E2329" t="str">
            <v>50</v>
          </cell>
          <cell r="J2329">
            <v>0</v>
          </cell>
          <cell r="K2329">
            <v>0</v>
          </cell>
          <cell r="AL2329">
            <v>0</v>
          </cell>
          <cell r="BJ2329" t="str">
            <v>RSA</v>
          </cell>
        </row>
        <row r="2330">
          <cell r="E2330" t="str">
            <v>50</v>
          </cell>
          <cell r="J2330">
            <v>0</v>
          </cell>
          <cell r="K2330">
            <v>0</v>
          </cell>
          <cell r="AL2330">
            <v>0</v>
          </cell>
          <cell r="BJ2330" t="str">
            <v>RSA</v>
          </cell>
        </row>
        <row r="2331">
          <cell r="E2331" t="str">
            <v>50</v>
          </cell>
          <cell r="J2331">
            <v>0</v>
          </cell>
          <cell r="K2331">
            <v>0</v>
          </cell>
          <cell r="AL2331">
            <v>0</v>
          </cell>
          <cell r="BJ2331" t="str">
            <v>RSA</v>
          </cell>
        </row>
        <row r="2332">
          <cell r="E2332" t="str">
            <v>50</v>
          </cell>
          <cell r="J2332">
            <v>0</v>
          </cell>
          <cell r="K2332">
            <v>0</v>
          </cell>
          <cell r="AL2332">
            <v>0</v>
          </cell>
          <cell r="BJ2332" t="str">
            <v>RSA</v>
          </cell>
        </row>
        <row r="2333">
          <cell r="E2333" t="str">
            <v>50</v>
          </cell>
          <cell r="J2333">
            <v>0</v>
          </cell>
          <cell r="K2333">
            <v>0</v>
          </cell>
          <cell r="AL2333">
            <v>0</v>
          </cell>
          <cell r="BJ2333" t="str">
            <v>RSA</v>
          </cell>
        </row>
        <row r="2334">
          <cell r="E2334" t="str">
            <v>10</v>
          </cell>
          <cell r="J2334">
            <v>0</v>
          </cell>
          <cell r="K2334">
            <v>0</v>
          </cell>
          <cell r="AL2334">
            <v>0</v>
          </cell>
          <cell r="BJ2334" t="str">
            <v>BOT</v>
          </cell>
        </row>
        <row r="2335">
          <cell r="E2335" t="str">
            <v>10</v>
          </cell>
          <cell r="J2335">
            <v>0</v>
          </cell>
          <cell r="K2335">
            <v>0</v>
          </cell>
          <cell r="AL2335">
            <v>0</v>
          </cell>
          <cell r="BJ2335" t="str">
            <v>BOT</v>
          </cell>
        </row>
        <row r="2336">
          <cell r="E2336" t="str">
            <v>10</v>
          </cell>
          <cell r="J2336">
            <v>0</v>
          </cell>
          <cell r="K2336">
            <v>0</v>
          </cell>
          <cell r="AL2336">
            <v>0</v>
          </cell>
          <cell r="BJ2336" t="str">
            <v>BOT</v>
          </cell>
        </row>
        <row r="2337">
          <cell r="E2337" t="str">
            <v>10</v>
          </cell>
          <cell r="J2337">
            <v>0</v>
          </cell>
          <cell r="K2337">
            <v>0</v>
          </cell>
          <cell r="AL2337">
            <v>0</v>
          </cell>
          <cell r="BJ2337" t="str">
            <v>BOT</v>
          </cell>
        </row>
        <row r="2338">
          <cell r="E2338" t="str">
            <v>10</v>
          </cell>
          <cell r="J2338">
            <v>0</v>
          </cell>
          <cell r="K2338">
            <v>0</v>
          </cell>
          <cell r="AL2338">
            <v>0</v>
          </cell>
          <cell r="BJ2338" t="str">
            <v>BOT</v>
          </cell>
        </row>
        <row r="2339">
          <cell r="E2339" t="str">
            <v>10</v>
          </cell>
          <cell r="J2339">
            <v>0</v>
          </cell>
          <cell r="K2339">
            <v>0</v>
          </cell>
          <cell r="AL2339">
            <v>0</v>
          </cell>
          <cell r="BJ2339" t="str">
            <v>BOT</v>
          </cell>
        </row>
        <row r="2340">
          <cell r="E2340" t="str">
            <v>10</v>
          </cell>
          <cell r="J2340">
            <v>0</v>
          </cell>
          <cell r="K2340">
            <v>0</v>
          </cell>
          <cell r="AL2340">
            <v>0</v>
          </cell>
          <cell r="BJ2340" t="str">
            <v>BOT</v>
          </cell>
        </row>
        <row r="2341">
          <cell r="E2341" t="str">
            <v>10</v>
          </cell>
          <cell r="J2341">
            <v>0</v>
          </cell>
          <cell r="K2341">
            <v>0</v>
          </cell>
          <cell r="AL2341">
            <v>0</v>
          </cell>
          <cell r="BJ2341" t="str">
            <v>BOT</v>
          </cell>
        </row>
        <row r="2342">
          <cell r="E2342" t="str">
            <v>10</v>
          </cell>
          <cell r="J2342">
            <v>0</v>
          </cell>
          <cell r="K2342">
            <v>0</v>
          </cell>
          <cell r="AL2342">
            <v>0</v>
          </cell>
          <cell r="BJ2342" t="str">
            <v>BOT</v>
          </cell>
        </row>
        <row r="2343">
          <cell r="E2343" t="str">
            <v>10</v>
          </cell>
          <cell r="J2343">
            <v>0</v>
          </cell>
          <cell r="K2343">
            <v>0</v>
          </cell>
          <cell r="AL2343">
            <v>0</v>
          </cell>
          <cell r="BJ2343" t="str">
            <v>BOT</v>
          </cell>
        </row>
        <row r="2344">
          <cell r="E2344" t="str">
            <v>10</v>
          </cell>
          <cell r="J2344">
            <v>0</v>
          </cell>
          <cell r="K2344">
            <v>0</v>
          </cell>
          <cell r="AL2344">
            <v>0</v>
          </cell>
          <cell r="BJ2344" t="str">
            <v>BOT</v>
          </cell>
        </row>
        <row r="2345">
          <cell r="E2345" t="str">
            <v>10</v>
          </cell>
          <cell r="J2345">
            <v>0</v>
          </cell>
          <cell r="K2345">
            <v>0</v>
          </cell>
          <cell r="AL2345">
            <v>0</v>
          </cell>
          <cell r="BJ2345" t="str">
            <v>BOT</v>
          </cell>
        </row>
        <row r="2346">
          <cell r="E2346" t="str">
            <v>10</v>
          </cell>
          <cell r="J2346">
            <v>0</v>
          </cell>
          <cell r="K2346">
            <v>0</v>
          </cell>
          <cell r="AL2346">
            <v>0</v>
          </cell>
          <cell r="BJ2346" t="str">
            <v>BOT</v>
          </cell>
        </row>
        <row r="2347">
          <cell r="E2347" t="str">
            <v>10</v>
          </cell>
          <cell r="J2347">
            <v>0</v>
          </cell>
          <cell r="K2347">
            <v>0</v>
          </cell>
          <cell r="AL2347">
            <v>0</v>
          </cell>
          <cell r="BJ2347" t="str">
            <v>BOT</v>
          </cell>
        </row>
        <row r="2348">
          <cell r="E2348" t="str">
            <v>10</v>
          </cell>
          <cell r="J2348">
            <v>0</v>
          </cell>
          <cell r="K2348">
            <v>0</v>
          </cell>
          <cell r="AL2348">
            <v>0</v>
          </cell>
          <cell r="BJ2348" t="str">
            <v>BOT</v>
          </cell>
        </row>
        <row r="2349">
          <cell r="E2349" t="str">
            <v>10</v>
          </cell>
          <cell r="J2349">
            <v>0</v>
          </cell>
          <cell r="K2349">
            <v>0</v>
          </cell>
          <cell r="AL2349">
            <v>0</v>
          </cell>
          <cell r="BJ2349" t="str">
            <v>BOT</v>
          </cell>
        </row>
        <row r="2350">
          <cell r="E2350" t="str">
            <v>10</v>
          </cell>
          <cell r="J2350">
            <v>0</v>
          </cell>
          <cell r="K2350">
            <v>0</v>
          </cell>
          <cell r="AL2350">
            <v>0</v>
          </cell>
          <cell r="BJ2350" t="str">
            <v>BOT</v>
          </cell>
        </row>
        <row r="2351">
          <cell r="E2351" t="str">
            <v>10</v>
          </cell>
          <cell r="J2351">
            <v>0</v>
          </cell>
          <cell r="K2351">
            <v>0</v>
          </cell>
          <cell r="AL2351">
            <v>0</v>
          </cell>
          <cell r="BJ2351" t="str">
            <v>BOT</v>
          </cell>
        </row>
        <row r="2352">
          <cell r="E2352" t="str">
            <v>10</v>
          </cell>
          <cell r="J2352">
            <v>0</v>
          </cell>
          <cell r="K2352">
            <v>0</v>
          </cell>
          <cell r="AL2352">
            <v>0</v>
          </cell>
          <cell r="BJ2352" t="str">
            <v>BOT</v>
          </cell>
        </row>
        <row r="2353">
          <cell r="E2353" t="str">
            <v>10</v>
          </cell>
          <cell r="J2353">
            <v>0</v>
          </cell>
          <cell r="K2353">
            <v>0</v>
          </cell>
          <cell r="AL2353">
            <v>0</v>
          </cell>
          <cell r="BJ2353" t="str">
            <v>BOT</v>
          </cell>
        </row>
        <row r="2354">
          <cell r="E2354" t="str">
            <v>10</v>
          </cell>
          <cell r="J2354">
            <v>0</v>
          </cell>
          <cell r="K2354">
            <v>0</v>
          </cell>
          <cell r="AL2354">
            <v>0</v>
          </cell>
          <cell r="BJ2354" t="str">
            <v>BOT</v>
          </cell>
        </row>
        <row r="2355">
          <cell r="E2355" t="str">
            <v>10</v>
          </cell>
          <cell r="J2355">
            <v>0</v>
          </cell>
          <cell r="K2355">
            <v>0</v>
          </cell>
          <cell r="AL2355">
            <v>0</v>
          </cell>
          <cell r="BJ2355" t="str">
            <v>BOT</v>
          </cell>
        </row>
        <row r="2356">
          <cell r="E2356" t="str">
            <v>10</v>
          </cell>
          <cell r="J2356">
            <v>0</v>
          </cell>
          <cell r="K2356">
            <v>0</v>
          </cell>
          <cell r="AL2356">
            <v>0</v>
          </cell>
          <cell r="BJ2356" t="str">
            <v>BOT</v>
          </cell>
        </row>
        <row r="2357">
          <cell r="E2357" t="str">
            <v>10</v>
          </cell>
          <cell r="J2357">
            <v>0</v>
          </cell>
          <cell r="K2357">
            <v>0</v>
          </cell>
          <cell r="AL2357">
            <v>0</v>
          </cell>
          <cell r="BJ2357" t="str">
            <v>BOT</v>
          </cell>
        </row>
        <row r="2358">
          <cell r="E2358" t="str">
            <v>10</v>
          </cell>
          <cell r="J2358">
            <v>0</v>
          </cell>
          <cell r="K2358">
            <v>0</v>
          </cell>
          <cell r="AL2358">
            <v>0</v>
          </cell>
          <cell r="BJ2358" t="str">
            <v>BOT</v>
          </cell>
        </row>
        <row r="2359">
          <cell r="E2359" t="str">
            <v>10</v>
          </cell>
          <cell r="J2359">
            <v>0</v>
          </cell>
          <cell r="K2359">
            <v>0</v>
          </cell>
          <cell r="AL2359">
            <v>0</v>
          </cell>
          <cell r="BJ2359" t="str">
            <v>BOT</v>
          </cell>
        </row>
        <row r="2360">
          <cell r="E2360" t="str">
            <v>10</v>
          </cell>
          <cell r="J2360">
            <v>0</v>
          </cell>
          <cell r="K2360">
            <v>0</v>
          </cell>
          <cell r="AL2360">
            <v>0</v>
          </cell>
          <cell r="BJ2360" t="str">
            <v>BOT</v>
          </cell>
        </row>
        <row r="2361">
          <cell r="E2361" t="str">
            <v>11</v>
          </cell>
          <cell r="J2361">
            <v>0</v>
          </cell>
          <cell r="K2361">
            <v>0</v>
          </cell>
          <cell r="AL2361">
            <v>0</v>
          </cell>
          <cell r="BJ2361" t="str">
            <v>BOT</v>
          </cell>
        </row>
        <row r="2362">
          <cell r="E2362" t="str">
            <v>11</v>
          </cell>
          <cell r="J2362">
            <v>0</v>
          </cell>
          <cell r="K2362">
            <v>0</v>
          </cell>
          <cell r="AL2362">
            <v>0</v>
          </cell>
          <cell r="BJ2362" t="str">
            <v>BOT</v>
          </cell>
        </row>
        <row r="2363">
          <cell r="E2363" t="str">
            <v>11</v>
          </cell>
          <cell r="J2363">
            <v>0</v>
          </cell>
          <cell r="K2363">
            <v>0</v>
          </cell>
          <cell r="AL2363">
            <v>0</v>
          </cell>
          <cell r="BJ2363" t="str">
            <v>BOT</v>
          </cell>
        </row>
        <row r="2364">
          <cell r="E2364" t="str">
            <v>11</v>
          </cell>
          <cell r="J2364">
            <v>0</v>
          </cell>
          <cell r="K2364">
            <v>0</v>
          </cell>
          <cell r="AL2364">
            <v>0</v>
          </cell>
          <cell r="BJ2364" t="str">
            <v>BOT</v>
          </cell>
        </row>
        <row r="2365">
          <cell r="E2365" t="str">
            <v>11</v>
          </cell>
          <cell r="J2365">
            <v>0</v>
          </cell>
          <cell r="K2365">
            <v>0</v>
          </cell>
          <cell r="AL2365">
            <v>0</v>
          </cell>
          <cell r="BJ2365" t="str">
            <v>BOT</v>
          </cell>
        </row>
        <row r="2366">
          <cell r="E2366" t="str">
            <v>11</v>
          </cell>
          <cell r="J2366">
            <v>0</v>
          </cell>
          <cell r="K2366">
            <v>0</v>
          </cell>
          <cell r="AL2366">
            <v>0</v>
          </cell>
          <cell r="BJ2366" t="str">
            <v>BOT</v>
          </cell>
        </row>
        <row r="2367">
          <cell r="E2367" t="str">
            <v>11</v>
          </cell>
          <cell r="J2367">
            <v>0</v>
          </cell>
          <cell r="K2367">
            <v>0</v>
          </cell>
          <cell r="AL2367">
            <v>0</v>
          </cell>
          <cell r="BJ2367" t="str">
            <v>BOT</v>
          </cell>
        </row>
        <row r="2368">
          <cell r="E2368" t="str">
            <v>11</v>
          </cell>
          <cell r="J2368">
            <v>0</v>
          </cell>
          <cell r="K2368">
            <v>0</v>
          </cell>
          <cell r="AL2368">
            <v>0</v>
          </cell>
          <cell r="BJ2368" t="str">
            <v>BOT</v>
          </cell>
        </row>
        <row r="2369">
          <cell r="E2369" t="str">
            <v>11</v>
          </cell>
          <cell r="J2369">
            <v>0</v>
          </cell>
          <cell r="K2369">
            <v>0</v>
          </cell>
          <cell r="AL2369">
            <v>0</v>
          </cell>
          <cell r="BJ2369" t="str">
            <v>BOT</v>
          </cell>
        </row>
        <row r="2370">
          <cell r="E2370" t="str">
            <v>11</v>
          </cell>
          <cell r="J2370">
            <v>0</v>
          </cell>
          <cell r="K2370">
            <v>0</v>
          </cell>
          <cell r="AL2370">
            <v>0</v>
          </cell>
          <cell r="BJ2370" t="str">
            <v>BOT</v>
          </cell>
        </row>
        <row r="2371">
          <cell r="E2371" t="str">
            <v>11</v>
          </cell>
          <cell r="J2371">
            <v>0</v>
          </cell>
          <cell r="K2371">
            <v>0</v>
          </cell>
          <cell r="AL2371">
            <v>0</v>
          </cell>
          <cell r="BJ2371" t="str">
            <v>BOT</v>
          </cell>
        </row>
        <row r="2372">
          <cell r="E2372" t="str">
            <v>11</v>
          </cell>
          <cell r="J2372">
            <v>0</v>
          </cell>
          <cell r="K2372">
            <v>0</v>
          </cell>
          <cell r="AL2372">
            <v>0</v>
          </cell>
          <cell r="BJ2372" t="str">
            <v>BOT</v>
          </cell>
        </row>
        <row r="2373">
          <cell r="E2373" t="str">
            <v>11</v>
          </cell>
          <cell r="J2373">
            <v>0</v>
          </cell>
          <cell r="K2373">
            <v>0</v>
          </cell>
          <cell r="AL2373">
            <v>0</v>
          </cell>
          <cell r="BJ2373" t="str">
            <v>BOT</v>
          </cell>
        </row>
        <row r="2374">
          <cell r="E2374" t="str">
            <v>11</v>
          </cell>
          <cell r="J2374">
            <v>0</v>
          </cell>
          <cell r="K2374">
            <v>0</v>
          </cell>
          <cell r="AL2374">
            <v>0</v>
          </cell>
          <cell r="BJ2374" t="str">
            <v>BOT</v>
          </cell>
        </row>
        <row r="2375">
          <cell r="E2375" t="str">
            <v>11</v>
          </cell>
          <cell r="J2375">
            <v>0</v>
          </cell>
          <cell r="K2375">
            <v>0</v>
          </cell>
          <cell r="AL2375">
            <v>0</v>
          </cell>
          <cell r="BJ2375" t="str">
            <v>BOT</v>
          </cell>
        </row>
        <row r="2376">
          <cell r="E2376" t="str">
            <v>11</v>
          </cell>
          <cell r="J2376">
            <v>0</v>
          </cell>
          <cell r="K2376">
            <v>0</v>
          </cell>
          <cell r="AL2376">
            <v>0</v>
          </cell>
          <cell r="BJ2376" t="str">
            <v>BOT</v>
          </cell>
        </row>
        <row r="2377">
          <cell r="E2377" t="str">
            <v>11</v>
          </cell>
          <cell r="J2377">
            <v>0</v>
          </cell>
          <cell r="K2377">
            <v>0</v>
          </cell>
          <cell r="AL2377">
            <v>0</v>
          </cell>
          <cell r="BJ2377" t="str">
            <v>BOT</v>
          </cell>
        </row>
        <row r="2378">
          <cell r="E2378" t="str">
            <v>11</v>
          </cell>
          <cell r="J2378">
            <v>0</v>
          </cell>
          <cell r="K2378">
            <v>0</v>
          </cell>
          <cell r="AL2378">
            <v>0</v>
          </cell>
          <cell r="BJ2378" t="str">
            <v>BOT</v>
          </cell>
        </row>
        <row r="2379">
          <cell r="E2379" t="str">
            <v>11</v>
          </cell>
          <cell r="J2379">
            <v>0</v>
          </cell>
          <cell r="K2379">
            <v>0</v>
          </cell>
          <cell r="AL2379">
            <v>0</v>
          </cell>
          <cell r="BJ2379" t="str">
            <v>BOT</v>
          </cell>
        </row>
        <row r="2380">
          <cell r="E2380" t="str">
            <v>11</v>
          </cell>
          <cell r="J2380">
            <v>0</v>
          </cell>
          <cell r="K2380">
            <v>0</v>
          </cell>
          <cell r="AL2380">
            <v>0</v>
          </cell>
          <cell r="BJ2380" t="str">
            <v>BOT</v>
          </cell>
        </row>
        <row r="2381">
          <cell r="E2381" t="str">
            <v>11</v>
          </cell>
          <cell r="J2381">
            <v>0</v>
          </cell>
          <cell r="K2381">
            <v>0</v>
          </cell>
          <cell r="AL2381">
            <v>0</v>
          </cell>
          <cell r="BJ2381" t="str">
            <v>BOT</v>
          </cell>
        </row>
        <row r="2382">
          <cell r="E2382" t="str">
            <v>11</v>
          </cell>
          <cell r="J2382">
            <v>0</v>
          </cell>
          <cell r="K2382">
            <v>0</v>
          </cell>
          <cell r="AL2382">
            <v>0</v>
          </cell>
          <cell r="BJ2382" t="str">
            <v>BOT</v>
          </cell>
        </row>
        <row r="2383">
          <cell r="E2383" t="str">
            <v>11</v>
          </cell>
          <cell r="J2383">
            <v>0</v>
          </cell>
          <cell r="K2383">
            <v>0</v>
          </cell>
          <cell r="AL2383">
            <v>0</v>
          </cell>
          <cell r="BJ2383" t="str">
            <v>BOT</v>
          </cell>
        </row>
        <row r="2384">
          <cell r="E2384" t="str">
            <v>11</v>
          </cell>
          <cell r="J2384">
            <v>0</v>
          </cell>
          <cell r="K2384">
            <v>0</v>
          </cell>
          <cell r="AL2384">
            <v>0</v>
          </cell>
          <cell r="BJ2384" t="str">
            <v>BOT</v>
          </cell>
        </row>
        <row r="2385">
          <cell r="E2385" t="str">
            <v>11</v>
          </cell>
          <cell r="J2385">
            <v>0</v>
          </cell>
          <cell r="K2385">
            <v>0</v>
          </cell>
          <cell r="AL2385">
            <v>0</v>
          </cell>
          <cell r="BJ2385" t="str">
            <v>BOT</v>
          </cell>
        </row>
        <row r="2386">
          <cell r="E2386" t="str">
            <v>11</v>
          </cell>
          <cell r="J2386">
            <v>0</v>
          </cell>
          <cell r="K2386">
            <v>0</v>
          </cell>
          <cell r="AL2386">
            <v>0</v>
          </cell>
          <cell r="BJ2386" t="str">
            <v>BOT</v>
          </cell>
        </row>
        <row r="2387">
          <cell r="E2387" t="str">
            <v>11</v>
          </cell>
          <cell r="J2387">
            <v>0</v>
          </cell>
          <cell r="K2387">
            <v>0</v>
          </cell>
          <cell r="AL2387">
            <v>0</v>
          </cell>
          <cell r="BJ2387" t="str">
            <v>BOT</v>
          </cell>
        </row>
        <row r="2388">
          <cell r="E2388" t="str">
            <v>11</v>
          </cell>
          <cell r="J2388">
            <v>0</v>
          </cell>
          <cell r="K2388">
            <v>0</v>
          </cell>
          <cell r="AL2388">
            <v>0</v>
          </cell>
          <cell r="BJ2388" t="str">
            <v>BOT</v>
          </cell>
        </row>
        <row r="2389">
          <cell r="E2389" t="str">
            <v>11</v>
          </cell>
          <cell r="J2389">
            <v>0</v>
          </cell>
          <cell r="K2389">
            <v>0</v>
          </cell>
          <cell r="AL2389">
            <v>0</v>
          </cell>
          <cell r="BJ2389" t="str">
            <v>BOT</v>
          </cell>
        </row>
        <row r="2390">
          <cell r="E2390" t="str">
            <v>11</v>
          </cell>
          <cell r="J2390">
            <v>0</v>
          </cell>
          <cell r="K2390">
            <v>0</v>
          </cell>
          <cell r="AL2390">
            <v>0</v>
          </cell>
          <cell r="BJ2390">
            <v>0</v>
          </cell>
        </row>
        <row r="2391">
          <cell r="E2391" t="str">
            <v>11</v>
          </cell>
          <cell r="J2391">
            <v>0</v>
          </cell>
          <cell r="K2391">
            <v>0</v>
          </cell>
          <cell r="AL2391">
            <v>0</v>
          </cell>
          <cell r="BJ2391" t="str">
            <v>BOT</v>
          </cell>
        </row>
        <row r="2392">
          <cell r="E2392" t="str">
            <v>11</v>
          </cell>
          <cell r="J2392">
            <v>0</v>
          </cell>
          <cell r="K2392">
            <v>0</v>
          </cell>
          <cell r="AL2392">
            <v>0</v>
          </cell>
          <cell r="BJ2392" t="str">
            <v>BOT</v>
          </cell>
        </row>
        <row r="2393">
          <cell r="E2393" t="str">
            <v>11</v>
          </cell>
          <cell r="J2393">
            <v>0</v>
          </cell>
          <cell r="K2393">
            <v>0</v>
          </cell>
          <cell r="AL2393">
            <v>0</v>
          </cell>
          <cell r="BJ2393" t="str">
            <v>BOT</v>
          </cell>
        </row>
        <row r="2394">
          <cell r="E2394" t="str">
            <v>11</v>
          </cell>
          <cell r="J2394">
            <v>0</v>
          </cell>
          <cell r="K2394">
            <v>0</v>
          </cell>
          <cell r="AL2394">
            <v>0</v>
          </cell>
          <cell r="BJ2394" t="str">
            <v>BOT</v>
          </cell>
        </row>
        <row r="2395">
          <cell r="E2395" t="str">
            <v>11</v>
          </cell>
          <cell r="J2395">
            <v>0</v>
          </cell>
          <cell r="K2395">
            <v>0</v>
          </cell>
          <cell r="AL2395">
            <v>0</v>
          </cell>
          <cell r="BJ2395" t="str">
            <v>BOT</v>
          </cell>
        </row>
        <row r="2396">
          <cell r="E2396" t="str">
            <v>11</v>
          </cell>
          <cell r="J2396">
            <v>0</v>
          </cell>
          <cell r="K2396">
            <v>0</v>
          </cell>
          <cell r="AL2396">
            <v>0</v>
          </cell>
          <cell r="BJ2396" t="str">
            <v>BOT</v>
          </cell>
        </row>
        <row r="2397">
          <cell r="E2397" t="str">
            <v>13</v>
          </cell>
          <cell r="J2397">
            <v>0</v>
          </cell>
          <cell r="K2397">
            <v>0</v>
          </cell>
          <cell r="AL2397">
            <v>0</v>
          </cell>
          <cell r="BJ2397" t="str">
            <v>BOT</v>
          </cell>
        </row>
        <row r="2398">
          <cell r="E2398" t="str">
            <v>13</v>
          </cell>
          <cell r="J2398">
            <v>0</v>
          </cell>
          <cell r="K2398">
            <v>0</v>
          </cell>
          <cell r="AL2398">
            <v>0</v>
          </cell>
          <cell r="BJ2398" t="str">
            <v>BOT</v>
          </cell>
        </row>
        <row r="2399">
          <cell r="E2399" t="str">
            <v>13</v>
          </cell>
          <cell r="J2399">
            <v>0</v>
          </cell>
          <cell r="K2399">
            <v>0</v>
          </cell>
          <cell r="AL2399">
            <v>0</v>
          </cell>
          <cell r="BJ2399" t="str">
            <v>BOT</v>
          </cell>
        </row>
        <row r="2400">
          <cell r="E2400" t="str">
            <v>13</v>
          </cell>
          <cell r="J2400">
            <v>0</v>
          </cell>
          <cell r="K2400">
            <v>0</v>
          </cell>
          <cell r="AL2400">
            <v>0</v>
          </cell>
          <cell r="BJ2400" t="str">
            <v>BOT</v>
          </cell>
        </row>
        <row r="2401">
          <cell r="E2401" t="str">
            <v>13</v>
          </cell>
          <cell r="J2401">
            <v>0</v>
          </cell>
          <cell r="K2401">
            <v>0</v>
          </cell>
          <cell r="AL2401">
            <v>0</v>
          </cell>
          <cell r="BJ2401" t="str">
            <v>BOT</v>
          </cell>
        </row>
        <row r="2402">
          <cell r="E2402" t="str">
            <v>13</v>
          </cell>
          <cell r="J2402">
            <v>0</v>
          </cell>
          <cell r="K2402">
            <v>0</v>
          </cell>
          <cell r="AL2402">
            <v>0</v>
          </cell>
          <cell r="BJ2402" t="str">
            <v>BOT</v>
          </cell>
        </row>
        <row r="2403">
          <cell r="E2403" t="str">
            <v>13</v>
          </cell>
          <cell r="J2403">
            <v>0</v>
          </cell>
          <cell r="K2403">
            <v>0</v>
          </cell>
          <cell r="AL2403">
            <v>0</v>
          </cell>
          <cell r="BJ2403" t="str">
            <v>BOT</v>
          </cell>
        </row>
        <row r="2404">
          <cell r="E2404" t="str">
            <v>13</v>
          </cell>
          <cell r="J2404">
            <v>0</v>
          </cell>
          <cell r="K2404">
            <v>0</v>
          </cell>
          <cell r="AL2404">
            <v>0</v>
          </cell>
          <cell r="BJ2404" t="str">
            <v>BOT</v>
          </cell>
        </row>
        <row r="2405">
          <cell r="E2405" t="str">
            <v>13</v>
          </cell>
          <cell r="J2405">
            <v>0</v>
          </cell>
          <cell r="K2405">
            <v>0</v>
          </cell>
          <cell r="AL2405">
            <v>0</v>
          </cell>
          <cell r="BJ2405" t="str">
            <v>BOT</v>
          </cell>
        </row>
        <row r="2406">
          <cell r="E2406" t="str">
            <v>13</v>
          </cell>
          <cell r="J2406">
            <v>0</v>
          </cell>
          <cell r="K2406">
            <v>0</v>
          </cell>
          <cell r="AL2406">
            <v>0</v>
          </cell>
          <cell r="BJ2406" t="str">
            <v>BOT</v>
          </cell>
        </row>
        <row r="2407">
          <cell r="E2407" t="str">
            <v>13</v>
          </cell>
          <cell r="J2407">
            <v>0</v>
          </cell>
          <cell r="K2407">
            <v>0</v>
          </cell>
          <cell r="AL2407">
            <v>0</v>
          </cell>
          <cell r="BJ2407" t="str">
            <v>BOT</v>
          </cell>
        </row>
        <row r="2408">
          <cell r="E2408" t="str">
            <v>13</v>
          </cell>
          <cell r="J2408">
            <v>0</v>
          </cell>
          <cell r="K2408">
            <v>0</v>
          </cell>
          <cell r="AL2408">
            <v>0</v>
          </cell>
          <cell r="BJ2408" t="str">
            <v>BOT</v>
          </cell>
        </row>
        <row r="2409">
          <cell r="E2409" t="str">
            <v>13</v>
          </cell>
          <cell r="J2409">
            <v>0</v>
          </cell>
          <cell r="K2409">
            <v>0</v>
          </cell>
          <cell r="AL2409">
            <v>0</v>
          </cell>
          <cell r="BJ2409" t="str">
            <v>BOT</v>
          </cell>
        </row>
        <row r="2410">
          <cell r="E2410" t="str">
            <v>13</v>
          </cell>
          <cell r="J2410">
            <v>0</v>
          </cell>
          <cell r="K2410">
            <v>0</v>
          </cell>
          <cell r="AL2410">
            <v>0</v>
          </cell>
          <cell r="BJ2410" t="str">
            <v>BOT</v>
          </cell>
        </row>
        <row r="2411">
          <cell r="E2411" t="str">
            <v>13</v>
          </cell>
          <cell r="J2411">
            <v>0</v>
          </cell>
          <cell r="K2411">
            <v>0</v>
          </cell>
          <cell r="AL2411">
            <v>0</v>
          </cell>
          <cell r="BJ2411" t="str">
            <v>BOT</v>
          </cell>
        </row>
        <row r="2412">
          <cell r="E2412" t="str">
            <v>13</v>
          </cell>
          <cell r="J2412">
            <v>0</v>
          </cell>
          <cell r="K2412">
            <v>0</v>
          </cell>
          <cell r="AL2412">
            <v>0</v>
          </cell>
          <cell r="BJ2412" t="str">
            <v>BOT</v>
          </cell>
        </row>
        <row r="2413">
          <cell r="E2413" t="str">
            <v>13</v>
          </cell>
          <cell r="J2413">
            <v>0</v>
          </cell>
          <cell r="K2413">
            <v>0</v>
          </cell>
          <cell r="AL2413">
            <v>0</v>
          </cell>
          <cell r="BJ2413" t="str">
            <v>BOT</v>
          </cell>
        </row>
        <row r="2414">
          <cell r="E2414" t="str">
            <v>13</v>
          </cell>
          <cell r="J2414">
            <v>0</v>
          </cell>
          <cell r="K2414">
            <v>0</v>
          </cell>
          <cell r="AL2414">
            <v>0</v>
          </cell>
          <cell r="BJ2414" t="str">
            <v>BOT</v>
          </cell>
        </row>
        <row r="2415">
          <cell r="E2415" t="str">
            <v>13</v>
          </cell>
          <cell r="J2415">
            <v>0</v>
          </cell>
          <cell r="K2415">
            <v>0</v>
          </cell>
          <cell r="AL2415">
            <v>0</v>
          </cell>
          <cell r="BJ2415" t="str">
            <v>BOT</v>
          </cell>
        </row>
        <row r="2416">
          <cell r="E2416" t="str">
            <v>13</v>
          </cell>
          <cell r="J2416">
            <v>0</v>
          </cell>
          <cell r="K2416">
            <v>0</v>
          </cell>
          <cell r="AL2416">
            <v>0</v>
          </cell>
          <cell r="BJ2416" t="str">
            <v>BOT</v>
          </cell>
        </row>
        <row r="2417">
          <cell r="E2417" t="str">
            <v>13</v>
          </cell>
          <cell r="J2417">
            <v>0</v>
          </cell>
          <cell r="K2417">
            <v>0</v>
          </cell>
          <cell r="AL2417">
            <v>0</v>
          </cell>
          <cell r="BJ2417" t="str">
            <v>BOT</v>
          </cell>
        </row>
        <row r="2418">
          <cell r="E2418" t="str">
            <v>13</v>
          </cell>
          <cell r="J2418">
            <v>0</v>
          </cell>
          <cell r="K2418">
            <v>0</v>
          </cell>
          <cell r="AL2418">
            <v>0</v>
          </cell>
          <cell r="BJ2418" t="str">
            <v>BOT</v>
          </cell>
        </row>
        <row r="2419">
          <cell r="E2419" t="str">
            <v>13</v>
          </cell>
          <cell r="J2419">
            <v>0</v>
          </cell>
          <cell r="K2419">
            <v>0</v>
          </cell>
          <cell r="AL2419">
            <v>0</v>
          </cell>
          <cell r="BJ2419" t="str">
            <v>BOT</v>
          </cell>
        </row>
        <row r="2420">
          <cell r="E2420" t="str">
            <v>13</v>
          </cell>
          <cell r="J2420">
            <v>0</v>
          </cell>
          <cell r="K2420">
            <v>0</v>
          </cell>
          <cell r="AL2420">
            <v>0</v>
          </cell>
          <cell r="BJ2420" t="str">
            <v>BOT</v>
          </cell>
        </row>
        <row r="2421">
          <cell r="E2421" t="str">
            <v>13</v>
          </cell>
          <cell r="J2421">
            <v>0</v>
          </cell>
          <cell r="K2421">
            <v>0</v>
          </cell>
          <cell r="AL2421">
            <v>0</v>
          </cell>
          <cell r="BJ2421" t="str">
            <v>BOT</v>
          </cell>
        </row>
        <row r="2422">
          <cell r="E2422" t="str">
            <v>13</v>
          </cell>
          <cell r="J2422">
            <v>0</v>
          </cell>
          <cell r="K2422">
            <v>0</v>
          </cell>
          <cell r="AL2422">
            <v>0</v>
          </cell>
          <cell r="BJ2422" t="str">
            <v>BOT</v>
          </cell>
        </row>
        <row r="2423">
          <cell r="E2423" t="str">
            <v>13</v>
          </cell>
          <cell r="J2423">
            <v>0</v>
          </cell>
          <cell r="K2423">
            <v>0</v>
          </cell>
          <cell r="AL2423">
            <v>0</v>
          </cell>
          <cell r="BJ2423" t="str">
            <v>BOT</v>
          </cell>
        </row>
        <row r="2424">
          <cell r="E2424" t="str">
            <v>13</v>
          </cell>
          <cell r="J2424">
            <v>0</v>
          </cell>
          <cell r="K2424">
            <v>0</v>
          </cell>
          <cell r="AL2424">
            <v>0</v>
          </cell>
          <cell r="BJ2424" t="str">
            <v>BOT</v>
          </cell>
        </row>
        <row r="2425">
          <cell r="E2425" t="str">
            <v>13</v>
          </cell>
          <cell r="J2425">
            <v>0</v>
          </cell>
          <cell r="K2425">
            <v>0</v>
          </cell>
          <cell r="AL2425">
            <v>0</v>
          </cell>
          <cell r="BJ2425" t="str">
            <v>BOT</v>
          </cell>
        </row>
        <row r="2426">
          <cell r="E2426" t="str">
            <v>13</v>
          </cell>
          <cell r="J2426">
            <v>0</v>
          </cell>
          <cell r="K2426">
            <v>0</v>
          </cell>
          <cell r="AL2426">
            <v>0</v>
          </cell>
          <cell r="BJ2426" t="str">
            <v>BOT</v>
          </cell>
        </row>
        <row r="2427">
          <cell r="E2427" t="str">
            <v>13</v>
          </cell>
          <cell r="J2427">
            <v>0</v>
          </cell>
          <cell r="K2427">
            <v>0</v>
          </cell>
          <cell r="AL2427">
            <v>0</v>
          </cell>
          <cell r="BJ2427" t="str">
            <v>BOT</v>
          </cell>
        </row>
        <row r="2428">
          <cell r="E2428" t="str">
            <v>13</v>
          </cell>
          <cell r="J2428">
            <v>0</v>
          </cell>
          <cell r="K2428">
            <v>0</v>
          </cell>
          <cell r="AL2428">
            <v>0</v>
          </cell>
          <cell r="BJ2428" t="str">
            <v>BOT</v>
          </cell>
        </row>
        <row r="2429">
          <cell r="E2429" t="str">
            <v>13</v>
          </cell>
          <cell r="J2429">
            <v>0</v>
          </cell>
          <cell r="K2429">
            <v>0</v>
          </cell>
          <cell r="AL2429">
            <v>0</v>
          </cell>
          <cell r="BJ2429" t="str">
            <v>BOT</v>
          </cell>
        </row>
        <row r="2430">
          <cell r="E2430" t="str">
            <v>13</v>
          </cell>
          <cell r="J2430">
            <v>0</v>
          </cell>
          <cell r="K2430">
            <v>0</v>
          </cell>
          <cell r="AL2430">
            <v>0</v>
          </cell>
          <cell r="BJ2430" t="str">
            <v>BOT</v>
          </cell>
        </row>
        <row r="2431">
          <cell r="E2431" t="str">
            <v>13</v>
          </cell>
          <cell r="J2431">
            <v>0</v>
          </cell>
          <cell r="K2431">
            <v>0</v>
          </cell>
          <cell r="AL2431">
            <v>0</v>
          </cell>
          <cell r="BJ2431" t="str">
            <v>BOT</v>
          </cell>
        </row>
        <row r="2432">
          <cell r="E2432" t="str">
            <v>13</v>
          </cell>
          <cell r="J2432">
            <v>0</v>
          </cell>
          <cell r="K2432">
            <v>0</v>
          </cell>
          <cell r="AL2432">
            <v>0</v>
          </cell>
          <cell r="BJ2432" t="str">
            <v>BOT</v>
          </cell>
        </row>
        <row r="2433">
          <cell r="E2433" t="str">
            <v>13</v>
          </cell>
          <cell r="J2433">
            <v>0</v>
          </cell>
          <cell r="K2433">
            <v>0</v>
          </cell>
          <cell r="AL2433">
            <v>0</v>
          </cell>
          <cell r="BJ2433" t="str">
            <v>BOT</v>
          </cell>
        </row>
        <row r="2434">
          <cell r="E2434" t="str">
            <v>13</v>
          </cell>
          <cell r="J2434">
            <v>0</v>
          </cell>
          <cell r="K2434">
            <v>0</v>
          </cell>
          <cell r="AL2434">
            <v>0</v>
          </cell>
          <cell r="BJ2434" t="str">
            <v>BOT</v>
          </cell>
        </row>
        <row r="2435">
          <cell r="E2435" t="str">
            <v>13</v>
          </cell>
          <cell r="J2435">
            <v>0</v>
          </cell>
          <cell r="K2435">
            <v>0</v>
          </cell>
          <cell r="AL2435">
            <v>0</v>
          </cell>
          <cell r="BJ2435" t="str">
            <v>BOT</v>
          </cell>
        </row>
        <row r="2436">
          <cell r="E2436" t="str">
            <v>13</v>
          </cell>
          <cell r="J2436">
            <v>0</v>
          </cell>
          <cell r="K2436">
            <v>0</v>
          </cell>
          <cell r="AL2436">
            <v>0</v>
          </cell>
          <cell r="BJ2436" t="str">
            <v>BOT</v>
          </cell>
        </row>
        <row r="2437">
          <cell r="E2437" t="str">
            <v>13</v>
          </cell>
          <cell r="J2437">
            <v>0</v>
          </cell>
          <cell r="K2437">
            <v>0</v>
          </cell>
          <cell r="AL2437">
            <v>0</v>
          </cell>
          <cell r="BJ2437" t="str">
            <v>BOT</v>
          </cell>
        </row>
        <row r="2438">
          <cell r="E2438" t="str">
            <v>13</v>
          </cell>
          <cell r="J2438">
            <v>0</v>
          </cell>
          <cell r="K2438">
            <v>0</v>
          </cell>
          <cell r="AL2438">
            <v>0</v>
          </cell>
          <cell r="BJ2438" t="str">
            <v>BOT</v>
          </cell>
        </row>
        <row r="2439">
          <cell r="E2439" t="str">
            <v>13</v>
          </cell>
          <cell r="J2439">
            <v>0</v>
          </cell>
          <cell r="K2439">
            <v>0</v>
          </cell>
          <cell r="AL2439">
            <v>0</v>
          </cell>
          <cell r="BJ2439" t="str">
            <v>BOT</v>
          </cell>
        </row>
        <row r="2440">
          <cell r="E2440" t="str">
            <v>13</v>
          </cell>
          <cell r="J2440">
            <v>0</v>
          </cell>
          <cell r="K2440">
            <v>0</v>
          </cell>
          <cell r="AL2440">
            <v>0</v>
          </cell>
          <cell r="BJ2440" t="str">
            <v>BOT</v>
          </cell>
        </row>
        <row r="2441">
          <cell r="E2441" t="str">
            <v>13</v>
          </cell>
          <cell r="J2441">
            <v>0</v>
          </cell>
          <cell r="K2441">
            <v>0</v>
          </cell>
          <cell r="AL2441">
            <v>0</v>
          </cell>
          <cell r="BJ2441" t="str">
            <v>BOT</v>
          </cell>
        </row>
        <row r="2442">
          <cell r="E2442" t="str">
            <v>13</v>
          </cell>
          <cell r="J2442">
            <v>0</v>
          </cell>
          <cell r="K2442">
            <v>0</v>
          </cell>
          <cell r="AL2442">
            <v>0</v>
          </cell>
          <cell r="BJ2442" t="str">
            <v>BOT</v>
          </cell>
        </row>
        <row r="2443">
          <cell r="E2443" t="str">
            <v>13</v>
          </cell>
          <cell r="J2443">
            <v>0</v>
          </cell>
          <cell r="K2443">
            <v>0</v>
          </cell>
          <cell r="AL2443">
            <v>0</v>
          </cell>
          <cell r="BJ2443" t="str">
            <v>BOT</v>
          </cell>
        </row>
        <row r="2444">
          <cell r="E2444" t="str">
            <v>13</v>
          </cell>
          <cell r="J2444">
            <v>0</v>
          </cell>
          <cell r="K2444">
            <v>0</v>
          </cell>
          <cell r="AL2444">
            <v>0</v>
          </cell>
          <cell r="BJ2444" t="str">
            <v>BOT</v>
          </cell>
        </row>
        <row r="2445">
          <cell r="E2445" t="str">
            <v>13</v>
          </cell>
          <cell r="J2445">
            <v>0</v>
          </cell>
          <cell r="K2445">
            <v>0</v>
          </cell>
          <cell r="AL2445">
            <v>0</v>
          </cell>
          <cell r="BJ2445" t="str">
            <v>BOT</v>
          </cell>
        </row>
        <row r="2446">
          <cell r="E2446" t="str">
            <v>13</v>
          </cell>
          <cell r="J2446">
            <v>0</v>
          </cell>
          <cell r="K2446">
            <v>0</v>
          </cell>
          <cell r="AL2446">
            <v>0</v>
          </cell>
          <cell r="BJ2446" t="str">
            <v>BOT</v>
          </cell>
        </row>
        <row r="2447">
          <cell r="E2447" t="str">
            <v>13</v>
          </cell>
          <cell r="J2447">
            <v>0</v>
          </cell>
          <cell r="K2447">
            <v>0</v>
          </cell>
          <cell r="AL2447">
            <v>0</v>
          </cell>
          <cell r="BJ2447" t="str">
            <v>BOT</v>
          </cell>
        </row>
        <row r="2448">
          <cell r="E2448" t="str">
            <v>13</v>
          </cell>
          <cell r="J2448">
            <v>0</v>
          </cell>
          <cell r="K2448">
            <v>0</v>
          </cell>
          <cell r="AL2448">
            <v>0</v>
          </cell>
          <cell r="BJ2448" t="str">
            <v>BOT</v>
          </cell>
        </row>
        <row r="2449">
          <cell r="E2449" t="str">
            <v>13</v>
          </cell>
          <cell r="J2449">
            <v>0</v>
          </cell>
          <cell r="K2449">
            <v>0</v>
          </cell>
          <cell r="AL2449">
            <v>0</v>
          </cell>
          <cell r="BJ2449" t="str">
            <v>BOT</v>
          </cell>
        </row>
        <row r="2450">
          <cell r="E2450" t="str">
            <v>13</v>
          </cell>
          <cell r="J2450">
            <v>0</v>
          </cell>
          <cell r="K2450">
            <v>0</v>
          </cell>
          <cell r="AL2450">
            <v>0</v>
          </cell>
          <cell r="BJ2450" t="str">
            <v>BOT</v>
          </cell>
        </row>
        <row r="2451">
          <cell r="E2451" t="str">
            <v>13</v>
          </cell>
          <cell r="J2451">
            <v>0</v>
          </cell>
          <cell r="K2451">
            <v>0</v>
          </cell>
          <cell r="AL2451">
            <v>0</v>
          </cell>
          <cell r="BJ2451" t="str">
            <v>BOT</v>
          </cell>
        </row>
        <row r="2452">
          <cell r="E2452" t="str">
            <v>13</v>
          </cell>
          <cell r="J2452">
            <v>0</v>
          </cell>
          <cell r="K2452">
            <v>0</v>
          </cell>
          <cell r="AL2452">
            <v>0</v>
          </cell>
          <cell r="BJ2452" t="str">
            <v>BOT</v>
          </cell>
        </row>
        <row r="2453">
          <cell r="E2453" t="str">
            <v>11</v>
          </cell>
          <cell r="J2453">
            <v>0</v>
          </cell>
          <cell r="K2453">
            <v>0</v>
          </cell>
          <cell r="AL2453">
            <v>0</v>
          </cell>
          <cell r="BJ2453" t="str">
            <v>BOT</v>
          </cell>
        </row>
        <row r="2454">
          <cell r="E2454" t="str">
            <v>13</v>
          </cell>
          <cell r="J2454">
            <v>0</v>
          </cell>
          <cell r="K2454">
            <v>0</v>
          </cell>
          <cell r="AL2454">
            <v>0</v>
          </cell>
          <cell r="BJ2454" t="str">
            <v>BOT</v>
          </cell>
        </row>
        <row r="2455">
          <cell r="E2455" t="str">
            <v>11</v>
          </cell>
          <cell r="J2455">
            <v>0</v>
          </cell>
          <cell r="K2455">
            <v>0</v>
          </cell>
          <cell r="AL2455">
            <v>0</v>
          </cell>
          <cell r="BJ2455" t="str">
            <v>BOT</v>
          </cell>
        </row>
        <row r="2456">
          <cell r="E2456" t="str">
            <v>13</v>
          </cell>
          <cell r="J2456">
            <v>0</v>
          </cell>
          <cell r="K2456">
            <v>0</v>
          </cell>
          <cell r="AL2456">
            <v>0</v>
          </cell>
          <cell r="BJ2456" t="str">
            <v>BOT</v>
          </cell>
        </row>
        <row r="2457">
          <cell r="E2457" t="str">
            <v>11</v>
          </cell>
          <cell r="J2457">
            <v>0</v>
          </cell>
          <cell r="K2457">
            <v>0</v>
          </cell>
          <cell r="AL2457">
            <v>0</v>
          </cell>
          <cell r="BJ2457" t="str">
            <v>BOT</v>
          </cell>
        </row>
        <row r="2458">
          <cell r="E2458" t="str">
            <v>13</v>
          </cell>
          <cell r="J2458">
            <v>0</v>
          </cell>
          <cell r="K2458">
            <v>0</v>
          </cell>
          <cell r="AL2458">
            <v>0</v>
          </cell>
          <cell r="BJ2458" t="str">
            <v>BOT</v>
          </cell>
        </row>
        <row r="2459">
          <cell r="E2459" t="str">
            <v>13</v>
          </cell>
          <cell r="J2459">
            <v>0</v>
          </cell>
          <cell r="K2459">
            <v>0</v>
          </cell>
          <cell r="AL2459">
            <v>0</v>
          </cell>
          <cell r="BJ2459" t="str">
            <v>BOT</v>
          </cell>
        </row>
        <row r="2460">
          <cell r="E2460" t="str">
            <v>13</v>
          </cell>
          <cell r="J2460">
            <v>0</v>
          </cell>
          <cell r="K2460">
            <v>0</v>
          </cell>
          <cell r="AL2460">
            <v>0</v>
          </cell>
          <cell r="BJ2460" t="str">
            <v>BOT</v>
          </cell>
        </row>
        <row r="2461">
          <cell r="E2461" t="str">
            <v>13</v>
          </cell>
          <cell r="J2461">
            <v>0</v>
          </cell>
          <cell r="K2461">
            <v>0</v>
          </cell>
          <cell r="AL2461">
            <v>0</v>
          </cell>
          <cell r="BJ2461" t="str">
            <v>BOT</v>
          </cell>
        </row>
        <row r="2462">
          <cell r="E2462" t="str">
            <v>20</v>
          </cell>
          <cell r="J2462">
            <v>0</v>
          </cell>
          <cell r="K2462">
            <v>0</v>
          </cell>
          <cell r="AL2462">
            <v>0</v>
          </cell>
          <cell r="BJ2462" t="str">
            <v>BOT</v>
          </cell>
        </row>
        <row r="2463">
          <cell r="E2463" t="str">
            <v>20</v>
          </cell>
          <cell r="J2463">
            <v>0</v>
          </cell>
          <cell r="K2463">
            <v>0</v>
          </cell>
          <cell r="AL2463">
            <v>0</v>
          </cell>
          <cell r="BJ2463" t="str">
            <v>BOT</v>
          </cell>
        </row>
        <row r="2464">
          <cell r="E2464" t="str">
            <v>21</v>
          </cell>
          <cell r="J2464">
            <v>0</v>
          </cell>
          <cell r="K2464">
            <v>0</v>
          </cell>
          <cell r="AL2464">
            <v>0</v>
          </cell>
          <cell r="BJ2464" t="str">
            <v>BOT</v>
          </cell>
        </row>
        <row r="2465">
          <cell r="E2465" t="str">
            <v>24</v>
          </cell>
          <cell r="J2465">
            <v>0</v>
          </cell>
          <cell r="K2465">
            <v>0</v>
          </cell>
          <cell r="AL2465">
            <v>0</v>
          </cell>
          <cell r="BJ2465" t="str">
            <v>BOT</v>
          </cell>
        </row>
        <row r="2466">
          <cell r="E2466" t="str">
            <v>24</v>
          </cell>
          <cell r="J2466">
            <v>0</v>
          </cell>
          <cell r="K2466">
            <v>0</v>
          </cell>
          <cell r="AL2466">
            <v>0</v>
          </cell>
          <cell r="BJ2466" t="str">
            <v>BOT</v>
          </cell>
        </row>
        <row r="2467">
          <cell r="E2467" t="str">
            <v>24</v>
          </cell>
          <cell r="J2467">
            <v>0</v>
          </cell>
          <cell r="K2467">
            <v>0</v>
          </cell>
          <cell r="AL2467">
            <v>0</v>
          </cell>
          <cell r="BJ2467" t="str">
            <v>BOT</v>
          </cell>
        </row>
        <row r="2468">
          <cell r="E2468" t="str">
            <v>24</v>
          </cell>
          <cell r="J2468">
            <v>0</v>
          </cell>
          <cell r="K2468">
            <v>0</v>
          </cell>
          <cell r="AL2468">
            <v>0</v>
          </cell>
          <cell r="BJ2468" t="str">
            <v>BOT</v>
          </cell>
        </row>
        <row r="2469">
          <cell r="E2469" t="str">
            <v>24</v>
          </cell>
          <cell r="J2469">
            <v>0</v>
          </cell>
          <cell r="K2469">
            <v>0</v>
          </cell>
          <cell r="AL2469">
            <v>0</v>
          </cell>
          <cell r="BJ2469" t="str">
            <v>BOT</v>
          </cell>
        </row>
        <row r="2470">
          <cell r="E2470" t="str">
            <v>24</v>
          </cell>
          <cell r="J2470">
            <v>0</v>
          </cell>
          <cell r="K2470">
            <v>0</v>
          </cell>
          <cell r="AL2470">
            <v>0</v>
          </cell>
          <cell r="BJ2470" t="str">
            <v>BOT</v>
          </cell>
        </row>
        <row r="2471">
          <cell r="E2471" t="str">
            <v>24</v>
          </cell>
          <cell r="J2471">
            <v>0</v>
          </cell>
          <cell r="K2471">
            <v>0</v>
          </cell>
          <cell r="AL2471">
            <v>0</v>
          </cell>
          <cell r="BJ2471" t="str">
            <v>BOT</v>
          </cell>
        </row>
        <row r="2472">
          <cell r="E2472" t="str">
            <v>24</v>
          </cell>
          <cell r="J2472">
            <v>0</v>
          </cell>
          <cell r="K2472">
            <v>0</v>
          </cell>
          <cell r="AL2472">
            <v>0</v>
          </cell>
          <cell r="BJ2472" t="str">
            <v>BOT</v>
          </cell>
        </row>
        <row r="2473">
          <cell r="E2473" t="str">
            <v>24</v>
          </cell>
          <cell r="J2473">
            <v>0</v>
          </cell>
          <cell r="K2473">
            <v>0</v>
          </cell>
          <cell r="AL2473">
            <v>0</v>
          </cell>
          <cell r="BJ2473" t="str">
            <v>BOT</v>
          </cell>
        </row>
        <row r="2474">
          <cell r="E2474" t="str">
            <v>24</v>
          </cell>
          <cell r="J2474">
            <v>0</v>
          </cell>
          <cell r="K2474">
            <v>0</v>
          </cell>
          <cell r="AL2474">
            <v>0</v>
          </cell>
          <cell r="BJ2474" t="str">
            <v>BOT</v>
          </cell>
        </row>
        <row r="2475">
          <cell r="E2475" t="str">
            <v>24</v>
          </cell>
          <cell r="J2475">
            <v>0</v>
          </cell>
          <cell r="K2475">
            <v>0</v>
          </cell>
          <cell r="AL2475">
            <v>0</v>
          </cell>
          <cell r="BJ2475" t="str">
            <v>BOT</v>
          </cell>
        </row>
        <row r="2476">
          <cell r="E2476" t="str">
            <v>24</v>
          </cell>
          <cell r="J2476">
            <v>0</v>
          </cell>
          <cell r="K2476">
            <v>0</v>
          </cell>
          <cell r="AL2476">
            <v>0</v>
          </cell>
          <cell r="BJ2476" t="str">
            <v>BOT</v>
          </cell>
        </row>
        <row r="2477">
          <cell r="E2477" t="str">
            <v>24</v>
          </cell>
          <cell r="J2477">
            <v>0</v>
          </cell>
          <cell r="K2477">
            <v>0</v>
          </cell>
          <cell r="AL2477">
            <v>0</v>
          </cell>
          <cell r="BJ2477" t="str">
            <v>BOT</v>
          </cell>
        </row>
        <row r="2478">
          <cell r="E2478" t="str">
            <v>24</v>
          </cell>
          <cell r="J2478">
            <v>0</v>
          </cell>
          <cell r="K2478">
            <v>0</v>
          </cell>
          <cell r="AL2478">
            <v>0</v>
          </cell>
          <cell r="BJ2478" t="str">
            <v>BOT</v>
          </cell>
        </row>
        <row r="2479">
          <cell r="E2479" t="str">
            <v>24</v>
          </cell>
          <cell r="J2479">
            <v>0</v>
          </cell>
          <cell r="K2479">
            <v>0</v>
          </cell>
          <cell r="AL2479">
            <v>0</v>
          </cell>
          <cell r="BJ2479" t="str">
            <v>BOT</v>
          </cell>
        </row>
        <row r="2480">
          <cell r="E2480" t="str">
            <v>24</v>
          </cell>
          <cell r="J2480">
            <v>0</v>
          </cell>
          <cell r="K2480">
            <v>0</v>
          </cell>
          <cell r="AL2480">
            <v>0</v>
          </cell>
          <cell r="BJ2480" t="str">
            <v>BOT</v>
          </cell>
        </row>
        <row r="2481">
          <cell r="E2481" t="str">
            <v>24</v>
          </cell>
          <cell r="J2481">
            <v>0</v>
          </cell>
          <cell r="K2481">
            <v>0</v>
          </cell>
          <cell r="AL2481">
            <v>0</v>
          </cell>
          <cell r="BJ2481" t="str">
            <v>BOT</v>
          </cell>
        </row>
        <row r="2482">
          <cell r="E2482" t="str">
            <v>24</v>
          </cell>
          <cell r="J2482">
            <v>0</v>
          </cell>
          <cell r="K2482">
            <v>0</v>
          </cell>
          <cell r="AL2482">
            <v>0</v>
          </cell>
          <cell r="BJ2482" t="str">
            <v>BOT</v>
          </cell>
        </row>
        <row r="2483">
          <cell r="E2483" t="str">
            <v>24</v>
          </cell>
          <cell r="J2483">
            <v>0</v>
          </cell>
          <cell r="K2483">
            <v>0</v>
          </cell>
          <cell r="AL2483">
            <v>0</v>
          </cell>
          <cell r="BJ2483" t="str">
            <v>BOT</v>
          </cell>
        </row>
        <row r="2484">
          <cell r="E2484" t="str">
            <v>24</v>
          </cell>
          <cell r="J2484">
            <v>0</v>
          </cell>
          <cell r="K2484">
            <v>0</v>
          </cell>
          <cell r="AL2484">
            <v>0</v>
          </cell>
          <cell r="BJ2484" t="str">
            <v>BOT</v>
          </cell>
        </row>
        <row r="2485">
          <cell r="E2485" t="str">
            <v>24</v>
          </cell>
          <cell r="J2485">
            <v>0</v>
          </cell>
          <cell r="K2485">
            <v>0</v>
          </cell>
          <cell r="AL2485">
            <v>0</v>
          </cell>
          <cell r="BJ2485" t="str">
            <v>BOT</v>
          </cell>
        </row>
        <row r="2486">
          <cell r="E2486" t="str">
            <v>24</v>
          </cell>
          <cell r="J2486">
            <v>0</v>
          </cell>
          <cell r="K2486">
            <v>0</v>
          </cell>
          <cell r="AL2486">
            <v>0</v>
          </cell>
          <cell r="BJ2486" t="str">
            <v>BOT</v>
          </cell>
        </row>
        <row r="2487">
          <cell r="E2487" t="str">
            <v>24</v>
          </cell>
          <cell r="J2487">
            <v>0</v>
          </cell>
          <cell r="K2487">
            <v>0</v>
          </cell>
          <cell r="AL2487">
            <v>0</v>
          </cell>
          <cell r="BJ2487" t="str">
            <v>BOT</v>
          </cell>
        </row>
        <row r="2488">
          <cell r="E2488" t="str">
            <v>24</v>
          </cell>
          <cell r="J2488">
            <v>0</v>
          </cell>
          <cell r="K2488">
            <v>0</v>
          </cell>
          <cell r="AL2488">
            <v>0</v>
          </cell>
          <cell r="BJ2488" t="str">
            <v>BOT</v>
          </cell>
        </row>
        <row r="2489">
          <cell r="E2489" t="str">
            <v>24</v>
          </cell>
          <cell r="J2489">
            <v>0</v>
          </cell>
          <cell r="K2489">
            <v>0</v>
          </cell>
          <cell r="AL2489">
            <v>0</v>
          </cell>
          <cell r="BJ2489" t="str">
            <v>BOT</v>
          </cell>
        </row>
        <row r="2490">
          <cell r="E2490" t="str">
            <v>24</v>
          </cell>
          <cell r="J2490">
            <v>0</v>
          </cell>
          <cell r="K2490">
            <v>0</v>
          </cell>
          <cell r="AL2490">
            <v>0</v>
          </cell>
          <cell r="BJ2490" t="str">
            <v>BOT</v>
          </cell>
        </row>
        <row r="2491">
          <cell r="E2491" t="str">
            <v>24</v>
          </cell>
          <cell r="J2491">
            <v>0</v>
          </cell>
          <cell r="K2491">
            <v>0</v>
          </cell>
          <cell r="AL2491">
            <v>0</v>
          </cell>
          <cell r="BJ2491" t="str">
            <v>BOT</v>
          </cell>
        </row>
        <row r="2492">
          <cell r="E2492" t="str">
            <v>24</v>
          </cell>
          <cell r="J2492">
            <v>0</v>
          </cell>
          <cell r="K2492">
            <v>0</v>
          </cell>
          <cell r="AL2492">
            <v>0</v>
          </cell>
          <cell r="BJ2492" t="str">
            <v>BOT</v>
          </cell>
        </row>
        <row r="2493">
          <cell r="E2493" t="str">
            <v>24</v>
          </cell>
          <cell r="J2493">
            <v>0</v>
          </cell>
          <cell r="K2493">
            <v>0</v>
          </cell>
          <cell r="AL2493">
            <v>0</v>
          </cell>
          <cell r="BJ2493" t="str">
            <v>BOT</v>
          </cell>
        </row>
        <row r="2494">
          <cell r="E2494" t="str">
            <v>24</v>
          </cell>
          <cell r="J2494">
            <v>0</v>
          </cell>
          <cell r="K2494">
            <v>0</v>
          </cell>
          <cell r="AL2494">
            <v>0</v>
          </cell>
          <cell r="BJ2494" t="str">
            <v>BOT</v>
          </cell>
        </row>
        <row r="2495">
          <cell r="E2495" t="str">
            <v>24</v>
          </cell>
          <cell r="J2495">
            <v>0</v>
          </cell>
          <cell r="K2495">
            <v>0</v>
          </cell>
          <cell r="AL2495">
            <v>0</v>
          </cell>
          <cell r="BJ2495" t="str">
            <v>BOT</v>
          </cell>
        </row>
        <row r="2496">
          <cell r="E2496" t="str">
            <v>24</v>
          </cell>
          <cell r="J2496">
            <v>0</v>
          </cell>
          <cell r="K2496">
            <v>0</v>
          </cell>
          <cell r="AL2496">
            <v>0</v>
          </cell>
          <cell r="BJ2496" t="str">
            <v>BOT</v>
          </cell>
        </row>
        <row r="2497">
          <cell r="E2497" t="str">
            <v>24</v>
          </cell>
          <cell r="J2497">
            <v>0</v>
          </cell>
          <cell r="K2497">
            <v>0</v>
          </cell>
          <cell r="AL2497">
            <v>0</v>
          </cell>
          <cell r="BJ2497" t="str">
            <v>BOT</v>
          </cell>
        </row>
        <row r="2498">
          <cell r="E2498" t="str">
            <v>38</v>
          </cell>
          <cell r="J2498">
            <v>0</v>
          </cell>
          <cell r="K2498">
            <v>0</v>
          </cell>
          <cell r="AL2498">
            <v>0</v>
          </cell>
          <cell r="BJ2498" t="str">
            <v>BOT</v>
          </cell>
        </row>
        <row r="2499">
          <cell r="E2499" t="str">
            <v>38</v>
          </cell>
          <cell r="J2499">
            <v>0</v>
          </cell>
          <cell r="K2499">
            <v>0</v>
          </cell>
          <cell r="AL2499">
            <v>0</v>
          </cell>
          <cell r="BJ2499" t="str">
            <v>BOT</v>
          </cell>
        </row>
        <row r="2500">
          <cell r="E2500" t="str">
            <v>38</v>
          </cell>
          <cell r="J2500">
            <v>0</v>
          </cell>
          <cell r="K2500">
            <v>0</v>
          </cell>
          <cell r="AL2500">
            <v>0</v>
          </cell>
          <cell r="BJ2500" t="str">
            <v>BOT</v>
          </cell>
        </row>
        <row r="2501">
          <cell r="E2501" t="str">
            <v>38</v>
          </cell>
          <cell r="J2501">
            <v>0</v>
          </cell>
          <cell r="K2501">
            <v>0</v>
          </cell>
          <cell r="AL2501">
            <v>0</v>
          </cell>
          <cell r="BJ2501" t="str">
            <v>BOT</v>
          </cell>
        </row>
        <row r="2502">
          <cell r="E2502" t="str">
            <v>38</v>
          </cell>
          <cell r="J2502">
            <v>0</v>
          </cell>
          <cell r="K2502">
            <v>0</v>
          </cell>
          <cell r="AL2502">
            <v>0</v>
          </cell>
          <cell r="BJ2502" t="str">
            <v>BOT</v>
          </cell>
        </row>
        <row r="2503">
          <cell r="E2503" t="str">
            <v>38</v>
          </cell>
          <cell r="J2503">
            <v>0</v>
          </cell>
          <cell r="K2503">
            <v>0</v>
          </cell>
          <cell r="AL2503">
            <v>0</v>
          </cell>
          <cell r="BJ2503" t="str">
            <v>BOT</v>
          </cell>
        </row>
        <row r="2504">
          <cell r="E2504" t="str">
            <v>38</v>
          </cell>
          <cell r="J2504">
            <v>0</v>
          </cell>
          <cell r="K2504">
            <v>0</v>
          </cell>
          <cell r="AL2504">
            <v>0</v>
          </cell>
          <cell r="BJ2504" t="str">
            <v>BOT</v>
          </cell>
        </row>
        <row r="2505">
          <cell r="E2505" t="str">
            <v>38</v>
          </cell>
          <cell r="J2505">
            <v>0</v>
          </cell>
          <cell r="K2505">
            <v>0</v>
          </cell>
          <cell r="AL2505">
            <v>0</v>
          </cell>
          <cell r="BJ2505" t="str">
            <v>BOT</v>
          </cell>
        </row>
        <row r="2506">
          <cell r="E2506" t="str">
            <v>38</v>
          </cell>
          <cell r="J2506">
            <v>0</v>
          </cell>
          <cell r="K2506">
            <v>0</v>
          </cell>
          <cell r="AL2506">
            <v>0</v>
          </cell>
          <cell r="BJ2506" t="str">
            <v>BOT</v>
          </cell>
        </row>
        <row r="2507">
          <cell r="E2507" t="str">
            <v>38</v>
          </cell>
          <cell r="J2507">
            <v>0</v>
          </cell>
          <cell r="K2507">
            <v>0</v>
          </cell>
          <cell r="AL2507">
            <v>0</v>
          </cell>
          <cell r="BJ2507" t="str">
            <v>BOT</v>
          </cell>
        </row>
        <row r="2508">
          <cell r="E2508" t="str">
            <v>38</v>
          </cell>
          <cell r="J2508">
            <v>0</v>
          </cell>
          <cell r="K2508">
            <v>0</v>
          </cell>
          <cell r="AL2508">
            <v>0</v>
          </cell>
          <cell r="BJ2508" t="str">
            <v>BOT</v>
          </cell>
        </row>
        <row r="2509">
          <cell r="E2509" t="str">
            <v>38</v>
          </cell>
          <cell r="J2509">
            <v>0</v>
          </cell>
          <cell r="K2509">
            <v>0</v>
          </cell>
          <cell r="AL2509">
            <v>0</v>
          </cell>
          <cell r="BJ2509" t="str">
            <v>BOT</v>
          </cell>
        </row>
        <row r="2510">
          <cell r="E2510" t="str">
            <v>38</v>
          </cell>
          <cell r="J2510">
            <v>0</v>
          </cell>
          <cell r="K2510">
            <v>0</v>
          </cell>
          <cell r="AL2510">
            <v>0</v>
          </cell>
          <cell r="BJ2510" t="str">
            <v>BOT</v>
          </cell>
        </row>
        <row r="2511">
          <cell r="E2511" t="str">
            <v>38</v>
          </cell>
          <cell r="J2511">
            <v>0</v>
          </cell>
          <cell r="K2511">
            <v>0</v>
          </cell>
          <cell r="AL2511">
            <v>0</v>
          </cell>
          <cell r="BJ2511" t="str">
            <v>BOT</v>
          </cell>
        </row>
        <row r="2512">
          <cell r="E2512" t="str">
            <v>38</v>
          </cell>
          <cell r="J2512">
            <v>0</v>
          </cell>
          <cell r="K2512">
            <v>0</v>
          </cell>
          <cell r="AL2512">
            <v>0</v>
          </cell>
          <cell r="BJ2512" t="str">
            <v>BOT</v>
          </cell>
        </row>
        <row r="2513">
          <cell r="E2513" t="str">
            <v>38</v>
          </cell>
          <cell r="J2513">
            <v>0</v>
          </cell>
          <cell r="K2513">
            <v>0</v>
          </cell>
          <cell r="AL2513">
            <v>0</v>
          </cell>
          <cell r="BJ2513" t="str">
            <v>BOT</v>
          </cell>
        </row>
        <row r="2514">
          <cell r="E2514" t="str">
            <v>38</v>
          </cell>
          <cell r="J2514">
            <v>0</v>
          </cell>
          <cell r="K2514">
            <v>0</v>
          </cell>
          <cell r="AL2514">
            <v>0</v>
          </cell>
          <cell r="BJ2514" t="str">
            <v>BOT</v>
          </cell>
        </row>
        <row r="2515">
          <cell r="E2515" t="str">
            <v>38</v>
          </cell>
          <cell r="J2515">
            <v>0</v>
          </cell>
          <cell r="K2515">
            <v>0</v>
          </cell>
          <cell r="AL2515">
            <v>0</v>
          </cell>
          <cell r="BJ2515" t="str">
            <v>BOT</v>
          </cell>
        </row>
        <row r="2516">
          <cell r="E2516" t="str">
            <v>38</v>
          </cell>
          <cell r="J2516">
            <v>0</v>
          </cell>
          <cell r="K2516">
            <v>0</v>
          </cell>
          <cell r="AL2516">
            <v>0</v>
          </cell>
          <cell r="BJ2516" t="str">
            <v>BOT</v>
          </cell>
        </row>
        <row r="2517">
          <cell r="E2517" t="str">
            <v>38</v>
          </cell>
          <cell r="J2517">
            <v>0</v>
          </cell>
          <cell r="K2517">
            <v>0</v>
          </cell>
          <cell r="AL2517">
            <v>0</v>
          </cell>
          <cell r="BJ2517" t="str">
            <v>BOT</v>
          </cell>
        </row>
        <row r="2518">
          <cell r="E2518" t="str">
            <v>38</v>
          </cell>
          <cell r="J2518">
            <v>0</v>
          </cell>
          <cell r="K2518">
            <v>0</v>
          </cell>
          <cell r="AL2518">
            <v>0</v>
          </cell>
          <cell r="BJ2518" t="str">
            <v>BOT</v>
          </cell>
        </row>
        <row r="2519">
          <cell r="E2519" t="str">
            <v>38</v>
          </cell>
          <cell r="J2519">
            <v>0</v>
          </cell>
          <cell r="K2519">
            <v>0</v>
          </cell>
          <cell r="AL2519">
            <v>0</v>
          </cell>
          <cell r="BJ2519" t="str">
            <v>BOT</v>
          </cell>
        </row>
        <row r="2520">
          <cell r="E2520" t="str">
            <v>38</v>
          </cell>
          <cell r="J2520">
            <v>0</v>
          </cell>
          <cell r="K2520">
            <v>0</v>
          </cell>
          <cell r="AL2520">
            <v>0</v>
          </cell>
          <cell r="BJ2520" t="str">
            <v>BOT</v>
          </cell>
        </row>
        <row r="2521">
          <cell r="E2521" t="str">
            <v>38</v>
          </cell>
          <cell r="J2521">
            <v>0</v>
          </cell>
          <cell r="K2521">
            <v>0</v>
          </cell>
          <cell r="AL2521">
            <v>0</v>
          </cell>
          <cell r="BJ2521" t="str">
            <v>BOT</v>
          </cell>
        </row>
        <row r="2522">
          <cell r="E2522" t="str">
            <v>38</v>
          </cell>
          <cell r="J2522">
            <v>0</v>
          </cell>
          <cell r="K2522">
            <v>0</v>
          </cell>
          <cell r="AL2522">
            <v>0</v>
          </cell>
          <cell r="BJ2522" t="str">
            <v>BOT</v>
          </cell>
        </row>
        <row r="2523">
          <cell r="E2523" t="str">
            <v>38</v>
          </cell>
          <cell r="J2523">
            <v>0</v>
          </cell>
          <cell r="K2523">
            <v>0</v>
          </cell>
          <cell r="AL2523">
            <v>0</v>
          </cell>
          <cell r="BJ2523" t="str">
            <v>BOT</v>
          </cell>
        </row>
        <row r="2524">
          <cell r="E2524" t="str">
            <v>38</v>
          </cell>
          <cell r="J2524">
            <v>0</v>
          </cell>
          <cell r="K2524">
            <v>0</v>
          </cell>
          <cell r="AL2524">
            <v>0</v>
          </cell>
          <cell r="BJ2524" t="str">
            <v>BOT</v>
          </cell>
        </row>
        <row r="2525">
          <cell r="E2525" t="str">
            <v>38</v>
          </cell>
          <cell r="J2525">
            <v>0</v>
          </cell>
          <cell r="K2525">
            <v>0</v>
          </cell>
          <cell r="AL2525">
            <v>0</v>
          </cell>
          <cell r="BJ2525" t="str">
            <v>BOT</v>
          </cell>
        </row>
        <row r="2526">
          <cell r="E2526" t="str">
            <v>38</v>
          </cell>
          <cell r="J2526">
            <v>0</v>
          </cell>
          <cell r="K2526">
            <v>0</v>
          </cell>
          <cell r="AL2526">
            <v>0</v>
          </cell>
          <cell r="BJ2526" t="str">
            <v>BOT</v>
          </cell>
        </row>
        <row r="2527">
          <cell r="E2527" t="str">
            <v>38</v>
          </cell>
          <cell r="J2527">
            <v>0</v>
          </cell>
          <cell r="K2527">
            <v>0</v>
          </cell>
          <cell r="AL2527">
            <v>0</v>
          </cell>
          <cell r="BJ2527" t="str">
            <v>BOT</v>
          </cell>
        </row>
        <row r="2528">
          <cell r="E2528" t="str">
            <v>38</v>
          </cell>
          <cell r="J2528">
            <v>0</v>
          </cell>
          <cell r="K2528">
            <v>0</v>
          </cell>
          <cell r="AL2528">
            <v>0</v>
          </cell>
          <cell r="BJ2528" t="str">
            <v>BOT</v>
          </cell>
        </row>
        <row r="2529">
          <cell r="E2529" t="str">
            <v>38</v>
          </cell>
          <cell r="J2529">
            <v>0</v>
          </cell>
          <cell r="K2529">
            <v>0</v>
          </cell>
          <cell r="AL2529">
            <v>0</v>
          </cell>
          <cell r="BJ2529" t="str">
            <v>BOT</v>
          </cell>
        </row>
        <row r="2530">
          <cell r="E2530" t="str">
            <v>38</v>
          </cell>
          <cell r="J2530">
            <v>0</v>
          </cell>
          <cell r="K2530">
            <v>0</v>
          </cell>
          <cell r="AL2530">
            <v>0</v>
          </cell>
          <cell r="BJ2530" t="str">
            <v>BOT</v>
          </cell>
        </row>
        <row r="2531">
          <cell r="E2531" t="str">
            <v>35</v>
          </cell>
          <cell r="J2531">
            <v>0</v>
          </cell>
          <cell r="K2531">
            <v>0</v>
          </cell>
          <cell r="AL2531">
            <v>0</v>
          </cell>
          <cell r="BJ2531" t="str">
            <v>BOT</v>
          </cell>
        </row>
        <row r="2532">
          <cell r="E2532" t="str">
            <v>35</v>
          </cell>
          <cell r="J2532">
            <v>0</v>
          </cell>
          <cell r="K2532">
            <v>0</v>
          </cell>
          <cell r="AL2532">
            <v>0</v>
          </cell>
          <cell r="BJ2532" t="str">
            <v>BOT</v>
          </cell>
        </row>
        <row r="2533">
          <cell r="E2533" t="str">
            <v>35</v>
          </cell>
          <cell r="J2533">
            <v>0</v>
          </cell>
          <cell r="K2533">
            <v>0</v>
          </cell>
          <cell r="AL2533">
            <v>0</v>
          </cell>
          <cell r="BJ2533" t="str">
            <v>BOT</v>
          </cell>
        </row>
        <row r="2534">
          <cell r="E2534" t="str">
            <v>35</v>
          </cell>
          <cell r="J2534">
            <v>0</v>
          </cell>
          <cell r="K2534">
            <v>0</v>
          </cell>
          <cell r="AL2534">
            <v>0</v>
          </cell>
          <cell r="BJ2534" t="str">
            <v>BOT</v>
          </cell>
        </row>
        <row r="2535">
          <cell r="E2535" t="str">
            <v>35</v>
          </cell>
          <cell r="J2535">
            <v>0</v>
          </cell>
          <cell r="K2535">
            <v>0</v>
          </cell>
          <cell r="AL2535">
            <v>0</v>
          </cell>
          <cell r="BJ2535" t="str">
            <v>BOT</v>
          </cell>
        </row>
        <row r="2536">
          <cell r="E2536" t="str">
            <v>35</v>
          </cell>
          <cell r="J2536">
            <v>0</v>
          </cell>
          <cell r="K2536">
            <v>0</v>
          </cell>
          <cell r="AL2536">
            <v>0</v>
          </cell>
          <cell r="BJ2536" t="str">
            <v>BOT</v>
          </cell>
        </row>
        <row r="2537">
          <cell r="E2537" t="str">
            <v>35</v>
          </cell>
          <cell r="J2537">
            <v>0</v>
          </cell>
          <cell r="K2537">
            <v>0</v>
          </cell>
          <cell r="AL2537">
            <v>0</v>
          </cell>
          <cell r="BJ2537" t="str">
            <v>BOT</v>
          </cell>
        </row>
        <row r="2538">
          <cell r="E2538" t="str">
            <v>35</v>
          </cell>
          <cell r="J2538">
            <v>0</v>
          </cell>
          <cell r="K2538">
            <v>0</v>
          </cell>
          <cell r="AL2538">
            <v>0</v>
          </cell>
          <cell r="BJ2538" t="str">
            <v>BOT</v>
          </cell>
        </row>
        <row r="2539">
          <cell r="E2539" t="str">
            <v>35</v>
          </cell>
          <cell r="J2539">
            <v>0</v>
          </cell>
          <cell r="K2539">
            <v>0</v>
          </cell>
          <cell r="AL2539">
            <v>0</v>
          </cell>
          <cell r="BJ2539" t="str">
            <v>BOT</v>
          </cell>
        </row>
        <row r="2540">
          <cell r="E2540" t="str">
            <v>35</v>
          </cell>
          <cell r="J2540">
            <v>0</v>
          </cell>
          <cell r="K2540">
            <v>0</v>
          </cell>
          <cell r="AL2540">
            <v>0</v>
          </cell>
          <cell r="BJ2540" t="str">
            <v>BOT</v>
          </cell>
        </row>
        <row r="2541">
          <cell r="E2541" t="str">
            <v>35</v>
          </cell>
          <cell r="J2541">
            <v>0</v>
          </cell>
          <cell r="K2541">
            <v>0</v>
          </cell>
          <cell r="AL2541">
            <v>0</v>
          </cell>
          <cell r="BJ2541" t="str">
            <v>BOT</v>
          </cell>
        </row>
        <row r="2542">
          <cell r="E2542" t="str">
            <v>35</v>
          </cell>
          <cell r="J2542">
            <v>0</v>
          </cell>
          <cell r="K2542">
            <v>0</v>
          </cell>
          <cell r="AL2542">
            <v>0</v>
          </cell>
          <cell r="BJ2542" t="str">
            <v>BOT</v>
          </cell>
        </row>
        <row r="2543">
          <cell r="E2543" t="str">
            <v>35</v>
          </cell>
          <cell r="J2543">
            <v>0</v>
          </cell>
          <cell r="K2543">
            <v>0</v>
          </cell>
          <cell r="AL2543">
            <v>0</v>
          </cell>
          <cell r="BJ2543" t="str">
            <v>BOT</v>
          </cell>
        </row>
        <row r="2544">
          <cell r="E2544" t="str">
            <v>35</v>
          </cell>
          <cell r="J2544">
            <v>0</v>
          </cell>
          <cell r="K2544">
            <v>0</v>
          </cell>
          <cell r="AL2544">
            <v>0</v>
          </cell>
          <cell r="BJ2544" t="str">
            <v>BOT</v>
          </cell>
        </row>
        <row r="2545">
          <cell r="E2545" t="str">
            <v>47</v>
          </cell>
          <cell r="J2545">
            <v>0</v>
          </cell>
          <cell r="K2545">
            <v>0</v>
          </cell>
          <cell r="AL2545">
            <v>0</v>
          </cell>
          <cell r="BJ2545" t="str">
            <v>BOT</v>
          </cell>
        </row>
        <row r="2546">
          <cell r="E2546" t="str">
            <v>47</v>
          </cell>
          <cell r="J2546">
            <v>0</v>
          </cell>
          <cell r="K2546">
            <v>0</v>
          </cell>
          <cell r="AL2546">
            <v>0</v>
          </cell>
          <cell r="BJ2546" t="str">
            <v>BOT</v>
          </cell>
        </row>
        <row r="2547">
          <cell r="E2547" t="str">
            <v>47</v>
          </cell>
          <cell r="J2547">
            <v>0</v>
          </cell>
          <cell r="K2547">
            <v>0</v>
          </cell>
          <cell r="AL2547">
            <v>0</v>
          </cell>
          <cell r="BJ2547" t="str">
            <v>BOT</v>
          </cell>
        </row>
        <row r="2548">
          <cell r="E2548" t="str">
            <v>46</v>
          </cell>
          <cell r="J2548">
            <v>0</v>
          </cell>
          <cell r="K2548">
            <v>0</v>
          </cell>
          <cell r="AL2548">
            <v>0</v>
          </cell>
          <cell r="BJ2548" t="str">
            <v>BOT</v>
          </cell>
        </row>
        <row r="2549">
          <cell r="E2549" t="str">
            <v>47</v>
          </cell>
          <cell r="J2549">
            <v>0</v>
          </cell>
          <cell r="K2549">
            <v>0</v>
          </cell>
          <cell r="AL2549">
            <v>0</v>
          </cell>
          <cell r="BJ2549" t="str">
            <v>BOT</v>
          </cell>
        </row>
        <row r="2550">
          <cell r="E2550" t="str">
            <v>47</v>
          </cell>
          <cell r="J2550">
            <v>0</v>
          </cell>
          <cell r="K2550">
            <v>0</v>
          </cell>
          <cell r="AL2550">
            <v>0</v>
          </cell>
          <cell r="BJ2550" t="str">
            <v>BOT</v>
          </cell>
        </row>
        <row r="2551">
          <cell r="E2551" t="str">
            <v>48</v>
          </cell>
          <cell r="J2551">
            <v>0</v>
          </cell>
          <cell r="K2551">
            <v>0</v>
          </cell>
          <cell r="AL2551">
            <v>0</v>
          </cell>
          <cell r="BJ2551" t="str">
            <v>BOT</v>
          </cell>
        </row>
        <row r="2552">
          <cell r="E2552" t="str">
            <v>47</v>
          </cell>
          <cell r="J2552">
            <v>0</v>
          </cell>
          <cell r="K2552">
            <v>0</v>
          </cell>
          <cell r="AL2552">
            <v>0</v>
          </cell>
          <cell r="BJ2552" t="str">
            <v>BOT</v>
          </cell>
        </row>
        <row r="2553">
          <cell r="E2553" t="str">
            <v>47</v>
          </cell>
          <cell r="J2553">
            <v>0</v>
          </cell>
          <cell r="K2553">
            <v>0</v>
          </cell>
          <cell r="AL2553">
            <v>0</v>
          </cell>
          <cell r="BJ2553" t="str">
            <v>BOT</v>
          </cell>
        </row>
        <row r="2554">
          <cell r="E2554" t="str">
            <v>47</v>
          </cell>
          <cell r="J2554">
            <v>0</v>
          </cell>
          <cell r="K2554">
            <v>0</v>
          </cell>
          <cell r="AL2554">
            <v>0</v>
          </cell>
          <cell r="BJ2554" t="str">
            <v>BOT</v>
          </cell>
        </row>
        <row r="2555">
          <cell r="E2555" t="str">
            <v>47</v>
          </cell>
          <cell r="J2555">
            <v>0</v>
          </cell>
          <cell r="K2555">
            <v>0</v>
          </cell>
          <cell r="AL2555">
            <v>0</v>
          </cell>
          <cell r="BJ2555" t="str">
            <v>BOT</v>
          </cell>
        </row>
        <row r="2556">
          <cell r="E2556" t="str">
            <v>47</v>
          </cell>
          <cell r="J2556">
            <v>0</v>
          </cell>
          <cell r="K2556">
            <v>0</v>
          </cell>
          <cell r="AL2556">
            <v>0</v>
          </cell>
          <cell r="BJ2556" t="str">
            <v>BOT</v>
          </cell>
        </row>
        <row r="2557">
          <cell r="E2557" t="str">
            <v>38</v>
          </cell>
          <cell r="J2557">
            <v>0</v>
          </cell>
          <cell r="K2557">
            <v>0</v>
          </cell>
          <cell r="AL2557">
            <v>0</v>
          </cell>
          <cell r="BJ2557" t="str">
            <v>BOT</v>
          </cell>
        </row>
        <row r="2558">
          <cell r="E2558" t="str">
            <v>38</v>
          </cell>
          <cell r="J2558">
            <v>0</v>
          </cell>
          <cell r="K2558">
            <v>0</v>
          </cell>
          <cell r="AL2558">
            <v>0</v>
          </cell>
          <cell r="BJ2558" t="str">
            <v>BOT</v>
          </cell>
        </row>
        <row r="2559">
          <cell r="E2559" t="str">
            <v>50</v>
          </cell>
          <cell r="J2559">
            <v>0</v>
          </cell>
          <cell r="K2559">
            <v>0</v>
          </cell>
          <cell r="AL2559">
            <v>0</v>
          </cell>
          <cell r="BJ2559" t="str">
            <v>BOT</v>
          </cell>
        </row>
        <row r="2560">
          <cell r="E2560" t="str">
            <v>45</v>
          </cell>
          <cell r="J2560">
            <v>0</v>
          </cell>
          <cell r="K2560">
            <v>0</v>
          </cell>
          <cell r="AL2560">
            <v>0</v>
          </cell>
          <cell r="BJ2560" t="str">
            <v>BOT</v>
          </cell>
        </row>
        <row r="2561">
          <cell r="E2561" t="str">
            <v>45</v>
          </cell>
          <cell r="J2561">
            <v>0</v>
          </cell>
          <cell r="K2561">
            <v>0</v>
          </cell>
          <cell r="AL2561">
            <v>0</v>
          </cell>
          <cell r="BJ2561" t="str">
            <v>BOT</v>
          </cell>
        </row>
        <row r="2562">
          <cell r="E2562" t="str">
            <v>45</v>
          </cell>
          <cell r="J2562">
            <v>0</v>
          </cell>
          <cell r="K2562">
            <v>0</v>
          </cell>
          <cell r="AL2562">
            <v>0</v>
          </cell>
          <cell r="BJ2562" t="str">
            <v>BOT</v>
          </cell>
        </row>
        <row r="2563">
          <cell r="E2563" t="str">
            <v>45</v>
          </cell>
          <cell r="J2563">
            <v>0</v>
          </cell>
          <cell r="K2563">
            <v>0</v>
          </cell>
          <cell r="AL2563">
            <v>0</v>
          </cell>
          <cell r="BJ2563" t="str">
            <v>BOT</v>
          </cell>
        </row>
        <row r="2564">
          <cell r="E2564" t="str">
            <v>45</v>
          </cell>
          <cell r="J2564">
            <v>0</v>
          </cell>
          <cell r="K2564">
            <v>0</v>
          </cell>
          <cell r="AL2564">
            <v>0</v>
          </cell>
          <cell r="BJ2564" t="str">
            <v>BOT</v>
          </cell>
        </row>
        <row r="2565">
          <cell r="E2565" t="str">
            <v>45</v>
          </cell>
          <cell r="J2565">
            <v>0</v>
          </cell>
          <cell r="K2565">
            <v>0</v>
          </cell>
          <cell r="AL2565">
            <v>0</v>
          </cell>
          <cell r="BJ2565" t="str">
            <v>BOT</v>
          </cell>
        </row>
        <row r="2566">
          <cell r="E2566" t="str">
            <v>45</v>
          </cell>
          <cell r="J2566">
            <v>0</v>
          </cell>
          <cell r="K2566">
            <v>0</v>
          </cell>
          <cell r="AL2566">
            <v>0</v>
          </cell>
          <cell r="BJ2566" t="str">
            <v>BOT</v>
          </cell>
        </row>
        <row r="2567">
          <cell r="E2567" t="str">
            <v>45</v>
          </cell>
          <cell r="J2567">
            <v>0</v>
          </cell>
          <cell r="K2567">
            <v>0</v>
          </cell>
          <cell r="AL2567">
            <v>0</v>
          </cell>
          <cell r="BJ2567" t="str">
            <v>BOT</v>
          </cell>
        </row>
        <row r="2568">
          <cell r="E2568" t="str">
            <v>45</v>
          </cell>
          <cell r="J2568">
            <v>0</v>
          </cell>
          <cell r="K2568">
            <v>0</v>
          </cell>
          <cell r="AL2568">
            <v>0</v>
          </cell>
          <cell r="BJ2568" t="str">
            <v>BOT</v>
          </cell>
        </row>
        <row r="2569">
          <cell r="E2569" t="str">
            <v>45</v>
          </cell>
          <cell r="J2569">
            <v>0</v>
          </cell>
          <cell r="K2569">
            <v>0</v>
          </cell>
          <cell r="AL2569">
            <v>0</v>
          </cell>
          <cell r="BJ2569" t="str">
            <v>BOT</v>
          </cell>
        </row>
        <row r="2570">
          <cell r="E2570" t="str">
            <v>45</v>
          </cell>
          <cell r="J2570">
            <v>0</v>
          </cell>
          <cell r="K2570">
            <v>0</v>
          </cell>
          <cell r="AL2570">
            <v>0</v>
          </cell>
          <cell r="BJ2570" t="str">
            <v>BOT</v>
          </cell>
        </row>
        <row r="2571">
          <cell r="E2571" t="str">
            <v>45</v>
          </cell>
          <cell r="J2571">
            <v>0</v>
          </cell>
          <cell r="K2571">
            <v>0</v>
          </cell>
          <cell r="AL2571">
            <v>0</v>
          </cell>
          <cell r="BJ2571" t="str">
            <v>BOT</v>
          </cell>
        </row>
        <row r="2572">
          <cell r="E2572" t="str">
            <v>45</v>
          </cell>
          <cell r="J2572">
            <v>0</v>
          </cell>
          <cell r="K2572">
            <v>0</v>
          </cell>
          <cell r="AL2572">
            <v>0</v>
          </cell>
          <cell r="BJ2572" t="str">
            <v>BOT</v>
          </cell>
        </row>
        <row r="2573">
          <cell r="E2573" t="str">
            <v>45</v>
          </cell>
          <cell r="J2573">
            <v>0</v>
          </cell>
          <cell r="K2573">
            <v>0</v>
          </cell>
          <cell r="AL2573">
            <v>0</v>
          </cell>
          <cell r="BJ2573" t="str">
            <v>BOT</v>
          </cell>
        </row>
        <row r="2574">
          <cell r="E2574" t="str">
            <v>45</v>
          </cell>
          <cell r="J2574">
            <v>0</v>
          </cell>
          <cell r="K2574">
            <v>0</v>
          </cell>
          <cell r="AL2574">
            <v>0</v>
          </cell>
          <cell r="BJ2574" t="str">
            <v>BOT</v>
          </cell>
        </row>
        <row r="2575">
          <cell r="E2575" t="str">
            <v>45</v>
          </cell>
          <cell r="J2575">
            <v>0</v>
          </cell>
          <cell r="K2575">
            <v>0</v>
          </cell>
          <cell r="AL2575">
            <v>0</v>
          </cell>
          <cell r="BJ2575" t="str">
            <v>BOT</v>
          </cell>
        </row>
        <row r="2576">
          <cell r="E2576" t="str">
            <v>45</v>
          </cell>
          <cell r="J2576">
            <v>0</v>
          </cell>
          <cell r="K2576">
            <v>0</v>
          </cell>
          <cell r="AL2576">
            <v>0</v>
          </cell>
          <cell r="BJ2576" t="str">
            <v>BOT</v>
          </cell>
        </row>
        <row r="2577">
          <cell r="E2577" t="str">
            <v>45</v>
          </cell>
          <cell r="J2577">
            <v>0</v>
          </cell>
          <cell r="K2577">
            <v>0</v>
          </cell>
          <cell r="AL2577">
            <v>0</v>
          </cell>
          <cell r="BJ2577" t="str">
            <v>BOT</v>
          </cell>
        </row>
        <row r="2578">
          <cell r="E2578" t="str">
            <v>45</v>
          </cell>
          <cell r="J2578">
            <v>0</v>
          </cell>
          <cell r="K2578">
            <v>0</v>
          </cell>
          <cell r="AL2578">
            <v>0</v>
          </cell>
          <cell r="BJ2578" t="str">
            <v>BOT</v>
          </cell>
        </row>
        <row r="2579">
          <cell r="E2579" t="str">
            <v>45</v>
          </cell>
          <cell r="J2579">
            <v>0</v>
          </cell>
          <cell r="K2579">
            <v>0</v>
          </cell>
          <cell r="AL2579">
            <v>0</v>
          </cell>
          <cell r="BJ2579" t="str">
            <v>BOT</v>
          </cell>
        </row>
        <row r="2580">
          <cell r="E2580" t="str">
            <v>45</v>
          </cell>
          <cell r="J2580">
            <v>0</v>
          </cell>
          <cell r="K2580">
            <v>0</v>
          </cell>
          <cell r="AL2580">
            <v>0</v>
          </cell>
          <cell r="BJ2580" t="str">
            <v>BOT</v>
          </cell>
        </row>
        <row r="2581">
          <cell r="E2581" t="str">
            <v>45</v>
          </cell>
          <cell r="J2581">
            <v>0</v>
          </cell>
          <cell r="K2581">
            <v>0</v>
          </cell>
          <cell r="AL2581">
            <v>0</v>
          </cell>
          <cell r="BJ2581" t="str">
            <v>BOT</v>
          </cell>
        </row>
        <row r="2582">
          <cell r="E2582" t="str">
            <v>50</v>
          </cell>
          <cell r="J2582">
            <v>0</v>
          </cell>
          <cell r="K2582">
            <v>0</v>
          </cell>
          <cell r="AL2582">
            <v>0</v>
          </cell>
          <cell r="BJ2582" t="str">
            <v>BOT</v>
          </cell>
        </row>
        <row r="2583">
          <cell r="E2583" t="str">
            <v>50</v>
          </cell>
          <cell r="J2583">
            <v>0</v>
          </cell>
          <cell r="K2583">
            <v>0</v>
          </cell>
          <cell r="AL2583">
            <v>0</v>
          </cell>
          <cell r="BJ2583" t="str">
            <v>BOT</v>
          </cell>
        </row>
        <row r="2584">
          <cell r="E2584" t="str">
            <v>50</v>
          </cell>
          <cell r="J2584">
            <v>0</v>
          </cell>
          <cell r="K2584">
            <v>0</v>
          </cell>
          <cell r="AL2584">
            <v>0</v>
          </cell>
          <cell r="BJ2584" t="str">
            <v>BOT</v>
          </cell>
        </row>
        <row r="2585">
          <cell r="E2585" t="str">
            <v>50</v>
          </cell>
          <cell r="J2585">
            <v>0</v>
          </cell>
          <cell r="K2585">
            <v>0</v>
          </cell>
          <cell r="AL2585">
            <v>0</v>
          </cell>
          <cell r="BJ2585" t="str">
            <v>BOT</v>
          </cell>
        </row>
        <row r="2586">
          <cell r="E2586" t="str">
            <v>50</v>
          </cell>
          <cell r="J2586">
            <v>0</v>
          </cell>
          <cell r="K2586">
            <v>0</v>
          </cell>
          <cell r="AL2586">
            <v>0</v>
          </cell>
          <cell r="BJ2586" t="str">
            <v>BOT</v>
          </cell>
        </row>
        <row r="2587">
          <cell r="E2587" t="str">
            <v>50</v>
          </cell>
          <cell r="J2587">
            <v>0</v>
          </cell>
          <cell r="K2587">
            <v>0</v>
          </cell>
          <cell r="AL2587">
            <v>0</v>
          </cell>
          <cell r="BJ2587" t="str">
            <v>BOT</v>
          </cell>
        </row>
        <row r="2588">
          <cell r="E2588" t="str">
            <v>50</v>
          </cell>
          <cell r="J2588">
            <v>0</v>
          </cell>
          <cell r="K2588">
            <v>0</v>
          </cell>
          <cell r="AL2588">
            <v>0</v>
          </cell>
          <cell r="BJ2588" t="str">
            <v>BOT</v>
          </cell>
        </row>
        <row r="2589">
          <cell r="E2589" t="str">
            <v>51</v>
          </cell>
          <cell r="J2589">
            <v>0</v>
          </cell>
          <cell r="K2589">
            <v>0</v>
          </cell>
          <cell r="AL2589">
            <v>0</v>
          </cell>
          <cell r="BJ2589" t="str">
            <v>BOT</v>
          </cell>
        </row>
        <row r="2590">
          <cell r="E2590" t="str">
            <v>50</v>
          </cell>
          <cell r="J2590">
            <v>0</v>
          </cell>
          <cell r="K2590">
            <v>0</v>
          </cell>
          <cell r="AL2590">
            <v>0</v>
          </cell>
          <cell r="BJ2590" t="str">
            <v>BOT</v>
          </cell>
        </row>
        <row r="2591">
          <cell r="E2591" t="str">
            <v>50</v>
          </cell>
          <cell r="J2591">
            <v>0</v>
          </cell>
          <cell r="K2591">
            <v>0</v>
          </cell>
          <cell r="AL2591">
            <v>0</v>
          </cell>
          <cell r="BJ2591" t="str">
            <v>BOT</v>
          </cell>
        </row>
        <row r="2592">
          <cell r="E2592" t="str">
            <v>50</v>
          </cell>
          <cell r="J2592">
            <v>0</v>
          </cell>
          <cell r="K2592">
            <v>0</v>
          </cell>
          <cell r="AL2592">
            <v>0</v>
          </cell>
          <cell r="BJ2592" t="str">
            <v>BOT</v>
          </cell>
        </row>
        <row r="2593">
          <cell r="E2593" t="str">
            <v>50</v>
          </cell>
          <cell r="J2593">
            <v>0</v>
          </cell>
          <cell r="K2593">
            <v>0</v>
          </cell>
          <cell r="AL2593">
            <v>0</v>
          </cell>
          <cell r="BJ2593" t="str">
            <v>BOT</v>
          </cell>
        </row>
        <row r="2594">
          <cell r="E2594" t="str">
            <v>50</v>
          </cell>
          <cell r="J2594">
            <v>0</v>
          </cell>
          <cell r="K2594">
            <v>0</v>
          </cell>
          <cell r="AL2594">
            <v>0</v>
          </cell>
          <cell r="BJ2594" t="str">
            <v>BOT</v>
          </cell>
        </row>
        <row r="2595">
          <cell r="E2595" t="str">
            <v>50</v>
          </cell>
          <cell r="J2595">
            <v>0</v>
          </cell>
          <cell r="K2595">
            <v>0</v>
          </cell>
          <cell r="AL2595">
            <v>0</v>
          </cell>
          <cell r="BJ2595" t="str">
            <v>BOT</v>
          </cell>
        </row>
        <row r="2596">
          <cell r="E2596" t="str">
            <v>50</v>
          </cell>
          <cell r="J2596">
            <v>0</v>
          </cell>
          <cell r="K2596">
            <v>0</v>
          </cell>
          <cell r="AL2596">
            <v>0</v>
          </cell>
          <cell r="BJ2596" t="str">
            <v>BOT</v>
          </cell>
        </row>
        <row r="2597">
          <cell r="E2597" t="str">
            <v>50</v>
          </cell>
          <cell r="J2597">
            <v>0</v>
          </cell>
          <cell r="K2597">
            <v>0</v>
          </cell>
          <cell r="AL2597">
            <v>0</v>
          </cell>
          <cell r="BJ2597" t="str">
            <v>BOT</v>
          </cell>
        </row>
        <row r="2598">
          <cell r="E2598" t="str">
            <v>50</v>
          </cell>
          <cell r="J2598">
            <v>0</v>
          </cell>
          <cell r="K2598">
            <v>0</v>
          </cell>
          <cell r="AL2598">
            <v>0</v>
          </cell>
          <cell r="BJ2598" t="str">
            <v>BOT</v>
          </cell>
        </row>
        <row r="2599">
          <cell r="E2599" t="str">
            <v>50</v>
          </cell>
          <cell r="J2599">
            <v>0</v>
          </cell>
          <cell r="K2599">
            <v>0</v>
          </cell>
          <cell r="AL2599">
            <v>0</v>
          </cell>
          <cell r="BJ2599" t="str">
            <v>BOT</v>
          </cell>
        </row>
        <row r="2600">
          <cell r="E2600" t="str">
            <v>50</v>
          </cell>
          <cell r="J2600">
            <v>0</v>
          </cell>
          <cell r="K2600">
            <v>0</v>
          </cell>
          <cell r="AL2600">
            <v>0</v>
          </cell>
          <cell r="BJ2600" t="str">
            <v>BOT</v>
          </cell>
        </row>
        <row r="2601">
          <cell r="E2601" t="str">
            <v>50</v>
          </cell>
          <cell r="J2601">
            <v>0</v>
          </cell>
          <cell r="K2601">
            <v>0</v>
          </cell>
          <cell r="AL2601">
            <v>0</v>
          </cell>
          <cell r="BJ2601" t="str">
            <v>BOT</v>
          </cell>
        </row>
        <row r="2602">
          <cell r="E2602" t="str">
            <v>10</v>
          </cell>
          <cell r="J2602">
            <v>0</v>
          </cell>
          <cell r="K2602">
            <v>0</v>
          </cell>
          <cell r="AL2602">
            <v>0</v>
          </cell>
          <cell r="BJ2602" t="str">
            <v>BOT</v>
          </cell>
        </row>
        <row r="2603">
          <cell r="E2603" t="str">
            <v>10</v>
          </cell>
          <cell r="J2603">
            <v>0</v>
          </cell>
          <cell r="K2603">
            <v>0</v>
          </cell>
          <cell r="AL2603">
            <v>0</v>
          </cell>
          <cell r="BJ2603" t="str">
            <v>BOT</v>
          </cell>
        </row>
        <row r="2604">
          <cell r="E2604" t="str">
            <v>10</v>
          </cell>
          <cell r="J2604">
            <v>0</v>
          </cell>
          <cell r="K2604">
            <v>0</v>
          </cell>
          <cell r="AL2604">
            <v>0</v>
          </cell>
          <cell r="BJ2604" t="str">
            <v>BOT</v>
          </cell>
        </row>
        <row r="2605">
          <cell r="E2605" t="str">
            <v>10</v>
          </cell>
          <cell r="J2605">
            <v>0</v>
          </cell>
          <cell r="K2605">
            <v>0</v>
          </cell>
          <cell r="AL2605">
            <v>0</v>
          </cell>
          <cell r="BJ2605" t="str">
            <v>BOT</v>
          </cell>
        </row>
        <row r="2606">
          <cell r="E2606" t="str">
            <v>10</v>
          </cell>
          <cell r="J2606">
            <v>0</v>
          </cell>
          <cell r="K2606">
            <v>0</v>
          </cell>
          <cell r="AL2606">
            <v>0</v>
          </cell>
          <cell r="BJ2606" t="str">
            <v>BOT</v>
          </cell>
        </row>
        <row r="2607">
          <cell r="E2607" t="str">
            <v>10</v>
          </cell>
          <cell r="J2607">
            <v>0</v>
          </cell>
          <cell r="K2607">
            <v>0</v>
          </cell>
          <cell r="AL2607">
            <v>0</v>
          </cell>
          <cell r="BJ2607" t="str">
            <v>BOT</v>
          </cell>
        </row>
        <row r="2608">
          <cell r="E2608" t="str">
            <v>10</v>
          </cell>
          <cell r="J2608">
            <v>0</v>
          </cell>
          <cell r="K2608">
            <v>0</v>
          </cell>
          <cell r="AL2608">
            <v>0</v>
          </cell>
          <cell r="BJ2608" t="str">
            <v>BOT</v>
          </cell>
        </row>
        <row r="2609">
          <cell r="E2609" t="str">
            <v>10</v>
          </cell>
          <cell r="J2609">
            <v>0</v>
          </cell>
          <cell r="K2609">
            <v>0</v>
          </cell>
          <cell r="AL2609">
            <v>0</v>
          </cell>
          <cell r="BJ2609" t="str">
            <v>BOT</v>
          </cell>
        </row>
        <row r="2610">
          <cell r="E2610" t="str">
            <v>10</v>
          </cell>
          <cell r="J2610">
            <v>0</v>
          </cell>
          <cell r="K2610">
            <v>0</v>
          </cell>
          <cell r="AL2610">
            <v>0</v>
          </cell>
          <cell r="BJ2610" t="str">
            <v>BOT</v>
          </cell>
        </row>
        <row r="2611">
          <cell r="E2611" t="str">
            <v>10</v>
          </cell>
          <cell r="J2611">
            <v>0</v>
          </cell>
          <cell r="K2611">
            <v>0</v>
          </cell>
          <cell r="AL2611">
            <v>0</v>
          </cell>
          <cell r="BJ2611" t="str">
            <v>BOT</v>
          </cell>
        </row>
        <row r="2612">
          <cell r="E2612" t="str">
            <v>10</v>
          </cell>
          <cell r="J2612">
            <v>0</v>
          </cell>
          <cell r="K2612">
            <v>0</v>
          </cell>
          <cell r="AL2612">
            <v>0</v>
          </cell>
          <cell r="BJ2612" t="str">
            <v>BOT</v>
          </cell>
        </row>
        <row r="2613">
          <cell r="E2613" t="str">
            <v>10</v>
          </cell>
          <cell r="J2613">
            <v>0</v>
          </cell>
          <cell r="K2613">
            <v>0</v>
          </cell>
          <cell r="AL2613">
            <v>0</v>
          </cell>
          <cell r="BJ2613" t="str">
            <v>BOT</v>
          </cell>
        </row>
        <row r="2614">
          <cell r="E2614" t="str">
            <v>10</v>
          </cell>
          <cell r="J2614">
            <v>0</v>
          </cell>
          <cell r="K2614">
            <v>0</v>
          </cell>
          <cell r="AL2614">
            <v>0</v>
          </cell>
          <cell r="BJ2614" t="str">
            <v>BOT</v>
          </cell>
        </row>
        <row r="2615">
          <cell r="E2615" t="str">
            <v>10</v>
          </cell>
          <cell r="J2615">
            <v>0</v>
          </cell>
          <cell r="K2615">
            <v>0</v>
          </cell>
          <cell r="AL2615">
            <v>0</v>
          </cell>
          <cell r="BJ2615" t="str">
            <v>BOT</v>
          </cell>
        </row>
        <row r="2616">
          <cell r="E2616" t="str">
            <v>10</v>
          </cell>
          <cell r="J2616">
            <v>0</v>
          </cell>
          <cell r="K2616">
            <v>0</v>
          </cell>
          <cell r="AL2616">
            <v>0</v>
          </cell>
          <cell r="BJ2616" t="str">
            <v>BOT</v>
          </cell>
        </row>
        <row r="2617">
          <cell r="E2617" t="str">
            <v>10</v>
          </cell>
          <cell r="J2617">
            <v>0</v>
          </cell>
          <cell r="K2617">
            <v>0</v>
          </cell>
          <cell r="AL2617">
            <v>0</v>
          </cell>
          <cell r="BJ2617" t="str">
            <v>BOT</v>
          </cell>
        </row>
        <row r="2618">
          <cell r="E2618" t="str">
            <v>10</v>
          </cell>
          <cell r="J2618">
            <v>0</v>
          </cell>
          <cell r="K2618">
            <v>0</v>
          </cell>
          <cell r="AL2618">
            <v>0</v>
          </cell>
          <cell r="BJ2618" t="str">
            <v>BOT</v>
          </cell>
        </row>
        <row r="2619">
          <cell r="E2619" t="str">
            <v>10</v>
          </cell>
          <cell r="J2619">
            <v>0</v>
          </cell>
          <cell r="K2619">
            <v>0</v>
          </cell>
          <cell r="AL2619">
            <v>0</v>
          </cell>
          <cell r="BJ2619" t="str">
            <v>BOT</v>
          </cell>
        </row>
        <row r="2620">
          <cell r="E2620" t="str">
            <v>10</v>
          </cell>
          <cell r="J2620">
            <v>0</v>
          </cell>
          <cell r="K2620">
            <v>0</v>
          </cell>
          <cell r="AL2620">
            <v>0</v>
          </cell>
          <cell r="BJ2620" t="str">
            <v>BOT</v>
          </cell>
        </row>
        <row r="2621">
          <cell r="E2621" t="str">
            <v>10</v>
          </cell>
          <cell r="J2621">
            <v>0</v>
          </cell>
          <cell r="K2621">
            <v>0</v>
          </cell>
          <cell r="AL2621">
            <v>0</v>
          </cell>
          <cell r="BJ2621" t="str">
            <v>BOT</v>
          </cell>
        </row>
        <row r="2622">
          <cell r="E2622" t="str">
            <v>10</v>
          </cell>
          <cell r="J2622">
            <v>0</v>
          </cell>
          <cell r="K2622">
            <v>0</v>
          </cell>
          <cell r="AL2622">
            <v>0</v>
          </cell>
          <cell r="BJ2622" t="str">
            <v>BOT</v>
          </cell>
        </row>
        <row r="2623">
          <cell r="E2623" t="str">
            <v>10</v>
          </cell>
          <cell r="J2623">
            <v>0</v>
          </cell>
          <cell r="K2623">
            <v>0</v>
          </cell>
          <cell r="AL2623">
            <v>0</v>
          </cell>
          <cell r="BJ2623" t="str">
            <v>BOT</v>
          </cell>
        </row>
        <row r="2624">
          <cell r="E2624" t="str">
            <v>10</v>
          </cell>
          <cell r="J2624">
            <v>0</v>
          </cell>
          <cell r="K2624">
            <v>0</v>
          </cell>
          <cell r="AL2624">
            <v>0</v>
          </cell>
          <cell r="BJ2624" t="str">
            <v>BOT</v>
          </cell>
        </row>
        <row r="2625">
          <cell r="E2625" t="str">
            <v>10</v>
          </cell>
          <cell r="J2625">
            <v>0</v>
          </cell>
          <cell r="K2625">
            <v>0</v>
          </cell>
          <cell r="AL2625">
            <v>0</v>
          </cell>
          <cell r="BJ2625" t="str">
            <v>BOT</v>
          </cell>
        </row>
        <row r="2626">
          <cell r="E2626" t="str">
            <v>10</v>
          </cell>
          <cell r="J2626">
            <v>0</v>
          </cell>
          <cell r="K2626">
            <v>0</v>
          </cell>
          <cell r="AL2626">
            <v>0</v>
          </cell>
          <cell r="BJ2626" t="str">
            <v>BOT</v>
          </cell>
        </row>
        <row r="2627">
          <cell r="E2627" t="str">
            <v>11</v>
          </cell>
          <cell r="J2627">
            <v>0</v>
          </cell>
          <cell r="K2627">
            <v>0</v>
          </cell>
          <cell r="AL2627">
            <v>0</v>
          </cell>
          <cell r="BJ2627" t="str">
            <v>BOT</v>
          </cell>
        </row>
        <row r="2628">
          <cell r="E2628" t="str">
            <v>11</v>
          </cell>
          <cell r="J2628">
            <v>0</v>
          </cell>
          <cell r="K2628">
            <v>0</v>
          </cell>
          <cell r="AL2628">
            <v>0</v>
          </cell>
          <cell r="BJ2628" t="str">
            <v>BOT</v>
          </cell>
        </row>
        <row r="2629">
          <cell r="E2629" t="str">
            <v>11</v>
          </cell>
          <cell r="J2629">
            <v>0</v>
          </cell>
          <cell r="K2629">
            <v>0</v>
          </cell>
          <cell r="AL2629">
            <v>0</v>
          </cell>
          <cell r="BJ2629" t="str">
            <v>BOT</v>
          </cell>
        </row>
        <row r="2630">
          <cell r="E2630" t="str">
            <v>11</v>
          </cell>
          <cell r="J2630">
            <v>0</v>
          </cell>
          <cell r="K2630">
            <v>0</v>
          </cell>
          <cell r="AL2630">
            <v>0</v>
          </cell>
          <cell r="BJ2630" t="str">
            <v>BOT</v>
          </cell>
        </row>
        <row r="2631">
          <cell r="E2631" t="str">
            <v>11</v>
          </cell>
          <cell r="J2631">
            <v>0</v>
          </cell>
          <cell r="K2631">
            <v>0</v>
          </cell>
          <cell r="AL2631">
            <v>0</v>
          </cell>
          <cell r="BJ2631" t="str">
            <v>BOT</v>
          </cell>
        </row>
        <row r="2632">
          <cell r="E2632" t="str">
            <v>11</v>
          </cell>
          <cell r="J2632">
            <v>0</v>
          </cell>
          <cell r="K2632">
            <v>0</v>
          </cell>
          <cell r="AL2632">
            <v>0</v>
          </cell>
          <cell r="BJ2632" t="str">
            <v>BOT</v>
          </cell>
        </row>
        <row r="2633">
          <cell r="E2633" t="str">
            <v>11</v>
          </cell>
          <cell r="J2633">
            <v>0</v>
          </cell>
          <cell r="K2633">
            <v>0</v>
          </cell>
          <cell r="AL2633">
            <v>0</v>
          </cell>
          <cell r="BJ2633" t="str">
            <v>BOT</v>
          </cell>
        </row>
        <row r="2634">
          <cell r="E2634" t="str">
            <v>11</v>
          </cell>
          <cell r="J2634">
            <v>0</v>
          </cell>
          <cell r="K2634">
            <v>0</v>
          </cell>
          <cell r="AL2634">
            <v>0</v>
          </cell>
          <cell r="BJ2634" t="str">
            <v>BOT</v>
          </cell>
        </row>
        <row r="2635">
          <cell r="E2635" t="str">
            <v>11</v>
          </cell>
          <cell r="J2635">
            <v>0</v>
          </cell>
          <cell r="K2635">
            <v>0</v>
          </cell>
          <cell r="AL2635">
            <v>0</v>
          </cell>
          <cell r="BJ2635" t="str">
            <v>BOT</v>
          </cell>
        </row>
        <row r="2636">
          <cell r="E2636" t="str">
            <v>11</v>
          </cell>
          <cell r="J2636">
            <v>0</v>
          </cell>
          <cell r="K2636">
            <v>0</v>
          </cell>
          <cell r="AL2636">
            <v>0</v>
          </cell>
          <cell r="BJ2636" t="str">
            <v>BOT</v>
          </cell>
        </row>
        <row r="2637">
          <cell r="E2637" t="str">
            <v>11</v>
          </cell>
          <cell r="J2637">
            <v>0</v>
          </cell>
          <cell r="K2637">
            <v>0</v>
          </cell>
          <cell r="AL2637">
            <v>0</v>
          </cell>
          <cell r="BJ2637" t="str">
            <v>BOT</v>
          </cell>
        </row>
        <row r="2638">
          <cell r="E2638" t="str">
            <v>11</v>
          </cell>
          <cell r="J2638">
            <v>0</v>
          </cell>
          <cell r="K2638">
            <v>0</v>
          </cell>
          <cell r="AL2638">
            <v>0</v>
          </cell>
          <cell r="BJ2638" t="str">
            <v>BOT</v>
          </cell>
        </row>
        <row r="2639">
          <cell r="E2639" t="str">
            <v>11</v>
          </cell>
          <cell r="J2639">
            <v>0</v>
          </cell>
          <cell r="K2639">
            <v>0</v>
          </cell>
          <cell r="AL2639">
            <v>0</v>
          </cell>
          <cell r="BJ2639" t="str">
            <v>BOT</v>
          </cell>
        </row>
        <row r="2640">
          <cell r="E2640" t="str">
            <v>11</v>
          </cell>
          <cell r="J2640">
            <v>0</v>
          </cell>
          <cell r="K2640">
            <v>0</v>
          </cell>
          <cell r="AL2640">
            <v>0</v>
          </cell>
          <cell r="BJ2640" t="str">
            <v>BOT</v>
          </cell>
        </row>
        <row r="2641">
          <cell r="E2641" t="str">
            <v>11</v>
          </cell>
          <cell r="J2641">
            <v>0</v>
          </cell>
          <cell r="K2641">
            <v>0</v>
          </cell>
          <cell r="AL2641">
            <v>0</v>
          </cell>
          <cell r="BJ2641" t="str">
            <v>BOT</v>
          </cell>
        </row>
        <row r="2642">
          <cell r="E2642" t="str">
            <v>11</v>
          </cell>
          <cell r="J2642">
            <v>0</v>
          </cell>
          <cell r="K2642">
            <v>0</v>
          </cell>
          <cell r="AL2642">
            <v>0</v>
          </cell>
          <cell r="BJ2642" t="str">
            <v>BOT</v>
          </cell>
        </row>
        <row r="2643">
          <cell r="E2643" t="str">
            <v>11</v>
          </cell>
          <cell r="J2643">
            <v>0</v>
          </cell>
          <cell r="K2643">
            <v>0</v>
          </cell>
          <cell r="AL2643">
            <v>0</v>
          </cell>
          <cell r="BJ2643" t="str">
            <v>BOT</v>
          </cell>
        </row>
        <row r="2644">
          <cell r="E2644" t="str">
            <v>11</v>
          </cell>
          <cell r="J2644">
            <v>0</v>
          </cell>
          <cell r="K2644">
            <v>0</v>
          </cell>
          <cell r="AL2644">
            <v>0</v>
          </cell>
          <cell r="BJ2644" t="str">
            <v>BOT</v>
          </cell>
        </row>
        <row r="2645">
          <cell r="E2645" t="str">
            <v>11</v>
          </cell>
          <cell r="J2645">
            <v>0</v>
          </cell>
          <cell r="K2645">
            <v>0</v>
          </cell>
          <cell r="AL2645">
            <v>0</v>
          </cell>
          <cell r="BJ2645" t="str">
            <v>BOT</v>
          </cell>
        </row>
        <row r="2646">
          <cell r="E2646" t="str">
            <v>11</v>
          </cell>
          <cell r="J2646">
            <v>0</v>
          </cell>
          <cell r="K2646">
            <v>0</v>
          </cell>
          <cell r="AL2646">
            <v>0</v>
          </cell>
          <cell r="BJ2646" t="str">
            <v>BOT</v>
          </cell>
        </row>
        <row r="2647">
          <cell r="E2647" t="str">
            <v>11</v>
          </cell>
          <cell r="J2647">
            <v>0</v>
          </cell>
          <cell r="K2647">
            <v>0</v>
          </cell>
          <cell r="AL2647">
            <v>0</v>
          </cell>
          <cell r="BJ2647" t="str">
            <v>BOT</v>
          </cell>
        </row>
        <row r="2648">
          <cell r="E2648" t="str">
            <v>11</v>
          </cell>
          <cell r="J2648">
            <v>0</v>
          </cell>
          <cell r="K2648">
            <v>0</v>
          </cell>
          <cell r="AL2648">
            <v>0</v>
          </cell>
          <cell r="BJ2648" t="str">
            <v>BOT</v>
          </cell>
        </row>
        <row r="2649">
          <cell r="E2649" t="str">
            <v>11</v>
          </cell>
          <cell r="J2649">
            <v>0</v>
          </cell>
          <cell r="K2649">
            <v>0</v>
          </cell>
          <cell r="AL2649">
            <v>0</v>
          </cell>
          <cell r="BJ2649" t="str">
            <v>BOT</v>
          </cell>
        </row>
        <row r="2650">
          <cell r="E2650" t="str">
            <v>11</v>
          </cell>
          <cell r="J2650">
            <v>0</v>
          </cell>
          <cell r="K2650">
            <v>0</v>
          </cell>
          <cell r="AL2650">
            <v>0</v>
          </cell>
          <cell r="BJ2650" t="str">
            <v>BOT</v>
          </cell>
        </row>
        <row r="2651">
          <cell r="E2651" t="str">
            <v>11</v>
          </cell>
          <cell r="J2651">
            <v>0</v>
          </cell>
          <cell r="K2651">
            <v>0</v>
          </cell>
          <cell r="AL2651">
            <v>0</v>
          </cell>
          <cell r="BJ2651" t="str">
            <v>BOT</v>
          </cell>
        </row>
        <row r="2652">
          <cell r="E2652" t="str">
            <v>11</v>
          </cell>
          <cell r="J2652">
            <v>0</v>
          </cell>
          <cell r="K2652">
            <v>0</v>
          </cell>
          <cell r="AL2652">
            <v>0</v>
          </cell>
          <cell r="BJ2652" t="str">
            <v>BOT</v>
          </cell>
        </row>
        <row r="2653">
          <cell r="E2653" t="str">
            <v>11</v>
          </cell>
          <cell r="J2653">
            <v>0</v>
          </cell>
          <cell r="K2653">
            <v>0</v>
          </cell>
          <cell r="AL2653">
            <v>0</v>
          </cell>
          <cell r="BJ2653" t="str">
            <v>BOT</v>
          </cell>
        </row>
        <row r="2654">
          <cell r="E2654" t="str">
            <v>11</v>
          </cell>
          <cell r="J2654">
            <v>0</v>
          </cell>
          <cell r="K2654">
            <v>0</v>
          </cell>
          <cell r="AL2654">
            <v>0</v>
          </cell>
          <cell r="BJ2654" t="str">
            <v>BOT</v>
          </cell>
        </row>
        <row r="2655">
          <cell r="E2655" t="str">
            <v>11</v>
          </cell>
          <cell r="J2655">
            <v>0</v>
          </cell>
          <cell r="K2655">
            <v>0</v>
          </cell>
          <cell r="AL2655">
            <v>0</v>
          </cell>
          <cell r="BJ2655" t="str">
            <v>BOT</v>
          </cell>
        </row>
        <row r="2656">
          <cell r="E2656" t="str">
            <v>11</v>
          </cell>
          <cell r="J2656">
            <v>0</v>
          </cell>
          <cell r="K2656">
            <v>0</v>
          </cell>
          <cell r="AL2656">
            <v>0</v>
          </cell>
          <cell r="BJ2656" t="str">
            <v>BOT</v>
          </cell>
        </row>
        <row r="2657">
          <cell r="E2657" t="str">
            <v>11</v>
          </cell>
          <cell r="J2657">
            <v>0</v>
          </cell>
          <cell r="K2657">
            <v>0</v>
          </cell>
          <cell r="AL2657">
            <v>0</v>
          </cell>
          <cell r="BJ2657" t="str">
            <v>BOT</v>
          </cell>
        </row>
        <row r="2658">
          <cell r="E2658" t="str">
            <v>11</v>
          </cell>
          <cell r="J2658">
            <v>0</v>
          </cell>
          <cell r="K2658">
            <v>0</v>
          </cell>
          <cell r="AL2658">
            <v>0</v>
          </cell>
          <cell r="BJ2658" t="str">
            <v>BOT</v>
          </cell>
        </row>
        <row r="2659">
          <cell r="E2659" t="str">
            <v>11</v>
          </cell>
          <cell r="J2659">
            <v>0</v>
          </cell>
          <cell r="K2659">
            <v>0</v>
          </cell>
          <cell r="AL2659">
            <v>0</v>
          </cell>
          <cell r="BJ2659" t="str">
            <v>BOT</v>
          </cell>
        </row>
        <row r="2660">
          <cell r="E2660" t="str">
            <v>11</v>
          </cell>
          <cell r="J2660">
            <v>0</v>
          </cell>
          <cell r="K2660">
            <v>0</v>
          </cell>
          <cell r="AL2660">
            <v>0</v>
          </cell>
          <cell r="BJ2660" t="str">
            <v>BOT</v>
          </cell>
        </row>
        <row r="2661">
          <cell r="E2661" t="str">
            <v>13</v>
          </cell>
          <cell r="J2661">
            <v>0</v>
          </cell>
          <cell r="K2661">
            <v>0</v>
          </cell>
          <cell r="AL2661">
            <v>0</v>
          </cell>
          <cell r="BJ2661" t="str">
            <v>BOT</v>
          </cell>
        </row>
        <row r="2662">
          <cell r="E2662" t="str">
            <v>13</v>
          </cell>
          <cell r="J2662">
            <v>0</v>
          </cell>
          <cell r="K2662">
            <v>0</v>
          </cell>
          <cell r="AL2662">
            <v>0</v>
          </cell>
          <cell r="BJ2662" t="str">
            <v>BOT</v>
          </cell>
        </row>
        <row r="2663">
          <cell r="E2663" t="str">
            <v>13</v>
          </cell>
          <cell r="J2663">
            <v>0</v>
          </cell>
          <cell r="K2663">
            <v>0</v>
          </cell>
          <cell r="AL2663">
            <v>0</v>
          </cell>
          <cell r="BJ2663" t="str">
            <v>BOT</v>
          </cell>
        </row>
        <row r="2664">
          <cell r="E2664" t="str">
            <v>13</v>
          </cell>
          <cell r="J2664">
            <v>0</v>
          </cell>
          <cell r="K2664">
            <v>0</v>
          </cell>
          <cell r="AL2664">
            <v>0</v>
          </cell>
          <cell r="BJ2664" t="str">
            <v>BOT</v>
          </cell>
        </row>
        <row r="2665">
          <cell r="E2665" t="str">
            <v>13</v>
          </cell>
          <cell r="J2665">
            <v>0</v>
          </cell>
          <cell r="K2665">
            <v>0</v>
          </cell>
          <cell r="AL2665">
            <v>0</v>
          </cell>
          <cell r="BJ2665" t="str">
            <v>BOT</v>
          </cell>
        </row>
        <row r="2666">
          <cell r="E2666" t="str">
            <v>13</v>
          </cell>
          <cell r="J2666">
            <v>0</v>
          </cell>
          <cell r="K2666">
            <v>0</v>
          </cell>
          <cell r="AL2666">
            <v>0</v>
          </cell>
          <cell r="BJ2666" t="str">
            <v>BOT</v>
          </cell>
        </row>
        <row r="2667">
          <cell r="E2667" t="str">
            <v>13</v>
          </cell>
          <cell r="J2667">
            <v>0</v>
          </cell>
          <cell r="K2667">
            <v>0</v>
          </cell>
          <cell r="AL2667">
            <v>0</v>
          </cell>
          <cell r="BJ2667" t="str">
            <v>BOT</v>
          </cell>
        </row>
        <row r="2668">
          <cell r="E2668" t="str">
            <v>13</v>
          </cell>
          <cell r="J2668">
            <v>0</v>
          </cell>
          <cell r="K2668">
            <v>0</v>
          </cell>
          <cell r="AL2668">
            <v>0</v>
          </cell>
          <cell r="BJ2668" t="str">
            <v>BOT</v>
          </cell>
        </row>
        <row r="2669">
          <cell r="E2669" t="str">
            <v>13</v>
          </cell>
          <cell r="J2669">
            <v>0</v>
          </cell>
          <cell r="K2669">
            <v>0</v>
          </cell>
          <cell r="AL2669">
            <v>0</v>
          </cell>
          <cell r="BJ2669" t="str">
            <v>BOT</v>
          </cell>
        </row>
        <row r="2670">
          <cell r="E2670" t="str">
            <v>13</v>
          </cell>
          <cell r="J2670">
            <v>0</v>
          </cell>
          <cell r="K2670">
            <v>0</v>
          </cell>
          <cell r="AL2670">
            <v>0</v>
          </cell>
          <cell r="BJ2670" t="str">
            <v>BOT</v>
          </cell>
        </row>
        <row r="2671">
          <cell r="E2671" t="str">
            <v>13</v>
          </cell>
          <cell r="J2671">
            <v>0</v>
          </cell>
          <cell r="K2671">
            <v>0</v>
          </cell>
          <cell r="AL2671">
            <v>0</v>
          </cell>
          <cell r="BJ2671" t="str">
            <v>BOT</v>
          </cell>
        </row>
        <row r="2672">
          <cell r="E2672" t="str">
            <v>13</v>
          </cell>
          <cell r="J2672">
            <v>0</v>
          </cell>
          <cell r="K2672">
            <v>0</v>
          </cell>
          <cell r="AL2672">
            <v>0</v>
          </cell>
          <cell r="BJ2672" t="str">
            <v>BOT</v>
          </cell>
        </row>
        <row r="2673">
          <cell r="E2673" t="str">
            <v>13</v>
          </cell>
          <cell r="J2673">
            <v>0</v>
          </cell>
          <cell r="K2673">
            <v>0</v>
          </cell>
          <cell r="AL2673">
            <v>0</v>
          </cell>
          <cell r="BJ2673" t="str">
            <v>BOT</v>
          </cell>
        </row>
        <row r="2674">
          <cell r="E2674" t="str">
            <v>13</v>
          </cell>
          <cell r="J2674">
            <v>0</v>
          </cell>
          <cell r="K2674">
            <v>0</v>
          </cell>
          <cell r="AL2674">
            <v>0</v>
          </cell>
          <cell r="BJ2674" t="str">
            <v>BOT</v>
          </cell>
        </row>
        <row r="2675">
          <cell r="E2675" t="str">
            <v>13</v>
          </cell>
          <cell r="J2675">
            <v>0</v>
          </cell>
          <cell r="K2675">
            <v>0</v>
          </cell>
          <cell r="AL2675">
            <v>0</v>
          </cell>
          <cell r="BJ2675" t="str">
            <v>BOT</v>
          </cell>
        </row>
        <row r="2676">
          <cell r="E2676" t="str">
            <v>13</v>
          </cell>
          <cell r="J2676">
            <v>0</v>
          </cell>
          <cell r="K2676">
            <v>0</v>
          </cell>
          <cell r="AL2676">
            <v>0</v>
          </cell>
          <cell r="BJ2676" t="str">
            <v>BOT</v>
          </cell>
        </row>
        <row r="2677">
          <cell r="E2677" t="str">
            <v>13</v>
          </cell>
          <cell r="J2677">
            <v>0</v>
          </cell>
          <cell r="K2677">
            <v>0</v>
          </cell>
          <cell r="AL2677">
            <v>0</v>
          </cell>
          <cell r="BJ2677" t="str">
            <v>BOT</v>
          </cell>
        </row>
        <row r="2678">
          <cell r="E2678" t="str">
            <v>13</v>
          </cell>
          <cell r="J2678">
            <v>0</v>
          </cell>
          <cell r="K2678">
            <v>0</v>
          </cell>
          <cell r="AL2678">
            <v>0</v>
          </cell>
          <cell r="BJ2678" t="str">
            <v>BOT</v>
          </cell>
        </row>
        <row r="2679">
          <cell r="E2679" t="str">
            <v>13</v>
          </cell>
          <cell r="J2679">
            <v>0</v>
          </cell>
          <cell r="K2679">
            <v>0</v>
          </cell>
          <cell r="AL2679">
            <v>0</v>
          </cell>
          <cell r="BJ2679" t="str">
            <v>BOT</v>
          </cell>
        </row>
        <row r="2680">
          <cell r="E2680" t="str">
            <v>13</v>
          </cell>
          <cell r="J2680">
            <v>0</v>
          </cell>
          <cell r="K2680">
            <v>0</v>
          </cell>
          <cell r="AL2680">
            <v>0</v>
          </cell>
          <cell r="BJ2680" t="str">
            <v>BOT</v>
          </cell>
        </row>
        <row r="2681">
          <cell r="E2681" t="str">
            <v>13</v>
          </cell>
          <cell r="J2681">
            <v>0</v>
          </cell>
          <cell r="K2681">
            <v>0</v>
          </cell>
          <cell r="AL2681">
            <v>0</v>
          </cell>
          <cell r="BJ2681" t="str">
            <v>BOT</v>
          </cell>
        </row>
        <row r="2682">
          <cell r="E2682" t="str">
            <v>13</v>
          </cell>
          <cell r="J2682">
            <v>0</v>
          </cell>
          <cell r="K2682">
            <v>0</v>
          </cell>
          <cell r="AL2682">
            <v>0</v>
          </cell>
          <cell r="BJ2682" t="str">
            <v>BOT</v>
          </cell>
        </row>
        <row r="2683">
          <cell r="E2683" t="str">
            <v>13</v>
          </cell>
          <cell r="J2683">
            <v>0</v>
          </cell>
          <cell r="K2683">
            <v>0</v>
          </cell>
          <cell r="AL2683">
            <v>0</v>
          </cell>
          <cell r="BJ2683" t="str">
            <v>BOT</v>
          </cell>
        </row>
        <row r="2684">
          <cell r="E2684" t="str">
            <v>13</v>
          </cell>
          <cell r="J2684">
            <v>0</v>
          </cell>
          <cell r="K2684">
            <v>0</v>
          </cell>
          <cell r="AL2684">
            <v>0</v>
          </cell>
          <cell r="BJ2684" t="str">
            <v>BOT</v>
          </cell>
        </row>
        <row r="2685">
          <cell r="E2685" t="str">
            <v>13</v>
          </cell>
          <cell r="J2685">
            <v>0</v>
          </cell>
          <cell r="K2685">
            <v>0</v>
          </cell>
          <cell r="AL2685">
            <v>0</v>
          </cell>
          <cell r="BJ2685" t="str">
            <v>BOT</v>
          </cell>
        </row>
        <row r="2686">
          <cell r="E2686" t="str">
            <v>13</v>
          </cell>
          <cell r="J2686">
            <v>0</v>
          </cell>
          <cell r="K2686">
            <v>0</v>
          </cell>
          <cell r="AL2686">
            <v>0</v>
          </cell>
          <cell r="BJ2686" t="str">
            <v>BOT</v>
          </cell>
        </row>
        <row r="2687">
          <cell r="E2687" t="str">
            <v>13</v>
          </cell>
          <cell r="J2687">
            <v>0</v>
          </cell>
          <cell r="K2687">
            <v>0</v>
          </cell>
          <cell r="AL2687">
            <v>0</v>
          </cell>
          <cell r="BJ2687" t="str">
            <v>BOT</v>
          </cell>
        </row>
        <row r="2688">
          <cell r="E2688" t="str">
            <v>13</v>
          </cell>
          <cell r="J2688">
            <v>0</v>
          </cell>
          <cell r="K2688">
            <v>0</v>
          </cell>
          <cell r="AL2688">
            <v>0</v>
          </cell>
          <cell r="BJ2688" t="str">
            <v>BOT</v>
          </cell>
        </row>
        <row r="2689">
          <cell r="E2689" t="str">
            <v>13</v>
          </cell>
          <cell r="J2689">
            <v>0</v>
          </cell>
          <cell r="K2689">
            <v>0</v>
          </cell>
          <cell r="AL2689">
            <v>0</v>
          </cell>
          <cell r="BJ2689" t="str">
            <v>BOT</v>
          </cell>
        </row>
        <row r="2690">
          <cell r="E2690" t="str">
            <v>13</v>
          </cell>
          <cell r="J2690">
            <v>0</v>
          </cell>
          <cell r="K2690">
            <v>0</v>
          </cell>
          <cell r="AL2690">
            <v>0</v>
          </cell>
          <cell r="BJ2690" t="str">
            <v>BOT</v>
          </cell>
        </row>
        <row r="2691">
          <cell r="E2691" t="str">
            <v>13</v>
          </cell>
          <cell r="J2691">
            <v>0</v>
          </cell>
          <cell r="K2691">
            <v>0</v>
          </cell>
          <cell r="AL2691">
            <v>0</v>
          </cell>
          <cell r="BJ2691" t="str">
            <v>BOT</v>
          </cell>
        </row>
        <row r="2692">
          <cell r="E2692" t="str">
            <v>13</v>
          </cell>
          <cell r="J2692">
            <v>0</v>
          </cell>
          <cell r="K2692">
            <v>0</v>
          </cell>
          <cell r="AL2692">
            <v>0</v>
          </cell>
          <cell r="BJ2692" t="str">
            <v>BOT</v>
          </cell>
        </row>
        <row r="2693">
          <cell r="E2693" t="str">
            <v>13</v>
          </cell>
          <cell r="J2693">
            <v>0</v>
          </cell>
          <cell r="K2693">
            <v>0</v>
          </cell>
          <cell r="AL2693">
            <v>0</v>
          </cell>
          <cell r="BJ2693" t="str">
            <v>BOT</v>
          </cell>
        </row>
        <row r="2694">
          <cell r="E2694" t="str">
            <v>13</v>
          </cell>
          <cell r="J2694">
            <v>0</v>
          </cell>
          <cell r="K2694">
            <v>0</v>
          </cell>
          <cell r="AL2694">
            <v>0</v>
          </cell>
          <cell r="BJ2694" t="str">
            <v>BOT</v>
          </cell>
        </row>
        <row r="2695">
          <cell r="E2695" t="str">
            <v>13</v>
          </cell>
          <cell r="J2695">
            <v>0</v>
          </cell>
          <cell r="K2695">
            <v>0</v>
          </cell>
          <cell r="AL2695">
            <v>0</v>
          </cell>
          <cell r="BJ2695" t="str">
            <v>BOT</v>
          </cell>
        </row>
        <row r="2696">
          <cell r="E2696" t="str">
            <v>13</v>
          </cell>
          <cell r="J2696">
            <v>0</v>
          </cell>
          <cell r="K2696">
            <v>0</v>
          </cell>
          <cell r="AL2696">
            <v>0</v>
          </cell>
          <cell r="BJ2696" t="str">
            <v>BOT</v>
          </cell>
        </row>
        <row r="2697">
          <cell r="E2697" t="str">
            <v>13</v>
          </cell>
          <cell r="J2697">
            <v>0</v>
          </cell>
          <cell r="K2697">
            <v>0</v>
          </cell>
          <cell r="AL2697">
            <v>0</v>
          </cell>
          <cell r="BJ2697" t="str">
            <v>BOT</v>
          </cell>
        </row>
        <row r="2698">
          <cell r="E2698" t="str">
            <v>13</v>
          </cell>
          <cell r="J2698">
            <v>0</v>
          </cell>
          <cell r="K2698">
            <v>0</v>
          </cell>
          <cell r="AL2698">
            <v>0</v>
          </cell>
          <cell r="BJ2698" t="str">
            <v>BOT</v>
          </cell>
        </row>
        <row r="2699">
          <cell r="E2699" t="str">
            <v>13</v>
          </cell>
          <cell r="J2699">
            <v>0</v>
          </cell>
          <cell r="K2699">
            <v>0</v>
          </cell>
          <cell r="AL2699">
            <v>0</v>
          </cell>
          <cell r="BJ2699" t="str">
            <v>BOT</v>
          </cell>
        </row>
        <row r="2700">
          <cell r="E2700" t="str">
            <v>13</v>
          </cell>
          <cell r="J2700">
            <v>0</v>
          </cell>
          <cell r="K2700">
            <v>0</v>
          </cell>
          <cell r="AL2700">
            <v>0</v>
          </cell>
          <cell r="BJ2700" t="str">
            <v>BOT</v>
          </cell>
        </row>
        <row r="2701">
          <cell r="E2701" t="str">
            <v>13</v>
          </cell>
          <cell r="J2701">
            <v>0</v>
          </cell>
          <cell r="K2701">
            <v>0</v>
          </cell>
          <cell r="AL2701">
            <v>0</v>
          </cell>
          <cell r="BJ2701" t="str">
            <v>BOT</v>
          </cell>
        </row>
        <row r="2702">
          <cell r="E2702" t="str">
            <v>13</v>
          </cell>
          <cell r="J2702">
            <v>0</v>
          </cell>
          <cell r="K2702">
            <v>0</v>
          </cell>
          <cell r="AL2702">
            <v>0</v>
          </cell>
          <cell r="BJ2702" t="str">
            <v>BOT</v>
          </cell>
        </row>
        <row r="2703">
          <cell r="E2703" t="str">
            <v>13</v>
          </cell>
          <cell r="J2703">
            <v>0</v>
          </cell>
          <cell r="K2703">
            <v>0</v>
          </cell>
          <cell r="AL2703">
            <v>0</v>
          </cell>
          <cell r="BJ2703" t="str">
            <v>BOT</v>
          </cell>
        </row>
        <row r="2704">
          <cell r="E2704" t="str">
            <v>13</v>
          </cell>
          <cell r="J2704">
            <v>0</v>
          </cell>
          <cell r="K2704">
            <v>0</v>
          </cell>
          <cell r="AL2704">
            <v>0</v>
          </cell>
          <cell r="BJ2704" t="str">
            <v>BOT</v>
          </cell>
        </row>
        <row r="2705">
          <cell r="E2705" t="str">
            <v>13</v>
          </cell>
          <cell r="J2705">
            <v>0</v>
          </cell>
          <cell r="K2705">
            <v>0</v>
          </cell>
          <cell r="AL2705">
            <v>0</v>
          </cell>
          <cell r="BJ2705" t="str">
            <v>BOT</v>
          </cell>
        </row>
        <row r="2706">
          <cell r="E2706" t="str">
            <v>13</v>
          </cell>
          <cell r="J2706">
            <v>0</v>
          </cell>
          <cell r="K2706">
            <v>0</v>
          </cell>
          <cell r="AL2706">
            <v>0</v>
          </cell>
          <cell r="BJ2706" t="str">
            <v>BOT</v>
          </cell>
        </row>
        <row r="2707">
          <cell r="E2707" t="str">
            <v>13</v>
          </cell>
          <cell r="J2707">
            <v>0</v>
          </cell>
          <cell r="K2707">
            <v>0</v>
          </cell>
          <cell r="AL2707">
            <v>0</v>
          </cell>
          <cell r="BJ2707" t="str">
            <v>BOT</v>
          </cell>
        </row>
        <row r="2708">
          <cell r="E2708" t="str">
            <v>13</v>
          </cell>
          <cell r="J2708">
            <v>0</v>
          </cell>
          <cell r="K2708">
            <v>0</v>
          </cell>
          <cell r="AL2708">
            <v>0</v>
          </cell>
          <cell r="BJ2708" t="str">
            <v>BOT</v>
          </cell>
        </row>
        <row r="2709">
          <cell r="E2709" t="str">
            <v>13</v>
          </cell>
          <cell r="J2709">
            <v>0</v>
          </cell>
          <cell r="K2709">
            <v>0</v>
          </cell>
          <cell r="AL2709">
            <v>0</v>
          </cell>
          <cell r="BJ2709" t="str">
            <v>BOT</v>
          </cell>
        </row>
        <row r="2710">
          <cell r="E2710" t="str">
            <v>13</v>
          </cell>
          <cell r="J2710">
            <v>0</v>
          </cell>
          <cell r="K2710">
            <v>0</v>
          </cell>
          <cell r="AL2710">
            <v>0</v>
          </cell>
          <cell r="BJ2710" t="str">
            <v>BOT</v>
          </cell>
        </row>
        <row r="2711">
          <cell r="E2711" t="str">
            <v>13</v>
          </cell>
          <cell r="J2711">
            <v>0</v>
          </cell>
          <cell r="K2711">
            <v>0</v>
          </cell>
          <cell r="AL2711">
            <v>0</v>
          </cell>
          <cell r="BJ2711" t="str">
            <v>BOT</v>
          </cell>
        </row>
        <row r="2712">
          <cell r="E2712" t="str">
            <v>13</v>
          </cell>
          <cell r="J2712">
            <v>0</v>
          </cell>
          <cell r="K2712">
            <v>0</v>
          </cell>
          <cell r="AL2712">
            <v>0</v>
          </cell>
          <cell r="BJ2712" t="str">
            <v>BOT</v>
          </cell>
        </row>
        <row r="2713">
          <cell r="E2713" t="str">
            <v>13</v>
          </cell>
          <cell r="J2713">
            <v>0</v>
          </cell>
          <cell r="K2713">
            <v>0</v>
          </cell>
          <cell r="AL2713">
            <v>0</v>
          </cell>
          <cell r="BJ2713" t="str">
            <v>BOT</v>
          </cell>
        </row>
        <row r="2714">
          <cell r="E2714" t="str">
            <v>13</v>
          </cell>
          <cell r="J2714">
            <v>0</v>
          </cell>
          <cell r="K2714">
            <v>0</v>
          </cell>
          <cell r="AL2714">
            <v>0</v>
          </cell>
          <cell r="BJ2714" t="str">
            <v>BOT</v>
          </cell>
        </row>
        <row r="2715">
          <cell r="E2715" t="str">
            <v>13</v>
          </cell>
          <cell r="J2715">
            <v>0</v>
          </cell>
          <cell r="K2715">
            <v>0</v>
          </cell>
          <cell r="AL2715">
            <v>0</v>
          </cell>
          <cell r="BJ2715" t="str">
            <v>BOT</v>
          </cell>
        </row>
        <row r="2716">
          <cell r="E2716" t="str">
            <v>11</v>
          </cell>
          <cell r="J2716">
            <v>0</v>
          </cell>
          <cell r="K2716">
            <v>0</v>
          </cell>
          <cell r="AL2716">
            <v>0</v>
          </cell>
          <cell r="BJ2716" t="str">
            <v>BOT</v>
          </cell>
        </row>
        <row r="2717">
          <cell r="E2717" t="str">
            <v>13</v>
          </cell>
          <cell r="J2717">
            <v>0</v>
          </cell>
          <cell r="K2717">
            <v>0</v>
          </cell>
          <cell r="AL2717">
            <v>0</v>
          </cell>
          <cell r="BJ2717" t="str">
            <v>BOT</v>
          </cell>
        </row>
        <row r="2718">
          <cell r="E2718" t="str">
            <v>11</v>
          </cell>
          <cell r="J2718">
            <v>0</v>
          </cell>
          <cell r="K2718">
            <v>0</v>
          </cell>
          <cell r="AL2718">
            <v>0</v>
          </cell>
          <cell r="BJ2718" t="str">
            <v>BOT</v>
          </cell>
        </row>
        <row r="2719">
          <cell r="E2719" t="str">
            <v>13</v>
          </cell>
          <cell r="J2719">
            <v>0</v>
          </cell>
          <cell r="K2719">
            <v>0</v>
          </cell>
          <cell r="AL2719">
            <v>0</v>
          </cell>
          <cell r="BJ2719" t="str">
            <v>BOT</v>
          </cell>
        </row>
        <row r="2720">
          <cell r="E2720" t="str">
            <v>11</v>
          </cell>
          <cell r="J2720">
            <v>0</v>
          </cell>
          <cell r="K2720">
            <v>0</v>
          </cell>
          <cell r="AL2720">
            <v>0</v>
          </cell>
          <cell r="BJ2720" t="str">
            <v>BOT</v>
          </cell>
        </row>
        <row r="2721">
          <cell r="E2721" t="str">
            <v>13</v>
          </cell>
          <cell r="J2721">
            <v>0</v>
          </cell>
          <cell r="K2721">
            <v>0</v>
          </cell>
          <cell r="AL2721">
            <v>0</v>
          </cell>
          <cell r="BJ2721" t="str">
            <v>BOT</v>
          </cell>
        </row>
        <row r="2722">
          <cell r="E2722" t="str">
            <v>13</v>
          </cell>
          <cell r="J2722">
            <v>0</v>
          </cell>
          <cell r="K2722">
            <v>0</v>
          </cell>
          <cell r="AL2722">
            <v>0</v>
          </cell>
          <cell r="BJ2722" t="str">
            <v>BOT</v>
          </cell>
        </row>
        <row r="2723">
          <cell r="E2723" t="str">
            <v>13</v>
          </cell>
          <cell r="J2723">
            <v>0</v>
          </cell>
          <cell r="K2723">
            <v>0</v>
          </cell>
          <cell r="AL2723">
            <v>0</v>
          </cell>
          <cell r="BJ2723" t="str">
            <v>BOT</v>
          </cell>
        </row>
        <row r="2724">
          <cell r="E2724" t="str">
            <v>13</v>
          </cell>
          <cell r="J2724">
            <v>0</v>
          </cell>
          <cell r="K2724">
            <v>0</v>
          </cell>
          <cell r="AL2724">
            <v>0</v>
          </cell>
          <cell r="BJ2724" t="str">
            <v>BOT</v>
          </cell>
        </row>
        <row r="2725">
          <cell r="E2725" t="str">
            <v>20</v>
          </cell>
          <cell r="J2725">
            <v>0</v>
          </cell>
          <cell r="K2725">
            <v>0</v>
          </cell>
          <cell r="AL2725">
            <v>0</v>
          </cell>
          <cell r="BJ2725" t="str">
            <v>BOT</v>
          </cell>
        </row>
        <row r="2726">
          <cell r="E2726" t="str">
            <v>20</v>
          </cell>
          <cell r="J2726">
            <v>0</v>
          </cell>
          <cell r="K2726">
            <v>0</v>
          </cell>
          <cell r="AL2726">
            <v>0</v>
          </cell>
          <cell r="BJ2726" t="str">
            <v>BOT</v>
          </cell>
        </row>
        <row r="2727">
          <cell r="E2727" t="str">
            <v>21</v>
          </cell>
          <cell r="J2727">
            <v>0</v>
          </cell>
          <cell r="K2727">
            <v>0</v>
          </cell>
          <cell r="AL2727">
            <v>0</v>
          </cell>
          <cell r="BJ2727" t="str">
            <v>BOT</v>
          </cell>
        </row>
        <row r="2728">
          <cell r="E2728" t="str">
            <v>24</v>
          </cell>
          <cell r="J2728">
            <v>0</v>
          </cell>
          <cell r="K2728">
            <v>0</v>
          </cell>
          <cell r="AL2728">
            <v>0</v>
          </cell>
          <cell r="BJ2728" t="str">
            <v>BOT</v>
          </cell>
        </row>
        <row r="2729">
          <cell r="E2729" t="str">
            <v>24</v>
          </cell>
          <cell r="J2729">
            <v>0</v>
          </cell>
          <cell r="K2729">
            <v>0</v>
          </cell>
          <cell r="AL2729">
            <v>0</v>
          </cell>
          <cell r="BJ2729" t="str">
            <v>BOT</v>
          </cell>
        </row>
        <row r="2730">
          <cell r="E2730" t="str">
            <v>24</v>
          </cell>
          <cell r="J2730">
            <v>0</v>
          </cell>
          <cell r="K2730">
            <v>0</v>
          </cell>
          <cell r="AL2730">
            <v>0</v>
          </cell>
          <cell r="BJ2730" t="str">
            <v>BOT</v>
          </cell>
        </row>
        <row r="2731">
          <cell r="E2731" t="str">
            <v>24</v>
          </cell>
          <cell r="J2731">
            <v>0</v>
          </cell>
          <cell r="K2731">
            <v>0</v>
          </cell>
          <cell r="AL2731">
            <v>0</v>
          </cell>
          <cell r="BJ2731" t="str">
            <v>BOT</v>
          </cell>
        </row>
        <row r="2732">
          <cell r="E2732" t="str">
            <v>24</v>
          </cell>
          <cell r="J2732">
            <v>0</v>
          </cell>
          <cell r="K2732">
            <v>0</v>
          </cell>
          <cell r="AL2732">
            <v>0</v>
          </cell>
          <cell r="BJ2732" t="str">
            <v>BOT</v>
          </cell>
        </row>
        <row r="2733">
          <cell r="E2733" t="str">
            <v>24</v>
          </cell>
          <cell r="J2733">
            <v>0</v>
          </cell>
          <cell r="K2733">
            <v>0</v>
          </cell>
          <cell r="AL2733">
            <v>0</v>
          </cell>
          <cell r="BJ2733" t="str">
            <v>BOT</v>
          </cell>
        </row>
        <row r="2734">
          <cell r="E2734" t="str">
            <v>24</v>
          </cell>
          <cell r="J2734">
            <v>0</v>
          </cell>
          <cell r="K2734">
            <v>0</v>
          </cell>
          <cell r="AL2734">
            <v>0</v>
          </cell>
          <cell r="BJ2734" t="str">
            <v>BOT</v>
          </cell>
        </row>
        <row r="2735">
          <cell r="E2735" t="str">
            <v>24</v>
          </cell>
          <cell r="J2735">
            <v>0</v>
          </cell>
          <cell r="K2735">
            <v>0</v>
          </cell>
          <cell r="AL2735">
            <v>0</v>
          </cell>
          <cell r="BJ2735" t="str">
            <v>BOT</v>
          </cell>
        </row>
        <row r="2736">
          <cell r="E2736" t="str">
            <v>24</v>
          </cell>
          <cell r="J2736">
            <v>0</v>
          </cell>
          <cell r="K2736">
            <v>0</v>
          </cell>
          <cell r="AL2736">
            <v>0</v>
          </cell>
          <cell r="BJ2736" t="str">
            <v>BOT</v>
          </cell>
        </row>
        <row r="2737">
          <cell r="E2737" t="str">
            <v>24</v>
          </cell>
          <cell r="J2737">
            <v>0</v>
          </cell>
          <cell r="K2737">
            <v>0</v>
          </cell>
          <cell r="AL2737">
            <v>0</v>
          </cell>
          <cell r="BJ2737" t="str">
            <v>BOT</v>
          </cell>
        </row>
        <row r="2738">
          <cell r="E2738" t="str">
            <v>24</v>
          </cell>
          <cell r="J2738">
            <v>0</v>
          </cell>
          <cell r="K2738">
            <v>0</v>
          </cell>
          <cell r="AL2738">
            <v>0</v>
          </cell>
          <cell r="BJ2738" t="str">
            <v>BOT</v>
          </cell>
        </row>
        <row r="2739">
          <cell r="E2739" t="str">
            <v>24</v>
          </cell>
          <cell r="J2739">
            <v>0</v>
          </cell>
          <cell r="K2739">
            <v>0</v>
          </cell>
          <cell r="AL2739">
            <v>0</v>
          </cell>
          <cell r="BJ2739" t="str">
            <v>BOT</v>
          </cell>
        </row>
        <row r="2740">
          <cell r="E2740" t="str">
            <v>24</v>
          </cell>
          <cell r="J2740">
            <v>0</v>
          </cell>
          <cell r="K2740">
            <v>0</v>
          </cell>
          <cell r="AL2740">
            <v>0</v>
          </cell>
          <cell r="BJ2740" t="str">
            <v>BOT</v>
          </cell>
        </row>
        <row r="2741">
          <cell r="E2741" t="str">
            <v>24</v>
          </cell>
          <cell r="J2741">
            <v>0</v>
          </cell>
          <cell r="K2741">
            <v>0</v>
          </cell>
          <cell r="AL2741">
            <v>0</v>
          </cell>
          <cell r="BJ2741" t="str">
            <v>BOT</v>
          </cell>
        </row>
        <row r="2742">
          <cell r="E2742" t="str">
            <v>24</v>
          </cell>
          <cell r="J2742">
            <v>0</v>
          </cell>
          <cell r="K2742">
            <v>0</v>
          </cell>
          <cell r="AL2742">
            <v>0</v>
          </cell>
          <cell r="BJ2742" t="str">
            <v>BOT</v>
          </cell>
        </row>
        <row r="2743">
          <cell r="E2743" t="str">
            <v>24</v>
          </cell>
          <cell r="J2743">
            <v>0</v>
          </cell>
          <cell r="K2743">
            <v>0</v>
          </cell>
          <cell r="AL2743">
            <v>0</v>
          </cell>
          <cell r="BJ2743" t="str">
            <v>BOT</v>
          </cell>
        </row>
        <row r="2744">
          <cell r="E2744" t="str">
            <v>24</v>
          </cell>
          <cell r="J2744">
            <v>0</v>
          </cell>
          <cell r="K2744">
            <v>0</v>
          </cell>
          <cell r="AL2744">
            <v>0</v>
          </cell>
          <cell r="BJ2744" t="str">
            <v>BOT</v>
          </cell>
        </row>
        <row r="2745">
          <cell r="E2745" t="str">
            <v>24</v>
          </cell>
          <cell r="J2745">
            <v>0</v>
          </cell>
          <cell r="K2745">
            <v>0</v>
          </cell>
          <cell r="AL2745">
            <v>0</v>
          </cell>
          <cell r="BJ2745" t="str">
            <v>BOT</v>
          </cell>
        </row>
        <row r="2746">
          <cell r="E2746" t="str">
            <v>24</v>
          </cell>
          <cell r="J2746">
            <v>0</v>
          </cell>
          <cell r="K2746">
            <v>0</v>
          </cell>
          <cell r="AL2746">
            <v>0</v>
          </cell>
          <cell r="BJ2746" t="str">
            <v>BOT</v>
          </cell>
        </row>
        <row r="2747">
          <cell r="E2747" t="str">
            <v>24</v>
          </cell>
          <cell r="J2747">
            <v>0</v>
          </cell>
          <cell r="K2747">
            <v>0</v>
          </cell>
          <cell r="AL2747">
            <v>0</v>
          </cell>
          <cell r="BJ2747" t="str">
            <v>BOT</v>
          </cell>
        </row>
        <row r="2748">
          <cell r="E2748" t="str">
            <v>24</v>
          </cell>
          <cell r="J2748">
            <v>0</v>
          </cell>
          <cell r="K2748">
            <v>0</v>
          </cell>
          <cell r="AL2748">
            <v>0</v>
          </cell>
          <cell r="BJ2748" t="str">
            <v>BOT</v>
          </cell>
        </row>
        <row r="2749">
          <cell r="E2749" t="str">
            <v>24</v>
          </cell>
          <cell r="J2749">
            <v>0</v>
          </cell>
          <cell r="K2749">
            <v>0</v>
          </cell>
          <cell r="AL2749">
            <v>0</v>
          </cell>
          <cell r="BJ2749" t="str">
            <v>BOT</v>
          </cell>
        </row>
        <row r="2750">
          <cell r="E2750" t="str">
            <v>24</v>
          </cell>
          <cell r="J2750">
            <v>0</v>
          </cell>
          <cell r="K2750">
            <v>0</v>
          </cell>
          <cell r="AL2750">
            <v>0</v>
          </cell>
          <cell r="BJ2750" t="str">
            <v>BOT</v>
          </cell>
        </row>
        <row r="2751">
          <cell r="E2751" t="str">
            <v>24</v>
          </cell>
          <cell r="J2751">
            <v>0</v>
          </cell>
          <cell r="K2751">
            <v>0</v>
          </cell>
          <cell r="AL2751">
            <v>0</v>
          </cell>
          <cell r="BJ2751" t="str">
            <v>BOT</v>
          </cell>
        </row>
        <row r="2752">
          <cell r="E2752" t="str">
            <v>24</v>
          </cell>
          <cell r="J2752">
            <v>0</v>
          </cell>
          <cell r="K2752">
            <v>0</v>
          </cell>
          <cell r="AL2752">
            <v>0</v>
          </cell>
          <cell r="BJ2752" t="str">
            <v>BOT</v>
          </cell>
        </row>
        <row r="2753">
          <cell r="E2753" t="str">
            <v>24</v>
          </cell>
          <cell r="J2753">
            <v>0</v>
          </cell>
          <cell r="K2753">
            <v>0</v>
          </cell>
          <cell r="AL2753">
            <v>0</v>
          </cell>
          <cell r="BJ2753" t="str">
            <v>BOT</v>
          </cell>
        </row>
        <row r="2754">
          <cell r="E2754" t="str">
            <v>24</v>
          </cell>
          <cell r="J2754">
            <v>0</v>
          </cell>
          <cell r="K2754">
            <v>0</v>
          </cell>
          <cell r="AL2754">
            <v>0</v>
          </cell>
          <cell r="BJ2754" t="str">
            <v>BOT</v>
          </cell>
        </row>
        <row r="2755">
          <cell r="E2755" t="str">
            <v>24</v>
          </cell>
          <cell r="J2755">
            <v>0</v>
          </cell>
          <cell r="K2755">
            <v>0</v>
          </cell>
          <cell r="AL2755">
            <v>0</v>
          </cell>
          <cell r="BJ2755" t="str">
            <v>BOT</v>
          </cell>
        </row>
        <row r="2756">
          <cell r="E2756" t="str">
            <v>24</v>
          </cell>
          <cell r="J2756">
            <v>0</v>
          </cell>
          <cell r="K2756">
            <v>0</v>
          </cell>
          <cell r="AL2756">
            <v>0</v>
          </cell>
          <cell r="BJ2756" t="str">
            <v>BOT</v>
          </cell>
        </row>
        <row r="2757">
          <cell r="E2757" t="str">
            <v>24</v>
          </cell>
          <cell r="J2757">
            <v>0</v>
          </cell>
          <cell r="K2757">
            <v>0</v>
          </cell>
          <cell r="AL2757">
            <v>0</v>
          </cell>
          <cell r="BJ2757" t="str">
            <v>BOT</v>
          </cell>
        </row>
        <row r="2758">
          <cell r="E2758" t="str">
            <v>24</v>
          </cell>
          <cell r="J2758">
            <v>0</v>
          </cell>
          <cell r="K2758">
            <v>0</v>
          </cell>
          <cell r="AL2758">
            <v>0</v>
          </cell>
          <cell r="BJ2758" t="str">
            <v>BOT</v>
          </cell>
        </row>
        <row r="2759">
          <cell r="E2759" t="str">
            <v>24</v>
          </cell>
          <cell r="J2759">
            <v>0</v>
          </cell>
          <cell r="K2759">
            <v>0</v>
          </cell>
          <cell r="AL2759">
            <v>0</v>
          </cell>
          <cell r="BJ2759" t="str">
            <v>BOT</v>
          </cell>
        </row>
        <row r="2760">
          <cell r="E2760" t="str">
            <v>38</v>
          </cell>
          <cell r="J2760">
            <v>0</v>
          </cell>
          <cell r="K2760">
            <v>0</v>
          </cell>
          <cell r="AL2760">
            <v>0</v>
          </cell>
          <cell r="BJ2760" t="str">
            <v>BOT</v>
          </cell>
        </row>
        <row r="2761">
          <cell r="E2761" t="str">
            <v>38</v>
          </cell>
          <cell r="J2761">
            <v>0</v>
          </cell>
          <cell r="K2761">
            <v>0</v>
          </cell>
          <cell r="AL2761">
            <v>0</v>
          </cell>
          <cell r="BJ2761" t="str">
            <v>BOT</v>
          </cell>
        </row>
        <row r="2762">
          <cell r="E2762" t="str">
            <v>38</v>
          </cell>
          <cell r="J2762">
            <v>0</v>
          </cell>
          <cell r="K2762">
            <v>0</v>
          </cell>
          <cell r="AL2762">
            <v>0</v>
          </cell>
          <cell r="BJ2762" t="str">
            <v>BOT</v>
          </cell>
        </row>
        <row r="2763">
          <cell r="E2763" t="str">
            <v>38</v>
          </cell>
          <cell r="J2763">
            <v>0</v>
          </cell>
          <cell r="K2763">
            <v>0</v>
          </cell>
          <cell r="AL2763">
            <v>0</v>
          </cell>
          <cell r="BJ2763" t="str">
            <v>BOT</v>
          </cell>
        </row>
        <row r="2764">
          <cell r="E2764" t="str">
            <v>38</v>
          </cell>
          <cell r="J2764">
            <v>0</v>
          </cell>
          <cell r="K2764">
            <v>0</v>
          </cell>
          <cell r="AL2764">
            <v>0</v>
          </cell>
          <cell r="BJ2764" t="str">
            <v>BOT</v>
          </cell>
        </row>
        <row r="2765">
          <cell r="E2765" t="str">
            <v>38</v>
          </cell>
          <cell r="J2765">
            <v>0</v>
          </cell>
          <cell r="K2765">
            <v>0</v>
          </cell>
          <cell r="AL2765">
            <v>0</v>
          </cell>
          <cell r="BJ2765" t="str">
            <v>BOT</v>
          </cell>
        </row>
        <row r="2766">
          <cell r="E2766" t="str">
            <v>38</v>
          </cell>
          <cell r="J2766">
            <v>0</v>
          </cell>
          <cell r="K2766">
            <v>0</v>
          </cell>
          <cell r="AL2766">
            <v>0</v>
          </cell>
          <cell r="BJ2766" t="str">
            <v>BOT</v>
          </cell>
        </row>
        <row r="2767">
          <cell r="E2767" t="str">
            <v>38</v>
          </cell>
          <cell r="J2767">
            <v>0</v>
          </cell>
          <cell r="K2767">
            <v>0</v>
          </cell>
          <cell r="AL2767">
            <v>0</v>
          </cell>
          <cell r="BJ2767" t="str">
            <v>BOT</v>
          </cell>
        </row>
        <row r="2768">
          <cell r="E2768" t="str">
            <v>38</v>
          </cell>
          <cell r="J2768">
            <v>0</v>
          </cell>
          <cell r="K2768">
            <v>0</v>
          </cell>
          <cell r="AL2768">
            <v>0</v>
          </cell>
          <cell r="BJ2768" t="str">
            <v>BOT</v>
          </cell>
        </row>
        <row r="2769">
          <cell r="E2769" t="str">
            <v>38</v>
          </cell>
          <cell r="J2769">
            <v>0</v>
          </cell>
          <cell r="K2769">
            <v>0</v>
          </cell>
          <cell r="AL2769">
            <v>0</v>
          </cell>
          <cell r="BJ2769" t="str">
            <v>BOT</v>
          </cell>
        </row>
        <row r="2770">
          <cell r="E2770" t="str">
            <v>38</v>
          </cell>
          <cell r="J2770">
            <v>0</v>
          </cell>
          <cell r="K2770">
            <v>0</v>
          </cell>
          <cell r="AL2770">
            <v>0</v>
          </cell>
          <cell r="BJ2770" t="str">
            <v>BOT</v>
          </cell>
        </row>
        <row r="2771">
          <cell r="E2771" t="str">
            <v>38</v>
          </cell>
          <cell r="J2771">
            <v>0</v>
          </cell>
          <cell r="K2771">
            <v>0</v>
          </cell>
          <cell r="AL2771">
            <v>0</v>
          </cell>
          <cell r="BJ2771" t="str">
            <v>BOT</v>
          </cell>
        </row>
        <row r="2772">
          <cell r="E2772" t="str">
            <v>38</v>
          </cell>
          <cell r="J2772">
            <v>0</v>
          </cell>
          <cell r="K2772">
            <v>0</v>
          </cell>
          <cell r="AL2772">
            <v>0</v>
          </cell>
          <cell r="BJ2772" t="str">
            <v>BOT</v>
          </cell>
        </row>
        <row r="2773">
          <cell r="E2773" t="str">
            <v>38</v>
          </cell>
          <cell r="J2773">
            <v>0</v>
          </cell>
          <cell r="K2773">
            <v>0</v>
          </cell>
          <cell r="AL2773">
            <v>0</v>
          </cell>
          <cell r="BJ2773" t="str">
            <v>BOT</v>
          </cell>
        </row>
        <row r="2774">
          <cell r="E2774" t="str">
            <v>38</v>
          </cell>
          <cell r="J2774">
            <v>0</v>
          </cell>
          <cell r="K2774">
            <v>0</v>
          </cell>
          <cell r="AL2774">
            <v>0</v>
          </cell>
          <cell r="BJ2774" t="str">
            <v>BOT</v>
          </cell>
        </row>
        <row r="2775">
          <cell r="E2775" t="str">
            <v>38</v>
          </cell>
          <cell r="J2775">
            <v>0</v>
          </cell>
          <cell r="K2775">
            <v>0</v>
          </cell>
          <cell r="AL2775">
            <v>0</v>
          </cell>
          <cell r="BJ2775" t="str">
            <v>BOT</v>
          </cell>
        </row>
        <row r="2776">
          <cell r="E2776" t="str">
            <v>38</v>
          </cell>
          <cell r="J2776">
            <v>0</v>
          </cell>
          <cell r="K2776">
            <v>0</v>
          </cell>
          <cell r="AL2776">
            <v>0</v>
          </cell>
          <cell r="BJ2776" t="str">
            <v>BOT</v>
          </cell>
        </row>
        <row r="2777">
          <cell r="E2777" t="str">
            <v>38</v>
          </cell>
          <cell r="J2777">
            <v>0</v>
          </cell>
          <cell r="K2777">
            <v>0</v>
          </cell>
          <cell r="AL2777">
            <v>0</v>
          </cell>
          <cell r="BJ2777" t="str">
            <v>BOT</v>
          </cell>
        </row>
        <row r="2778">
          <cell r="E2778" t="str">
            <v>38</v>
          </cell>
          <cell r="J2778">
            <v>0</v>
          </cell>
          <cell r="K2778">
            <v>0</v>
          </cell>
          <cell r="AL2778">
            <v>0</v>
          </cell>
          <cell r="BJ2778" t="str">
            <v>BOT</v>
          </cell>
        </row>
        <row r="2779">
          <cell r="E2779" t="str">
            <v>38</v>
          </cell>
          <cell r="J2779">
            <v>0</v>
          </cell>
          <cell r="K2779">
            <v>0</v>
          </cell>
          <cell r="AL2779">
            <v>0</v>
          </cell>
          <cell r="BJ2779" t="str">
            <v>BOT</v>
          </cell>
        </row>
        <row r="2780">
          <cell r="E2780" t="str">
            <v>38</v>
          </cell>
          <cell r="J2780">
            <v>0</v>
          </cell>
          <cell r="K2780">
            <v>0</v>
          </cell>
          <cell r="AL2780">
            <v>0</v>
          </cell>
          <cell r="BJ2780" t="str">
            <v>BOT</v>
          </cell>
        </row>
        <row r="2781">
          <cell r="E2781" t="str">
            <v>38</v>
          </cell>
          <cell r="J2781">
            <v>0</v>
          </cell>
          <cell r="K2781">
            <v>0</v>
          </cell>
          <cell r="AL2781">
            <v>0</v>
          </cell>
          <cell r="BJ2781" t="str">
            <v>BOT</v>
          </cell>
        </row>
        <row r="2782">
          <cell r="E2782" t="str">
            <v>38</v>
          </cell>
          <cell r="J2782">
            <v>0</v>
          </cell>
          <cell r="K2782">
            <v>0</v>
          </cell>
          <cell r="AL2782">
            <v>0</v>
          </cell>
          <cell r="BJ2782" t="str">
            <v>BOT</v>
          </cell>
        </row>
        <row r="2783">
          <cell r="E2783" t="str">
            <v>38</v>
          </cell>
          <cell r="J2783">
            <v>0</v>
          </cell>
          <cell r="K2783">
            <v>0</v>
          </cell>
          <cell r="AL2783">
            <v>0</v>
          </cell>
          <cell r="BJ2783" t="str">
            <v>BOT</v>
          </cell>
        </row>
        <row r="2784">
          <cell r="E2784" t="str">
            <v>38</v>
          </cell>
          <cell r="J2784">
            <v>0</v>
          </cell>
          <cell r="K2784">
            <v>0</v>
          </cell>
          <cell r="AL2784">
            <v>0</v>
          </cell>
          <cell r="BJ2784" t="str">
            <v>BOT</v>
          </cell>
        </row>
        <row r="2785">
          <cell r="E2785" t="str">
            <v>38</v>
          </cell>
          <cell r="J2785">
            <v>0</v>
          </cell>
          <cell r="K2785">
            <v>0</v>
          </cell>
          <cell r="AL2785">
            <v>0</v>
          </cell>
          <cell r="BJ2785" t="str">
            <v>BOT</v>
          </cell>
        </row>
        <row r="2786">
          <cell r="E2786" t="str">
            <v>38</v>
          </cell>
          <cell r="J2786">
            <v>0</v>
          </cell>
          <cell r="K2786">
            <v>0</v>
          </cell>
          <cell r="AL2786">
            <v>0</v>
          </cell>
          <cell r="BJ2786" t="str">
            <v>BOT</v>
          </cell>
        </row>
        <row r="2787">
          <cell r="E2787" t="str">
            <v>38</v>
          </cell>
          <cell r="J2787">
            <v>0</v>
          </cell>
          <cell r="K2787">
            <v>0</v>
          </cell>
          <cell r="AL2787">
            <v>0</v>
          </cell>
          <cell r="BJ2787" t="str">
            <v>BOT</v>
          </cell>
        </row>
        <row r="2788">
          <cell r="E2788" t="str">
            <v>38</v>
          </cell>
          <cell r="J2788">
            <v>0</v>
          </cell>
          <cell r="K2788">
            <v>0</v>
          </cell>
          <cell r="AL2788">
            <v>0</v>
          </cell>
          <cell r="BJ2788" t="str">
            <v>BOT</v>
          </cell>
        </row>
        <row r="2789">
          <cell r="E2789" t="str">
            <v>38</v>
          </cell>
          <cell r="J2789">
            <v>0</v>
          </cell>
          <cell r="K2789">
            <v>0</v>
          </cell>
          <cell r="AL2789">
            <v>0</v>
          </cell>
          <cell r="BJ2789" t="str">
            <v>BOT</v>
          </cell>
        </row>
        <row r="2790">
          <cell r="E2790" t="str">
            <v>35</v>
          </cell>
          <cell r="J2790">
            <v>0</v>
          </cell>
          <cell r="K2790">
            <v>0</v>
          </cell>
          <cell r="AL2790">
            <v>0</v>
          </cell>
          <cell r="BJ2790" t="str">
            <v>BOT</v>
          </cell>
        </row>
        <row r="2791">
          <cell r="E2791" t="str">
            <v>35</v>
          </cell>
          <cell r="J2791">
            <v>0</v>
          </cell>
          <cell r="K2791">
            <v>0</v>
          </cell>
          <cell r="AL2791">
            <v>0</v>
          </cell>
          <cell r="BJ2791" t="str">
            <v>BOT</v>
          </cell>
        </row>
        <row r="2792">
          <cell r="E2792" t="str">
            <v>35</v>
          </cell>
          <cell r="J2792">
            <v>0</v>
          </cell>
          <cell r="K2792">
            <v>0</v>
          </cell>
          <cell r="AL2792">
            <v>0</v>
          </cell>
          <cell r="BJ2792" t="str">
            <v>BOT</v>
          </cell>
        </row>
        <row r="2793">
          <cell r="E2793" t="str">
            <v>35</v>
          </cell>
          <cell r="J2793">
            <v>0</v>
          </cell>
          <cell r="K2793">
            <v>0</v>
          </cell>
          <cell r="AL2793">
            <v>0</v>
          </cell>
          <cell r="BJ2793" t="str">
            <v>BOT</v>
          </cell>
        </row>
        <row r="2794">
          <cell r="E2794" t="str">
            <v>35</v>
          </cell>
          <cell r="J2794">
            <v>0</v>
          </cell>
          <cell r="K2794">
            <v>0</v>
          </cell>
          <cell r="AL2794">
            <v>0</v>
          </cell>
          <cell r="BJ2794" t="str">
            <v>BOT</v>
          </cell>
        </row>
        <row r="2795">
          <cell r="E2795" t="str">
            <v>35</v>
          </cell>
          <cell r="J2795">
            <v>0</v>
          </cell>
          <cell r="K2795">
            <v>0</v>
          </cell>
          <cell r="AL2795">
            <v>0</v>
          </cell>
          <cell r="BJ2795" t="str">
            <v>BOT</v>
          </cell>
        </row>
        <row r="2796">
          <cell r="E2796" t="str">
            <v>35</v>
          </cell>
          <cell r="J2796">
            <v>0</v>
          </cell>
          <cell r="K2796">
            <v>0</v>
          </cell>
          <cell r="AL2796">
            <v>0</v>
          </cell>
          <cell r="BJ2796" t="str">
            <v>BOT</v>
          </cell>
        </row>
        <row r="2797">
          <cell r="E2797" t="str">
            <v>35</v>
          </cell>
          <cell r="J2797">
            <v>0</v>
          </cell>
          <cell r="K2797">
            <v>0</v>
          </cell>
          <cell r="AL2797">
            <v>0</v>
          </cell>
          <cell r="BJ2797" t="str">
            <v>BOT</v>
          </cell>
        </row>
        <row r="2798">
          <cell r="E2798" t="str">
            <v>35</v>
          </cell>
          <cell r="J2798">
            <v>0</v>
          </cell>
          <cell r="K2798">
            <v>0</v>
          </cell>
          <cell r="AL2798">
            <v>0</v>
          </cell>
          <cell r="BJ2798" t="str">
            <v>BOT</v>
          </cell>
        </row>
        <row r="2799">
          <cell r="E2799" t="str">
            <v>35</v>
          </cell>
          <cell r="J2799">
            <v>0</v>
          </cell>
          <cell r="K2799">
            <v>0</v>
          </cell>
          <cell r="AL2799">
            <v>0</v>
          </cell>
          <cell r="BJ2799" t="str">
            <v>BOT</v>
          </cell>
        </row>
        <row r="2800">
          <cell r="E2800" t="str">
            <v>35</v>
          </cell>
          <cell r="J2800">
            <v>0</v>
          </cell>
          <cell r="K2800">
            <v>0</v>
          </cell>
          <cell r="AL2800">
            <v>0</v>
          </cell>
          <cell r="BJ2800" t="str">
            <v>BOT</v>
          </cell>
        </row>
        <row r="2801">
          <cell r="E2801" t="str">
            <v>35</v>
          </cell>
          <cell r="J2801">
            <v>0</v>
          </cell>
          <cell r="K2801">
            <v>0</v>
          </cell>
          <cell r="AL2801">
            <v>0</v>
          </cell>
          <cell r="BJ2801" t="str">
            <v>BOT</v>
          </cell>
        </row>
        <row r="2802">
          <cell r="E2802" t="str">
            <v>35</v>
          </cell>
          <cell r="J2802">
            <v>0</v>
          </cell>
          <cell r="K2802">
            <v>0</v>
          </cell>
          <cell r="AL2802">
            <v>0</v>
          </cell>
          <cell r="BJ2802" t="str">
            <v>BOT</v>
          </cell>
        </row>
        <row r="2803">
          <cell r="E2803" t="str">
            <v>35</v>
          </cell>
          <cell r="J2803">
            <v>0</v>
          </cell>
          <cell r="K2803">
            <v>0</v>
          </cell>
          <cell r="AL2803">
            <v>0</v>
          </cell>
          <cell r="BJ2803" t="str">
            <v>BOT</v>
          </cell>
        </row>
        <row r="2804">
          <cell r="E2804" t="str">
            <v>47</v>
          </cell>
          <cell r="J2804">
            <v>0</v>
          </cell>
          <cell r="K2804">
            <v>0</v>
          </cell>
          <cell r="AL2804">
            <v>0</v>
          </cell>
          <cell r="BJ2804" t="str">
            <v>BOT</v>
          </cell>
        </row>
        <row r="2805">
          <cell r="E2805" t="str">
            <v>46</v>
          </cell>
          <cell r="J2805">
            <v>0</v>
          </cell>
          <cell r="K2805">
            <v>0</v>
          </cell>
          <cell r="AL2805">
            <v>0</v>
          </cell>
          <cell r="BJ2805" t="str">
            <v>BOT</v>
          </cell>
        </row>
        <row r="2806">
          <cell r="E2806" t="str">
            <v>47</v>
          </cell>
          <cell r="J2806">
            <v>0</v>
          </cell>
          <cell r="K2806">
            <v>0</v>
          </cell>
          <cell r="AL2806">
            <v>0</v>
          </cell>
          <cell r="BJ2806" t="str">
            <v>BOT</v>
          </cell>
        </row>
        <row r="2807">
          <cell r="E2807" t="str">
            <v>47</v>
          </cell>
          <cell r="J2807">
            <v>0</v>
          </cell>
          <cell r="K2807">
            <v>0</v>
          </cell>
          <cell r="AL2807">
            <v>0</v>
          </cell>
          <cell r="BJ2807" t="str">
            <v>BOT</v>
          </cell>
        </row>
        <row r="2808">
          <cell r="E2808" t="str">
            <v>48</v>
          </cell>
          <cell r="J2808">
            <v>0</v>
          </cell>
          <cell r="K2808">
            <v>0</v>
          </cell>
          <cell r="AL2808">
            <v>0</v>
          </cell>
          <cell r="BJ2808" t="str">
            <v>BOT</v>
          </cell>
        </row>
        <row r="2809">
          <cell r="E2809" t="str">
            <v>47</v>
          </cell>
          <cell r="J2809">
            <v>0</v>
          </cell>
          <cell r="K2809">
            <v>0</v>
          </cell>
          <cell r="AL2809">
            <v>0</v>
          </cell>
          <cell r="BJ2809" t="str">
            <v>BOT</v>
          </cell>
        </row>
        <row r="2810">
          <cell r="E2810" t="str">
            <v>47</v>
          </cell>
          <cell r="J2810">
            <v>0</v>
          </cell>
          <cell r="K2810">
            <v>0</v>
          </cell>
          <cell r="AL2810">
            <v>0</v>
          </cell>
          <cell r="BJ2810" t="str">
            <v>BOT</v>
          </cell>
        </row>
        <row r="2811">
          <cell r="E2811" t="str">
            <v>47</v>
          </cell>
          <cell r="J2811">
            <v>0</v>
          </cell>
          <cell r="K2811">
            <v>0</v>
          </cell>
          <cell r="AL2811">
            <v>0</v>
          </cell>
          <cell r="BJ2811" t="str">
            <v>BOT</v>
          </cell>
        </row>
        <row r="2812">
          <cell r="E2812" t="str">
            <v>47</v>
          </cell>
          <cell r="J2812">
            <v>0</v>
          </cell>
          <cell r="K2812">
            <v>0</v>
          </cell>
          <cell r="AL2812">
            <v>0</v>
          </cell>
          <cell r="BJ2812" t="str">
            <v>BOT</v>
          </cell>
        </row>
        <row r="2813">
          <cell r="E2813" t="str">
            <v>47</v>
          </cell>
          <cell r="J2813">
            <v>0</v>
          </cell>
          <cell r="K2813">
            <v>0</v>
          </cell>
          <cell r="AL2813">
            <v>0</v>
          </cell>
          <cell r="BJ2813" t="str">
            <v>BOT</v>
          </cell>
        </row>
        <row r="2814">
          <cell r="E2814" t="str">
            <v>38</v>
          </cell>
          <cell r="J2814">
            <v>0</v>
          </cell>
          <cell r="K2814">
            <v>0</v>
          </cell>
          <cell r="AL2814">
            <v>0</v>
          </cell>
          <cell r="BJ2814" t="str">
            <v>BOT</v>
          </cell>
        </row>
        <row r="2815">
          <cell r="E2815" t="str">
            <v>38</v>
          </cell>
          <cell r="J2815">
            <v>0</v>
          </cell>
          <cell r="K2815">
            <v>0</v>
          </cell>
          <cell r="AL2815">
            <v>0</v>
          </cell>
          <cell r="BJ2815" t="str">
            <v>BOT</v>
          </cell>
        </row>
        <row r="2816">
          <cell r="E2816" t="str">
            <v>50</v>
          </cell>
          <cell r="J2816">
            <v>0</v>
          </cell>
          <cell r="K2816">
            <v>0</v>
          </cell>
          <cell r="AL2816">
            <v>0</v>
          </cell>
          <cell r="BJ2816" t="str">
            <v>BOT</v>
          </cell>
        </row>
        <row r="2817">
          <cell r="E2817" t="str">
            <v>45</v>
          </cell>
          <cell r="J2817">
            <v>0</v>
          </cell>
          <cell r="K2817">
            <v>0</v>
          </cell>
          <cell r="AL2817">
            <v>0</v>
          </cell>
          <cell r="BJ2817" t="str">
            <v>BOT</v>
          </cell>
        </row>
        <row r="2818">
          <cell r="E2818" t="str">
            <v>45</v>
          </cell>
          <cell r="J2818">
            <v>0</v>
          </cell>
          <cell r="K2818">
            <v>0</v>
          </cell>
          <cell r="AL2818">
            <v>0</v>
          </cell>
          <cell r="BJ2818" t="str">
            <v>BOT</v>
          </cell>
        </row>
        <row r="2819">
          <cell r="E2819" t="str">
            <v>45</v>
          </cell>
          <cell r="J2819">
            <v>0</v>
          </cell>
          <cell r="K2819">
            <v>0</v>
          </cell>
          <cell r="AL2819">
            <v>0</v>
          </cell>
          <cell r="BJ2819" t="str">
            <v>BOT</v>
          </cell>
        </row>
        <row r="2820">
          <cell r="E2820" t="str">
            <v>45</v>
          </cell>
          <cell r="J2820">
            <v>0</v>
          </cell>
          <cell r="K2820">
            <v>0</v>
          </cell>
          <cell r="AL2820">
            <v>0</v>
          </cell>
          <cell r="BJ2820" t="str">
            <v>BOT</v>
          </cell>
        </row>
        <row r="2821">
          <cell r="E2821" t="str">
            <v>45</v>
          </cell>
          <cell r="J2821">
            <v>0</v>
          </cell>
          <cell r="K2821">
            <v>0</v>
          </cell>
          <cell r="AL2821">
            <v>0</v>
          </cell>
          <cell r="BJ2821" t="str">
            <v>BOT</v>
          </cell>
        </row>
        <row r="2822">
          <cell r="E2822" t="str">
            <v>45</v>
          </cell>
          <cell r="J2822">
            <v>0</v>
          </cell>
          <cell r="K2822">
            <v>0</v>
          </cell>
          <cell r="AL2822">
            <v>0</v>
          </cell>
          <cell r="BJ2822" t="str">
            <v>BOT</v>
          </cell>
        </row>
        <row r="2823">
          <cell r="E2823" t="str">
            <v>45</v>
          </cell>
          <cell r="J2823">
            <v>0</v>
          </cell>
          <cell r="K2823">
            <v>0</v>
          </cell>
          <cell r="AL2823">
            <v>0</v>
          </cell>
          <cell r="BJ2823" t="str">
            <v>BOT</v>
          </cell>
        </row>
        <row r="2824">
          <cell r="E2824" t="str">
            <v>45</v>
          </cell>
          <cell r="J2824">
            <v>0</v>
          </cell>
          <cell r="K2824">
            <v>0</v>
          </cell>
          <cell r="AL2824">
            <v>0</v>
          </cell>
          <cell r="BJ2824" t="str">
            <v>BOT</v>
          </cell>
        </row>
        <row r="2825">
          <cell r="E2825" t="str">
            <v>45</v>
          </cell>
          <cell r="J2825">
            <v>0</v>
          </cell>
          <cell r="K2825">
            <v>0</v>
          </cell>
          <cell r="AL2825">
            <v>0</v>
          </cell>
          <cell r="BJ2825" t="str">
            <v>BOT</v>
          </cell>
        </row>
        <row r="2826">
          <cell r="E2826" t="str">
            <v>45</v>
          </cell>
          <cell r="J2826">
            <v>0</v>
          </cell>
          <cell r="K2826">
            <v>0</v>
          </cell>
          <cell r="AL2826">
            <v>0</v>
          </cell>
          <cell r="BJ2826" t="str">
            <v>BOT</v>
          </cell>
        </row>
        <row r="2827">
          <cell r="E2827" t="str">
            <v>45</v>
          </cell>
          <cell r="J2827">
            <v>0</v>
          </cell>
          <cell r="K2827">
            <v>0</v>
          </cell>
          <cell r="AL2827">
            <v>0</v>
          </cell>
          <cell r="BJ2827" t="str">
            <v>BOT</v>
          </cell>
        </row>
        <row r="2828">
          <cell r="E2828" t="str">
            <v>45</v>
          </cell>
          <cell r="J2828">
            <v>0</v>
          </cell>
          <cell r="K2828">
            <v>0</v>
          </cell>
          <cell r="AL2828">
            <v>0</v>
          </cell>
          <cell r="BJ2828" t="str">
            <v>BOT</v>
          </cell>
        </row>
        <row r="2829">
          <cell r="E2829" t="str">
            <v>45</v>
          </cell>
          <cell r="J2829">
            <v>0</v>
          </cell>
          <cell r="K2829">
            <v>0</v>
          </cell>
          <cell r="AL2829">
            <v>0</v>
          </cell>
          <cell r="BJ2829" t="str">
            <v>BOT</v>
          </cell>
        </row>
        <row r="2830">
          <cell r="E2830" t="str">
            <v>45</v>
          </cell>
          <cell r="J2830">
            <v>0</v>
          </cell>
          <cell r="K2830">
            <v>0</v>
          </cell>
          <cell r="AL2830">
            <v>0</v>
          </cell>
          <cell r="BJ2830" t="str">
            <v>BOT</v>
          </cell>
        </row>
        <row r="2831">
          <cell r="E2831" t="str">
            <v>45</v>
          </cell>
          <cell r="J2831">
            <v>0</v>
          </cell>
          <cell r="K2831">
            <v>0</v>
          </cell>
          <cell r="AL2831">
            <v>0</v>
          </cell>
          <cell r="BJ2831" t="str">
            <v>BOT</v>
          </cell>
        </row>
        <row r="2832">
          <cell r="E2832" t="str">
            <v>45</v>
          </cell>
          <cell r="J2832">
            <v>0</v>
          </cell>
          <cell r="K2832">
            <v>0</v>
          </cell>
          <cell r="AL2832">
            <v>0</v>
          </cell>
          <cell r="BJ2832" t="str">
            <v>BOT</v>
          </cell>
        </row>
        <row r="2833">
          <cell r="E2833" t="str">
            <v>45</v>
          </cell>
          <cell r="J2833">
            <v>0</v>
          </cell>
          <cell r="K2833">
            <v>0</v>
          </cell>
          <cell r="AL2833">
            <v>0</v>
          </cell>
          <cell r="BJ2833" t="str">
            <v>BOT</v>
          </cell>
        </row>
        <row r="2834">
          <cell r="E2834" t="str">
            <v>45</v>
          </cell>
          <cell r="J2834">
            <v>0</v>
          </cell>
          <cell r="K2834">
            <v>0</v>
          </cell>
          <cell r="AL2834">
            <v>0</v>
          </cell>
          <cell r="BJ2834" t="str">
            <v>BOT</v>
          </cell>
        </row>
        <row r="2835">
          <cell r="E2835" t="str">
            <v>45</v>
          </cell>
          <cell r="J2835">
            <v>0</v>
          </cell>
          <cell r="K2835">
            <v>0</v>
          </cell>
          <cell r="AL2835">
            <v>0</v>
          </cell>
          <cell r="BJ2835" t="str">
            <v>BOT</v>
          </cell>
        </row>
        <row r="2836">
          <cell r="E2836" t="str">
            <v>45</v>
          </cell>
          <cell r="J2836">
            <v>0</v>
          </cell>
          <cell r="K2836">
            <v>0</v>
          </cell>
          <cell r="AL2836">
            <v>0</v>
          </cell>
          <cell r="BJ2836" t="str">
            <v>BOT</v>
          </cell>
        </row>
        <row r="2837">
          <cell r="E2837" t="str">
            <v>45</v>
          </cell>
          <cell r="J2837">
            <v>0</v>
          </cell>
          <cell r="K2837">
            <v>0</v>
          </cell>
          <cell r="AL2837">
            <v>0</v>
          </cell>
          <cell r="BJ2837" t="str">
            <v>BOT</v>
          </cell>
        </row>
        <row r="2838">
          <cell r="E2838" t="str">
            <v>45</v>
          </cell>
          <cell r="J2838">
            <v>0</v>
          </cell>
          <cell r="K2838">
            <v>0</v>
          </cell>
          <cell r="AL2838">
            <v>0</v>
          </cell>
          <cell r="BJ2838" t="str">
            <v>BOT</v>
          </cell>
        </row>
        <row r="2839">
          <cell r="E2839" t="str">
            <v>45</v>
          </cell>
          <cell r="J2839">
            <v>0</v>
          </cell>
          <cell r="K2839">
            <v>0</v>
          </cell>
          <cell r="AL2839">
            <v>0</v>
          </cell>
          <cell r="BJ2839" t="str">
            <v>BOT</v>
          </cell>
        </row>
        <row r="2840">
          <cell r="E2840" t="str">
            <v>45</v>
          </cell>
          <cell r="J2840">
            <v>0</v>
          </cell>
          <cell r="K2840">
            <v>0</v>
          </cell>
          <cell r="AL2840">
            <v>0</v>
          </cell>
          <cell r="BJ2840" t="str">
            <v>BOT</v>
          </cell>
        </row>
        <row r="2841">
          <cell r="E2841" t="str">
            <v>45</v>
          </cell>
          <cell r="J2841">
            <v>0</v>
          </cell>
          <cell r="K2841">
            <v>0</v>
          </cell>
          <cell r="AL2841">
            <v>0</v>
          </cell>
          <cell r="BJ2841" t="str">
            <v>BOT</v>
          </cell>
        </row>
        <row r="2842">
          <cell r="E2842" t="str">
            <v>45</v>
          </cell>
          <cell r="J2842">
            <v>0</v>
          </cell>
          <cell r="K2842">
            <v>0</v>
          </cell>
          <cell r="AL2842">
            <v>0</v>
          </cell>
          <cell r="BJ2842" t="str">
            <v>BOT</v>
          </cell>
        </row>
        <row r="2843">
          <cell r="E2843" t="str">
            <v>45</v>
          </cell>
          <cell r="J2843">
            <v>0</v>
          </cell>
          <cell r="K2843">
            <v>0</v>
          </cell>
          <cell r="AL2843">
            <v>0</v>
          </cell>
          <cell r="BJ2843" t="str">
            <v>BOT</v>
          </cell>
        </row>
        <row r="2844">
          <cell r="E2844" t="str">
            <v>50</v>
          </cell>
          <cell r="J2844">
            <v>0</v>
          </cell>
          <cell r="K2844">
            <v>0</v>
          </cell>
          <cell r="AL2844">
            <v>0</v>
          </cell>
          <cell r="BJ2844" t="str">
            <v>BOT</v>
          </cell>
        </row>
        <row r="2845">
          <cell r="E2845" t="str">
            <v>50</v>
          </cell>
          <cell r="J2845">
            <v>0</v>
          </cell>
          <cell r="K2845">
            <v>0</v>
          </cell>
          <cell r="AL2845">
            <v>0</v>
          </cell>
          <cell r="BJ2845" t="str">
            <v>BOT</v>
          </cell>
        </row>
        <row r="2846">
          <cell r="E2846" t="str">
            <v>50</v>
          </cell>
          <cell r="J2846">
            <v>0</v>
          </cell>
          <cell r="K2846">
            <v>0</v>
          </cell>
          <cell r="AL2846">
            <v>0</v>
          </cell>
          <cell r="BJ2846" t="str">
            <v>BOT</v>
          </cell>
        </row>
        <row r="2847">
          <cell r="E2847" t="str">
            <v>51</v>
          </cell>
          <cell r="J2847">
            <v>0</v>
          </cell>
          <cell r="K2847">
            <v>0</v>
          </cell>
          <cell r="AL2847">
            <v>0</v>
          </cell>
          <cell r="BJ2847" t="str">
            <v>BOT</v>
          </cell>
        </row>
        <row r="2848">
          <cell r="E2848" t="str">
            <v>50</v>
          </cell>
          <cell r="J2848">
            <v>0</v>
          </cell>
          <cell r="K2848">
            <v>0</v>
          </cell>
          <cell r="AL2848">
            <v>0</v>
          </cell>
          <cell r="BJ2848" t="str">
            <v>BOT</v>
          </cell>
        </row>
        <row r="2849">
          <cell r="E2849" t="str">
            <v>50</v>
          </cell>
          <cell r="J2849">
            <v>0</v>
          </cell>
          <cell r="K2849">
            <v>0</v>
          </cell>
          <cell r="AL2849">
            <v>0</v>
          </cell>
          <cell r="BJ2849" t="str">
            <v>BOT</v>
          </cell>
        </row>
        <row r="2850">
          <cell r="E2850" t="str">
            <v>50</v>
          </cell>
          <cell r="J2850">
            <v>0</v>
          </cell>
          <cell r="K2850">
            <v>0</v>
          </cell>
          <cell r="AL2850">
            <v>0</v>
          </cell>
          <cell r="BJ2850" t="str">
            <v>BOT</v>
          </cell>
        </row>
        <row r="2851">
          <cell r="E2851" t="str">
            <v>50</v>
          </cell>
          <cell r="J2851">
            <v>0</v>
          </cell>
          <cell r="K2851">
            <v>0</v>
          </cell>
          <cell r="AL2851">
            <v>0</v>
          </cell>
          <cell r="BJ2851" t="str">
            <v>BOT</v>
          </cell>
        </row>
        <row r="2852">
          <cell r="E2852" t="str">
            <v>50</v>
          </cell>
          <cell r="J2852">
            <v>0</v>
          </cell>
          <cell r="K2852">
            <v>0</v>
          </cell>
          <cell r="AL2852">
            <v>0</v>
          </cell>
          <cell r="BJ2852" t="str">
            <v>BOT</v>
          </cell>
        </row>
        <row r="2853">
          <cell r="E2853" t="str">
            <v>50</v>
          </cell>
          <cell r="J2853">
            <v>0</v>
          </cell>
          <cell r="K2853">
            <v>0</v>
          </cell>
          <cell r="AL2853">
            <v>0</v>
          </cell>
          <cell r="BJ2853" t="str">
            <v>BOT</v>
          </cell>
        </row>
        <row r="2854">
          <cell r="E2854" t="str">
            <v>50</v>
          </cell>
          <cell r="J2854">
            <v>0</v>
          </cell>
          <cell r="K2854">
            <v>0</v>
          </cell>
          <cell r="AL2854">
            <v>0</v>
          </cell>
          <cell r="BJ2854" t="str">
            <v>BOT</v>
          </cell>
        </row>
        <row r="2855">
          <cell r="E2855" t="str">
            <v>50</v>
          </cell>
          <cell r="J2855">
            <v>0</v>
          </cell>
          <cell r="K2855">
            <v>0</v>
          </cell>
          <cell r="AL2855">
            <v>0</v>
          </cell>
          <cell r="BJ2855" t="str">
            <v>BOT</v>
          </cell>
        </row>
        <row r="2856">
          <cell r="E2856" t="str">
            <v>50</v>
          </cell>
          <cell r="J2856">
            <v>0</v>
          </cell>
          <cell r="K2856">
            <v>0</v>
          </cell>
          <cell r="AL2856">
            <v>0</v>
          </cell>
          <cell r="BJ2856" t="str">
            <v>BOT</v>
          </cell>
        </row>
        <row r="2857">
          <cell r="E2857" t="str">
            <v>50</v>
          </cell>
          <cell r="J2857">
            <v>0</v>
          </cell>
          <cell r="K2857">
            <v>0</v>
          </cell>
          <cell r="AL2857">
            <v>0</v>
          </cell>
          <cell r="BJ2857" t="str">
            <v>BOT</v>
          </cell>
        </row>
        <row r="2858">
          <cell r="E2858" t="str">
            <v>50</v>
          </cell>
          <cell r="J2858">
            <v>0</v>
          </cell>
          <cell r="K2858">
            <v>0</v>
          </cell>
          <cell r="AL2858">
            <v>0</v>
          </cell>
          <cell r="BJ2858" t="str">
            <v>BOT</v>
          </cell>
        </row>
        <row r="2859">
          <cell r="E2859" t="str">
            <v>50</v>
          </cell>
          <cell r="J2859">
            <v>0</v>
          </cell>
          <cell r="K2859">
            <v>0</v>
          </cell>
          <cell r="AL2859">
            <v>0</v>
          </cell>
          <cell r="BJ2859" t="str">
            <v>BOT</v>
          </cell>
        </row>
        <row r="2860">
          <cell r="E2860" t="str">
            <v>11</v>
          </cell>
          <cell r="J2860">
            <v>0</v>
          </cell>
          <cell r="K2860">
            <v>0</v>
          </cell>
          <cell r="AL2860">
            <v>0</v>
          </cell>
          <cell r="BJ2860" t="str">
            <v>RSA</v>
          </cell>
        </row>
        <row r="2861">
          <cell r="E2861" t="str">
            <v>45</v>
          </cell>
          <cell r="J2861">
            <v>0</v>
          </cell>
          <cell r="K2861">
            <v>0</v>
          </cell>
          <cell r="AL2861">
            <v>0</v>
          </cell>
          <cell r="BJ2861" t="str">
            <v>RSA</v>
          </cell>
        </row>
        <row r="2862">
          <cell r="E2862" t="str">
            <v>45</v>
          </cell>
          <cell r="J2862">
            <v>0</v>
          </cell>
          <cell r="K2862">
            <v>0</v>
          </cell>
          <cell r="AL2862">
            <v>0</v>
          </cell>
          <cell r="BJ2862" t="str">
            <v>RSA</v>
          </cell>
        </row>
        <row r="2863">
          <cell r="E2863" t="str">
            <v>11</v>
          </cell>
          <cell r="J2863">
            <v>0</v>
          </cell>
          <cell r="K2863">
            <v>0</v>
          </cell>
          <cell r="AL2863">
            <v>0</v>
          </cell>
          <cell r="BJ2863" t="str">
            <v>RSA</v>
          </cell>
        </row>
        <row r="2864">
          <cell r="E2864" t="str">
            <v>11</v>
          </cell>
          <cell r="J2864">
            <v>0</v>
          </cell>
          <cell r="K2864">
            <v>0</v>
          </cell>
          <cell r="AL2864">
            <v>0</v>
          </cell>
          <cell r="BJ2864" t="str">
            <v>RSA</v>
          </cell>
        </row>
        <row r="2865">
          <cell r="E2865" t="str">
            <v>47</v>
          </cell>
          <cell r="J2865">
            <v>0</v>
          </cell>
          <cell r="K2865">
            <v>0</v>
          </cell>
          <cell r="AL2865">
            <v>0</v>
          </cell>
          <cell r="BJ2865" t="str">
            <v>RSA</v>
          </cell>
        </row>
        <row r="2866">
          <cell r="E2866" t="str">
            <v>11</v>
          </cell>
          <cell r="J2866">
            <v>0</v>
          </cell>
          <cell r="K2866">
            <v>0</v>
          </cell>
          <cell r="AL2866">
            <v>0</v>
          </cell>
          <cell r="BJ2866" t="str">
            <v>MAU</v>
          </cell>
        </row>
        <row r="2867">
          <cell r="E2867" t="str">
            <v>13</v>
          </cell>
          <cell r="J2867">
            <v>0</v>
          </cell>
          <cell r="K2867">
            <v>0</v>
          </cell>
          <cell r="AL2867">
            <v>0</v>
          </cell>
          <cell r="BJ2867" t="str">
            <v>MAU</v>
          </cell>
        </row>
        <row r="2868">
          <cell r="E2868" t="str">
            <v>38</v>
          </cell>
          <cell r="J2868">
            <v>0</v>
          </cell>
          <cell r="K2868">
            <v>0</v>
          </cell>
          <cell r="AL2868">
            <v>0</v>
          </cell>
          <cell r="BJ2868" t="str">
            <v>MAU</v>
          </cell>
        </row>
        <row r="2869">
          <cell r="E2869" t="str">
            <v>11</v>
          </cell>
          <cell r="J2869">
            <v>0</v>
          </cell>
          <cell r="K2869">
            <v>0</v>
          </cell>
          <cell r="AL2869">
            <v>0</v>
          </cell>
          <cell r="BJ2869" t="str">
            <v>ZIM</v>
          </cell>
        </row>
        <row r="2870">
          <cell r="E2870" t="str">
            <v>12</v>
          </cell>
          <cell r="J2870">
            <v>0</v>
          </cell>
          <cell r="K2870">
            <v>0</v>
          </cell>
          <cell r="AL2870">
            <v>0</v>
          </cell>
          <cell r="BJ2870" t="str">
            <v>ZIM</v>
          </cell>
        </row>
        <row r="2871">
          <cell r="E2871" t="str">
            <v>24</v>
          </cell>
          <cell r="J2871">
            <v>0</v>
          </cell>
          <cell r="K2871">
            <v>0</v>
          </cell>
          <cell r="AL2871">
            <v>0</v>
          </cell>
          <cell r="BJ2871" t="str">
            <v>ZIM</v>
          </cell>
        </row>
        <row r="2872">
          <cell r="E2872" t="str">
            <v>11</v>
          </cell>
          <cell r="J2872">
            <v>0</v>
          </cell>
          <cell r="K2872">
            <v>0</v>
          </cell>
          <cell r="AL2872">
            <v>0</v>
          </cell>
          <cell r="BJ2872" t="str">
            <v>MAL</v>
          </cell>
        </row>
        <row r="2873">
          <cell r="E2873" t="str">
            <v>45</v>
          </cell>
          <cell r="J2873">
            <v>0</v>
          </cell>
          <cell r="K2873">
            <v>0</v>
          </cell>
          <cell r="AL2873">
            <v>0</v>
          </cell>
          <cell r="BJ2873" t="str">
            <v>MAL</v>
          </cell>
        </row>
        <row r="2874">
          <cell r="E2874" t="str">
            <v>45</v>
          </cell>
          <cell r="J2874">
            <v>0</v>
          </cell>
          <cell r="K2874">
            <v>0</v>
          </cell>
          <cell r="AL2874">
            <v>0</v>
          </cell>
          <cell r="BJ2874" t="str">
            <v>MAL</v>
          </cell>
        </row>
        <row r="2875">
          <cell r="E2875" t="str">
            <v>45</v>
          </cell>
          <cell r="J2875">
            <v>0</v>
          </cell>
          <cell r="K2875">
            <v>0</v>
          </cell>
          <cell r="AL2875">
            <v>0</v>
          </cell>
          <cell r="BJ2875" t="str">
            <v>MAL</v>
          </cell>
        </row>
        <row r="2876">
          <cell r="E2876" t="str">
            <v>11</v>
          </cell>
          <cell r="J2876">
            <v>0</v>
          </cell>
          <cell r="K2876">
            <v>0</v>
          </cell>
          <cell r="AL2876">
            <v>0</v>
          </cell>
          <cell r="BJ2876" t="str">
            <v>KEN</v>
          </cell>
        </row>
        <row r="2877">
          <cell r="E2877" t="str">
            <v>11</v>
          </cell>
          <cell r="J2877">
            <v>0</v>
          </cell>
          <cell r="K2877">
            <v>0</v>
          </cell>
          <cell r="AL2877">
            <v>0</v>
          </cell>
          <cell r="BJ2877" t="str">
            <v>KEN</v>
          </cell>
        </row>
        <row r="2878">
          <cell r="E2878" t="str">
            <v>38</v>
          </cell>
          <cell r="J2878">
            <v>0</v>
          </cell>
          <cell r="K2878">
            <v>0</v>
          </cell>
          <cell r="AL2878">
            <v>0</v>
          </cell>
          <cell r="BJ2878" t="str">
            <v>KEN</v>
          </cell>
        </row>
        <row r="2879">
          <cell r="E2879" t="str">
            <v>11</v>
          </cell>
          <cell r="J2879">
            <v>0</v>
          </cell>
          <cell r="K2879">
            <v>0</v>
          </cell>
          <cell r="AL2879">
            <v>0</v>
          </cell>
          <cell r="BJ2879" t="str">
            <v>BOT</v>
          </cell>
        </row>
        <row r="2880">
          <cell r="E2880" t="str">
            <v>38</v>
          </cell>
          <cell r="J2880">
            <v>0</v>
          </cell>
          <cell r="K2880">
            <v>0</v>
          </cell>
          <cell r="AL2880">
            <v>0</v>
          </cell>
          <cell r="BJ2880" t="str">
            <v>BOT</v>
          </cell>
        </row>
        <row r="2881">
          <cell r="E2881" t="str">
            <v>45</v>
          </cell>
          <cell r="J2881">
            <v>0</v>
          </cell>
          <cell r="K2881">
            <v>0</v>
          </cell>
          <cell r="AL2881">
            <v>0</v>
          </cell>
          <cell r="BJ2881" t="str">
            <v>BOT</v>
          </cell>
        </row>
        <row r="2882">
          <cell r="E2882" t="str">
            <v>45</v>
          </cell>
          <cell r="J2882">
            <v>0</v>
          </cell>
          <cell r="K2882">
            <v>0</v>
          </cell>
          <cell r="AL2882">
            <v>0</v>
          </cell>
          <cell r="BJ2882" t="str">
            <v>BOT</v>
          </cell>
        </row>
        <row r="2883">
          <cell r="E2883" t="str">
            <v>11</v>
          </cell>
          <cell r="J2883">
            <v>0</v>
          </cell>
          <cell r="K2883">
            <v>0</v>
          </cell>
          <cell r="AL2883">
            <v>0</v>
          </cell>
          <cell r="BJ2883" t="str">
            <v>BOT</v>
          </cell>
        </row>
        <row r="2884">
          <cell r="E2884" t="str">
            <v>38</v>
          </cell>
          <cell r="J2884">
            <v>0</v>
          </cell>
          <cell r="K2884">
            <v>0</v>
          </cell>
          <cell r="AL2884">
            <v>0</v>
          </cell>
          <cell r="BJ2884" t="str">
            <v>BOT</v>
          </cell>
        </row>
        <row r="2885">
          <cell r="E2885" t="str">
            <v>45</v>
          </cell>
          <cell r="J2885">
            <v>0</v>
          </cell>
          <cell r="K2885">
            <v>0</v>
          </cell>
          <cell r="AL2885">
            <v>0</v>
          </cell>
          <cell r="BJ2885" t="str">
            <v>BOT</v>
          </cell>
        </row>
        <row r="2886">
          <cell r="E2886" t="str">
            <v>45</v>
          </cell>
          <cell r="J2886">
            <v>0</v>
          </cell>
          <cell r="K2886">
            <v>0</v>
          </cell>
          <cell r="AL2886">
            <v>0</v>
          </cell>
          <cell r="BJ2886" t="str">
            <v>BOT</v>
          </cell>
        </row>
        <row r="2887">
          <cell r="E2887" t="str">
            <v>45</v>
          </cell>
          <cell r="J2887">
            <v>0</v>
          </cell>
          <cell r="K2887">
            <v>0</v>
          </cell>
          <cell r="AL2887">
            <v>0</v>
          </cell>
          <cell r="BJ2887" t="str">
            <v>BOT</v>
          </cell>
        </row>
        <row r="2888">
          <cell r="E2888" t="str">
            <v>45</v>
          </cell>
          <cell r="J2888">
            <v>0</v>
          </cell>
          <cell r="K2888">
            <v>0</v>
          </cell>
          <cell r="AL2888">
            <v>0</v>
          </cell>
          <cell r="BJ2888" t="str">
            <v>BOT</v>
          </cell>
        </row>
        <row r="2891">
          <cell r="E2891" t="str">
            <v>45</v>
          </cell>
          <cell r="J2891">
            <v>0</v>
          </cell>
          <cell r="K2891">
            <v>0</v>
          </cell>
          <cell r="AL2891">
            <v>0</v>
          </cell>
          <cell r="BJ2891" t="str">
            <v>MAL</v>
          </cell>
        </row>
        <row r="2894">
          <cell r="E2894" t="str">
            <v>50</v>
          </cell>
          <cell r="J2894">
            <v>0</v>
          </cell>
          <cell r="K2894">
            <v>0</v>
          </cell>
          <cell r="AL2894">
            <v>0</v>
          </cell>
          <cell r="BJ2894" t="str">
            <v>RSA</v>
          </cell>
        </row>
        <row r="2895">
          <cell r="E2895" t="str">
            <v>50</v>
          </cell>
          <cell r="J2895">
            <v>0</v>
          </cell>
          <cell r="K2895">
            <v>0</v>
          </cell>
          <cell r="AL2895">
            <v>0</v>
          </cell>
          <cell r="BJ2895" t="str">
            <v>RSA</v>
          </cell>
        </row>
        <row r="2898">
          <cell r="E2898" t="str">
            <v>50</v>
          </cell>
          <cell r="J2898">
            <v>0</v>
          </cell>
          <cell r="K2898">
            <v>0</v>
          </cell>
          <cell r="AL2898">
            <v>0</v>
          </cell>
          <cell r="BJ2898" t="str">
            <v>RSA</v>
          </cell>
        </row>
        <row r="2901">
          <cell r="E2901" t="str">
            <v>13</v>
          </cell>
          <cell r="J2901">
            <v>0</v>
          </cell>
          <cell r="K2901">
            <v>0</v>
          </cell>
          <cell r="AL2901">
            <v>0</v>
          </cell>
          <cell r="BJ2901" t="str">
            <v>RSA</v>
          </cell>
        </row>
        <row r="2902">
          <cell r="E2902" t="str">
            <v>37</v>
          </cell>
          <cell r="J2902">
            <v>0</v>
          </cell>
          <cell r="K2902">
            <v>0</v>
          </cell>
          <cell r="AL2902">
            <v>0</v>
          </cell>
          <cell r="BJ2902" t="str">
            <v>RSA</v>
          </cell>
        </row>
        <row r="2903">
          <cell r="E2903" t="str">
            <v>45</v>
          </cell>
          <cell r="J2903">
            <v>0</v>
          </cell>
          <cell r="K2903">
            <v>0</v>
          </cell>
          <cell r="AL2903">
            <v>0</v>
          </cell>
          <cell r="BJ2903" t="str">
            <v>MAU</v>
          </cell>
        </row>
        <row r="2904">
          <cell r="E2904" t="str">
            <v>45</v>
          </cell>
          <cell r="J2904">
            <v>0</v>
          </cell>
          <cell r="K2904">
            <v>0</v>
          </cell>
          <cell r="AL2904">
            <v>0</v>
          </cell>
          <cell r="BJ2904" t="str">
            <v>ZIM</v>
          </cell>
        </row>
        <row r="2905">
          <cell r="E2905" t="str">
            <v>24</v>
          </cell>
          <cell r="J2905">
            <v>0</v>
          </cell>
          <cell r="K2905">
            <v>0</v>
          </cell>
          <cell r="AL2905">
            <v>0</v>
          </cell>
          <cell r="BJ2905" t="str">
            <v>MAL</v>
          </cell>
        </row>
        <row r="2906">
          <cell r="E2906" t="str">
            <v>50</v>
          </cell>
          <cell r="J2906">
            <v>0</v>
          </cell>
          <cell r="K2906">
            <v>0</v>
          </cell>
          <cell r="AL2906">
            <v>0</v>
          </cell>
          <cell r="BJ2906" t="str">
            <v>BOT</v>
          </cell>
        </row>
        <row r="2909">
          <cell r="E2909" t="str">
            <v>24</v>
          </cell>
          <cell r="J2909">
            <v>0</v>
          </cell>
          <cell r="K2909">
            <v>0</v>
          </cell>
          <cell r="AL2909">
            <v>0</v>
          </cell>
          <cell r="BJ2909" t="str">
            <v>ZIM</v>
          </cell>
        </row>
        <row r="2912">
          <cell r="E2912" t="str">
            <v>10</v>
          </cell>
          <cell r="J2912">
            <v>0</v>
          </cell>
          <cell r="K2912">
            <v>0</v>
          </cell>
          <cell r="AL2912">
            <v>0</v>
          </cell>
        </row>
        <row r="2913">
          <cell r="E2913" t="str">
            <v>10</v>
          </cell>
          <cell r="J2913">
            <v>0</v>
          </cell>
          <cell r="K2913">
            <v>0</v>
          </cell>
          <cell r="AL2913">
            <v>0</v>
          </cell>
        </row>
        <row r="2914">
          <cell r="E2914" t="str">
            <v>10</v>
          </cell>
          <cell r="J2914">
            <v>0</v>
          </cell>
          <cell r="K2914">
            <v>0</v>
          </cell>
          <cell r="AL2914">
            <v>0</v>
          </cell>
        </row>
        <row r="2915">
          <cell r="E2915" t="str">
            <v>10</v>
          </cell>
          <cell r="J2915">
            <v>0</v>
          </cell>
          <cell r="K2915">
            <v>0</v>
          </cell>
          <cell r="AL2915">
            <v>0</v>
          </cell>
        </row>
        <row r="2916">
          <cell r="E2916" t="str">
            <v>10</v>
          </cell>
          <cell r="J2916">
            <v>0</v>
          </cell>
          <cell r="K2916">
            <v>0</v>
          </cell>
          <cell r="AL2916">
            <v>0</v>
          </cell>
        </row>
        <row r="2917">
          <cell r="E2917" t="str">
            <v>10</v>
          </cell>
          <cell r="J2917">
            <v>0</v>
          </cell>
          <cell r="K2917">
            <v>0</v>
          </cell>
          <cell r="AL2917">
            <v>0</v>
          </cell>
        </row>
        <row r="2918">
          <cell r="E2918" t="str">
            <v>10</v>
          </cell>
          <cell r="J2918">
            <v>0</v>
          </cell>
          <cell r="K2918">
            <v>0</v>
          </cell>
          <cell r="AL2918">
            <v>0</v>
          </cell>
        </row>
        <row r="2919">
          <cell r="E2919" t="str">
            <v>10</v>
          </cell>
          <cell r="J2919">
            <v>0</v>
          </cell>
          <cell r="K2919">
            <v>0</v>
          </cell>
          <cell r="AL2919">
            <v>0</v>
          </cell>
        </row>
        <row r="2920">
          <cell r="E2920" t="str">
            <v>10</v>
          </cell>
          <cell r="J2920">
            <v>0</v>
          </cell>
          <cell r="K2920">
            <v>0</v>
          </cell>
          <cell r="AL2920">
            <v>0</v>
          </cell>
        </row>
        <row r="2921">
          <cell r="E2921" t="str">
            <v>10</v>
          </cell>
          <cell r="J2921">
            <v>0</v>
          </cell>
          <cell r="K2921">
            <v>0</v>
          </cell>
          <cell r="AL2921">
            <v>0</v>
          </cell>
        </row>
        <row r="2922">
          <cell r="E2922" t="str">
            <v>10</v>
          </cell>
          <cell r="J2922">
            <v>0</v>
          </cell>
          <cell r="K2922">
            <v>0</v>
          </cell>
          <cell r="AL2922">
            <v>0</v>
          </cell>
        </row>
        <row r="2923">
          <cell r="E2923" t="str">
            <v>10</v>
          </cell>
          <cell r="J2923">
            <v>0</v>
          </cell>
          <cell r="K2923">
            <v>0</v>
          </cell>
          <cell r="AL2923">
            <v>0</v>
          </cell>
        </row>
        <row r="2924">
          <cell r="E2924" t="str">
            <v>10</v>
          </cell>
          <cell r="J2924">
            <v>0</v>
          </cell>
          <cell r="K2924">
            <v>0</v>
          </cell>
          <cell r="AL2924">
            <v>0</v>
          </cell>
        </row>
        <row r="2925">
          <cell r="E2925" t="str">
            <v>10</v>
          </cell>
          <cell r="J2925">
            <v>0</v>
          </cell>
          <cell r="K2925">
            <v>0</v>
          </cell>
          <cell r="AL2925">
            <v>0</v>
          </cell>
        </row>
        <row r="2926">
          <cell r="E2926" t="str">
            <v>10</v>
          </cell>
          <cell r="J2926">
            <v>0</v>
          </cell>
          <cell r="K2926">
            <v>0</v>
          </cell>
          <cell r="AL2926">
            <v>0</v>
          </cell>
        </row>
        <row r="2927">
          <cell r="E2927" t="str">
            <v>10</v>
          </cell>
          <cell r="J2927">
            <v>0</v>
          </cell>
          <cell r="K2927">
            <v>0</v>
          </cell>
          <cell r="AL2927">
            <v>0</v>
          </cell>
        </row>
        <row r="2928">
          <cell r="E2928" t="str">
            <v>10</v>
          </cell>
          <cell r="J2928">
            <v>0</v>
          </cell>
          <cell r="K2928">
            <v>0</v>
          </cell>
          <cell r="AL2928">
            <v>0</v>
          </cell>
        </row>
        <row r="2929">
          <cell r="E2929" t="str">
            <v>10</v>
          </cell>
          <cell r="J2929">
            <v>0</v>
          </cell>
          <cell r="K2929">
            <v>0</v>
          </cell>
          <cell r="AL2929">
            <v>0</v>
          </cell>
        </row>
        <row r="2930">
          <cell r="E2930" t="str">
            <v>10</v>
          </cell>
          <cell r="J2930">
            <v>0</v>
          </cell>
          <cell r="K2930">
            <v>0</v>
          </cell>
          <cell r="AL2930">
            <v>0</v>
          </cell>
        </row>
        <row r="2931">
          <cell r="E2931" t="str">
            <v>10</v>
          </cell>
          <cell r="J2931">
            <v>0</v>
          </cell>
          <cell r="K2931">
            <v>0</v>
          </cell>
          <cell r="AL2931">
            <v>0</v>
          </cell>
        </row>
        <row r="2932">
          <cell r="E2932" t="str">
            <v>10</v>
          </cell>
          <cell r="J2932">
            <v>0</v>
          </cell>
          <cell r="K2932">
            <v>0</v>
          </cell>
          <cell r="AL2932">
            <v>0</v>
          </cell>
        </row>
        <row r="2933">
          <cell r="E2933" t="str">
            <v>10</v>
          </cell>
          <cell r="J2933">
            <v>0</v>
          </cell>
          <cell r="K2933">
            <v>0</v>
          </cell>
          <cell r="AL2933">
            <v>0</v>
          </cell>
        </row>
        <row r="2934">
          <cell r="E2934" t="str">
            <v>10</v>
          </cell>
          <cell r="J2934">
            <v>0</v>
          </cell>
          <cell r="K2934">
            <v>0</v>
          </cell>
          <cell r="AL2934">
            <v>0</v>
          </cell>
        </row>
        <row r="2935">
          <cell r="E2935" t="str">
            <v>10</v>
          </cell>
          <cell r="J2935">
            <v>0</v>
          </cell>
          <cell r="K2935">
            <v>0</v>
          </cell>
          <cell r="AL2935">
            <v>0</v>
          </cell>
        </row>
        <row r="2936">
          <cell r="E2936" t="str">
            <v>10</v>
          </cell>
          <cell r="J2936">
            <v>0</v>
          </cell>
          <cell r="K2936">
            <v>0</v>
          </cell>
          <cell r="AL2936">
            <v>0</v>
          </cell>
        </row>
        <row r="2937">
          <cell r="E2937" t="str">
            <v>11</v>
          </cell>
          <cell r="J2937">
            <v>0</v>
          </cell>
          <cell r="K2937">
            <v>0</v>
          </cell>
          <cell r="AL2937">
            <v>0</v>
          </cell>
        </row>
        <row r="2938">
          <cell r="E2938" t="str">
            <v>11</v>
          </cell>
          <cell r="J2938">
            <v>0</v>
          </cell>
          <cell r="K2938">
            <v>0</v>
          </cell>
          <cell r="AL2938">
            <v>0</v>
          </cell>
        </row>
        <row r="2939">
          <cell r="E2939" t="str">
            <v>11</v>
          </cell>
          <cell r="J2939">
            <v>0</v>
          </cell>
          <cell r="K2939">
            <v>0</v>
          </cell>
          <cell r="AL2939">
            <v>0</v>
          </cell>
        </row>
        <row r="2940">
          <cell r="E2940" t="str">
            <v>11</v>
          </cell>
          <cell r="J2940">
            <v>0</v>
          </cell>
          <cell r="K2940">
            <v>0</v>
          </cell>
          <cell r="AL2940">
            <v>0</v>
          </cell>
        </row>
        <row r="2941">
          <cell r="E2941" t="str">
            <v>11</v>
          </cell>
          <cell r="J2941">
            <v>0</v>
          </cell>
          <cell r="K2941">
            <v>0</v>
          </cell>
          <cell r="AL2941">
            <v>0</v>
          </cell>
        </row>
        <row r="2942">
          <cell r="E2942" t="str">
            <v>11</v>
          </cell>
          <cell r="J2942">
            <v>0</v>
          </cell>
          <cell r="K2942">
            <v>0</v>
          </cell>
          <cell r="AL2942">
            <v>0</v>
          </cell>
        </row>
        <row r="2943">
          <cell r="E2943" t="str">
            <v>11</v>
          </cell>
          <cell r="J2943">
            <v>0</v>
          </cell>
          <cell r="K2943">
            <v>0</v>
          </cell>
          <cell r="AL2943">
            <v>0</v>
          </cell>
        </row>
        <row r="2944">
          <cell r="E2944" t="str">
            <v>12</v>
          </cell>
          <cell r="J2944">
            <v>0</v>
          </cell>
          <cell r="K2944">
            <v>0</v>
          </cell>
          <cell r="AL2944">
            <v>0</v>
          </cell>
        </row>
        <row r="2945">
          <cell r="E2945" t="str">
            <v>11</v>
          </cell>
          <cell r="J2945">
            <v>0</v>
          </cell>
          <cell r="K2945">
            <v>0</v>
          </cell>
          <cell r="AL2945">
            <v>0</v>
          </cell>
        </row>
        <row r="2946">
          <cell r="E2946" t="str">
            <v>11</v>
          </cell>
          <cell r="J2946">
            <v>0</v>
          </cell>
          <cell r="K2946">
            <v>0</v>
          </cell>
          <cell r="AL2946">
            <v>0</v>
          </cell>
        </row>
        <row r="2947">
          <cell r="E2947" t="str">
            <v>11</v>
          </cell>
          <cell r="J2947">
            <v>0</v>
          </cell>
          <cell r="K2947">
            <v>0</v>
          </cell>
          <cell r="AL2947">
            <v>0</v>
          </cell>
        </row>
        <row r="2948">
          <cell r="E2948" t="str">
            <v>11</v>
          </cell>
          <cell r="J2948">
            <v>0</v>
          </cell>
          <cell r="K2948">
            <v>0</v>
          </cell>
          <cell r="AL2948">
            <v>0</v>
          </cell>
        </row>
        <row r="2949">
          <cell r="E2949" t="str">
            <v>11</v>
          </cell>
          <cell r="J2949">
            <v>0</v>
          </cell>
          <cell r="K2949">
            <v>0</v>
          </cell>
          <cell r="AL2949">
            <v>0</v>
          </cell>
        </row>
        <row r="2950">
          <cell r="E2950" t="str">
            <v>11</v>
          </cell>
          <cell r="J2950">
            <v>0</v>
          </cell>
          <cell r="K2950">
            <v>0</v>
          </cell>
          <cell r="AL2950">
            <v>0</v>
          </cell>
        </row>
        <row r="2951">
          <cell r="E2951" t="str">
            <v>11</v>
          </cell>
          <cell r="J2951">
            <v>0</v>
          </cell>
          <cell r="K2951">
            <v>0</v>
          </cell>
          <cell r="AL2951">
            <v>0</v>
          </cell>
        </row>
        <row r="2952">
          <cell r="E2952" t="str">
            <v>11</v>
          </cell>
          <cell r="J2952">
            <v>0</v>
          </cell>
          <cell r="K2952">
            <v>0</v>
          </cell>
          <cell r="AL2952">
            <v>0</v>
          </cell>
        </row>
        <row r="2953">
          <cell r="E2953" t="str">
            <v>11</v>
          </cell>
          <cell r="J2953">
            <v>0</v>
          </cell>
          <cell r="K2953">
            <v>0</v>
          </cell>
          <cell r="AL2953">
            <v>0</v>
          </cell>
        </row>
        <row r="2954">
          <cell r="E2954" t="str">
            <v>11</v>
          </cell>
          <cell r="J2954">
            <v>0</v>
          </cell>
          <cell r="K2954">
            <v>0</v>
          </cell>
          <cell r="AL2954">
            <v>0</v>
          </cell>
        </row>
        <row r="2955">
          <cell r="E2955" t="str">
            <v>11</v>
          </cell>
          <cell r="J2955">
            <v>0</v>
          </cell>
          <cell r="K2955">
            <v>0</v>
          </cell>
          <cell r="AL2955">
            <v>0</v>
          </cell>
        </row>
        <row r="2956">
          <cell r="E2956" t="str">
            <v>11</v>
          </cell>
          <cell r="J2956">
            <v>0</v>
          </cell>
          <cell r="K2956">
            <v>0</v>
          </cell>
          <cell r="AL2956">
            <v>0</v>
          </cell>
        </row>
        <row r="2957">
          <cell r="E2957" t="str">
            <v>11</v>
          </cell>
          <cell r="J2957">
            <v>0</v>
          </cell>
          <cell r="K2957">
            <v>0</v>
          </cell>
          <cell r="AL2957">
            <v>0</v>
          </cell>
        </row>
        <row r="2958">
          <cell r="E2958" t="str">
            <v>11</v>
          </cell>
          <cell r="J2958">
            <v>0</v>
          </cell>
          <cell r="K2958">
            <v>0</v>
          </cell>
          <cell r="AL2958">
            <v>0</v>
          </cell>
        </row>
        <row r="2959">
          <cell r="E2959" t="str">
            <v>11</v>
          </cell>
          <cell r="J2959">
            <v>0</v>
          </cell>
          <cell r="K2959">
            <v>0</v>
          </cell>
          <cell r="AL2959">
            <v>0</v>
          </cell>
        </row>
        <row r="2960">
          <cell r="E2960" t="str">
            <v>11</v>
          </cell>
          <cell r="J2960">
            <v>0</v>
          </cell>
          <cell r="K2960">
            <v>0</v>
          </cell>
          <cell r="AL2960">
            <v>0</v>
          </cell>
        </row>
        <row r="2961">
          <cell r="E2961" t="str">
            <v>11</v>
          </cell>
          <cell r="J2961">
            <v>0</v>
          </cell>
          <cell r="K2961">
            <v>0</v>
          </cell>
          <cell r="AL2961">
            <v>0</v>
          </cell>
        </row>
        <row r="2962">
          <cell r="E2962" t="str">
            <v>11</v>
          </cell>
          <cell r="J2962">
            <v>0</v>
          </cell>
          <cell r="K2962">
            <v>0</v>
          </cell>
          <cell r="AL2962">
            <v>0</v>
          </cell>
        </row>
        <row r="2963">
          <cell r="E2963" t="str">
            <v>11</v>
          </cell>
          <cell r="J2963">
            <v>0</v>
          </cell>
          <cell r="K2963">
            <v>0</v>
          </cell>
          <cell r="AL2963">
            <v>0</v>
          </cell>
        </row>
        <row r="2964">
          <cell r="E2964" t="str">
            <v>11</v>
          </cell>
          <cell r="J2964">
            <v>0</v>
          </cell>
          <cell r="K2964">
            <v>0</v>
          </cell>
          <cell r="AL2964">
            <v>0</v>
          </cell>
        </row>
        <row r="2965">
          <cell r="E2965" t="str">
            <v>11</v>
          </cell>
          <cell r="J2965">
            <v>0</v>
          </cell>
          <cell r="K2965">
            <v>0</v>
          </cell>
          <cell r="AL2965">
            <v>0</v>
          </cell>
        </row>
        <row r="2966">
          <cell r="E2966" t="str">
            <v>11</v>
          </cell>
          <cell r="J2966">
            <v>0</v>
          </cell>
          <cell r="K2966">
            <v>0</v>
          </cell>
          <cell r="AL2966">
            <v>0</v>
          </cell>
        </row>
        <row r="2967">
          <cell r="E2967" t="str">
            <v>11</v>
          </cell>
          <cell r="J2967">
            <v>0</v>
          </cell>
          <cell r="K2967">
            <v>0</v>
          </cell>
          <cell r="AL2967">
            <v>0</v>
          </cell>
        </row>
        <row r="2968">
          <cell r="E2968" t="str">
            <v>11</v>
          </cell>
          <cell r="J2968">
            <v>0</v>
          </cell>
          <cell r="K2968">
            <v>0</v>
          </cell>
          <cell r="AL2968">
            <v>0</v>
          </cell>
        </row>
        <row r="2969">
          <cell r="E2969" t="str">
            <v>11</v>
          </cell>
          <cell r="J2969">
            <v>0</v>
          </cell>
          <cell r="K2969">
            <v>0</v>
          </cell>
          <cell r="AL2969">
            <v>0</v>
          </cell>
        </row>
        <row r="2970">
          <cell r="E2970" t="str">
            <v>11</v>
          </cell>
          <cell r="J2970">
            <v>0</v>
          </cell>
          <cell r="K2970">
            <v>0</v>
          </cell>
          <cell r="AL2970">
            <v>0</v>
          </cell>
        </row>
        <row r="2971">
          <cell r="E2971" t="str">
            <v>11</v>
          </cell>
          <cell r="J2971">
            <v>0</v>
          </cell>
          <cell r="K2971">
            <v>0</v>
          </cell>
          <cell r="AL2971">
            <v>0</v>
          </cell>
        </row>
        <row r="2972">
          <cell r="E2972" t="str">
            <v>13</v>
          </cell>
          <cell r="J2972">
            <v>0</v>
          </cell>
          <cell r="K2972">
            <v>0</v>
          </cell>
          <cell r="AL2972">
            <v>0</v>
          </cell>
        </row>
        <row r="2973">
          <cell r="E2973" t="str">
            <v>13</v>
          </cell>
          <cell r="J2973">
            <v>0</v>
          </cell>
          <cell r="K2973">
            <v>0</v>
          </cell>
          <cell r="AL2973">
            <v>0</v>
          </cell>
        </row>
        <row r="2974">
          <cell r="E2974" t="str">
            <v>13</v>
          </cell>
          <cell r="J2974">
            <v>0</v>
          </cell>
          <cell r="K2974">
            <v>0</v>
          </cell>
          <cell r="AL2974">
            <v>0</v>
          </cell>
        </row>
        <row r="2975">
          <cell r="E2975" t="str">
            <v>13</v>
          </cell>
          <cell r="J2975">
            <v>0</v>
          </cell>
          <cell r="K2975">
            <v>0</v>
          </cell>
          <cell r="AL2975">
            <v>0</v>
          </cell>
        </row>
        <row r="2976">
          <cell r="E2976" t="str">
            <v>13</v>
          </cell>
          <cell r="J2976">
            <v>0</v>
          </cell>
          <cell r="K2976">
            <v>0</v>
          </cell>
          <cell r="AL2976">
            <v>0</v>
          </cell>
        </row>
        <row r="2977">
          <cell r="E2977" t="str">
            <v>13</v>
          </cell>
          <cell r="J2977">
            <v>0</v>
          </cell>
          <cell r="K2977">
            <v>0</v>
          </cell>
          <cell r="AL2977">
            <v>0</v>
          </cell>
        </row>
        <row r="2978">
          <cell r="E2978" t="str">
            <v>13</v>
          </cell>
          <cell r="J2978">
            <v>0</v>
          </cell>
          <cell r="K2978">
            <v>0</v>
          </cell>
          <cell r="AL2978">
            <v>0</v>
          </cell>
        </row>
        <row r="2979">
          <cell r="E2979" t="str">
            <v>13</v>
          </cell>
          <cell r="J2979">
            <v>0</v>
          </cell>
          <cell r="K2979">
            <v>0</v>
          </cell>
          <cell r="AL2979">
            <v>0</v>
          </cell>
        </row>
        <row r="2980">
          <cell r="E2980" t="str">
            <v>13</v>
          </cell>
          <cell r="J2980">
            <v>0</v>
          </cell>
          <cell r="K2980">
            <v>0</v>
          </cell>
          <cell r="AL2980">
            <v>0</v>
          </cell>
        </row>
        <row r="2981">
          <cell r="E2981" t="str">
            <v>13</v>
          </cell>
          <cell r="J2981">
            <v>0</v>
          </cell>
          <cell r="K2981">
            <v>0</v>
          </cell>
          <cell r="AL2981">
            <v>0</v>
          </cell>
        </row>
        <row r="2982">
          <cell r="E2982" t="str">
            <v>13</v>
          </cell>
          <cell r="J2982">
            <v>0</v>
          </cell>
          <cell r="K2982">
            <v>0</v>
          </cell>
          <cell r="AL2982">
            <v>0</v>
          </cell>
        </row>
        <row r="2983">
          <cell r="E2983" t="str">
            <v>13</v>
          </cell>
          <cell r="J2983">
            <v>0</v>
          </cell>
          <cell r="K2983">
            <v>0</v>
          </cell>
          <cell r="AL2983">
            <v>0</v>
          </cell>
        </row>
        <row r="2984">
          <cell r="E2984" t="str">
            <v>13</v>
          </cell>
          <cell r="J2984">
            <v>0</v>
          </cell>
          <cell r="K2984">
            <v>0</v>
          </cell>
          <cell r="AL2984">
            <v>0</v>
          </cell>
        </row>
        <row r="2985">
          <cell r="E2985" t="str">
            <v>13</v>
          </cell>
          <cell r="J2985">
            <v>0</v>
          </cell>
          <cell r="K2985">
            <v>0</v>
          </cell>
          <cell r="AL2985">
            <v>0</v>
          </cell>
        </row>
        <row r="2986">
          <cell r="E2986" t="str">
            <v>13</v>
          </cell>
          <cell r="J2986">
            <v>0</v>
          </cell>
          <cell r="K2986">
            <v>0</v>
          </cell>
          <cell r="AL2986">
            <v>0</v>
          </cell>
        </row>
        <row r="2987">
          <cell r="E2987" t="str">
            <v>13</v>
          </cell>
          <cell r="J2987">
            <v>0</v>
          </cell>
          <cell r="K2987">
            <v>0</v>
          </cell>
          <cell r="AL2987">
            <v>0</v>
          </cell>
        </row>
        <row r="2988">
          <cell r="E2988" t="str">
            <v>13</v>
          </cell>
          <cell r="J2988">
            <v>0</v>
          </cell>
          <cell r="K2988">
            <v>0</v>
          </cell>
          <cell r="AL2988">
            <v>0</v>
          </cell>
        </row>
        <row r="2989">
          <cell r="E2989" t="str">
            <v>13</v>
          </cell>
          <cell r="J2989">
            <v>0</v>
          </cell>
          <cell r="K2989">
            <v>0</v>
          </cell>
          <cell r="AL2989">
            <v>0</v>
          </cell>
        </row>
        <row r="2990">
          <cell r="E2990" t="str">
            <v>13</v>
          </cell>
          <cell r="J2990">
            <v>0</v>
          </cell>
          <cell r="K2990">
            <v>0</v>
          </cell>
          <cell r="AL2990">
            <v>0</v>
          </cell>
        </row>
        <row r="2991">
          <cell r="E2991" t="str">
            <v>13</v>
          </cell>
          <cell r="J2991">
            <v>0</v>
          </cell>
          <cell r="K2991">
            <v>0</v>
          </cell>
          <cell r="AL2991">
            <v>0</v>
          </cell>
        </row>
        <row r="2992">
          <cell r="E2992" t="str">
            <v>13</v>
          </cell>
          <cell r="J2992">
            <v>0</v>
          </cell>
          <cell r="K2992">
            <v>0</v>
          </cell>
          <cell r="AL2992">
            <v>0</v>
          </cell>
        </row>
        <row r="2993">
          <cell r="E2993" t="str">
            <v>13</v>
          </cell>
          <cell r="J2993">
            <v>0</v>
          </cell>
          <cell r="K2993">
            <v>0</v>
          </cell>
          <cell r="AL2993">
            <v>0</v>
          </cell>
        </row>
        <row r="2994">
          <cell r="E2994" t="str">
            <v>13</v>
          </cell>
          <cell r="J2994">
            <v>0</v>
          </cell>
          <cell r="K2994">
            <v>0</v>
          </cell>
          <cell r="AL2994">
            <v>0</v>
          </cell>
        </row>
        <row r="2995">
          <cell r="E2995" t="str">
            <v>13</v>
          </cell>
          <cell r="J2995">
            <v>0</v>
          </cell>
          <cell r="K2995">
            <v>0</v>
          </cell>
          <cell r="AL2995">
            <v>0</v>
          </cell>
        </row>
        <row r="2996">
          <cell r="E2996" t="str">
            <v>13</v>
          </cell>
          <cell r="J2996">
            <v>0</v>
          </cell>
          <cell r="K2996">
            <v>0</v>
          </cell>
          <cell r="AL2996">
            <v>0</v>
          </cell>
        </row>
        <row r="2997">
          <cell r="E2997" t="str">
            <v>13</v>
          </cell>
          <cell r="J2997">
            <v>0</v>
          </cell>
          <cell r="K2997">
            <v>0</v>
          </cell>
          <cell r="AL2997">
            <v>0</v>
          </cell>
        </row>
        <row r="2998">
          <cell r="E2998" t="str">
            <v>13</v>
          </cell>
          <cell r="J2998">
            <v>0</v>
          </cell>
          <cell r="K2998">
            <v>0</v>
          </cell>
          <cell r="AL2998">
            <v>0</v>
          </cell>
        </row>
        <row r="2999">
          <cell r="E2999" t="str">
            <v>13</v>
          </cell>
          <cell r="J2999">
            <v>0</v>
          </cell>
          <cell r="K2999">
            <v>0</v>
          </cell>
          <cell r="AL2999">
            <v>0</v>
          </cell>
        </row>
        <row r="3000">
          <cell r="E3000" t="str">
            <v>13</v>
          </cell>
          <cell r="J3000">
            <v>0</v>
          </cell>
          <cell r="K3000">
            <v>0</v>
          </cell>
          <cell r="AL3000">
            <v>0</v>
          </cell>
        </row>
        <row r="3001">
          <cell r="E3001" t="str">
            <v>13</v>
          </cell>
          <cell r="J3001">
            <v>0</v>
          </cell>
          <cell r="K3001">
            <v>0</v>
          </cell>
          <cell r="AL3001">
            <v>0</v>
          </cell>
        </row>
        <row r="3002">
          <cell r="E3002" t="str">
            <v>13</v>
          </cell>
          <cell r="J3002">
            <v>0</v>
          </cell>
          <cell r="K3002">
            <v>0</v>
          </cell>
          <cell r="AL3002">
            <v>0</v>
          </cell>
        </row>
        <row r="3003">
          <cell r="E3003" t="str">
            <v>13</v>
          </cell>
          <cell r="J3003">
            <v>0</v>
          </cell>
          <cell r="K3003">
            <v>0</v>
          </cell>
          <cell r="AL3003">
            <v>0</v>
          </cell>
        </row>
        <row r="3004">
          <cell r="E3004" t="str">
            <v>13</v>
          </cell>
          <cell r="J3004">
            <v>0</v>
          </cell>
          <cell r="K3004">
            <v>0</v>
          </cell>
          <cell r="AL3004">
            <v>0</v>
          </cell>
        </row>
        <row r="3005">
          <cell r="E3005" t="str">
            <v>13</v>
          </cell>
          <cell r="J3005">
            <v>0</v>
          </cell>
          <cell r="K3005">
            <v>0</v>
          </cell>
          <cell r="AL3005">
            <v>0</v>
          </cell>
        </row>
        <row r="3006">
          <cell r="E3006" t="str">
            <v>13</v>
          </cell>
          <cell r="J3006">
            <v>0</v>
          </cell>
          <cell r="K3006">
            <v>0</v>
          </cell>
          <cell r="AL3006">
            <v>0</v>
          </cell>
        </row>
        <row r="3007">
          <cell r="E3007" t="str">
            <v>13</v>
          </cell>
          <cell r="J3007">
            <v>0</v>
          </cell>
          <cell r="K3007">
            <v>0</v>
          </cell>
          <cell r="AL3007">
            <v>0</v>
          </cell>
        </row>
        <row r="3008">
          <cell r="E3008" t="str">
            <v>13</v>
          </cell>
          <cell r="J3008">
            <v>0</v>
          </cell>
          <cell r="K3008">
            <v>0</v>
          </cell>
          <cell r="AL3008">
            <v>0</v>
          </cell>
        </row>
        <row r="3009">
          <cell r="E3009" t="str">
            <v>13</v>
          </cell>
          <cell r="J3009">
            <v>0</v>
          </cell>
          <cell r="K3009">
            <v>0</v>
          </cell>
          <cell r="AL3009">
            <v>0</v>
          </cell>
        </row>
        <row r="3010">
          <cell r="E3010" t="str">
            <v>13</v>
          </cell>
          <cell r="J3010">
            <v>0</v>
          </cell>
          <cell r="K3010">
            <v>0</v>
          </cell>
          <cell r="AL3010">
            <v>0</v>
          </cell>
        </row>
        <row r="3011">
          <cell r="E3011" t="str">
            <v>13</v>
          </cell>
          <cell r="J3011">
            <v>0</v>
          </cell>
          <cell r="K3011">
            <v>0</v>
          </cell>
          <cell r="AL3011">
            <v>0</v>
          </cell>
        </row>
        <row r="3012">
          <cell r="E3012" t="str">
            <v>13</v>
          </cell>
          <cell r="J3012">
            <v>0</v>
          </cell>
          <cell r="K3012">
            <v>0</v>
          </cell>
          <cell r="AL3012">
            <v>0</v>
          </cell>
        </row>
        <row r="3013">
          <cell r="E3013" t="str">
            <v>13</v>
          </cell>
          <cell r="J3013">
            <v>0</v>
          </cell>
          <cell r="K3013">
            <v>0</v>
          </cell>
          <cell r="AL3013">
            <v>0</v>
          </cell>
        </row>
        <row r="3014">
          <cell r="E3014" t="str">
            <v>13</v>
          </cell>
          <cell r="J3014">
            <v>0</v>
          </cell>
          <cell r="K3014">
            <v>0</v>
          </cell>
          <cell r="AL3014">
            <v>0</v>
          </cell>
        </row>
        <row r="3015">
          <cell r="E3015" t="str">
            <v>13</v>
          </cell>
          <cell r="J3015">
            <v>0</v>
          </cell>
          <cell r="K3015">
            <v>0</v>
          </cell>
          <cell r="AL3015">
            <v>0</v>
          </cell>
        </row>
        <row r="3016">
          <cell r="E3016" t="str">
            <v>13</v>
          </cell>
          <cell r="J3016">
            <v>0</v>
          </cell>
          <cell r="K3016">
            <v>0</v>
          </cell>
          <cell r="AL3016">
            <v>0</v>
          </cell>
        </row>
        <row r="3017">
          <cell r="E3017" t="str">
            <v>13</v>
          </cell>
          <cell r="J3017">
            <v>0</v>
          </cell>
          <cell r="K3017">
            <v>0</v>
          </cell>
          <cell r="AL3017">
            <v>0</v>
          </cell>
        </row>
        <row r="3018">
          <cell r="E3018" t="str">
            <v>13</v>
          </cell>
          <cell r="J3018">
            <v>0</v>
          </cell>
          <cell r="K3018">
            <v>0</v>
          </cell>
          <cell r="AL3018">
            <v>0</v>
          </cell>
        </row>
        <row r="3019">
          <cell r="E3019" t="str">
            <v>13</v>
          </cell>
          <cell r="J3019">
            <v>0</v>
          </cell>
          <cell r="K3019">
            <v>0</v>
          </cell>
          <cell r="AL3019">
            <v>0</v>
          </cell>
        </row>
        <row r="3020">
          <cell r="E3020" t="str">
            <v>13</v>
          </cell>
          <cell r="J3020">
            <v>0</v>
          </cell>
          <cell r="K3020">
            <v>0</v>
          </cell>
          <cell r="AL3020">
            <v>0</v>
          </cell>
        </row>
        <row r="3021">
          <cell r="E3021" t="str">
            <v>13</v>
          </cell>
          <cell r="J3021">
            <v>0</v>
          </cell>
          <cell r="K3021">
            <v>0</v>
          </cell>
          <cell r="AL3021">
            <v>0</v>
          </cell>
        </row>
        <row r="3022">
          <cell r="E3022" t="str">
            <v>13</v>
          </cell>
          <cell r="J3022">
            <v>0</v>
          </cell>
          <cell r="K3022">
            <v>0</v>
          </cell>
          <cell r="AL3022">
            <v>0</v>
          </cell>
        </row>
        <row r="3023">
          <cell r="E3023" t="str">
            <v>13</v>
          </cell>
          <cell r="J3023">
            <v>0</v>
          </cell>
          <cell r="K3023">
            <v>0</v>
          </cell>
          <cell r="AL3023">
            <v>0</v>
          </cell>
        </row>
        <row r="3024">
          <cell r="E3024" t="str">
            <v>13</v>
          </cell>
          <cell r="J3024">
            <v>0</v>
          </cell>
          <cell r="K3024">
            <v>0</v>
          </cell>
          <cell r="AL3024">
            <v>0</v>
          </cell>
        </row>
        <row r="3025">
          <cell r="E3025" t="str">
            <v>13</v>
          </cell>
          <cell r="J3025">
            <v>0</v>
          </cell>
          <cell r="K3025">
            <v>0</v>
          </cell>
          <cell r="AL3025">
            <v>0</v>
          </cell>
        </row>
        <row r="3026">
          <cell r="E3026" t="str">
            <v>13</v>
          </cell>
          <cell r="J3026">
            <v>0</v>
          </cell>
          <cell r="K3026">
            <v>0</v>
          </cell>
          <cell r="AL3026">
            <v>0</v>
          </cell>
        </row>
        <row r="3027">
          <cell r="E3027" t="str">
            <v>13</v>
          </cell>
          <cell r="J3027">
            <v>0</v>
          </cell>
          <cell r="K3027">
            <v>0</v>
          </cell>
          <cell r="AL3027">
            <v>0</v>
          </cell>
        </row>
        <row r="3028">
          <cell r="E3028" t="str">
            <v>13</v>
          </cell>
          <cell r="J3028">
            <v>0</v>
          </cell>
          <cell r="K3028">
            <v>0</v>
          </cell>
          <cell r="AL3028">
            <v>0</v>
          </cell>
        </row>
        <row r="3029">
          <cell r="E3029" t="str">
            <v>13</v>
          </cell>
          <cell r="J3029">
            <v>0</v>
          </cell>
          <cell r="K3029">
            <v>0</v>
          </cell>
          <cell r="AL3029">
            <v>0</v>
          </cell>
        </row>
        <row r="3030">
          <cell r="E3030" t="str">
            <v>11</v>
          </cell>
          <cell r="J3030">
            <v>0</v>
          </cell>
          <cell r="K3030">
            <v>0</v>
          </cell>
          <cell r="AL3030">
            <v>0</v>
          </cell>
        </row>
        <row r="3031">
          <cell r="E3031" t="str">
            <v>13</v>
          </cell>
          <cell r="J3031">
            <v>0</v>
          </cell>
          <cell r="K3031">
            <v>0</v>
          </cell>
          <cell r="AL3031">
            <v>0</v>
          </cell>
        </row>
        <row r="3032">
          <cell r="E3032" t="str">
            <v>11</v>
          </cell>
          <cell r="J3032">
            <v>0</v>
          </cell>
          <cell r="K3032">
            <v>0</v>
          </cell>
          <cell r="AL3032">
            <v>0</v>
          </cell>
        </row>
        <row r="3033">
          <cell r="E3033" t="str">
            <v>13</v>
          </cell>
          <cell r="J3033">
            <v>0</v>
          </cell>
          <cell r="K3033">
            <v>0</v>
          </cell>
          <cell r="AL3033">
            <v>0</v>
          </cell>
        </row>
        <row r="3034">
          <cell r="E3034" t="str">
            <v>11</v>
          </cell>
          <cell r="J3034">
            <v>0</v>
          </cell>
          <cell r="K3034">
            <v>0</v>
          </cell>
          <cell r="AL3034">
            <v>0</v>
          </cell>
        </row>
        <row r="3035">
          <cell r="E3035" t="str">
            <v>15</v>
          </cell>
          <cell r="J3035">
            <v>0</v>
          </cell>
          <cell r="K3035">
            <v>0</v>
          </cell>
          <cell r="AL3035">
            <v>0</v>
          </cell>
        </row>
        <row r="3036">
          <cell r="E3036" t="str">
            <v>15</v>
          </cell>
          <cell r="J3036">
            <v>0</v>
          </cell>
          <cell r="K3036">
            <v>0</v>
          </cell>
          <cell r="AL3036">
            <v>0</v>
          </cell>
        </row>
        <row r="3037">
          <cell r="E3037" t="str">
            <v>15</v>
          </cell>
          <cell r="J3037">
            <v>0</v>
          </cell>
          <cell r="K3037">
            <v>0</v>
          </cell>
          <cell r="AL3037">
            <v>0</v>
          </cell>
        </row>
        <row r="3038">
          <cell r="E3038" t="str">
            <v>13</v>
          </cell>
          <cell r="J3038">
            <v>0</v>
          </cell>
          <cell r="K3038">
            <v>0</v>
          </cell>
          <cell r="AL3038">
            <v>0</v>
          </cell>
        </row>
        <row r="3039">
          <cell r="E3039" t="str">
            <v>20</v>
          </cell>
          <cell r="J3039">
            <v>0</v>
          </cell>
          <cell r="K3039">
            <v>0</v>
          </cell>
          <cell r="AL3039">
            <v>0</v>
          </cell>
        </row>
        <row r="3040">
          <cell r="E3040" t="str">
            <v>20</v>
          </cell>
          <cell r="J3040">
            <v>0</v>
          </cell>
          <cell r="K3040">
            <v>0</v>
          </cell>
          <cell r="AL3040">
            <v>0</v>
          </cell>
        </row>
        <row r="3041">
          <cell r="E3041" t="str">
            <v>21</v>
          </cell>
          <cell r="J3041">
            <v>0</v>
          </cell>
          <cell r="K3041">
            <v>0</v>
          </cell>
          <cell r="AL3041">
            <v>0</v>
          </cell>
        </row>
        <row r="3042">
          <cell r="E3042" t="str">
            <v>24</v>
          </cell>
          <cell r="J3042">
            <v>0</v>
          </cell>
          <cell r="K3042">
            <v>0</v>
          </cell>
          <cell r="AL3042">
            <v>0</v>
          </cell>
        </row>
        <row r="3043">
          <cell r="E3043" t="str">
            <v>24</v>
          </cell>
          <cell r="J3043">
            <v>0</v>
          </cell>
          <cell r="K3043">
            <v>0</v>
          </cell>
          <cell r="AL3043">
            <v>0</v>
          </cell>
        </row>
        <row r="3044">
          <cell r="E3044" t="str">
            <v>24</v>
          </cell>
          <cell r="J3044">
            <v>0</v>
          </cell>
          <cell r="K3044">
            <v>0</v>
          </cell>
          <cell r="AL3044">
            <v>0</v>
          </cell>
        </row>
        <row r="3045">
          <cell r="E3045" t="str">
            <v>24</v>
          </cell>
          <cell r="J3045">
            <v>0</v>
          </cell>
          <cell r="K3045">
            <v>0</v>
          </cell>
          <cell r="AL3045">
            <v>0</v>
          </cell>
        </row>
        <row r="3046">
          <cell r="E3046" t="str">
            <v>24</v>
          </cell>
          <cell r="J3046">
            <v>0</v>
          </cell>
          <cell r="K3046">
            <v>0</v>
          </cell>
          <cell r="AL3046">
            <v>0</v>
          </cell>
        </row>
        <row r="3047">
          <cell r="E3047" t="str">
            <v>24</v>
          </cell>
          <cell r="J3047">
            <v>0</v>
          </cell>
          <cell r="K3047">
            <v>0</v>
          </cell>
          <cell r="AL3047">
            <v>0</v>
          </cell>
        </row>
        <row r="3048">
          <cell r="E3048" t="str">
            <v>24</v>
          </cell>
          <cell r="J3048">
            <v>0</v>
          </cell>
          <cell r="K3048">
            <v>0</v>
          </cell>
          <cell r="AL3048">
            <v>0</v>
          </cell>
        </row>
        <row r="3049">
          <cell r="E3049" t="str">
            <v>24</v>
          </cell>
          <cell r="J3049">
            <v>0</v>
          </cell>
          <cell r="K3049">
            <v>0</v>
          </cell>
          <cell r="AL3049">
            <v>0</v>
          </cell>
        </row>
        <row r="3050">
          <cell r="E3050" t="str">
            <v>24</v>
          </cell>
          <cell r="J3050">
            <v>0</v>
          </cell>
          <cell r="K3050">
            <v>0</v>
          </cell>
          <cell r="AL3050">
            <v>0</v>
          </cell>
        </row>
        <row r="3051">
          <cell r="E3051" t="str">
            <v>24</v>
          </cell>
          <cell r="J3051">
            <v>0</v>
          </cell>
          <cell r="K3051">
            <v>0</v>
          </cell>
          <cell r="AL3051">
            <v>0</v>
          </cell>
        </row>
        <row r="3052">
          <cell r="E3052" t="str">
            <v>24</v>
          </cell>
          <cell r="J3052">
            <v>0</v>
          </cell>
          <cell r="K3052">
            <v>0</v>
          </cell>
          <cell r="AL3052">
            <v>0</v>
          </cell>
        </row>
        <row r="3053">
          <cell r="E3053" t="str">
            <v>24</v>
          </cell>
          <cell r="J3053">
            <v>0</v>
          </cell>
          <cell r="K3053">
            <v>0</v>
          </cell>
          <cell r="AL3053">
            <v>0</v>
          </cell>
        </row>
        <row r="3054">
          <cell r="E3054" t="str">
            <v>24</v>
          </cell>
          <cell r="J3054">
            <v>0</v>
          </cell>
          <cell r="K3054">
            <v>0</v>
          </cell>
          <cell r="AL3054">
            <v>0</v>
          </cell>
        </row>
        <row r="3055">
          <cell r="E3055" t="str">
            <v>24</v>
          </cell>
          <cell r="J3055">
            <v>0</v>
          </cell>
          <cell r="K3055">
            <v>0</v>
          </cell>
          <cell r="AL3055">
            <v>0</v>
          </cell>
        </row>
        <row r="3056">
          <cell r="E3056" t="str">
            <v>24</v>
          </cell>
          <cell r="J3056">
            <v>0</v>
          </cell>
          <cell r="K3056">
            <v>0</v>
          </cell>
          <cell r="AL3056">
            <v>0</v>
          </cell>
        </row>
        <row r="3057">
          <cell r="E3057" t="str">
            <v>24</v>
          </cell>
          <cell r="J3057">
            <v>0</v>
          </cell>
          <cell r="K3057">
            <v>0</v>
          </cell>
          <cell r="AL3057">
            <v>0</v>
          </cell>
        </row>
        <row r="3058">
          <cell r="E3058" t="str">
            <v>24</v>
          </cell>
          <cell r="J3058">
            <v>0</v>
          </cell>
          <cell r="K3058">
            <v>0</v>
          </cell>
          <cell r="AL3058">
            <v>0</v>
          </cell>
        </row>
        <row r="3059">
          <cell r="E3059" t="str">
            <v>24</v>
          </cell>
          <cell r="J3059">
            <v>0</v>
          </cell>
          <cell r="K3059">
            <v>0</v>
          </cell>
          <cell r="AL3059">
            <v>0</v>
          </cell>
        </row>
        <row r="3060">
          <cell r="E3060" t="str">
            <v>24</v>
          </cell>
          <cell r="J3060">
            <v>0</v>
          </cell>
          <cell r="K3060">
            <v>0</v>
          </cell>
          <cell r="AL3060">
            <v>0</v>
          </cell>
        </row>
        <row r="3061">
          <cell r="E3061" t="str">
            <v>24</v>
          </cell>
          <cell r="J3061">
            <v>0</v>
          </cell>
          <cell r="K3061">
            <v>0</v>
          </cell>
          <cell r="AL3061">
            <v>0</v>
          </cell>
        </row>
        <row r="3062">
          <cell r="E3062" t="str">
            <v>24</v>
          </cell>
          <cell r="J3062">
            <v>0</v>
          </cell>
          <cell r="K3062">
            <v>0</v>
          </cell>
          <cell r="AL3062">
            <v>0</v>
          </cell>
        </row>
        <row r="3063">
          <cell r="E3063" t="str">
            <v>24</v>
          </cell>
          <cell r="J3063">
            <v>0</v>
          </cell>
          <cell r="K3063">
            <v>0</v>
          </cell>
          <cell r="AL3063">
            <v>0</v>
          </cell>
        </row>
        <row r="3064">
          <cell r="E3064" t="str">
            <v>24</v>
          </cell>
          <cell r="J3064">
            <v>0</v>
          </cell>
          <cell r="K3064">
            <v>0</v>
          </cell>
          <cell r="AL3064">
            <v>0</v>
          </cell>
        </row>
        <row r="3065">
          <cell r="E3065" t="str">
            <v>24</v>
          </cell>
          <cell r="J3065">
            <v>0</v>
          </cell>
          <cell r="K3065">
            <v>0</v>
          </cell>
          <cell r="AL3065">
            <v>0</v>
          </cell>
        </row>
        <row r="3066">
          <cell r="E3066" t="str">
            <v>24</v>
          </cell>
          <cell r="J3066">
            <v>0</v>
          </cell>
          <cell r="K3066">
            <v>0</v>
          </cell>
          <cell r="AL3066">
            <v>0</v>
          </cell>
        </row>
        <row r="3067">
          <cell r="E3067" t="str">
            <v>24</v>
          </cell>
          <cell r="J3067">
            <v>0</v>
          </cell>
          <cell r="K3067">
            <v>0</v>
          </cell>
          <cell r="AL3067">
            <v>0</v>
          </cell>
        </row>
        <row r="3068">
          <cell r="E3068" t="str">
            <v>24</v>
          </cell>
          <cell r="J3068">
            <v>0</v>
          </cell>
          <cell r="K3068">
            <v>0</v>
          </cell>
          <cell r="AL3068">
            <v>0</v>
          </cell>
        </row>
        <row r="3069">
          <cell r="E3069" t="str">
            <v>24</v>
          </cell>
          <cell r="J3069">
            <v>0</v>
          </cell>
          <cell r="K3069">
            <v>0</v>
          </cell>
          <cell r="AL3069">
            <v>0</v>
          </cell>
        </row>
        <row r="3070">
          <cell r="E3070" t="str">
            <v>24</v>
          </cell>
          <cell r="J3070">
            <v>0</v>
          </cell>
          <cell r="K3070">
            <v>0</v>
          </cell>
          <cell r="AL3070">
            <v>0</v>
          </cell>
        </row>
        <row r="3071">
          <cell r="E3071" t="str">
            <v>24</v>
          </cell>
          <cell r="J3071">
            <v>0</v>
          </cell>
          <cell r="K3071">
            <v>0</v>
          </cell>
          <cell r="AL3071">
            <v>0</v>
          </cell>
        </row>
        <row r="3072">
          <cell r="E3072" t="str">
            <v>24</v>
          </cell>
          <cell r="J3072">
            <v>0</v>
          </cell>
          <cell r="K3072">
            <v>0</v>
          </cell>
          <cell r="AL3072">
            <v>0</v>
          </cell>
        </row>
        <row r="3073">
          <cell r="E3073" t="str">
            <v>24</v>
          </cell>
          <cell r="J3073">
            <v>0</v>
          </cell>
          <cell r="K3073">
            <v>0</v>
          </cell>
          <cell r="AL3073">
            <v>0</v>
          </cell>
        </row>
        <row r="3074">
          <cell r="E3074" t="str">
            <v>37</v>
          </cell>
          <cell r="J3074">
            <v>0</v>
          </cell>
          <cell r="K3074">
            <v>0</v>
          </cell>
          <cell r="AL3074">
            <v>0</v>
          </cell>
        </row>
        <row r="3075">
          <cell r="E3075" t="str">
            <v>37</v>
          </cell>
          <cell r="J3075">
            <v>0</v>
          </cell>
          <cell r="K3075">
            <v>0</v>
          </cell>
          <cell r="AL3075">
            <v>0</v>
          </cell>
        </row>
        <row r="3076">
          <cell r="E3076" t="str">
            <v>37</v>
          </cell>
          <cell r="J3076">
            <v>0</v>
          </cell>
          <cell r="K3076">
            <v>0</v>
          </cell>
          <cell r="AL3076">
            <v>0</v>
          </cell>
        </row>
        <row r="3077">
          <cell r="E3077" t="str">
            <v>37</v>
          </cell>
          <cell r="J3077">
            <v>0</v>
          </cell>
          <cell r="K3077">
            <v>0</v>
          </cell>
          <cell r="AL3077">
            <v>0</v>
          </cell>
        </row>
        <row r="3078">
          <cell r="E3078" t="str">
            <v>37</v>
          </cell>
          <cell r="J3078">
            <v>0</v>
          </cell>
          <cell r="K3078">
            <v>0</v>
          </cell>
          <cell r="AL3078">
            <v>0</v>
          </cell>
        </row>
        <row r="3079">
          <cell r="E3079" t="str">
            <v>37</v>
          </cell>
          <cell r="J3079">
            <v>0</v>
          </cell>
          <cell r="K3079">
            <v>0</v>
          </cell>
          <cell r="AL3079">
            <v>0</v>
          </cell>
        </row>
        <row r="3080">
          <cell r="E3080" t="str">
            <v>37</v>
          </cell>
          <cell r="J3080">
            <v>0</v>
          </cell>
          <cell r="K3080">
            <v>0</v>
          </cell>
          <cell r="AL3080">
            <v>0</v>
          </cell>
        </row>
        <row r="3081">
          <cell r="E3081" t="str">
            <v>37</v>
          </cell>
          <cell r="J3081">
            <v>0</v>
          </cell>
          <cell r="K3081">
            <v>0</v>
          </cell>
          <cell r="AL3081">
            <v>0</v>
          </cell>
        </row>
        <row r="3082">
          <cell r="E3082" t="str">
            <v>37</v>
          </cell>
          <cell r="J3082">
            <v>0</v>
          </cell>
          <cell r="K3082">
            <v>0</v>
          </cell>
          <cell r="AL3082">
            <v>0</v>
          </cell>
        </row>
        <row r="3083">
          <cell r="E3083" t="str">
            <v>37</v>
          </cell>
          <cell r="J3083">
            <v>0</v>
          </cell>
          <cell r="K3083">
            <v>0</v>
          </cell>
          <cell r="AL3083">
            <v>0</v>
          </cell>
        </row>
        <row r="3084">
          <cell r="E3084" t="str">
            <v>37</v>
          </cell>
          <cell r="J3084">
            <v>0</v>
          </cell>
          <cell r="K3084">
            <v>0</v>
          </cell>
          <cell r="AL3084">
            <v>0</v>
          </cell>
        </row>
        <row r="3085">
          <cell r="E3085" t="str">
            <v>37</v>
          </cell>
          <cell r="J3085">
            <v>0</v>
          </cell>
          <cell r="K3085">
            <v>0</v>
          </cell>
          <cell r="AL3085">
            <v>0</v>
          </cell>
        </row>
        <row r="3086">
          <cell r="E3086" t="str">
            <v>37</v>
          </cell>
          <cell r="J3086">
            <v>0</v>
          </cell>
          <cell r="K3086">
            <v>0</v>
          </cell>
          <cell r="AL3086">
            <v>0</v>
          </cell>
        </row>
        <row r="3087">
          <cell r="E3087" t="str">
            <v>37</v>
          </cell>
          <cell r="J3087">
            <v>0</v>
          </cell>
          <cell r="K3087">
            <v>0</v>
          </cell>
          <cell r="AL3087">
            <v>0</v>
          </cell>
        </row>
        <row r="3088">
          <cell r="E3088" t="str">
            <v>37</v>
          </cell>
          <cell r="J3088">
            <v>0</v>
          </cell>
          <cell r="K3088">
            <v>0</v>
          </cell>
          <cell r="AL3088">
            <v>0</v>
          </cell>
        </row>
        <row r="3089">
          <cell r="E3089" t="str">
            <v>37</v>
          </cell>
          <cell r="J3089">
            <v>0</v>
          </cell>
          <cell r="K3089">
            <v>0</v>
          </cell>
          <cell r="AL3089">
            <v>0</v>
          </cell>
        </row>
        <row r="3090">
          <cell r="E3090" t="str">
            <v>37</v>
          </cell>
          <cell r="J3090">
            <v>0</v>
          </cell>
          <cell r="K3090">
            <v>0</v>
          </cell>
          <cell r="AL3090">
            <v>0</v>
          </cell>
        </row>
        <row r="3091">
          <cell r="E3091" t="str">
            <v>37</v>
          </cell>
          <cell r="J3091">
            <v>0</v>
          </cell>
          <cell r="K3091">
            <v>0</v>
          </cell>
          <cell r="AL3091">
            <v>0</v>
          </cell>
        </row>
        <row r="3092">
          <cell r="E3092" t="str">
            <v>37</v>
          </cell>
          <cell r="J3092">
            <v>0</v>
          </cell>
          <cell r="K3092">
            <v>0</v>
          </cell>
          <cell r="AL3092">
            <v>0</v>
          </cell>
        </row>
        <row r="3093">
          <cell r="E3093" t="str">
            <v>37</v>
          </cell>
          <cell r="J3093">
            <v>0</v>
          </cell>
          <cell r="K3093">
            <v>0</v>
          </cell>
          <cell r="AL3093">
            <v>0</v>
          </cell>
        </row>
        <row r="3094">
          <cell r="E3094" t="str">
            <v>37</v>
          </cell>
          <cell r="J3094">
            <v>0</v>
          </cell>
          <cell r="K3094">
            <v>0</v>
          </cell>
          <cell r="AL3094">
            <v>0</v>
          </cell>
        </row>
        <row r="3095">
          <cell r="E3095" t="str">
            <v>37</v>
          </cell>
          <cell r="J3095">
            <v>0</v>
          </cell>
          <cell r="K3095">
            <v>0</v>
          </cell>
          <cell r="AL3095">
            <v>0</v>
          </cell>
        </row>
        <row r="3096">
          <cell r="E3096" t="str">
            <v>37</v>
          </cell>
          <cell r="J3096">
            <v>0</v>
          </cell>
          <cell r="K3096">
            <v>0</v>
          </cell>
          <cell r="AL3096">
            <v>0</v>
          </cell>
        </row>
        <row r="3097">
          <cell r="E3097" t="str">
            <v>37</v>
          </cell>
          <cell r="J3097">
            <v>0</v>
          </cell>
          <cell r="K3097">
            <v>0</v>
          </cell>
          <cell r="AL3097">
            <v>0</v>
          </cell>
        </row>
        <row r="3098">
          <cell r="E3098" t="str">
            <v>37</v>
          </cell>
          <cell r="J3098">
            <v>0</v>
          </cell>
          <cell r="K3098">
            <v>0</v>
          </cell>
          <cell r="AL3098">
            <v>0</v>
          </cell>
        </row>
        <row r="3099">
          <cell r="E3099" t="str">
            <v>37</v>
          </cell>
          <cell r="J3099">
            <v>0</v>
          </cell>
          <cell r="K3099">
            <v>0</v>
          </cell>
          <cell r="AL3099">
            <v>0</v>
          </cell>
        </row>
        <row r="3100">
          <cell r="E3100" t="str">
            <v>37</v>
          </cell>
          <cell r="J3100">
            <v>0</v>
          </cell>
          <cell r="K3100">
            <v>0</v>
          </cell>
          <cell r="AL3100">
            <v>0</v>
          </cell>
        </row>
        <row r="3101">
          <cell r="E3101" t="str">
            <v>37</v>
          </cell>
          <cell r="J3101">
            <v>0</v>
          </cell>
          <cell r="K3101">
            <v>0</v>
          </cell>
          <cell r="AL3101">
            <v>0</v>
          </cell>
        </row>
        <row r="3102">
          <cell r="E3102" t="str">
            <v>37</v>
          </cell>
          <cell r="J3102">
            <v>0</v>
          </cell>
          <cell r="K3102">
            <v>0</v>
          </cell>
          <cell r="AL3102">
            <v>0</v>
          </cell>
        </row>
        <row r="3103">
          <cell r="E3103" t="str">
            <v>37</v>
          </cell>
          <cell r="J3103">
            <v>0</v>
          </cell>
          <cell r="K3103">
            <v>0</v>
          </cell>
          <cell r="AL3103">
            <v>0</v>
          </cell>
        </row>
        <row r="3104">
          <cell r="E3104" t="str">
            <v>35</v>
          </cell>
          <cell r="J3104">
            <v>0</v>
          </cell>
          <cell r="K3104">
            <v>0</v>
          </cell>
          <cell r="AL3104">
            <v>0</v>
          </cell>
        </row>
        <row r="3105">
          <cell r="E3105" t="str">
            <v>35</v>
          </cell>
          <cell r="J3105">
            <v>0</v>
          </cell>
          <cell r="K3105">
            <v>0</v>
          </cell>
          <cell r="AL3105">
            <v>0</v>
          </cell>
        </row>
        <row r="3106">
          <cell r="E3106" t="str">
            <v>35</v>
          </cell>
          <cell r="J3106">
            <v>0</v>
          </cell>
          <cell r="K3106">
            <v>0</v>
          </cell>
          <cell r="AL3106">
            <v>0</v>
          </cell>
        </row>
        <row r="3107">
          <cell r="E3107" t="str">
            <v>35</v>
          </cell>
          <cell r="J3107">
            <v>0</v>
          </cell>
          <cell r="K3107">
            <v>0</v>
          </cell>
          <cell r="AL3107">
            <v>0</v>
          </cell>
        </row>
        <row r="3108">
          <cell r="E3108" t="str">
            <v>35</v>
          </cell>
          <cell r="J3108">
            <v>0</v>
          </cell>
          <cell r="K3108">
            <v>0</v>
          </cell>
          <cell r="AL3108">
            <v>0</v>
          </cell>
        </row>
        <row r="3109">
          <cell r="E3109" t="str">
            <v>35</v>
          </cell>
          <cell r="J3109">
            <v>0</v>
          </cell>
          <cell r="K3109">
            <v>0</v>
          </cell>
          <cell r="AL3109">
            <v>0</v>
          </cell>
        </row>
        <row r="3110">
          <cell r="E3110" t="str">
            <v>35</v>
          </cell>
          <cell r="J3110">
            <v>0</v>
          </cell>
          <cell r="K3110">
            <v>0</v>
          </cell>
          <cell r="AL3110">
            <v>0</v>
          </cell>
        </row>
        <row r="3111">
          <cell r="E3111" t="str">
            <v>35</v>
          </cell>
          <cell r="J3111">
            <v>0</v>
          </cell>
          <cell r="K3111">
            <v>0</v>
          </cell>
          <cell r="AL3111">
            <v>0</v>
          </cell>
        </row>
        <row r="3112">
          <cell r="E3112" t="str">
            <v>35</v>
          </cell>
          <cell r="J3112">
            <v>0</v>
          </cell>
          <cell r="K3112">
            <v>0</v>
          </cell>
          <cell r="AL3112">
            <v>0</v>
          </cell>
        </row>
        <row r="3113">
          <cell r="E3113" t="str">
            <v>35</v>
          </cell>
          <cell r="J3113">
            <v>0</v>
          </cell>
          <cell r="K3113">
            <v>0</v>
          </cell>
          <cell r="AL3113">
            <v>0</v>
          </cell>
        </row>
        <row r="3114">
          <cell r="E3114" t="str">
            <v>35</v>
          </cell>
          <cell r="J3114">
            <v>0</v>
          </cell>
          <cell r="K3114">
            <v>0</v>
          </cell>
          <cell r="AL3114">
            <v>0</v>
          </cell>
        </row>
        <row r="3115">
          <cell r="E3115" t="str">
            <v>35</v>
          </cell>
          <cell r="J3115">
            <v>0</v>
          </cell>
          <cell r="K3115">
            <v>0</v>
          </cell>
          <cell r="AL3115">
            <v>0</v>
          </cell>
        </row>
        <row r="3116">
          <cell r="E3116" t="str">
            <v>35</v>
          </cell>
          <cell r="J3116">
            <v>0</v>
          </cell>
          <cell r="K3116">
            <v>0</v>
          </cell>
          <cell r="AL3116">
            <v>0</v>
          </cell>
        </row>
        <row r="3117">
          <cell r="E3117" t="str">
            <v>35</v>
          </cell>
          <cell r="J3117">
            <v>0</v>
          </cell>
          <cell r="K3117">
            <v>0</v>
          </cell>
          <cell r="AL3117">
            <v>0</v>
          </cell>
        </row>
        <row r="3118">
          <cell r="E3118" t="str">
            <v>47</v>
          </cell>
          <cell r="J3118">
            <v>0</v>
          </cell>
          <cell r="K3118">
            <v>0</v>
          </cell>
          <cell r="AL3118">
            <v>0</v>
          </cell>
        </row>
        <row r="3119">
          <cell r="E3119" t="str">
            <v>47</v>
          </cell>
          <cell r="J3119">
            <v>0</v>
          </cell>
          <cell r="K3119">
            <v>0</v>
          </cell>
          <cell r="AL3119">
            <v>0</v>
          </cell>
        </row>
        <row r="3120">
          <cell r="E3120" t="str">
            <v>46</v>
          </cell>
          <cell r="J3120">
            <v>0</v>
          </cell>
          <cell r="K3120">
            <v>0</v>
          </cell>
          <cell r="AL3120">
            <v>0</v>
          </cell>
        </row>
        <row r="3121">
          <cell r="E3121" t="str">
            <v>47</v>
          </cell>
          <cell r="J3121">
            <v>0</v>
          </cell>
          <cell r="K3121">
            <v>0</v>
          </cell>
          <cell r="AL3121">
            <v>0</v>
          </cell>
        </row>
        <row r="3122">
          <cell r="E3122" t="str">
            <v>47</v>
          </cell>
          <cell r="J3122">
            <v>0</v>
          </cell>
          <cell r="K3122">
            <v>0</v>
          </cell>
          <cell r="AL3122">
            <v>0</v>
          </cell>
        </row>
        <row r="3123">
          <cell r="E3123" t="str">
            <v>48</v>
          </cell>
          <cell r="J3123">
            <v>0</v>
          </cell>
          <cell r="K3123">
            <v>0</v>
          </cell>
          <cell r="AL3123">
            <v>0</v>
          </cell>
        </row>
        <row r="3124">
          <cell r="E3124" t="str">
            <v>47</v>
          </cell>
          <cell r="J3124">
            <v>0</v>
          </cell>
          <cell r="K3124">
            <v>0</v>
          </cell>
          <cell r="AL3124">
            <v>0</v>
          </cell>
        </row>
        <row r="3125">
          <cell r="E3125" t="str">
            <v>47</v>
          </cell>
          <cell r="J3125">
            <v>0</v>
          </cell>
          <cell r="K3125">
            <v>0</v>
          </cell>
          <cell r="AL3125">
            <v>0</v>
          </cell>
        </row>
        <row r="3126">
          <cell r="E3126" t="str">
            <v>47</v>
          </cell>
          <cell r="J3126">
            <v>0</v>
          </cell>
          <cell r="K3126">
            <v>0</v>
          </cell>
          <cell r="AL3126">
            <v>0</v>
          </cell>
        </row>
        <row r="3127">
          <cell r="E3127" t="str">
            <v>47</v>
          </cell>
          <cell r="J3127">
            <v>0</v>
          </cell>
          <cell r="K3127">
            <v>0</v>
          </cell>
          <cell r="AL3127">
            <v>0</v>
          </cell>
        </row>
        <row r="3128">
          <cell r="E3128" t="str">
            <v>50</v>
          </cell>
          <cell r="J3128">
            <v>0</v>
          </cell>
          <cell r="K3128">
            <v>0</v>
          </cell>
          <cell r="AL3128">
            <v>0</v>
          </cell>
        </row>
        <row r="3129">
          <cell r="E3129" t="str">
            <v>47</v>
          </cell>
          <cell r="J3129">
            <v>0</v>
          </cell>
          <cell r="K3129">
            <v>0</v>
          </cell>
          <cell r="AL3129">
            <v>0</v>
          </cell>
        </row>
        <row r="3130">
          <cell r="E3130" t="str">
            <v>47</v>
          </cell>
          <cell r="J3130">
            <v>0</v>
          </cell>
          <cell r="K3130">
            <v>0</v>
          </cell>
          <cell r="AL3130">
            <v>0</v>
          </cell>
        </row>
        <row r="3131">
          <cell r="E3131" t="str">
            <v>47</v>
          </cell>
          <cell r="J3131">
            <v>0</v>
          </cell>
          <cell r="K3131">
            <v>0</v>
          </cell>
          <cell r="AL3131">
            <v>0</v>
          </cell>
        </row>
        <row r="3132">
          <cell r="E3132" t="str">
            <v>50</v>
          </cell>
          <cell r="J3132">
            <v>0</v>
          </cell>
          <cell r="K3132">
            <v>0</v>
          </cell>
          <cell r="AL3132">
            <v>0</v>
          </cell>
        </row>
        <row r="3133">
          <cell r="E3133" t="str">
            <v>45</v>
          </cell>
          <cell r="J3133">
            <v>0</v>
          </cell>
          <cell r="K3133">
            <v>0</v>
          </cell>
          <cell r="AL3133">
            <v>0</v>
          </cell>
        </row>
        <row r="3134">
          <cell r="E3134" t="str">
            <v>45</v>
          </cell>
          <cell r="J3134">
            <v>0</v>
          </cell>
          <cell r="K3134">
            <v>0</v>
          </cell>
          <cell r="AL3134">
            <v>0</v>
          </cell>
        </row>
        <row r="3135">
          <cell r="E3135" t="str">
            <v>45</v>
          </cell>
          <cell r="J3135">
            <v>0</v>
          </cell>
          <cell r="K3135">
            <v>0</v>
          </cell>
          <cell r="AL3135">
            <v>0</v>
          </cell>
        </row>
        <row r="3136">
          <cell r="E3136" t="str">
            <v>45</v>
          </cell>
          <cell r="J3136">
            <v>0</v>
          </cell>
          <cell r="K3136">
            <v>0</v>
          </cell>
          <cell r="AL3136">
            <v>0</v>
          </cell>
        </row>
        <row r="3137">
          <cell r="E3137" t="str">
            <v>45</v>
          </cell>
          <cell r="J3137">
            <v>0</v>
          </cell>
          <cell r="K3137">
            <v>0</v>
          </cell>
          <cell r="AL3137">
            <v>0</v>
          </cell>
        </row>
        <row r="3138">
          <cell r="E3138" t="str">
            <v>45</v>
          </cell>
          <cell r="J3138">
            <v>0</v>
          </cell>
          <cell r="K3138">
            <v>0</v>
          </cell>
          <cell r="AL3138">
            <v>0</v>
          </cell>
        </row>
        <row r="3139">
          <cell r="E3139" t="str">
            <v>45</v>
          </cell>
          <cell r="J3139">
            <v>0</v>
          </cell>
          <cell r="K3139">
            <v>0</v>
          </cell>
          <cell r="AL3139">
            <v>0</v>
          </cell>
        </row>
        <row r="3140">
          <cell r="E3140" t="str">
            <v>45</v>
          </cell>
          <cell r="J3140">
            <v>0</v>
          </cell>
          <cell r="K3140">
            <v>0</v>
          </cell>
          <cell r="AL3140">
            <v>0</v>
          </cell>
        </row>
        <row r="3141">
          <cell r="E3141" t="str">
            <v>45</v>
          </cell>
          <cell r="J3141">
            <v>0</v>
          </cell>
          <cell r="K3141">
            <v>0</v>
          </cell>
          <cell r="AL3141">
            <v>0</v>
          </cell>
        </row>
        <row r="3142">
          <cell r="E3142" t="str">
            <v>45</v>
          </cell>
          <cell r="J3142">
            <v>0</v>
          </cell>
          <cell r="K3142">
            <v>0</v>
          </cell>
          <cell r="AL3142">
            <v>0</v>
          </cell>
        </row>
        <row r="3143">
          <cell r="E3143" t="str">
            <v>45</v>
          </cell>
          <cell r="J3143">
            <v>0</v>
          </cell>
          <cell r="K3143">
            <v>0</v>
          </cell>
          <cell r="AL3143">
            <v>0</v>
          </cell>
        </row>
        <row r="3144">
          <cell r="E3144" t="str">
            <v>45</v>
          </cell>
          <cell r="J3144">
            <v>0</v>
          </cell>
          <cell r="K3144">
            <v>0</v>
          </cell>
          <cell r="AL3144">
            <v>0</v>
          </cell>
        </row>
        <row r="3145">
          <cell r="E3145" t="str">
            <v>45</v>
          </cell>
          <cell r="J3145">
            <v>0</v>
          </cell>
          <cell r="K3145">
            <v>0</v>
          </cell>
          <cell r="AL3145">
            <v>0</v>
          </cell>
        </row>
        <row r="3146">
          <cell r="E3146" t="str">
            <v>45</v>
          </cell>
          <cell r="J3146">
            <v>0</v>
          </cell>
          <cell r="K3146">
            <v>0</v>
          </cell>
          <cell r="AL3146">
            <v>0</v>
          </cell>
        </row>
        <row r="3147">
          <cell r="E3147" t="str">
            <v>45</v>
          </cell>
          <cell r="J3147">
            <v>0</v>
          </cell>
          <cell r="K3147">
            <v>0</v>
          </cell>
          <cell r="AL3147">
            <v>0</v>
          </cell>
        </row>
        <row r="3148">
          <cell r="E3148" t="str">
            <v>45</v>
          </cell>
          <cell r="J3148">
            <v>0</v>
          </cell>
          <cell r="K3148">
            <v>0</v>
          </cell>
          <cell r="AL3148">
            <v>0</v>
          </cell>
        </row>
        <row r="3149">
          <cell r="E3149" t="str">
            <v>45</v>
          </cell>
          <cell r="J3149">
            <v>0</v>
          </cell>
          <cell r="K3149">
            <v>0</v>
          </cell>
          <cell r="AL3149">
            <v>0</v>
          </cell>
        </row>
        <row r="3150">
          <cell r="E3150" t="str">
            <v>45</v>
          </cell>
          <cell r="J3150">
            <v>0</v>
          </cell>
          <cell r="K3150">
            <v>0</v>
          </cell>
          <cell r="AL3150">
            <v>0</v>
          </cell>
        </row>
        <row r="3151">
          <cell r="E3151" t="str">
            <v>45</v>
          </cell>
          <cell r="J3151">
            <v>0</v>
          </cell>
          <cell r="K3151">
            <v>0</v>
          </cell>
          <cell r="AL3151">
            <v>0</v>
          </cell>
        </row>
        <row r="3152">
          <cell r="E3152" t="str">
            <v>45</v>
          </cell>
          <cell r="J3152">
            <v>0</v>
          </cell>
          <cell r="K3152">
            <v>0</v>
          </cell>
          <cell r="AL3152">
            <v>0</v>
          </cell>
        </row>
        <row r="3153">
          <cell r="E3153" t="str">
            <v>45</v>
          </cell>
          <cell r="J3153">
            <v>0</v>
          </cell>
          <cell r="K3153">
            <v>0</v>
          </cell>
          <cell r="AL3153">
            <v>0</v>
          </cell>
        </row>
        <row r="3154">
          <cell r="E3154" t="str">
            <v>45</v>
          </cell>
          <cell r="J3154">
            <v>0</v>
          </cell>
          <cell r="K3154">
            <v>0</v>
          </cell>
          <cell r="AL3154">
            <v>0</v>
          </cell>
        </row>
        <row r="3155">
          <cell r="E3155" t="str">
            <v>45</v>
          </cell>
          <cell r="J3155">
            <v>0</v>
          </cell>
          <cell r="K3155">
            <v>0</v>
          </cell>
          <cell r="AL3155">
            <v>0</v>
          </cell>
        </row>
        <row r="3156">
          <cell r="E3156" t="str">
            <v>45</v>
          </cell>
          <cell r="J3156">
            <v>0</v>
          </cell>
          <cell r="K3156">
            <v>0</v>
          </cell>
          <cell r="AL3156">
            <v>0</v>
          </cell>
        </row>
        <row r="3157">
          <cell r="E3157" t="str">
            <v>45</v>
          </cell>
          <cell r="J3157">
            <v>0</v>
          </cell>
          <cell r="K3157">
            <v>0</v>
          </cell>
          <cell r="AL3157">
            <v>0</v>
          </cell>
        </row>
        <row r="3158">
          <cell r="E3158" t="str">
            <v>45</v>
          </cell>
          <cell r="J3158">
            <v>0</v>
          </cell>
          <cell r="K3158">
            <v>0</v>
          </cell>
          <cell r="AL3158">
            <v>0</v>
          </cell>
        </row>
        <row r="3159">
          <cell r="E3159" t="str">
            <v>45</v>
          </cell>
          <cell r="J3159">
            <v>0</v>
          </cell>
          <cell r="K3159">
            <v>0</v>
          </cell>
          <cell r="AL3159">
            <v>0</v>
          </cell>
        </row>
        <row r="3160">
          <cell r="E3160" t="str">
            <v>45</v>
          </cell>
          <cell r="J3160">
            <v>0</v>
          </cell>
          <cell r="K3160">
            <v>0</v>
          </cell>
          <cell r="AL3160">
            <v>0</v>
          </cell>
        </row>
        <row r="3161">
          <cell r="E3161" t="str">
            <v>45</v>
          </cell>
          <cell r="J3161">
            <v>0</v>
          </cell>
          <cell r="K3161">
            <v>0</v>
          </cell>
          <cell r="AL3161">
            <v>0</v>
          </cell>
        </row>
        <row r="3162">
          <cell r="E3162" t="str">
            <v>45</v>
          </cell>
          <cell r="J3162">
            <v>0</v>
          </cell>
          <cell r="K3162">
            <v>0</v>
          </cell>
          <cell r="AL3162">
            <v>0</v>
          </cell>
        </row>
        <row r="3163">
          <cell r="E3163" t="str">
            <v>50</v>
          </cell>
          <cell r="J3163">
            <v>0</v>
          </cell>
          <cell r="K3163">
            <v>0</v>
          </cell>
          <cell r="AL3163">
            <v>0</v>
          </cell>
        </row>
        <row r="3164">
          <cell r="E3164" t="str">
            <v>50</v>
          </cell>
          <cell r="J3164">
            <v>0</v>
          </cell>
          <cell r="K3164">
            <v>0</v>
          </cell>
          <cell r="AL3164">
            <v>0</v>
          </cell>
        </row>
        <row r="3165">
          <cell r="E3165" t="str">
            <v>50</v>
          </cell>
          <cell r="J3165">
            <v>0</v>
          </cell>
          <cell r="K3165">
            <v>0</v>
          </cell>
          <cell r="AL3165">
            <v>0</v>
          </cell>
        </row>
        <row r="3166">
          <cell r="E3166" t="str">
            <v>50</v>
          </cell>
          <cell r="J3166">
            <v>0</v>
          </cell>
          <cell r="K3166">
            <v>0</v>
          </cell>
          <cell r="AL3166">
            <v>0</v>
          </cell>
        </row>
        <row r="3167">
          <cell r="E3167" t="str">
            <v>51</v>
          </cell>
          <cell r="J3167">
            <v>0</v>
          </cell>
          <cell r="K3167">
            <v>0</v>
          </cell>
          <cell r="AL3167">
            <v>0</v>
          </cell>
        </row>
        <row r="3168">
          <cell r="E3168" t="str">
            <v>50</v>
          </cell>
          <cell r="J3168">
            <v>0</v>
          </cell>
          <cell r="K3168">
            <v>0</v>
          </cell>
          <cell r="AL3168">
            <v>0</v>
          </cell>
        </row>
        <row r="3169">
          <cell r="E3169" t="str">
            <v>50</v>
          </cell>
          <cell r="J3169">
            <v>0</v>
          </cell>
          <cell r="K3169">
            <v>0</v>
          </cell>
          <cell r="AL3169">
            <v>0</v>
          </cell>
        </row>
        <row r="3170">
          <cell r="E3170" t="str">
            <v>50</v>
          </cell>
          <cell r="J3170">
            <v>0</v>
          </cell>
          <cell r="K3170">
            <v>0</v>
          </cell>
          <cell r="AL3170">
            <v>0</v>
          </cell>
        </row>
        <row r="3171">
          <cell r="E3171" t="str">
            <v>50</v>
          </cell>
          <cell r="J3171">
            <v>0</v>
          </cell>
          <cell r="K3171">
            <v>0</v>
          </cell>
          <cell r="AL3171">
            <v>0</v>
          </cell>
        </row>
        <row r="3172">
          <cell r="E3172" t="str">
            <v>50</v>
          </cell>
          <cell r="J3172">
            <v>0</v>
          </cell>
          <cell r="K3172">
            <v>0</v>
          </cell>
          <cell r="AL3172">
            <v>0</v>
          </cell>
        </row>
        <row r="3173">
          <cell r="E3173" t="str">
            <v>50</v>
          </cell>
          <cell r="J3173">
            <v>0</v>
          </cell>
          <cell r="K3173">
            <v>0</v>
          </cell>
          <cell r="AL3173">
            <v>0</v>
          </cell>
        </row>
        <row r="3174">
          <cell r="E3174" t="str">
            <v>50</v>
          </cell>
          <cell r="J3174">
            <v>0</v>
          </cell>
          <cell r="K3174">
            <v>0</v>
          </cell>
          <cell r="AL3174">
            <v>0</v>
          </cell>
        </row>
        <row r="3175">
          <cell r="E3175" t="str">
            <v>50</v>
          </cell>
          <cell r="J3175">
            <v>0</v>
          </cell>
          <cell r="K3175">
            <v>0</v>
          </cell>
          <cell r="AL3175">
            <v>0</v>
          </cell>
        </row>
        <row r="3176">
          <cell r="E3176" t="str">
            <v>50</v>
          </cell>
          <cell r="J3176">
            <v>0</v>
          </cell>
          <cell r="K3176">
            <v>0</v>
          </cell>
          <cell r="AL3176">
            <v>0</v>
          </cell>
        </row>
        <row r="3177">
          <cell r="E3177" t="str">
            <v>50</v>
          </cell>
          <cell r="J3177">
            <v>0</v>
          </cell>
          <cell r="K3177">
            <v>0</v>
          </cell>
          <cell r="AL3177">
            <v>0</v>
          </cell>
        </row>
        <row r="3178">
          <cell r="E3178" t="str">
            <v>50</v>
          </cell>
          <cell r="J3178">
            <v>0</v>
          </cell>
          <cell r="K3178">
            <v>0</v>
          </cell>
          <cell r="AL3178">
            <v>0</v>
          </cell>
        </row>
        <row r="3179">
          <cell r="E3179" t="str">
            <v>50</v>
          </cell>
          <cell r="J3179">
            <v>0</v>
          </cell>
          <cell r="K3179">
            <v>0</v>
          </cell>
          <cell r="AL3179">
            <v>0</v>
          </cell>
        </row>
        <row r="3180">
          <cell r="E3180" t="str">
            <v>50</v>
          </cell>
          <cell r="J3180">
            <v>0</v>
          </cell>
          <cell r="K3180">
            <v>0</v>
          </cell>
          <cell r="AL3180">
            <v>0</v>
          </cell>
        </row>
        <row r="3181">
          <cell r="E3181" t="str">
            <v>50</v>
          </cell>
          <cell r="J3181">
            <v>0</v>
          </cell>
          <cell r="K3181">
            <v>0</v>
          </cell>
          <cell r="AL3181">
            <v>0</v>
          </cell>
        </row>
        <row r="3182">
          <cell r="E3182" t="str">
            <v>10</v>
          </cell>
          <cell r="J3182">
            <v>0</v>
          </cell>
          <cell r="K3182">
            <v>0</v>
          </cell>
          <cell r="AL3182">
            <v>0</v>
          </cell>
          <cell r="BJ3182" t="str">
            <v>CCO</v>
          </cell>
        </row>
        <row r="3183">
          <cell r="E3183" t="str">
            <v>10</v>
          </cell>
          <cell r="J3183">
            <v>0</v>
          </cell>
          <cell r="K3183">
            <v>0</v>
          </cell>
          <cell r="AL3183">
            <v>0</v>
          </cell>
          <cell r="BJ3183" t="str">
            <v>CCO</v>
          </cell>
        </row>
        <row r="3184">
          <cell r="E3184" t="str">
            <v>10</v>
          </cell>
          <cell r="J3184">
            <v>0</v>
          </cell>
          <cell r="K3184">
            <v>0</v>
          </cell>
          <cell r="AL3184">
            <v>0</v>
          </cell>
          <cell r="BJ3184" t="str">
            <v>CCO</v>
          </cell>
        </row>
        <row r="3185">
          <cell r="E3185" t="str">
            <v>10</v>
          </cell>
          <cell r="J3185">
            <v>0</v>
          </cell>
          <cell r="K3185">
            <v>0</v>
          </cell>
          <cell r="AL3185">
            <v>0</v>
          </cell>
          <cell r="BJ3185" t="str">
            <v>CCO</v>
          </cell>
        </row>
        <row r="3186">
          <cell r="E3186" t="str">
            <v>10</v>
          </cell>
          <cell r="J3186">
            <v>0</v>
          </cell>
          <cell r="K3186">
            <v>0</v>
          </cell>
          <cell r="AL3186">
            <v>0</v>
          </cell>
          <cell r="BJ3186" t="str">
            <v>CCO</v>
          </cell>
        </row>
        <row r="3187">
          <cell r="E3187" t="str">
            <v>10</v>
          </cell>
          <cell r="J3187">
            <v>0</v>
          </cell>
          <cell r="K3187">
            <v>0</v>
          </cell>
          <cell r="AL3187">
            <v>0</v>
          </cell>
          <cell r="BJ3187" t="str">
            <v>CCO</v>
          </cell>
        </row>
        <row r="3188">
          <cell r="E3188" t="str">
            <v>10</v>
          </cell>
          <cell r="J3188">
            <v>0</v>
          </cell>
          <cell r="K3188">
            <v>0</v>
          </cell>
          <cell r="AL3188">
            <v>0</v>
          </cell>
          <cell r="BJ3188" t="str">
            <v>CCO</v>
          </cell>
        </row>
        <row r="3189">
          <cell r="E3189" t="str">
            <v>10</v>
          </cell>
          <cell r="J3189">
            <v>0</v>
          </cell>
          <cell r="K3189">
            <v>0</v>
          </cell>
          <cell r="AL3189">
            <v>0</v>
          </cell>
          <cell r="BJ3189" t="str">
            <v>CCO</v>
          </cell>
        </row>
        <row r="3190">
          <cell r="E3190" t="str">
            <v>10</v>
          </cell>
          <cell r="J3190">
            <v>0</v>
          </cell>
          <cell r="K3190">
            <v>0</v>
          </cell>
          <cell r="AL3190">
            <v>0</v>
          </cell>
          <cell r="BJ3190" t="str">
            <v>CCO</v>
          </cell>
        </row>
        <row r="3191">
          <cell r="E3191" t="str">
            <v>10</v>
          </cell>
          <cell r="J3191">
            <v>0</v>
          </cell>
          <cell r="K3191">
            <v>0</v>
          </cell>
          <cell r="AL3191">
            <v>0</v>
          </cell>
          <cell r="BJ3191" t="str">
            <v>CCO</v>
          </cell>
        </row>
        <row r="3192">
          <cell r="E3192" t="str">
            <v>10</v>
          </cell>
          <cell r="J3192">
            <v>0</v>
          </cell>
          <cell r="K3192">
            <v>0</v>
          </cell>
          <cell r="AL3192">
            <v>0</v>
          </cell>
          <cell r="BJ3192" t="str">
            <v>CCO</v>
          </cell>
        </row>
        <row r="3193">
          <cell r="E3193" t="str">
            <v>10</v>
          </cell>
          <cell r="J3193">
            <v>0</v>
          </cell>
          <cell r="K3193">
            <v>0</v>
          </cell>
          <cell r="AL3193">
            <v>0</v>
          </cell>
          <cell r="BJ3193" t="str">
            <v>CCO</v>
          </cell>
        </row>
        <row r="3194">
          <cell r="E3194" t="str">
            <v>11</v>
          </cell>
          <cell r="J3194">
            <v>0</v>
          </cell>
          <cell r="K3194">
            <v>0</v>
          </cell>
          <cell r="AL3194">
            <v>0</v>
          </cell>
          <cell r="BJ3194" t="str">
            <v>CCO</v>
          </cell>
        </row>
        <row r="3195">
          <cell r="E3195" t="str">
            <v>11</v>
          </cell>
          <cell r="J3195">
            <v>0</v>
          </cell>
          <cell r="K3195">
            <v>0</v>
          </cell>
          <cell r="AL3195">
            <v>0</v>
          </cell>
          <cell r="BJ3195" t="str">
            <v>CCO</v>
          </cell>
        </row>
        <row r="3196">
          <cell r="E3196" t="str">
            <v>11</v>
          </cell>
          <cell r="J3196">
            <v>0</v>
          </cell>
          <cell r="K3196">
            <v>0</v>
          </cell>
          <cell r="AL3196">
            <v>0</v>
          </cell>
          <cell r="BJ3196" t="str">
            <v>CCO</v>
          </cell>
        </row>
        <row r="3197">
          <cell r="E3197" t="str">
            <v>11</v>
          </cell>
          <cell r="J3197">
            <v>0</v>
          </cell>
          <cell r="K3197">
            <v>0</v>
          </cell>
          <cell r="AL3197">
            <v>0</v>
          </cell>
          <cell r="BJ3197" t="str">
            <v>CCO</v>
          </cell>
        </row>
        <row r="3198">
          <cell r="E3198" t="str">
            <v>11</v>
          </cell>
          <cell r="J3198">
            <v>0</v>
          </cell>
          <cell r="K3198">
            <v>0</v>
          </cell>
          <cell r="AL3198">
            <v>0</v>
          </cell>
          <cell r="BJ3198" t="str">
            <v>CCO</v>
          </cell>
        </row>
        <row r="3199">
          <cell r="E3199" t="str">
            <v>11</v>
          </cell>
          <cell r="J3199">
            <v>0</v>
          </cell>
          <cell r="K3199">
            <v>0</v>
          </cell>
          <cell r="AL3199">
            <v>0</v>
          </cell>
          <cell r="BJ3199" t="str">
            <v>CCO</v>
          </cell>
        </row>
        <row r="3200">
          <cell r="E3200" t="str">
            <v>11</v>
          </cell>
          <cell r="J3200">
            <v>0</v>
          </cell>
          <cell r="K3200">
            <v>0</v>
          </cell>
          <cell r="AL3200">
            <v>0</v>
          </cell>
          <cell r="BJ3200" t="str">
            <v>CCO</v>
          </cell>
        </row>
        <row r="3201">
          <cell r="E3201" t="str">
            <v>11</v>
          </cell>
          <cell r="J3201">
            <v>0</v>
          </cell>
          <cell r="K3201">
            <v>0</v>
          </cell>
          <cell r="AL3201">
            <v>0</v>
          </cell>
          <cell r="BJ3201" t="str">
            <v>CCO</v>
          </cell>
        </row>
        <row r="3202">
          <cell r="E3202" t="str">
            <v>11</v>
          </cell>
          <cell r="J3202">
            <v>0</v>
          </cell>
          <cell r="K3202">
            <v>0</v>
          </cell>
          <cell r="AL3202">
            <v>0</v>
          </cell>
          <cell r="BJ3202" t="str">
            <v>CCO</v>
          </cell>
        </row>
        <row r="3203">
          <cell r="E3203" t="str">
            <v>11</v>
          </cell>
          <cell r="J3203">
            <v>0</v>
          </cell>
          <cell r="K3203">
            <v>0</v>
          </cell>
          <cell r="AL3203">
            <v>0</v>
          </cell>
          <cell r="BJ3203" t="str">
            <v>CCO</v>
          </cell>
        </row>
        <row r="3204">
          <cell r="E3204" t="str">
            <v>11</v>
          </cell>
          <cell r="J3204">
            <v>0</v>
          </cell>
          <cell r="K3204">
            <v>0</v>
          </cell>
          <cell r="AL3204">
            <v>0</v>
          </cell>
          <cell r="BJ3204" t="str">
            <v>CCO</v>
          </cell>
        </row>
        <row r="3205">
          <cell r="E3205" t="str">
            <v>11</v>
          </cell>
          <cell r="J3205">
            <v>0</v>
          </cell>
          <cell r="K3205">
            <v>0</v>
          </cell>
          <cell r="AL3205">
            <v>0</v>
          </cell>
          <cell r="BJ3205" t="str">
            <v>CCO</v>
          </cell>
        </row>
        <row r="3206">
          <cell r="E3206" t="str">
            <v>11</v>
          </cell>
          <cell r="J3206">
            <v>0</v>
          </cell>
          <cell r="K3206">
            <v>0</v>
          </cell>
          <cell r="AL3206">
            <v>0</v>
          </cell>
          <cell r="BJ3206" t="str">
            <v>CCO</v>
          </cell>
        </row>
        <row r="3207">
          <cell r="E3207" t="str">
            <v>11</v>
          </cell>
          <cell r="J3207">
            <v>0</v>
          </cell>
          <cell r="K3207">
            <v>0</v>
          </cell>
          <cell r="AL3207">
            <v>0</v>
          </cell>
          <cell r="BJ3207" t="str">
            <v>CCO</v>
          </cell>
        </row>
        <row r="3208">
          <cell r="E3208" t="str">
            <v>11</v>
          </cell>
          <cell r="J3208">
            <v>0</v>
          </cell>
          <cell r="K3208">
            <v>0</v>
          </cell>
          <cell r="AL3208">
            <v>0</v>
          </cell>
          <cell r="BJ3208" t="str">
            <v>CCO</v>
          </cell>
        </row>
        <row r="3209">
          <cell r="E3209" t="str">
            <v>11</v>
          </cell>
          <cell r="J3209">
            <v>0</v>
          </cell>
          <cell r="K3209">
            <v>0</v>
          </cell>
          <cell r="AL3209">
            <v>0</v>
          </cell>
          <cell r="BJ3209" t="str">
            <v>CCO</v>
          </cell>
        </row>
        <row r="3210">
          <cell r="E3210" t="str">
            <v>11</v>
          </cell>
          <cell r="J3210">
            <v>0</v>
          </cell>
          <cell r="K3210">
            <v>0</v>
          </cell>
          <cell r="AL3210">
            <v>0</v>
          </cell>
          <cell r="BJ3210" t="str">
            <v>CCO</v>
          </cell>
        </row>
        <row r="3211">
          <cell r="E3211" t="str">
            <v>11</v>
          </cell>
          <cell r="J3211">
            <v>0</v>
          </cell>
          <cell r="K3211">
            <v>0</v>
          </cell>
          <cell r="AL3211">
            <v>0</v>
          </cell>
          <cell r="BJ3211" t="str">
            <v>CCO</v>
          </cell>
        </row>
        <row r="3212">
          <cell r="E3212" t="str">
            <v>11</v>
          </cell>
          <cell r="J3212">
            <v>0</v>
          </cell>
          <cell r="K3212">
            <v>0</v>
          </cell>
          <cell r="AL3212">
            <v>0</v>
          </cell>
          <cell r="BJ3212" t="str">
            <v>CCO</v>
          </cell>
        </row>
        <row r="3213">
          <cell r="E3213" t="str">
            <v>11</v>
          </cell>
          <cell r="J3213">
            <v>0</v>
          </cell>
          <cell r="K3213">
            <v>0</v>
          </cell>
          <cell r="AL3213">
            <v>0</v>
          </cell>
          <cell r="BJ3213" t="str">
            <v>CCO</v>
          </cell>
        </row>
        <row r="3214">
          <cell r="E3214" t="str">
            <v>11</v>
          </cell>
          <cell r="J3214">
            <v>0</v>
          </cell>
          <cell r="K3214">
            <v>0</v>
          </cell>
          <cell r="AL3214">
            <v>0</v>
          </cell>
          <cell r="BJ3214" t="str">
            <v>CCO</v>
          </cell>
        </row>
        <row r="3215">
          <cell r="E3215" t="str">
            <v>12</v>
          </cell>
          <cell r="J3215">
            <v>0</v>
          </cell>
          <cell r="K3215">
            <v>0</v>
          </cell>
          <cell r="AL3215">
            <v>0</v>
          </cell>
          <cell r="BJ3215" t="str">
            <v>CCO</v>
          </cell>
        </row>
        <row r="3216">
          <cell r="E3216" t="str">
            <v>13</v>
          </cell>
          <cell r="J3216">
            <v>0</v>
          </cell>
          <cell r="K3216">
            <v>0</v>
          </cell>
          <cell r="AL3216">
            <v>0</v>
          </cell>
          <cell r="BJ3216" t="str">
            <v>CCO</v>
          </cell>
        </row>
        <row r="3217">
          <cell r="E3217" t="str">
            <v>13</v>
          </cell>
          <cell r="J3217">
            <v>0</v>
          </cell>
          <cell r="K3217">
            <v>0</v>
          </cell>
          <cell r="AL3217">
            <v>0</v>
          </cell>
          <cell r="BJ3217" t="str">
            <v>CCO</v>
          </cell>
        </row>
        <row r="3218">
          <cell r="E3218" t="str">
            <v>13</v>
          </cell>
          <cell r="J3218">
            <v>0</v>
          </cell>
          <cell r="K3218">
            <v>0</v>
          </cell>
          <cell r="AL3218">
            <v>0</v>
          </cell>
          <cell r="BJ3218" t="str">
            <v>CCO</v>
          </cell>
        </row>
        <row r="3219">
          <cell r="E3219" t="str">
            <v>13</v>
          </cell>
          <cell r="J3219">
            <v>0</v>
          </cell>
          <cell r="K3219">
            <v>0</v>
          </cell>
          <cell r="AL3219">
            <v>0</v>
          </cell>
          <cell r="BJ3219" t="str">
            <v>CCO</v>
          </cell>
        </row>
        <row r="3220">
          <cell r="E3220" t="str">
            <v>13</v>
          </cell>
          <cell r="J3220">
            <v>0</v>
          </cell>
          <cell r="K3220">
            <v>0</v>
          </cell>
          <cell r="AL3220">
            <v>0</v>
          </cell>
          <cell r="BJ3220" t="str">
            <v>CCO</v>
          </cell>
        </row>
        <row r="3221">
          <cell r="E3221" t="str">
            <v>13</v>
          </cell>
          <cell r="J3221">
            <v>0</v>
          </cell>
          <cell r="K3221">
            <v>0</v>
          </cell>
          <cell r="AL3221">
            <v>0</v>
          </cell>
          <cell r="BJ3221" t="str">
            <v>CCO</v>
          </cell>
        </row>
        <row r="3222">
          <cell r="E3222" t="str">
            <v>13</v>
          </cell>
          <cell r="J3222">
            <v>0</v>
          </cell>
          <cell r="K3222">
            <v>0</v>
          </cell>
          <cell r="AL3222">
            <v>0</v>
          </cell>
          <cell r="BJ3222" t="str">
            <v>CCO</v>
          </cell>
        </row>
        <row r="3223">
          <cell r="E3223" t="str">
            <v>13</v>
          </cell>
          <cell r="J3223">
            <v>0</v>
          </cell>
          <cell r="K3223">
            <v>0</v>
          </cell>
          <cell r="AL3223">
            <v>0</v>
          </cell>
          <cell r="BJ3223" t="str">
            <v>CCO</v>
          </cell>
        </row>
        <row r="3224">
          <cell r="E3224" t="str">
            <v>13</v>
          </cell>
          <cell r="J3224">
            <v>0</v>
          </cell>
          <cell r="K3224">
            <v>0</v>
          </cell>
          <cell r="AL3224">
            <v>0</v>
          </cell>
          <cell r="BJ3224" t="str">
            <v>CCO</v>
          </cell>
        </row>
        <row r="3225">
          <cell r="E3225" t="str">
            <v>13</v>
          </cell>
          <cell r="J3225">
            <v>0</v>
          </cell>
          <cell r="K3225">
            <v>0</v>
          </cell>
          <cell r="AL3225">
            <v>0</v>
          </cell>
          <cell r="BJ3225" t="str">
            <v>CCO</v>
          </cell>
        </row>
        <row r="3226">
          <cell r="E3226" t="str">
            <v>13</v>
          </cell>
          <cell r="J3226">
            <v>0</v>
          </cell>
          <cell r="K3226">
            <v>0</v>
          </cell>
          <cell r="AL3226">
            <v>0</v>
          </cell>
          <cell r="BJ3226" t="str">
            <v>CCO</v>
          </cell>
        </row>
        <row r="3227">
          <cell r="E3227" t="str">
            <v>13</v>
          </cell>
          <cell r="J3227">
            <v>0</v>
          </cell>
          <cell r="K3227">
            <v>0</v>
          </cell>
          <cell r="AL3227">
            <v>0</v>
          </cell>
          <cell r="BJ3227" t="str">
            <v>CCO</v>
          </cell>
        </row>
        <row r="3228">
          <cell r="E3228" t="str">
            <v>13</v>
          </cell>
          <cell r="J3228">
            <v>0</v>
          </cell>
          <cell r="K3228">
            <v>0</v>
          </cell>
          <cell r="AL3228">
            <v>0</v>
          </cell>
          <cell r="BJ3228" t="str">
            <v>CCO</v>
          </cell>
        </row>
        <row r="3229">
          <cell r="E3229" t="str">
            <v>13</v>
          </cell>
          <cell r="J3229">
            <v>0</v>
          </cell>
          <cell r="K3229">
            <v>0</v>
          </cell>
          <cell r="AL3229">
            <v>0</v>
          </cell>
          <cell r="BJ3229" t="str">
            <v>CCO</v>
          </cell>
        </row>
        <row r="3230">
          <cell r="E3230" t="str">
            <v>13</v>
          </cell>
          <cell r="J3230">
            <v>0</v>
          </cell>
          <cell r="K3230">
            <v>0</v>
          </cell>
          <cell r="AL3230">
            <v>0</v>
          </cell>
          <cell r="BJ3230" t="str">
            <v>CCO</v>
          </cell>
        </row>
        <row r="3231">
          <cell r="E3231" t="str">
            <v>13</v>
          </cell>
          <cell r="J3231">
            <v>0</v>
          </cell>
          <cell r="K3231">
            <v>0</v>
          </cell>
          <cell r="AL3231">
            <v>0</v>
          </cell>
          <cell r="BJ3231" t="str">
            <v>CCO</v>
          </cell>
        </row>
        <row r="3232">
          <cell r="E3232" t="str">
            <v>13</v>
          </cell>
          <cell r="J3232">
            <v>0</v>
          </cell>
          <cell r="K3232">
            <v>0</v>
          </cell>
          <cell r="AL3232">
            <v>0</v>
          </cell>
          <cell r="BJ3232" t="str">
            <v>CCO</v>
          </cell>
        </row>
        <row r="3233">
          <cell r="E3233" t="str">
            <v>13</v>
          </cell>
          <cell r="J3233">
            <v>0</v>
          </cell>
          <cell r="K3233">
            <v>0</v>
          </cell>
          <cell r="AL3233">
            <v>0</v>
          </cell>
          <cell r="BJ3233" t="str">
            <v>CCO</v>
          </cell>
        </row>
        <row r="3234">
          <cell r="E3234" t="str">
            <v>13</v>
          </cell>
          <cell r="J3234">
            <v>0</v>
          </cell>
          <cell r="K3234">
            <v>0</v>
          </cell>
          <cell r="AL3234">
            <v>0</v>
          </cell>
          <cell r="BJ3234" t="str">
            <v>CCO</v>
          </cell>
        </row>
        <row r="3235">
          <cell r="E3235" t="str">
            <v>13</v>
          </cell>
          <cell r="J3235">
            <v>0</v>
          </cell>
          <cell r="K3235">
            <v>0</v>
          </cell>
          <cell r="AL3235">
            <v>0</v>
          </cell>
          <cell r="BJ3235" t="str">
            <v>CCO</v>
          </cell>
        </row>
        <row r="3236">
          <cell r="E3236" t="str">
            <v>13</v>
          </cell>
          <cell r="J3236">
            <v>0</v>
          </cell>
          <cell r="K3236">
            <v>0</v>
          </cell>
          <cell r="AL3236">
            <v>0</v>
          </cell>
          <cell r="BJ3236" t="str">
            <v>CCO</v>
          </cell>
        </row>
        <row r="3237">
          <cell r="E3237" t="str">
            <v>13</v>
          </cell>
          <cell r="J3237">
            <v>0</v>
          </cell>
          <cell r="K3237">
            <v>0</v>
          </cell>
          <cell r="AL3237">
            <v>0</v>
          </cell>
          <cell r="BJ3237" t="str">
            <v>CCO</v>
          </cell>
        </row>
        <row r="3238">
          <cell r="E3238" t="str">
            <v>13</v>
          </cell>
          <cell r="J3238">
            <v>0</v>
          </cell>
          <cell r="K3238">
            <v>0</v>
          </cell>
          <cell r="AL3238">
            <v>0</v>
          </cell>
          <cell r="BJ3238" t="str">
            <v>CCO</v>
          </cell>
        </row>
        <row r="3239">
          <cell r="E3239" t="str">
            <v>13</v>
          </cell>
          <cell r="J3239">
            <v>0</v>
          </cell>
          <cell r="K3239">
            <v>0</v>
          </cell>
          <cell r="AL3239">
            <v>0</v>
          </cell>
          <cell r="BJ3239" t="str">
            <v>CCO</v>
          </cell>
        </row>
        <row r="3240">
          <cell r="E3240" t="str">
            <v>13</v>
          </cell>
          <cell r="J3240">
            <v>0</v>
          </cell>
          <cell r="K3240">
            <v>0</v>
          </cell>
          <cell r="AL3240">
            <v>0</v>
          </cell>
          <cell r="BJ3240" t="str">
            <v>CCO</v>
          </cell>
        </row>
        <row r="3241">
          <cell r="E3241" t="str">
            <v>13</v>
          </cell>
          <cell r="J3241">
            <v>0</v>
          </cell>
          <cell r="K3241">
            <v>0</v>
          </cell>
          <cell r="AL3241">
            <v>0</v>
          </cell>
          <cell r="BJ3241" t="str">
            <v>CCO</v>
          </cell>
        </row>
        <row r="3242">
          <cell r="E3242" t="str">
            <v>13</v>
          </cell>
          <cell r="J3242">
            <v>0</v>
          </cell>
          <cell r="K3242">
            <v>0</v>
          </cell>
          <cell r="AL3242">
            <v>0</v>
          </cell>
          <cell r="BJ3242" t="str">
            <v>CCO</v>
          </cell>
        </row>
        <row r="3243">
          <cell r="E3243" t="str">
            <v>13</v>
          </cell>
          <cell r="J3243">
            <v>0</v>
          </cell>
          <cell r="K3243">
            <v>0</v>
          </cell>
          <cell r="AL3243">
            <v>0</v>
          </cell>
          <cell r="BJ3243" t="str">
            <v>CCO</v>
          </cell>
        </row>
        <row r="3244">
          <cell r="E3244" t="str">
            <v>13</v>
          </cell>
          <cell r="J3244">
            <v>0</v>
          </cell>
          <cell r="K3244">
            <v>0</v>
          </cell>
          <cell r="AL3244">
            <v>0</v>
          </cell>
          <cell r="BJ3244" t="str">
            <v>CCO</v>
          </cell>
        </row>
        <row r="3245">
          <cell r="E3245" t="str">
            <v>13</v>
          </cell>
          <cell r="J3245">
            <v>0</v>
          </cell>
          <cell r="K3245">
            <v>0</v>
          </cell>
          <cell r="AL3245">
            <v>0</v>
          </cell>
          <cell r="BJ3245" t="str">
            <v>CCO</v>
          </cell>
        </row>
        <row r="3246">
          <cell r="E3246" t="str">
            <v>13</v>
          </cell>
          <cell r="J3246">
            <v>0</v>
          </cell>
          <cell r="K3246">
            <v>0</v>
          </cell>
          <cell r="AL3246">
            <v>0</v>
          </cell>
          <cell r="BJ3246" t="str">
            <v>CCO</v>
          </cell>
        </row>
        <row r="3247">
          <cell r="E3247" t="str">
            <v>13</v>
          </cell>
          <cell r="J3247">
            <v>0</v>
          </cell>
          <cell r="K3247">
            <v>0</v>
          </cell>
          <cell r="AL3247">
            <v>0</v>
          </cell>
          <cell r="BJ3247" t="str">
            <v>CCO</v>
          </cell>
        </row>
        <row r="3248">
          <cell r="E3248" t="str">
            <v>13</v>
          </cell>
          <cell r="J3248">
            <v>0</v>
          </cell>
          <cell r="K3248">
            <v>0</v>
          </cell>
          <cell r="AL3248">
            <v>0</v>
          </cell>
          <cell r="BJ3248" t="str">
            <v>CCO</v>
          </cell>
        </row>
        <row r="3249">
          <cell r="E3249" t="str">
            <v>13</v>
          </cell>
          <cell r="J3249">
            <v>0</v>
          </cell>
          <cell r="K3249">
            <v>0</v>
          </cell>
          <cell r="AL3249">
            <v>0</v>
          </cell>
          <cell r="BJ3249" t="str">
            <v>CCO</v>
          </cell>
        </row>
        <row r="3250">
          <cell r="E3250" t="str">
            <v>13</v>
          </cell>
          <cell r="J3250">
            <v>0</v>
          </cell>
          <cell r="K3250">
            <v>0</v>
          </cell>
          <cell r="AL3250">
            <v>0</v>
          </cell>
          <cell r="BJ3250" t="str">
            <v>CCO</v>
          </cell>
        </row>
        <row r="3251">
          <cell r="E3251" t="str">
            <v>13</v>
          </cell>
          <cell r="J3251">
            <v>0</v>
          </cell>
          <cell r="K3251">
            <v>0</v>
          </cell>
          <cell r="AL3251">
            <v>0</v>
          </cell>
          <cell r="BJ3251" t="str">
            <v>CCO</v>
          </cell>
        </row>
        <row r="3252">
          <cell r="E3252" t="str">
            <v>13</v>
          </cell>
          <cell r="J3252">
            <v>0</v>
          </cell>
          <cell r="K3252">
            <v>0</v>
          </cell>
          <cell r="AL3252">
            <v>0</v>
          </cell>
          <cell r="BJ3252" t="str">
            <v>CCO</v>
          </cell>
        </row>
        <row r="3253">
          <cell r="E3253" t="str">
            <v>13</v>
          </cell>
          <cell r="J3253">
            <v>0</v>
          </cell>
          <cell r="K3253">
            <v>0</v>
          </cell>
          <cell r="AL3253">
            <v>0</v>
          </cell>
          <cell r="BJ3253" t="str">
            <v>CCO</v>
          </cell>
        </row>
        <row r="3254">
          <cell r="E3254" t="str">
            <v>13</v>
          </cell>
          <cell r="J3254">
            <v>0</v>
          </cell>
          <cell r="K3254">
            <v>0</v>
          </cell>
          <cell r="AL3254">
            <v>0</v>
          </cell>
          <cell r="BJ3254" t="str">
            <v>CCO</v>
          </cell>
        </row>
        <row r="3255">
          <cell r="E3255" t="str">
            <v>13</v>
          </cell>
          <cell r="J3255">
            <v>0</v>
          </cell>
          <cell r="K3255">
            <v>0</v>
          </cell>
          <cell r="AL3255">
            <v>0</v>
          </cell>
          <cell r="BJ3255" t="str">
            <v>CCO</v>
          </cell>
        </row>
        <row r="3256">
          <cell r="E3256" t="str">
            <v>13</v>
          </cell>
          <cell r="J3256">
            <v>0</v>
          </cell>
          <cell r="K3256">
            <v>0</v>
          </cell>
          <cell r="AL3256">
            <v>0</v>
          </cell>
          <cell r="BJ3256" t="str">
            <v>CCO</v>
          </cell>
        </row>
        <row r="3257">
          <cell r="E3257" t="str">
            <v>13</v>
          </cell>
          <cell r="J3257">
            <v>0</v>
          </cell>
          <cell r="K3257">
            <v>0</v>
          </cell>
          <cell r="AL3257">
            <v>0</v>
          </cell>
          <cell r="BJ3257" t="str">
            <v>CCO</v>
          </cell>
        </row>
        <row r="3258">
          <cell r="E3258" t="str">
            <v>13</v>
          </cell>
          <cell r="J3258">
            <v>0</v>
          </cell>
          <cell r="K3258">
            <v>0</v>
          </cell>
          <cell r="AL3258">
            <v>0</v>
          </cell>
          <cell r="BJ3258" t="str">
            <v>CCO</v>
          </cell>
        </row>
        <row r="3259">
          <cell r="E3259" t="str">
            <v>13</v>
          </cell>
          <cell r="J3259">
            <v>0</v>
          </cell>
          <cell r="K3259">
            <v>0</v>
          </cell>
          <cell r="AL3259">
            <v>0</v>
          </cell>
          <cell r="BJ3259" t="str">
            <v>CCO</v>
          </cell>
        </row>
        <row r="3260">
          <cell r="E3260" t="str">
            <v>13</v>
          </cell>
          <cell r="J3260">
            <v>0</v>
          </cell>
          <cell r="K3260">
            <v>0</v>
          </cell>
          <cell r="AL3260">
            <v>0</v>
          </cell>
          <cell r="BJ3260" t="str">
            <v>CCO</v>
          </cell>
        </row>
        <row r="3261">
          <cell r="E3261" t="str">
            <v>13</v>
          </cell>
          <cell r="J3261">
            <v>0</v>
          </cell>
          <cell r="K3261">
            <v>0</v>
          </cell>
          <cell r="AL3261">
            <v>0</v>
          </cell>
          <cell r="BJ3261" t="str">
            <v>CCO</v>
          </cell>
        </row>
        <row r="3262">
          <cell r="E3262" t="str">
            <v>13</v>
          </cell>
          <cell r="J3262">
            <v>0</v>
          </cell>
          <cell r="K3262">
            <v>0</v>
          </cell>
          <cell r="AL3262">
            <v>0</v>
          </cell>
          <cell r="BJ3262" t="str">
            <v>CCO</v>
          </cell>
        </row>
        <row r="3263">
          <cell r="E3263" t="str">
            <v>13</v>
          </cell>
          <cell r="J3263">
            <v>0</v>
          </cell>
          <cell r="K3263">
            <v>0</v>
          </cell>
          <cell r="AL3263">
            <v>0</v>
          </cell>
          <cell r="BJ3263" t="str">
            <v>CCO</v>
          </cell>
        </row>
        <row r="3264">
          <cell r="E3264" t="str">
            <v>13</v>
          </cell>
          <cell r="J3264">
            <v>0</v>
          </cell>
          <cell r="K3264">
            <v>0</v>
          </cell>
          <cell r="AL3264">
            <v>0</v>
          </cell>
          <cell r="BJ3264" t="str">
            <v>CCO</v>
          </cell>
        </row>
        <row r="3265">
          <cell r="E3265" t="str">
            <v>13</v>
          </cell>
          <cell r="J3265">
            <v>0</v>
          </cell>
          <cell r="K3265">
            <v>0</v>
          </cell>
          <cell r="AL3265">
            <v>0</v>
          </cell>
          <cell r="BJ3265" t="str">
            <v>CCO</v>
          </cell>
        </row>
        <row r="3266">
          <cell r="E3266" t="str">
            <v>13</v>
          </cell>
          <cell r="J3266">
            <v>0</v>
          </cell>
          <cell r="K3266">
            <v>0</v>
          </cell>
          <cell r="AL3266">
            <v>0</v>
          </cell>
          <cell r="BJ3266" t="str">
            <v>CCO</v>
          </cell>
        </row>
        <row r="3267">
          <cell r="E3267" t="str">
            <v>13</v>
          </cell>
          <cell r="J3267">
            <v>0</v>
          </cell>
          <cell r="K3267">
            <v>0</v>
          </cell>
          <cell r="AL3267">
            <v>0</v>
          </cell>
          <cell r="BJ3267" t="str">
            <v>CCO</v>
          </cell>
        </row>
        <row r="3268">
          <cell r="E3268" t="str">
            <v>13</v>
          </cell>
          <cell r="J3268">
            <v>0</v>
          </cell>
          <cell r="K3268">
            <v>0</v>
          </cell>
          <cell r="AL3268">
            <v>0</v>
          </cell>
          <cell r="BJ3268" t="str">
            <v>CCO</v>
          </cell>
        </row>
        <row r="3269">
          <cell r="E3269" t="str">
            <v>13</v>
          </cell>
          <cell r="J3269">
            <v>0</v>
          </cell>
          <cell r="K3269">
            <v>0</v>
          </cell>
          <cell r="AL3269">
            <v>0</v>
          </cell>
          <cell r="BJ3269" t="str">
            <v>CCO</v>
          </cell>
        </row>
        <row r="3270">
          <cell r="E3270" t="str">
            <v>13</v>
          </cell>
          <cell r="J3270">
            <v>0</v>
          </cell>
          <cell r="K3270">
            <v>0</v>
          </cell>
          <cell r="AL3270">
            <v>0</v>
          </cell>
          <cell r="BJ3270" t="str">
            <v>CCO</v>
          </cell>
        </row>
        <row r="3271">
          <cell r="E3271" t="str">
            <v>13</v>
          </cell>
          <cell r="J3271">
            <v>0</v>
          </cell>
          <cell r="K3271">
            <v>0</v>
          </cell>
          <cell r="AL3271">
            <v>0</v>
          </cell>
          <cell r="BJ3271" t="str">
            <v>CCO</v>
          </cell>
        </row>
        <row r="3272">
          <cell r="E3272" t="str">
            <v>13</v>
          </cell>
          <cell r="J3272">
            <v>0</v>
          </cell>
          <cell r="K3272">
            <v>0</v>
          </cell>
          <cell r="AL3272">
            <v>0</v>
          </cell>
          <cell r="BJ3272" t="str">
            <v>CCO</v>
          </cell>
        </row>
        <row r="3273">
          <cell r="E3273" t="str">
            <v>13</v>
          </cell>
          <cell r="J3273">
            <v>0</v>
          </cell>
          <cell r="K3273">
            <v>0</v>
          </cell>
          <cell r="AL3273">
            <v>0</v>
          </cell>
          <cell r="BJ3273" t="str">
            <v>CCO</v>
          </cell>
        </row>
        <row r="3274">
          <cell r="E3274" t="str">
            <v>13</v>
          </cell>
          <cell r="J3274">
            <v>0</v>
          </cell>
          <cell r="K3274">
            <v>0</v>
          </cell>
          <cell r="AL3274">
            <v>0</v>
          </cell>
          <cell r="BJ3274" t="str">
            <v>CCO</v>
          </cell>
        </row>
        <row r="3275">
          <cell r="E3275" t="str">
            <v>13</v>
          </cell>
          <cell r="J3275">
            <v>0</v>
          </cell>
          <cell r="K3275">
            <v>0</v>
          </cell>
          <cell r="AL3275">
            <v>0</v>
          </cell>
          <cell r="BJ3275" t="str">
            <v>CCO</v>
          </cell>
        </row>
        <row r="3276">
          <cell r="E3276" t="str">
            <v>13</v>
          </cell>
          <cell r="J3276">
            <v>0</v>
          </cell>
          <cell r="K3276">
            <v>0</v>
          </cell>
          <cell r="AL3276">
            <v>0</v>
          </cell>
          <cell r="BJ3276" t="str">
            <v>CCO</v>
          </cell>
        </row>
        <row r="3277">
          <cell r="E3277" t="str">
            <v>13</v>
          </cell>
          <cell r="J3277">
            <v>0</v>
          </cell>
          <cell r="K3277">
            <v>0</v>
          </cell>
          <cell r="AL3277">
            <v>0</v>
          </cell>
          <cell r="BJ3277" t="str">
            <v>CCO</v>
          </cell>
        </row>
        <row r="3278">
          <cell r="E3278" t="str">
            <v>13</v>
          </cell>
          <cell r="J3278">
            <v>0</v>
          </cell>
          <cell r="K3278">
            <v>0</v>
          </cell>
          <cell r="AL3278">
            <v>0</v>
          </cell>
          <cell r="BJ3278" t="str">
            <v>CCO</v>
          </cell>
        </row>
        <row r="3279">
          <cell r="E3279" t="str">
            <v>13</v>
          </cell>
          <cell r="J3279">
            <v>0</v>
          </cell>
          <cell r="K3279">
            <v>0</v>
          </cell>
          <cell r="AL3279">
            <v>0</v>
          </cell>
          <cell r="BJ3279" t="str">
            <v>CCO</v>
          </cell>
        </row>
        <row r="3280">
          <cell r="E3280" t="str">
            <v>13</v>
          </cell>
          <cell r="J3280">
            <v>0</v>
          </cell>
          <cell r="K3280">
            <v>0</v>
          </cell>
          <cell r="AL3280">
            <v>0</v>
          </cell>
          <cell r="BJ3280" t="str">
            <v>CCO</v>
          </cell>
        </row>
        <row r="3281">
          <cell r="E3281" t="str">
            <v>13</v>
          </cell>
          <cell r="J3281">
            <v>0</v>
          </cell>
          <cell r="K3281">
            <v>0</v>
          </cell>
          <cell r="AL3281">
            <v>0</v>
          </cell>
          <cell r="BJ3281" t="str">
            <v>CCO</v>
          </cell>
        </row>
        <row r="3282">
          <cell r="E3282" t="str">
            <v>13</v>
          </cell>
          <cell r="J3282">
            <v>0</v>
          </cell>
          <cell r="K3282">
            <v>0</v>
          </cell>
          <cell r="AL3282">
            <v>0</v>
          </cell>
          <cell r="BJ3282" t="str">
            <v>CCO</v>
          </cell>
        </row>
        <row r="3283">
          <cell r="E3283" t="str">
            <v>13</v>
          </cell>
          <cell r="J3283">
            <v>0</v>
          </cell>
          <cell r="K3283">
            <v>0</v>
          </cell>
          <cell r="AL3283">
            <v>0</v>
          </cell>
          <cell r="BJ3283" t="str">
            <v>CCO</v>
          </cell>
        </row>
        <row r="3284">
          <cell r="E3284" t="str">
            <v>13</v>
          </cell>
          <cell r="J3284">
            <v>0</v>
          </cell>
          <cell r="K3284">
            <v>0</v>
          </cell>
          <cell r="AL3284">
            <v>0</v>
          </cell>
          <cell r="BJ3284" t="str">
            <v>CCO</v>
          </cell>
        </row>
        <row r="3285">
          <cell r="E3285" t="str">
            <v>13</v>
          </cell>
          <cell r="J3285">
            <v>0</v>
          </cell>
          <cell r="K3285">
            <v>0</v>
          </cell>
          <cell r="AL3285">
            <v>0</v>
          </cell>
          <cell r="BJ3285" t="str">
            <v>CCO</v>
          </cell>
        </row>
        <row r="3286">
          <cell r="E3286" t="str">
            <v>13</v>
          </cell>
          <cell r="J3286">
            <v>0</v>
          </cell>
          <cell r="K3286">
            <v>0</v>
          </cell>
          <cell r="AL3286">
            <v>0</v>
          </cell>
          <cell r="BJ3286" t="str">
            <v>CCO</v>
          </cell>
        </row>
        <row r="3287">
          <cell r="E3287" t="str">
            <v>13</v>
          </cell>
          <cell r="J3287">
            <v>0</v>
          </cell>
          <cell r="K3287">
            <v>0</v>
          </cell>
          <cell r="AL3287">
            <v>0</v>
          </cell>
          <cell r="BJ3287" t="str">
            <v>CCO</v>
          </cell>
        </row>
        <row r="3288">
          <cell r="E3288" t="str">
            <v>13</v>
          </cell>
          <cell r="J3288">
            <v>0</v>
          </cell>
          <cell r="K3288">
            <v>0</v>
          </cell>
          <cell r="AL3288">
            <v>0</v>
          </cell>
          <cell r="BJ3288" t="str">
            <v>CCO</v>
          </cell>
        </row>
        <row r="3289">
          <cell r="E3289" t="str">
            <v>13</v>
          </cell>
          <cell r="J3289">
            <v>0</v>
          </cell>
          <cell r="K3289">
            <v>0</v>
          </cell>
          <cell r="AL3289">
            <v>0</v>
          </cell>
          <cell r="BJ3289" t="str">
            <v>CCO</v>
          </cell>
        </row>
        <row r="3290">
          <cell r="E3290" t="str">
            <v>13</v>
          </cell>
          <cell r="J3290">
            <v>0</v>
          </cell>
          <cell r="K3290">
            <v>0</v>
          </cell>
          <cell r="AL3290">
            <v>0</v>
          </cell>
          <cell r="BJ3290" t="str">
            <v>CCO</v>
          </cell>
        </row>
        <row r="3291">
          <cell r="E3291" t="str">
            <v>13</v>
          </cell>
          <cell r="J3291">
            <v>0</v>
          </cell>
          <cell r="K3291">
            <v>0</v>
          </cell>
          <cell r="AL3291">
            <v>0</v>
          </cell>
          <cell r="BJ3291" t="str">
            <v>CCO</v>
          </cell>
        </row>
        <row r="3292">
          <cell r="E3292" t="str">
            <v>13</v>
          </cell>
          <cell r="J3292">
            <v>0</v>
          </cell>
          <cell r="K3292">
            <v>0</v>
          </cell>
          <cell r="AL3292">
            <v>0</v>
          </cell>
          <cell r="BJ3292" t="str">
            <v>CCO</v>
          </cell>
        </row>
        <row r="3293">
          <cell r="E3293" t="str">
            <v>13</v>
          </cell>
          <cell r="J3293">
            <v>0</v>
          </cell>
          <cell r="K3293">
            <v>0</v>
          </cell>
          <cell r="AL3293">
            <v>0</v>
          </cell>
          <cell r="BJ3293" t="str">
            <v>CCO</v>
          </cell>
        </row>
        <row r="3294">
          <cell r="E3294" t="str">
            <v>13</v>
          </cell>
          <cell r="J3294">
            <v>0</v>
          </cell>
          <cell r="K3294">
            <v>0</v>
          </cell>
          <cell r="AL3294">
            <v>0</v>
          </cell>
          <cell r="BJ3294" t="str">
            <v>CCO</v>
          </cell>
        </row>
        <row r="3295">
          <cell r="E3295" t="str">
            <v>13</v>
          </cell>
          <cell r="J3295">
            <v>0</v>
          </cell>
          <cell r="K3295">
            <v>0</v>
          </cell>
          <cell r="AL3295">
            <v>0</v>
          </cell>
          <cell r="BJ3295" t="str">
            <v>CCO</v>
          </cell>
        </row>
        <row r="3296">
          <cell r="E3296" t="str">
            <v>13</v>
          </cell>
          <cell r="J3296">
            <v>0</v>
          </cell>
          <cell r="K3296">
            <v>0</v>
          </cell>
          <cell r="AL3296">
            <v>0</v>
          </cell>
          <cell r="BJ3296" t="str">
            <v>CCO</v>
          </cell>
        </row>
        <row r="3297">
          <cell r="E3297" t="str">
            <v>13</v>
          </cell>
          <cell r="J3297">
            <v>0</v>
          </cell>
          <cell r="K3297">
            <v>0</v>
          </cell>
          <cell r="AL3297">
            <v>0</v>
          </cell>
          <cell r="BJ3297" t="str">
            <v>CCO</v>
          </cell>
        </row>
        <row r="3298">
          <cell r="E3298" t="str">
            <v>13</v>
          </cell>
          <cell r="J3298">
            <v>0</v>
          </cell>
          <cell r="K3298">
            <v>0</v>
          </cell>
          <cell r="AL3298">
            <v>0</v>
          </cell>
          <cell r="BJ3298" t="str">
            <v>CCO</v>
          </cell>
        </row>
        <row r="3299">
          <cell r="E3299" t="str">
            <v>13</v>
          </cell>
          <cell r="J3299">
            <v>0</v>
          </cell>
          <cell r="K3299">
            <v>0</v>
          </cell>
          <cell r="AL3299">
            <v>0</v>
          </cell>
          <cell r="BJ3299" t="str">
            <v>CCO</v>
          </cell>
        </row>
        <row r="3300">
          <cell r="E3300" t="str">
            <v>13</v>
          </cell>
          <cell r="J3300">
            <v>0</v>
          </cell>
          <cell r="K3300">
            <v>0</v>
          </cell>
          <cell r="AL3300">
            <v>0</v>
          </cell>
          <cell r="BJ3300" t="str">
            <v>CCO</v>
          </cell>
        </row>
        <row r="3301">
          <cell r="E3301" t="str">
            <v>13</v>
          </cell>
          <cell r="J3301">
            <v>0</v>
          </cell>
          <cell r="K3301">
            <v>0</v>
          </cell>
          <cell r="AL3301">
            <v>0</v>
          </cell>
          <cell r="BJ3301" t="str">
            <v>CCO</v>
          </cell>
        </row>
        <row r="3302">
          <cell r="E3302" t="str">
            <v>13</v>
          </cell>
          <cell r="J3302">
            <v>0</v>
          </cell>
          <cell r="K3302">
            <v>0</v>
          </cell>
          <cell r="AL3302">
            <v>0</v>
          </cell>
          <cell r="BJ3302" t="str">
            <v>CCO</v>
          </cell>
        </row>
        <row r="3303">
          <cell r="E3303" t="str">
            <v>13</v>
          </cell>
          <cell r="J3303">
            <v>0</v>
          </cell>
          <cell r="K3303">
            <v>0</v>
          </cell>
          <cell r="AL3303">
            <v>0</v>
          </cell>
          <cell r="BJ3303" t="str">
            <v>CCO</v>
          </cell>
        </row>
        <row r="3304">
          <cell r="E3304" t="str">
            <v>13</v>
          </cell>
          <cell r="J3304">
            <v>0</v>
          </cell>
          <cell r="K3304">
            <v>0</v>
          </cell>
          <cell r="AL3304">
            <v>0</v>
          </cell>
          <cell r="BJ3304" t="str">
            <v>CCO</v>
          </cell>
        </row>
        <row r="3305">
          <cell r="E3305" t="str">
            <v>13</v>
          </cell>
          <cell r="J3305">
            <v>0</v>
          </cell>
          <cell r="K3305">
            <v>0</v>
          </cell>
          <cell r="AL3305">
            <v>0</v>
          </cell>
          <cell r="BJ3305" t="str">
            <v>CCO</v>
          </cell>
        </row>
        <row r="3306">
          <cell r="E3306" t="str">
            <v>13</v>
          </cell>
          <cell r="J3306">
            <v>0</v>
          </cell>
          <cell r="K3306">
            <v>0</v>
          </cell>
          <cell r="AL3306">
            <v>0</v>
          </cell>
          <cell r="BJ3306" t="str">
            <v>CCO</v>
          </cell>
        </row>
        <row r="3307">
          <cell r="E3307" t="str">
            <v>13</v>
          </cell>
          <cell r="J3307">
            <v>0</v>
          </cell>
          <cell r="K3307">
            <v>0</v>
          </cell>
          <cell r="AL3307">
            <v>0</v>
          </cell>
          <cell r="BJ3307" t="str">
            <v>CCO</v>
          </cell>
        </row>
        <row r="3308">
          <cell r="E3308" t="str">
            <v>13</v>
          </cell>
          <cell r="J3308">
            <v>0</v>
          </cell>
          <cell r="K3308">
            <v>0</v>
          </cell>
          <cell r="AL3308">
            <v>0</v>
          </cell>
          <cell r="BJ3308" t="str">
            <v>CCO</v>
          </cell>
        </row>
        <row r="3309">
          <cell r="E3309" t="str">
            <v>13</v>
          </cell>
          <cell r="J3309">
            <v>0</v>
          </cell>
          <cell r="K3309">
            <v>0</v>
          </cell>
          <cell r="AL3309">
            <v>0</v>
          </cell>
          <cell r="BJ3309" t="str">
            <v>CCO</v>
          </cell>
        </row>
        <row r="3310">
          <cell r="E3310" t="str">
            <v>13</v>
          </cell>
          <cell r="J3310">
            <v>0</v>
          </cell>
          <cell r="K3310">
            <v>0</v>
          </cell>
          <cell r="AL3310">
            <v>0</v>
          </cell>
          <cell r="BJ3310" t="str">
            <v>CCO</v>
          </cell>
        </row>
        <row r="3311">
          <cell r="E3311" t="str">
            <v>13</v>
          </cell>
          <cell r="J3311">
            <v>0</v>
          </cell>
          <cell r="K3311">
            <v>0</v>
          </cell>
          <cell r="AL3311">
            <v>0</v>
          </cell>
          <cell r="BJ3311" t="str">
            <v>CCO</v>
          </cell>
        </row>
        <row r="3312">
          <cell r="E3312" t="str">
            <v>13</v>
          </cell>
          <cell r="J3312">
            <v>0</v>
          </cell>
          <cell r="K3312">
            <v>0</v>
          </cell>
          <cell r="AL3312">
            <v>0</v>
          </cell>
          <cell r="BJ3312" t="str">
            <v>CCO</v>
          </cell>
        </row>
        <row r="3313">
          <cell r="E3313" t="str">
            <v>13</v>
          </cell>
          <cell r="J3313">
            <v>0</v>
          </cell>
          <cell r="K3313">
            <v>0</v>
          </cell>
          <cell r="AL3313">
            <v>0</v>
          </cell>
          <cell r="BJ3313" t="str">
            <v>CCO</v>
          </cell>
        </row>
        <row r="3314">
          <cell r="E3314" t="str">
            <v>13</v>
          </cell>
          <cell r="J3314">
            <v>0</v>
          </cell>
          <cell r="K3314">
            <v>0</v>
          </cell>
          <cell r="AL3314">
            <v>0</v>
          </cell>
          <cell r="BJ3314" t="str">
            <v>CCO</v>
          </cell>
        </row>
        <row r="3315">
          <cell r="E3315" t="str">
            <v>13</v>
          </cell>
          <cell r="J3315">
            <v>0</v>
          </cell>
          <cell r="K3315">
            <v>0</v>
          </cell>
          <cell r="AL3315">
            <v>0</v>
          </cell>
          <cell r="BJ3315" t="str">
            <v>CCO</v>
          </cell>
        </row>
        <row r="3316">
          <cell r="E3316" t="str">
            <v>13</v>
          </cell>
          <cell r="J3316">
            <v>0</v>
          </cell>
          <cell r="K3316">
            <v>0</v>
          </cell>
          <cell r="AL3316">
            <v>0</v>
          </cell>
          <cell r="BJ3316" t="str">
            <v>CCO</v>
          </cell>
        </row>
        <row r="3317">
          <cell r="E3317" t="str">
            <v>13</v>
          </cell>
          <cell r="J3317">
            <v>0</v>
          </cell>
          <cell r="K3317">
            <v>0</v>
          </cell>
          <cell r="AL3317">
            <v>0</v>
          </cell>
          <cell r="BJ3317" t="str">
            <v>CCO</v>
          </cell>
        </row>
        <row r="3318">
          <cell r="E3318" t="str">
            <v>13</v>
          </cell>
          <cell r="J3318">
            <v>0</v>
          </cell>
          <cell r="K3318">
            <v>0</v>
          </cell>
          <cell r="AL3318">
            <v>0</v>
          </cell>
          <cell r="BJ3318" t="str">
            <v>CCO</v>
          </cell>
        </row>
        <row r="3319">
          <cell r="E3319" t="str">
            <v>13</v>
          </cell>
          <cell r="J3319">
            <v>0</v>
          </cell>
          <cell r="K3319">
            <v>0</v>
          </cell>
          <cell r="AL3319">
            <v>0</v>
          </cell>
          <cell r="BJ3319" t="str">
            <v>CCO</v>
          </cell>
        </row>
        <row r="3320">
          <cell r="E3320" t="str">
            <v>13</v>
          </cell>
          <cell r="J3320">
            <v>0</v>
          </cell>
          <cell r="K3320">
            <v>0</v>
          </cell>
          <cell r="AL3320">
            <v>0</v>
          </cell>
          <cell r="BJ3320" t="str">
            <v>CCO</v>
          </cell>
        </row>
        <row r="3321">
          <cell r="E3321" t="str">
            <v>13</v>
          </cell>
          <cell r="J3321">
            <v>0</v>
          </cell>
          <cell r="K3321">
            <v>0</v>
          </cell>
          <cell r="AL3321">
            <v>0</v>
          </cell>
          <cell r="BJ3321" t="str">
            <v>CCO</v>
          </cell>
        </row>
        <row r="3322">
          <cell r="E3322" t="str">
            <v>13</v>
          </cell>
          <cell r="J3322">
            <v>0</v>
          </cell>
          <cell r="K3322">
            <v>0</v>
          </cell>
          <cell r="AL3322">
            <v>0</v>
          </cell>
          <cell r="BJ3322" t="str">
            <v>CCO</v>
          </cell>
        </row>
        <row r="3323">
          <cell r="E3323" t="str">
            <v>13</v>
          </cell>
          <cell r="J3323">
            <v>0</v>
          </cell>
          <cell r="K3323">
            <v>0</v>
          </cell>
          <cell r="AL3323">
            <v>0</v>
          </cell>
          <cell r="BJ3323" t="str">
            <v>CCO</v>
          </cell>
        </row>
        <row r="3324">
          <cell r="E3324" t="str">
            <v>13</v>
          </cell>
          <cell r="J3324">
            <v>0</v>
          </cell>
          <cell r="K3324">
            <v>0</v>
          </cell>
          <cell r="AL3324">
            <v>0</v>
          </cell>
          <cell r="BJ3324" t="str">
            <v>CCO</v>
          </cell>
        </row>
        <row r="3325">
          <cell r="E3325" t="str">
            <v>15</v>
          </cell>
          <cell r="J3325">
            <v>0</v>
          </cell>
          <cell r="K3325">
            <v>0</v>
          </cell>
          <cell r="AL3325">
            <v>0</v>
          </cell>
          <cell r="BJ3325" t="str">
            <v>CCO</v>
          </cell>
        </row>
        <row r="3326">
          <cell r="E3326" t="str">
            <v>16</v>
          </cell>
          <cell r="J3326">
            <v>0</v>
          </cell>
          <cell r="K3326">
            <v>0</v>
          </cell>
          <cell r="AL3326">
            <v>0</v>
          </cell>
          <cell r="BJ3326" t="str">
            <v>CCO</v>
          </cell>
        </row>
        <row r="3327">
          <cell r="E3327" t="str">
            <v>20</v>
          </cell>
          <cell r="J3327">
            <v>0</v>
          </cell>
          <cell r="K3327">
            <v>0</v>
          </cell>
          <cell r="AL3327">
            <v>0</v>
          </cell>
          <cell r="BJ3327" t="str">
            <v>CCO</v>
          </cell>
        </row>
        <row r="3328">
          <cell r="E3328" t="str">
            <v>21</v>
          </cell>
          <cell r="J3328">
            <v>0</v>
          </cell>
          <cell r="K3328">
            <v>0</v>
          </cell>
          <cell r="AL3328">
            <v>0</v>
          </cell>
          <cell r="BJ3328" t="str">
            <v>CCO</v>
          </cell>
        </row>
        <row r="3329">
          <cell r="E3329" t="str">
            <v>24</v>
          </cell>
          <cell r="J3329">
            <v>0</v>
          </cell>
          <cell r="K3329">
            <v>0</v>
          </cell>
          <cell r="AL3329">
            <v>0</v>
          </cell>
          <cell r="BJ3329" t="str">
            <v>CCO</v>
          </cell>
        </row>
        <row r="3330">
          <cell r="E3330" t="str">
            <v>24</v>
          </cell>
          <cell r="J3330">
            <v>0</v>
          </cell>
          <cell r="K3330">
            <v>0</v>
          </cell>
          <cell r="AL3330">
            <v>0</v>
          </cell>
          <cell r="BJ3330" t="str">
            <v>CCO</v>
          </cell>
        </row>
        <row r="3331">
          <cell r="E3331" t="str">
            <v>24</v>
          </cell>
          <cell r="J3331">
            <v>0</v>
          </cell>
          <cell r="K3331">
            <v>0</v>
          </cell>
          <cell r="AL3331">
            <v>0</v>
          </cell>
          <cell r="BJ3331" t="str">
            <v>CCO</v>
          </cell>
        </row>
        <row r="3332">
          <cell r="E3332" t="str">
            <v>35</v>
          </cell>
          <cell r="J3332">
            <v>0</v>
          </cell>
          <cell r="K3332">
            <v>0</v>
          </cell>
          <cell r="AL3332">
            <v>0</v>
          </cell>
          <cell r="BJ3332" t="str">
            <v>CCO</v>
          </cell>
        </row>
        <row r="3333">
          <cell r="E3333" t="str">
            <v>35</v>
          </cell>
          <cell r="J3333">
            <v>0</v>
          </cell>
          <cell r="K3333">
            <v>0</v>
          </cell>
          <cell r="AL3333">
            <v>0</v>
          </cell>
          <cell r="BJ3333" t="str">
            <v>CCO</v>
          </cell>
        </row>
        <row r="3334">
          <cell r="E3334" t="str">
            <v>35</v>
          </cell>
          <cell r="J3334">
            <v>0</v>
          </cell>
          <cell r="K3334">
            <v>0</v>
          </cell>
          <cell r="AL3334">
            <v>0</v>
          </cell>
          <cell r="BJ3334" t="str">
            <v>CCO</v>
          </cell>
        </row>
        <row r="3335">
          <cell r="E3335" t="str">
            <v>35</v>
          </cell>
          <cell r="J3335">
            <v>0</v>
          </cell>
          <cell r="K3335">
            <v>0</v>
          </cell>
          <cell r="AL3335">
            <v>0</v>
          </cell>
          <cell r="BJ3335" t="str">
            <v>CCO</v>
          </cell>
        </row>
        <row r="3336">
          <cell r="E3336" t="str">
            <v>35</v>
          </cell>
          <cell r="J3336">
            <v>0</v>
          </cell>
          <cell r="K3336">
            <v>0</v>
          </cell>
          <cell r="AL3336">
            <v>0</v>
          </cell>
          <cell r="BJ3336" t="str">
            <v>CCO</v>
          </cell>
        </row>
        <row r="3337">
          <cell r="E3337" t="str">
            <v>35</v>
          </cell>
          <cell r="J3337">
            <v>0</v>
          </cell>
          <cell r="K3337">
            <v>0</v>
          </cell>
          <cell r="AL3337">
            <v>0</v>
          </cell>
          <cell r="BJ3337" t="str">
            <v>CCO</v>
          </cell>
        </row>
        <row r="3338">
          <cell r="E3338" t="str">
            <v>35</v>
          </cell>
          <cell r="J3338">
            <v>0</v>
          </cell>
          <cell r="K3338">
            <v>0</v>
          </cell>
          <cell r="AL3338">
            <v>0</v>
          </cell>
          <cell r="BJ3338" t="str">
            <v>CCO</v>
          </cell>
        </row>
        <row r="3339">
          <cell r="E3339" t="str">
            <v>35</v>
          </cell>
          <cell r="J3339">
            <v>0</v>
          </cell>
          <cell r="K3339">
            <v>0</v>
          </cell>
          <cell r="AL3339">
            <v>0</v>
          </cell>
          <cell r="BJ3339" t="str">
            <v>CCO</v>
          </cell>
        </row>
        <row r="3340">
          <cell r="E3340" t="str">
            <v>35</v>
          </cell>
          <cell r="J3340">
            <v>0</v>
          </cell>
          <cell r="K3340">
            <v>0</v>
          </cell>
          <cell r="AL3340">
            <v>0</v>
          </cell>
          <cell r="BJ3340" t="str">
            <v>CCO</v>
          </cell>
        </row>
        <row r="3341">
          <cell r="E3341" t="str">
            <v>35</v>
          </cell>
          <cell r="J3341">
            <v>0</v>
          </cell>
          <cell r="K3341">
            <v>0</v>
          </cell>
          <cell r="AL3341">
            <v>0</v>
          </cell>
          <cell r="BJ3341" t="str">
            <v>CCO</v>
          </cell>
        </row>
        <row r="3342">
          <cell r="E3342" t="str">
            <v>35</v>
          </cell>
          <cell r="J3342">
            <v>0</v>
          </cell>
          <cell r="K3342">
            <v>0</v>
          </cell>
          <cell r="AL3342">
            <v>0</v>
          </cell>
          <cell r="BJ3342" t="str">
            <v>CCO</v>
          </cell>
        </row>
        <row r="3343">
          <cell r="E3343" t="str">
            <v>35</v>
          </cell>
          <cell r="J3343">
            <v>0</v>
          </cell>
          <cell r="K3343">
            <v>0</v>
          </cell>
          <cell r="AL3343">
            <v>0</v>
          </cell>
          <cell r="BJ3343" t="str">
            <v>CCO</v>
          </cell>
        </row>
        <row r="3344">
          <cell r="E3344" t="str">
            <v>35</v>
          </cell>
          <cell r="J3344">
            <v>0</v>
          </cell>
          <cell r="K3344">
            <v>0</v>
          </cell>
          <cell r="AL3344">
            <v>0</v>
          </cell>
          <cell r="BJ3344" t="str">
            <v>CCO</v>
          </cell>
        </row>
        <row r="3345">
          <cell r="E3345" t="str">
            <v>35</v>
          </cell>
          <cell r="J3345">
            <v>0</v>
          </cell>
          <cell r="K3345">
            <v>0</v>
          </cell>
          <cell r="AL3345">
            <v>0</v>
          </cell>
          <cell r="BJ3345" t="str">
            <v>CCO</v>
          </cell>
        </row>
        <row r="3346">
          <cell r="E3346" t="str">
            <v>35</v>
          </cell>
          <cell r="J3346">
            <v>0</v>
          </cell>
          <cell r="K3346">
            <v>0</v>
          </cell>
          <cell r="AL3346">
            <v>0</v>
          </cell>
          <cell r="BJ3346" t="str">
            <v>CCO</v>
          </cell>
        </row>
        <row r="3347">
          <cell r="E3347" t="str">
            <v>35</v>
          </cell>
          <cell r="J3347">
            <v>0</v>
          </cell>
          <cell r="K3347">
            <v>0</v>
          </cell>
          <cell r="AL3347">
            <v>0</v>
          </cell>
          <cell r="BJ3347" t="str">
            <v>CCO</v>
          </cell>
        </row>
        <row r="3348">
          <cell r="E3348" t="str">
            <v>35</v>
          </cell>
          <cell r="J3348">
            <v>0</v>
          </cell>
          <cell r="K3348">
            <v>0</v>
          </cell>
          <cell r="AL3348">
            <v>0</v>
          </cell>
          <cell r="BJ3348" t="str">
            <v>CCO</v>
          </cell>
        </row>
        <row r="3349">
          <cell r="E3349" t="str">
            <v>35</v>
          </cell>
          <cell r="J3349">
            <v>0</v>
          </cell>
          <cell r="K3349">
            <v>0</v>
          </cell>
          <cell r="AL3349">
            <v>0</v>
          </cell>
          <cell r="BJ3349" t="str">
            <v>CCO</v>
          </cell>
        </row>
        <row r="3350">
          <cell r="E3350" t="str">
            <v>35</v>
          </cell>
          <cell r="J3350">
            <v>0</v>
          </cell>
          <cell r="K3350">
            <v>0</v>
          </cell>
          <cell r="AL3350">
            <v>0</v>
          </cell>
          <cell r="BJ3350" t="str">
            <v>CCO</v>
          </cell>
        </row>
        <row r="3351">
          <cell r="E3351" t="str">
            <v>35</v>
          </cell>
          <cell r="J3351">
            <v>0</v>
          </cell>
          <cell r="K3351">
            <v>0</v>
          </cell>
          <cell r="AL3351">
            <v>0</v>
          </cell>
          <cell r="BJ3351" t="str">
            <v>CCO</v>
          </cell>
        </row>
        <row r="3352">
          <cell r="E3352" t="str">
            <v>35</v>
          </cell>
          <cell r="J3352">
            <v>0</v>
          </cell>
          <cell r="K3352">
            <v>0</v>
          </cell>
          <cell r="AL3352">
            <v>0</v>
          </cell>
          <cell r="BJ3352" t="str">
            <v>CCO</v>
          </cell>
        </row>
        <row r="3353">
          <cell r="E3353" t="str">
            <v>35</v>
          </cell>
          <cell r="J3353">
            <v>0</v>
          </cell>
          <cell r="K3353">
            <v>0</v>
          </cell>
          <cell r="AL3353">
            <v>0</v>
          </cell>
          <cell r="BJ3353" t="str">
            <v>CCO</v>
          </cell>
        </row>
        <row r="3354">
          <cell r="E3354" t="str">
            <v>35</v>
          </cell>
          <cell r="J3354">
            <v>0</v>
          </cell>
          <cell r="K3354">
            <v>0</v>
          </cell>
          <cell r="AL3354">
            <v>0</v>
          </cell>
          <cell r="BJ3354" t="str">
            <v>CCO</v>
          </cell>
        </row>
        <row r="3355">
          <cell r="E3355" t="str">
            <v>35</v>
          </cell>
          <cell r="J3355">
            <v>0</v>
          </cell>
          <cell r="K3355">
            <v>0</v>
          </cell>
          <cell r="AL3355">
            <v>0</v>
          </cell>
          <cell r="BJ3355" t="str">
            <v>CCO</v>
          </cell>
        </row>
        <row r="3356">
          <cell r="E3356" t="str">
            <v>35</v>
          </cell>
          <cell r="J3356">
            <v>0</v>
          </cell>
          <cell r="K3356">
            <v>0</v>
          </cell>
          <cell r="AL3356">
            <v>0</v>
          </cell>
          <cell r="BJ3356" t="str">
            <v>CCO</v>
          </cell>
        </row>
        <row r="3357">
          <cell r="E3357" t="str">
            <v>35</v>
          </cell>
          <cell r="J3357">
            <v>0</v>
          </cell>
          <cell r="K3357">
            <v>0</v>
          </cell>
          <cell r="AL3357">
            <v>0</v>
          </cell>
          <cell r="BJ3357" t="str">
            <v>CCO</v>
          </cell>
        </row>
        <row r="3358">
          <cell r="E3358" t="str">
            <v>35</v>
          </cell>
          <cell r="J3358">
            <v>0</v>
          </cell>
          <cell r="K3358">
            <v>0</v>
          </cell>
          <cell r="AL3358">
            <v>0</v>
          </cell>
          <cell r="BJ3358" t="str">
            <v>CCO</v>
          </cell>
        </row>
        <row r="3359">
          <cell r="E3359" t="str">
            <v>35</v>
          </cell>
          <cell r="J3359">
            <v>0</v>
          </cell>
          <cell r="K3359">
            <v>0</v>
          </cell>
          <cell r="AL3359">
            <v>0</v>
          </cell>
          <cell r="BJ3359" t="str">
            <v>CCO</v>
          </cell>
        </row>
        <row r="3360">
          <cell r="E3360" t="str">
            <v>35</v>
          </cell>
          <cell r="J3360">
            <v>0</v>
          </cell>
          <cell r="K3360">
            <v>0</v>
          </cell>
          <cell r="AL3360">
            <v>0</v>
          </cell>
          <cell r="BJ3360" t="str">
            <v>CCO</v>
          </cell>
        </row>
        <row r="3361">
          <cell r="E3361" t="str">
            <v>35</v>
          </cell>
          <cell r="J3361">
            <v>0</v>
          </cell>
          <cell r="K3361">
            <v>0</v>
          </cell>
          <cell r="AL3361">
            <v>0</v>
          </cell>
          <cell r="BJ3361" t="str">
            <v>CCO</v>
          </cell>
        </row>
        <row r="3362">
          <cell r="E3362" t="str">
            <v>35</v>
          </cell>
          <cell r="J3362">
            <v>0</v>
          </cell>
          <cell r="K3362">
            <v>0</v>
          </cell>
          <cell r="AL3362">
            <v>0</v>
          </cell>
          <cell r="BJ3362" t="str">
            <v>CCO</v>
          </cell>
        </row>
        <row r="3363">
          <cell r="E3363" t="str">
            <v>35</v>
          </cell>
          <cell r="J3363">
            <v>0</v>
          </cell>
          <cell r="K3363">
            <v>0</v>
          </cell>
          <cell r="AL3363">
            <v>0</v>
          </cell>
          <cell r="BJ3363" t="str">
            <v>CCO</v>
          </cell>
        </row>
        <row r="3364">
          <cell r="E3364" t="str">
            <v>35</v>
          </cell>
          <cell r="J3364">
            <v>0</v>
          </cell>
          <cell r="K3364">
            <v>0</v>
          </cell>
          <cell r="AL3364">
            <v>0</v>
          </cell>
          <cell r="BJ3364" t="str">
            <v>CCO</v>
          </cell>
        </row>
        <row r="3365">
          <cell r="E3365" t="str">
            <v>35</v>
          </cell>
          <cell r="J3365">
            <v>0</v>
          </cell>
          <cell r="K3365">
            <v>0</v>
          </cell>
          <cell r="AL3365">
            <v>0</v>
          </cell>
          <cell r="BJ3365" t="str">
            <v>CCO</v>
          </cell>
        </row>
        <row r="3366">
          <cell r="E3366" t="str">
            <v>35</v>
          </cell>
          <cell r="J3366">
            <v>0</v>
          </cell>
          <cell r="K3366">
            <v>0</v>
          </cell>
          <cell r="AL3366">
            <v>0</v>
          </cell>
          <cell r="BJ3366" t="str">
            <v>CCO</v>
          </cell>
        </row>
        <row r="3367">
          <cell r="E3367" t="str">
            <v>35</v>
          </cell>
          <cell r="J3367">
            <v>0</v>
          </cell>
          <cell r="K3367">
            <v>0</v>
          </cell>
          <cell r="AL3367">
            <v>0</v>
          </cell>
          <cell r="BJ3367" t="str">
            <v>CCO</v>
          </cell>
        </row>
        <row r="3368">
          <cell r="E3368" t="str">
            <v>35</v>
          </cell>
          <cell r="J3368">
            <v>0</v>
          </cell>
          <cell r="K3368">
            <v>0</v>
          </cell>
          <cell r="AL3368">
            <v>0</v>
          </cell>
          <cell r="BJ3368" t="str">
            <v>CCO</v>
          </cell>
        </row>
        <row r="3369">
          <cell r="E3369" t="str">
            <v>35</v>
          </cell>
          <cell r="J3369">
            <v>0</v>
          </cell>
          <cell r="K3369">
            <v>0</v>
          </cell>
          <cell r="AL3369">
            <v>0</v>
          </cell>
          <cell r="BJ3369" t="str">
            <v>CCO</v>
          </cell>
        </row>
        <row r="3370">
          <cell r="E3370" t="str">
            <v>35</v>
          </cell>
          <cell r="J3370">
            <v>0</v>
          </cell>
          <cell r="K3370">
            <v>0</v>
          </cell>
          <cell r="AL3370">
            <v>0</v>
          </cell>
          <cell r="BJ3370" t="str">
            <v>CCO</v>
          </cell>
        </row>
        <row r="3371">
          <cell r="E3371" t="str">
            <v>35</v>
          </cell>
          <cell r="J3371">
            <v>0</v>
          </cell>
          <cell r="K3371">
            <v>0</v>
          </cell>
          <cell r="AL3371">
            <v>0</v>
          </cell>
          <cell r="BJ3371" t="str">
            <v>CCO</v>
          </cell>
        </row>
        <row r="3372">
          <cell r="E3372" t="str">
            <v>35</v>
          </cell>
          <cell r="J3372">
            <v>0</v>
          </cell>
          <cell r="K3372">
            <v>0</v>
          </cell>
          <cell r="AL3372">
            <v>0</v>
          </cell>
          <cell r="BJ3372" t="str">
            <v>CCO</v>
          </cell>
        </row>
        <row r="3373">
          <cell r="E3373" t="str">
            <v>35</v>
          </cell>
          <cell r="J3373">
            <v>0</v>
          </cell>
          <cell r="K3373">
            <v>0</v>
          </cell>
          <cell r="AL3373">
            <v>0</v>
          </cell>
          <cell r="BJ3373" t="str">
            <v>CCO</v>
          </cell>
        </row>
        <row r="3374">
          <cell r="E3374" t="str">
            <v>35</v>
          </cell>
          <cell r="J3374">
            <v>0</v>
          </cell>
          <cell r="K3374">
            <v>0</v>
          </cell>
          <cell r="AL3374">
            <v>0</v>
          </cell>
          <cell r="BJ3374" t="str">
            <v>CCO</v>
          </cell>
        </row>
        <row r="3375">
          <cell r="E3375" t="str">
            <v>35</v>
          </cell>
          <cell r="J3375">
            <v>0</v>
          </cell>
          <cell r="K3375">
            <v>0</v>
          </cell>
          <cell r="AL3375">
            <v>0</v>
          </cell>
          <cell r="BJ3375" t="str">
            <v>CCO</v>
          </cell>
        </row>
        <row r="3376">
          <cell r="E3376" t="str">
            <v>35</v>
          </cell>
          <cell r="J3376">
            <v>0</v>
          </cell>
          <cell r="K3376">
            <v>0</v>
          </cell>
          <cell r="AL3376">
            <v>0</v>
          </cell>
          <cell r="BJ3376" t="str">
            <v>CCO</v>
          </cell>
        </row>
        <row r="3377">
          <cell r="E3377" t="str">
            <v>35</v>
          </cell>
          <cell r="J3377">
            <v>0</v>
          </cell>
          <cell r="K3377">
            <v>0</v>
          </cell>
          <cell r="AL3377">
            <v>0</v>
          </cell>
          <cell r="BJ3377" t="str">
            <v>CCO</v>
          </cell>
        </row>
        <row r="3378">
          <cell r="E3378" t="str">
            <v>35</v>
          </cell>
          <cell r="J3378">
            <v>0</v>
          </cell>
          <cell r="K3378">
            <v>0</v>
          </cell>
          <cell r="AL3378">
            <v>0</v>
          </cell>
          <cell r="BJ3378" t="str">
            <v>CCO</v>
          </cell>
        </row>
        <row r="3379">
          <cell r="E3379" t="str">
            <v>35</v>
          </cell>
          <cell r="J3379">
            <v>0</v>
          </cell>
          <cell r="K3379">
            <v>0</v>
          </cell>
          <cell r="AL3379">
            <v>0</v>
          </cell>
          <cell r="BJ3379" t="str">
            <v>CCO</v>
          </cell>
        </row>
        <row r="3380">
          <cell r="E3380" t="str">
            <v>35</v>
          </cell>
          <cell r="J3380">
            <v>0</v>
          </cell>
          <cell r="K3380">
            <v>0</v>
          </cell>
          <cell r="AL3380">
            <v>0</v>
          </cell>
          <cell r="BJ3380" t="str">
            <v>CCO</v>
          </cell>
        </row>
        <row r="3381">
          <cell r="E3381" t="str">
            <v>35</v>
          </cell>
          <cell r="J3381">
            <v>0</v>
          </cell>
          <cell r="K3381">
            <v>0</v>
          </cell>
          <cell r="AL3381">
            <v>0</v>
          </cell>
          <cell r="BJ3381" t="str">
            <v>CCO</v>
          </cell>
        </row>
        <row r="3382">
          <cell r="E3382" t="str">
            <v>35</v>
          </cell>
          <cell r="J3382">
            <v>0</v>
          </cell>
          <cell r="K3382">
            <v>0</v>
          </cell>
          <cell r="AL3382">
            <v>0</v>
          </cell>
          <cell r="BJ3382" t="str">
            <v>CCO</v>
          </cell>
        </row>
        <row r="3383">
          <cell r="E3383" t="str">
            <v>35</v>
          </cell>
          <cell r="J3383">
            <v>0</v>
          </cell>
          <cell r="K3383">
            <v>0</v>
          </cell>
          <cell r="AL3383">
            <v>0</v>
          </cell>
          <cell r="BJ3383" t="str">
            <v>CCO</v>
          </cell>
        </row>
        <row r="3384">
          <cell r="E3384" t="str">
            <v>35</v>
          </cell>
          <cell r="J3384">
            <v>0</v>
          </cell>
          <cell r="K3384">
            <v>0</v>
          </cell>
          <cell r="AL3384">
            <v>0</v>
          </cell>
          <cell r="BJ3384" t="str">
            <v>CCO</v>
          </cell>
        </row>
        <row r="3385">
          <cell r="E3385" t="str">
            <v>35</v>
          </cell>
          <cell r="J3385">
            <v>0</v>
          </cell>
          <cell r="K3385">
            <v>0</v>
          </cell>
          <cell r="AL3385">
            <v>0</v>
          </cell>
          <cell r="BJ3385" t="str">
            <v>CCO</v>
          </cell>
        </row>
        <row r="3386">
          <cell r="E3386" t="str">
            <v>35</v>
          </cell>
          <cell r="J3386">
            <v>0</v>
          </cell>
          <cell r="K3386">
            <v>0</v>
          </cell>
          <cell r="AL3386">
            <v>0</v>
          </cell>
          <cell r="BJ3386" t="str">
            <v>CCO</v>
          </cell>
        </row>
        <row r="3387">
          <cell r="E3387" t="str">
            <v>35</v>
          </cell>
          <cell r="J3387">
            <v>0</v>
          </cell>
          <cell r="K3387">
            <v>0</v>
          </cell>
          <cell r="AL3387">
            <v>0</v>
          </cell>
          <cell r="BJ3387" t="str">
            <v>CCO</v>
          </cell>
        </row>
        <row r="3388">
          <cell r="E3388" t="str">
            <v>35</v>
          </cell>
          <cell r="J3388">
            <v>0</v>
          </cell>
          <cell r="K3388">
            <v>0</v>
          </cell>
          <cell r="AL3388">
            <v>0</v>
          </cell>
          <cell r="BJ3388" t="str">
            <v>CCO</v>
          </cell>
        </row>
        <row r="3389">
          <cell r="E3389" t="str">
            <v>46</v>
          </cell>
          <cell r="J3389">
            <v>0</v>
          </cell>
          <cell r="K3389">
            <v>0</v>
          </cell>
          <cell r="AL3389">
            <v>0</v>
          </cell>
          <cell r="BJ3389" t="str">
            <v>CCO</v>
          </cell>
        </row>
        <row r="3390">
          <cell r="E3390" t="str">
            <v>47</v>
          </cell>
          <cell r="J3390">
            <v>0</v>
          </cell>
          <cell r="K3390">
            <v>0</v>
          </cell>
          <cell r="AL3390">
            <v>0</v>
          </cell>
          <cell r="BJ3390" t="str">
            <v>CCO</v>
          </cell>
        </row>
        <row r="3391">
          <cell r="E3391" t="str">
            <v>47</v>
          </cell>
          <cell r="J3391">
            <v>0</v>
          </cell>
          <cell r="K3391">
            <v>0</v>
          </cell>
          <cell r="AL3391">
            <v>0</v>
          </cell>
          <cell r="BJ3391" t="str">
            <v>CCO</v>
          </cell>
        </row>
        <row r="3392">
          <cell r="E3392" t="str">
            <v>47</v>
          </cell>
          <cell r="J3392">
            <v>0</v>
          </cell>
          <cell r="K3392">
            <v>0</v>
          </cell>
          <cell r="AL3392">
            <v>0</v>
          </cell>
          <cell r="BJ3392" t="str">
            <v>CCO</v>
          </cell>
        </row>
        <row r="3393">
          <cell r="E3393" t="str">
            <v>47</v>
          </cell>
          <cell r="J3393">
            <v>0</v>
          </cell>
          <cell r="K3393">
            <v>0</v>
          </cell>
          <cell r="AL3393">
            <v>0</v>
          </cell>
          <cell r="BJ3393" t="str">
            <v>CCO</v>
          </cell>
        </row>
        <row r="3394">
          <cell r="E3394" t="str">
            <v>47</v>
          </cell>
          <cell r="J3394">
            <v>0</v>
          </cell>
          <cell r="K3394">
            <v>0</v>
          </cell>
          <cell r="AL3394">
            <v>0</v>
          </cell>
          <cell r="BJ3394" t="str">
            <v>CCO</v>
          </cell>
        </row>
        <row r="3395">
          <cell r="E3395" t="str">
            <v>47</v>
          </cell>
          <cell r="J3395">
            <v>0</v>
          </cell>
          <cell r="K3395">
            <v>0</v>
          </cell>
          <cell r="AL3395">
            <v>0</v>
          </cell>
          <cell r="BJ3395" t="str">
            <v>CCO</v>
          </cell>
        </row>
        <row r="3396">
          <cell r="E3396" t="str">
            <v>38</v>
          </cell>
          <cell r="J3396">
            <v>0</v>
          </cell>
          <cell r="K3396">
            <v>0</v>
          </cell>
          <cell r="AL3396">
            <v>0</v>
          </cell>
          <cell r="BJ3396" t="str">
            <v>CCO</v>
          </cell>
        </row>
        <row r="3397">
          <cell r="E3397" t="str">
            <v>38</v>
          </cell>
          <cell r="J3397">
            <v>0</v>
          </cell>
          <cell r="K3397">
            <v>0</v>
          </cell>
          <cell r="AL3397">
            <v>0</v>
          </cell>
          <cell r="BJ3397" t="str">
            <v>CCO</v>
          </cell>
        </row>
        <row r="3398">
          <cell r="E3398" t="str">
            <v>38</v>
          </cell>
          <cell r="J3398">
            <v>0</v>
          </cell>
          <cell r="K3398">
            <v>0</v>
          </cell>
          <cell r="AL3398">
            <v>0</v>
          </cell>
          <cell r="BJ3398" t="str">
            <v>CCO</v>
          </cell>
        </row>
        <row r="3399">
          <cell r="E3399" t="str">
            <v>38</v>
          </cell>
          <cell r="J3399">
            <v>0</v>
          </cell>
          <cell r="K3399">
            <v>0</v>
          </cell>
          <cell r="AL3399">
            <v>0</v>
          </cell>
          <cell r="BJ3399" t="str">
            <v>CCO</v>
          </cell>
        </row>
        <row r="3400">
          <cell r="E3400" t="str">
            <v>38</v>
          </cell>
          <cell r="J3400">
            <v>0</v>
          </cell>
          <cell r="K3400">
            <v>0</v>
          </cell>
          <cell r="AL3400">
            <v>0</v>
          </cell>
          <cell r="BJ3400" t="str">
            <v>CCO</v>
          </cell>
        </row>
        <row r="3401">
          <cell r="E3401" t="str">
            <v>38</v>
          </cell>
          <cell r="J3401">
            <v>0</v>
          </cell>
          <cell r="K3401">
            <v>0</v>
          </cell>
          <cell r="AL3401">
            <v>0</v>
          </cell>
          <cell r="BJ3401" t="str">
            <v>CCO</v>
          </cell>
        </row>
        <row r="3402">
          <cell r="E3402" t="str">
            <v>38</v>
          </cell>
          <cell r="J3402">
            <v>0</v>
          </cell>
          <cell r="K3402">
            <v>0</v>
          </cell>
          <cell r="AL3402">
            <v>0</v>
          </cell>
          <cell r="BJ3402" t="str">
            <v>CCO</v>
          </cell>
        </row>
        <row r="3403">
          <cell r="E3403" t="str">
            <v>38</v>
          </cell>
          <cell r="J3403">
            <v>0</v>
          </cell>
          <cell r="K3403">
            <v>0</v>
          </cell>
          <cell r="AL3403">
            <v>0</v>
          </cell>
          <cell r="BJ3403" t="str">
            <v>CCO</v>
          </cell>
        </row>
        <row r="3404">
          <cell r="E3404" t="str">
            <v>38</v>
          </cell>
          <cell r="J3404">
            <v>0</v>
          </cell>
          <cell r="K3404">
            <v>0</v>
          </cell>
          <cell r="AL3404">
            <v>0</v>
          </cell>
          <cell r="BJ3404" t="str">
            <v>CCO</v>
          </cell>
        </row>
        <row r="3405">
          <cell r="E3405" t="str">
            <v>38</v>
          </cell>
          <cell r="J3405">
            <v>0</v>
          </cell>
          <cell r="K3405">
            <v>0</v>
          </cell>
          <cell r="AL3405">
            <v>0</v>
          </cell>
          <cell r="BJ3405" t="str">
            <v>CCO</v>
          </cell>
        </row>
        <row r="3406">
          <cell r="E3406" t="str">
            <v>38</v>
          </cell>
          <cell r="J3406">
            <v>0</v>
          </cell>
          <cell r="K3406">
            <v>0</v>
          </cell>
          <cell r="AL3406">
            <v>0</v>
          </cell>
          <cell r="BJ3406" t="str">
            <v>CCO</v>
          </cell>
        </row>
        <row r="3407">
          <cell r="E3407" t="str">
            <v>50</v>
          </cell>
          <cell r="J3407">
            <v>0</v>
          </cell>
          <cell r="K3407">
            <v>0</v>
          </cell>
          <cell r="AL3407">
            <v>0</v>
          </cell>
          <cell r="BJ3407" t="str">
            <v>CCO</v>
          </cell>
        </row>
        <row r="3408">
          <cell r="E3408" t="str">
            <v>50</v>
          </cell>
          <cell r="J3408">
            <v>0</v>
          </cell>
          <cell r="K3408">
            <v>0</v>
          </cell>
          <cell r="AL3408">
            <v>0</v>
          </cell>
          <cell r="BJ3408" t="str">
            <v>CCO</v>
          </cell>
        </row>
        <row r="3409">
          <cell r="E3409" t="str">
            <v>50</v>
          </cell>
          <cell r="J3409">
            <v>0</v>
          </cell>
          <cell r="K3409">
            <v>0</v>
          </cell>
          <cell r="AL3409">
            <v>0</v>
          </cell>
          <cell r="BJ3409" t="str">
            <v>CCO</v>
          </cell>
        </row>
        <row r="3410">
          <cell r="E3410" t="str">
            <v>50</v>
          </cell>
          <cell r="J3410">
            <v>0</v>
          </cell>
          <cell r="K3410">
            <v>0</v>
          </cell>
          <cell r="AL3410">
            <v>0</v>
          </cell>
          <cell r="BJ3410" t="str">
            <v>CCO</v>
          </cell>
        </row>
        <row r="3411">
          <cell r="E3411" t="str">
            <v>50</v>
          </cell>
          <cell r="J3411">
            <v>0</v>
          </cell>
          <cell r="K3411">
            <v>0</v>
          </cell>
          <cell r="AL3411">
            <v>0</v>
          </cell>
          <cell r="BJ3411" t="str">
            <v>CCO</v>
          </cell>
        </row>
        <row r="3412">
          <cell r="E3412" t="str">
            <v>45</v>
          </cell>
          <cell r="J3412">
            <v>0</v>
          </cell>
          <cell r="K3412">
            <v>0</v>
          </cell>
          <cell r="AL3412">
            <v>0</v>
          </cell>
          <cell r="BJ3412" t="str">
            <v>CCO</v>
          </cell>
        </row>
        <row r="3413">
          <cell r="E3413" t="str">
            <v>45</v>
          </cell>
          <cell r="J3413">
            <v>0</v>
          </cell>
          <cell r="K3413">
            <v>0</v>
          </cell>
          <cell r="AL3413">
            <v>0</v>
          </cell>
          <cell r="BJ3413" t="str">
            <v>CCO</v>
          </cell>
        </row>
        <row r="3414">
          <cell r="E3414" t="str">
            <v>45</v>
          </cell>
          <cell r="J3414">
            <v>0</v>
          </cell>
          <cell r="K3414">
            <v>0</v>
          </cell>
          <cell r="AL3414">
            <v>0</v>
          </cell>
          <cell r="BJ3414" t="str">
            <v>CCO</v>
          </cell>
        </row>
        <row r="3415">
          <cell r="E3415" t="str">
            <v>45</v>
          </cell>
          <cell r="J3415">
            <v>0</v>
          </cell>
          <cell r="K3415">
            <v>0</v>
          </cell>
          <cell r="AL3415">
            <v>0</v>
          </cell>
          <cell r="BJ3415" t="str">
            <v>CCO</v>
          </cell>
        </row>
        <row r="3416">
          <cell r="E3416" t="str">
            <v>45</v>
          </cell>
          <cell r="J3416">
            <v>0</v>
          </cell>
          <cell r="K3416">
            <v>0</v>
          </cell>
          <cell r="AL3416">
            <v>0</v>
          </cell>
          <cell r="BJ3416" t="str">
            <v>CCO</v>
          </cell>
        </row>
        <row r="3417">
          <cell r="E3417" t="str">
            <v>45</v>
          </cell>
          <cell r="J3417">
            <v>0</v>
          </cell>
          <cell r="K3417">
            <v>0</v>
          </cell>
          <cell r="AL3417">
            <v>0</v>
          </cell>
          <cell r="BJ3417" t="str">
            <v>CCO</v>
          </cell>
        </row>
        <row r="3418">
          <cell r="E3418" t="str">
            <v>45</v>
          </cell>
          <cell r="J3418">
            <v>0</v>
          </cell>
          <cell r="K3418">
            <v>0</v>
          </cell>
          <cell r="AL3418">
            <v>0</v>
          </cell>
          <cell r="BJ3418" t="str">
            <v>CCO</v>
          </cell>
        </row>
        <row r="3419">
          <cell r="E3419" t="str">
            <v>45</v>
          </cell>
          <cell r="J3419">
            <v>0</v>
          </cell>
          <cell r="K3419">
            <v>0</v>
          </cell>
          <cell r="AL3419">
            <v>0</v>
          </cell>
          <cell r="BJ3419" t="str">
            <v>CCO</v>
          </cell>
        </row>
        <row r="3420">
          <cell r="E3420" t="str">
            <v>45</v>
          </cell>
          <cell r="J3420">
            <v>0</v>
          </cell>
          <cell r="K3420">
            <v>0</v>
          </cell>
          <cell r="AL3420">
            <v>0</v>
          </cell>
          <cell r="BJ3420" t="str">
            <v>CCO</v>
          </cell>
        </row>
        <row r="3421">
          <cell r="E3421" t="str">
            <v>45</v>
          </cell>
          <cell r="J3421">
            <v>0</v>
          </cell>
          <cell r="K3421">
            <v>0</v>
          </cell>
          <cell r="AL3421">
            <v>0</v>
          </cell>
          <cell r="BJ3421" t="str">
            <v>CCO</v>
          </cell>
        </row>
        <row r="3422">
          <cell r="E3422" t="str">
            <v>50</v>
          </cell>
          <cell r="J3422">
            <v>0</v>
          </cell>
          <cell r="K3422">
            <v>0</v>
          </cell>
          <cell r="AL3422">
            <v>0</v>
          </cell>
          <cell r="BJ3422" t="str">
            <v>CCO</v>
          </cell>
        </row>
        <row r="3423">
          <cell r="E3423" t="str">
            <v>50</v>
          </cell>
          <cell r="J3423">
            <v>0</v>
          </cell>
          <cell r="K3423">
            <v>0</v>
          </cell>
          <cell r="AL3423">
            <v>0</v>
          </cell>
          <cell r="BJ3423" t="str">
            <v>CCO</v>
          </cell>
        </row>
        <row r="3424">
          <cell r="E3424" t="str">
            <v>50</v>
          </cell>
          <cell r="J3424">
            <v>0</v>
          </cell>
          <cell r="K3424">
            <v>0</v>
          </cell>
          <cell r="AL3424">
            <v>0</v>
          </cell>
          <cell r="BJ3424" t="str">
            <v>CCO</v>
          </cell>
        </row>
        <row r="3425">
          <cell r="E3425" t="str">
            <v>50</v>
          </cell>
          <cell r="J3425">
            <v>0</v>
          </cell>
          <cell r="K3425">
            <v>0</v>
          </cell>
          <cell r="AL3425">
            <v>0</v>
          </cell>
          <cell r="BJ3425" t="str">
            <v>CCO</v>
          </cell>
        </row>
        <row r="3426">
          <cell r="E3426" t="str">
            <v>50</v>
          </cell>
          <cell r="J3426">
            <v>0</v>
          </cell>
          <cell r="K3426">
            <v>0</v>
          </cell>
          <cell r="AL3426">
            <v>0</v>
          </cell>
          <cell r="BJ3426" t="str">
            <v>CCO</v>
          </cell>
        </row>
        <row r="3427">
          <cell r="E3427" t="str">
            <v>50</v>
          </cell>
          <cell r="J3427">
            <v>0</v>
          </cell>
          <cell r="K3427">
            <v>0</v>
          </cell>
          <cell r="AL3427">
            <v>0</v>
          </cell>
          <cell r="BJ3427" t="str">
            <v>CCO</v>
          </cell>
        </row>
        <row r="3428">
          <cell r="E3428" t="str">
            <v>50</v>
          </cell>
          <cell r="J3428">
            <v>0</v>
          </cell>
          <cell r="K3428">
            <v>0</v>
          </cell>
          <cell r="AL3428">
            <v>0</v>
          </cell>
          <cell r="BJ3428" t="str">
            <v>CCO</v>
          </cell>
        </row>
        <row r="3429">
          <cell r="E3429" t="str">
            <v>50</v>
          </cell>
          <cell r="J3429">
            <v>0</v>
          </cell>
          <cell r="K3429">
            <v>0</v>
          </cell>
          <cell r="AL3429">
            <v>0</v>
          </cell>
          <cell r="BJ3429" t="str">
            <v>CCO</v>
          </cell>
        </row>
        <row r="3430">
          <cell r="E3430" t="str">
            <v>50</v>
          </cell>
          <cell r="J3430">
            <v>0</v>
          </cell>
          <cell r="K3430">
            <v>0</v>
          </cell>
          <cell r="AL3430">
            <v>0</v>
          </cell>
          <cell r="BJ3430" t="str">
            <v>CCO</v>
          </cell>
        </row>
        <row r="3431">
          <cell r="E3431" t="str">
            <v>50</v>
          </cell>
          <cell r="J3431">
            <v>0</v>
          </cell>
          <cell r="K3431">
            <v>0</v>
          </cell>
          <cell r="AL3431">
            <v>0</v>
          </cell>
          <cell r="BJ3431" t="str">
            <v>CCO</v>
          </cell>
        </row>
        <row r="3432">
          <cell r="E3432" t="str">
            <v>50</v>
          </cell>
          <cell r="J3432">
            <v>0</v>
          </cell>
          <cell r="K3432">
            <v>0</v>
          </cell>
          <cell r="AL3432">
            <v>0</v>
          </cell>
          <cell r="BJ3432" t="str">
            <v>CCO</v>
          </cell>
        </row>
        <row r="3433">
          <cell r="E3433" t="str">
            <v>50</v>
          </cell>
          <cell r="J3433">
            <v>0</v>
          </cell>
          <cell r="K3433">
            <v>0</v>
          </cell>
          <cell r="AL3433">
            <v>0</v>
          </cell>
          <cell r="BJ3433" t="str">
            <v>CCO</v>
          </cell>
        </row>
        <row r="3434">
          <cell r="E3434" t="str">
            <v>50</v>
          </cell>
          <cell r="J3434">
            <v>0</v>
          </cell>
          <cell r="K3434">
            <v>0</v>
          </cell>
          <cell r="AL3434">
            <v>0</v>
          </cell>
          <cell r="BJ3434" t="str">
            <v>CCO</v>
          </cell>
        </row>
        <row r="3435">
          <cell r="E3435" t="str">
            <v>50</v>
          </cell>
          <cell r="J3435">
            <v>0</v>
          </cell>
          <cell r="K3435">
            <v>0</v>
          </cell>
          <cell r="AL3435">
            <v>0</v>
          </cell>
          <cell r="BJ3435" t="str">
            <v>CCO</v>
          </cell>
        </row>
        <row r="3436">
          <cell r="E3436" t="str">
            <v>50</v>
          </cell>
          <cell r="J3436">
            <v>0</v>
          </cell>
          <cell r="K3436">
            <v>0</v>
          </cell>
          <cell r="AL3436">
            <v>0</v>
          </cell>
          <cell r="BJ3436" t="str">
            <v>CCO</v>
          </cell>
        </row>
        <row r="3437">
          <cell r="E3437" t="str">
            <v>51</v>
          </cell>
          <cell r="J3437">
            <v>0</v>
          </cell>
          <cell r="K3437">
            <v>0</v>
          </cell>
          <cell r="AL3437">
            <v>0</v>
          </cell>
          <cell r="BJ3437" t="str">
            <v>CCO</v>
          </cell>
        </row>
        <row r="3438">
          <cell r="E3438" t="str">
            <v>50</v>
          </cell>
          <cell r="J3438">
            <v>0</v>
          </cell>
          <cell r="K3438">
            <v>0</v>
          </cell>
          <cell r="AL3438">
            <v>0</v>
          </cell>
          <cell r="BJ3438" t="str">
            <v>CCO</v>
          </cell>
        </row>
        <row r="3439">
          <cell r="E3439" t="str">
            <v>50</v>
          </cell>
          <cell r="J3439">
            <v>0</v>
          </cell>
          <cell r="K3439">
            <v>0</v>
          </cell>
          <cell r="AL3439">
            <v>0</v>
          </cell>
          <cell r="BJ3439" t="str">
            <v>CCO</v>
          </cell>
        </row>
        <row r="3440">
          <cell r="E3440" t="str">
            <v>50</v>
          </cell>
          <cell r="J3440">
            <v>0</v>
          </cell>
          <cell r="K3440">
            <v>0</v>
          </cell>
          <cell r="AL3440">
            <v>0</v>
          </cell>
          <cell r="BJ3440" t="str">
            <v>CCO</v>
          </cell>
        </row>
        <row r="3441">
          <cell r="E3441" t="str">
            <v>50</v>
          </cell>
          <cell r="J3441">
            <v>0</v>
          </cell>
          <cell r="K3441">
            <v>0</v>
          </cell>
          <cell r="AL3441">
            <v>0</v>
          </cell>
          <cell r="BJ3441" t="str">
            <v>CCO</v>
          </cell>
        </row>
        <row r="3442">
          <cell r="E3442" t="str">
            <v>50</v>
          </cell>
          <cell r="J3442">
            <v>0</v>
          </cell>
          <cell r="K3442">
            <v>0</v>
          </cell>
          <cell r="AL3442">
            <v>0</v>
          </cell>
          <cell r="BJ3442" t="str">
            <v>CCO</v>
          </cell>
        </row>
        <row r="3443">
          <cell r="E3443" t="str">
            <v>50</v>
          </cell>
          <cell r="J3443">
            <v>0</v>
          </cell>
          <cell r="K3443">
            <v>0</v>
          </cell>
          <cell r="AL3443">
            <v>0</v>
          </cell>
          <cell r="BJ3443" t="str">
            <v>CCO</v>
          </cell>
        </row>
        <row r="3444">
          <cell r="E3444" t="str">
            <v>50</v>
          </cell>
          <cell r="J3444">
            <v>0</v>
          </cell>
          <cell r="K3444">
            <v>0</v>
          </cell>
          <cell r="AL3444">
            <v>0</v>
          </cell>
          <cell r="BJ3444" t="str">
            <v>CCO</v>
          </cell>
        </row>
        <row r="3445">
          <cell r="E3445" t="str">
            <v>10</v>
          </cell>
          <cell r="J3445">
            <v>0</v>
          </cell>
          <cell r="K3445">
            <v>0</v>
          </cell>
          <cell r="AL3445">
            <v>0</v>
          </cell>
        </row>
        <row r="3446">
          <cell r="E3446" t="str">
            <v>10</v>
          </cell>
          <cell r="J3446">
            <v>0</v>
          </cell>
          <cell r="K3446">
            <v>0</v>
          </cell>
          <cell r="AL3446">
            <v>0</v>
          </cell>
        </row>
        <row r="3447">
          <cell r="E3447" t="str">
            <v>10</v>
          </cell>
          <cell r="J3447">
            <v>0</v>
          </cell>
          <cell r="K3447">
            <v>0</v>
          </cell>
          <cell r="AL3447">
            <v>0</v>
          </cell>
        </row>
        <row r="3448">
          <cell r="E3448" t="str">
            <v>10</v>
          </cell>
          <cell r="J3448">
            <v>0</v>
          </cell>
          <cell r="K3448">
            <v>0</v>
          </cell>
          <cell r="AL3448">
            <v>0</v>
          </cell>
        </row>
        <row r="3449">
          <cell r="E3449" t="str">
            <v>10</v>
          </cell>
          <cell r="J3449">
            <v>0</v>
          </cell>
          <cell r="K3449">
            <v>0</v>
          </cell>
          <cell r="AL3449">
            <v>0</v>
          </cell>
        </row>
        <row r="3450">
          <cell r="E3450" t="str">
            <v>10</v>
          </cell>
          <cell r="J3450">
            <v>0</v>
          </cell>
          <cell r="K3450">
            <v>0</v>
          </cell>
          <cell r="AL3450">
            <v>0</v>
          </cell>
        </row>
        <row r="3451">
          <cell r="E3451" t="str">
            <v>10</v>
          </cell>
          <cell r="J3451">
            <v>0</v>
          </cell>
          <cell r="K3451">
            <v>0</v>
          </cell>
          <cell r="AL3451">
            <v>0</v>
          </cell>
        </row>
        <row r="3452">
          <cell r="E3452" t="str">
            <v>10</v>
          </cell>
          <cell r="J3452">
            <v>0</v>
          </cell>
          <cell r="K3452">
            <v>0</v>
          </cell>
          <cell r="AL3452">
            <v>0</v>
          </cell>
        </row>
        <row r="3453">
          <cell r="E3453" t="str">
            <v>10</v>
          </cell>
          <cell r="J3453">
            <v>0</v>
          </cell>
          <cell r="K3453">
            <v>0</v>
          </cell>
          <cell r="AL3453">
            <v>0</v>
          </cell>
        </row>
        <row r="3454">
          <cell r="E3454" t="str">
            <v>10</v>
          </cell>
          <cell r="J3454">
            <v>0</v>
          </cell>
          <cell r="K3454">
            <v>0</v>
          </cell>
          <cell r="AL3454">
            <v>0</v>
          </cell>
        </row>
        <row r="3455">
          <cell r="E3455" t="str">
            <v>10</v>
          </cell>
          <cell r="J3455">
            <v>0</v>
          </cell>
          <cell r="K3455">
            <v>0</v>
          </cell>
          <cell r="AL3455">
            <v>0</v>
          </cell>
        </row>
        <row r="3456">
          <cell r="E3456" t="str">
            <v>10</v>
          </cell>
          <cell r="J3456">
            <v>0</v>
          </cell>
          <cell r="K3456">
            <v>0</v>
          </cell>
          <cell r="AL3456">
            <v>0</v>
          </cell>
        </row>
        <row r="3457">
          <cell r="E3457" t="str">
            <v>10</v>
          </cell>
          <cell r="J3457">
            <v>0</v>
          </cell>
          <cell r="K3457">
            <v>0</v>
          </cell>
          <cell r="AL3457">
            <v>0</v>
          </cell>
        </row>
        <row r="3458">
          <cell r="E3458" t="str">
            <v>10</v>
          </cell>
          <cell r="J3458">
            <v>0</v>
          </cell>
          <cell r="K3458">
            <v>0</v>
          </cell>
          <cell r="AL3458">
            <v>0</v>
          </cell>
        </row>
        <row r="3459">
          <cell r="E3459" t="str">
            <v>10</v>
          </cell>
          <cell r="J3459">
            <v>0</v>
          </cell>
          <cell r="K3459">
            <v>0</v>
          </cell>
          <cell r="AL3459">
            <v>0</v>
          </cell>
        </row>
        <row r="3460">
          <cell r="E3460" t="str">
            <v>10</v>
          </cell>
          <cell r="J3460">
            <v>0</v>
          </cell>
          <cell r="K3460">
            <v>0</v>
          </cell>
          <cell r="AL3460">
            <v>0</v>
          </cell>
        </row>
        <row r="3461">
          <cell r="E3461" t="str">
            <v>10</v>
          </cell>
          <cell r="J3461">
            <v>0</v>
          </cell>
          <cell r="K3461">
            <v>0</v>
          </cell>
          <cell r="AL3461">
            <v>0</v>
          </cell>
        </row>
        <row r="3462">
          <cell r="E3462" t="str">
            <v>10</v>
          </cell>
          <cell r="J3462">
            <v>0</v>
          </cell>
          <cell r="K3462">
            <v>0</v>
          </cell>
          <cell r="AL3462">
            <v>0</v>
          </cell>
        </row>
        <row r="3463">
          <cell r="E3463" t="str">
            <v>10</v>
          </cell>
          <cell r="J3463">
            <v>0</v>
          </cell>
          <cell r="K3463">
            <v>0</v>
          </cell>
          <cell r="AL3463">
            <v>0</v>
          </cell>
        </row>
        <row r="3464">
          <cell r="E3464" t="str">
            <v>10</v>
          </cell>
          <cell r="J3464">
            <v>0</v>
          </cell>
          <cell r="K3464">
            <v>0</v>
          </cell>
          <cell r="AL3464">
            <v>0</v>
          </cell>
        </row>
        <row r="3465">
          <cell r="E3465" t="str">
            <v>10</v>
          </cell>
          <cell r="J3465">
            <v>0</v>
          </cell>
          <cell r="K3465">
            <v>0</v>
          </cell>
          <cell r="AL3465">
            <v>0</v>
          </cell>
        </row>
        <row r="3466">
          <cell r="E3466" t="str">
            <v>10</v>
          </cell>
          <cell r="J3466">
            <v>0</v>
          </cell>
          <cell r="K3466">
            <v>0</v>
          </cell>
          <cell r="AL3466">
            <v>0</v>
          </cell>
        </row>
        <row r="3467">
          <cell r="E3467" t="str">
            <v>10</v>
          </cell>
          <cell r="J3467">
            <v>0</v>
          </cell>
          <cell r="K3467">
            <v>0</v>
          </cell>
          <cell r="AL3467">
            <v>0</v>
          </cell>
        </row>
        <row r="3468">
          <cell r="E3468" t="str">
            <v>10</v>
          </cell>
          <cell r="J3468">
            <v>0</v>
          </cell>
          <cell r="K3468">
            <v>0</v>
          </cell>
          <cell r="AL3468">
            <v>0</v>
          </cell>
        </row>
        <row r="3469">
          <cell r="E3469" t="str">
            <v>10</v>
          </cell>
          <cell r="J3469">
            <v>0</v>
          </cell>
          <cell r="K3469">
            <v>0</v>
          </cell>
          <cell r="AL3469">
            <v>0</v>
          </cell>
        </row>
        <row r="3470">
          <cell r="E3470" t="str">
            <v>10</v>
          </cell>
          <cell r="J3470">
            <v>0</v>
          </cell>
          <cell r="K3470">
            <v>0</v>
          </cell>
          <cell r="AL3470">
            <v>0</v>
          </cell>
        </row>
        <row r="3471">
          <cell r="E3471" t="str">
            <v>11</v>
          </cell>
          <cell r="J3471">
            <v>0</v>
          </cell>
          <cell r="K3471">
            <v>0</v>
          </cell>
          <cell r="AL3471">
            <v>0</v>
          </cell>
        </row>
        <row r="3472">
          <cell r="E3472" t="str">
            <v>11</v>
          </cell>
          <cell r="J3472">
            <v>0</v>
          </cell>
          <cell r="K3472">
            <v>0</v>
          </cell>
          <cell r="AL3472">
            <v>0</v>
          </cell>
        </row>
        <row r="3473">
          <cell r="E3473" t="str">
            <v>11</v>
          </cell>
          <cell r="J3473">
            <v>0</v>
          </cell>
          <cell r="K3473">
            <v>0</v>
          </cell>
          <cell r="AL3473">
            <v>0</v>
          </cell>
        </row>
        <row r="3474">
          <cell r="E3474" t="str">
            <v>11</v>
          </cell>
          <cell r="J3474">
            <v>0</v>
          </cell>
          <cell r="K3474">
            <v>0</v>
          </cell>
          <cell r="AL3474">
            <v>0</v>
          </cell>
        </row>
        <row r="3475">
          <cell r="E3475" t="str">
            <v>11</v>
          </cell>
          <cell r="J3475">
            <v>0</v>
          </cell>
          <cell r="K3475">
            <v>0</v>
          </cell>
          <cell r="AL3475">
            <v>0</v>
          </cell>
        </row>
        <row r="3476">
          <cell r="E3476" t="str">
            <v>11</v>
          </cell>
          <cell r="J3476">
            <v>0</v>
          </cell>
          <cell r="K3476">
            <v>0</v>
          </cell>
          <cell r="AL3476">
            <v>0</v>
          </cell>
        </row>
        <row r="3477">
          <cell r="E3477" t="str">
            <v>11</v>
          </cell>
          <cell r="J3477">
            <v>0</v>
          </cell>
          <cell r="K3477">
            <v>0</v>
          </cell>
          <cell r="AL3477">
            <v>0</v>
          </cell>
        </row>
        <row r="3478">
          <cell r="E3478" t="str">
            <v>11</v>
          </cell>
          <cell r="J3478">
            <v>0</v>
          </cell>
          <cell r="K3478">
            <v>0</v>
          </cell>
          <cell r="AL3478">
            <v>0</v>
          </cell>
        </row>
        <row r="3479">
          <cell r="E3479" t="str">
            <v>11</v>
          </cell>
          <cell r="J3479">
            <v>0</v>
          </cell>
          <cell r="K3479">
            <v>0</v>
          </cell>
          <cell r="AL3479">
            <v>0</v>
          </cell>
        </row>
        <row r="3480">
          <cell r="E3480" t="str">
            <v>11</v>
          </cell>
          <cell r="J3480">
            <v>0</v>
          </cell>
          <cell r="K3480">
            <v>0</v>
          </cell>
          <cell r="AL3480">
            <v>0</v>
          </cell>
        </row>
        <row r="3481">
          <cell r="E3481" t="str">
            <v>11</v>
          </cell>
          <cell r="J3481">
            <v>0</v>
          </cell>
          <cell r="K3481">
            <v>0</v>
          </cell>
          <cell r="AL3481">
            <v>0</v>
          </cell>
        </row>
        <row r="3482">
          <cell r="E3482" t="str">
            <v>11</v>
          </cell>
          <cell r="J3482">
            <v>0</v>
          </cell>
          <cell r="K3482">
            <v>0</v>
          </cell>
          <cell r="AL3482">
            <v>0</v>
          </cell>
        </row>
        <row r="3483">
          <cell r="E3483" t="str">
            <v>11</v>
          </cell>
          <cell r="J3483">
            <v>0</v>
          </cell>
          <cell r="K3483">
            <v>0</v>
          </cell>
          <cell r="AL3483">
            <v>0</v>
          </cell>
        </row>
        <row r="3484">
          <cell r="E3484" t="str">
            <v>11</v>
          </cell>
          <cell r="J3484">
            <v>0</v>
          </cell>
          <cell r="K3484">
            <v>0</v>
          </cell>
          <cell r="AL3484">
            <v>0</v>
          </cell>
        </row>
        <row r="3485">
          <cell r="E3485" t="str">
            <v>11</v>
          </cell>
          <cell r="J3485">
            <v>0</v>
          </cell>
          <cell r="K3485">
            <v>0</v>
          </cell>
          <cell r="AL3485">
            <v>0</v>
          </cell>
        </row>
        <row r="3486">
          <cell r="E3486" t="str">
            <v>11</v>
          </cell>
          <cell r="J3486">
            <v>0</v>
          </cell>
          <cell r="K3486">
            <v>0</v>
          </cell>
          <cell r="AL3486">
            <v>0</v>
          </cell>
        </row>
        <row r="3487">
          <cell r="E3487" t="str">
            <v>11</v>
          </cell>
          <cell r="J3487">
            <v>0</v>
          </cell>
          <cell r="K3487">
            <v>0</v>
          </cell>
          <cell r="AL3487">
            <v>0</v>
          </cell>
        </row>
        <row r="3488">
          <cell r="E3488" t="str">
            <v>11</v>
          </cell>
          <cell r="J3488">
            <v>0</v>
          </cell>
          <cell r="K3488">
            <v>0</v>
          </cell>
          <cell r="AL3488">
            <v>0</v>
          </cell>
        </row>
        <row r="3489">
          <cell r="E3489" t="str">
            <v>11</v>
          </cell>
          <cell r="J3489">
            <v>0</v>
          </cell>
          <cell r="K3489">
            <v>0</v>
          </cell>
          <cell r="AL3489">
            <v>0</v>
          </cell>
        </row>
        <row r="3490">
          <cell r="E3490" t="str">
            <v>11</v>
          </cell>
          <cell r="J3490">
            <v>0</v>
          </cell>
          <cell r="K3490">
            <v>0</v>
          </cell>
          <cell r="AL3490">
            <v>0</v>
          </cell>
        </row>
        <row r="3491">
          <cell r="E3491" t="str">
            <v>11</v>
          </cell>
          <cell r="J3491">
            <v>0</v>
          </cell>
          <cell r="K3491">
            <v>0</v>
          </cell>
          <cell r="AL3491">
            <v>0</v>
          </cell>
        </row>
        <row r="3492">
          <cell r="E3492" t="str">
            <v>11</v>
          </cell>
          <cell r="J3492">
            <v>0</v>
          </cell>
          <cell r="K3492">
            <v>0</v>
          </cell>
          <cell r="AL3492">
            <v>0</v>
          </cell>
        </row>
        <row r="3493">
          <cell r="E3493" t="str">
            <v>11</v>
          </cell>
          <cell r="J3493">
            <v>0</v>
          </cell>
          <cell r="K3493">
            <v>0</v>
          </cell>
          <cell r="AL3493">
            <v>0</v>
          </cell>
        </row>
        <row r="3494">
          <cell r="E3494" t="str">
            <v>11</v>
          </cell>
          <cell r="J3494">
            <v>0</v>
          </cell>
          <cell r="K3494">
            <v>0</v>
          </cell>
          <cell r="AL3494">
            <v>0</v>
          </cell>
        </row>
        <row r="3495">
          <cell r="E3495" t="str">
            <v>11</v>
          </cell>
          <cell r="J3495">
            <v>0</v>
          </cell>
          <cell r="K3495">
            <v>0</v>
          </cell>
          <cell r="AL3495">
            <v>0</v>
          </cell>
        </row>
        <row r="3496">
          <cell r="E3496" t="str">
            <v>11</v>
          </cell>
          <cell r="J3496">
            <v>0</v>
          </cell>
          <cell r="K3496">
            <v>0</v>
          </cell>
          <cell r="AL3496">
            <v>0</v>
          </cell>
        </row>
        <row r="3497">
          <cell r="E3497" t="str">
            <v>11</v>
          </cell>
          <cell r="J3497">
            <v>0</v>
          </cell>
          <cell r="K3497">
            <v>0</v>
          </cell>
          <cell r="AL3497">
            <v>0</v>
          </cell>
        </row>
        <row r="3498">
          <cell r="E3498" t="str">
            <v>11</v>
          </cell>
          <cell r="J3498">
            <v>0</v>
          </cell>
          <cell r="K3498">
            <v>0</v>
          </cell>
          <cell r="AL3498">
            <v>0</v>
          </cell>
        </row>
        <row r="3499">
          <cell r="E3499" t="str">
            <v>11</v>
          </cell>
          <cell r="J3499">
            <v>0</v>
          </cell>
          <cell r="K3499">
            <v>0</v>
          </cell>
          <cell r="AL3499">
            <v>0</v>
          </cell>
        </row>
        <row r="3500">
          <cell r="E3500" t="str">
            <v>11</v>
          </cell>
          <cell r="J3500">
            <v>0</v>
          </cell>
          <cell r="K3500">
            <v>0</v>
          </cell>
          <cell r="AL3500">
            <v>0</v>
          </cell>
        </row>
        <row r="3501">
          <cell r="E3501" t="str">
            <v>11</v>
          </cell>
          <cell r="J3501">
            <v>0</v>
          </cell>
          <cell r="K3501">
            <v>0</v>
          </cell>
          <cell r="AL3501">
            <v>0</v>
          </cell>
        </row>
        <row r="3502">
          <cell r="E3502" t="str">
            <v>11</v>
          </cell>
          <cell r="J3502">
            <v>0</v>
          </cell>
          <cell r="K3502">
            <v>0</v>
          </cell>
          <cell r="AL3502">
            <v>0</v>
          </cell>
        </row>
        <row r="3503">
          <cell r="E3503" t="str">
            <v>11</v>
          </cell>
          <cell r="J3503">
            <v>0</v>
          </cell>
          <cell r="K3503">
            <v>0</v>
          </cell>
          <cell r="AL3503">
            <v>0</v>
          </cell>
        </row>
        <row r="3504">
          <cell r="E3504" t="str">
            <v>11</v>
          </cell>
          <cell r="J3504">
            <v>0</v>
          </cell>
          <cell r="K3504">
            <v>0</v>
          </cell>
          <cell r="AL3504">
            <v>0</v>
          </cell>
        </row>
        <row r="3505">
          <cell r="E3505" t="str">
            <v>13</v>
          </cell>
          <cell r="J3505">
            <v>0</v>
          </cell>
          <cell r="K3505">
            <v>0</v>
          </cell>
          <cell r="AL3505">
            <v>0</v>
          </cell>
        </row>
        <row r="3506">
          <cell r="E3506" t="str">
            <v>13</v>
          </cell>
          <cell r="J3506">
            <v>0</v>
          </cell>
          <cell r="K3506">
            <v>0</v>
          </cell>
          <cell r="AL3506">
            <v>0</v>
          </cell>
        </row>
        <row r="3507">
          <cell r="E3507" t="str">
            <v>13</v>
          </cell>
          <cell r="J3507">
            <v>0</v>
          </cell>
          <cell r="K3507">
            <v>0</v>
          </cell>
          <cell r="AL3507">
            <v>0</v>
          </cell>
        </row>
        <row r="3508">
          <cell r="E3508" t="str">
            <v>13</v>
          </cell>
          <cell r="J3508">
            <v>0</v>
          </cell>
          <cell r="K3508">
            <v>0</v>
          </cell>
          <cell r="AL3508">
            <v>0</v>
          </cell>
        </row>
        <row r="3509">
          <cell r="E3509" t="str">
            <v>13</v>
          </cell>
          <cell r="J3509">
            <v>0</v>
          </cell>
          <cell r="K3509">
            <v>0</v>
          </cell>
          <cell r="AL3509">
            <v>0</v>
          </cell>
        </row>
        <row r="3510">
          <cell r="E3510" t="str">
            <v>13</v>
          </cell>
          <cell r="J3510">
            <v>0</v>
          </cell>
          <cell r="K3510">
            <v>0</v>
          </cell>
          <cell r="AL3510">
            <v>0</v>
          </cell>
        </row>
        <row r="3511">
          <cell r="E3511" t="str">
            <v>13</v>
          </cell>
          <cell r="J3511">
            <v>0</v>
          </cell>
          <cell r="K3511">
            <v>0</v>
          </cell>
          <cell r="AL3511">
            <v>0</v>
          </cell>
        </row>
        <row r="3512">
          <cell r="E3512" t="str">
            <v>13</v>
          </cell>
          <cell r="J3512">
            <v>0</v>
          </cell>
          <cell r="K3512">
            <v>0</v>
          </cell>
          <cell r="AL3512">
            <v>0</v>
          </cell>
        </row>
        <row r="3513">
          <cell r="E3513" t="str">
            <v>13</v>
          </cell>
          <cell r="J3513">
            <v>0</v>
          </cell>
          <cell r="K3513">
            <v>0</v>
          </cell>
          <cell r="AL3513">
            <v>0</v>
          </cell>
        </row>
        <row r="3514">
          <cell r="E3514" t="str">
            <v>13</v>
          </cell>
          <cell r="J3514">
            <v>0</v>
          </cell>
          <cell r="K3514">
            <v>0</v>
          </cell>
          <cell r="AL3514">
            <v>0</v>
          </cell>
        </row>
        <row r="3515">
          <cell r="E3515" t="str">
            <v>13</v>
          </cell>
          <cell r="J3515">
            <v>0</v>
          </cell>
          <cell r="K3515">
            <v>0</v>
          </cell>
          <cell r="AL3515">
            <v>0</v>
          </cell>
        </row>
        <row r="3516">
          <cell r="E3516" t="str">
            <v>13</v>
          </cell>
          <cell r="J3516">
            <v>0</v>
          </cell>
          <cell r="K3516">
            <v>0</v>
          </cell>
          <cell r="AL3516">
            <v>0</v>
          </cell>
        </row>
        <row r="3517">
          <cell r="E3517" t="str">
            <v>13</v>
          </cell>
          <cell r="J3517">
            <v>0</v>
          </cell>
          <cell r="K3517">
            <v>0</v>
          </cell>
          <cell r="AL3517">
            <v>0</v>
          </cell>
        </row>
        <row r="3518">
          <cell r="E3518" t="str">
            <v>13</v>
          </cell>
          <cell r="J3518">
            <v>0</v>
          </cell>
          <cell r="K3518">
            <v>0</v>
          </cell>
          <cell r="AL3518">
            <v>0</v>
          </cell>
        </row>
        <row r="3519">
          <cell r="E3519" t="str">
            <v>13</v>
          </cell>
          <cell r="J3519">
            <v>0</v>
          </cell>
          <cell r="K3519">
            <v>0</v>
          </cell>
          <cell r="AL3519">
            <v>0</v>
          </cell>
        </row>
        <row r="3520">
          <cell r="E3520" t="str">
            <v>13</v>
          </cell>
          <cell r="J3520">
            <v>0</v>
          </cell>
          <cell r="K3520">
            <v>0</v>
          </cell>
          <cell r="AL3520">
            <v>0</v>
          </cell>
        </row>
        <row r="3521">
          <cell r="E3521" t="str">
            <v>13</v>
          </cell>
          <cell r="J3521">
            <v>0</v>
          </cell>
          <cell r="K3521">
            <v>0</v>
          </cell>
          <cell r="AL3521">
            <v>0</v>
          </cell>
        </row>
        <row r="3522">
          <cell r="E3522" t="str">
            <v>13</v>
          </cell>
          <cell r="J3522">
            <v>0</v>
          </cell>
          <cell r="K3522">
            <v>0</v>
          </cell>
          <cell r="AL3522">
            <v>0</v>
          </cell>
        </row>
        <row r="3523">
          <cell r="E3523" t="str">
            <v>13</v>
          </cell>
          <cell r="J3523">
            <v>0</v>
          </cell>
          <cell r="K3523">
            <v>0</v>
          </cell>
          <cell r="AL3523">
            <v>0</v>
          </cell>
        </row>
        <row r="3524">
          <cell r="E3524" t="str">
            <v>13</v>
          </cell>
          <cell r="J3524">
            <v>0</v>
          </cell>
          <cell r="K3524">
            <v>0</v>
          </cell>
          <cell r="AL3524">
            <v>0</v>
          </cell>
        </row>
        <row r="3525">
          <cell r="E3525" t="str">
            <v>13</v>
          </cell>
          <cell r="J3525">
            <v>0</v>
          </cell>
          <cell r="K3525">
            <v>0</v>
          </cell>
          <cell r="AL3525">
            <v>0</v>
          </cell>
        </row>
        <row r="3526">
          <cell r="E3526" t="str">
            <v>13</v>
          </cell>
          <cell r="J3526">
            <v>0</v>
          </cell>
          <cell r="K3526">
            <v>0</v>
          </cell>
          <cell r="AL3526">
            <v>0</v>
          </cell>
        </row>
        <row r="3527">
          <cell r="E3527" t="str">
            <v>13</v>
          </cell>
          <cell r="J3527">
            <v>0</v>
          </cell>
          <cell r="K3527">
            <v>0</v>
          </cell>
          <cell r="AL3527">
            <v>0</v>
          </cell>
        </row>
        <row r="3528">
          <cell r="E3528" t="str">
            <v>13</v>
          </cell>
          <cell r="J3528">
            <v>0</v>
          </cell>
          <cell r="K3528">
            <v>0</v>
          </cell>
          <cell r="AL3528">
            <v>0</v>
          </cell>
        </row>
        <row r="3529">
          <cell r="E3529" t="str">
            <v>13</v>
          </cell>
          <cell r="J3529">
            <v>0</v>
          </cell>
          <cell r="K3529">
            <v>0</v>
          </cell>
          <cell r="AL3529">
            <v>0</v>
          </cell>
        </row>
        <row r="3530">
          <cell r="E3530" t="str">
            <v>13</v>
          </cell>
          <cell r="J3530">
            <v>0</v>
          </cell>
          <cell r="K3530">
            <v>0</v>
          </cell>
          <cell r="AL3530">
            <v>0</v>
          </cell>
        </row>
        <row r="3531">
          <cell r="E3531" t="str">
            <v>13</v>
          </cell>
          <cell r="J3531">
            <v>0</v>
          </cell>
          <cell r="K3531">
            <v>0</v>
          </cell>
          <cell r="AL3531">
            <v>0</v>
          </cell>
        </row>
        <row r="3532">
          <cell r="E3532" t="str">
            <v>13</v>
          </cell>
          <cell r="J3532">
            <v>0</v>
          </cell>
          <cell r="K3532">
            <v>0</v>
          </cell>
          <cell r="AL3532">
            <v>0</v>
          </cell>
        </row>
        <row r="3533">
          <cell r="E3533" t="str">
            <v>13</v>
          </cell>
          <cell r="J3533">
            <v>0</v>
          </cell>
          <cell r="K3533">
            <v>0</v>
          </cell>
          <cell r="AL3533">
            <v>0</v>
          </cell>
        </row>
        <row r="3534">
          <cell r="E3534" t="str">
            <v>13</v>
          </cell>
          <cell r="J3534">
            <v>0</v>
          </cell>
          <cell r="K3534">
            <v>0</v>
          </cell>
          <cell r="AL3534">
            <v>0</v>
          </cell>
        </row>
        <row r="3535">
          <cell r="E3535" t="str">
            <v>13</v>
          </cell>
          <cell r="J3535">
            <v>0</v>
          </cell>
          <cell r="K3535">
            <v>0</v>
          </cell>
          <cell r="AL3535">
            <v>0</v>
          </cell>
        </row>
        <row r="3536">
          <cell r="E3536" t="str">
            <v>13</v>
          </cell>
          <cell r="J3536">
            <v>0</v>
          </cell>
          <cell r="K3536">
            <v>0</v>
          </cell>
          <cell r="AL3536">
            <v>0</v>
          </cell>
        </row>
        <row r="3537">
          <cell r="E3537" t="str">
            <v>13</v>
          </cell>
          <cell r="J3537">
            <v>0</v>
          </cell>
          <cell r="K3537">
            <v>0</v>
          </cell>
          <cell r="AL3537">
            <v>0</v>
          </cell>
        </row>
        <row r="3538">
          <cell r="E3538" t="str">
            <v>13</v>
          </cell>
          <cell r="J3538">
            <v>0</v>
          </cell>
          <cell r="K3538">
            <v>0</v>
          </cell>
          <cell r="AL3538">
            <v>0</v>
          </cell>
        </row>
        <row r="3539">
          <cell r="E3539" t="str">
            <v>13</v>
          </cell>
          <cell r="J3539">
            <v>0</v>
          </cell>
          <cell r="K3539">
            <v>0</v>
          </cell>
          <cell r="AL3539">
            <v>0</v>
          </cell>
        </row>
        <row r="3540">
          <cell r="E3540" t="str">
            <v>13</v>
          </cell>
          <cell r="J3540">
            <v>0</v>
          </cell>
          <cell r="K3540">
            <v>0</v>
          </cell>
          <cell r="AL3540">
            <v>0</v>
          </cell>
        </row>
        <row r="3541">
          <cell r="E3541" t="str">
            <v>13</v>
          </cell>
          <cell r="J3541">
            <v>0</v>
          </cell>
          <cell r="K3541">
            <v>0</v>
          </cell>
          <cell r="AL3541">
            <v>0</v>
          </cell>
        </row>
        <row r="3542">
          <cell r="E3542" t="str">
            <v>13</v>
          </cell>
          <cell r="J3542">
            <v>0</v>
          </cell>
          <cell r="K3542">
            <v>0</v>
          </cell>
          <cell r="AL3542">
            <v>0</v>
          </cell>
        </row>
        <row r="3543">
          <cell r="E3543" t="str">
            <v>13</v>
          </cell>
          <cell r="J3543">
            <v>0</v>
          </cell>
          <cell r="K3543">
            <v>0</v>
          </cell>
          <cell r="AL3543">
            <v>0</v>
          </cell>
        </row>
        <row r="3544">
          <cell r="E3544" t="str">
            <v>13</v>
          </cell>
          <cell r="J3544">
            <v>0</v>
          </cell>
          <cell r="K3544">
            <v>0</v>
          </cell>
          <cell r="AL3544">
            <v>0</v>
          </cell>
        </row>
        <row r="3545">
          <cell r="E3545" t="str">
            <v>13</v>
          </cell>
          <cell r="J3545">
            <v>0</v>
          </cell>
          <cell r="K3545">
            <v>0</v>
          </cell>
          <cell r="AL3545">
            <v>0</v>
          </cell>
        </row>
        <row r="3546">
          <cell r="E3546" t="str">
            <v>13</v>
          </cell>
          <cell r="J3546">
            <v>0</v>
          </cell>
          <cell r="K3546">
            <v>0</v>
          </cell>
          <cell r="AL3546">
            <v>0</v>
          </cell>
        </row>
        <row r="3547">
          <cell r="E3547" t="str">
            <v>13</v>
          </cell>
          <cell r="J3547">
            <v>0</v>
          </cell>
          <cell r="K3547">
            <v>0</v>
          </cell>
          <cell r="AL3547">
            <v>0</v>
          </cell>
        </row>
        <row r="3548">
          <cell r="E3548" t="str">
            <v>13</v>
          </cell>
          <cell r="J3548">
            <v>0</v>
          </cell>
          <cell r="K3548">
            <v>0</v>
          </cell>
          <cell r="AL3548">
            <v>0</v>
          </cell>
        </row>
        <row r="3549">
          <cell r="E3549" t="str">
            <v>13</v>
          </cell>
          <cell r="J3549">
            <v>0</v>
          </cell>
          <cell r="K3549">
            <v>0</v>
          </cell>
          <cell r="AL3549">
            <v>0</v>
          </cell>
        </row>
        <row r="3550">
          <cell r="E3550" t="str">
            <v>13</v>
          </cell>
          <cell r="J3550">
            <v>0</v>
          </cell>
          <cell r="K3550">
            <v>0</v>
          </cell>
          <cell r="AL3550">
            <v>0</v>
          </cell>
        </row>
        <row r="3551">
          <cell r="E3551" t="str">
            <v>13</v>
          </cell>
          <cell r="J3551">
            <v>0</v>
          </cell>
          <cell r="K3551">
            <v>0</v>
          </cell>
          <cell r="AL3551">
            <v>0</v>
          </cell>
        </row>
        <row r="3552">
          <cell r="E3552" t="str">
            <v>13</v>
          </cell>
          <cell r="J3552">
            <v>0</v>
          </cell>
          <cell r="K3552">
            <v>0</v>
          </cell>
          <cell r="AL3552">
            <v>0</v>
          </cell>
        </row>
        <row r="3553">
          <cell r="E3553" t="str">
            <v>13</v>
          </cell>
          <cell r="J3553">
            <v>0</v>
          </cell>
          <cell r="K3553">
            <v>0</v>
          </cell>
          <cell r="AL3553">
            <v>0</v>
          </cell>
        </row>
        <row r="3554">
          <cell r="E3554" t="str">
            <v>13</v>
          </cell>
          <cell r="J3554">
            <v>0</v>
          </cell>
          <cell r="K3554">
            <v>0</v>
          </cell>
          <cell r="AL3554">
            <v>0</v>
          </cell>
        </row>
        <row r="3555">
          <cell r="E3555" t="str">
            <v>13</v>
          </cell>
          <cell r="J3555">
            <v>0</v>
          </cell>
          <cell r="K3555">
            <v>0</v>
          </cell>
          <cell r="AL3555">
            <v>0</v>
          </cell>
        </row>
        <row r="3556">
          <cell r="E3556" t="str">
            <v>13</v>
          </cell>
          <cell r="J3556">
            <v>0</v>
          </cell>
          <cell r="K3556">
            <v>0</v>
          </cell>
          <cell r="AL3556">
            <v>0</v>
          </cell>
        </row>
        <row r="3557">
          <cell r="E3557" t="str">
            <v>13</v>
          </cell>
          <cell r="J3557">
            <v>0</v>
          </cell>
          <cell r="K3557">
            <v>0</v>
          </cell>
          <cell r="AL3557">
            <v>0</v>
          </cell>
        </row>
        <row r="3558">
          <cell r="E3558" t="str">
            <v>13</v>
          </cell>
          <cell r="J3558">
            <v>0</v>
          </cell>
          <cell r="K3558">
            <v>0</v>
          </cell>
          <cell r="AL3558">
            <v>0</v>
          </cell>
        </row>
        <row r="3559">
          <cell r="E3559" t="str">
            <v>13</v>
          </cell>
          <cell r="J3559">
            <v>0</v>
          </cell>
          <cell r="K3559">
            <v>0</v>
          </cell>
          <cell r="AL3559">
            <v>0</v>
          </cell>
        </row>
        <row r="3560">
          <cell r="E3560" t="str">
            <v>13</v>
          </cell>
          <cell r="J3560">
            <v>0</v>
          </cell>
          <cell r="K3560">
            <v>0</v>
          </cell>
          <cell r="AL3560">
            <v>0</v>
          </cell>
        </row>
        <row r="3561">
          <cell r="E3561" t="str">
            <v>13</v>
          </cell>
          <cell r="J3561">
            <v>0</v>
          </cell>
          <cell r="K3561">
            <v>0</v>
          </cell>
          <cell r="AL3561">
            <v>0</v>
          </cell>
        </row>
        <row r="3562">
          <cell r="E3562" t="str">
            <v>13</v>
          </cell>
          <cell r="J3562">
            <v>0</v>
          </cell>
          <cell r="K3562">
            <v>0</v>
          </cell>
          <cell r="AL3562">
            <v>0</v>
          </cell>
        </row>
        <row r="3563">
          <cell r="E3563" t="str">
            <v>11</v>
          </cell>
          <cell r="J3563">
            <v>0</v>
          </cell>
          <cell r="K3563">
            <v>0</v>
          </cell>
          <cell r="AL3563">
            <v>0</v>
          </cell>
        </row>
        <row r="3564">
          <cell r="E3564" t="str">
            <v>13</v>
          </cell>
          <cell r="J3564">
            <v>0</v>
          </cell>
          <cell r="K3564">
            <v>0</v>
          </cell>
          <cell r="AL3564">
            <v>0</v>
          </cell>
        </row>
        <row r="3565">
          <cell r="E3565" t="str">
            <v>11</v>
          </cell>
          <cell r="J3565">
            <v>0</v>
          </cell>
          <cell r="K3565">
            <v>0</v>
          </cell>
          <cell r="AL3565">
            <v>0</v>
          </cell>
        </row>
        <row r="3566">
          <cell r="E3566" t="str">
            <v>13</v>
          </cell>
          <cell r="J3566">
            <v>0</v>
          </cell>
          <cell r="K3566">
            <v>0</v>
          </cell>
          <cell r="AL3566">
            <v>0</v>
          </cell>
        </row>
        <row r="3567">
          <cell r="E3567" t="str">
            <v>11</v>
          </cell>
          <cell r="J3567">
            <v>0</v>
          </cell>
          <cell r="K3567">
            <v>0</v>
          </cell>
          <cell r="AL3567">
            <v>0</v>
          </cell>
        </row>
        <row r="3568">
          <cell r="E3568" t="str">
            <v>13</v>
          </cell>
          <cell r="J3568">
            <v>0</v>
          </cell>
          <cell r="K3568">
            <v>0</v>
          </cell>
          <cell r="AL3568">
            <v>0</v>
          </cell>
        </row>
        <row r="3569">
          <cell r="E3569" t="str">
            <v>13</v>
          </cell>
          <cell r="J3569">
            <v>0</v>
          </cell>
          <cell r="K3569">
            <v>0</v>
          </cell>
          <cell r="AL3569">
            <v>0</v>
          </cell>
        </row>
        <row r="3570">
          <cell r="E3570" t="str">
            <v>13</v>
          </cell>
          <cell r="J3570">
            <v>0</v>
          </cell>
          <cell r="K3570">
            <v>0</v>
          </cell>
          <cell r="AL3570">
            <v>0</v>
          </cell>
        </row>
        <row r="3571">
          <cell r="E3571" t="str">
            <v>13</v>
          </cell>
          <cell r="J3571">
            <v>0</v>
          </cell>
          <cell r="K3571">
            <v>0</v>
          </cell>
          <cell r="AL3571">
            <v>0</v>
          </cell>
        </row>
        <row r="3572">
          <cell r="E3572" t="str">
            <v>20</v>
          </cell>
          <cell r="J3572">
            <v>0</v>
          </cell>
          <cell r="K3572">
            <v>0</v>
          </cell>
          <cell r="AL3572">
            <v>0</v>
          </cell>
        </row>
        <row r="3573">
          <cell r="E3573" t="str">
            <v>20</v>
          </cell>
          <cell r="J3573">
            <v>0</v>
          </cell>
          <cell r="K3573">
            <v>0</v>
          </cell>
          <cell r="AL3573">
            <v>0</v>
          </cell>
        </row>
        <row r="3574">
          <cell r="E3574" t="str">
            <v>21</v>
          </cell>
          <cell r="J3574">
            <v>0</v>
          </cell>
          <cell r="K3574">
            <v>0</v>
          </cell>
          <cell r="AL3574">
            <v>0</v>
          </cell>
        </row>
        <row r="3575">
          <cell r="E3575" t="str">
            <v>24</v>
          </cell>
          <cell r="J3575">
            <v>0</v>
          </cell>
          <cell r="K3575">
            <v>0</v>
          </cell>
          <cell r="AL3575">
            <v>0</v>
          </cell>
        </row>
        <row r="3576">
          <cell r="E3576" t="str">
            <v>24</v>
          </cell>
          <cell r="J3576">
            <v>0</v>
          </cell>
          <cell r="K3576">
            <v>0</v>
          </cell>
          <cell r="AL3576">
            <v>0</v>
          </cell>
        </row>
        <row r="3577">
          <cell r="E3577" t="str">
            <v>24</v>
          </cell>
          <cell r="J3577">
            <v>0</v>
          </cell>
          <cell r="K3577">
            <v>0</v>
          </cell>
          <cell r="AL3577">
            <v>0</v>
          </cell>
        </row>
        <row r="3578">
          <cell r="E3578" t="str">
            <v>24</v>
          </cell>
          <cell r="J3578">
            <v>0</v>
          </cell>
          <cell r="K3578">
            <v>0</v>
          </cell>
          <cell r="AL3578">
            <v>0</v>
          </cell>
        </row>
        <row r="3579">
          <cell r="E3579" t="str">
            <v>24</v>
          </cell>
          <cell r="J3579">
            <v>0</v>
          </cell>
          <cell r="K3579">
            <v>0</v>
          </cell>
          <cell r="AL3579">
            <v>0</v>
          </cell>
        </row>
        <row r="3580">
          <cell r="E3580" t="str">
            <v>24</v>
          </cell>
          <cell r="J3580">
            <v>0</v>
          </cell>
          <cell r="K3580">
            <v>0</v>
          </cell>
          <cell r="AL3580">
            <v>0</v>
          </cell>
        </row>
        <row r="3581">
          <cell r="E3581" t="str">
            <v>24</v>
          </cell>
          <cell r="J3581">
            <v>0</v>
          </cell>
          <cell r="K3581">
            <v>0</v>
          </cell>
          <cell r="AL3581">
            <v>0</v>
          </cell>
        </row>
        <row r="3582">
          <cell r="E3582" t="str">
            <v>24</v>
          </cell>
          <cell r="J3582">
            <v>0</v>
          </cell>
          <cell r="K3582">
            <v>0</v>
          </cell>
          <cell r="AL3582">
            <v>0</v>
          </cell>
        </row>
        <row r="3583">
          <cell r="E3583" t="str">
            <v>24</v>
          </cell>
          <cell r="J3583">
            <v>0</v>
          </cell>
          <cell r="K3583">
            <v>0</v>
          </cell>
          <cell r="AL3583">
            <v>0</v>
          </cell>
        </row>
        <row r="3584">
          <cell r="E3584" t="str">
            <v>24</v>
          </cell>
          <cell r="J3584">
            <v>0</v>
          </cell>
          <cell r="K3584">
            <v>0</v>
          </cell>
          <cell r="AL3584">
            <v>0</v>
          </cell>
        </row>
        <row r="3585">
          <cell r="E3585" t="str">
            <v>24</v>
          </cell>
          <cell r="J3585">
            <v>0</v>
          </cell>
          <cell r="K3585">
            <v>0</v>
          </cell>
          <cell r="AL3585">
            <v>0</v>
          </cell>
        </row>
        <row r="3586">
          <cell r="E3586" t="str">
            <v>24</v>
          </cell>
          <cell r="J3586">
            <v>0</v>
          </cell>
          <cell r="K3586">
            <v>0</v>
          </cell>
          <cell r="AL3586">
            <v>0</v>
          </cell>
        </row>
        <row r="3587">
          <cell r="E3587" t="str">
            <v>24</v>
          </cell>
          <cell r="J3587">
            <v>0</v>
          </cell>
          <cell r="K3587">
            <v>0</v>
          </cell>
          <cell r="AL3587">
            <v>0</v>
          </cell>
        </row>
        <row r="3588">
          <cell r="E3588" t="str">
            <v>24</v>
          </cell>
          <cell r="J3588">
            <v>0</v>
          </cell>
          <cell r="K3588">
            <v>0</v>
          </cell>
          <cell r="AL3588">
            <v>0</v>
          </cell>
        </row>
        <row r="3589">
          <cell r="E3589" t="str">
            <v>24</v>
          </cell>
          <cell r="J3589">
            <v>0</v>
          </cell>
          <cell r="K3589">
            <v>0</v>
          </cell>
          <cell r="AL3589">
            <v>0</v>
          </cell>
        </row>
        <row r="3590">
          <cell r="E3590" t="str">
            <v>24</v>
          </cell>
          <cell r="J3590">
            <v>0</v>
          </cell>
          <cell r="K3590">
            <v>0</v>
          </cell>
          <cell r="AL3590">
            <v>0</v>
          </cell>
        </row>
        <row r="3591">
          <cell r="E3591" t="str">
            <v>24</v>
          </cell>
          <cell r="J3591">
            <v>0</v>
          </cell>
          <cell r="K3591">
            <v>0</v>
          </cell>
          <cell r="AL3591">
            <v>0</v>
          </cell>
        </row>
        <row r="3592">
          <cell r="E3592" t="str">
            <v>24</v>
          </cell>
          <cell r="J3592">
            <v>0</v>
          </cell>
          <cell r="K3592">
            <v>0</v>
          </cell>
          <cell r="AL3592">
            <v>0</v>
          </cell>
        </row>
        <row r="3593">
          <cell r="E3593" t="str">
            <v>24</v>
          </cell>
          <cell r="J3593">
            <v>0</v>
          </cell>
          <cell r="K3593">
            <v>0</v>
          </cell>
          <cell r="AL3593">
            <v>0</v>
          </cell>
        </row>
        <row r="3594">
          <cell r="E3594" t="str">
            <v>24</v>
          </cell>
          <cell r="J3594">
            <v>0</v>
          </cell>
          <cell r="K3594">
            <v>0</v>
          </cell>
          <cell r="AL3594">
            <v>0</v>
          </cell>
        </row>
        <row r="3595">
          <cell r="E3595" t="str">
            <v>24</v>
          </cell>
          <cell r="J3595">
            <v>0</v>
          </cell>
          <cell r="K3595">
            <v>0</v>
          </cell>
          <cell r="AL3595">
            <v>0</v>
          </cell>
        </row>
        <row r="3596">
          <cell r="E3596" t="str">
            <v>24</v>
          </cell>
          <cell r="J3596">
            <v>0</v>
          </cell>
          <cell r="K3596">
            <v>0</v>
          </cell>
          <cell r="AL3596">
            <v>0</v>
          </cell>
        </row>
        <row r="3597">
          <cell r="E3597" t="str">
            <v>24</v>
          </cell>
          <cell r="J3597">
            <v>0</v>
          </cell>
          <cell r="K3597">
            <v>0</v>
          </cell>
          <cell r="AL3597">
            <v>0</v>
          </cell>
        </row>
        <row r="3598">
          <cell r="E3598" t="str">
            <v>24</v>
          </cell>
          <cell r="J3598">
            <v>0</v>
          </cell>
          <cell r="K3598">
            <v>0</v>
          </cell>
          <cell r="AL3598">
            <v>0</v>
          </cell>
        </row>
        <row r="3599">
          <cell r="E3599" t="str">
            <v>24</v>
          </cell>
          <cell r="J3599">
            <v>0</v>
          </cell>
          <cell r="K3599">
            <v>0</v>
          </cell>
          <cell r="AL3599">
            <v>0</v>
          </cell>
        </row>
        <row r="3600">
          <cell r="E3600" t="str">
            <v>24</v>
          </cell>
          <cell r="J3600">
            <v>0</v>
          </cell>
          <cell r="K3600">
            <v>0</v>
          </cell>
          <cell r="AL3600">
            <v>0</v>
          </cell>
        </row>
        <row r="3601">
          <cell r="E3601" t="str">
            <v>24</v>
          </cell>
          <cell r="J3601">
            <v>0</v>
          </cell>
          <cell r="K3601">
            <v>0</v>
          </cell>
          <cell r="AL3601">
            <v>0</v>
          </cell>
        </row>
        <row r="3602">
          <cell r="E3602" t="str">
            <v>24</v>
          </cell>
          <cell r="J3602">
            <v>0</v>
          </cell>
          <cell r="K3602">
            <v>0</v>
          </cell>
          <cell r="AL3602">
            <v>0</v>
          </cell>
        </row>
        <row r="3603">
          <cell r="E3603" t="str">
            <v>24</v>
          </cell>
          <cell r="J3603">
            <v>0</v>
          </cell>
          <cell r="K3603">
            <v>0</v>
          </cell>
          <cell r="AL3603">
            <v>0</v>
          </cell>
        </row>
        <row r="3604">
          <cell r="E3604" t="str">
            <v>24</v>
          </cell>
          <cell r="J3604">
            <v>0</v>
          </cell>
          <cell r="K3604">
            <v>0</v>
          </cell>
          <cell r="AL3604">
            <v>0</v>
          </cell>
        </row>
        <row r="3605">
          <cell r="E3605" t="str">
            <v>24</v>
          </cell>
          <cell r="J3605">
            <v>0</v>
          </cell>
          <cell r="K3605">
            <v>0</v>
          </cell>
          <cell r="AL3605">
            <v>0</v>
          </cell>
        </row>
        <row r="3606">
          <cell r="E3606" t="str">
            <v>24</v>
          </cell>
          <cell r="J3606">
            <v>0</v>
          </cell>
          <cell r="K3606">
            <v>0</v>
          </cell>
          <cell r="AL3606">
            <v>0</v>
          </cell>
        </row>
        <row r="3607">
          <cell r="E3607" t="str">
            <v>38</v>
          </cell>
          <cell r="J3607">
            <v>0</v>
          </cell>
          <cell r="K3607">
            <v>0</v>
          </cell>
          <cell r="AL3607">
            <v>0</v>
          </cell>
        </row>
        <row r="3608">
          <cell r="E3608" t="str">
            <v>38</v>
          </cell>
          <cell r="J3608">
            <v>0</v>
          </cell>
          <cell r="K3608">
            <v>0</v>
          </cell>
          <cell r="AL3608">
            <v>0</v>
          </cell>
        </row>
        <row r="3609">
          <cell r="E3609" t="str">
            <v>38</v>
          </cell>
          <cell r="J3609">
            <v>0</v>
          </cell>
          <cell r="K3609">
            <v>0</v>
          </cell>
          <cell r="AL3609">
            <v>0</v>
          </cell>
        </row>
        <row r="3610">
          <cell r="E3610" t="str">
            <v>38</v>
          </cell>
          <cell r="J3610">
            <v>0</v>
          </cell>
          <cell r="K3610">
            <v>0</v>
          </cell>
          <cell r="AL3610">
            <v>0</v>
          </cell>
        </row>
        <row r="3611">
          <cell r="E3611" t="str">
            <v>38</v>
          </cell>
          <cell r="J3611">
            <v>0</v>
          </cell>
          <cell r="K3611">
            <v>0</v>
          </cell>
          <cell r="AL3611">
            <v>0</v>
          </cell>
        </row>
        <row r="3612">
          <cell r="E3612" t="str">
            <v>38</v>
          </cell>
          <cell r="J3612">
            <v>0</v>
          </cell>
          <cell r="K3612">
            <v>0</v>
          </cell>
          <cell r="AL3612">
            <v>0</v>
          </cell>
        </row>
        <row r="3613">
          <cell r="E3613" t="str">
            <v>38</v>
          </cell>
          <cell r="J3613">
            <v>0</v>
          </cell>
          <cell r="K3613">
            <v>0</v>
          </cell>
          <cell r="AL3613">
            <v>0</v>
          </cell>
        </row>
        <row r="3614">
          <cell r="E3614" t="str">
            <v>38</v>
          </cell>
          <cell r="J3614">
            <v>0</v>
          </cell>
          <cell r="K3614">
            <v>0</v>
          </cell>
          <cell r="AL3614">
            <v>0</v>
          </cell>
        </row>
        <row r="3615">
          <cell r="E3615" t="str">
            <v>38</v>
          </cell>
          <cell r="J3615">
            <v>0</v>
          </cell>
          <cell r="K3615">
            <v>0</v>
          </cell>
          <cell r="AL3615">
            <v>0</v>
          </cell>
        </row>
        <row r="3616">
          <cell r="E3616" t="str">
            <v>38</v>
          </cell>
          <cell r="J3616">
            <v>0</v>
          </cell>
          <cell r="K3616">
            <v>0</v>
          </cell>
          <cell r="AL3616">
            <v>0</v>
          </cell>
        </row>
        <row r="3617">
          <cell r="E3617" t="str">
            <v>38</v>
          </cell>
          <cell r="J3617">
            <v>0</v>
          </cell>
          <cell r="K3617">
            <v>0</v>
          </cell>
          <cell r="AL3617">
            <v>0</v>
          </cell>
        </row>
        <row r="3618">
          <cell r="E3618" t="str">
            <v>38</v>
          </cell>
          <cell r="J3618">
            <v>0</v>
          </cell>
          <cell r="K3618">
            <v>0</v>
          </cell>
          <cell r="AL3618">
            <v>0</v>
          </cell>
        </row>
        <row r="3619">
          <cell r="E3619" t="str">
            <v>38</v>
          </cell>
          <cell r="J3619">
            <v>0</v>
          </cell>
          <cell r="K3619">
            <v>0</v>
          </cell>
          <cell r="AL3619">
            <v>0</v>
          </cell>
        </row>
        <row r="3620">
          <cell r="E3620" t="str">
            <v>38</v>
          </cell>
          <cell r="J3620">
            <v>0</v>
          </cell>
          <cell r="K3620">
            <v>0</v>
          </cell>
          <cell r="AL3620">
            <v>0</v>
          </cell>
        </row>
        <row r="3621">
          <cell r="E3621" t="str">
            <v>38</v>
          </cell>
          <cell r="J3621">
            <v>0</v>
          </cell>
          <cell r="K3621">
            <v>0</v>
          </cell>
          <cell r="AL3621">
            <v>0</v>
          </cell>
        </row>
        <row r="3622">
          <cell r="E3622" t="str">
            <v>38</v>
          </cell>
          <cell r="J3622">
            <v>0</v>
          </cell>
          <cell r="K3622">
            <v>0</v>
          </cell>
          <cell r="AL3622">
            <v>0</v>
          </cell>
        </row>
        <row r="3623">
          <cell r="E3623" t="str">
            <v>38</v>
          </cell>
          <cell r="J3623">
            <v>0</v>
          </cell>
          <cell r="K3623">
            <v>0</v>
          </cell>
          <cell r="AL3623">
            <v>0</v>
          </cell>
        </row>
        <row r="3624">
          <cell r="E3624" t="str">
            <v>38</v>
          </cell>
          <cell r="J3624">
            <v>0</v>
          </cell>
          <cell r="K3624">
            <v>0</v>
          </cell>
          <cell r="AL3624">
            <v>0</v>
          </cell>
        </row>
        <row r="3625">
          <cell r="E3625" t="str">
            <v>38</v>
          </cell>
          <cell r="J3625">
            <v>0</v>
          </cell>
          <cell r="K3625">
            <v>0</v>
          </cell>
          <cell r="AL3625">
            <v>0</v>
          </cell>
        </row>
        <row r="3626">
          <cell r="E3626" t="str">
            <v>38</v>
          </cell>
          <cell r="J3626">
            <v>0</v>
          </cell>
          <cell r="K3626">
            <v>0</v>
          </cell>
          <cell r="AL3626">
            <v>0</v>
          </cell>
        </row>
        <row r="3627">
          <cell r="E3627" t="str">
            <v>38</v>
          </cell>
          <cell r="J3627">
            <v>0</v>
          </cell>
          <cell r="K3627">
            <v>0</v>
          </cell>
          <cell r="AL3627">
            <v>0</v>
          </cell>
        </row>
        <row r="3628">
          <cell r="E3628" t="str">
            <v>38</v>
          </cell>
          <cell r="J3628">
            <v>0</v>
          </cell>
          <cell r="K3628">
            <v>0</v>
          </cell>
          <cell r="AL3628">
            <v>0</v>
          </cell>
        </row>
        <row r="3629">
          <cell r="E3629" t="str">
            <v>38</v>
          </cell>
          <cell r="J3629">
            <v>0</v>
          </cell>
          <cell r="K3629">
            <v>0</v>
          </cell>
          <cell r="AL3629">
            <v>0</v>
          </cell>
        </row>
        <row r="3630">
          <cell r="E3630" t="str">
            <v>38</v>
          </cell>
          <cell r="J3630">
            <v>0</v>
          </cell>
          <cell r="K3630">
            <v>0</v>
          </cell>
          <cell r="AL3630">
            <v>0</v>
          </cell>
        </row>
        <row r="3631">
          <cell r="E3631" t="str">
            <v>38</v>
          </cell>
          <cell r="J3631">
            <v>0</v>
          </cell>
          <cell r="K3631">
            <v>0</v>
          </cell>
          <cell r="AL3631">
            <v>0</v>
          </cell>
        </row>
        <row r="3632">
          <cell r="E3632" t="str">
            <v>38</v>
          </cell>
          <cell r="J3632">
            <v>0</v>
          </cell>
          <cell r="K3632">
            <v>0</v>
          </cell>
          <cell r="AL3632">
            <v>0</v>
          </cell>
        </row>
        <row r="3633">
          <cell r="E3633" t="str">
            <v>38</v>
          </cell>
          <cell r="J3633">
            <v>0</v>
          </cell>
          <cell r="K3633">
            <v>0</v>
          </cell>
          <cell r="AL3633">
            <v>0</v>
          </cell>
        </row>
        <row r="3634">
          <cell r="E3634" t="str">
            <v>38</v>
          </cell>
          <cell r="J3634">
            <v>0</v>
          </cell>
          <cell r="K3634">
            <v>0</v>
          </cell>
          <cell r="AL3634">
            <v>0</v>
          </cell>
        </row>
        <row r="3635">
          <cell r="E3635" t="str">
            <v>38</v>
          </cell>
          <cell r="J3635">
            <v>0</v>
          </cell>
          <cell r="K3635">
            <v>0</v>
          </cell>
          <cell r="AL3635">
            <v>0</v>
          </cell>
        </row>
        <row r="3636">
          <cell r="E3636" t="str">
            <v>35</v>
          </cell>
          <cell r="J3636">
            <v>0</v>
          </cell>
          <cell r="K3636">
            <v>0</v>
          </cell>
          <cell r="AL3636">
            <v>0</v>
          </cell>
        </row>
        <row r="3637">
          <cell r="E3637" t="str">
            <v>35</v>
          </cell>
          <cell r="J3637">
            <v>0</v>
          </cell>
          <cell r="K3637">
            <v>0</v>
          </cell>
          <cell r="AL3637">
            <v>0</v>
          </cell>
        </row>
        <row r="3638">
          <cell r="E3638" t="str">
            <v>35</v>
          </cell>
          <cell r="J3638">
            <v>0</v>
          </cell>
          <cell r="K3638">
            <v>0</v>
          </cell>
          <cell r="AL3638">
            <v>0</v>
          </cell>
        </row>
        <row r="3639">
          <cell r="E3639" t="str">
            <v>35</v>
          </cell>
          <cell r="J3639">
            <v>0</v>
          </cell>
          <cell r="K3639">
            <v>0</v>
          </cell>
          <cell r="AL3639">
            <v>0</v>
          </cell>
        </row>
        <row r="3640">
          <cell r="E3640" t="str">
            <v>35</v>
          </cell>
          <cell r="J3640">
            <v>0</v>
          </cell>
          <cell r="K3640">
            <v>0</v>
          </cell>
          <cell r="AL3640">
            <v>0</v>
          </cell>
        </row>
        <row r="3641">
          <cell r="E3641" t="str">
            <v>35</v>
          </cell>
          <cell r="J3641">
            <v>0</v>
          </cell>
          <cell r="K3641">
            <v>0</v>
          </cell>
          <cell r="AL3641">
            <v>0</v>
          </cell>
        </row>
        <row r="3642">
          <cell r="E3642" t="str">
            <v>35</v>
          </cell>
          <cell r="J3642">
            <v>0</v>
          </cell>
          <cell r="K3642">
            <v>0</v>
          </cell>
          <cell r="AL3642">
            <v>0</v>
          </cell>
        </row>
        <row r="3643">
          <cell r="E3643" t="str">
            <v>35</v>
          </cell>
          <cell r="J3643">
            <v>0</v>
          </cell>
          <cell r="K3643">
            <v>0</v>
          </cell>
          <cell r="AL3643">
            <v>0</v>
          </cell>
        </row>
        <row r="3644">
          <cell r="E3644" t="str">
            <v>35</v>
          </cell>
          <cell r="J3644">
            <v>0</v>
          </cell>
          <cell r="K3644">
            <v>0</v>
          </cell>
          <cell r="AL3644">
            <v>0</v>
          </cell>
        </row>
        <row r="3645">
          <cell r="E3645" t="str">
            <v>35</v>
          </cell>
          <cell r="J3645">
            <v>0</v>
          </cell>
          <cell r="K3645">
            <v>0</v>
          </cell>
          <cell r="AL3645">
            <v>0</v>
          </cell>
        </row>
        <row r="3646">
          <cell r="E3646" t="str">
            <v>35</v>
          </cell>
          <cell r="J3646">
            <v>0</v>
          </cell>
          <cell r="K3646">
            <v>0</v>
          </cell>
          <cell r="AL3646">
            <v>0</v>
          </cell>
        </row>
        <row r="3647">
          <cell r="E3647" t="str">
            <v>35</v>
          </cell>
          <cell r="J3647">
            <v>0</v>
          </cell>
          <cell r="K3647">
            <v>0</v>
          </cell>
          <cell r="AL3647">
            <v>0</v>
          </cell>
        </row>
        <row r="3648">
          <cell r="E3648" t="str">
            <v>35</v>
          </cell>
          <cell r="J3648">
            <v>0</v>
          </cell>
          <cell r="K3648">
            <v>0</v>
          </cell>
          <cell r="AL3648">
            <v>0</v>
          </cell>
        </row>
        <row r="3649">
          <cell r="E3649" t="str">
            <v>35</v>
          </cell>
          <cell r="J3649">
            <v>0</v>
          </cell>
          <cell r="K3649">
            <v>0</v>
          </cell>
          <cell r="AL3649">
            <v>0</v>
          </cell>
        </row>
        <row r="3650">
          <cell r="E3650" t="str">
            <v>47</v>
          </cell>
          <cell r="J3650">
            <v>0</v>
          </cell>
          <cell r="K3650">
            <v>0</v>
          </cell>
          <cell r="AL3650">
            <v>0</v>
          </cell>
        </row>
        <row r="3651">
          <cell r="E3651" t="str">
            <v>46</v>
          </cell>
          <cell r="J3651">
            <v>0</v>
          </cell>
          <cell r="K3651">
            <v>0</v>
          </cell>
          <cell r="AL3651">
            <v>0</v>
          </cell>
        </row>
        <row r="3652">
          <cell r="E3652" t="str">
            <v>47</v>
          </cell>
          <cell r="J3652">
            <v>0</v>
          </cell>
          <cell r="K3652">
            <v>0</v>
          </cell>
          <cell r="AL3652">
            <v>0</v>
          </cell>
        </row>
        <row r="3653">
          <cell r="E3653" t="str">
            <v>47</v>
          </cell>
          <cell r="J3653">
            <v>0</v>
          </cell>
          <cell r="K3653">
            <v>0</v>
          </cell>
          <cell r="AL3653">
            <v>0</v>
          </cell>
        </row>
        <row r="3654">
          <cell r="E3654" t="str">
            <v>48</v>
          </cell>
          <cell r="J3654">
            <v>0</v>
          </cell>
          <cell r="K3654">
            <v>0</v>
          </cell>
          <cell r="AL3654">
            <v>0</v>
          </cell>
        </row>
        <row r="3655">
          <cell r="E3655" t="str">
            <v>47</v>
          </cell>
          <cell r="J3655">
            <v>0</v>
          </cell>
          <cell r="K3655">
            <v>0</v>
          </cell>
          <cell r="AL3655">
            <v>0</v>
          </cell>
        </row>
        <row r="3656">
          <cell r="E3656" t="str">
            <v>47</v>
          </cell>
          <cell r="J3656">
            <v>0</v>
          </cell>
          <cell r="K3656">
            <v>0</v>
          </cell>
          <cell r="AL3656">
            <v>0</v>
          </cell>
        </row>
        <row r="3657">
          <cell r="E3657" t="str">
            <v>47</v>
          </cell>
          <cell r="J3657">
            <v>0</v>
          </cell>
          <cell r="K3657">
            <v>0</v>
          </cell>
          <cell r="AL3657">
            <v>0</v>
          </cell>
        </row>
        <row r="3658">
          <cell r="E3658" t="str">
            <v>47</v>
          </cell>
          <cell r="J3658">
            <v>0</v>
          </cell>
          <cell r="K3658">
            <v>0</v>
          </cell>
          <cell r="AL3658">
            <v>0</v>
          </cell>
        </row>
        <row r="3659">
          <cell r="E3659" t="str">
            <v>47</v>
          </cell>
          <cell r="J3659">
            <v>0</v>
          </cell>
          <cell r="K3659">
            <v>0</v>
          </cell>
          <cell r="AL3659">
            <v>0</v>
          </cell>
        </row>
        <row r="3660">
          <cell r="E3660" t="str">
            <v>38</v>
          </cell>
          <cell r="J3660">
            <v>0</v>
          </cell>
          <cell r="K3660">
            <v>0</v>
          </cell>
          <cell r="AL3660">
            <v>0</v>
          </cell>
        </row>
        <row r="3661">
          <cell r="E3661" t="str">
            <v>38</v>
          </cell>
          <cell r="J3661">
            <v>0</v>
          </cell>
          <cell r="K3661">
            <v>0</v>
          </cell>
          <cell r="AL3661">
            <v>0</v>
          </cell>
        </row>
        <row r="3662">
          <cell r="E3662" t="str">
            <v>50</v>
          </cell>
          <cell r="J3662">
            <v>0</v>
          </cell>
          <cell r="K3662">
            <v>0</v>
          </cell>
          <cell r="AL3662">
            <v>0</v>
          </cell>
        </row>
        <row r="3663">
          <cell r="E3663" t="str">
            <v>45</v>
          </cell>
          <cell r="J3663">
            <v>0</v>
          </cell>
          <cell r="K3663">
            <v>0</v>
          </cell>
          <cell r="AL3663">
            <v>0</v>
          </cell>
        </row>
        <row r="3664">
          <cell r="E3664" t="str">
            <v>45</v>
          </cell>
          <cell r="J3664">
            <v>0</v>
          </cell>
          <cell r="K3664">
            <v>0</v>
          </cell>
          <cell r="AL3664">
            <v>0</v>
          </cell>
        </row>
        <row r="3665">
          <cell r="E3665" t="str">
            <v>45</v>
          </cell>
          <cell r="J3665">
            <v>0</v>
          </cell>
          <cell r="K3665">
            <v>0</v>
          </cell>
          <cell r="AL3665">
            <v>0</v>
          </cell>
        </row>
        <row r="3666">
          <cell r="E3666" t="str">
            <v>45</v>
          </cell>
          <cell r="J3666">
            <v>0</v>
          </cell>
          <cell r="K3666">
            <v>0</v>
          </cell>
          <cell r="AL3666">
            <v>0</v>
          </cell>
        </row>
        <row r="3667">
          <cell r="E3667" t="str">
            <v>45</v>
          </cell>
          <cell r="J3667">
            <v>0</v>
          </cell>
          <cell r="K3667">
            <v>0</v>
          </cell>
          <cell r="AL3667">
            <v>0</v>
          </cell>
        </row>
        <row r="3668">
          <cell r="E3668" t="str">
            <v>45</v>
          </cell>
          <cell r="J3668">
            <v>0</v>
          </cell>
          <cell r="K3668">
            <v>0</v>
          </cell>
          <cell r="AL3668">
            <v>0</v>
          </cell>
        </row>
        <row r="3669">
          <cell r="E3669" t="str">
            <v>45</v>
          </cell>
          <cell r="J3669">
            <v>0</v>
          </cell>
          <cell r="K3669">
            <v>0</v>
          </cell>
          <cell r="AL3669">
            <v>0</v>
          </cell>
        </row>
        <row r="3670">
          <cell r="E3670" t="str">
            <v>45</v>
          </cell>
          <cell r="J3670">
            <v>0</v>
          </cell>
          <cell r="K3670">
            <v>0</v>
          </cell>
          <cell r="AL3670">
            <v>0</v>
          </cell>
        </row>
        <row r="3671">
          <cell r="E3671" t="str">
            <v>45</v>
          </cell>
          <cell r="J3671">
            <v>0</v>
          </cell>
          <cell r="K3671">
            <v>0</v>
          </cell>
          <cell r="AL3671">
            <v>0</v>
          </cell>
        </row>
        <row r="3672">
          <cell r="E3672" t="str">
            <v>45</v>
          </cell>
          <cell r="J3672">
            <v>0</v>
          </cell>
          <cell r="K3672">
            <v>0</v>
          </cell>
          <cell r="AL3672">
            <v>0</v>
          </cell>
        </row>
        <row r="3673">
          <cell r="E3673" t="str">
            <v>45</v>
          </cell>
          <cell r="J3673">
            <v>0</v>
          </cell>
          <cell r="K3673">
            <v>0</v>
          </cell>
          <cell r="AL3673">
            <v>0</v>
          </cell>
        </row>
        <row r="3674">
          <cell r="E3674" t="str">
            <v>45</v>
          </cell>
          <cell r="J3674">
            <v>0</v>
          </cell>
          <cell r="K3674">
            <v>0</v>
          </cell>
          <cell r="AL3674">
            <v>0</v>
          </cell>
        </row>
        <row r="3675">
          <cell r="E3675" t="str">
            <v>45</v>
          </cell>
          <cell r="J3675">
            <v>0</v>
          </cell>
          <cell r="K3675">
            <v>0</v>
          </cell>
          <cell r="AL3675">
            <v>0</v>
          </cell>
        </row>
        <row r="3676">
          <cell r="E3676" t="str">
            <v>45</v>
          </cell>
          <cell r="J3676">
            <v>0</v>
          </cell>
          <cell r="K3676">
            <v>0</v>
          </cell>
          <cell r="AL3676">
            <v>0</v>
          </cell>
        </row>
        <row r="3677">
          <cell r="E3677" t="str">
            <v>45</v>
          </cell>
          <cell r="J3677">
            <v>0</v>
          </cell>
          <cell r="K3677">
            <v>0</v>
          </cell>
          <cell r="AL3677">
            <v>0</v>
          </cell>
        </row>
        <row r="3678">
          <cell r="E3678" t="str">
            <v>51</v>
          </cell>
          <cell r="J3678">
            <v>0</v>
          </cell>
          <cell r="K3678">
            <v>0</v>
          </cell>
          <cell r="AL3678">
            <v>0</v>
          </cell>
        </row>
        <row r="3679">
          <cell r="E3679" t="str">
            <v>50</v>
          </cell>
          <cell r="J3679">
            <v>0</v>
          </cell>
          <cell r="K3679">
            <v>0</v>
          </cell>
          <cell r="AL3679">
            <v>0</v>
          </cell>
        </row>
        <row r="3680">
          <cell r="E3680" t="str">
            <v>50</v>
          </cell>
          <cell r="J3680">
            <v>0</v>
          </cell>
          <cell r="K3680">
            <v>0</v>
          </cell>
          <cell r="AL3680">
            <v>0</v>
          </cell>
        </row>
        <row r="3681">
          <cell r="E3681" t="str">
            <v>50</v>
          </cell>
          <cell r="J3681">
            <v>0</v>
          </cell>
          <cell r="K3681">
            <v>0</v>
          </cell>
          <cell r="AL3681">
            <v>0</v>
          </cell>
        </row>
        <row r="3682">
          <cell r="E3682" t="str">
            <v>50</v>
          </cell>
          <cell r="J3682">
            <v>0</v>
          </cell>
          <cell r="K3682">
            <v>0</v>
          </cell>
          <cell r="AL3682">
            <v>0</v>
          </cell>
        </row>
        <row r="3683">
          <cell r="E3683" t="str">
            <v>51</v>
          </cell>
          <cell r="J3683">
            <v>0</v>
          </cell>
          <cell r="K3683">
            <v>0</v>
          </cell>
          <cell r="AL3683">
            <v>0</v>
          </cell>
        </row>
        <row r="3684">
          <cell r="E3684" t="str">
            <v>50</v>
          </cell>
          <cell r="J3684">
            <v>0</v>
          </cell>
          <cell r="K3684">
            <v>0</v>
          </cell>
          <cell r="AL3684">
            <v>0</v>
          </cell>
        </row>
        <row r="3685">
          <cell r="E3685" t="str">
            <v>50</v>
          </cell>
          <cell r="J3685">
            <v>0</v>
          </cell>
          <cell r="K3685">
            <v>0</v>
          </cell>
          <cell r="AL3685">
            <v>0</v>
          </cell>
        </row>
        <row r="3686">
          <cell r="E3686" t="str">
            <v>50</v>
          </cell>
          <cell r="J3686">
            <v>0</v>
          </cell>
          <cell r="K3686">
            <v>0</v>
          </cell>
          <cell r="AL3686">
            <v>0</v>
          </cell>
        </row>
        <row r="3687">
          <cell r="E3687" t="str">
            <v>50</v>
          </cell>
          <cell r="J3687">
            <v>0</v>
          </cell>
          <cell r="K3687">
            <v>0</v>
          </cell>
          <cell r="AL3687">
            <v>0</v>
          </cell>
        </row>
        <row r="3688">
          <cell r="E3688" t="str">
            <v>50</v>
          </cell>
          <cell r="J3688">
            <v>0</v>
          </cell>
          <cell r="K3688">
            <v>0</v>
          </cell>
          <cell r="AL3688">
            <v>0</v>
          </cell>
        </row>
        <row r="3689">
          <cell r="E3689" t="str">
            <v>50</v>
          </cell>
          <cell r="J3689">
            <v>0</v>
          </cell>
          <cell r="K3689">
            <v>0</v>
          </cell>
          <cell r="AL3689">
            <v>0</v>
          </cell>
        </row>
        <row r="3690">
          <cell r="E3690" t="str">
            <v>50</v>
          </cell>
          <cell r="J3690">
            <v>0</v>
          </cell>
          <cell r="K3690">
            <v>0</v>
          </cell>
          <cell r="AL3690">
            <v>0</v>
          </cell>
        </row>
        <row r="3691">
          <cell r="E3691" t="str">
            <v>50</v>
          </cell>
          <cell r="J3691">
            <v>0</v>
          </cell>
          <cell r="K3691">
            <v>0</v>
          </cell>
          <cell r="AL3691">
            <v>0</v>
          </cell>
        </row>
        <row r="3692">
          <cell r="E3692" t="str">
            <v>50</v>
          </cell>
          <cell r="J3692">
            <v>0</v>
          </cell>
          <cell r="K3692">
            <v>0</v>
          </cell>
          <cell r="AL3692">
            <v>0</v>
          </cell>
        </row>
        <row r="3693">
          <cell r="E3693" t="str">
            <v>50</v>
          </cell>
          <cell r="J3693">
            <v>0</v>
          </cell>
          <cell r="K3693">
            <v>0</v>
          </cell>
          <cell r="AL3693">
            <v>0</v>
          </cell>
        </row>
        <row r="3694">
          <cell r="E3694" t="str">
            <v>50</v>
          </cell>
          <cell r="J3694">
            <v>0</v>
          </cell>
          <cell r="K3694">
            <v>0</v>
          </cell>
          <cell r="AL3694">
            <v>0</v>
          </cell>
        </row>
        <row r="3695">
          <cell r="E3695" t="str">
            <v>11</v>
          </cell>
          <cell r="J3695">
            <v>0</v>
          </cell>
          <cell r="K3695">
            <v>0</v>
          </cell>
          <cell r="AL3695">
            <v>0</v>
          </cell>
        </row>
        <row r="3696">
          <cell r="E3696" t="str">
            <v>24</v>
          </cell>
          <cell r="J3696">
            <v>0</v>
          </cell>
          <cell r="K3696">
            <v>0</v>
          </cell>
          <cell r="AL3696">
            <v>0</v>
          </cell>
        </row>
        <row r="3697">
          <cell r="E3697" t="str">
            <v>38</v>
          </cell>
          <cell r="J3697">
            <v>0</v>
          </cell>
          <cell r="K3697">
            <v>0</v>
          </cell>
          <cell r="AL3697">
            <v>0</v>
          </cell>
        </row>
        <row r="3698">
          <cell r="E3698" t="str">
            <v>38</v>
          </cell>
          <cell r="J3698">
            <v>0</v>
          </cell>
          <cell r="K3698">
            <v>0</v>
          </cell>
          <cell r="AL3698">
            <v>0</v>
          </cell>
        </row>
        <row r="3699">
          <cell r="E3699" t="str">
            <v>50</v>
          </cell>
          <cell r="J3699">
            <v>0</v>
          </cell>
          <cell r="K3699">
            <v>0</v>
          </cell>
          <cell r="AL3699">
            <v>0</v>
          </cell>
        </row>
        <row r="3700">
          <cell r="E3700" t="str">
            <v>45</v>
          </cell>
          <cell r="J3700">
            <v>0</v>
          </cell>
          <cell r="K3700">
            <v>0</v>
          </cell>
          <cell r="AL3700">
            <v>0</v>
          </cell>
        </row>
        <row r="3701">
          <cell r="E3701" t="str">
            <v>38</v>
          </cell>
          <cell r="J3701">
            <v>0</v>
          </cell>
          <cell r="K3701">
            <v>0</v>
          </cell>
          <cell r="AL3701">
            <v>0</v>
          </cell>
        </row>
        <row r="3702">
          <cell r="E3702" t="str">
            <v>36</v>
          </cell>
          <cell r="J3702">
            <v>0</v>
          </cell>
          <cell r="K3702">
            <v>0</v>
          </cell>
          <cell r="AL3702">
            <v>0</v>
          </cell>
        </row>
        <row r="3705">
          <cell r="E3705" t="str">
            <v>24</v>
          </cell>
          <cell r="J3705">
            <v>0</v>
          </cell>
          <cell r="K3705">
            <v>0</v>
          </cell>
          <cell r="AL3705">
            <v>0</v>
          </cell>
        </row>
        <row r="3706">
          <cell r="E3706" t="str">
            <v>13</v>
          </cell>
          <cell r="J3706">
            <v>0</v>
          </cell>
          <cell r="K3706">
            <v>0</v>
          </cell>
          <cell r="AL3706">
            <v>0</v>
          </cell>
          <cell r="BJ3706" t="str">
            <v>CCO</v>
          </cell>
        </row>
        <row r="3707">
          <cell r="E3707" t="str">
            <v>13</v>
          </cell>
          <cell r="J3707">
            <v>0</v>
          </cell>
          <cell r="K3707">
            <v>0</v>
          </cell>
          <cell r="AL3707">
            <v>0</v>
          </cell>
          <cell r="BJ3707" t="str">
            <v>CCO</v>
          </cell>
        </row>
        <row r="3708">
          <cell r="E3708" t="str">
            <v>13</v>
          </cell>
          <cell r="J3708">
            <v>0</v>
          </cell>
          <cell r="K3708">
            <v>0</v>
          </cell>
          <cell r="AL3708">
            <v>0</v>
          </cell>
          <cell r="BJ3708" t="str">
            <v>CCO</v>
          </cell>
        </row>
        <row r="3709">
          <cell r="E3709" t="str">
            <v>47</v>
          </cell>
          <cell r="J3709">
            <v>0</v>
          </cell>
          <cell r="K3709">
            <v>0</v>
          </cell>
          <cell r="AL3709">
            <v>0</v>
          </cell>
          <cell r="BJ3709" t="str">
            <v>CCO</v>
          </cell>
        </row>
        <row r="3710">
          <cell r="E3710" t="str">
            <v>10</v>
          </cell>
          <cell r="J3710">
            <v>0</v>
          </cell>
          <cell r="K3710">
            <v>0</v>
          </cell>
          <cell r="AL3710">
            <v>0</v>
          </cell>
        </row>
        <row r="3711">
          <cell r="E3711" t="str">
            <v>46</v>
          </cell>
          <cell r="J3711">
            <v>0</v>
          </cell>
          <cell r="K3711">
            <v>0</v>
          </cell>
          <cell r="AL3711">
            <v>0</v>
          </cell>
        </row>
        <row r="3712">
          <cell r="E3712" t="str">
            <v>38</v>
          </cell>
          <cell r="J3712">
            <v>0</v>
          </cell>
          <cell r="K3712">
            <v>0</v>
          </cell>
          <cell r="AL3712">
            <v>0</v>
          </cell>
        </row>
        <row r="3713">
          <cell r="E3713" t="str">
            <v>45</v>
          </cell>
          <cell r="J3713">
            <v>0</v>
          </cell>
          <cell r="K3713">
            <v>0</v>
          </cell>
          <cell r="AL3713">
            <v>0</v>
          </cell>
        </row>
        <row r="3714">
          <cell r="E3714" t="str">
            <v>38</v>
          </cell>
          <cell r="J3714">
            <v>0</v>
          </cell>
          <cell r="K3714">
            <v>0</v>
          </cell>
          <cell r="AL3714">
            <v>0</v>
          </cell>
        </row>
        <row r="3715">
          <cell r="E3715" t="str">
            <v>45</v>
          </cell>
          <cell r="J3715">
            <v>0</v>
          </cell>
          <cell r="K3715">
            <v>0</v>
          </cell>
          <cell r="AL3715">
            <v>0</v>
          </cell>
        </row>
        <row r="3716">
          <cell r="E3716" t="str">
            <v>45</v>
          </cell>
          <cell r="J3716">
            <v>0</v>
          </cell>
          <cell r="K3716">
            <v>0</v>
          </cell>
          <cell r="AL3716">
            <v>0</v>
          </cell>
        </row>
        <row r="3717">
          <cell r="E3717" t="str">
            <v>38</v>
          </cell>
          <cell r="J3717">
            <v>0</v>
          </cell>
          <cell r="K3717">
            <v>0</v>
          </cell>
          <cell r="AL3717">
            <v>0</v>
          </cell>
        </row>
        <row r="3718">
          <cell r="E3718" t="str">
            <v>45</v>
          </cell>
          <cell r="J3718">
            <v>0</v>
          </cell>
          <cell r="K3718">
            <v>0</v>
          </cell>
          <cell r="AL371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ransactions"/>
      <sheetName val="Date_Lup"/>
      <sheetName val="Ledger Transaction Details"/>
      <sheetName val="Lookup"/>
      <sheetName val="BOT BWP"/>
      <sheetName val="BOT USD"/>
      <sheetName val="TUL BWP"/>
      <sheetName val="TUL USD"/>
      <sheetName val="BUB BWP"/>
      <sheetName val="BUB USD"/>
      <sheetName val="CC0 BWP"/>
      <sheetName val="CC0 USD"/>
      <sheetName val="BOT CONSOL BWP ADJ"/>
      <sheetName val="BOT CONSOL BWP"/>
      <sheetName val="BOT CONSOL USD ADJ"/>
      <sheetName val="BOT CONSOL USD"/>
      <sheetName val="KEN KSH"/>
      <sheetName val="KEN USD"/>
      <sheetName val="MAL MKW"/>
      <sheetName val="MAL USD"/>
      <sheetName val="SPA EUR"/>
      <sheetName val="SPA USD"/>
      <sheetName val="ZIM USD"/>
      <sheetName val="MAU USD"/>
      <sheetName val="ATA BWP"/>
      <sheetName val="ATA USD"/>
      <sheetName val="INV EUR"/>
      <sheetName val="INV USD"/>
      <sheetName val="AFR CONSOL USD ADJ"/>
      <sheetName val="AFRICA CONSOL USD"/>
      <sheetName val="RSA ZAR"/>
      <sheetName val="RSA USD"/>
      <sheetName val="VSS ZAR"/>
      <sheetName val="VSS USD"/>
      <sheetName val="Getsure SA ZAR"/>
      <sheetName val="Getsure USD"/>
      <sheetName val="SA CONSOL ZAR ADJ"/>
      <sheetName val="SA CONSOL ZAR"/>
      <sheetName val="SA CONSOL USD"/>
      <sheetName val="GB COMPANY USD"/>
      <sheetName val="Account line up"/>
      <sheetName val="Summary"/>
      <sheetName val="Additional infor"/>
      <sheetName val="Che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K1" t="str">
            <v>Jul 13</v>
          </cell>
          <cell r="L1" t="str">
            <v>Jul 13</v>
          </cell>
          <cell r="N1" t="str">
            <v>Aug 13</v>
          </cell>
          <cell r="O1" t="str">
            <v>Aug 13</v>
          </cell>
          <cell r="Q1" t="str">
            <v>Sep 13</v>
          </cell>
          <cell r="R1" t="str">
            <v>Sep 13</v>
          </cell>
          <cell r="T1" t="str">
            <v>Oct 13</v>
          </cell>
          <cell r="U1" t="str">
            <v>Oct 13</v>
          </cell>
          <cell r="W1" t="str">
            <v>Nov 13</v>
          </cell>
          <cell r="X1" t="str">
            <v>Nov 13</v>
          </cell>
          <cell r="Z1" t="str">
            <v>Dec 13</v>
          </cell>
          <cell r="AA1" t="str">
            <v>Dec 13</v>
          </cell>
          <cell r="AC1" t="str">
            <v>Jan 14</v>
          </cell>
          <cell r="AD1" t="str">
            <v>Jan 14</v>
          </cell>
          <cell r="AF1" t="str">
            <v>Feb 14</v>
          </cell>
          <cell r="AG1" t="str">
            <v>Feb 14</v>
          </cell>
          <cell r="AI1" t="str">
            <v>Mar 14</v>
          </cell>
          <cell r="AJ1" t="str">
            <v>Mar 14</v>
          </cell>
          <cell r="AL1" t="str">
            <v>Apr 14</v>
          </cell>
          <cell r="AM1" t="str">
            <v>Apr 14</v>
          </cell>
          <cell r="AO1" t="str">
            <v>May 14</v>
          </cell>
          <cell r="AP1" t="str">
            <v>May 14</v>
          </cell>
          <cell r="AR1" t="str">
            <v>Jun 14</v>
          </cell>
          <cell r="AS1" t="str">
            <v>Jun 14</v>
          </cell>
          <cell r="BF1" t="str">
            <v>MasterAcc</v>
          </cell>
          <cell r="BG1" t="str">
            <v>SubAcc</v>
          </cell>
          <cell r="BH1" t="str">
            <v>Company</v>
          </cell>
        </row>
        <row r="2">
          <cell r="K2" t="str">
            <v>Actual</v>
          </cell>
          <cell r="L2" t="str">
            <v>Budget</v>
          </cell>
          <cell r="N2" t="str">
            <v>Actual</v>
          </cell>
          <cell r="O2" t="str">
            <v>Budget</v>
          </cell>
          <cell r="Q2" t="str">
            <v>Actual</v>
          </cell>
          <cell r="R2" t="str">
            <v>Budget</v>
          </cell>
          <cell r="T2" t="str">
            <v>Actual</v>
          </cell>
          <cell r="U2" t="str">
            <v>Budget</v>
          </cell>
          <cell r="W2" t="str">
            <v>Actual</v>
          </cell>
          <cell r="X2" t="str">
            <v>Budget</v>
          </cell>
          <cell r="Z2" t="str">
            <v>Actual</v>
          </cell>
          <cell r="AA2" t="str">
            <v>Budget</v>
          </cell>
          <cell r="AC2" t="str">
            <v>Actual</v>
          </cell>
          <cell r="AD2" t="str">
            <v>Budget</v>
          </cell>
          <cell r="AF2" t="str">
            <v>Actual</v>
          </cell>
          <cell r="AG2" t="str">
            <v>Budget</v>
          </cell>
          <cell r="AI2" t="str">
            <v>Actual</v>
          </cell>
          <cell r="AJ2" t="str">
            <v>Budget</v>
          </cell>
          <cell r="AL2" t="str">
            <v>Actual</v>
          </cell>
          <cell r="AM2" t="str">
            <v>Budget</v>
          </cell>
          <cell r="AO2" t="str">
            <v>Actual</v>
          </cell>
          <cell r="AP2" t="str">
            <v>Budget</v>
          </cell>
          <cell r="AR2" t="str">
            <v>Actual</v>
          </cell>
          <cell r="AS2" t="str">
            <v>Budget</v>
          </cell>
        </row>
        <row r="3">
          <cell r="K3">
            <v>1</v>
          </cell>
          <cell r="L3">
            <v>1</v>
          </cell>
          <cell r="N3">
            <v>1</v>
          </cell>
          <cell r="O3">
            <v>1</v>
          </cell>
          <cell r="Q3">
            <v>1</v>
          </cell>
          <cell r="R3">
            <v>1</v>
          </cell>
          <cell r="T3">
            <v>1</v>
          </cell>
          <cell r="U3">
            <v>1</v>
          </cell>
          <cell r="W3">
            <v>1</v>
          </cell>
          <cell r="X3">
            <v>1</v>
          </cell>
          <cell r="Z3">
            <v>1</v>
          </cell>
          <cell r="AA3">
            <v>1</v>
          </cell>
          <cell r="AC3">
            <v>1</v>
          </cell>
          <cell r="AD3">
            <v>1</v>
          </cell>
          <cell r="AF3">
            <v>1</v>
          </cell>
          <cell r="AG3">
            <v>1</v>
          </cell>
          <cell r="AI3">
            <v>1</v>
          </cell>
          <cell r="AJ3">
            <v>1</v>
          </cell>
          <cell r="AL3">
            <v>1</v>
          </cell>
          <cell r="AM3">
            <v>1</v>
          </cell>
          <cell r="AO3">
            <v>1</v>
          </cell>
          <cell r="AP3">
            <v>1</v>
          </cell>
          <cell r="AR3">
            <v>1</v>
          </cell>
          <cell r="AS3">
            <v>1</v>
          </cell>
          <cell r="BF3">
            <v>1</v>
          </cell>
          <cell r="BG3">
            <v>1</v>
          </cell>
          <cell r="BH3">
            <v>1</v>
          </cell>
        </row>
        <row r="4">
          <cell r="K4">
            <v>25</v>
          </cell>
          <cell r="L4">
            <v>25</v>
          </cell>
          <cell r="N4">
            <v>26</v>
          </cell>
          <cell r="O4">
            <v>26</v>
          </cell>
          <cell r="Q4">
            <v>27</v>
          </cell>
          <cell r="R4">
            <v>27</v>
          </cell>
          <cell r="T4">
            <v>28</v>
          </cell>
          <cell r="U4">
            <v>28</v>
          </cell>
          <cell r="W4">
            <v>29</v>
          </cell>
          <cell r="X4">
            <v>29</v>
          </cell>
          <cell r="Z4">
            <v>30</v>
          </cell>
          <cell r="AA4">
            <v>30</v>
          </cell>
          <cell r="AC4">
            <v>31</v>
          </cell>
          <cell r="AD4">
            <v>31</v>
          </cell>
          <cell r="AF4">
            <v>32</v>
          </cell>
          <cell r="AG4">
            <v>32</v>
          </cell>
          <cell r="AI4">
            <v>33</v>
          </cell>
          <cell r="AJ4">
            <v>33</v>
          </cell>
          <cell r="AL4">
            <v>34</v>
          </cell>
          <cell r="AM4">
            <v>34</v>
          </cell>
          <cell r="AO4">
            <v>35</v>
          </cell>
          <cell r="AP4">
            <v>35</v>
          </cell>
          <cell r="AR4">
            <v>36</v>
          </cell>
          <cell r="AS4">
            <v>36</v>
          </cell>
        </row>
        <row r="5">
          <cell r="K5">
            <v>42</v>
          </cell>
          <cell r="L5">
            <v>107</v>
          </cell>
          <cell r="N5">
            <v>43</v>
          </cell>
          <cell r="O5">
            <v>108</v>
          </cell>
          <cell r="Q5">
            <v>44</v>
          </cell>
          <cell r="R5">
            <v>109</v>
          </cell>
          <cell r="T5">
            <v>45</v>
          </cell>
          <cell r="U5">
            <v>110</v>
          </cell>
          <cell r="W5">
            <v>46</v>
          </cell>
          <cell r="X5">
            <v>111</v>
          </cell>
          <cell r="Z5">
            <v>47</v>
          </cell>
          <cell r="AA5">
            <v>112</v>
          </cell>
          <cell r="AC5">
            <v>48</v>
          </cell>
          <cell r="AD5">
            <v>113</v>
          </cell>
          <cell r="AF5">
            <v>49</v>
          </cell>
          <cell r="AG5">
            <v>114</v>
          </cell>
          <cell r="AI5">
            <v>50</v>
          </cell>
          <cell r="AJ5">
            <v>115</v>
          </cell>
          <cell r="AL5">
            <v>51</v>
          </cell>
          <cell r="AM5">
            <v>116</v>
          </cell>
          <cell r="AO5">
            <v>52</v>
          </cell>
          <cell r="AP5">
            <v>117</v>
          </cell>
          <cell r="AR5">
            <v>53</v>
          </cell>
          <cell r="AS5">
            <v>118</v>
          </cell>
          <cell r="BF5">
            <v>155</v>
          </cell>
          <cell r="BG5">
            <v>157</v>
          </cell>
          <cell r="BH5">
            <v>159</v>
          </cell>
        </row>
        <row r="6">
          <cell r="K6">
            <v>0</v>
          </cell>
          <cell r="L6">
            <v>0</v>
          </cell>
          <cell r="N6">
            <v>0</v>
          </cell>
          <cell r="O6">
            <v>0</v>
          </cell>
          <cell r="Q6">
            <v>0</v>
          </cell>
          <cell r="R6">
            <v>0</v>
          </cell>
          <cell r="T6">
            <v>0</v>
          </cell>
          <cell r="U6">
            <v>0</v>
          </cell>
          <cell r="W6">
            <v>0</v>
          </cell>
          <cell r="X6">
            <v>0</v>
          </cell>
          <cell r="Z6">
            <v>0</v>
          </cell>
          <cell r="AA6">
            <v>0</v>
          </cell>
          <cell r="AC6">
            <v>0</v>
          </cell>
          <cell r="AD6">
            <v>0</v>
          </cell>
          <cell r="AF6">
            <v>0</v>
          </cell>
          <cell r="AG6">
            <v>0</v>
          </cell>
          <cell r="AI6">
            <v>0</v>
          </cell>
          <cell r="AJ6">
            <v>0</v>
          </cell>
          <cell r="AL6">
            <v>0</v>
          </cell>
          <cell r="AM6">
            <v>0</v>
          </cell>
          <cell r="AO6">
            <v>0</v>
          </cell>
          <cell r="AP6">
            <v>0</v>
          </cell>
          <cell r="AR6">
            <v>0</v>
          </cell>
          <cell r="AS6">
            <v>0</v>
          </cell>
          <cell r="BF6">
            <v>0</v>
          </cell>
          <cell r="BG6">
            <v>0</v>
          </cell>
          <cell r="BH6">
            <v>0</v>
          </cell>
        </row>
        <row r="7">
          <cell r="K7">
            <v>-17586122.355500009</v>
          </cell>
          <cell r="L7">
            <v>0</v>
          </cell>
          <cell r="N7">
            <v>-2310719.3900000192</v>
          </cell>
          <cell r="O7">
            <v>0</v>
          </cell>
          <cell r="Q7">
            <v>9659514.8999999836</v>
          </cell>
          <cell r="R7">
            <v>0</v>
          </cell>
          <cell r="T7">
            <v>-772828.90318299085</v>
          </cell>
          <cell r="U7">
            <v>0</v>
          </cell>
          <cell r="W7">
            <v>15058224.720000051</v>
          </cell>
          <cell r="X7">
            <v>0</v>
          </cell>
          <cell r="Z7">
            <v>10996946.579999991</v>
          </cell>
          <cell r="AA7">
            <v>0</v>
          </cell>
          <cell r="AC7">
            <v>15310313.799999993</v>
          </cell>
          <cell r="AD7">
            <v>0</v>
          </cell>
          <cell r="AF7">
            <v>28027387.994225219</v>
          </cell>
          <cell r="AG7">
            <v>0</v>
          </cell>
          <cell r="AI7">
            <v>28950198.388250068</v>
          </cell>
          <cell r="AJ7">
            <v>0</v>
          </cell>
          <cell r="AL7">
            <v>23458011.673926972</v>
          </cell>
          <cell r="AM7">
            <v>0</v>
          </cell>
          <cell r="AO7">
            <v>36460097.609999858</v>
          </cell>
          <cell r="AP7">
            <v>0</v>
          </cell>
          <cell r="AR7">
            <v>32817370.499999814</v>
          </cell>
          <cell r="AS7">
            <v>0</v>
          </cell>
          <cell r="BF7">
            <v>0</v>
          </cell>
        </row>
        <row r="9"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Z9">
            <v>0</v>
          </cell>
          <cell r="AA9">
            <v>0</v>
          </cell>
          <cell r="AC9">
            <v>0</v>
          </cell>
          <cell r="AD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L9">
            <v>0</v>
          </cell>
          <cell r="AM9">
            <v>0</v>
          </cell>
          <cell r="AO9">
            <v>0</v>
          </cell>
          <cell r="AP9">
            <v>0</v>
          </cell>
          <cell r="AR9">
            <v>0</v>
          </cell>
          <cell r="AS9">
            <v>0</v>
          </cell>
          <cell r="BF9" t="str">
            <v>1000</v>
          </cell>
          <cell r="BG9" t="str">
            <v>A001</v>
          </cell>
          <cell r="BH9" t="str">
            <v>GBB</v>
          </cell>
        </row>
        <row r="10">
          <cell r="K10">
            <v>0</v>
          </cell>
          <cell r="L10">
            <v>0</v>
          </cell>
          <cell r="N10">
            <v>0</v>
          </cell>
          <cell r="O10">
            <v>0</v>
          </cell>
          <cell r="Q10">
            <v>0</v>
          </cell>
          <cell r="R10">
            <v>0</v>
          </cell>
          <cell r="T10">
            <v>0</v>
          </cell>
          <cell r="U10">
            <v>0</v>
          </cell>
          <cell r="W10">
            <v>0</v>
          </cell>
          <cell r="X10">
            <v>0</v>
          </cell>
          <cell r="Z10">
            <v>0</v>
          </cell>
          <cell r="AA10">
            <v>0</v>
          </cell>
          <cell r="AC10">
            <v>0</v>
          </cell>
          <cell r="AD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L10">
            <v>0</v>
          </cell>
          <cell r="AM10">
            <v>0</v>
          </cell>
          <cell r="AO10">
            <v>0</v>
          </cell>
          <cell r="AP10">
            <v>0</v>
          </cell>
          <cell r="AR10">
            <v>0</v>
          </cell>
          <cell r="AS10">
            <v>0</v>
          </cell>
          <cell r="BF10" t="str">
            <v>1000</v>
          </cell>
          <cell r="BG10" t="str">
            <v>A002</v>
          </cell>
          <cell r="BH10" t="str">
            <v>GBB</v>
          </cell>
        </row>
        <row r="11">
          <cell r="K11">
            <v>0</v>
          </cell>
          <cell r="L11">
            <v>0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  <cell r="T11">
            <v>0</v>
          </cell>
          <cell r="U11">
            <v>0</v>
          </cell>
          <cell r="W11">
            <v>0</v>
          </cell>
          <cell r="X11">
            <v>0</v>
          </cell>
          <cell r="Z11">
            <v>0</v>
          </cell>
          <cell r="AA11">
            <v>0</v>
          </cell>
          <cell r="AC11">
            <v>0</v>
          </cell>
          <cell r="AD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L11">
            <v>0</v>
          </cell>
          <cell r="AM11">
            <v>0</v>
          </cell>
          <cell r="AO11">
            <v>0</v>
          </cell>
          <cell r="AP11">
            <v>0</v>
          </cell>
          <cell r="AR11">
            <v>0</v>
          </cell>
          <cell r="AS11">
            <v>0</v>
          </cell>
          <cell r="BF11" t="str">
            <v>1000</v>
          </cell>
          <cell r="BG11" t="str">
            <v>A003</v>
          </cell>
          <cell r="BH11" t="str">
            <v>GBB</v>
          </cell>
        </row>
        <row r="12">
          <cell r="K12">
            <v>0</v>
          </cell>
          <cell r="L12">
            <v>0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  <cell r="T12">
            <v>0</v>
          </cell>
          <cell r="U12">
            <v>0</v>
          </cell>
          <cell r="W12">
            <v>0</v>
          </cell>
          <cell r="X12">
            <v>0</v>
          </cell>
          <cell r="Z12">
            <v>0</v>
          </cell>
          <cell r="AA12">
            <v>0</v>
          </cell>
          <cell r="AC12">
            <v>0</v>
          </cell>
          <cell r="AD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L12">
            <v>0</v>
          </cell>
          <cell r="AM12">
            <v>0</v>
          </cell>
          <cell r="AO12">
            <v>0</v>
          </cell>
          <cell r="AP12">
            <v>0</v>
          </cell>
          <cell r="AR12">
            <v>0</v>
          </cell>
          <cell r="AS12">
            <v>0</v>
          </cell>
          <cell r="BF12" t="str">
            <v>1000</v>
          </cell>
          <cell r="BG12" t="str">
            <v>A004</v>
          </cell>
          <cell r="BH12" t="str">
            <v>GBB</v>
          </cell>
        </row>
        <row r="13"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Z13">
            <v>0</v>
          </cell>
          <cell r="AA13">
            <v>0</v>
          </cell>
          <cell r="AC13">
            <v>0</v>
          </cell>
          <cell r="AD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L13">
            <v>0</v>
          </cell>
          <cell r="AM13">
            <v>0</v>
          </cell>
          <cell r="AO13">
            <v>0</v>
          </cell>
          <cell r="AP13">
            <v>0</v>
          </cell>
          <cell r="AR13">
            <v>0</v>
          </cell>
          <cell r="AS13">
            <v>0</v>
          </cell>
          <cell r="BF13" t="str">
            <v>1000</v>
          </cell>
          <cell r="BG13" t="str">
            <v>A005</v>
          </cell>
          <cell r="BH13" t="str">
            <v>GBB</v>
          </cell>
        </row>
        <row r="14">
          <cell r="K14">
            <v>3.637978807091713E-12</v>
          </cell>
          <cell r="L14">
            <v>0</v>
          </cell>
          <cell r="N14">
            <v>-1.0913936421275139E-11</v>
          </cell>
          <cell r="O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C14">
            <v>0</v>
          </cell>
          <cell r="AD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L14">
            <v>0</v>
          </cell>
          <cell r="AM14">
            <v>0</v>
          </cell>
          <cell r="AO14">
            <v>0</v>
          </cell>
          <cell r="AP14">
            <v>0</v>
          </cell>
          <cell r="AR14">
            <v>0</v>
          </cell>
          <cell r="AS14">
            <v>0</v>
          </cell>
          <cell r="BF14" t="str">
            <v>1000</v>
          </cell>
          <cell r="BG14" t="str">
            <v>A006</v>
          </cell>
          <cell r="BH14" t="str">
            <v>GBB</v>
          </cell>
        </row>
        <row r="15">
          <cell r="K15">
            <v>0</v>
          </cell>
          <cell r="L15">
            <v>0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L15">
            <v>0</v>
          </cell>
          <cell r="AM15">
            <v>0</v>
          </cell>
          <cell r="AO15">
            <v>0</v>
          </cell>
          <cell r="AP15">
            <v>0</v>
          </cell>
          <cell r="AR15">
            <v>0</v>
          </cell>
          <cell r="AS15">
            <v>0</v>
          </cell>
          <cell r="BF15" t="str">
            <v>1000</v>
          </cell>
          <cell r="BG15" t="str">
            <v>A007</v>
          </cell>
          <cell r="BH15" t="str">
            <v>GBB</v>
          </cell>
        </row>
        <row r="16">
          <cell r="K16">
            <v>0</v>
          </cell>
          <cell r="L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Z16">
            <v>0</v>
          </cell>
          <cell r="AA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L16">
            <v>0</v>
          </cell>
          <cell r="AM16">
            <v>0</v>
          </cell>
          <cell r="AO16">
            <v>0</v>
          </cell>
          <cell r="AP16">
            <v>0</v>
          </cell>
          <cell r="AR16">
            <v>0</v>
          </cell>
          <cell r="AS16">
            <v>0</v>
          </cell>
          <cell r="BF16" t="str">
            <v>1000</v>
          </cell>
          <cell r="BG16" t="str">
            <v>A008</v>
          </cell>
          <cell r="BH16" t="str">
            <v>GBB</v>
          </cell>
        </row>
        <row r="17">
          <cell r="K17">
            <v>0</v>
          </cell>
          <cell r="L17">
            <v>0</v>
          </cell>
          <cell r="N17">
            <v>0</v>
          </cell>
          <cell r="O17">
            <v>0</v>
          </cell>
          <cell r="Q17">
            <v>0</v>
          </cell>
          <cell r="R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Z17">
            <v>0</v>
          </cell>
          <cell r="AA17">
            <v>0</v>
          </cell>
          <cell r="AC17">
            <v>0</v>
          </cell>
          <cell r="AD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L17">
            <v>0</v>
          </cell>
          <cell r="AM17">
            <v>0</v>
          </cell>
          <cell r="AO17">
            <v>0</v>
          </cell>
          <cell r="AP17">
            <v>0</v>
          </cell>
          <cell r="AR17">
            <v>0</v>
          </cell>
          <cell r="AS17">
            <v>0</v>
          </cell>
          <cell r="BF17" t="str">
            <v>1000</v>
          </cell>
          <cell r="BG17" t="str">
            <v>A009</v>
          </cell>
          <cell r="BH17" t="str">
            <v>GBB</v>
          </cell>
        </row>
        <row r="18">
          <cell r="K18">
            <v>0</v>
          </cell>
          <cell r="L18">
            <v>0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Z18">
            <v>0</v>
          </cell>
          <cell r="AA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L18">
            <v>0</v>
          </cell>
          <cell r="AM18">
            <v>0</v>
          </cell>
          <cell r="AO18">
            <v>0</v>
          </cell>
          <cell r="AP18">
            <v>0</v>
          </cell>
          <cell r="AR18">
            <v>0</v>
          </cell>
          <cell r="AS18">
            <v>0</v>
          </cell>
          <cell r="BF18" t="str">
            <v>1000</v>
          </cell>
          <cell r="BG18" t="str">
            <v>A010</v>
          </cell>
          <cell r="BH18" t="str">
            <v>GBB</v>
          </cell>
        </row>
        <row r="19">
          <cell r="K19">
            <v>165758.75999999989</v>
          </cell>
          <cell r="L19">
            <v>0</v>
          </cell>
          <cell r="N19">
            <v>44786.189999999944</v>
          </cell>
          <cell r="O19">
            <v>0</v>
          </cell>
          <cell r="Q19">
            <v>155137.35000000009</v>
          </cell>
          <cell r="R19">
            <v>0</v>
          </cell>
          <cell r="T19">
            <v>167475.89000000013</v>
          </cell>
          <cell r="U19">
            <v>0</v>
          </cell>
          <cell r="W19">
            <v>172191.60999999987</v>
          </cell>
          <cell r="X19">
            <v>0</v>
          </cell>
          <cell r="Z19">
            <v>175619.04000000004</v>
          </cell>
          <cell r="AA19">
            <v>0</v>
          </cell>
          <cell r="AC19">
            <v>206347.4700000002</v>
          </cell>
          <cell r="AD19">
            <v>0</v>
          </cell>
          <cell r="AF19">
            <v>163551.50999999978</v>
          </cell>
          <cell r="AG19">
            <v>0</v>
          </cell>
          <cell r="AI19">
            <v>183447.06000000006</v>
          </cell>
          <cell r="AJ19">
            <v>0</v>
          </cell>
          <cell r="AL19">
            <v>264325.26000000024</v>
          </cell>
          <cell r="AM19">
            <v>0</v>
          </cell>
          <cell r="AO19">
            <v>163759.2099999995</v>
          </cell>
          <cell r="AP19">
            <v>0</v>
          </cell>
          <cell r="AR19">
            <v>210897.95999999996</v>
          </cell>
          <cell r="AS19">
            <v>0</v>
          </cell>
          <cell r="BF19" t="str">
            <v>1001</v>
          </cell>
          <cell r="BG19" t="str">
            <v>A021</v>
          </cell>
          <cell r="BH19" t="str">
            <v>GBB</v>
          </cell>
        </row>
        <row r="20">
          <cell r="K20">
            <v>0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L20">
            <v>0</v>
          </cell>
          <cell r="AM20">
            <v>0</v>
          </cell>
          <cell r="AO20">
            <v>0</v>
          </cell>
          <cell r="AP20">
            <v>0</v>
          </cell>
          <cell r="AR20">
            <v>0</v>
          </cell>
          <cell r="AS20">
            <v>0</v>
          </cell>
          <cell r="BF20" t="str">
            <v>1005</v>
          </cell>
          <cell r="BG20" t="str">
            <v>A081</v>
          </cell>
          <cell r="BH20" t="str">
            <v>GBB</v>
          </cell>
        </row>
        <row r="21">
          <cell r="K21">
            <v>20317.13</v>
          </cell>
          <cell r="L21">
            <v>0</v>
          </cell>
          <cell r="N21">
            <v>57119.179999999993</v>
          </cell>
          <cell r="O21">
            <v>0</v>
          </cell>
          <cell r="Q21">
            <v>33826.06</v>
          </cell>
          <cell r="R21">
            <v>0</v>
          </cell>
          <cell r="T21">
            <v>54942.669999999984</v>
          </cell>
          <cell r="U21">
            <v>0</v>
          </cell>
          <cell r="W21">
            <v>49632.989999999962</v>
          </cell>
          <cell r="X21">
            <v>0</v>
          </cell>
          <cell r="Z21">
            <v>57411.459999999934</v>
          </cell>
          <cell r="AA21">
            <v>0</v>
          </cell>
          <cell r="AC21">
            <v>58338.370000000112</v>
          </cell>
          <cell r="AD21">
            <v>0</v>
          </cell>
          <cell r="AF21">
            <v>62444.469999999914</v>
          </cell>
          <cell r="AG21">
            <v>0</v>
          </cell>
          <cell r="AI21">
            <v>53448.950000000012</v>
          </cell>
          <cell r="AJ21">
            <v>0</v>
          </cell>
          <cell r="AL21">
            <v>53031.689999999886</v>
          </cell>
          <cell r="AM21">
            <v>0</v>
          </cell>
          <cell r="AO21">
            <v>122030.28999999998</v>
          </cell>
          <cell r="AP21">
            <v>0</v>
          </cell>
          <cell r="AR21">
            <v>117256.86999999988</v>
          </cell>
          <cell r="AS21">
            <v>0</v>
          </cell>
          <cell r="BF21" t="str">
            <v>1005</v>
          </cell>
          <cell r="BG21" t="str">
            <v>A082</v>
          </cell>
          <cell r="BH21" t="str">
            <v>GBB</v>
          </cell>
        </row>
        <row r="22"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Z22">
            <v>0</v>
          </cell>
          <cell r="AA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BF22" t="str">
            <v>1005</v>
          </cell>
          <cell r="BG22" t="str">
            <v>A083</v>
          </cell>
          <cell r="BH22" t="str">
            <v>GBB</v>
          </cell>
        </row>
        <row r="23">
          <cell r="K23">
            <v>35866.9</v>
          </cell>
          <cell r="L23">
            <v>0</v>
          </cell>
          <cell r="N23">
            <v>34284.6</v>
          </cell>
          <cell r="O23">
            <v>0</v>
          </cell>
          <cell r="Q23">
            <v>31088.429999999993</v>
          </cell>
          <cell r="R23">
            <v>0</v>
          </cell>
          <cell r="T23">
            <v>26432.960000000021</v>
          </cell>
          <cell r="U23">
            <v>0</v>
          </cell>
          <cell r="W23">
            <v>27368.299999999988</v>
          </cell>
          <cell r="X23">
            <v>0</v>
          </cell>
          <cell r="Z23">
            <v>25561.159999999974</v>
          </cell>
          <cell r="AA23">
            <v>0</v>
          </cell>
          <cell r="AC23">
            <v>23495.580000000016</v>
          </cell>
          <cell r="AD23">
            <v>0</v>
          </cell>
          <cell r="AF23">
            <v>19029.359999999986</v>
          </cell>
          <cell r="AG23">
            <v>0</v>
          </cell>
          <cell r="AI23">
            <v>15043.119999999995</v>
          </cell>
          <cell r="AJ23">
            <v>0</v>
          </cell>
          <cell r="AL23">
            <v>44854.270000000019</v>
          </cell>
          <cell r="AM23">
            <v>0</v>
          </cell>
          <cell r="AO23">
            <v>21014.120000000054</v>
          </cell>
          <cell r="AP23">
            <v>0</v>
          </cell>
          <cell r="AR23">
            <v>12131.700000000012</v>
          </cell>
          <cell r="AS23">
            <v>0</v>
          </cell>
          <cell r="BF23" t="str">
            <v>1005</v>
          </cell>
          <cell r="BG23" t="str">
            <v>A084</v>
          </cell>
          <cell r="BH23" t="str">
            <v>GBB</v>
          </cell>
        </row>
        <row r="24">
          <cell r="K24">
            <v>0</v>
          </cell>
          <cell r="L24">
            <v>0</v>
          </cell>
          <cell r="N24">
            <v>0</v>
          </cell>
          <cell r="O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L24">
            <v>0</v>
          </cell>
          <cell r="AM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BF24" t="str">
            <v>1005</v>
          </cell>
          <cell r="BG24" t="str">
            <v>A085</v>
          </cell>
          <cell r="BH24" t="str">
            <v>GBB</v>
          </cell>
        </row>
        <row r="25">
          <cell r="K25">
            <v>0</v>
          </cell>
          <cell r="L25">
            <v>0</v>
          </cell>
          <cell r="N25">
            <v>0</v>
          </cell>
          <cell r="O25">
            <v>0</v>
          </cell>
          <cell r="Q25">
            <v>0</v>
          </cell>
          <cell r="R25">
            <v>0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BF25" t="str">
            <v>1005</v>
          </cell>
          <cell r="BG25" t="str">
            <v>A086</v>
          </cell>
          <cell r="BH25" t="str">
            <v>GBB</v>
          </cell>
        </row>
        <row r="26"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BF26" t="str">
            <v>1008</v>
          </cell>
          <cell r="BG26" t="str">
            <v>A041</v>
          </cell>
          <cell r="BH26" t="str">
            <v>GBB</v>
          </cell>
        </row>
        <row r="27"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BF27" t="str">
            <v>1008</v>
          </cell>
          <cell r="BG27" t="str">
            <v>A042</v>
          </cell>
          <cell r="BH27" t="str">
            <v>GBB</v>
          </cell>
        </row>
        <row r="28">
          <cell r="K28">
            <v>0</v>
          </cell>
          <cell r="L28">
            <v>0</v>
          </cell>
          <cell r="N28">
            <v>0</v>
          </cell>
          <cell r="O28">
            <v>0</v>
          </cell>
          <cell r="Q28">
            <v>0</v>
          </cell>
          <cell r="R28">
            <v>0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BF28" t="str">
            <v>1008</v>
          </cell>
          <cell r="BG28" t="str">
            <v>A043</v>
          </cell>
          <cell r="BH28" t="str">
            <v>GBB</v>
          </cell>
        </row>
        <row r="29">
          <cell r="K29">
            <v>0</v>
          </cell>
          <cell r="L29">
            <v>0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L29">
            <v>0</v>
          </cell>
          <cell r="AM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BF29" t="str">
            <v>1008</v>
          </cell>
          <cell r="BG29" t="str">
            <v>A044</v>
          </cell>
          <cell r="BH29" t="str">
            <v>GBB</v>
          </cell>
        </row>
        <row r="30">
          <cell r="K30">
            <v>2.9103830456733704E-11</v>
          </cell>
          <cell r="L30">
            <v>0</v>
          </cell>
          <cell r="N30">
            <v>-2.9103830456733704E-11</v>
          </cell>
          <cell r="O30">
            <v>0</v>
          </cell>
          <cell r="Q30">
            <v>0</v>
          </cell>
          <cell r="R30">
            <v>0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L30">
            <v>0</v>
          </cell>
          <cell r="AM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BF30" t="str">
            <v>1009</v>
          </cell>
          <cell r="BG30" t="str">
            <v>A061</v>
          </cell>
          <cell r="BH30" t="str">
            <v>GBB</v>
          </cell>
        </row>
        <row r="31">
          <cell r="K31">
            <v>0</v>
          </cell>
          <cell r="L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L31">
            <v>0</v>
          </cell>
          <cell r="AM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BF31" t="str">
            <v>1009</v>
          </cell>
          <cell r="BG31" t="str">
            <v>A062</v>
          </cell>
          <cell r="BH31" t="str">
            <v>GBB</v>
          </cell>
        </row>
        <row r="32">
          <cell r="K32">
            <v>0</v>
          </cell>
          <cell r="L32">
            <v>0</v>
          </cell>
          <cell r="N32">
            <v>0</v>
          </cell>
          <cell r="O32">
            <v>0</v>
          </cell>
          <cell r="Q32">
            <v>0</v>
          </cell>
          <cell r="R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L32">
            <v>0</v>
          </cell>
          <cell r="AM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BF32" t="str">
            <v>1009</v>
          </cell>
          <cell r="BG32" t="str">
            <v>A063</v>
          </cell>
          <cell r="BH32" t="str">
            <v>GBB</v>
          </cell>
        </row>
        <row r="33">
          <cell r="K33">
            <v>0</v>
          </cell>
          <cell r="L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BF33" t="str">
            <v>1009</v>
          </cell>
          <cell r="BG33" t="str">
            <v>A064</v>
          </cell>
          <cell r="BH33" t="str">
            <v>GBB</v>
          </cell>
        </row>
        <row r="34"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Z34">
            <v>0</v>
          </cell>
          <cell r="AA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BF34" t="str">
            <v>1009</v>
          </cell>
          <cell r="BG34" t="str">
            <v>A065</v>
          </cell>
          <cell r="BH34" t="str">
            <v>GBB</v>
          </cell>
        </row>
        <row r="35">
          <cell r="K35">
            <v>5.8207660913467407E-11</v>
          </cell>
          <cell r="L35">
            <v>0</v>
          </cell>
          <cell r="N35">
            <v>0</v>
          </cell>
          <cell r="O35">
            <v>0</v>
          </cell>
          <cell r="Q35">
            <v>-5.8207660913467407E-11</v>
          </cell>
          <cell r="R35">
            <v>0</v>
          </cell>
          <cell r="T35">
            <v>5.8207660913467407E-11</v>
          </cell>
          <cell r="U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C35">
            <v>-1.1641532182693481E-10</v>
          </cell>
          <cell r="AD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BF35" t="str">
            <v>2001</v>
          </cell>
          <cell r="BG35" t="str">
            <v>B001</v>
          </cell>
          <cell r="BH35" t="str">
            <v>GBB</v>
          </cell>
        </row>
        <row r="36">
          <cell r="K36">
            <v>263.79000000000087</v>
          </cell>
          <cell r="L36">
            <v>0</v>
          </cell>
          <cell r="N36">
            <v>263.52000000000044</v>
          </cell>
          <cell r="O36">
            <v>0</v>
          </cell>
          <cell r="Q36">
            <v>258.33000000000175</v>
          </cell>
          <cell r="R36">
            <v>0</v>
          </cell>
          <cell r="T36">
            <v>1669.3099999999977</v>
          </cell>
          <cell r="U36">
            <v>0</v>
          </cell>
          <cell r="W36">
            <v>1671.4799999999996</v>
          </cell>
          <cell r="X36">
            <v>0</v>
          </cell>
          <cell r="Z36">
            <v>484.45000000000437</v>
          </cell>
          <cell r="AA36">
            <v>0</v>
          </cell>
          <cell r="AC36">
            <v>2622.2099999999991</v>
          </cell>
          <cell r="AD36">
            <v>0</v>
          </cell>
          <cell r="AF36">
            <v>2732.2700000000041</v>
          </cell>
          <cell r="AG36">
            <v>0</v>
          </cell>
          <cell r="AI36">
            <v>56431.029999999977</v>
          </cell>
          <cell r="AJ36">
            <v>0</v>
          </cell>
          <cell r="AL36">
            <v>37963.199999999983</v>
          </cell>
          <cell r="AM36">
            <v>0</v>
          </cell>
          <cell r="AO36">
            <v>92364.390000000014</v>
          </cell>
          <cell r="AP36">
            <v>0</v>
          </cell>
          <cell r="AR36">
            <v>90460.170000000042</v>
          </cell>
          <cell r="AS36">
            <v>0</v>
          </cell>
          <cell r="BF36" t="str">
            <v>2001</v>
          </cell>
          <cell r="BG36" t="str">
            <v>B002</v>
          </cell>
          <cell r="BH36" t="str">
            <v>GBB</v>
          </cell>
        </row>
        <row r="37">
          <cell r="K37">
            <v>0</v>
          </cell>
          <cell r="L37">
            <v>0</v>
          </cell>
          <cell r="N37">
            <v>0</v>
          </cell>
          <cell r="O37">
            <v>0</v>
          </cell>
          <cell r="Q37">
            <v>0</v>
          </cell>
          <cell r="R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Z37">
            <v>0</v>
          </cell>
          <cell r="AA37">
            <v>0</v>
          </cell>
          <cell r="AC37">
            <v>0</v>
          </cell>
          <cell r="AD37">
            <v>0</v>
          </cell>
          <cell r="AF37">
            <v>0</v>
          </cell>
          <cell r="AG37">
            <v>0</v>
          </cell>
          <cell r="AI37">
            <v>0</v>
          </cell>
          <cell r="AJ37">
            <v>0</v>
          </cell>
          <cell r="AL37">
            <v>0</v>
          </cell>
          <cell r="AM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BF37" t="str">
            <v>2001</v>
          </cell>
          <cell r="BG37" t="str">
            <v>B003</v>
          </cell>
          <cell r="BH37" t="str">
            <v>GBB</v>
          </cell>
        </row>
        <row r="38">
          <cell r="K38">
            <v>28134.329999999998</v>
          </cell>
          <cell r="L38">
            <v>0</v>
          </cell>
          <cell r="N38">
            <v>33909.03</v>
          </cell>
          <cell r="O38">
            <v>0</v>
          </cell>
          <cell r="Q38">
            <v>27056.340000000011</v>
          </cell>
          <cell r="R38">
            <v>0</v>
          </cell>
          <cell r="T38">
            <v>23415.959999999963</v>
          </cell>
          <cell r="U38">
            <v>0</v>
          </cell>
          <cell r="W38">
            <v>46842.430000000022</v>
          </cell>
          <cell r="X38">
            <v>0</v>
          </cell>
          <cell r="Z38">
            <v>44463.460000000021</v>
          </cell>
          <cell r="AA38">
            <v>0</v>
          </cell>
          <cell r="AC38">
            <v>42790.420000000013</v>
          </cell>
          <cell r="AD38">
            <v>0</v>
          </cell>
          <cell r="AF38">
            <v>48108.380000000063</v>
          </cell>
          <cell r="AG38">
            <v>0</v>
          </cell>
          <cell r="AI38">
            <v>59856.489999999991</v>
          </cell>
          <cell r="AJ38">
            <v>0</v>
          </cell>
          <cell r="AL38">
            <v>30739.080000000016</v>
          </cell>
          <cell r="AM38">
            <v>0</v>
          </cell>
          <cell r="AO38">
            <v>72691.669999999984</v>
          </cell>
          <cell r="AP38">
            <v>0</v>
          </cell>
          <cell r="AR38">
            <v>100020.82999999996</v>
          </cell>
          <cell r="AS38">
            <v>0</v>
          </cell>
          <cell r="BF38" t="str">
            <v>2001</v>
          </cell>
          <cell r="BG38" t="str">
            <v>B004</v>
          </cell>
          <cell r="BH38" t="str">
            <v>GBB</v>
          </cell>
        </row>
        <row r="39">
          <cell r="K39">
            <v>0</v>
          </cell>
          <cell r="L39">
            <v>0</v>
          </cell>
          <cell r="N39">
            <v>0</v>
          </cell>
          <cell r="O39">
            <v>0</v>
          </cell>
          <cell r="Q39">
            <v>0</v>
          </cell>
          <cell r="R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I39">
            <v>0</v>
          </cell>
          <cell r="AJ39">
            <v>0</v>
          </cell>
          <cell r="AL39">
            <v>0</v>
          </cell>
          <cell r="AM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BF39" t="str">
            <v>2001</v>
          </cell>
          <cell r="BG39" t="str">
            <v>B005</v>
          </cell>
          <cell r="BH39" t="str">
            <v>GBB</v>
          </cell>
        </row>
        <row r="40"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7.1054273576010019E-15</v>
          </cell>
          <cell r="U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L40">
            <v>0</v>
          </cell>
          <cell r="AM40">
            <v>0</v>
          </cell>
          <cell r="AO40">
            <v>0</v>
          </cell>
          <cell r="AP40">
            <v>0</v>
          </cell>
          <cell r="AR40">
            <v>54748.51</v>
          </cell>
          <cell r="AS40">
            <v>0</v>
          </cell>
          <cell r="BF40" t="str">
            <v>2001</v>
          </cell>
          <cell r="BG40" t="str">
            <v>B006</v>
          </cell>
          <cell r="BH40" t="str">
            <v>GBB</v>
          </cell>
        </row>
        <row r="41">
          <cell r="K41">
            <v>-279.53000000026077</v>
          </cell>
          <cell r="L41">
            <v>0</v>
          </cell>
          <cell r="N41">
            <v>465.16000000014901</v>
          </cell>
          <cell r="O41">
            <v>0</v>
          </cell>
          <cell r="Q41">
            <v>-339.20000000018626</v>
          </cell>
          <cell r="R41">
            <v>0</v>
          </cell>
          <cell r="T41">
            <v>-38.71999999973923</v>
          </cell>
          <cell r="U41">
            <v>0</v>
          </cell>
          <cell r="W41">
            <v>228.66999999992549</v>
          </cell>
          <cell r="X41">
            <v>0</v>
          </cell>
          <cell r="Z41">
            <v>405.66999999992549</v>
          </cell>
          <cell r="AA41">
            <v>0</v>
          </cell>
          <cell r="AC41">
            <v>814.15000000037253</v>
          </cell>
          <cell r="AD41">
            <v>0</v>
          </cell>
          <cell r="AF41">
            <v>-755.16999999992549</v>
          </cell>
          <cell r="AG41">
            <v>0</v>
          </cell>
          <cell r="AI41">
            <v>2932.9799999995157</v>
          </cell>
          <cell r="AJ41">
            <v>0</v>
          </cell>
          <cell r="AL41">
            <v>-14656.05999999959</v>
          </cell>
          <cell r="AM41">
            <v>0</v>
          </cell>
          <cell r="AO41">
            <v>49948.019999999553</v>
          </cell>
          <cell r="AP41">
            <v>0</v>
          </cell>
          <cell r="AR41">
            <v>26758.939999999478</v>
          </cell>
          <cell r="AS41">
            <v>0</v>
          </cell>
          <cell r="BF41" t="str">
            <v>2008</v>
          </cell>
          <cell r="BG41" t="str">
            <v>Z000</v>
          </cell>
          <cell r="BH41" t="str">
            <v>GBB</v>
          </cell>
        </row>
        <row r="42">
          <cell r="K42">
            <v>0</v>
          </cell>
          <cell r="L42">
            <v>0</v>
          </cell>
          <cell r="N42">
            <v>0</v>
          </cell>
          <cell r="O42">
            <v>0</v>
          </cell>
          <cell r="Q42">
            <v>0</v>
          </cell>
          <cell r="R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Z42">
            <v>0</v>
          </cell>
          <cell r="AA42">
            <v>0</v>
          </cell>
          <cell r="AC42">
            <v>0</v>
          </cell>
          <cell r="AD42">
            <v>0</v>
          </cell>
          <cell r="AF42">
            <v>0</v>
          </cell>
          <cell r="AG42">
            <v>0</v>
          </cell>
          <cell r="AI42">
            <v>0</v>
          </cell>
          <cell r="AJ42">
            <v>0</v>
          </cell>
          <cell r="AL42">
            <v>0</v>
          </cell>
          <cell r="AM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BF42" t="str">
            <v>2010</v>
          </cell>
          <cell r="BG42" t="str">
            <v>B021</v>
          </cell>
          <cell r="BH42" t="str">
            <v>GBB</v>
          </cell>
        </row>
        <row r="43">
          <cell r="K43">
            <v>0</v>
          </cell>
          <cell r="L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F43">
            <v>0</v>
          </cell>
          <cell r="AG43">
            <v>0</v>
          </cell>
          <cell r="AI43">
            <v>0</v>
          </cell>
          <cell r="AJ43">
            <v>0</v>
          </cell>
          <cell r="AL43">
            <v>0</v>
          </cell>
          <cell r="AM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BF43" t="str">
            <v>2010</v>
          </cell>
          <cell r="BG43" t="str">
            <v>B022</v>
          </cell>
          <cell r="BH43" t="str">
            <v>GBB</v>
          </cell>
        </row>
        <row r="44">
          <cell r="K44">
            <v>0</v>
          </cell>
          <cell r="L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T44">
            <v>0</v>
          </cell>
          <cell r="U44">
            <v>0</v>
          </cell>
          <cell r="W44">
            <v>0</v>
          </cell>
          <cell r="X44">
            <v>0</v>
          </cell>
          <cell r="Z44">
            <v>0</v>
          </cell>
          <cell r="AA44">
            <v>0</v>
          </cell>
          <cell r="AC44">
            <v>0</v>
          </cell>
          <cell r="AD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L44">
            <v>0</v>
          </cell>
          <cell r="AM44">
            <v>0</v>
          </cell>
          <cell r="AO44">
            <v>0</v>
          </cell>
          <cell r="AP44">
            <v>0</v>
          </cell>
          <cell r="AR44">
            <v>0</v>
          </cell>
          <cell r="AS44">
            <v>0</v>
          </cell>
          <cell r="BF44" t="str">
            <v>2010</v>
          </cell>
          <cell r="BG44" t="str">
            <v>B023</v>
          </cell>
          <cell r="BH44" t="str">
            <v>GBB</v>
          </cell>
        </row>
        <row r="45">
          <cell r="K45">
            <v>0</v>
          </cell>
          <cell r="L45">
            <v>0</v>
          </cell>
          <cell r="N45">
            <v>0</v>
          </cell>
          <cell r="O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C45">
            <v>0</v>
          </cell>
          <cell r="AD45">
            <v>0</v>
          </cell>
          <cell r="AF45">
            <v>0</v>
          </cell>
          <cell r="AG45">
            <v>0</v>
          </cell>
          <cell r="AI45">
            <v>0</v>
          </cell>
          <cell r="AJ45">
            <v>0</v>
          </cell>
          <cell r="AL45">
            <v>0</v>
          </cell>
          <cell r="AM45">
            <v>0</v>
          </cell>
          <cell r="AO45">
            <v>0</v>
          </cell>
          <cell r="AP45">
            <v>0</v>
          </cell>
          <cell r="AR45">
            <v>0</v>
          </cell>
          <cell r="AS45">
            <v>0</v>
          </cell>
          <cell r="BF45" t="str">
            <v>2010</v>
          </cell>
          <cell r="BG45" t="str">
            <v>B024</v>
          </cell>
          <cell r="BH45" t="str">
            <v>GBB</v>
          </cell>
        </row>
        <row r="46">
          <cell r="K46">
            <v>0</v>
          </cell>
          <cell r="L46">
            <v>0</v>
          </cell>
          <cell r="N46">
            <v>0</v>
          </cell>
          <cell r="O46">
            <v>0</v>
          </cell>
          <cell r="Q46">
            <v>0</v>
          </cell>
          <cell r="R46">
            <v>0</v>
          </cell>
          <cell r="T46">
            <v>0</v>
          </cell>
          <cell r="U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C46">
            <v>0</v>
          </cell>
          <cell r="AD46">
            <v>0</v>
          </cell>
          <cell r="AF46">
            <v>0</v>
          </cell>
          <cell r="AG46">
            <v>0</v>
          </cell>
          <cell r="AI46">
            <v>0</v>
          </cell>
          <cell r="AJ46">
            <v>0</v>
          </cell>
          <cell r="AL46">
            <v>0</v>
          </cell>
          <cell r="AM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BF46" t="str">
            <v>2015</v>
          </cell>
          <cell r="BG46" t="str">
            <v>B201</v>
          </cell>
          <cell r="BH46" t="str">
            <v>GBB</v>
          </cell>
        </row>
        <row r="47">
          <cell r="K47">
            <v>0</v>
          </cell>
          <cell r="L47">
            <v>0</v>
          </cell>
          <cell r="N47">
            <v>0</v>
          </cell>
          <cell r="O47">
            <v>0</v>
          </cell>
          <cell r="Q47">
            <v>0</v>
          </cell>
          <cell r="R47">
            <v>0</v>
          </cell>
          <cell r="T47">
            <v>0</v>
          </cell>
          <cell r="U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C47">
            <v>0</v>
          </cell>
          <cell r="AD47">
            <v>0</v>
          </cell>
          <cell r="AF47">
            <v>0</v>
          </cell>
          <cell r="AG47">
            <v>0</v>
          </cell>
          <cell r="AI47">
            <v>0</v>
          </cell>
          <cell r="AJ47">
            <v>0</v>
          </cell>
          <cell r="AL47">
            <v>0</v>
          </cell>
          <cell r="AM47">
            <v>0</v>
          </cell>
          <cell r="AO47">
            <v>0</v>
          </cell>
          <cell r="AP47">
            <v>0</v>
          </cell>
          <cell r="AR47">
            <v>0</v>
          </cell>
          <cell r="AS47">
            <v>0</v>
          </cell>
          <cell r="BF47" t="str">
            <v>2015</v>
          </cell>
          <cell r="BG47" t="str">
            <v>B202</v>
          </cell>
          <cell r="BH47" t="str">
            <v>GBB</v>
          </cell>
        </row>
        <row r="48"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</v>
          </cell>
          <cell r="AF48">
            <v>0</v>
          </cell>
          <cell r="AG48">
            <v>0</v>
          </cell>
          <cell r="AI48">
            <v>0</v>
          </cell>
          <cell r="AJ48">
            <v>0</v>
          </cell>
          <cell r="AL48">
            <v>0</v>
          </cell>
          <cell r="AM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BF48" t="str">
            <v>2015</v>
          </cell>
          <cell r="BG48" t="str">
            <v>B203</v>
          </cell>
          <cell r="BH48" t="str">
            <v>GBB</v>
          </cell>
        </row>
        <row r="49">
          <cell r="K49">
            <v>0</v>
          </cell>
          <cell r="L49">
            <v>0</v>
          </cell>
          <cell r="N49">
            <v>0</v>
          </cell>
          <cell r="O49">
            <v>0</v>
          </cell>
          <cell r="Q49">
            <v>0</v>
          </cell>
          <cell r="R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Z49">
            <v>0</v>
          </cell>
          <cell r="AA49">
            <v>0</v>
          </cell>
          <cell r="AC49">
            <v>0</v>
          </cell>
          <cell r="AD49">
            <v>0</v>
          </cell>
          <cell r="AF49">
            <v>0</v>
          </cell>
          <cell r="AG49">
            <v>0</v>
          </cell>
          <cell r="AI49">
            <v>0</v>
          </cell>
          <cell r="AJ49">
            <v>0</v>
          </cell>
          <cell r="AL49">
            <v>0</v>
          </cell>
          <cell r="AM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BF49" t="str">
            <v>2015</v>
          </cell>
          <cell r="BG49" t="str">
            <v>B204</v>
          </cell>
          <cell r="BH49" t="str">
            <v>GBB</v>
          </cell>
        </row>
        <row r="50">
          <cell r="K50">
            <v>6100</v>
          </cell>
          <cell r="L50">
            <v>0</v>
          </cell>
          <cell r="N50">
            <v>4500</v>
          </cell>
          <cell r="O50">
            <v>0</v>
          </cell>
          <cell r="Q50">
            <v>5400</v>
          </cell>
          <cell r="R50">
            <v>0</v>
          </cell>
          <cell r="T50">
            <v>11800</v>
          </cell>
          <cell r="U50">
            <v>0</v>
          </cell>
          <cell r="W50">
            <v>16950</v>
          </cell>
          <cell r="X50">
            <v>0</v>
          </cell>
          <cell r="Z50">
            <v>16600</v>
          </cell>
          <cell r="AA50">
            <v>0</v>
          </cell>
          <cell r="AC50">
            <v>14850</v>
          </cell>
          <cell r="AD50">
            <v>0</v>
          </cell>
          <cell r="AF50">
            <v>13850</v>
          </cell>
          <cell r="AG50">
            <v>0</v>
          </cell>
          <cell r="AI50">
            <v>11600</v>
          </cell>
          <cell r="AJ50">
            <v>0</v>
          </cell>
          <cell r="AL50">
            <v>22200</v>
          </cell>
          <cell r="AM50">
            <v>0</v>
          </cell>
          <cell r="AO50">
            <v>16500</v>
          </cell>
          <cell r="AP50">
            <v>0</v>
          </cell>
          <cell r="AR50">
            <v>17100</v>
          </cell>
          <cell r="AS50">
            <v>0</v>
          </cell>
          <cell r="BF50" t="str">
            <v>2015</v>
          </cell>
          <cell r="BG50" t="str">
            <v>B205</v>
          </cell>
          <cell r="BH50" t="str">
            <v>GBB</v>
          </cell>
        </row>
        <row r="51"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Z51">
            <v>0</v>
          </cell>
          <cell r="AA51">
            <v>0</v>
          </cell>
          <cell r="AC51">
            <v>0</v>
          </cell>
          <cell r="AD51">
            <v>0</v>
          </cell>
          <cell r="AF51">
            <v>0</v>
          </cell>
          <cell r="AG51">
            <v>0</v>
          </cell>
          <cell r="AI51">
            <v>0</v>
          </cell>
          <cell r="AJ51">
            <v>0</v>
          </cell>
          <cell r="AL51">
            <v>0</v>
          </cell>
          <cell r="AM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BF51" t="str">
            <v>2015</v>
          </cell>
          <cell r="BG51" t="str">
            <v>B206</v>
          </cell>
          <cell r="BH51" t="str">
            <v>GBB</v>
          </cell>
        </row>
        <row r="52">
          <cell r="K52">
            <v>0</v>
          </cell>
          <cell r="L52">
            <v>0</v>
          </cell>
          <cell r="N52">
            <v>0</v>
          </cell>
          <cell r="O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W52">
            <v>0</v>
          </cell>
          <cell r="X52">
            <v>0</v>
          </cell>
          <cell r="Z52">
            <v>0</v>
          </cell>
          <cell r="AA52">
            <v>0</v>
          </cell>
          <cell r="AC52">
            <v>0</v>
          </cell>
          <cell r="AD52">
            <v>0</v>
          </cell>
          <cell r="AF52">
            <v>0</v>
          </cell>
          <cell r="AG52">
            <v>0</v>
          </cell>
          <cell r="AI52">
            <v>0</v>
          </cell>
          <cell r="AJ52">
            <v>0</v>
          </cell>
          <cell r="AL52">
            <v>0</v>
          </cell>
          <cell r="AM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BF52" t="str">
            <v>2015</v>
          </cell>
          <cell r="BG52" t="str">
            <v>B207</v>
          </cell>
          <cell r="BH52" t="str">
            <v>GBB</v>
          </cell>
        </row>
        <row r="53">
          <cell r="K53">
            <v>0</v>
          </cell>
          <cell r="L53">
            <v>0</v>
          </cell>
          <cell r="N53">
            <v>0</v>
          </cell>
          <cell r="O53">
            <v>0</v>
          </cell>
          <cell r="Q53">
            <v>0</v>
          </cell>
          <cell r="R53">
            <v>0</v>
          </cell>
          <cell r="T53">
            <v>0</v>
          </cell>
          <cell r="U53">
            <v>0</v>
          </cell>
          <cell r="W53">
            <v>0</v>
          </cell>
          <cell r="X53">
            <v>0</v>
          </cell>
          <cell r="Z53">
            <v>0</v>
          </cell>
          <cell r="AA53">
            <v>0</v>
          </cell>
          <cell r="AC53">
            <v>0</v>
          </cell>
          <cell r="AD53">
            <v>0</v>
          </cell>
          <cell r="AF53">
            <v>0</v>
          </cell>
          <cell r="AG53">
            <v>0</v>
          </cell>
          <cell r="AI53">
            <v>0</v>
          </cell>
          <cell r="AJ53">
            <v>0</v>
          </cell>
          <cell r="AL53">
            <v>0</v>
          </cell>
          <cell r="AM53">
            <v>0</v>
          </cell>
          <cell r="AO53">
            <v>0</v>
          </cell>
          <cell r="AP53">
            <v>0</v>
          </cell>
          <cell r="AR53">
            <v>0</v>
          </cell>
          <cell r="AS53">
            <v>0</v>
          </cell>
          <cell r="BF53" t="str">
            <v>2015</v>
          </cell>
          <cell r="BG53" t="str">
            <v>B208</v>
          </cell>
          <cell r="BH53" t="str">
            <v>GBB</v>
          </cell>
        </row>
        <row r="54">
          <cell r="K54">
            <v>0</v>
          </cell>
          <cell r="L54">
            <v>0</v>
          </cell>
          <cell r="N54">
            <v>0</v>
          </cell>
          <cell r="O54">
            <v>0</v>
          </cell>
          <cell r="Q54">
            <v>0</v>
          </cell>
          <cell r="R54">
            <v>0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Z54">
            <v>0</v>
          </cell>
          <cell r="AA54">
            <v>0</v>
          </cell>
          <cell r="AC54">
            <v>0</v>
          </cell>
          <cell r="AD54">
            <v>0</v>
          </cell>
          <cell r="AF54">
            <v>0</v>
          </cell>
          <cell r="AG54">
            <v>0</v>
          </cell>
          <cell r="AI54">
            <v>0</v>
          </cell>
          <cell r="AJ54">
            <v>0</v>
          </cell>
          <cell r="AL54">
            <v>0</v>
          </cell>
          <cell r="AM54">
            <v>0</v>
          </cell>
          <cell r="AO54">
            <v>0</v>
          </cell>
          <cell r="AP54">
            <v>0</v>
          </cell>
          <cell r="AR54">
            <v>0</v>
          </cell>
          <cell r="AS54">
            <v>0</v>
          </cell>
          <cell r="BF54" t="str">
            <v>2015</v>
          </cell>
          <cell r="BG54" t="str">
            <v>B209</v>
          </cell>
          <cell r="BH54" t="str">
            <v>GBB</v>
          </cell>
        </row>
        <row r="55"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C55">
            <v>0</v>
          </cell>
          <cell r="AD55">
            <v>0</v>
          </cell>
          <cell r="AF55">
            <v>0</v>
          </cell>
          <cell r="AG55">
            <v>0</v>
          </cell>
          <cell r="AI55">
            <v>0</v>
          </cell>
          <cell r="AJ55">
            <v>0</v>
          </cell>
          <cell r="AL55">
            <v>0</v>
          </cell>
          <cell r="AM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BF55" t="str">
            <v>2015</v>
          </cell>
          <cell r="BG55" t="str">
            <v>B210</v>
          </cell>
          <cell r="BH55" t="str">
            <v>GBB</v>
          </cell>
        </row>
        <row r="56">
          <cell r="K56">
            <v>0</v>
          </cell>
          <cell r="L56">
            <v>0</v>
          </cell>
          <cell r="N56">
            <v>0</v>
          </cell>
          <cell r="O56">
            <v>0</v>
          </cell>
          <cell r="Q56">
            <v>0</v>
          </cell>
          <cell r="R56">
            <v>0</v>
          </cell>
          <cell r="T56">
            <v>0</v>
          </cell>
          <cell r="U56">
            <v>0</v>
          </cell>
          <cell r="W56">
            <v>0</v>
          </cell>
          <cell r="X56">
            <v>0</v>
          </cell>
          <cell r="Z56">
            <v>0</v>
          </cell>
          <cell r="AA56">
            <v>0</v>
          </cell>
          <cell r="AC56">
            <v>0</v>
          </cell>
          <cell r="AD56">
            <v>0</v>
          </cell>
          <cell r="AF56">
            <v>0</v>
          </cell>
          <cell r="AG56">
            <v>0</v>
          </cell>
          <cell r="AI56">
            <v>0</v>
          </cell>
          <cell r="AJ56">
            <v>0</v>
          </cell>
          <cell r="AL56">
            <v>0</v>
          </cell>
          <cell r="AM56">
            <v>0</v>
          </cell>
          <cell r="AO56">
            <v>0</v>
          </cell>
          <cell r="AP56">
            <v>0</v>
          </cell>
          <cell r="AR56">
            <v>0</v>
          </cell>
          <cell r="AS56">
            <v>0</v>
          </cell>
          <cell r="BF56" t="str">
            <v>2016</v>
          </cell>
          <cell r="BG56" t="str">
            <v>B301</v>
          </cell>
          <cell r="BH56" t="str">
            <v>GBB</v>
          </cell>
        </row>
        <row r="57">
          <cell r="K57">
            <v>0</v>
          </cell>
          <cell r="L57">
            <v>0</v>
          </cell>
          <cell r="N57">
            <v>0</v>
          </cell>
          <cell r="O57">
            <v>0</v>
          </cell>
          <cell r="Q57">
            <v>0</v>
          </cell>
          <cell r="R57">
            <v>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Z57">
            <v>0</v>
          </cell>
          <cell r="AA57">
            <v>0</v>
          </cell>
          <cell r="AC57">
            <v>0</v>
          </cell>
          <cell r="AD57">
            <v>0</v>
          </cell>
          <cell r="AF57">
            <v>0</v>
          </cell>
          <cell r="AG57">
            <v>0</v>
          </cell>
          <cell r="AI57">
            <v>0</v>
          </cell>
          <cell r="AJ57">
            <v>0</v>
          </cell>
          <cell r="AL57">
            <v>0</v>
          </cell>
          <cell r="AM57">
            <v>0</v>
          </cell>
          <cell r="AO57">
            <v>0</v>
          </cell>
          <cell r="AP57">
            <v>0</v>
          </cell>
          <cell r="AR57">
            <v>0</v>
          </cell>
          <cell r="AS57">
            <v>0</v>
          </cell>
          <cell r="BF57" t="str">
            <v>2016</v>
          </cell>
          <cell r="BG57" t="str">
            <v>B302</v>
          </cell>
          <cell r="BH57" t="str">
            <v>GBB</v>
          </cell>
        </row>
        <row r="58">
          <cell r="K58">
            <v>0</v>
          </cell>
          <cell r="L58">
            <v>0</v>
          </cell>
          <cell r="N58">
            <v>0</v>
          </cell>
          <cell r="O58">
            <v>0</v>
          </cell>
          <cell r="Q58">
            <v>0</v>
          </cell>
          <cell r="R58">
            <v>0</v>
          </cell>
          <cell r="T58">
            <v>0</v>
          </cell>
          <cell r="U58">
            <v>0</v>
          </cell>
          <cell r="W58">
            <v>0</v>
          </cell>
          <cell r="X58">
            <v>0</v>
          </cell>
          <cell r="Z58">
            <v>0</v>
          </cell>
          <cell r="AA58">
            <v>0</v>
          </cell>
          <cell r="AC58">
            <v>0</v>
          </cell>
          <cell r="AD58">
            <v>0</v>
          </cell>
          <cell r="AF58">
            <v>0</v>
          </cell>
          <cell r="AG58">
            <v>0</v>
          </cell>
          <cell r="AI58">
            <v>0</v>
          </cell>
          <cell r="AJ58">
            <v>0</v>
          </cell>
          <cell r="AL58">
            <v>0</v>
          </cell>
          <cell r="AM58">
            <v>0</v>
          </cell>
          <cell r="AO58">
            <v>0</v>
          </cell>
          <cell r="AP58">
            <v>0</v>
          </cell>
          <cell r="AR58">
            <v>0</v>
          </cell>
          <cell r="AS58">
            <v>0</v>
          </cell>
          <cell r="BF58" t="str">
            <v>2016</v>
          </cell>
          <cell r="BG58" t="str">
            <v>B303</v>
          </cell>
          <cell r="BH58" t="str">
            <v>GBB</v>
          </cell>
        </row>
        <row r="59">
          <cell r="K59">
            <v>0</v>
          </cell>
          <cell r="L59">
            <v>0</v>
          </cell>
          <cell r="N59">
            <v>0</v>
          </cell>
          <cell r="O59">
            <v>0</v>
          </cell>
          <cell r="Q59">
            <v>0</v>
          </cell>
          <cell r="R59">
            <v>0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F59">
            <v>0</v>
          </cell>
          <cell r="AG59">
            <v>0</v>
          </cell>
          <cell r="AI59">
            <v>0</v>
          </cell>
          <cell r="AJ59">
            <v>0</v>
          </cell>
          <cell r="AL59">
            <v>0</v>
          </cell>
          <cell r="AM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BF59" t="str">
            <v>2017</v>
          </cell>
          <cell r="BG59" t="str">
            <v>B401</v>
          </cell>
          <cell r="BH59" t="str">
            <v>GBB</v>
          </cell>
        </row>
        <row r="60">
          <cell r="K60">
            <v>0</v>
          </cell>
          <cell r="L60">
            <v>0</v>
          </cell>
          <cell r="N60">
            <v>0</v>
          </cell>
          <cell r="O60">
            <v>0</v>
          </cell>
          <cell r="Q60">
            <v>0</v>
          </cell>
          <cell r="R60">
            <v>0</v>
          </cell>
          <cell r="T60">
            <v>0</v>
          </cell>
          <cell r="U60">
            <v>0</v>
          </cell>
          <cell r="W60">
            <v>0</v>
          </cell>
          <cell r="X60">
            <v>0</v>
          </cell>
          <cell r="Z60">
            <v>0</v>
          </cell>
          <cell r="AA60">
            <v>0</v>
          </cell>
          <cell r="AC60">
            <v>0</v>
          </cell>
          <cell r="AD60">
            <v>0</v>
          </cell>
          <cell r="AF60">
            <v>0</v>
          </cell>
          <cell r="AG60">
            <v>0</v>
          </cell>
          <cell r="AI60">
            <v>0</v>
          </cell>
          <cell r="AJ60">
            <v>0</v>
          </cell>
          <cell r="AL60">
            <v>0</v>
          </cell>
          <cell r="AM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BF60" t="str">
            <v>2017</v>
          </cell>
          <cell r="BG60" t="str">
            <v>B402</v>
          </cell>
          <cell r="BH60" t="str">
            <v>GBB</v>
          </cell>
        </row>
        <row r="61">
          <cell r="K61">
            <v>0</v>
          </cell>
          <cell r="L61">
            <v>0</v>
          </cell>
          <cell r="N61">
            <v>0</v>
          </cell>
          <cell r="O61">
            <v>0</v>
          </cell>
          <cell r="Q61">
            <v>0</v>
          </cell>
          <cell r="R61">
            <v>0</v>
          </cell>
          <cell r="T61">
            <v>0</v>
          </cell>
          <cell r="U61">
            <v>0</v>
          </cell>
          <cell r="W61">
            <v>0</v>
          </cell>
          <cell r="X61">
            <v>0</v>
          </cell>
          <cell r="Z61">
            <v>0</v>
          </cell>
          <cell r="AA61">
            <v>0</v>
          </cell>
          <cell r="AC61">
            <v>0</v>
          </cell>
          <cell r="AD61">
            <v>0</v>
          </cell>
          <cell r="AF61">
            <v>0</v>
          </cell>
          <cell r="AG61">
            <v>0</v>
          </cell>
          <cell r="AI61">
            <v>0</v>
          </cell>
          <cell r="AJ61">
            <v>0</v>
          </cell>
          <cell r="AL61">
            <v>0</v>
          </cell>
          <cell r="AM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BF61" t="str">
            <v>2017</v>
          </cell>
          <cell r="BG61" t="str">
            <v>B403</v>
          </cell>
          <cell r="BH61" t="str">
            <v>GBB</v>
          </cell>
        </row>
        <row r="62"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Z62">
            <v>0</v>
          </cell>
          <cell r="AA62">
            <v>0</v>
          </cell>
          <cell r="AC62">
            <v>0</v>
          </cell>
          <cell r="AD62">
            <v>0</v>
          </cell>
          <cell r="AF62">
            <v>0</v>
          </cell>
          <cell r="AG62">
            <v>0</v>
          </cell>
          <cell r="AI62">
            <v>0</v>
          </cell>
          <cell r="AJ62">
            <v>0</v>
          </cell>
          <cell r="AL62">
            <v>0</v>
          </cell>
          <cell r="AM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BF62" t="str">
            <v>3100</v>
          </cell>
          <cell r="BG62" t="str">
            <v>C002</v>
          </cell>
          <cell r="BH62" t="str">
            <v>GBB</v>
          </cell>
        </row>
        <row r="63">
          <cell r="K63">
            <v>0</v>
          </cell>
          <cell r="L63">
            <v>0</v>
          </cell>
          <cell r="N63">
            <v>0</v>
          </cell>
          <cell r="O63">
            <v>0</v>
          </cell>
          <cell r="Q63">
            <v>0</v>
          </cell>
          <cell r="R63">
            <v>0</v>
          </cell>
          <cell r="T63">
            <v>0</v>
          </cell>
          <cell r="U63">
            <v>0</v>
          </cell>
          <cell r="W63">
            <v>0</v>
          </cell>
          <cell r="X63">
            <v>0</v>
          </cell>
          <cell r="Z63">
            <v>0</v>
          </cell>
          <cell r="AA63">
            <v>0</v>
          </cell>
          <cell r="AC63">
            <v>0</v>
          </cell>
          <cell r="AD63">
            <v>0</v>
          </cell>
          <cell r="AF63">
            <v>0</v>
          </cell>
          <cell r="AG63">
            <v>0</v>
          </cell>
          <cell r="AI63">
            <v>0</v>
          </cell>
          <cell r="AJ63">
            <v>0</v>
          </cell>
          <cell r="AL63">
            <v>0</v>
          </cell>
          <cell r="AM63">
            <v>0</v>
          </cell>
          <cell r="AO63">
            <v>0</v>
          </cell>
          <cell r="AP63">
            <v>0</v>
          </cell>
          <cell r="AR63">
            <v>0</v>
          </cell>
          <cell r="AS63">
            <v>0</v>
          </cell>
          <cell r="BF63" t="str">
            <v>3100</v>
          </cell>
          <cell r="BG63" t="str">
            <v>C003</v>
          </cell>
          <cell r="BH63" t="str">
            <v>GBB</v>
          </cell>
        </row>
        <row r="64">
          <cell r="K64">
            <v>0</v>
          </cell>
          <cell r="L64">
            <v>0</v>
          </cell>
          <cell r="N64">
            <v>0</v>
          </cell>
          <cell r="O64">
            <v>0</v>
          </cell>
          <cell r="Q64">
            <v>0</v>
          </cell>
          <cell r="R64">
            <v>0</v>
          </cell>
          <cell r="T64">
            <v>0</v>
          </cell>
          <cell r="U64">
            <v>0</v>
          </cell>
          <cell r="W64">
            <v>0</v>
          </cell>
          <cell r="X64">
            <v>0</v>
          </cell>
          <cell r="Z64">
            <v>0</v>
          </cell>
          <cell r="AA64">
            <v>0</v>
          </cell>
          <cell r="AC64">
            <v>0</v>
          </cell>
          <cell r="AD64">
            <v>0</v>
          </cell>
          <cell r="AF64">
            <v>0</v>
          </cell>
          <cell r="AG64">
            <v>0</v>
          </cell>
          <cell r="AI64">
            <v>0</v>
          </cell>
          <cell r="AJ64">
            <v>0</v>
          </cell>
          <cell r="AL64">
            <v>0</v>
          </cell>
          <cell r="AM64">
            <v>0</v>
          </cell>
          <cell r="AO64">
            <v>0</v>
          </cell>
          <cell r="AP64">
            <v>0</v>
          </cell>
          <cell r="AR64">
            <v>0</v>
          </cell>
          <cell r="AS64">
            <v>0</v>
          </cell>
          <cell r="BF64" t="str">
            <v>3100</v>
          </cell>
          <cell r="BG64" t="str">
            <v>C004</v>
          </cell>
          <cell r="BH64" t="str">
            <v>GBB</v>
          </cell>
        </row>
        <row r="65">
          <cell r="K65">
            <v>0</v>
          </cell>
          <cell r="L65">
            <v>0</v>
          </cell>
          <cell r="N65">
            <v>0</v>
          </cell>
          <cell r="O65">
            <v>0</v>
          </cell>
          <cell r="Q65">
            <v>0</v>
          </cell>
          <cell r="R65">
            <v>0</v>
          </cell>
          <cell r="T65">
            <v>0</v>
          </cell>
          <cell r="U65">
            <v>0</v>
          </cell>
          <cell r="W65">
            <v>0</v>
          </cell>
          <cell r="X65">
            <v>0</v>
          </cell>
          <cell r="Z65">
            <v>0</v>
          </cell>
          <cell r="AA65">
            <v>0</v>
          </cell>
          <cell r="AC65">
            <v>0</v>
          </cell>
          <cell r="AD65">
            <v>0</v>
          </cell>
          <cell r="AF65">
            <v>0</v>
          </cell>
          <cell r="AG65">
            <v>0</v>
          </cell>
          <cell r="AI65">
            <v>0</v>
          </cell>
          <cell r="AJ65">
            <v>0</v>
          </cell>
          <cell r="AL65">
            <v>0</v>
          </cell>
          <cell r="AM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BF65" t="str">
            <v>3100</v>
          </cell>
          <cell r="BG65" t="str">
            <v>C005</v>
          </cell>
          <cell r="BH65" t="str">
            <v>GBB</v>
          </cell>
        </row>
        <row r="66">
          <cell r="K66">
            <v>0</v>
          </cell>
          <cell r="L66">
            <v>0</v>
          </cell>
          <cell r="N66">
            <v>0</v>
          </cell>
          <cell r="O66">
            <v>0</v>
          </cell>
          <cell r="Q66">
            <v>0</v>
          </cell>
          <cell r="R66">
            <v>0</v>
          </cell>
          <cell r="T66">
            <v>0</v>
          </cell>
          <cell r="U66">
            <v>0</v>
          </cell>
          <cell r="W66">
            <v>0</v>
          </cell>
          <cell r="X66">
            <v>0</v>
          </cell>
          <cell r="Z66">
            <v>0</v>
          </cell>
          <cell r="AA66">
            <v>0</v>
          </cell>
          <cell r="AC66">
            <v>0</v>
          </cell>
          <cell r="AD66">
            <v>0</v>
          </cell>
          <cell r="AF66">
            <v>0</v>
          </cell>
          <cell r="AG66">
            <v>0</v>
          </cell>
          <cell r="AI66">
            <v>0</v>
          </cell>
          <cell r="AJ66">
            <v>0</v>
          </cell>
          <cell r="AL66">
            <v>0</v>
          </cell>
          <cell r="AM66">
            <v>0</v>
          </cell>
          <cell r="AO66">
            <v>0</v>
          </cell>
          <cell r="AP66">
            <v>0</v>
          </cell>
          <cell r="AR66">
            <v>0</v>
          </cell>
          <cell r="AS66">
            <v>0</v>
          </cell>
          <cell r="BF66" t="str">
            <v>3100</v>
          </cell>
          <cell r="BG66" t="str">
            <v>C006</v>
          </cell>
          <cell r="BH66" t="str">
            <v>GBB</v>
          </cell>
        </row>
        <row r="67">
          <cell r="K67">
            <v>0</v>
          </cell>
          <cell r="L67">
            <v>0</v>
          </cell>
          <cell r="N67">
            <v>0</v>
          </cell>
          <cell r="O67">
            <v>0</v>
          </cell>
          <cell r="Q67">
            <v>0</v>
          </cell>
          <cell r="R67">
            <v>0</v>
          </cell>
          <cell r="T67">
            <v>0</v>
          </cell>
          <cell r="U67">
            <v>0</v>
          </cell>
          <cell r="W67">
            <v>0</v>
          </cell>
          <cell r="X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F67">
            <v>0</v>
          </cell>
          <cell r="AG67">
            <v>0</v>
          </cell>
          <cell r="AI67">
            <v>0</v>
          </cell>
          <cell r="AJ67">
            <v>0</v>
          </cell>
          <cell r="AL67">
            <v>0</v>
          </cell>
          <cell r="AM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BF67" t="str">
            <v>3150</v>
          </cell>
          <cell r="BG67" t="str">
            <v>Z000</v>
          </cell>
          <cell r="BH67" t="str">
            <v>GBB</v>
          </cell>
        </row>
        <row r="68">
          <cell r="K68">
            <v>3400</v>
          </cell>
          <cell r="L68">
            <v>0</v>
          </cell>
          <cell r="N68">
            <v>3400</v>
          </cell>
          <cell r="O68">
            <v>0</v>
          </cell>
          <cell r="Q68">
            <v>3400</v>
          </cell>
          <cell r="R68">
            <v>0</v>
          </cell>
          <cell r="T68">
            <v>3400</v>
          </cell>
          <cell r="U68">
            <v>0</v>
          </cell>
          <cell r="W68">
            <v>3400</v>
          </cell>
          <cell r="X68">
            <v>0</v>
          </cell>
          <cell r="Z68">
            <v>3400</v>
          </cell>
          <cell r="AA68">
            <v>0</v>
          </cell>
          <cell r="AC68">
            <v>11483</v>
          </cell>
          <cell r="AD68">
            <v>0</v>
          </cell>
          <cell r="AF68">
            <v>39481</v>
          </cell>
          <cell r="AG68">
            <v>0</v>
          </cell>
          <cell r="AI68">
            <v>25482</v>
          </cell>
          <cell r="AJ68">
            <v>0</v>
          </cell>
          <cell r="AL68">
            <v>25482</v>
          </cell>
          <cell r="AM68">
            <v>0</v>
          </cell>
          <cell r="AO68">
            <v>25482</v>
          </cell>
          <cell r="AP68">
            <v>0</v>
          </cell>
          <cell r="AR68">
            <v>129342.08999999997</v>
          </cell>
          <cell r="AS68">
            <v>0</v>
          </cell>
          <cell r="BF68" t="str">
            <v>4000</v>
          </cell>
          <cell r="BG68" t="str">
            <v>D001</v>
          </cell>
          <cell r="BH68" t="str">
            <v>GBB</v>
          </cell>
        </row>
        <row r="69"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C69">
            <v>0</v>
          </cell>
          <cell r="AD69">
            <v>0</v>
          </cell>
          <cell r="AF69">
            <v>0</v>
          </cell>
          <cell r="AG69">
            <v>0</v>
          </cell>
          <cell r="AI69">
            <v>0</v>
          </cell>
          <cell r="AJ69">
            <v>0</v>
          </cell>
          <cell r="AL69">
            <v>0</v>
          </cell>
          <cell r="AM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BF69" t="str">
            <v>4000</v>
          </cell>
          <cell r="BG69" t="str">
            <v>D002</v>
          </cell>
          <cell r="BH69" t="str">
            <v>GBB</v>
          </cell>
        </row>
        <row r="70"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C70">
            <v>0</v>
          </cell>
          <cell r="AD70">
            <v>0</v>
          </cell>
          <cell r="AF70">
            <v>0</v>
          </cell>
          <cell r="AG70">
            <v>0</v>
          </cell>
          <cell r="AI70">
            <v>0</v>
          </cell>
          <cell r="AJ70">
            <v>0</v>
          </cell>
          <cell r="AL70">
            <v>0</v>
          </cell>
          <cell r="AM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BF70" t="str">
            <v>4010</v>
          </cell>
          <cell r="BG70" t="str">
            <v>Z000</v>
          </cell>
          <cell r="BH70" t="str">
            <v>GBB</v>
          </cell>
        </row>
        <row r="71">
          <cell r="K71">
            <v>515.34000000000015</v>
          </cell>
          <cell r="L71">
            <v>0</v>
          </cell>
          <cell r="N71">
            <v>1016.7900000000009</v>
          </cell>
          <cell r="O71">
            <v>0</v>
          </cell>
          <cell r="Q71">
            <v>597.06000000000131</v>
          </cell>
          <cell r="R71">
            <v>0</v>
          </cell>
          <cell r="T71">
            <v>3397.4599999999973</v>
          </cell>
          <cell r="U71">
            <v>0</v>
          </cell>
          <cell r="W71">
            <v>2344.8599999999988</v>
          </cell>
          <cell r="X71">
            <v>0</v>
          </cell>
          <cell r="Z71">
            <v>2337.5999999999985</v>
          </cell>
          <cell r="AA71">
            <v>0</v>
          </cell>
          <cell r="AC71">
            <v>1598.660000000018</v>
          </cell>
          <cell r="AD71">
            <v>0</v>
          </cell>
          <cell r="AF71">
            <v>1714.0199999999968</v>
          </cell>
          <cell r="AG71">
            <v>0</v>
          </cell>
          <cell r="AI71">
            <v>1940.3000000000102</v>
          </cell>
          <cell r="AJ71">
            <v>0</v>
          </cell>
          <cell r="AL71">
            <v>1942.530000000017</v>
          </cell>
          <cell r="AM71">
            <v>0</v>
          </cell>
          <cell r="AO71">
            <v>2254.8500000000095</v>
          </cell>
          <cell r="AP71">
            <v>0</v>
          </cell>
          <cell r="AR71">
            <v>3851.8400000000329</v>
          </cell>
          <cell r="AS71">
            <v>0</v>
          </cell>
          <cell r="BF71" t="str">
            <v>4150</v>
          </cell>
          <cell r="BG71" t="str">
            <v>Z000</v>
          </cell>
          <cell r="BH71" t="str">
            <v>GBB</v>
          </cell>
        </row>
        <row r="72"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C72">
            <v>0.02</v>
          </cell>
          <cell r="AD72">
            <v>0</v>
          </cell>
          <cell r="AF72">
            <v>0</v>
          </cell>
          <cell r="AG72">
            <v>0</v>
          </cell>
          <cell r="AI72">
            <v>0</v>
          </cell>
          <cell r="AJ72">
            <v>0</v>
          </cell>
          <cell r="AL72">
            <v>0</v>
          </cell>
          <cell r="AM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BF72" t="str">
            <v>4200</v>
          </cell>
          <cell r="BG72" t="str">
            <v>Z000</v>
          </cell>
          <cell r="BH72" t="str">
            <v>GBB</v>
          </cell>
        </row>
        <row r="73">
          <cell r="K73">
            <v>0</v>
          </cell>
          <cell r="L73">
            <v>0</v>
          </cell>
          <cell r="N73">
            <v>0</v>
          </cell>
          <cell r="O73">
            <v>0</v>
          </cell>
          <cell r="Q73">
            <v>0</v>
          </cell>
          <cell r="R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Z73">
            <v>0</v>
          </cell>
          <cell r="AA73">
            <v>0</v>
          </cell>
          <cell r="AC73">
            <v>0</v>
          </cell>
          <cell r="AD73">
            <v>0</v>
          </cell>
          <cell r="AF73">
            <v>0</v>
          </cell>
          <cell r="AG73">
            <v>0</v>
          </cell>
          <cell r="AI73">
            <v>1120</v>
          </cell>
          <cell r="AJ73">
            <v>0</v>
          </cell>
          <cell r="AL73">
            <v>5532.25</v>
          </cell>
          <cell r="AM73">
            <v>0</v>
          </cell>
          <cell r="AO73">
            <v>5532.25</v>
          </cell>
          <cell r="AP73">
            <v>0</v>
          </cell>
          <cell r="AR73">
            <v>5532.25</v>
          </cell>
          <cell r="AS73">
            <v>0</v>
          </cell>
          <cell r="BF73" t="str">
            <v>4215</v>
          </cell>
          <cell r="BG73" t="str">
            <v>Z000</v>
          </cell>
          <cell r="BH73" t="str">
            <v>GBB</v>
          </cell>
        </row>
        <row r="74">
          <cell r="K74">
            <v>560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4120</v>
          </cell>
          <cell r="X74">
            <v>0</v>
          </cell>
          <cell r="Z74">
            <v>0</v>
          </cell>
          <cell r="AA74">
            <v>0</v>
          </cell>
          <cell r="AC74">
            <v>0</v>
          </cell>
          <cell r="AD74">
            <v>0</v>
          </cell>
          <cell r="AF74">
            <v>1172</v>
          </cell>
          <cell r="AG74">
            <v>0</v>
          </cell>
          <cell r="AI74">
            <v>2735</v>
          </cell>
          <cell r="AJ74">
            <v>0</v>
          </cell>
          <cell r="AL74">
            <v>0</v>
          </cell>
          <cell r="AM74">
            <v>0</v>
          </cell>
          <cell r="AO74">
            <v>0</v>
          </cell>
          <cell r="AP74">
            <v>0</v>
          </cell>
          <cell r="AR74">
            <v>786.59999999999854</v>
          </cell>
          <cell r="AS74">
            <v>0</v>
          </cell>
          <cell r="BF74" t="str">
            <v>4230</v>
          </cell>
          <cell r="BG74" t="str">
            <v>Z000</v>
          </cell>
          <cell r="BH74" t="str">
            <v>GBB</v>
          </cell>
        </row>
        <row r="75">
          <cell r="K75">
            <v>0</v>
          </cell>
          <cell r="L75">
            <v>0</v>
          </cell>
          <cell r="N75">
            <v>0</v>
          </cell>
          <cell r="O75">
            <v>0</v>
          </cell>
          <cell r="Q75">
            <v>0</v>
          </cell>
          <cell r="R75">
            <v>0</v>
          </cell>
          <cell r="T75">
            <v>0</v>
          </cell>
          <cell r="U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C75">
            <v>0</v>
          </cell>
          <cell r="AD75">
            <v>0</v>
          </cell>
          <cell r="AF75">
            <v>0</v>
          </cell>
          <cell r="AG75">
            <v>0</v>
          </cell>
          <cell r="AI75">
            <v>0</v>
          </cell>
          <cell r="AJ75">
            <v>0</v>
          </cell>
          <cell r="AL75">
            <v>0</v>
          </cell>
          <cell r="AM75">
            <v>0</v>
          </cell>
          <cell r="AO75">
            <v>0</v>
          </cell>
          <cell r="AP75">
            <v>0</v>
          </cell>
          <cell r="AR75">
            <v>0</v>
          </cell>
          <cell r="AS75">
            <v>0</v>
          </cell>
          <cell r="BF75" t="str">
            <v>4240</v>
          </cell>
          <cell r="BG75" t="str">
            <v>Z000</v>
          </cell>
          <cell r="BH75" t="str">
            <v>GBB</v>
          </cell>
        </row>
        <row r="76"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0</v>
          </cell>
          <cell r="U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C76">
            <v>0</v>
          </cell>
          <cell r="AD76">
            <v>0</v>
          </cell>
          <cell r="AF76">
            <v>0</v>
          </cell>
          <cell r="AG76">
            <v>0</v>
          </cell>
          <cell r="AI76">
            <v>0</v>
          </cell>
          <cell r="AJ76">
            <v>0</v>
          </cell>
          <cell r="AL76">
            <v>0</v>
          </cell>
          <cell r="AM76">
            <v>0</v>
          </cell>
          <cell r="AO76">
            <v>0</v>
          </cell>
          <cell r="AP76">
            <v>0</v>
          </cell>
          <cell r="AR76">
            <v>449.88999999999987</v>
          </cell>
          <cell r="AS76">
            <v>0</v>
          </cell>
          <cell r="BF76" t="str">
            <v>4250</v>
          </cell>
          <cell r="BG76" t="str">
            <v>Z000</v>
          </cell>
          <cell r="BH76" t="str">
            <v>GBB</v>
          </cell>
        </row>
        <row r="77"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Z77">
            <v>0</v>
          </cell>
          <cell r="AA77">
            <v>0</v>
          </cell>
          <cell r="AC77">
            <v>0</v>
          </cell>
          <cell r="AD77">
            <v>0</v>
          </cell>
          <cell r="AF77">
            <v>0</v>
          </cell>
          <cell r="AG77">
            <v>0</v>
          </cell>
          <cell r="AI77">
            <v>0</v>
          </cell>
          <cell r="AJ77">
            <v>0</v>
          </cell>
          <cell r="AL77">
            <v>0</v>
          </cell>
          <cell r="AM77">
            <v>0</v>
          </cell>
          <cell r="AO77">
            <v>0</v>
          </cell>
          <cell r="AP77">
            <v>0</v>
          </cell>
          <cell r="AR77">
            <v>0</v>
          </cell>
          <cell r="AS77">
            <v>0</v>
          </cell>
          <cell r="BF77" t="str">
            <v>4275</v>
          </cell>
          <cell r="BG77" t="str">
            <v>Z000</v>
          </cell>
          <cell r="BH77" t="str">
            <v>GBB</v>
          </cell>
        </row>
        <row r="78">
          <cell r="K78">
            <v>104.74</v>
          </cell>
          <cell r="L78">
            <v>0</v>
          </cell>
          <cell r="N78">
            <v>104.74000000000001</v>
          </cell>
          <cell r="O78">
            <v>0</v>
          </cell>
          <cell r="Q78">
            <v>101.36000000000001</v>
          </cell>
          <cell r="R78">
            <v>0</v>
          </cell>
          <cell r="T78">
            <v>104.74000000000001</v>
          </cell>
          <cell r="U78">
            <v>0</v>
          </cell>
          <cell r="W78">
            <v>101.35999999999984</v>
          </cell>
          <cell r="X78">
            <v>0</v>
          </cell>
          <cell r="Z78">
            <v>104.74000000000001</v>
          </cell>
          <cell r="AA78">
            <v>0</v>
          </cell>
          <cell r="AC78">
            <v>104.74000000000001</v>
          </cell>
          <cell r="AD78">
            <v>0</v>
          </cell>
          <cell r="AF78">
            <v>94.599999999999909</v>
          </cell>
          <cell r="AG78">
            <v>0</v>
          </cell>
          <cell r="AI78">
            <v>104.73999999999978</v>
          </cell>
          <cell r="AJ78">
            <v>0</v>
          </cell>
          <cell r="AL78">
            <v>101.36000000000013</v>
          </cell>
          <cell r="AM78">
            <v>0</v>
          </cell>
          <cell r="AO78">
            <v>1369.2099999999994</v>
          </cell>
          <cell r="AP78">
            <v>0</v>
          </cell>
          <cell r="AR78">
            <v>1560.3599999999997</v>
          </cell>
          <cell r="AS78">
            <v>0</v>
          </cell>
          <cell r="BF78" t="str">
            <v>4300</v>
          </cell>
          <cell r="BG78" t="str">
            <v>Z000</v>
          </cell>
          <cell r="BH78" t="str">
            <v>GBB</v>
          </cell>
        </row>
        <row r="79"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Z79">
            <v>0</v>
          </cell>
          <cell r="AA79">
            <v>0</v>
          </cell>
          <cell r="AC79">
            <v>0</v>
          </cell>
          <cell r="AD79">
            <v>0</v>
          </cell>
          <cell r="AF79">
            <v>0</v>
          </cell>
          <cell r="AG79">
            <v>0</v>
          </cell>
          <cell r="AI79">
            <v>0</v>
          </cell>
          <cell r="AJ79">
            <v>0</v>
          </cell>
          <cell r="AL79">
            <v>0</v>
          </cell>
          <cell r="AM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BF79" t="str">
            <v>4320</v>
          </cell>
          <cell r="BG79" t="str">
            <v>Z000</v>
          </cell>
          <cell r="BH79" t="str">
            <v>GBB</v>
          </cell>
        </row>
        <row r="80">
          <cell r="K80">
            <v>0</v>
          </cell>
          <cell r="L80">
            <v>0</v>
          </cell>
          <cell r="N80">
            <v>0</v>
          </cell>
          <cell r="O80">
            <v>0</v>
          </cell>
          <cell r="Q80">
            <v>0</v>
          </cell>
          <cell r="R80">
            <v>0</v>
          </cell>
          <cell r="T80">
            <v>0</v>
          </cell>
          <cell r="U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C80">
            <v>0</v>
          </cell>
          <cell r="AD80">
            <v>0</v>
          </cell>
          <cell r="AF80">
            <v>0</v>
          </cell>
          <cell r="AG80">
            <v>0</v>
          </cell>
          <cell r="AI80">
            <v>0</v>
          </cell>
          <cell r="AJ80">
            <v>0</v>
          </cell>
          <cell r="AL80">
            <v>0</v>
          </cell>
          <cell r="AM80">
            <v>0</v>
          </cell>
          <cell r="AO80">
            <v>0</v>
          </cell>
          <cell r="AP80">
            <v>0</v>
          </cell>
          <cell r="AR80">
            <v>0</v>
          </cell>
          <cell r="AS80">
            <v>0</v>
          </cell>
          <cell r="BF80" t="str">
            <v>4330</v>
          </cell>
          <cell r="BG80" t="str">
            <v>Z000</v>
          </cell>
          <cell r="BH80" t="str">
            <v>GBB</v>
          </cell>
        </row>
        <row r="81">
          <cell r="K81">
            <v>0</v>
          </cell>
          <cell r="L81">
            <v>0</v>
          </cell>
          <cell r="N81">
            <v>0</v>
          </cell>
          <cell r="O81">
            <v>0</v>
          </cell>
          <cell r="Q81">
            <v>0</v>
          </cell>
          <cell r="R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C81">
            <v>0</v>
          </cell>
          <cell r="AD81">
            <v>0</v>
          </cell>
          <cell r="AF81">
            <v>0</v>
          </cell>
          <cell r="AG81">
            <v>0</v>
          </cell>
          <cell r="AI81">
            <v>0</v>
          </cell>
          <cell r="AJ81">
            <v>0</v>
          </cell>
          <cell r="AL81">
            <v>0</v>
          </cell>
          <cell r="AM81">
            <v>0</v>
          </cell>
          <cell r="AO81">
            <v>0</v>
          </cell>
          <cell r="AP81">
            <v>0</v>
          </cell>
          <cell r="AR81">
            <v>0</v>
          </cell>
          <cell r="AS81">
            <v>0</v>
          </cell>
          <cell r="BF81" t="str">
            <v>4340</v>
          </cell>
          <cell r="BG81" t="str">
            <v>D006</v>
          </cell>
          <cell r="BH81" t="str">
            <v>GBB</v>
          </cell>
        </row>
        <row r="82">
          <cell r="K82">
            <v>0</v>
          </cell>
          <cell r="L82">
            <v>0</v>
          </cell>
          <cell r="N82">
            <v>0</v>
          </cell>
          <cell r="O82">
            <v>0</v>
          </cell>
          <cell r="Q82">
            <v>0</v>
          </cell>
          <cell r="R82">
            <v>0</v>
          </cell>
          <cell r="T82">
            <v>0</v>
          </cell>
          <cell r="U82">
            <v>0</v>
          </cell>
          <cell r="W82">
            <v>0</v>
          </cell>
          <cell r="X82">
            <v>0</v>
          </cell>
          <cell r="Z82">
            <v>0</v>
          </cell>
          <cell r="AA82">
            <v>0</v>
          </cell>
          <cell r="AC82">
            <v>0</v>
          </cell>
          <cell r="AD82">
            <v>0</v>
          </cell>
          <cell r="AF82">
            <v>0</v>
          </cell>
          <cell r="AG82">
            <v>0</v>
          </cell>
          <cell r="AI82">
            <v>0</v>
          </cell>
          <cell r="AJ82">
            <v>0</v>
          </cell>
          <cell r="AL82">
            <v>0</v>
          </cell>
          <cell r="AM82">
            <v>0</v>
          </cell>
          <cell r="AO82">
            <v>0</v>
          </cell>
          <cell r="AP82">
            <v>0</v>
          </cell>
          <cell r="AR82">
            <v>0</v>
          </cell>
          <cell r="AS82">
            <v>0</v>
          </cell>
          <cell r="BF82" t="str">
            <v>4340</v>
          </cell>
          <cell r="BG82" t="str">
            <v>D007</v>
          </cell>
          <cell r="BH82" t="str">
            <v>GBB</v>
          </cell>
        </row>
        <row r="83">
          <cell r="K83">
            <v>0</v>
          </cell>
          <cell r="L83">
            <v>0</v>
          </cell>
          <cell r="N83">
            <v>0</v>
          </cell>
          <cell r="O83">
            <v>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C83">
            <v>0</v>
          </cell>
          <cell r="AD83">
            <v>0</v>
          </cell>
          <cell r="AF83">
            <v>0</v>
          </cell>
          <cell r="AG83">
            <v>0</v>
          </cell>
          <cell r="AI83">
            <v>0</v>
          </cell>
          <cell r="AJ83">
            <v>0</v>
          </cell>
          <cell r="AL83">
            <v>2598.6999999999998</v>
          </cell>
          <cell r="AM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BF83" t="str">
            <v>4340</v>
          </cell>
          <cell r="BG83" t="str">
            <v>D008</v>
          </cell>
          <cell r="BH83" t="str">
            <v>GBB</v>
          </cell>
        </row>
        <row r="84">
          <cell r="K84">
            <v>0</v>
          </cell>
          <cell r="L84">
            <v>0</v>
          </cell>
          <cell r="N84">
            <v>0</v>
          </cell>
          <cell r="O84">
            <v>0</v>
          </cell>
          <cell r="Q84">
            <v>0</v>
          </cell>
          <cell r="R84">
            <v>0</v>
          </cell>
          <cell r="T84">
            <v>500</v>
          </cell>
          <cell r="U84">
            <v>0</v>
          </cell>
          <cell r="W84">
            <v>500</v>
          </cell>
          <cell r="X84">
            <v>0</v>
          </cell>
          <cell r="Z84">
            <v>0</v>
          </cell>
          <cell r="AA84">
            <v>0</v>
          </cell>
          <cell r="AC84">
            <v>500</v>
          </cell>
          <cell r="AD84">
            <v>0</v>
          </cell>
          <cell r="AF84">
            <v>0</v>
          </cell>
          <cell r="AG84">
            <v>0</v>
          </cell>
          <cell r="AI84">
            <v>0</v>
          </cell>
          <cell r="AJ84">
            <v>0</v>
          </cell>
          <cell r="AL84">
            <v>0</v>
          </cell>
          <cell r="AM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BF84" t="str">
            <v>4360</v>
          </cell>
          <cell r="BG84" t="str">
            <v>Z000</v>
          </cell>
          <cell r="BH84" t="str">
            <v>GBB</v>
          </cell>
        </row>
        <row r="85">
          <cell r="K85">
            <v>0</v>
          </cell>
          <cell r="L85">
            <v>0</v>
          </cell>
          <cell r="N85">
            <v>0</v>
          </cell>
          <cell r="O85">
            <v>0</v>
          </cell>
          <cell r="Q85">
            <v>0</v>
          </cell>
          <cell r="R85">
            <v>0</v>
          </cell>
          <cell r="T85">
            <v>3822.6</v>
          </cell>
          <cell r="U85">
            <v>0</v>
          </cell>
          <cell r="W85">
            <v>6296.1899999999987</v>
          </cell>
          <cell r="X85">
            <v>0</v>
          </cell>
          <cell r="Z85">
            <v>0</v>
          </cell>
          <cell r="AA85">
            <v>0</v>
          </cell>
          <cell r="AC85">
            <v>0</v>
          </cell>
          <cell r="AD85">
            <v>0</v>
          </cell>
          <cell r="AF85">
            <v>0</v>
          </cell>
          <cell r="AG85">
            <v>0</v>
          </cell>
          <cell r="AI85">
            <v>0</v>
          </cell>
          <cell r="AJ85">
            <v>0</v>
          </cell>
          <cell r="AL85">
            <v>0</v>
          </cell>
          <cell r="AM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BF85" t="str">
            <v>4380</v>
          </cell>
          <cell r="BG85" t="str">
            <v>Z000</v>
          </cell>
          <cell r="BH85" t="str">
            <v>GBB</v>
          </cell>
        </row>
        <row r="86"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Z86">
            <v>0</v>
          </cell>
          <cell r="AA86">
            <v>0</v>
          </cell>
          <cell r="AC86">
            <v>0</v>
          </cell>
          <cell r="AD86">
            <v>0</v>
          </cell>
          <cell r="AF86">
            <v>0</v>
          </cell>
          <cell r="AG86">
            <v>0</v>
          </cell>
          <cell r="AI86">
            <v>0</v>
          </cell>
          <cell r="AJ86">
            <v>0</v>
          </cell>
          <cell r="AL86">
            <v>0</v>
          </cell>
          <cell r="AM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BF86" t="str">
            <v>4400</v>
          </cell>
          <cell r="BG86" t="str">
            <v>Z000</v>
          </cell>
          <cell r="BH86" t="str">
            <v>GBB</v>
          </cell>
        </row>
        <row r="87">
          <cell r="K87">
            <v>0</v>
          </cell>
          <cell r="L87">
            <v>0</v>
          </cell>
          <cell r="N87">
            <v>0</v>
          </cell>
          <cell r="O87">
            <v>0</v>
          </cell>
          <cell r="Q87">
            <v>0</v>
          </cell>
          <cell r="R87">
            <v>0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F87">
            <v>0</v>
          </cell>
          <cell r="AG87">
            <v>0</v>
          </cell>
          <cell r="AI87">
            <v>0</v>
          </cell>
          <cell r="AJ87">
            <v>0</v>
          </cell>
          <cell r="AL87">
            <v>0</v>
          </cell>
          <cell r="AM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BF87" t="str">
            <v>4480</v>
          </cell>
          <cell r="BG87" t="str">
            <v>Z000</v>
          </cell>
          <cell r="BH87" t="str">
            <v>GBB</v>
          </cell>
        </row>
        <row r="88">
          <cell r="K88">
            <v>0</v>
          </cell>
          <cell r="L88">
            <v>0</v>
          </cell>
          <cell r="N88">
            <v>0</v>
          </cell>
          <cell r="O88">
            <v>0</v>
          </cell>
          <cell r="Q88">
            <v>0</v>
          </cell>
          <cell r="R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Z88">
            <v>0</v>
          </cell>
          <cell r="AA88">
            <v>0</v>
          </cell>
          <cell r="AC88">
            <v>0</v>
          </cell>
          <cell r="AD88">
            <v>0</v>
          </cell>
          <cell r="AF88">
            <v>0</v>
          </cell>
          <cell r="AG88">
            <v>0</v>
          </cell>
          <cell r="AI88">
            <v>0</v>
          </cell>
          <cell r="AJ88">
            <v>0</v>
          </cell>
          <cell r="AL88">
            <v>0</v>
          </cell>
          <cell r="AM88">
            <v>0</v>
          </cell>
          <cell r="AO88">
            <v>0</v>
          </cell>
          <cell r="AP88">
            <v>0</v>
          </cell>
          <cell r="AR88">
            <v>0</v>
          </cell>
          <cell r="AS88">
            <v>0</v>
          </cell>
          <cell r="BF88" t="str">
            <v>4500</v>
          </cell>
          <cell r="BG88" t="str">
            <v>Z000</v>
          </cell>
          <cell r="BH88" t="str">
            <v>GBB</v>
          </cell>
        </row>
        <row r="89">
          <cell r="K89">
            <v>0</v>
          </cell>
          <cell r="L89">
            <v>0</v>
          </cell>
          <cell r="N89">
            <v>0</v>
          </cell>
          <cell r="O89">
            <v>0</v>
          </cell>
          <cell r="Q89">
            <v>0</v>
          </cell>
          <cell r="R89">
            <v>0</v>
          </cell>
          <cell r="T89">
            <v>0</v>
          </cell>
          <cell r="U89">
            <v>0</v>
          </cell>
          <cell r="W89">
            <v>0</v>
          </cell>
          <cell r="X89">
            <v>0</v>
          </cell>
          <cell r="Z89">
            <v>0</v>
          </cell>
          <cell r="AA89">
            <v>0</v>
          </cell>
          <cell r="AC89">
            <v>0</v>
          </cell>
          <cell r="AD89">
            <v>0</v>
          </cell>
          <cell r="AF89">
            <v>0</v>
          </cell>
          <cell r="AG89">
            <v>0</v>
          </cell>
          <cell r="AI89">
            <v>0</v>
          </cell>
          <cell r="AJ89">
            <v>0</v>
          </cell>
          <cell r="AL89">
            <v>0</v>
          </cell>
          <cell r="AM89">
            <v>0</v>
          </cell>
          <cell r="AO89">
            <v>0</v>
          </cell>
          <cell r="AP89">
            <v>0</v>
          </cell>
          <cell r="AR89">
            <v>0</v>
          </cell>
          <cell r="AS89">
            <v>0</v>
          </cell>
          <cell r="BF89" t="str">
            <v>4520</v>
          </cell>
          <cell r="BG89" t="str">
            <v>D011</v>
          </cell>
          <cell r="BH89" t="str">
            <v>GBB</v>
          </cell>
        </row>
        <row r="90">
          <cell r="K90">
            <v>0</v>
          </cell>
          <cell r="L90">
            <v>0</v>
          </cell>
          <cell r="N90">
            <v>0</v>
          </cell>
          <cell r="O90">
            <v>0</v>
          </cell>
          <cell r="Q90">
            <v>0</v>
          </cell>
          <cell r="R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Z90">
            <v>0</v>
          </cell>
          <cell r="AA90">
            <v>0</v>
          </cell>
          <cell r="AC90">
            <v>0</v>
          </cell>
          <cell r="AD90">
            <v>0</v>
          </cell>
          <cell r="AF90">
            <v>0</v>
          </cell>
          <cell r="AG90">
            <v>0</v>
          </cell>
          <cell r="AI90">
            <v>0</v>
          </cell>
          <cell r="AJ90">
            <v>0</v>
          </cell>
          <cell r="AL90">
            <v>0</v>
          </cell>
          <cell r="AM90">
            <v>0</v>
          </cell>
          <cell r="AO90">
            <v>0</v>
          </cell>
          <cell r="AP90">
            <v>0</v>
          </cell>
          <cell r="AR90">
            <v>0</v>
          </cell>
          <cell r="AS90">
            <v>0</v>
          </cell>
          <cell r="BF90" t="str">
            <v>4520</v>
          </cell>
          <cell r="BG90" t="str">
            <v>D012</v>
          </cell>
          <cell r="BH90" t="str">
            <v>GBB</v>
          </cell>
        </row>
        <row r="91">
          <cell r="K91">
            <v>0</v>
          </cell>
          <cell r="L91">
            <v>0</v>
          </cell>
          <cell r="N91">
            <v>0</v>
          </cell>
          <cell r="O91">
            <v>0</v>
          </cell>
          <cell r="Q91">
            <v>0</v>
          </cell>
          <cell r="R91">
            <v>0</v>
          </cell>
          <cell r="T91">
            <v>0</v>
          </cell>
          <cell r="U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C91">
            <v>0</v>
          </cell>
          <cell r="AD91">
            <v>0</v>
          </cell>
          <cell r="AF91">
            <v>0</v>
          </cell>
          <cell r="AG91">
            <v>0</v>
          </cell>
          <cell r="AI91">
            <v>0</v>
          </cell>
          <cell r="AJ91">
            <v>0</v>
          </cell>
          <cell r="AL91">
            <v>0</v>
          </cell>
          <cell r="AM91">
            <v>0</v>
          </cell>
          <cell r="AO91">
            <v>0</v>
          </cell>
          <cell r="AP91">
            <v>0</v>
          </cell>
          <cell r="AR91">
            <v>0</v>
          </cell>
          <cell r="AS91">
            <v>0</v>
          </cell>
          <cell r="BF91" t="str">
            <v>4520</v>
          </cell>
          <cell r="BG91" t="str">
            <v>D013</v>
          </cell>
          <cell r="BH91" t="str">
            <v>GBB</v>
          </cell>
        </row>
        <row r="92">
          <cell r="K92">
            <v>0</v>
          </cell>
          <cell r="L92">
            <v>0</v>
          </cell>
          <cell r="N92">
            <v>0</v>
          </cell>
          <cell r="O92">
            <v>0</v>
          </cell>
          <cell r="Q92">
            <v>0</v>
          </cell>
          <cell r="R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Z92">
            <v>0</v>
          </cell>
          <cell r="AA92">
            <v>0</v>
          </cell>
          <cell r="AC92">
            <v>0</v>
          </cell>
          <cell r="AD92">
            <v>0</v>
          </cell>
          <cell r="AF92">
            <v>0</v>
          </cell>
          <cell r="AG92">
            <v>0</v>
          </cell>
          <cell r="AI92">
            <v>0</v>
          </cell>
          <cell r="AJ92">
            <v>0</v>
          </cell>
          <cell r="AL92">
            <v>0</v>
          </cell>
          <cell r="AM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BF92" t="str">
            <v>4520</v>
          </cell>
          <cell r="BG92" t="str">
            <v>D014</v>
          </cell>
          <cell r="BH92" t="str">
            <v>GBB</v>
          </cell>
        </row>
        <row r="93"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Z93">
            <v>0</v>
          </cell>
          <cell r="AA93">
            <v>0</v>
          </cell>
          <cell r="AC93">
            <v>0</v>
          </cell>
          <cell r="AD93">
            <v>0</v>
          </cell>
          <cell r="AF93">
            <v>0</v>
          </cell>
          <cell r="AG93">
            <v>0</v>
          </cell>
          <cell r="AI93">
            <v>0</v>
          </cell>
          <cell r="AJ93">
            <v>0</v>
          </cell>
          <cell r="AL93">
            <v>0</v>
          </cell>
          <cell r="AM93">
            <v>0</v>
          </cell>
          <cell r="AO93">
            <v>0</v>
          </cell>
          <cell r="AP93">
            <v>0</v>
          </cell>
          <cell r="AR93">
            <v>0</v>
          </cell>
          <cell r="AS93">
            <v>0</v>
          </cell>
          <cell r="BF93" t="str">
            <v>4520</v>
          </cell>
          <cell r="BG93" t="str">
            <v>D015</v>
          </cell>
          <cell r="BH93" t="str">
            <v>GBB</v>
          </cell>
        </row>
        <row r="94">
          <cell r="K94">
            <v>0</v>
          </cell>
          <cell r="L94">
            <v>0</v>
          </cell>
          <cell r="N94">
            <v>0</v>
          </cell>
          <cell r="O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W94">
            <v>0</v>
          </cell>
          <cell r="X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F94">
            <v>0</v>
          </cell>
          <cell r="AG94">
            <v>0</v>
          </cell>
          <cell r="AI94">
            <v>0</v>
          </cell>
          <cell r="AJ94">
            <v>0</v>
          </cell>
          <cell r="AL94">
            <v>0</v>
          </cell>
          <cell r="AM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BF94" t="str">
            <v>4520</v>
          </cell>
          <cell r="BG94" t="str">
            <v>D016</v>
          </cell>
          <cell r="BH94" t="str">
            <v>GBB</v>
          </cell>
        </row>
        <row r="95">
          <cell r="K95">
            <v>0</v>
          </cell>
          <cell r="L95">
            <v>0</v>
          </cell>
          <cell r="N95">
            <v>0</v>
          </cell>
          <cell r="O95">
            <v>0</v>
          </cell>
          <cell r="Q95">
            <v>0</v>
          </cell>
          <cell r="R95">
            <v>0</v>
          </cell>
          <cell r="T95">
            <v>0</v>
          </cell>
          <cell r="U95">
            <v>0</v>
          </cell>
          <cell r="W95">
            <v>0</v>
          </cell>
          <cell r="X95">
            <v>0</v>
          </cell>
          <cell r="Z95">
            <v>0</v>
          </cell>
          <cell r="AA95">
            <v>0</v>
          </cell>
          <cell r="AC95">
            <v>0</v>
          </cell>
          <cell r="AD95">
            <v>0</v>
          </cell>
          <cell r="AF95">
            <v>0</v>
          </cell>
          <cell r="AG95">
            <v>0</v>
          </cell>
          <cell r="AI95">
            <v>0</v>
          </cell>
          <cell r="AJ95">
            <v>0</v>
          </cell>
          <cell r="AL95">
            <v>0</v>
          </cell>
          <cell r="AM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0</v>
          </cell>
          <cell r="BF95" t="str">
            <v>4560</v>
          </cell>
          <cell r="BG95" t="str">
            <v>Z000</v>
          </cell>
          <cell r="BH95" t="str">
            <v>GBB</v>
          </cell>
        </row>
        <row r="96">
          <cell r="K96">
            <v>0</v>
          </cell>
          <cell r="L96">
            <v>0</v>
          </cell>
          <cell r="N96">
            <v>0</v>
          </cell>
          <cell r="O96">
            <v>0</v>
          </cell>
          <cell r="Q96">
            <v>0</v>
          </cell>
          <cell r="R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Z96">
            <v>0</v>
          </cell>
          <cell r="AA96">
            <v>0</v>
          </cell>
          <cell r="AC96">
            <v>0</v>
          </cell>
          <cell r="AD96">
            <v>0</v>
          </cell>
          <cell r="AF96">
            <v>0</v>
          </cell>
          <cell r="AG96">
            <v>0</v>
          </cell>
          <cell r="AI96">
            <v>510.66000000000349</v>
          </cell>
          <cell r="AJ96">
            <v>0</v>
          </cell>
          <cell r="AL96">
            <v>794.80000000000291</v>
          </cell>
          <cell r="AM96">
            <v>0</v>
          </cell>
          <cell r="AO96">
            <v>1721.1600000000035</v>
          </cell>
          <cell r="AP96">
            <v>0</v>
          </cell>
          <cell r="AR96">
            <v>1318.8300000000017</v>
          </cell>
          <cell r="AS96">
            <v>0</v>
          </cell>
          <cell r="BF96" t="str">
            <v>4580</v>
          </cell>
          <cell r="BG96" t="str">
            <v>Z000</v>
          </cell>
          <cell r="BH96" t="str">
            <v>GBB</v>
          </cell>
        </row>
        <row r="97">
          <cell r="K97">
            <v>0</v>
          </cell>
          <cell r="L97">
            <v>0</v>
          </cell>
          <cell r="N97">
            <v>0</v>
          </cell>
          <cell r="O97">
            <v>0</v>
          </cell>
          <cell r="Q97">
            <v>0</v>
          </cell>
          <cell r="R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Z97">
            <v>0</v>
          </cell>
          <cell r="AA97">
            <v>0</v>
          </cell>
          <cell r="AC97">
            <v>0</v>
          </cell>
          <cell r="AD97">
            <v>0</v>
          </cell>
          <cell r="AF97">
            <v>0</v>
          </cell>
          <cell r="AG97">
            <v>0</v>
          </cell>
          <cell r="AI97">
            <v>0</v>
          </cell>
          <cell r="AJ97">
            <v>0</v>
          </cell>
          <cell r="AL97">
            <v>0</v>
          </cell>
          <cell r="AM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BF97" t="str">
            <v>4585</v>
          </cell>
          <cell r="BG97" t="str">
            <v>D021</v>
          </cell>
          <cell r="BH97" t="str">
            <v>GBB</v>
          </cell>
        </row>
        <row r="98">
          <cell r="K98">
            <v>0</v>
          </cell>
          <cell r="L98">
            <v>0</v>
          </cell>
          <cell r="N98">
            <v>0</v>
          </cell>
          <cell r="O98">
            <v>0</v>
          </cell>
          <cell r="Q98">
            <v>0</v>
          </cell>
          <cell r="R98">
            <v>0</v>
          </cell>
          <cell r="T98">
            <v>0</v>
          </cell>
          <cell r="U98">
            <v>0</v>
          </cell>
          <cell r="W98">
            <v>0</v>
          </cell>
          <cell r="X98">
            <v>0</v>
          </cell>
          <cell r="Z98">
            <v>0</v>
          </cell>
          <cell r="AA98">
            <v>0</v>
          </cell>
          <cell r="AC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J98">
            <v>0</v>
          </cell>
          <cell r="AL98">
            <v>0</v>
          </cell>
          <cell r="AM98">
            <v>0</v>
          </cell>
          <cell r="AO98">
            <v>0</v>
          </cell>
          <cell r="AP98">
            <v>0</v>
          </cell>
          <cell r="AR98">
            <v>0</v>
          </cell>
          <cell r="AS98">
            <v>0</v>
          </cell>
          <cell r="BF98" t="str">
            <v>4585</v>
          </cell>
          <cell r="BG98" t="str">
            <v>D022</v>
          </cell>
          <cell r="BH98" t="str">
            <v>GBB</v>
          </cell>
        </row>
        <row r="99">
          <cell r="K99">
            <v>0</v>
          </cell>
          <cell r="L99">
            <v>0</v>
          </cell>
          <cell r="N99">
            <v>0</v>
          </cell>
          <cell r="O99">
            <v>0</v>
          </cell>
          <cell r="Q99">
            <v>0</v>
          </cell>
          <cell r="R99">
            <v>0</v>
          </cell>
          <cell r="T99">
            <v>0</v>
          </cell>
          <cell r="U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C99">
            <v>0</v>
          </cell>
          <cell r="AD99">
            <v>0</v>
          </cell>
          <cell r="AF99">
            <v>0</v>
          </cell>
          <cell r="AG99">
            <v>0</v>
          </cell>
          <cell r="AI99">
            <v>0</v>
          </cell>
          <cell r="AJ99">
            <v>0</v>
          </cell>
          <cell r="AL99">
            <v>0</v>
          </cell>
          <cell r="AM99">
            <v>0</v>
          </cell>
          <cell r="AO99">
            <v>0</v>
          </cell>
          <cell r="AP99">
            <v>0</v>
          </cell>
          <cell r="AR99">
            <v>0</v>
          </cell>
          <cell r="AS99">
            <v>0</v>
          </cell>
          <cell r="BF99" t="str">
            <v>4585</v>
          </cell>
          <cell r="BG99" t="str">
            <v>D023</v>
          </cell>
          <cell r="BH99" t="str">
            <v>GBB</v>
          </cell>
        </row>
        <row r="100"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C100">
            <v>0</v>
          </cell>
          <cell r="AD100">
            <v>0</v>
          </cell>
          <cell r="AF100">
            <v>0</v>
          </cell>
          <cell r="AG100">
            <v>0</v>
          </cell>
          <cell r="AI100">
            <v>0</v>
          </cell>
          <cell r="AJ100">
            <v>0</v>
          </cell>
          <cell r="AL100">
            <v>0</v>
          </cell>
          <cell r="AM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0</v>
          </cell>
          <cell r="BF100" t="str">
            <v>4585</v>
          </cell>
          <cell r="BG100" t="str">
            <v>D024</v>
          </cell>
          <cell r="BH100" t="str">
            <v>GBB</v>
          </cell>
        </row>
        <row r="101">
          <cell r="K101">
            <v>0</v>
          </cell>
          <cell r="L101">
            <v>0</v>
          </cell>
          <cell r="N101">
            <v>0</v>
          </cell>
          <cell r="O101">
            <v>0</v>
          </cell>
          <cell r="Q101">
            <v>0</v>
          </cell>
          <cell r="R101">
            <v>0</v>
          </cell>
          <cell r="T101">
            <v>0</v>
          </cell>
          <cell r="U101">
            <v>0</v>
          </cell>
          <cell r="W101">
            <v>16000</v>
          </cell>
          <cell r="X101">
            <v>0</v>
          </cell>
          <cell r="Z101">
            <v>0</v>
          </cell>
          <cell r="AA101">
            <v>0</v>
          </cell>
          <cell r="AC101">
            <v>0</v>
          </cell>
          <cell r="AD101">
            <v>0</v>
          </cell>
          <cell r="AF101">
            <v>0</v>
          </cell>
          <cell r="AG101">
            <v>0</v>
          </cell>
          <cell r="AI101">
            <v>3500</v>
          </cell>
          <cell r="AJ101">
            <v>0</v>
          </cell>
          <cell r="AL101">
            <v>1.4551915228366852E-11</v>
          </cell>
          <cell r="AM101">
            <v>0</v>
          </cell>
          <cell r="AO101">
            <v>6000</v>
          </cell>
          <cell r="AP101">
            <v>0</v>
          </cell>
          <cell r="AR101">
            <v>0</v>
          </cell>
          <cell r="AS101">
            <v>0</v>
          </cell>
          <cell r="BF101" t="str">
            <v>4590</v>
          </cell>
          <cell r="BG101" t="str">
            <v>Z000</v>
          </cell>
          <cell r="BH101" t="str">
            <v>GBB</v>
          </cell>
        </row>
        <row r="102"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F102">
            <v>0</v>
          </cell>
          <cell r="AG102">
            <v>0</v>
          </cell>
          <cell r="AI102">
            <v>0</v>
          </cell>
          <cell r="AJ102">
            <v>0</v>
          </cell>
          <cell r="AL102">
            <v>0</v>
          </cell>
          <cell r="AM102">
            <v>0</v>
          </cell>
          <cell r="AO102">
            <v>0</v>
          </cell>
          <cell r="AP102">
            <v>0</v>
          </cell>
          <cell r="AR102">
            <v>2900</v>
          </cell>
          <cell r="AS102">
            <v>0</v>
          </cell>
          <cell r="BF102" t="str">
            <v>4600</v>
          </cell>
          <cell r="BG102" t="str">
            <v>Z000</v>
          </cell>
          <cell r="BH102" t="str">
            <v>GBB</v>
          </cell>
        </row>
        <row r="103"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C103">
            <v>0</v>
          </cell>
          <cell r="AD103">
            <v>0</v>
          </cell>
          <cell r="AF103">
            <v>0</v>
          </cell>
          <cell r="AG103">
            <v>0</v>
          </cell>
          <cell r="AI103">
            <v>0</v>
          </cell>
          <cell r="AJ103">
            <v>0</v>
          </cell>
          <cell r="AL103">
            <v>0</v>
          </cell>
          <cell r="AM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BF103" t="str">
            <v>4620</v>
          </cell>
          <cell r="BG103" t="str">
            <v>Z000</v>
          </cell>
          <cell r="BH103" t="str">
            <v>GBB</v>
          </cell>
        </row>
        <row r="104">
          <cell r="K104">
            <v>0</v>
          </cell>
          <cell r="L104">
            <v>0</v>
          </cell>
          <cell r="N104">
            <v>2571.4299999999998</v>
          </cell>
          <cell r="O104">
            <v>0</v>
          </cell>
          <cell r="Q104">
            <v>0</v>
          </cell>
          <cell r="R104">
            <v>0</v>
          </cell>
          <cell r="T104">
            <v>0</v>
          </cell>
          <cell r="U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C104">
            <v>0</v>
          </cell>
          <cell r="AD104">
            <v>0</v>
          </cell>
          <cell r="AF104">
            <v>0</v>
          </cell>
          <cell r="AG104">
            <v>0</v>
          </cell>
          <cell r="AI104">
            <v>0</v>
          </cell>
          <cell r="AJ104">
            <v>0</v>
          </cell>
          <cell r="AL104">
            <v>0</v>
          </cell>
          <cell r="AM104">
            <v>0</v>
          </cell>
          <cell r="AO104">
            <v>0</v>
          </cell>
          <cell r="AP104">
            <v>0</v>
          </cell>
          <cell r="AR104">
            <v>308.57000000000016</v>
          </cell>
          <cell r="AS104">
            <v>0</v>
          </cell>
          <cell r="BF104" t="str">
            <v>4630</v>
          </cell>
          <cell r="BG104" t="str">
            <v>Z000</v>
          </cell>
          <cell r="BH104" t="str">
            <v>GBB</v>
          </cell>
        </row>
        <row r="105"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Q105">
            <v>0</v>
          </cell>
          <cell r="R105">
            <v>0</v>
          </cell>
          <cell r="T105">
            <v>3.637978807091713E-12</v>
          </cell>
          <cell r="U105">
            <v>0</v>
          </cell>
          <cell r="W105">
            <v>0</v>
          </cell>
          <cell r="X105">
            <v>0</v>
          </cell>
          <cell r="Z105">
            <v>0</v>
          </cell>
          <cell r="AA105">
            <v>0</v>
          </cell>
          <cell r="AC105">
            <v>0</v>
          </cell>
          <cell r="AD105">
            <v>0</v>
          </cell>
          <cell r="AF105">
            <v>0</v>
          </cell>
          <cell r="AG105">
            <v>0</v>
          </cell>
          <cell r="AI105">
            <v>0</v>
          </cell>
          <cell r="AJ105">
            <v>0</v>
          </cell>
          <cell r="AL105">
            <v>0</v>
          </cell>
          <cell r="AM105">
            <v>0</v>
          </cell>
          <cell r="AO105">
            <v>0</v>
          </cell>
          <cell r="AP105">
            <v>0</v>
          </cell>
          <cell r="AR105">
            <v>521.31999999999607</v>
          </cell>
          <cell r="AS105">
            <v>0</v>
          </cell>
          <cell r="BF105" t="str">
            <v>4660</v>
          </cell>
          <cell r="BG105" t="str">
            <v>Z000</v>
          </cell>
          <cell r="BH105" t="str">
            <v>GBB</v>
          </cell>
        </row>
        <row r="106"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Q106">
            <v>0</v>
          </cell>
          <cell r="R106">
            <v>0</v>
          </cell>
          <cell r="T106">
            <v>0</v>
          </cell>
          <cell r="U106">
            <v>0</v>
          </cell>
          <cell r="W106">
            <v>0</v>
          </cell>
          <cell r="X106">
            <v>0</v>
          </cell>
          <cell r="Z106">
            <v>0</v>
          </cell>
          <cell r="AA106">
            <v>0</v>
          </cell>
          <cell r="AC106">
            <v>0</v>
          </cell>
          <cell r="AD106">
            <v>0</v>
          </cell>
          <cell r="AF106">
            <v>0</v>
          </cell>
          <cell r="AG106">
            <v>0</v>
          </cell>
          <cell r="AI106">
            <v>0</v>
          </cell>
          <cell r="AJ106">
            <v>0</v>
          </cell>
          <cell r="AL106">
            <v>0</v>
          </cell>
          <cell r="AM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BF106" t="str">
            <v>4670</v>
          </cell>
          <cell r="BG106" t="str">
            <v>Z000</v>
          </cell>
          <cell r="BH106" t="str">
            <v>GBB</v>
          </cell>
        </row>
        <row r="107"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0</v>
          </cell>
          <cell r="U107">
            <v>0</v>
          </cell>
          <cell r="W107">
            <v>100</v>
          </cell>
          <cell r="X107">
            <v>0</v>
          </cell>
          <cell r="Z107">
            <v>0</v>
          </cell>
          <cell r="AA107">
            <v>0</v>
          </cell>
          <cell r="AC107">
            <v>1739.4</v>
          </cell>
          <cell r="AD107">
            <v>0</v>
          </cell>
          <cell r="AF107">
            <v>50</v>
          </cell>
          <cell r="AG107">
            <v>0</v>
          </cell>
          <cell r="AI107">
            <v>0</v>
          </cell>
          <cell r="AJ107">
            <v>0</v>
          </cell>
          <cell r="AL107">
            <v>0</v>
          </cell>
          <cell r="AM107">
            <v>0</v>
          </cell>
          <cell r="AO107">
            <v>0</v>
          </cell>
          <cell r="AP107">
            <v>0</v>
          </cell>
          <cell r="AR107">
            <v>0</v>
          </cell>
          <cell r="AS107">
            <v>0</v>
          </cell>
          <cell r="BF107" t="str">
            <v>4690</v>
          </cell>
          <cell r="BG107" t="str">
            <v>Z000</v>
          </cell>
          <cell r="BH107" t="str">
            <v>GBB</v>
          </cell>
        </row>
        <row r="108">
          <cell r="K108">
            <v>6720</v>
          </cell>
          <cell r="L108">
            <v>0</v>
          </cell>
          <cell r="N108">
            <v>-6720</v>
          </cell>
          <cell r="O108">
            <v>0</v>
          </cell>
          <cell r="Q108">
            <v>0</v>
          </cell>
          <cell r="R108">
            <v>0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C108">
            <v>0</v>
          </cell>
          <cell r="AD108">
            <v>0</v>
          </cell>
          <cell r="AF108">
            <v>0</v>
          </cell>
          <cell r="AG108">
            <v>0</v>
          </cell>
          <cell r="AI108">
            <v>0</v>
          </cell>
          <cell r="AJ108">
            <v>0</v>
          </cell>
          <cell r="AL108">
            <v>0</v>
          </cell>
          <cell r="AM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BF108" t="str">
            <v>4700</v>
          </cell>
          <cell r="BG108" t="str">
            <v>D031</v>
          </cell>
          <cell r="BH108" t="str">
            <v>GBB</v>
          </cell>
        </row>
        <row r="109">
          <cell r="K109">
            <v>0</v>
          </cell>
          <cell r="L109">
            <v>0</v>
          </cell>
          <cell r="N109">
            <v>0</v>
          </cell>
          <cell r="O109">
            <v>0</v>
          </cell>
          <cell r="Q109">
            <v>0</v>
          </cell>
          <cell r="R109">
            <v>0</v>
          </cell>
          <cell r="T109">
            <v>0</v>
          </cell>
          <cell r="U109">
            <v>0</v>
          </cell>
          <cell r="W109">
            <v>0</v>
          </cell>
          <cell r="X109">
            <v>0</v>
          </cell>
          <cell r="Z109">
            <v>0</v>
          </cell>
          <cell r="AA109">
            <v>0</v>
          </cell>
          <cell r="AC109">
            <v>0</v>
          </cell>
          <cell r="AD109">
            <v>0</v>
          </cell>
          <cell r="AF109">
            <v>0</v>
          </cell>
          <cell r="AG109">
            <v>0</v>
          </cell>
          <cell r="AI109">
            <v>0</v>
          </cell>
          <cell r="AJ109">
            <v>0</v>
          </cell>
          <cell r="AL109">
            <v>0</v>
          </cell>
          <cell r="AM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BF109" t="str">
            <v>4700</v>
          </cell>
          <cell r="BG109" t="str">
            <v>D032</v>
          </cell>
          <cell r="BH109" t="str">
            <v>GBB</v>
          </cell>
        </row>
        <row r="110">
          <cell r="K110">
            <v>21050</v>
          </cell>
          <cell r="L110">
            <v>0</v>
          </cell>
          <cell r="N110">
            <v>21447.660000000003</v>
          </cell>
          <cell r="O110">
            <v>0</v>
          </cell>
          <cell r="Q110">
            <v>20800</v>
          </cell>
          <cell r="R110">
            <v>0</v>
          </cell>
          <cell r="T110">
            <v>20050</v>
          </cell>
          <cell r="U110">
            <v>0</v>
          </cell>
          <cell r="W110">
            <v>34315.600000000035</v>
          </cell>
          <cell r="X110">
            <v>0</v>
          </cell>
          <cell r="Z110">
            <v>17845.599999999977</v>
          </cell>
          <cell r="AA110">
            <v>0</v>
          </cell>
          <cell r="AC110">
            <v>16803.130000000005</v>
          </cell>
          <cell r="AD110">
            <v>0</v>
          </cell>
          <cell r="AF110">
            <v>17045.599999999977</v>
          </cell>
          <cell r="AG110">
            <v>0</v>
          </cell>
          <cell r="AI110">
            <v>18191.960000000021</v>
          </cell>
          <cell r="AJ110">
            <v>0</v>
          </cell>
          <cell r="AL110">
            <v>18295.599999999977</v>
          </cell>
          <cell r="AM110">
            <v>0</v>
          </cell>
          <cell r="AO110">
            <v>20040.499999999971</v>
          </cell>
          <cell r="AP110">
            <v>0</v>
          </cell>
          <cell r="AR110">
            <v>19542.930000000051</v>
          </cell>
          <cell r="AS110">
            <v>0</v>
          </cell>
          <cell r="BF110" t="str">
            <v>4740</v>
          </cell>
          <cell r="BG110" t="str">
            <v>D041</v>
          </cell>
          <cell r="BH110" t="str">
            <v>GBB</v>
          </cell>
        </row>
        <row r="111"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Q111">
            <v>550</v>
          </cell>
          <cell r="R111">
            <v>0</v>
          </cell>
          <cell r="T111">
            <v>1600</v>
          </cell>
          <cell r="U111">
            <v>0</v>
          </cell>
          <cell r="W111">
            <v>1693</v>
          </cell>
          <cell r="X111">
            <v>0</v>
          </cell>
          <cell r="Z111">
            <v>1860.5</v>
          </cell>
          <cell r="AA111">
            <v>0</v>
          </cell>
          <cell r="AC111">
            <v>4591.7599999999948</v>
          </cell>
          <cell r="AD111">
            <v>0</v>
          </cell>
          <cell r="AF111">
            <v>775.5</v>
          </cell>
          <cell r="AG111">
            <v>0</v>
          </cell>
          <cell r="AI111">
            <v>58</v>
          </cell>
          <cell r="AJ111">
            <v>0</v>
          </cell>
          <cell r="AL111">
            <v>1707.3999999999942</v>
          </cell>
          <cell r="AM111">
            <v>0</v>
          </cell>
          <cell r="AO111">
            <v>4562.8000000000029</v>
          </cell>
          <cell r="AP111">
            <v>0</v>
          </cell>
          <cell r="AR111">
            <v>3972.5</v>
          </cell>
          <cell r="AS111">
            <v>0</v>
          </cell>
          <cell r="BF111" t="str">
            <v>4740</v>
          </cell>
          <cell r="BG111" t="str">
            <v>D042</v>
          </cell>
          <cell r="BH111" t="str">
            <v>GBB</v>
          </cell>
        </row>
        <row r="112"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Q112">
            <v>0</v>
          </cell>
          <cell r="R112">
            <v>0</v>
          </cell>
          <cell r="T112">
            <v>0</v>
          </cell>
          <cell r="U112">
            <v>0</v>
          </cell>
          <cell r="W112">
            <v>0</v>
          </cell>
          <cell r="X112">
            <v>0</v>
          </cell>
          <cell r="Z112">
            <v>0</v>
          </cell>
          <cell r="AA112">
            <v>0</v>
          </cell>
          <cell r="AC112">
            <v>0</v>
          </cell>
          <cell r="AD112">
            <v>0</v>
          </cell>
          <cell r="AF112">
            <v>0</v>
          </cell>
          <cell r="AG112">
            <v>0</v>
          </cell>
          <cell r="AI112">
            <v>0</v>
          </cell>
          <cell r="AJ112">
            <v>0</v>
          </cell>
          <cell r="AL112">
            <v>0</v>
          </cell>
          <cell r="AM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BF112" t="str">
            <v>4740</v>
          </cell>
          <cell r="BG112" t="str">
            <v>D043</v>
          </cell>
          <cell r="BH112" t="str">
            <v>GBB</v>
          </cell>
        </row>
        <row r="113"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Q113">
            <v>0</v>
          </cell>
          <cell r="R113">
            <v>0</v>
          </cell>
          <cell r="T113">
            <v>6933.32</v>
          </cell>
          <cell r="U113">
            <v>0</v>
          </cell>
          <cell r="W113">
            <v>5623.17</v>
          </cell>
          <cell r="X113">
            <v>0</v>
          </cell>
          <cell r="Z113">
            <v>-1310.1499999999996</v>
          </cell>
          <cell r="AA113">
            <v>0</v>
          </cell>
          <cell r="AC113">
            <v>1400.2599999999984</v>
          </cell>
          <cell r="AD113">
            <v>0</v>
          </cell>
          <cell r="AF113">
            <v>1420.4700000000012</v>
          </cell>
          <cell r="AG113">
            <v>0</v>
          </cell>
          <cell r="AI113">
            <v>1496.8499999999985</v>
          </cell>
          <cell r="AJ113">
            <v>0</v>
          </cell>
          <cell r="AL113">
            <v>1524.6399999999994</v>
          </cell>
          <cell r="AM113">
            <v>0</v>
          </cell>
          <cell r="AO113">
            <v>1524.630000000001</v>
          </cell>
          <cell r="AP113">
            <v>0</v>
          </cell>
          <cell r="AR113">
            <v>1295.7299999999996</v>
          </cell>
          <cell r="AS113">
            <v>0</v>
          </cell>
          <cell r="BF113" t="str">
            <v>4740</v>
          </cell>
          <cell r="BG113" t="str">
            <v>D044</v>
          </cell>
          <cell r="BH113" t="str">
            <v>GBB</v>
          </cell>
        </row>
        <row r="114"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300</v>
          </cell>
          <cell r="U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C114">
            <v>0</v>
          </cell>
          <cell r="AD114">
            <v>0</v>
          </cell>
          <cell r="AF114">
            <v>0</v>
          </cell>
          <cell r="AG114">
            <v>0</v>
          </cell>
          <cell r="AI114">
            <v>0</v>
          </cell>
          <cell r="AJ114">
            <v>0</v>
          </cell>
          <cell r="AL114">
            <v>0</v>
          </cell>
          <cell r="AM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BF114" t="str">
            <v>4740</v>
          </cell>
          <cell r="BG114" t="str">
            <v>D045</v>
          </cell>
          <cell r="BH114" t="str">
            <v>GBB</v>
          </cell>
        </row>
        <row r="115"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Q115">
            <v>0</v>
          </cell>
          <cell r="R115">
            <v>0</v>
          </cell>
          <cell r="T115">
            <v>0</v>
          </cell>
          <cell r="U115">
            <v>0</v>
          </cell>
          <cell r="W115">
            <v>0</v>
          </cell>
          <cell r="X115">
            <v>0</v>
          </cell>
          <cell r="Z115">
            <v>0</v>
          </cell>
          <cell r="AA115">
            <v>0</v>
          </cell>
          <cell r="AC115">
            <v>0</v>
          </cell>
          <cell r="AD115">
            <v>0</v>
          </cell>
          <cell r="AF115">
            <v>0</v>
          </cell>
          <cell r="AG115">
            <v>0</v>
          </cell>
          <cell r="AI115">
            <v>0</v>
          </cell>
          <cell r="AJ115">
            <v>0</v>
          </cell>
          <cell r="AL115">
            <v>0</v>
          </cell>
          <cell r="AM115">
            <v>0</v>
          </cell>
          <cell r="AO115">
            <v>0</v>
          </cell>
          <cell r="AP115">
            <v>0</v>
          </cell>
          <cell r="AR115">
            <v>0</v>
          </cell>
          <cell r="AS115">
            <v>0</v>
          </cell>
          <cell r="BF115" t="str">
            <v>4760</v>
          </cell>
          <cell r="BG115" t="str">
            <v>Z000</v>
          </cell>
          <cell r="BH115" t="str">
            <v>GBB</v>
          </cell>
        </row>
        <row r="116"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Q116">
            <v>0</v>
          </cell>
          <cell r="R116">
            <v>0</v>
          </cell>
          <cell r="T116">
            <v>0</v>
          </cell>
          <cell r="U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C116">
            <v>0</v>
          </cell>
          <cell r="AD116">
            <v>0</v>
          </cell>
          <cell r="AF116">
            <v>0</v>
          </cell>
          <cell r="AG116">
            <v>0</v>
          </cell>
          <cell r="AI116">
            <v>0</v>
          </cell>
          <cell r="AJ116">
            <v>0</v>
          </cell>
          <cell r="AL116">
            <v>0</v>
          </cell>
          <cell r="AM116">
            <v>0</v>
          </cell>
          <cell r="AO116">
            <v>0</v>
          </cell>
          <cell r="AP116">
            <v>0</v>
          </cell>
          <cell r="AR116">
            <v>0</v>
          </cell>
          <cell r="AS116">
            <v>0</v>
          </cell>
          <cell r="BF116" t="str">
            <v>4800</v>
          </cell>
          <cell r="BG116" t="str">
            <v>D101</v>
          </cell>
          <cell r="BH116" t="str">
            <v>GBB</v>
          </cell>
        </row>
        <row r="117"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Q117">
            <v>0</v>
          </cell>
          <cell r="R117">
            <v>0</v>
          </cell>
          <cell r="T117">
            <v>0</v>
          </cell>
          <cell r="U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C117">
            <v>0</v>
          </cell>
          <cell r="AD117">
            <v>0</v>
          </cell>
          <cell r="AF117">
            <v>0</v>
          </cell>
          <cell r="AG117">
            <v>0</v>
          </cell>
          <cell r="AI117">
            <v>0</v>
          </cell>
          <cell r="AJ117">
            <v>0</v>
          </cell>
          <cell r="AL117">
            <v>0</v>
          </cell>
          <cell r="AM117">
            <v>0</v>
          </cell>
          <cell r="AO117">
            <v>200</v>
          </cell>
          <cell r="AP117">
            <v>0</v>
          </cell>
          <cell r="AR117">
            <v>299.72000000000003</v>
          </cell>
          <cell r="AS117">
            <v>0</v>
          </cell>
          <cell r="BF117" t="str">
            <v>4800</v>
          </cell>
          <cell r="BG117" t="str">
            <v>D102</v>
          </cell>
          <cell r="BH117" t="str">
            <v>GBB</v>
          </cell>
        </row>
        <row r="118"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Q118">
            <v>0</v>
          </cell>
          <cell r="R118">
            <v>0</v>
          </cell>
          <cell r="T118">
            <v>0</v>
          </cell>
          <cell r="U118">
            <v>0</v>
          </cell>
          <cell r="W118">
            <v>0</v>
          </cell>
          <cell r="X118">
            <v>0</v>
          </cell>
          <cell r="Z118">
            <v>0</v>
          </cell>
          <cell r="AA118">
            <v>0</v>
          </cell>
          <cell r="AC118">
            <v>0</v>
          </cell>
          <cell r="AD118">
            <v>0</v>
          </cell>
          <cell r="AF118">
            <v>0</v>
          </cell>
          <cell r="AG118">
            <v>0</v>
          </cell>
          <cell r="AI118">
            <v>0</v>
          </cell>
          <cell r="AJ118">
            <v>0</v>
          </cell>
          <cell r="AL118">
            <v>0</v>
          </cell>
          <cell r="AM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BF118" t="str">
            <v>4800</v>
          </cell>
          <cell r="BG118" t="str">
            <v>D103</v>
          </cell>
          <cell r="BH118" t="str">
            <v>GBB</v>
          </cell>
        </row>
        <row r="119"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C119">
            <v>0</v>
          </cell>
          <cell r="AD119">
            <v>0</v>
          </cell>
          <cell r="AF119">
            <v>0</v>
          </cell>
          <cell r="AG119">
            <v>0</v>
          </cell>
          <cell r="AI119">
            <v>0</v>
          </cell>
          <cell r="AJ119">
            <v>0</v>
          </cell>
          <cell r="AL119">
            <v>0</v>
          </cell>
          <cell r="AM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BF119" t="str">
            <v>4800</v>
          </cell>
          <cell r="BG119">
            <v>0</v>
          </cell>
          <cell r="BH119" t="str">
            <v>GBB</v>
          </cell>
        </row>
        <row r="120"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Q120">
            <v>0</v>
          </cell>
          <cell r="R120">
            <v>0</v>
          </cell>
          <cell r="T120">
            <v>0</v>
          </cell>
          <cell r="U120">
            <v>0</v>
          </cell>
          <cell r="W120">
            <v>0</v>
          </cell>
          <cell r="X120">
            <v>0</v>
          </cell>
          <cell r="Z120">
            <v>0</v>
          </cell>
          <cell r="AA120">
            <v>0</v>
          </cell>
          <cell r="AC120">
            <v>0</v>
          </cell>
          <cell r="AD120">
            <v>0</v>
          </cell>
          <cell r="AF120">
            <v>0</v>
          </cell>
          <cell r="AG120">
            <v>0</v>
          </cell>
          <cell r="AI120">
            <v>0</v>
          </cell>
          <cell r="AJ120">
            <v>0</v>
          </cell>
          <cell r="AL120">
            <v>0</v>
          </cell>
          <cell r="AM120">
            <v>0</v>
          </cell>
          <cell r="AO120">
            <v>0</v>
          </cell>
          <cell r="AP120">
            <v>0</v>
          </cell>
          <cell r="AR120">
            <v>0</v>
          </cell>
          <cell r="AS120">
            <v>0</v>
          </cell>
          <cell r="BF120" t="str">
            <v>4820</v>
          </cell>
          <cell r="BG120" t="str">
            <v>Z000</v>
          </cell>
          <cell r="BH120" t="str">
            <v>GBB</v>
          </cell>
        </row>
        <row r="121">
          <cell r="K121">
            <v>0</v>
          </cell>
          <cell r="L121">
            <v>0</v>
          </cell>
          <cell r="N121">
            <v>13000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1545</v>
          </cell>
          <cell r="X121">
            <v>0</v>
          </cell>
          <cell r="Z121">
            <v>0</v>
          </cell>
          <cell r="AA121">
            <v>0</v>
          </cell>
          <cell r="AC121">
            <v>0</v>
          </cell>
          <cell r="AD121">
            <v>0</v>
          </cell>
          <cell r="AF121">
            <v>0</v>
          </cell>
          <cell r="AG121">
            <v>0</v>
          </cell>
          <cell r="AI121">
            <v>0</v>
          </cell>
          <cell r="AJ121">
            <v>0</v>
          </cell>
          <cell r="AL121">
            <v>0</v>
          </cell>
          <cell r="AM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BF121" t="str">
            <v>4830</v>
          </cell>
          <cell r="BG121" t="str">
            <v>D111</v>
          </cell>
          <cell r="BH121" t="str">
            <v>GBB</v>
          </cell>
        </row>
        <row r="122"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Q122">
            <v>0</v>
          </cell>
          <cell r="R122">
            <v>0</v>
          </cell>
          <cell r="T122">
            <v>0</v>
          </cell>
          <cell r="U122">
            <v>0</v>
          </cell>
          <cell r="W122">
            <v>0</v>
          </cell>
          <cell r="X122">
            <v>0</v>
          </cell>
          <cell r="Z122">
            <v>0</v>
          </cell>
          <cell r="AA122">
            <v>0</v>
          </cell>
          <cell r="AC122">
            <v>0</v>
          </cell>
          <cell r="AD122">
            <v>0</v>
          </cell>
          <cell r="AF122">
            <v>0</v>
          </cell>
          <cell r="AG122">
            <v>0</v>
          </cell>
          <cell r="AI122">
            <v>0</v>
          </cell>
          <cell r="AJ122">
            <v>0</v>
          </cell>
          <cell r="AL122">
            <v>0</v>
          </cell>
          <cell r="AM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BF122" t="str">
            <v>4830</v>
          </cell>
          <cell r="BG122" t="str">
            <v>D112</v>
          </cell>
          <cell r="BH122" t="str">
            <v>GBB</v>
          </cell>
        </row>
        <row r="123"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Q123">
            <v>0</v>
          </cell>
          <cell r="R123">
            <v>0</v>
          </cell>
          <cell r="T123">
            <v>0</v>
          </cell>
          <cell r="U123">
            <v>0</v>
          </cell>
          <cell r="W123">
            <v>0</v>
          </cell>
          <cell r="X123">
            <v>0</v>
          </cell>
          <cell r="Z123">
            <v>0</v>
          </cell>
          <cell r="AA123">
            <v>0</v>
          </cell>
          <cell r="AC123">
            <v>0</v>
          </cell>
          <cell r="AD123">
            <v>0</v>
          </cell>
          <cell r="AF123">
            <v>0</v>
          </cell>
          <cell r="AG123">
            <v>0</v>
          </cell>
          <cell r="AI123">
            <v>0</v>
          </cell>
          <cell r="AJ123">
            <v>0</v>
          </cell>
          <cell r="AL123">
            <v>0</v>
          </cell>
          <cell r="AM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BF123" t="str">
            <v>4840</v>
          </cell>
          <cell r="BG123" t="str">
            <v>Z000</v>
          </cell>
          <cell r="BH123" t="str">
            <v>GBB</v>
          </cell>
        </row>
        <row r="124"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W124">
            <v>0</v>
          </cell>
          <cell r="X124">
            <v>0</v>
          </cell>
          <cell r="Z124">
            <v>0</v>
          </cell>
          <cell r="AA124">
            <v>0</v>
          </cell>
          <cell r="AC124">
            <v>0</v>
          </cell>
          <cell r="AD124">
            <v>0</v>
          </cell>
          <cell r="AF124">
            <v>0</v>
          </cell>
          <cell r="AG124">
            <v>0</v>
          </cell>
          <cell r="AI124">
            <v>0</v>
          </cell>
          <cell r="AJ124">
            <v>0</v>
          </cell>
          <cell r="AL124">
            <v>0</v>
          </cell>
          <cell r="AM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BF124" t="str">
            <v>4870</v>
          </cell>
          <cell r="BG124" t="str">
            <v>Z000</v>
          </cell>
          <cell r="BH124" t="str">
            <v>GBB</v>
          </cell>
        </row>
        <row r="125"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Q125">
            <v>0</v>
          </cell>
          <cell r="R125">
            <v>0</v>
          </cell>
          <cell r="T125">
            <v>0</v>
          </cell>
          <cell r="U125">
            <v>0</v>
          </cell>
          <cell r="W125">
            <v>0</v>
          </cell>
          <cell r="X125">
            <v>0</v>
          </cell>
          <cell r="Z125">
            <v>0</v>
          </cell>
          <cell r="AA125">
            <v>0</v>
          </cell>
          <cell r="AC125">
            <v>0</v>
          </cell>
          <cell r="AD125">
            <v>0</v>
          </cell>
          <cell r="AF125">
            <v>0</v>
          </cell>
          <cell r="AG125">
            <v>0</v>
          </cell>
          <cell r="AI125">
            <v>0</v>
          </cell>
          <cell r="AJ125">
            <v>0</v>
          </cell>
          <cell r="AL125">
            <v>0</v>
          </cell>
          <cell r="AM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BF125" t="str">
            <v>4880</v>
          </cell>
          <cell r="BG125" t="str">
            <v>Z000</v>
          </cell>
          <cell r="BH125" t="str">
            <v>GBB</v>
          </cell>
        </row>
        <row r="126"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Q126">
            <v>0</v>
          </cell>
          <cell r="R126">
            <v>0</v>
          </cell>
          <cell r="T126">
            <v>0</v>
          </cell>
          <cell r="U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C126">
            <v>0</v>
          </cell>
          <cell r="AD126">
            <v>0</v>
          </cell>
          <cell r="AF126">
            <v>0</v>
          </cell>
          <cell r="AG126">
            <v>0</v>
          </cell>
          <cell r="AI126">
            <v>0</v>
          </cell>
          <cell r="AJ126">
            <v>0</v>
          </cell>
          <cell r="AL126">
            <v>0</v>
          </cell>
          <cell r="AM126">
            <v>0</v>
          </cell>
          <cell r="AO126">
            <v>0</v>
          </cell>
          <cell r="AP126">
            <v>0</v>
          </cell>
          <cell r="AR126">
            <v>0</v>
          </cell>
          <cell r="AS126">
            <v>0</v>
          </cell>
          <cell r="BF126" t="str">
            <v>4890</v>
          </cell>
          <cell r="BG126" t="str">
            <v>Z000</v>
          </cell>
          <cell r="BH126" t="str">
            <v>GBB</v>
          </cell>
        </row>
        <row r="127"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Q127">
            <v>0</v>
          </cell>
          <cell r="R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Z127">
            <v>0</v>
          </cell>
          <cell r="AA127">
            <v>0</v>
          </cell>
          <cell r="AC127">
            <v>0</v>
          </cell>
          <cell r="AD127">
            <v>0</v>
          </cell>
          <cell r="AF127">
            <v>0</v>
          </cell>
          <cell r="AG127">
            <v>0</v>
          </cell>
          <cell r="AI127">
            <v>0</v>
          </cell>
          <cell r="AJ127">
            <v>0</v>
          </cell>
          <cell r="AL127">
            <v>0</v>
          </cell>
          <cell r="AM127">
            <v>0</v>
          </cell>
          <cell r="AO127">
            <v>0</v>
          </cell>
          <cell r="AP127">
            <v>0</v>
          </cell>
          <cell r="AR127">
            <v>0</v>
          </cell>
          <cell r="AS127">
            <v>0</v>
          </cell>
          <cell r="BF127" t="str">
            <v>4900</v>
          </cell>
          <cell r="BG127" t="str">
            <v>Z000</v>
          </cell>
          <cell r="BH127" t="str">
            <v>GBB</v>
          </cell>
        </row>
        <row r="128"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  <cell r="AC128">
            <v>0</v>
          </cell>
          <cell r="AD128">
            <v>0</v>
          </cell>
          <cell r="AF128">
            <v>0</v>
          </cell>
          <cell r="AG128">
            <v>0</v>
          </cell>
          <cell r="AI128">
            <v>0</v>
          </cell>
          <cell r="AJ128">
            <v>0</v>
          </cell>
          <cell r="AL128">
            <v>0</v>
          </cell>
          <cell r="AM128">
            <v>0</v>
          </cell>
          <cell r="AO128">
            <v>0</v>
          </cell>
          <cell r="AP128">
            <v>0</v>
          </cell>
          <cell r="AR128">
            <v>0</v>
          </cell>
          <cell r="AS128">
            <v>0</v>
          </cell>
          <cell r="BF128" t="str">
            <v>4910</v>
          </cell>
          <cell r="BG128" t="str">
            <v>Z000</v>
          </cell>
          <cell r="BH128" t="str">
            <v>GBB</v>
          </cell>
        </row>
        <row r="129"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Q129">
            <v>0</v>
          </cell>
          <cell r="R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Z129">
            <v>0</v>
          </cell>
          <cell r="AA129">
            <v>0</v>
          </cell>
          <cell r="AC129">
            <v>0</v>
          </cell>
          <cell r="AD129">
            <v>0</v>
          </cell>
          <cell r="AF129">
            <v>0</v>
          </cell>
          <cell r="AG129">
            <v>0</v>
          </cell>
          <cell r="AI129">
            <v>0</v>
          </cell>
          <cell r="AJ129">
            <v>0</v>
          </cell>
          <cell r="AL129">
            <v>0</v>
          </cell>
          <cell r="AM129">
            <v>0</v>
          </cell>
          <cell r="AO129">
            <v>0</v>
          </cell>
          <cell r="AP129">
            <v>0</v>
          </cell>
          <cell r="AR129">
            <v>0</v>
          </cell>
          <cell r="AS129">
            <v>0</v>
          </cell>
          <cell r="BF129" t="str">
            <v>4940</v>
          </cell>
          <cell r="BG129" t="str">
            <v>Z000</v>
          </cell>
          <cell r="BH129" t="str">
            <v>GBB</v>
          </cell>
        </row>
        <row r="130"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Q130">
            <v>0</v>
          </cell>
          <cell r="R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Z130">
            <v>0</v>
          </cell>
          <cell r="AA130">
            <v>0</v>
          </cell>
          <cell r="AC130">
            <v>0</v>
          </cell>
          <cell r="AD130">
            <v>0</v>
          </cell>
          <cell r="AF130">
            <v>0</v>
          </cell>
          <cell r="AG130">
            <v>0</v>
          </cell>
          <cell r="AI130">
            <v>0</v>
          </cell>
          <cell r="AJ130">
            <v>0</v>
          </cell>
          <cell r="AL130">
            <v>0</v>
          </cell>
          <cell r="AM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BF130" t="str">
            <v>4941</v>
          </cell>
          <cell r="BG130" t="str">
            <v>Z000</v>
          </cell>
          <cell r="BH130" t="str">
            <v>GBB</v>
          </cell>
        </row>
        <row r="131"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Q131">
            <v>0</v>
          </cell>
          <cell r="R131">
            <v>0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F131">
            <v>0</v>
          </cell>
          <cell r="AG131">
            <v>0</v>
          </cell>
          <cell r="AI131">
            <v>0</v>
          </cell>
          <cell r="AJ131">
            <v>0</v>
          </cell>
          <cell r="AL131">
            <v>0</v>
          </cell>
          <cell r="AM131">
            <v>0</v>
          </cell>
          <cell r="AO131">
            <v>0</v>
          </cell>
          <cell r="AP131">
            <v>0</v>
          </cell>
          <cell r="AR131">
            <v>0</v>
          </cell>
          <cell r="AS131">
            <v>0</v>
          </cell>
          <cell r="BF131" t="str">
            <v>4942</v>
          </cell>
          <cell r="BG131" t="str">
            <v>Z000</v>
          </cell>
          <cell r="BH131" t="str">
            <v>GBB</v>
          </cell>
        </row>
        <row r="132"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Z132">
            <v>0</v>
          </cell>
          <cell r="AA132">
            <v>0</v>
          </cell>
          <cell r="AC132">
            <v>0</v>
          </cell>
          <cell r="AD132">
            <v>0</v>
          </cell>
          <cell r="AF132">
            <v>0</v>
          </cell>
          <cell r="AG132">
            <v>0</v>
          </cell>
          <cell r="AI132">
            <v>0</v>
          </cell>
          <cell r="AJ132">
            <v>0</v>
          </cell>
          <cell r="AL132">
            <v>0</v>
          </cell>
          <cell r="AM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BF132" t="str">
            <v>4950</v>
          </cell>
          <cell r="BG132" t="str">
            <v>Z000</v>
          </cell>
          <cell r="BH132" t="str">
            <v>GBB</v>
          </cell>
        </row>
        <row r="133"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Z133">
            <v>0</v>
          </cell>
          <cell r="AA133">
            <v>0</v>
          </cell>
          <cell r="AC133">
            <v>0</v>
          </cell>
          <cell r="AD133">
            <v>0</v>
          </cell>
          <cell r="AF133">
            <v>0</v>
          </cell>
          <cell r="AG133">
            <v>0</v>
          </cell>
          <cell r="AI133">
            <v>0</v>
          </cell>
          <cell r="AJ133">
            <v>0</v>
          </cell>
          <cell r="AL133">
            <v>0</v>
          </cell>
          <cell r="AM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BF133" t="str">
            <v>5100</v>
          </cell>
          <cell r="BG133" t="str">
            <v>E001</v>
          </cell>
          <cell r="BH133" t="str">
            <v>GBB</v>
          </cell>
        </row>
        <row r="134"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Q134">
            <v>0</v>
          </cell>
          <cell r="R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Z134">
            <v>0</v>
          </cell>
          <cell r="AA134">
            <v>0</v>
          </cell>
          <cell r="AC134">
            <v>0</v>
          </cell>
          <cell r="AD134">
            <v>0</v>
          </cell>
          <cell r="AF134">
            <v>0</v>
          </cell>
          <cell r="AG134">
            <v>0</v>
          </cell>
          <cell r="AI134">
            <v>0</v>
          </cell>
          <cell r="AJ134">
            <v>0</v>
          </cell>
          <cell r="AL134">
            <v>0</v>
          </cell>
          <cell r="AM134">
            <v>0</v>
          </cell>
          <cell r="AO134">
            <v>0</v>
          </cell>
          <cell r="AP134">
            <v>0</v>
          </cell>
          <cell r="AR134">
            <v>0</v>
          </cell>
          <cell r="AS134">
            <v>0</v>
          </cell>
          <cell r="BF134" t="str">
            <v>5100</v>
          </cell>
          <cell r="BG134" t="str">
            <v>E002</v>
          </cell>
          <cell r="BH134" t="str">
            <v>GBB</v>
          </cell>
        </row>
        <row r="135">
          <cell r="K135">
            <v>0</v>
          </cell>
          <cell r="L135">
            <v>0</v>
          </cell>
          <cell r="N135">
            <v>0</v>
          </cell>
          <cell r="O135">
            <v>0</v>
          </cell>
          <cell r="Q135">
            <v>0</v>
          </cell>
          <cell r="R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Z135">
            <v>0</v>
          </cell>
          <cell r="AA135">
            <v>0</v>
          </cell>
          <cell r="AC135">
            <v>0</v>
          </cell>
          <cell r="AD135">
            <v>0</v>
          </cell>
          <cell r="AF135">
            <v>0</v>
          </cell>
          <cell r="AG135">
            <v>0</v>
          </cell>
          <cell r="AI135">
            <v>0</v>
          </cell>
          <cell r="AJ135">
            <v>0</v>
          </cell>
          <cell r="AL135">
            <v>0</v>
          </cell>
          <cell r="AM135">
            <v>0</v>
          </cell>
          <cell r="AO135">
            <v>0</v>
          </cell>
          <cell r="AP135">
            <v>0</v>
          </cell>
          <cell r="AR135">
            <v>0</v>
          </cell>
          <cell r="AS135">
            <v>0</v>
          </cell>
          <cell r="BF135" t="str">
            <v>5200</v>
          </cell>
          <cell r="BG135" t="str">
            <v>Z000</v>
          </cell>
          <cell r="BH135" t="str">
            <v>GBB</v>
          </cell>
        </row>
        <row r="136"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Z136">
            <v>0</v>
          </cell>
          <cell r="AA136">
            <v>0</v>
          </cell>
          <cell r="AC136">
            <v>0</v>
          </cell>
          <cell r="AD136">
            <v>0</v>
          </cell>
          <cell r="AF136">
            <v>0</v>
          </cell>
          <cell r="AG136">
            <v>0</v>
          </cell>
          <cell r="AI136">
            <v>0</v>
          </cell>
          <cell r="AJ136">
            <v>0</v>
          </cell>
          <cell r="AL136">
            <v>0</v>
          </cell>
          <cell r="AM136">
            <v>0</v>
          </cell>
          <cell r="AO136">
            <v>0</v>
          </cell>
          <cell r="AP136">
            <v>0</v>
          </cell>
          <cell r="AR136">
            <v>0</v>
          </cell>
          <cell r="AS136">
            <v>0</v>
          </cell>
          <cell r="BF136" t="str">
            <v>5400</v>
          </cell>
          <cell r="BG136" t="str">
            <v>F001</v>
          </cell>
          <cell r="BH136" t="str">
            <v>GBB</v>
          </cell>
        </row>
        <row r="137"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Q137">
            <v>0</v>
          </cell>
          <cell r="R137">
            <v>0</v>
          </cell>
          <cell r="T137">
            <v>0</v>
          </cell>
          <cell r="U137">
            <v>0</v>
          </cell>
          <cell r="W137">
            <v>0</v>
          </cell>
          <cell r="X137">
            <v>0</v>
          </cell>
          <cell r="Z137">
            <v>0</v>
          </cell>
          <cell r="AA137">
            <v>0</v>
          </cell>
          <cell r="AC137">
            <v>0</v>
          </cell>
          <cell r="AD137">
            <v>0</v>
          </cell>
          <cell r="AF137">
            <v>0</v>
          </cell>
          <cell r="AG137">
            <v>0</v>
          </cell>
          <cell r="AI137">
            <v>0</v>
          </cell>
          <cell r="AJ137">
            <v>0</v>
          </cell>
          <cell r="AL137">
            <v>0</v>
          </cell>
          <cell r="AM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BF137" t="str">
            <v>5400</v>
          </cell>
          <cell r="BG137" t="str">
            <v>F002</v>
          </cell>
          <cell r="BH137" t="str">
            <v>GBB</v>
          </cell>
        </row>
        <row r="138"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Q138">
            <v>0</v>
          </cell>
          <cell r="R138">
            <v>0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Z138">
            <v>0</v>
          </cell>
          <cell r="AA138">
            <v>0</v>
          </cell>
          <cell r="AC138">
            <v>0</v>
          </cell>
          <cell r="AD138">
            <v>0</v>
          </cell>
          <cell r="AF138">
            <v>0</v>
          </cell>
          <cell r="AG138">
            <v>0</v>
          </cell>
          <cell r="AI138">
            <v>0</v>
          </cell>
          <cell r="AJ138">
            <v>0</v>
          </cell>
          <cell r="AL138">
            <v>0</v>
          </cell>
          <cell r="AM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BF138" t="str">
            <v>5400</v>
          </cell>
          <cell r="BG138" t="str">
            <v>F003</v>
          </cell>
          <cell r="BH138" t="str">
            <v>GBB</v>
          </cell>
        </row>
        <row r="139"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Q139">
            <v>0</v>
          </cell>
          <cell r="R139">
            <v>0</v>
          </cell>
          <cell r="T139">
            <v>0</v>
          </cell>
          <cell r="U139">
            <v>0</v>
          </cell>
          <cell r="W139">
            <v>0</v>
          </cell>
          <cell r="X139">
            <v>0</v>
          </cell>
          <cell r="Z139">
            <v>0</v>
          </cell>
          <cell r="AA139">
            <v>0</v>
          </cell>
          <cell r="AC139">
            <v>0</v>
          </cell>
          <cell r="AD139">
            <v>0</v>
          </cell>
          <cell r="AF139">
            <v>0</v>
          </cell>
          <cell r="AG139">
            <v>0</v>
          </cell>
          <cell r="AI139">
            <v>0</v>
          </cell>
          <cell r="AJ139">
            <v>0</v>
          </cell>
          <cell r="AL139">
            <v>0</v>
          </cell>
          <cell r="AM139">
            <v>0</v>
          </cell>
          <cell r="AO139">
            <v>0</v>
          </cell>
          <cell r="AP139">
            <v>0</v>
          </cell>
          <cell r="AR139">
            <v>0</v>
          </cell>
          <cell r="AS139">
            <v>0</v>
          </cell>
          <cell r="BF139" t="str">
            <v>5400</v>
          </cell>
          <cell r="BG139" t="str">
            <v>F004</v>
          </cell>
          <cell r="BH139" t="str">
            <v>GBB</v>
          </cell>
        </row>
        <row r="140">
          <cell r="K140">
            <v>0</v>
          </cell>
          <cell r="L140">
            <v>0</v>
          </cell>
          <cell r="N140">
            <v>0</v>
          </cell>
          <cell r="O140">
            <v>0</v>
          </cell>
          <cell r="Q140">
            <v>0</v>
          </cell>
          <cell r="R140">
            <v>0</v>
          </cell>
          <cell r="T140">
            <v>0</v>
          </cell>
          <cell r="U140">
            <v>0</v>
          </cell>
          <cell r="W140">
            <v>0</v>
          </cell>
          <cell r="X140">
            <v>0</v>
          </cell>
          <cell r="Z140">
            <v>0</v>
          </cell>
          <cell r="AA140">
            <v>0</v>
          </cell>
          <cell r="AC140">
            <v>0</v>
          </cell>
          <cell r="AD140">
            <v>0</v>
          </cell>
          <cell r="AF140">
            <v>0</v>
          </cell>
          <cell r="AG140">
            <v>0</v>
          </cell>
          <cell r="AI140">
            <v>0</v>
          </cell>
          <cell r="AJ140">
            <v>0</v>
          </cell>
          <cell r="AL140">
            <v>0</v>
          </cell>
          <cell r="AM140">
            <v>0</v>
          </cell>
          <cell r="AO140">
            <v>0</v>
          </cell>
          <cell r="AP140">
            <v>0</v>
          </cell>
          <cell r="AR140">
            <v>0</v>
          </cell>
          <cell r="AS140">
            <v>0</v>
          </cell>
          <cell r="BF140" t="str">
            <v>5400</v>
          </cell>
          <cell r="BG140" t="str">
            <v>F005</v>
          </cell>
          <cell r="BH140" t="str">
            <v>GBB</v>
          </cell>
        </row>
        <row r="141"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Q141">
            <v>0</v>
          </cell>
          <cell r="R141">
            <v>0</v>
          </cell>
          <cell r="T141">
            <v>0</v>
          </cell>
          <cell r="U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F141">
            <v>0</v>
          </cell>
          <cell r="AG141">
            <v>0</v>
          </cell>
          <cell r="AI141">
            <v>0</v>
          </cell>
          <cell r="AJ141">
            <v>0</v>
          </cell>
          <cell r="AL141">
            <v>0</v>
          </cell>
          <cell r="AM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BF141" t="str">
            <v>5400</v>
          </cell>
          <cell r="BG141" t="str">
            <v>F006</v>
          </cell>
          <cell r="BH141" t="str">
            <v>GBB</v>
          </cell>
        </row>
        <row r="142"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Q142">
            <v>0</v>
          </cell>
          <cell r="R142">
            <v>0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Z142">
            <v>0</v>
          </cell>
          <cell r="AA142">
            <v>0</v>
          </cell>
          <cell r="AC142">
            <v>0</v>
          </cell>
          <cell r="AD142">
            <v>0</v>
          </cell>
          <cell r="AF142">
            <v>0</v>
          </cell>
          <cell r="AG142">
            <v>0</v>
          </cell>
          <cell r="AI142">
            <v>0</v>
          </cell>
          <cell r="AJ142">
            <v>0</v>
          </cell>
          <cell r="AL142">
            <v>0</v>
          </cell>
          <cell r="AM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BF142" t="str">
            <v>5400</v>
          </cell>
          <cell r="BG142" t="str">
            <v>F007</v>
          </cell>
          <cell r="BH142" t="str">
            <v>GBB</v>
          </cell>
        </row>
        <row r="143"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Z143">
            <v>0</v>
          </cell>
          <cell r="AA143">
            <v>0</v>
          </cell>
          <cell r="AC143">
            <v>0</v>
          </cell>
          <cell r="AD143">
            <v>0</v>
          </cell>
          <cell r="AF143">
            <v>0</v>
          </cell>
          <cell r="AG143">
            <v>0</v>
          </cell>
          <cell r="AI143">
            <v>0</v>
          </cell>
          <cell r="AJ143">
            <v>0</v>
          </cell>
          <cell r="AL143">
            <v>0</v>
          </cell>
          <cell r="AM143">
            <v>0</v>
          </cell>
          <cell r="AO143">
            <v>0</v>
          </cell>
          <cell r="AP143">
            <v>0</v>
          </cell>
          <cell r="AR143">
            <v>0</v>
          </cell>
          <cell r="AS143">
            <v>0</v>
          </cell>
          <cell r="BF143" t="str">
            <v>5400</v>
          </cell>
          <cell r="BG143" t="str">
            <v>F008</v>
          </cell>
          <cell r="BH143" t="str">
            <v>GBB</v>
          </cell>
        </row>
        <row r="144"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Z144">
            <v>0</v>
          </cell>
          <cell r="AA144">
            <v>0</v>
          </cell>
          <cell r="AC144">
            <v>0</v>
          </cell>
          <cell r="AD144">
            <v>0</v>
          </cell>
          <cell r="AF144">
            <v>0</v>
          </cell>
          <cell r="AG144">
            <v>0</v>
          </cell>
          <cell r="AI144">
            <v>0</v>
          </cell>
          <cell r="AJ144">
            <v>0</v>
          </cell>
          <cell r="AL144">
            <v>0</v>
          </cell>
          <cell r="AM144">
            <v>0</v>
          </cell>
          <cell r="AO144">
            <v>0</v>
          </cell>
          <cell r="AP144">
            <v>0</v>
          </cell>
          <cell r="AR144">
            <v>0</v>
          </cell>
          <cell r="AS144">
            <v>0</v>
          </cell>
          <cell r="BF144" t="str">
            <v>5400</v>
          </cell>
          <cell r="BG144" t="str">
            <v>F009</v>
          </cell>
          <cell r="BH144" t="str">
            <v>GBB</v>
          </cell>
        </row>
        <row r="145"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Q145">
            <v>0</v>
          </cell>
          <cell r="R145">
            <v>0</v>
          </cell>
          <cell r="T145">
            <v>0</v>
          </cell>
          <cell r="U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C145">
            <v>0</v>
          </cell>
          <cell r="AD145">
            <v>0</v>
          </cell>
          <cell r="AF145">
            <v>0</v>
          </cell>
          <cell r="AG145">
            <v>0</v>
          </cell>
          <cell r="AI145">
            <v>0</v>
          </cell>
          <cell r="AJ145">
            <v>0</v>
          </cell>
          <cell r="AL145">
            <v>0</v>
          </cell>
          <cell r="AM145">
            <v>0</v>
          </cell>
          <cell r="AO145">
            <v>0</v>
          </cell>
          <cell r="AP145">
            <v>0</v>
          </cell>
          <cell r="AR145">
            <v>0</v>
          </cell>
          <cell r="AS145">
            <v>0</v>
          </cell>
          <cell r="BF145" t="str">
            <v>5400</v>
          </cell>
          <cell r="BG145" t="str">
            <v>F010</v>
          </cell>
          <cell r="BH145" t="str">
            <v>GBB</v>
          </cell>
        </row>
        <row r="146"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C146">
            <v>0</v>
          </cell>
          <cell r="AD146">
            <v>0</v>
          </cell>
          <cell r="AF146">
            <v>0</v>
          </cell>
          <cell r="AG146">
            <v>0</v>
          </cell>
          <cell r="AI146">
            <v>0</v>
          </cell>
          <cell r="AJ146">
            <v>0</v>
          </cell>
          <cell r="AL146">
            <v>0</v>
          </cell>
          <cell r="AM146">
            <v>0</v>
          </cell>
          <cell r="AO146">
            <v>0</v>
          </cell>
          <cell r="AP146">
            <v>0</v>
          </cell>
          <cell r="AR146">
            <v>0</v>
          </cell>
          <cell r="AS146">
            <v>0</v>
          </cell>
          <cell r="BF146" t="str">
            <v>5400</v>
          </cell>
          <cell r="BG146" t="str">
            <v>F011</v>
          </cell>
          <cell r="BH146" t="str">
            <v>GBB</v>
          </cell>
        </row>
        <row r="147"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C147">
            <v>0</v>
          </cell>
          <cell r="AD147">
            <v>0</v>
          </cell>
          <cell r="AF147">
            <v>0</v>
          </cell>
          <cell r="AG147">
            <v>0</v>
          </cell>
          <cell r="AI147">
            <v>0</v>
          </cell>
          <cell r="AJ147">
            <v>0</v>
          </cell>
          <cell r="AL147">
            <v>0</v>
          </cell>
          <cell r="AM147">
            <v>0</v>
          </cell>
          <cell r="AO147">
            <v>0</v>
          </cell>
          <cell r="AP147">
            <v>0</v>
          </cell>
          <cell r="AR147">
            <v>0</v>
          </cell>
          <cell r="AS147">
            <v>0</v>
          </cell>
          <cell r="BF147" t="str">
            <v>5400</v>
          </cell>
          <cell r="BG147" t="str">
            <v>F012</v>
          </cell>
          <cell r="BH147" t="str">
            <v>GBB</v>
          </cell>
        </row>
        <row r="148"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T148">
            <v>0</v>
          </cell>
          <cell r="U148">
            <v>0</v>
          </cell>
          <cell r="W148">
            <v>0</v>
          </cell>
          <cell r="X148">
            <v>0</v>
          </cell>
          <cell r="Z148">
            <v>0</v>
          </cell>
          <cell r="AA148">
            <v>0</v>
          </cell>
          <cell r="AC148">
            <v>0</v>
          </cell>
          <cell r="AD148">
            <v>0</v>
          </cell>
          <cell r="AF148">
            <v>0</v>
          </cell>
          <cell r="AG148">
            <v>0</v>
          </cell>
          <cell r="AI148">
            <v>0</v>
          </cell>
          <cell r="AJ148">
            <v>0</v>
          </cell>
          <cell r="AL148">
            <v>0</v>
          </cell>
          <cell r="AM148">
            <v>0</v>
          </cell>
          <cell r="AO148">
            <v>0</v>
          </cell>
          <cell r="AP148">
            <v>0</v>
          </cell>
          <cell r="AR148">
            <v>0</v>
          </cell>
          <cell r="AS148">
            <v>0</v>
          </cell>
          <cell r="BF148" t="str">
            <v>5400</v>
          </cell>
          <cell r="BG148" t="str">
            <v>F013</v>
          </cell>
          <cell r="BH148" t="str">
            <v>GBB</v>
          </cell>
        </row>
        <row r="149"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Q149">
            <v>0</v>
          </cell>
          <cell r="R149">
            <v>0</v>
          </cell>
          <cell r="T149">
            <v>0</v>
          </cell>
          <cell r="U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C149">
            <v>0</v>
          </cell>
          <cell r="AD149">
            <v>0</v>
          </cell>
          <cell r="AF149">
            <v>0</v>
          </cell>
          <cell r="AG149">
            <v>0</v>
          </cell>
          <cell r="AI149">
            <v>0</v>
          </cell>
          <cell r="AJ149">
            <v>0</v>
          </cell>
          <cell r="AL149">
            <v>0</v>
          </cell>
          <cell r="AM149">
            <v>0</v>
          </cell>
          <cell r="AO149">
            <v>0</v>
          </cell>
          <cell r="AP149">
            <v>0</v>
          </cell>
          <cell r="AR149">
            <v>0</v>
          </cell>
          <cell r="AS149">
            <v>0</v>
          </cell>
          <cell r="BF149" t="str">
            <v>5400</v>
          </cell>
          <cell r="BG149" t="str">
            <v>F014</v>
          </cell>
          <cell r="BH149" t="str">
            <v>GBB</v>
          </cell>
        </row>
        <row r="150"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Z150">
            <v>0</v>
          </cell>
          <cell r="AA150">
            <v>0</v>
          </cell>
          <cell r="AC150">
            <v>0</v>
          </cell>
          <cell r="AD150">
            <v>0</v>
          </cell>
          <cell r="AF150">
            <v>0</v>
          </cell>
          <cell r="AG150">
            <v>0</v>
          </cell>
          <cell r="AI150">
            <v>0</v>
          </cell>
          <cell r="AJ150">
            <v>0</v>
          </cell>
          <cell r="AL150">
            <v>0</v>
          </cell>
          <cell r="AM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BF150" t="str">
            <v>5400</v>
          </cell>
          <cell r="BG150" t="str">
            <v>F015</v>
          </cell>
          <cell r="BH150" t="str">
            <v>GBB</v>
          </cell>
        </row>
        <row r="151"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Q151">
            <v>0</v>
          </cell>
          <cell r="R151">
            <v>0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Z151">
            <v>0</v>
          </cell>
          <cell r="AA151">
            <v>0</v>
          </cell>
          <cell r="AC151">
            <v>0</v>
          </cell>
          <cell r="AD151">
            <v>0</v>
          </cell>
          <cell r="AF151">
            <v>0</v>
          </cell>
          <cell r="AG151">
            <v>0</v>
          </cell>
          <cell r="AI151">
            <v>0</v>
          </cell>
          <cell r="AJ151">
            <v>0</v>
          </cell>
          <cell r="AL151">
            <v>0</v>
          </cell>
          <cell r="AM151">
            <v>0</v>
          </cell>
          <cell r="AO151">
            <v>0</v>
          </cell>
          <cell r="AP151">
            <v>0</v>
          </cell>
          <cell r="AR151">
            <v>0</v>
          </cell>
          <cell r="AS151">
            <v>0</v>
          </cell>
          <cell r="BF151" t="str">
            <v>5400</v>
          </cell>
          <cell r="BG151" t="str">
            <v>F016</v>
          </cell>
          <cell r="BH151" t="str">
            <v>GBB</v>
          </cell>
        </row>
        <row r="152"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Q152">
            <v>0</v>
          </cell>
          <cell r="R152">
            <v>0</v>
          </cell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F152">
            <v>0</v>
          </cell>
          <cell r="AG152">
            <v>0</v>
          </cell>
          <cell r="AI152">
            <v>0</v>
          </cell>
          <cell r="AJ152">
            <v>0</v>
          </cell>
          <cell r="AL152">
            <v>0</v>
          </cell>
          <cell r="AM152">
            <v>0</v>
          </cell>
          <cell r="AO152">
            <v>0</v>
          </cell>
          <cell r="AP152">
            <v>0</v>
          </cell>
          <cell r="AR152">
            <v>0</v>
          </cell>
          <cell r="AS152">
            <v>0</v>
          </cell>
          <cell r="BF152" t="str">
            <v>5400</v>
          </cell>
          <cell r="BG152" t="str">
            <v>F017</v>
          </cell>
          <cell r="BH152" t="str">
            <v>GBB</v>
          </cell>
        </row>
        <row r="153"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Q153">
            <v>0</v>
          </cell>
          <cell r="R153">
            <v>0</v>
          </cell>
          <cell r="T153">
            <v>0</v>
          </cell>
          <cell r="U153">
            <v>0</v>
          </cell>
          <cell r="W153">
            <v>0</v>
          </cell>
          <cell r="X153">
            <v>0</v>
          </cell>
          <cell r="Z153">
            <v>0</v>
          </cell>
          <cell r="AA153">
            <v>0</v>
          </cell>
          <cell r="AC153">
            <v>0</v>
          </cell>
          <cell r="AD153">
            <v>0</v>
          </cell>
          <cell r="AF153">
            <v>0</v>
          </cell>
          <cell r="AG153">
            <v>0</v>
          </cell>
          <cell r="AI153">
            <v>0</v>
          </cell>
          <cell r="AJ153">
            <v>0</v>
          </cell>
          <cell r="AL153">
            <v>0</v>
          </cell>
          <cell r="AM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BF153" t="str">
            <v>5400</v>
          </cell>
          <cell r="BG153" t="str">
            <v>F018</v>
          </cell>
          <cell r="BH153" t="str">
            <v>GBB</v>
          </cell>
        </row>
        <row r="154"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Q154">
            <v>0</v>
          </cell>
          <cell r="R154">
            <v>0</v>
          </cell>
          <cell r="T154">
            <v>0</v>
          </cell>
          <cell r="U154">
            <v>0</v>
          </cell>
          <cell r="W154">
            <v>0</v>
          </cell>
          <cell r="X154">
            <v>0</v>
          </cell>
          <cell r="Z154">
            <v>0</v>
          </cell>
          <cell r="AA154">
            <v>0</v>
          </cell>
          <cell r="AC154">
            <v>0</v>
          </cell>
          <cell r="AD154">
            <v>0</v>
          </cell>
          <cell r="AF154">
            <v>0</v>
          </cell>
          <cell r="AG154">
            <v>0</v>
          </cell>
          <cell r="AI154">
            <v>0</v>
          </cell>
          <cell r="AJ154">
            <v>0</v>
          </cell>
          <cell r="AL154">
            <v>0</v>
          </cell>
          <cell r="AM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BF154" t="str">
            <v>5400</v>
          </cell>
          <cell r="BG154" t="str">
            <v>F019</v>
          </cell>
          <cell r="BH154" t="str">
            <v>GBB</v>
          </cell>
        </row>
        <row r="155">
          <cell r="K155">
            <v>-78868.25</v>
          </cell>
          <cell r="L155">
            <v>0</v>
          </cell>
          <cell r="N155">
            <v>-80490.810000000056</v>
          </cell>
          <cell r="O155">
            <v>0</v>
          </cell>
          <cell r="Q155">
            <v>-81787.260000000009</v>
          </cell>
          <cell r="R155">
            <v>0</v>
          </cell>
          <cell r="T155">
            <v>1917136.6</v>
          </cell>
          <cell r="U155">
            <v>0</v>
          </cell>
          <cell r="W155">
            <v>-58905.139999999665</v>
          </cell>
          <cell r="X155">
            <v>0</v>
          </cell>
          <cell r="Z155">
            <v>-158021.23000000045</v>
          </cell>
          <cell r="AA155">
            <v>0</v>
          </cell>
          <cell r="AC155">
            <v>-256565.82999999984</v>
          </cell>
          <cell r="AD155">
            <v>0</v>
          </cell>
          <cell r="AF155">
            <v>-152680.79000000027</v>
          </cell>
          <cell r="AG155">
            <v>0</v>
          </cell>
          <cell r="AI155">
            <v>-70297.580000000075</v>
          </cell>
          <cell r="AJ155">
            <v>0</v>
          </cell>
          <cell r="AL155">
            <v>9724308.9100000001</v>
          </cell>
          <cell r="AM155">
            <v>0</v>
          </cell>
          <cell r="AO155">
            <v>-354044.5700000003</v>
          </cell>
          <cell r="AP155">
            <v>0</v>
          </cell>
          <cell r="AR155">
            <v>-318400.0700000003</v>
          </cell>
          <cell r="AS155">
            <v>0</v>
          </cell>
          <cell r="BF155" t="str">
            <v>5400</v>
          </cell>
          <cell r="BG155" t="str">
            <v>F020</v>
          </cell>
          <cell r="BH155" t="str">
            <v>GBB</v>
          </cell>
        </row>
        <row r="156">
          <cell r="K156">
            <v>1250000</v>
          </cell>
          <cell r="L156">
            <v>0</v>
          </cell>
          <cell r="N156">
            <v>0</v>
          </cell>
          <cell r="O156">
            <v>0</v>
          </cell>
          <cell r="Q156">
            <v>-380224.7300000001</v>
          </cell>
          <cell r="R156">
            <v>0</v>
          </cell>
          <cell r="T156">
            <v>-19775.270000000019</v>
          </cell>
          <cell r="U156">
            <v>0</v>
          </cell>
          <cell r="W156">
            <v>-19999.999999999884</v>
          </cell>
          <cell r="X156">
            <v>0</v>
          </cell>
          <cell r="Z156">
            <v>-10000</v>
          </cell>
          <cell r="AA156">
            <v>0</v>
          </cell>
          <cell r="AC156">
            <v>-3999.9999999998836</v>
          </cell>
          <cell r="AD156">
            <v>0</v>
          </cell>
          <cell r="AF156">
            <v>1255911.6500000004</v>
          </cell>
          <cell r="AG156">
            <v>0</v>
          </cell>
          <cell r="AI156">
            <v>-1052527.3399999999</v>
          </cell>
          <cell r="AJ156">
            <v>0</v>
          </cell>
          <cell r="AL156">
            <v>-650000</v>
          </cell>
          <cell r="AM156">
            <v>0</v>
          </cell>
          <cell r="AO156">
            <v>-369384.30999999959</v>
          </cell>
          <cell r="AP156">
            <v>0</v>
          </cell>
          <cell r="AR156">
            <v>0</v>
          </cell>
          <cell r="AS156">
            <v>0</v>
          </cell>
          <cell r="BF156" t="str">
            <v>5400</v>
          </cell>
          <cell r="BG156" t="str">
            <v>F021</v>
          </cell>
          <cell r="BH156" t="str">
            <v>GBB</v>
          </cell>
        </row>
        <row r="157">
          <cell r="K157">
            <v>-15.740000002086163</v>
          </cell>
          <cell r="L157">
            <v>0</v>
          </cell>
          <cell r="N157">
            <v>728.67999999970198</v>
          </cell>
          <cell r="O157">
            <v>0</v>
          </cell>
          <cell r="Q157">
            <v>-80.870000004768372</v>
          </cell>
          <cell r="R157">
            <v>0</v>
          </cell>
          <cell r="T157">
            <v>235.81000000238419</v>
          </cell>
          <cell r="U157">
            <v>0</v>
          </cell>
          <cell r="W157">
            <v>493.71000000089407</v>
          </cell>
          <cell r="X157">
            <v>0</v>
          </cell>
          <cell r="Z157">
            <v>527.37000000476837</v>
          </cell>
          <cell r="AA157">
            <v>0</v>
          </cell>
          <cell r="AC157">
            <v>1058392.8700000048</v>
          </cell>
          <cell r="AD157">
            <v>0</v>
          </cell>
          <cell r="AF157">
            <v>43617.460000000894</v>
          </cell>
          <cell r="AG157">
            <v>0</v>
          </cell>
          <cell r="AI157">
            <v>-363329.45999999344</v>
          </cell>
          <cell r="AJ157">
            <v>0</v>
          </cell>
          <cell r="AL157">
            <v>2986165.2099999934</v>
          </cell>
          <cell r="AM157">
            <v>0</v>
          </cell>
          <cell r="AO157">
            <v>1581370.3800000027</v>
          </cell>
          <cell r="AP157">
            <v>0</v>
          </cell>
          <cell r="AR157">
            <v>111645.03999999166</v>
          </cell>
          <cell r="AS157">
            <v>0</v>
          </cell>
          <cell r="BF157" t="str">
            <v>5500</v>
          </cell>
          <cell r="BG157" t="str">
            <v>G001</v>
          </cell>
          <cell r="BH157" t="str">
            <v>GBB</v>
          </cell>
        </row>
        <row r="158"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Q158">
            <v>0</v>
          </cell>
          <cell r="R158">
            <v>0</v>
          </cell>
          <cell r="T158">
            <v>0</v>
          </cell>
          <cell r="U158">
            <v>0</v>
          </cell>
          <cell r="W158">
            <v>0</v>
          </cell>
          <cell r="X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F158">
            <v>0</v>
          </cell>
          <cell r="AG158">
            <v>0</v>
          </cell>
          <cell r="AI158">
            <v>0</v>
          </cell>
          <cell r="AJ158">
            <v>0</v>
          </cell>
          <cell r="AL158">
            <v>0</v>
          </cell>
          <cell r="AM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BF158" t="str">
            <v>5500</v>
          </cell>
          <cell r="BG158" t="str">
            <v>G002</v>
          </cell>
          <cell r="BH158" t="str">
            <v>GBB</v>
          </cell>
        </row>
        <row r="159"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Q159">
            <v>0</v>
          </cell>
          <cell r="R159">
            <v>0</v>
          </cell>
          <cell r="T159">
            <v>0</v>
          </cell>
          <cell r="U159">
            <v>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C159">
            <v>0</v>
          </cell>
          <cell r="AD159">
            <v>0</v>
          </cell>
          <cell r="AF159">
            <v>0</v>
          </cell>
          <cell r="AG159">
            <v>0</v>
          </cell>
          <cell r="AI159">
            <v>0</v>
          </cell>
          <cell r="AJ159">
            <v>0</v>
          </cell>
          <cell r="AL159">
            <v>0</v>
          </cell>
          <cell r="AM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BF159" t="str">
            <v>5500</v>
          </cell>
          <cell r="BG159" t="str">
            <v>G003</v>
          </cell>
          <cell r="BH159" t="str">
            <v>GBB</v>
          </cell>
        </row>
        <row r="160"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Z160">
            <v>0</v>
          </cell>
          <cell r="AA160">
            <v>0</v>
          </cell>
          <cell r="AC160">
            <v>0</v>
          </cell>
          <cell r="AD160">
            <v>0</v>
          </cell>
          <cell r="AF160">
            <v>0</v>
          </cell>
          <cell r="AG160">
            <v>0</v>
          </cell>
          <cell r="AI160">
            <v>0</v>
          </cell>
          <cell r="AJ160">
            <v>0</v>
          </cell>
          <cell r="AL160">
            <v>0</v>
          </cell>
          <cell r="AM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BF160" t="str">
            <v>5500</v>
          </cell>
          <cell r="BG160" t="str">
            <v>G004</v>
          </cell>
          <cell r="BH160" t="str">
            <v>GBB</v>
          </cell>
        </row>
        <row r="161"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Z161">
            <v>0</v>
          </cell>
          <cell r="AA161">
            <v>0</v>
          </cell>
          <cell r="AC161">
            <v>0</v>
          </cell>
          <cell r="AD161">
            <v>0</v>
          </cell>
          <cell r="AF161">
            <v>0</v>
          </cell>
          <cell r="AG161">
            <v>0</v>
          </cell>
          <cell r="AI161">
            <v>0</v>
          </cell>
          <cell r="AJ161">
            <v>0</v>
          </cell>
          <cell r="AL161">
            <v>0</v>
          </cell>
          <cell r="AM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BF161" t="str">
            <v>5500</v>
          </cell>
          <cell r="BG161" t="str">
            <v>G005</v>
          </cell>
          <cell r="BH161" t="str">
            <v>GBB</v>
          </cell>
        </row>
        <row r="162"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Q162">
            <v>0</v>
          </cell>
          <cell r="R162">
            <v>0</v>
          </cell>
          <cell r="T162">
            <v>0</v>
          </cell>
          <cell r="U162">
            <v>0</v>
          </cell>
          <cell r="W162">
            <v>0</v>
          </cell>
          <cell r="X162">
            <v>0</v>
          </cell>
          <cell r="Z162">
            <v>0</v>
          </cell>
          <cell r="AA162">
            <v>0</v>
          </cell>
          <cell r="AC162">
            <v>0</v>
          </cell>
          <cell r="AD162">
            <v>0</v>
          </cell>
          <cell r="AF162">
            <v>0</v>
          </cell>
          <cell r="AG162">
            <v>0</v>
          </cell>
          <cell r="AI162">
            <v>0</v>
          </cell>
          <cell r="AJ162">
            <v>0</v>
          </cell>
          <cell r="AL162">
            <v>0</v>
          </cell>
          <cell r="AM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BF162" t="str">
            <v>5500</v>
          </cell>
          <cell r="BG162" t="str">
            <v>G006</v>
          </cell>
          <cell r="BH162" t="str">
            <v>GBB</v>
          </cell>
        </row>
        <row r="163"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Q163">
            <v>0</v>
          </cell>
          <cell r="R163">
            <v>0</v>
          </cell>
          <cell r="T163">
            <v>0</v>
          </cell>
          <cell r="U163">
            <v>0</v>
          </cell>
          <cell r="W163">
            <v>0</v>
          </cell>
          <cell r="X163">
            <v>0</v>
          </cell>
          <cell r="Z163">
            <v>0</v>
          </cell>
          <cell r="AA163">
            <v>0</v>
          </cell>
          <cell r="AC163">
            <v>0</v>
          </cell>
          <cell r="AD163">
            <v>0</v>
          </cell>
          <cell r="AF163">
            <v>0</v>
          </cell>
          <cell r="AG163">
            <v>0</v>
          </cell>
          <cell r="AI163">
            <v>0</v>
          </cell>
          <cell r="AJ163">
            <v>0</v>
          </cell>
          <cell r="AL163">
            <v>0</v>
          </cell>
          <cell r="AM163">
            <v>0</v>
          </cell>
          <cell r="AO163">
            <v>0</v>
          </cell>
          <cell r="AP163">
            <v>0</v>
          </cell>
          <cell r="AR163">
            <v>0</v>
          </cell>
          <cell r="AS163">
            <v>0</v>
          </cell>
          <cell r="BF163" t="str">
            <v>5500</v>
          </cell>
          <cell r="BG163" t="str">
            <v>G007</v>
          </cell>
          <cell r="BH163" t="str">
            <v>GBB</v>
          </cell>
        </row>
        <row r="164"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Z164">
            <v>0</v>
          </cell>
          <cell r="AA164">
            <v>0</v>
          </cell>
          <cell r="AC164">
            <v>0</v>
          </cell>
          <cell r="AD164">
            <v>0</v>
          </cell>
          <cell r="AF164">
            <v>0</v>
          </cell>
          <cell r="AG164">
            <v>0</v>
          </cell>
          <cell r="AI164">
            <v>0</v>
          </cell>
          <cell r="AJ164">
            <v>0</v>
          </cell>
          <cell r="AL164">
            <v>0</v>
          </cell>
          <cell r="AM164">
            <v>0</v>
          </cell>
          <cell r="AO164">
            <v>0</v>
          </cell>
          <cell r="AP164">
            <v>0</v>
          </cell>
          <cell r="AR164">
            <v>0</v>
          </cell>
          <cell r="AS164">
            <v>0</v>
          </cell>
          <cell r="BF164" t="str">
            <v>5500</v>
          </cell>
          <cell r="BG164" t="str">
            <v>G008</v>
          </cell>
          <cell r="BH164" t="str">
            <v>GBB</v>
          </cell>
        </row>
        <row r="165"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Q165">
            <v>0</v>
          </cell>
          <cell r="R165">
            <v>0</v>
          </cell>
          <cell r="T165">
            <v>0</v>
          </cell>
          <cell r="U165">
            <v>0</v>
          </cell>
          <cell r="W165">
            <v>0</v>
          </cell>
          <cell r="X165">
            <v>0</v>
          </cell>
          <cell r="Z165">
            <v>0</v>
          </cell>
          <cell r="AA165">
            <v>0</v>
          </cell>
          <cell r="AC165">
            <v>0</v>
          </cell>
          <cell r="AD165">
            <v>0</v>
          </cell>
          <cell r="AF165">
            <v>0</v>
          </cell>
          <cell r="AG165">
            <v>0</v>
          </cell>
          <cell r="AI165">
            <v>0</v>
          </cell>
          <cell r="AJ165">
            <v>0</v>
          </cell>
          <cell r="AL165">
            <v>0</v>
          </cell>
          <cell r="AM165">
            <v>0</v>
          </cell>
          <cell r="AO165">
            <v>0</v>
          </cell>
          <cell r="AP165">
            <v>0</v>
          </cell>
          <cell r="AR165">
            <v>0</v>
          </cell>
          <cell r="AS165">
            <v>0</v>
          </cell>
          <cell r="BF165" t="str">
            <v>5500</v>
          </cell>
          <cell r="BG165" t="str">
            <v>G009</v>
          </cell>
          <cell r="BH165" t="str">
            <v>GBB</v>
          </cell>
        </row>
        <row r="166"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Q166">
            <v>0</v>
          </cell>
          <cell r="R166">
            <v>0</v>
          </cell>
          <cell r="T166">
            <v>0</v>
          </cell>
          <cell r="U166">
            <v>0</v>
          </cell>
          <cell r="W166">
            <v>0</v>
          </cell>
          <cell r="X166">
            <v>0</v>
          </cell>
          <cell r="Z166">
            <v>0</v>
          </cell>
          <cell r="AA166">
            <v>0</v>
          </cell>
          <cell r="AC166">
            <v>0</v>
          </cell>
          <cell r="AD166">
            <v>0</v>
          </cell>
          <cell r="AF166">
            <v>0</v>
          </cell>
          <cell r="AG166">
            <v>0</v>
          </cell>
          <cell r="AI166">
            <v>0</v>
          </cell>
          <cell r="AJ166">
            <v>0</v>
          </cell>
          <cell r="AL166">
            <v>0</v>
          </cell>
          <cell r="AM166">
            <v>0</v>
          </cell>
          <cell r="AO166">
            <v>0</v>
          </cell>
          <cell r="AP166">
            <v>0</v>
          </cell>
          <cell r="AR166">
            <v>0</v>
          </cell>
          <cell r="AS166">
            <v>0</v>
          </cell>
          <cell r="BF166" t="str">
            <v>5500</v>
          </cell>
          <cell r="BG166" t="str">
            <v>G010</v>
          </cell>
          <cell r="BH166" t="str">
            <v>GBB</v>
          </cell>
        </row>
        <row r="167"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0</v>
          </cell>
          <cell r="R167">
            <v>0</v>
          </cell>
          <cell r="T167">
            <v>0</v>
          </cell>
          <cell r="U167">
            <v>0</v>
          </cell>
          <cell r="W167">
            <v>0</v>
          </cell>
          <cell r="X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F167">
            <v>0</v>
          </cell>
          <cell r="AG167">
            <v>0</v>
          </cell>
          <cell r="AI167">
            <v>0</v>
          </cell>
          <cell r="AJ167">
            <v>0</v>
          </cell>
          <cell r="AL167">
            <v>0</v>
          </cell>
          <cell r="AM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BF167" t="str">
            <v>5500</v>
          </cell>
          <cell r="BG167" t="str">
            <v>G011</v>
          </cell>
          <cell r="BH167" t="str">
            <v>GBB</v>
          </cell>
        </row>
        <row r="168"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Q168">
            <v>0</v>
          </cell>
          <cell r="R168">
            <v>0</v>
          </cell>
          <cell r="T168">
            <v>0</v>
          </cell>
          <cell r="U168">
            <v>0</v>
          </cell>
          <cell r="W168">
            <v>0</v>
          </cell>
          <cell r="X168">
            <v>0</v>
          </cell>
          <cell r="Z168">
            <v>0</v>
          </cell>
          <cell r="AA168">
            <v>0</v>
          </cell>
          <cell r="AC168">
            <v>0</v>
          </cell>
          <cell r="AD168">
            <v>0</v>
          </cell>
          <cell r="AF168">
            <v>0</v>
          </cell>
          <cell r="AG168">
            <v>0</v>
          </cell>
          <cell r="AI168">
            <v>0</v>
          </cell>
          <cell r="AJ168">
            <v>0</v>
          </cell>
          <cell r="AL168">
            <v>0</v>
          </cell>
          <cell r="AM168">
            <v>0</v>
          </cell>
          <cell r="AO168">
            <v>0</v>
          </cell>
          <cell r="AP168">
            <v>0</v>
          </cell>
          <cell r="AR168">
            <v>0</v>
          </cell>
          <cell r="AS168">
            <v>0</v>
          </cell>
          <cell r="BF168" t="str">
            <v>5500</v>
          </cell>
          <cell r="BG168" t="str">
            <v>G012</v>
          </cell>
          <cell r="BH168" t="str">
            <v>GBB</v>
          </cell>
        </row>
        <row r="169"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T169">
            <v>0</v>
          </cell>
          <cell r="U169">
            <v>0</v>
          </cell>
          <cell r="W169">
            <v>0</v>
          </cell>
          <cell r="X169">
            <v>0</v>
          </cell>
          <cell r="Z169">
            <v>0</v>
          </cell>
          <cell r="AA169">
            <v>0</v>
          </cell>
          <cell r="AC169">
            <v>0</v>
          </cell>
          <cell r="AD169">
            <v>0</v>
          </cell>
          <cell r="AF169">
            <v>0</v>
          </cell>
          <cell r="AG169">
            <v>0</v>
          </cell>
          <cell r="AI169">
            <v>0</v>
          </cell>
          <cell r="AJ169">
            <v>0</v>
          </cell>
          <cell r="AL169">
            <v>0</v>
          </cell>
          <cell r="AM169">
            <v>0</v>
          </cell>
          <cell r="AO169">
            <v>0</v>
          </cell>
          <cell r="AP169">
            <v>0</v>
          </cell>
          <cell r="AR169">
            <v>0</v>
          </cell>
          <cell r="AS169">
            <v>0</v>
          </cell>
          <cell r="BF169" t="str">
            <v>5600</v>
          </cell>
          <cell r="BG169" t="str">
            <v>H001</v>
          </cell>
          <cell r="BH169" t="str">
            <v>GBB</v>
          </cell>
        </row>
        <row r="170"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Q170">
            <v>0</v>
          </cell>
          <cell r="R170">
            <v>0</v>
          </cell>
          <cell r="T170">
            <v>0</v>
          </cell>
          <cell r="U170">
            <v>0</v>
          </cell>
          <cell r="W170">
            <v>0</v>
          </cell>
          <cell r="X170">
            <v>0</v>
          </cell>
          <cell r="Z170">
            <v>0</v>
          </cell>
          <cell r="AA170">
            <v>0</v>
          </cell>
          <cell r="AC170">
            <v>0</v>
          </cell>
          <cell r="AD170">
            <v>0</v>
          </cell>
          <cell r="AF170">
            <v>0</v>
          </cell>
          <cell r="AG170">
            <v>0</v>
          </cell>
          <cell r="AI170">
            <v>0</v>
          </cell>
          <cell r="AJ170">
            <v>0</v>
          </cell>
          <cell r="AL170">
            <v>0</v>
          </cell>
          <cell r="AM170">
            <v>0</v>
          </cell>
          <cell r="AO170">
            <v>0</v>
          </cell>
          <cell r="AP170">
            <v>0</v>
          </cell>
          <cell r="AR170">
            <v>0</v>
          </cell>
          <cell r="AS170">
            <v>0</v>
          </cell>
          <cell r="BF170" t="str">
            <v>5600</v>
          </cell>
          <cell r="BG170" t="str">
            <v>H002</v>
          </cell>
          <cell r="BH170" t="str">
            <v>GBB</v>
          </cell>
        </row>
        <row r="171">
          <cell r="K171">
            <v>35308.649999999907</v>
          </cell>
          <cell r="L171">
            <v>0</v>
          </cell>
          <cell r="N171">
            <v>-191509.73999999976</v>
          </cell>
          <cell r="O171">
            <v>0</v>
          </cell>
          <cell r="Q171">
            <v>-84360.100000000093</v>
          </cell>
          <cell r="R171">
            <v>0</v>
          </cell>
          <cell r="T171">
            <v>-98293.020000000251</v>
          </cell>
          <cell r="U171">
            <v>0</v>
          </cell>
          <cell r="W171">
            <v>-87889.070000000298</v>
          </cell>
          <cell r="X171">
            <v>0</v>
          </cell>
          <cell r="Z171">
            <v>-97151.759999999776</v>
          </cell>
          <cell r="AA171">
            <v>0</v>
          </cell>
          <cell r="AC171">
            <v>-110727.78000000003</v>
          </cell>
          <cell r="AD171">
            <v>0</v>
          </cell>
          <cell r="AF171">
            <v>-117830.15000000037</v>
          </cell>
          <cell r="AG171">
            <v>0</v>
          </cell>
          <cell r="AI171">
            <v>-131782.88000000035</v>
          </cell>
          <cell r="AJ171">
            <v>0</v>
          </cell>
          <cell r="AL171">
            <v>-108916.83999999985</v>
          </cell>
          <cell r="AM171">
            <v>0</v>
          </cell>
          <cell r="AO171">
            <v>-118916.55000000028</v>
          </cell>
          <cell r="AP171">
            <v>0</v>
          </cell>
          <cell r="AR171">
            <v>-132786.82999999961</v>
          </cell>
          <cell r="AS171">
            <v>0</v>
          </cell>
          <cell r="BF171" t="str">
            <v>5600</v>
          </cell>
          <cell r="BG171" t="str">
            <v>H003</v>
          </cell>
          <cell r="BH171" t="str">
            <v>GBB</v>
          </cell>
        </row>
        <row r="172"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Q172">
            <v>0</v>
          </cell>
          <cell r="R172">
            <v>0</v>
          </cell>
          <cell r="T172">
            <v>0</v>
          </cell>
          <cell r="U172">
            <v>0</v>
          </cell>
          <cell r="W172">
            <v>0</v>
          </cell>
          <cell r="X172">
            <v>0</v>
          </cell>
          <cell r="Z172">
            <v>0</v>
          </cell>
          <cell r="AA172">
            <v>0</v>
          </cell>
          <cell r="AC172">
            <v>0</v>
          </cell>
          <cell r="AD172">
            <v>0</v>
          </cell>
          <cell r="AF172">
            <v>0</v>
          </cell>
          <cell r="AG172">
            <v>0</v>
          </cell>
          <cell r="AI172">
            <v>0</v>
          </cell>
          <cell r="AJ172">
            <v>0</v>
          </cell>
          <cell r="AL172">
            <v>0</v>
          </cell>
          <cell r="AM172">
            <v>0</v>
          </cell>
          <cell r="AO172">
            <v>0</v>
          </cell>
          <cell r="AP172">
            <v>0</v>
          </cell>
          <cell r="AR172">
            <v>0</v>
          </cell>
          <cell r="AS172">
            <v>0</v>
          </cell>
          <cell r="BF172" t="str">
            <v>5600</v>
          </cell>
          <cell r="BG172" t="str">
            <v>H004</v>
          </cell>
          <cell r="BH172" t="str">
            <v>GBB</v>
          </cell>
        </row>
        <row r="173"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Q173">
            <v>0</v>
          </cell>
          <cell r="R173">
            <v>0</v>
          </cell>
          <cell r="T173">
            <v>0</v>
          </cell>
          <cell r="U173">
            <v>0</v>
          </cell>
          <cell r="W173">
            <v>0</v>
          </cell>
          <cell r="X173">
            <v>0</v>
          </cell>
          <cell r="Z173">
            <v>0</v>
          </cell>
          <cell r="AA173">
            <v>0</v>
          </cell>
          <cell r="AC173">
            <v>0</v>
          </cell>
          <cell r="AD173">
            <v>0</v>
          </cell>
          <cell r="AF173">
            <v>0</v>
          </cell>
          <cell r="AG173">
            <v>0</v>
          </cell>
          <cell r="AI173">
            <v>0</v>
          </cell>
          <cell r="AJ173">
            <v>0</v>
          </cell>
          <cell r="AL173">
            <v>0</v>
          </cell>
          <cell r="AM173">
            <v>0</v>
          </cell>
          <cell r="AO173">
            <v>0</v>
          </cell>
          <cell r="AP173">
            <v>0</v>
          </cell>
          <cell r="AR173">
            <v>0</v>
          </cell>
          <cell r="AS173">
            <v>0</v>
          </cell>
          <cell r="BF173" t="str">
            <v>5600</v>
          </cell>
          <cell r="BG173" t="str">
            <v>H005</v>
          </cell>
          <cell r="BH173" t="str">
            <v>GBB</v>
          </cell>
        </row>
        <row r="174"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0</v>
          </cell>
          <cell r="U174">
            <v>0</v>
          </cell>
          <cell r="W174">
            <v>0</v>
          </cell>
          <cell r="X174">
            <v>0</v>
          </cell>
          <cell r="Z174">
            <v>0</v>
          </cell>
          <cell r="AA174">
            <v>0</v>
          </cell>
          <cell r="AC174">
            <v>0</v>
          </cell>
          <cell r="AD174">
            <v>0</v>
          </cell>
          <cell r="AF174">
            <v>0</v>
          </cell>
          <cell r="AG174">
            <v>0</v>
          </cell>
          <cell r="AI174">
            <v>0</v>
          </cell>
          <cell r="AJ174">
            <v>0</v>
          </cell>
          <cell r="AL174">
            <v>0</v>
          </cell>
          <cell r="AM174">
            <v>0</v>
          </cell>
          <cell r="AO174">
            <v>0</v>
          </cell>
          <cell r="AP174">
            <v>0</v>
          </cell>
          <cell r="AR174">
            <v>0</v>
          </cell>
          <cell r="AS174">
            <v>0</v>
          </cell>
          <cell r="BF174" t="str">
            <v>5600</v>
          </cell>
          <cell r="BG174" t="str">
            <v>H006</v>
          </cell>
          <cell r="BH174" t="str">
            <v>GBB</v>
          </cell>
        </row>
        <row r="175"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Q175">
            <v>0</v>
          </cell>
          <cell r="R175">
            <v>0</v>
          </cell>
          <cell r="T175">
            <v>0</v>
          </cell>
          <cell r="U175">
            <v>0</v>
          </cell>
          <cell r="W175">
            <v>0</v>
          </cell>
          <cell r="X175">
            <v>0</v>
          </cell>
          <cell r="Z175">
            <v>0</v>
          </cell>
          <cell r="AA175">
            <v>0</v>
          </cell>
          <cell r="AC175">
            <v>0</v>
          </cell>
          <cell r="AD175">
            <v>0</v>
          </cell>
          <cell r="AF175">
            <v>0</v>
          </cell>
          <cell r="AG175">
            <v>0</v>
          </cell>
          <cell r="AI175">
            <v>0</v>
          </cell>
          <cell r="AJ175">
            <v>0</v>
          </cell>
          <cell r="AL175">
            <v>0</v>
          </cell>
          <cell r="AM175">
            <v>0</v>
          </cell>
          <cell r="AO175">
            <v>0</v>
          </cell>
          <cell r="AP175">
            <v>0</v>
          </cell>
          <cell r="AR175">
            <v>0</v>
          </cell>
          <cell r="AS175">
            <v>0</v>
          </cell>
          <cell r="BF175" t="str">
            <v>5600</v>
          </cell>
          <cell r="BG175" t="str">
            <v>H007</v>
          </cell>
          <cell r="BH175" t="str">
            <v>GBB</v>
          </cell>
        </row>
        <row r="176"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Q176">
            <v>0</v>
          </cell>
          <cell r="R176">
            <v>0</v>
          </cell>
          <cell r="T176">
            <v>0</v>
          </cell>
          <cell r="U176">
            <v>0</v>
          </cell>
          <cell r="W176">
            <v>0</v>
          </cell>
          <cell r="X176">
            <v>0</v>
          </cell>
          <cell r="Z176">
            <v>0</v>
          </cell>
          <cell r="AA176">
            <v>0</v>
          </cell>
          <cell r="AC176">
            <v>0</v>
          </cell>
          <cell r="AD176">
            <v>0</v>
          </cell>
          <cell r="AF176">
            <v>0</v>
          </cell>
          <cell r="AG176">
            <v>0</v>
          </cell>
          <cell r="AI176">
            <v>0</v>
          </cell>
          <cell r="AJ176">
            <v>0</v>
          </cell>
          <cell r="AL176">
            <v>0</v>
          </cell>
          <cell r="AM176">
            <v>0</v>
          </cell>
          <cell r="AO176">
            <v>0</v>
          </cell>
          <cell r="AP176">
            <v>0</v>
          </cell>
          <cell r="AR176">
            <v>0</v>
          </cell>
          <cell r="AS176">
            <v>0</v>
          </cell>
          <cell r="BF176" t="str">
            <v>5600</v>
          </cell>
          <cell r="BG176" t="str">
            <v>H008</v>
          </cell>
          <cell r="BH176" t="str">
            <v>GBB</v>
          </cell>
        </row>
        <row r="177"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Q177">
            <v>0</v>
          </cell>
          <cell r="R177">
            <v>0</v>
          </cell>
          <cell r="T177">
            <v>0</v>
          </cell>
          <cell r="U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C177">
            <v>0</v>
          </cell>
          <cell r="AD177">
            <v>0</v>
          </cell>
          <cell r="AF177">
            <v>0</v>
          </cell>
          <cell r="AG177">
            <v>0</v>
          </cell>
          <cell r="AI177">
            <v>0</v>
          </cell>
          <cell r="AJ177">
            <v>0</v>
          </cell>
          <cell r="AL177">
            <v>0</v>
          </cell>
          <cell r="AM177">
            <v>0</v>
          </cell>
          <cell r="AO177">
            <v>0</v>
          </cell>
          <cell r="AP177">
            <v>0</v>
          </cell>
          <cell r="AR177">
            <v>0</v>
          </cell>
          <cell r="AS177">
            <v>0</v>
          </cell>
          <cell r="BF177" t="str">
            <v>5700</v>
          </cell>
          <cell r="BG177" t="str">
            <v>I001</v>
          </cell>
          <cell r="BH177" t="str">
            <v>GBB</v>
          </cell>
        </row>
        <row r="178"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0</v>
          </cell>
          <cell r="AC178">
            <v>0</v>
          </cell>
          <cell r="AD178">
            <v>0</v>
          </cell>
          <cell r="AF178">
            <v>0</v>
          </cell>
          <cell r="AG178">
            <v>0</v>
          </cell>
          <cell r="AI178">
            <v>0</v>
          </cell>
          <cell r="AJ178">
            <v>0</v>
          </cell>
          <cell r="AL178">
            <v>0</v>
          </cell>
          <cell r="AM178">
            <v>0</v>
          </cell>
          <cell r="AO178">
            <v>0</v>
          </cell>
          <cell r="AP178">
            <v>0</v>
          </cell>
          <cell r="AR178">
            <v>0</v>
          </cell>
          <cell r="AS178">
            <v>0</v>
          </cell>
          <cell r="BF178" t="str">
            <v>5700</v>
          </cell>
          <cell r="BG178" t="str">
            <v>I002</v>
          </cell>
          <cell r="BH178" t="str">
            <v>GBB</v>
          </cell>
        </row>
        <row r="179"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Q179">
            <v>0</v>
          </cell>
          <cell r="R179">
            <v>0</v>
          </cell>
          <cell r="T179">
            <v>0</v>
          </cell>
          <cell r="U179">
            <v>0</v>
          </cell>
          <cell r="W179">
            <v>0</v>
          </cell>
          <cell r="X179">
            <v>0</v>
          </cell>
          <cell r="Z179">
            <v>0</v>
          </cell>
          <cell r="AA179">
            <v>0</v>
          </cell>
          <cell r="AC179">
            <v>0</v>
          </cell>
          <cell r="AD179">
            <v>0</v>
          </cell>
          <cell r="AF179">
            <v>0</v>
          </cell>
          <cell r="AG179">
            <v>0</v>
          </cell>
          <cell r="AI179">
            <v>0</v>
          </cell>
          <cell r="AJ179">
            <v>0</v>
          </cell>
          <cell r="AL179">
            <v>0</v>
          </cell>
          <cell r="AM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0</v>
          </cell>
          <cell r="BF179" t="str">
            <v>5700</v>
          </cell>
          <cell r="BG179" t="str">
            <v>I003</v>
          </cell>
          <cell r="BH179" t="str">
            <v>GBB</v>
          </cell>
        </row>
        <row r="180"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Q180">
            <v>0</v>
          </cell>
          <cell r="R180">
            <v>0</v>
          </cell>
          <cell r="T180">
            <v>0</v>
          </cell>
          <cell r="U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0</v>
          </cell>
          <cell r="AC180">
            <v>0</v>
          </cell>
          <cell r="AD180">
            <v>0</v>
          </cell>
          <cell r="AF180">
            <v>0</v>
          </cell>
          <cell r="AG180">
            <v>0</v>
          </cell>
          <cell r="AI180">
            <v>0</v>
          </cell>
          <cell r="AJ180">
            <v>0</v>
          </cell>
          <cell r="AL180">
            <v>0</v>
          </cell>
          <cell r="AM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BF180" t="str">
            <v>5700</v>
          </cell>
          <cell r="BG180" t="str">
            <v>I004</v>
          </cell>
          <cell r="BH180" t="str">
            <v>GBB</v>
          </cell>
        </row>
        <row r="181">
          <cell r="K181">
            <v>1249000.3800000027</v>
          </cell>
          <cell r="L181">
            <v>0</v>
          </cell>
          <cell r="N181">
            <v>-125155.74000000209</v>
          </cell>
          <cell r="O181">
            <v>0</v>
          </cell>
          <cell r="Q181">
            <v>-369173.93999999762</v>
          </cell>
          <cell r="R181">
            <v>0</v>
          </cell>
          <cell r="T181">
            <v>-190579.05000000447</v>
          </cell>
          <cell r="U181">
            <v>0</v>
          </cell>
          <cell r="W181">
            <v>934559.60000000149</v>
          </cell>
          <cell r="X181">
            <v>0</v>
          </cell>
          <cell r="Z181">
            <v>-532786.80000000447</v>
          </cell>
          <cell r="AA181">
            <v>0</v>
          </cell>
          <cell r="AC181">
            <v>-611613.22999998927</v>
          </cell>
          <cell r="AD181">
            <v>0</v>
          </cell>
          <cell r="AF181">
            <v>-356876.81000000238</v>
          </cell>
          <cell r="AG181">
            <v>0</v>
          </cell>
          <cell r="AI181">
            <v>-1006340.099999994</v>
          </cell>
          <cell r="AJ181">
            <v>0</v>
          </cell>
          <cell r="AL181">
            <v>5546288.1499999911</v>
          </cell>
          <cell r="AM181">
            <v>0</v>
          </cell>
          <cell r="AO181">
            <v>-626592.16000000387</v>
          </cell>
          <cell r="AP181">
            <v>0</v>
          </cell>
          <cell r="AR181">
            <v>568552.13999999315</v>
          </cell>
          <cell r="AS181">
            <v>0</v>
          </cell>
          <cell r="BF181" t="str">
            <v>5700</v>
          </cell>
          <cell r="BG181" t="str">
            <v>I005</v>
          </cell>
          <cell r="BH181" t="str">
            <v>GBB</v>
          </cell>
        </row>
        <row r="182"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Q182">
            <v>0</v>
          </cell>
          <cell r="R182">
            <v>0</v>
          </cell>
          <cell r="T182">
            <v>0</v>
          </cell>
          <cell r="U182">
            <v>0</v>
          </cell>
          <cell r="W182">
            <v>0</v>
          </cell>
          <cell r="X182">
            <v>0</v>
          </cell>
          <cell r="Z182">
            <v>0</v>
          </cell>
          <cell r="AA182">
            <v>0</v>
          </cell>
          <cell r="AC182">
            <v>0</v>
          </cell>
          <cell r="AD182">
            <v>0</v>
          </cell>
          <cell r="AF182">
            <v>0</v>
          </cell>
          <cell r="AG182">
            <v>0</v>
          </cell>
          <cell r="AI182">
            <v>0</v>
          </cell>
          <cell r="AJ182">
            <v>0</v>
          </cell>
          <cell r="AL182">
            <v>0</v>
          </cell>
          <cell r="AM182">
            <v>0</v>
          </cell>
          <cell r="AO182">
            <v>0</v>
          </cell>
          <cell r="AP182">
            <v>0</v>
          </cell>
          <cell r="AR182">
            <v>0</v>
          </cell>
          <cell r="AS182">
            <v>0</v>
          </cell>
          <cell r="BF182" t="str">
            <v>5700</v>
          </cell>
          <cell r="BG182" t="str">
            <v>I006</v>
          </cell>
          <cell r="BH182" t="str">
            <v>GBB</v>
          </cell>
        </row>
        <row r="183"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Q183">
            <v>0</v>
          </cell>
          <cell r="R183">
            <v>0</v>
          </cell>
          <cell r="T183">
            <v>0</v>
          </cell>
          <cell r="U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C183">
            <v>0</v>
          </cell>
          <cell r="AD183">
            <v>0</v>
          </cell>
          <cell r="AF183">
            <v>0</v>
          </cell>
          <cell r="AG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O183">
            <v>0</v>
          </cell>
          <cell r="AP183">
            <v>0</v>
          </cell>
          <cell r="AR183">
            <v>0</v>
          </cell>
          <cell r="AS183">
            <v>0</v>
          </cell>
          <cell r="BF183" t="str">
            <v>5700</v>
          </cell>
          <cell r="BG183" t="str">
            <v>I007</v>
          </cell>
          <cell r="BH183" t="str">
            <v>GBB</v>
          </cell>
        </row>
        <row r="184"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Q184">
            <v>0</v>
          </cell>
          <cell r="R184">
            <v>0</v>
          </cell>
          <cell r="T184">
            <v>0</v>
          </cell>
          <cell r="U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C184">
            <v>0</v>
          </cell>
          <cell r="AD184">
            <v>0</v>
          </cell>
          <cell r="AF184">
            <v>0</v>
          </cell>
          <cell r="AG184">
            <v>0</v>
          </cell>
          <cell r="AI184">
            <v>0</v>
          </cell>
          <cell r="AJ184">
            <v>0</v>
          </cell>
          <cell r="AL184">
            <v>0</v>
          </cell>
          <cell r="AM184">
            <v>0</v>
          </cell>
          <cell r="AO184">
            <v>0</v>
          </cell>
          <cell r="AP184">
            <v>0</v>
          </cell>
          <cell r="AR184">
            <v>0</v>
          </cell>
          <cell r="AS184">
            <v>0</v>
          </cell>
          <cell r="BF184" t="str">
            <v>5700</v>
          </cell>
          <cell r="BG184" t="str">
            <v>I008</v>
          </cell>
          <cell r="BH184" t="str">
            <v>GBB</v>
          </cell>
        </row>
        <row r="185"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Z185">
            <v>0</v>
          </cell>
          <cell r="AA185">
            <v>0</v>
          </cell>
          <cell r="AC185">
            <v>0</v>
          </cell>
          <cell r="AD185">
            <v>0</v>
          </cell>
          <cell r="AF185">
            <v>0</v>
          </cell>
          <cell r="AG185">
            <v>0</v>
          </cell>
          <cell r="AI185">
            <v>0</v>
          </cell>
          <cell r="AJ185">
            <v>0</v>
          </cell>
          <cell r="AL185">
            <v>0</v>
          </cell>
          <cell r="AM185">
            <v>0</v>
          </cell>
          <cell r="AO185">
            <v>0</v>
          </cell>
          <cell r="AP185">
            <v>0</v>
          </cell>
          <cell r="AR185">
            <v>0</v>
          </cell>
          <cell r="AS185">
            <v>0</v>
          </cell>
          <cell r="BF185" t="str">
            <v>5700</v>
          </cell>
          <cell r="BG185" t="str">
            <v>I009</v>
          </cell>
          <cell r="BH185" t="str">
            <v>GBB</v>
          </cell>
        </row>
        <row r="186"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Q186">
            <v>0</v>
          </cell>
          <cell r="R186">
            <v>0</v>
          </cell>
          <cell r="T186">
            <v>0</v>
          </cell>
          <cell r="U186">
            <v>0</v>
          </cell>
          <cell r="W186">
            <v>0</v>
          </cell>
          <cell r="X186">
            <v>0</v>
          </cell>
          <cell r="Z186">
            <v>0</v>
          </cell>
          <cell r="AA186">
            <v>0</v>
          </cell>
          <cell r="AC186">
            <v>0</v>
          </cell>
          <cell r="AD186">
            <v>0</v>
          </cell>
          <cell r="AF186">
            <v>0</v>
          </cell>
          <cell r="AG186">
            <v>0</v>
          </cell>
          <cell r="AI186">
            <v>0</v>
          </cell>
          <cell r="AJ186">
            <v>0</v>
          </cell>
          <cell r="AL186">
            <v>0</v>
          </cell>
          <cell r="AM186">
            <v>0</v>
          </cell>
          <cell r="AO186">
            <v>0</v>
          </cell>
          <cell r="AP186">
            <v>0</v>
          </cell>
          <cell r="AR186">
            <v>0</v>
          </cell>
          <cell r="AS186">
            <v>0</v>
          </cell>
          <cell r="BF186" t="str">
            <v>5700</v>
          </cell>
          <cell r="BG186" t="str">
            <v>I010</v>
          </cell>
          <cell r="BH186" t="str">
            <v>GBB</v>
          </cell>
        </row>
        <row r="187"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Q187">
            <v>0</v>
          </cell>
          <cell r="R187">
            <v>0</v>
          </cell>
          <cell r="T187">
            <v>0</v>
          </cell>
          <cell r="U187">
            <v>0</v>
          </cell>
          <cell r="W187">
            <v>0</v>
          </cell>
          <cell r="X187">
            <v>0</v>
          </cell>
          <cell r="Z187">
            <v>0</v>
          </cell>
          <cell r="AA187">
            <v>0</v>
          </cell>
          <cell r="AC187">
            <v>0</v>
          </cell>
          <cell r="AD187">
            <v>0</v>
          </cell>
          <cell r="AF187">
            <v>0</v>
          </cell>
          <cell r="AG187">
            <v>0</v>
          </cell>
          <cell r="AI187">
            <v>0</v>
          </cell>
          <cell r="AJ187">
            <v>0</v>
          </cell>
          <cell r="AL187">
            <v>0</v>
          </cell>
          <cell r="AM187">
            <v>0</v>
          </cell>
          <cell r="AO187">
            <v>0</v>
          </cell>
          <cell r="AP187">
            <v>0</v>
          </cell>
          <cell r="AR187">
            <v>0</v>
          </cell>
          <cell r="AS187">
            <v>0</v>
          </cell>
          <cell r="BF187" t="str">
            <v>5700</v>
          </cell>
          <cell r="BG187" t="str">
            <v>I011</v>
          </cell>
          <cell r="BH187" t="str">
            <v>GBB</v>
          </cell>
        </row>
        <row r="188">
          <cell r="K188">
            <v>-26377.679999999978</v>
          </cell>
          <cell r="L188">
            <v>0</v>
          </cell>
          <cell r="N188">
            <v>31874.930000000037</v>
          </cell>
          <cell r="O188">
            <v>0</v>
          </cell>
          <cell r="Q188">
            <v>773.19000000006054</v>
          </cell>
          <cell r="R188">
            <v>0</v>
          </cell>
          <cell r="T188">
            <v>9979.3899999997229</v>
          </cell>
          <cell r="U188">
            <v>0</v>
          </cell>
          <cell r="W188">
            <v>-97545.350000000093</v>
          </cell>
          <cell r="X188">
            <v>0</v>
          </cell>
          <cell r="Z188">
            <v>-44771.520000000019</v>
          </cell>
          <cell r="AA188">
            <v>0</v>
          </cell>
          <cell r="AC188">
            <v>-34611.410000000149</v>
          </cell>
          <cell r="AD188">
            <v>0</v>
          </cell>
          <cell r="AF188">
            <v>-25591.090000000084</v>
          </cell>
          <cell r="AG188">
            <v>0</v>
          </cell>
          <cell r="AI188">
            <v>-54287.199999999721</v>
          </cell>
          <cell r="AJ188">
            <v>0</v>
          </cell>
          <cell r="AL188">
            <v>-47248.209999999963</v>
          </cell>
          <cell r="AM188">
            <v>0</v>
          </cell>
          <cell r="AO188">
            <v>-65361.190000001341</v>
          </cell>
          <cell r="AP188">
            <v>0</v>
          </cell>
          <cell r="AR188">
            <v>-84880.88000000082</v>
          </cell>
          <cell r="AS188">
            <v>0</v>
          </cell>
          <cell r="BF188" t="str">
            <v>5700</v>
          </cell>
          <cell r="BG188" t="str">
            <v>I012</v>
          </cell>
          <cell r="BH188" t="str">
            <v>GBB</v>
          </cell>
        </row>
        <row r="189"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Q189">
            <v>0</v>
          </cell>
          <cell r="R189">
            <v>0</v>
          </cell>
          <cell r="T189">
            <v>0</v>
          </cell>
          <cell r="U189">
            <v>0</v>
          </cell>
          <cell r="W189">
            <v>0</v>
          </cell>
          <cell r="X189">
            <v>0</v>
          </cell>
          <cell r="Z189">
            <v>0</v>
          </cell>
          <cell r="AA189">
            <v>0</v>
          </cell>
          <cell r="AC189">
            <v>0</v>
          </cell>
          <cell r="AD189">
            <v>0</v>
          </cell>
          <cell r="AF189">
            <v>0</v>
          </cell>
          <cell r="AG189">
            <v>0</v>
          </cell>
          <cell r="AI189">
            <v>0</v>
          </cell>
          <cell r="AJ189">
            <v>0</v>
          </cell>
          <cell r="AL189">
            <v>0</v>
          </cell>
          <cell r="AM189">
            <v>0</v>
          </cell>
          <cell r="AO189">
            <v>0</v>
          </cell>
          <cell r="AP189">
            <v>0</v>
          </cell>
          <cell r="AR189">
            <v>0</v>
          </cell>
          <cell r="AS189">
            <v>0</v>
          </cell>
          <cell r="BF189" t="str">
            <v>5700</v>
          </cell>
          <cell r="BG189" t="str">
            <v>I013</v>
          </cell>
          <cell r="BH189" t="str">
            <v>GBB</v>
          </cell>
        </row>
        <row r="190">
          <cell r="K190">
            <v>0</v>
          </cell>
          <cell r="L190">
            <v>0</v>
          </cell>
          <cell r="N190">
            <v>0</v>
          </cell>
          <cell r="O190">
            <v>0</v>
          </cell>
          <cell r="Q190">
            <v>0</v>
          </cell>
          <cell r="R190">
            <v>0</v>
          </cell>
          <cell r="T190">
            <v>0</v>
          </cell>
          <cell r="U190">
            <v>0</v>
          </cell>
          <cell r="W190">
            <v>0</v>
          </cell>
          <cell r="X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F190">
            <v>0</v>
          </cell>
          <cell r="AG190">
            <v>0</v>
          </cell>
          <cell r="AI190">
            <v>0</v>
          </cell>
          <cell r="AJ190">
            <v>0</v>
          </cell>
          <cell r="AL190">
            <v>0</v>
          </cell>
          <cell r="AM190">
            <v>0</v>
          </cell>
          <cell r="AO190">
            <v>0</v>
          </cell>
          <cell r="AP190">
            <v>0</v>
          </cell>
          <cell r="AR190">
            <v>0</v>
          </cell>
          <cell r="AS190">
            <v>0</v>
          </cell>
          <cell r="BF190" t="str">
            <v>5800</v>
          </cell>
          <cell r="BG190" t="str">
            <v>J001</v>
          </cell>
          <cell r="BH190" t="str">
            <v>GBB</v>
          </cell>
        </row>
        <row r="191"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Q191">
            <v>0</v>
          </cell>
          <cell r="R191">
            <v>0</v>
          </cell>
          <cell r="T191">
            <v>0</v>
          </cell>
          <cell r="U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C191">
            <v>0</v>
          </cell>
          <cell r="AD191">
            <v>0</v>
          </cell>
          <cell r="AF191">
            <v>0</v>
          </cell>
          <cell r="AG191">
            <v>0</v>
          </cell>
          <cell r="AI191">
            <v>0</v>
          </cell>
          <cell r="AJ191">
            <v>0</v>
          </cell>
          <cell r="AL191">
            <v>0</v>
          </cell>
          <cell r="AM191">
            <v>0</v>
          </cell>
          <cell r="AO191">
            <v>0</v>
          </cell>
          <cell r="AP191">
            <v>0</v>
          </cell>
          <cell r="AR191">
            <v>0</v>
          </cell>
          <cell r="AS191">
            <v>0</v>
          </cell>
          <cell r="BF191" t="str">
            <v>5800</v>
          </cell>
          <cell r="BG191" t="str">
            <v>J002</v>
          </cell>
          <cell r="BH191" t="str">
            <v>GBB</v>
          </cell>
        </row>
        <row r="192"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Z192">
            <v>0</v>
          </cell>
          <cell r="AA192">
            <v>0</v>
          </cell>
          <cell r="AC192">
            <v>0</v>
          </cell>
          <cell r="AD192">
            <v>0</v>
          </cell>
          <cell r="AF192">
            <v>0</v>
          </cell>
          <cell r="AG192">
            <v>0</v>
          </cell>
          <cell r="AI192">
            <v>0</v>
          </cell>
          <cell r="AJ192">
            <v>0</v>
          </cell>
          <cell r="AL192">
            <v>0</v>
          </cell>
          <cell r="AM192">
            <v>0</v>
          </cell>
          <cell r="AO192">
            <v>0</v>
          </cell>
          <cell r="AP192">
            <v>0</v>
          </cell>
          <cell r="AR192">
            <v>0</v>
          </cell>
          <cell r="AS192">
            <v>0</v>
          </cell>
          <cell r="BF192" t="str">
            <v>5800</v>
          </cell>
          <cell r="BG192" t="str">
            <v>J003</v>
          </cell>
          <cell r="BH192" t="str">
            <v>GBB</v>
          </cell>
        </row>
        <row r="193"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Q193">
            <v>0</v>
          </cell>
          <cell r="R193">
            <v>0</v>
          </cell>
          <cell r="T193">
            <v>0</v>
          </cell>
          <cell r="U193">
            <v>0</v>
          </cell>
          <cell r="W193">
            <v>0</v>
          </cell>
          <cell r="X193">
            <v>0</v>
          </cell>
          <cell r="Z193">
            <v>0</v>
          </cell>
          <cell r="AA193">
            <v>0</v>
          </cell>
          <cell r="AC193">
            <v>0</v>
          </cell>
          <cell r="AD193">
            <v>0</v>
          </cell>
          <cell r="AF193">
            <v>0</v>
          </cell>
          <cell r="AG193">
            <v>0</v>
          </cell>
          <cell r="AI193">
            <v>0</v>
          </cell>
          <cell r="AJ193">
            <v>0</v>
          </cell>
          <cell r="AL193">
            <v>0</v>
          </cell>
          <cell r="AM193">
            <v>0</v>
          </cell>
          <cell r="AO193">
            <v>0</v>
          </cell>
          <cell r="AP193">
            <v>0</v>
          </cell>
          <cell r="AR193">
            <v>0</v>
          </cell>
          <cell r="AS193">
            <v>0</v>
          </cell>
          <cell r="BF193" t="str">
            <v>5800</v>
          </cell>
          <cell r="BG193" t="str">
            <v>J004</v>
          </cell>
          <cell r="BH193" t="str">
            <v>GBB</v>
          </cell>
        </row>
        <row r="194"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Z194">
            <v>0</v>
          </cell>
          <cell r="AA194">
            <v>0</v>
          </cell>
          <cell r="AC194">
            <v>0</v>
          </cell>
          <cell r="AD194">
            <v>0</v>
          </cell>
          <cell r="AF194">
            <v>0</v>
          </cell>
          <cell r="AG194">
            <v>0</v>
          </cell>
          <cell r="AI194">
            <v>0</v>
          </cell>
          <cell r="AJ194">
            <v>0</v>
          </cell>
          <cell r="AL194">
            <v>0</v>
          </cell>
          <cell r="AM194">
            <v>0</v>
          </cell>
          <cell r="AO194">
            <v>0</v>
          </cell>
          <cell r="AP194">
            <v>0</v>
          </cell>
          <cell r="AR194">
            <v>0</v>
          </cell>
          <cell r="AS194">
            <v>0</v>
          </cell>
          <cell r="BF194" t="str">
            <v>5800</v>
          </cell>
          <cell r="BG194" t="str">
            <v>J005</v>
          </cell>
          <cell r="BH194" t="str">
            <v>GBB</v>
          </cell>
        </row>
        <row r="195"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  <cell r="T195">
            <v>0</v>
          </cell>
          <cell r="U195">
            <v>0</v>
          </cell>
          <cell r="W195">
            <v>0</v>
          </cell>
          <cell r="X195">
            <v>0</v>
          </cell>
          <cell r="Z195">
            <v>0</v>
          </cell>
          <cell r="AA195">
            <v>0</v>
          </cell>
          <cell r="AC195">
            <v>0</v>
          </cell>
          <cell r="AD195">
            <v>0</v>
          </cell>
          <cell r="AF195">
            <v>0</v>
          </cell>
          <cell r="AG195">
            <v>0</v>
          </cell>
          <cell r="AI195">
            <v>0</v>
          </cell>
          <cell r="AJ195">
            <v>0</v>
          </cell>
          <cell r="AL195">
            <v>0</v>
          </cell>
          <cell r="AM195">
            <v>0</v>
          </cell>
          <cell r="AO195">
            <v>0</v>
          </cell>
          <cell r="AP195">
            <v>0</v>
          </cell>
          <cell r="AR195">
            <v>0</v>
          </cell>
          <cell r="AS195">
            <v>0</v>
          </cell>
          <cell r="BF195" t="str">
            <v>5800</v>
          </cell>
          <cell r="BG195" t="str">
            <v>J006</v>
          </cell>
          <cell r="BH195" t="str">
            <v>GBB</v>
          </cell>
        </row>
        <row r="196"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Q196">
            <v>0</v>
          </cell>
          <cell r="R196">
            <v>0</v>
          </cell>
          <cell r="T196">
            <v>-100000</v>
          </cell>
          <cell r="U196">
            <v>0</v>
          </cell>
          <cell r="W196">
            <v>102</v>
          </cell>
          <cell r="X196">
            <v>0</v>
          </cell>
          <cell r="Z196">
            <v>0</v>
          </cell>
          <cell r="AA196">
            <v>0</v>
          </cell>
          <cell r="AC196">
            <v>0</v>
          </cell>
          <cell r="AD196">
            <v>0</v>
          </cell>
          <cell r="AF196">
            <v>0</v>
          </cell>
          <cell r="AG196">
            <v>0</v>
          </cell>
          <cell r="AI196">
            <v>0</v>
          </cell>
          <cell r="AJ196">
            <v>0</v>
          </cell>
          <cell r="AL196">
            <v>0</v>
          </cell>
          <cell r="AM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BF196" t="str">
            <v>5800</v>
          </cell>
          <cell r="BG196" t="str">
            <v>J007</v>
          </cell>
          <cell r="BH196" t="str">
            <v>GBB</v>
          </cell>
        </row>
        <row r="197"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  <cell r="T197">
            <v>0</v>
          </cell>
          <cell r="U197">
            <v>0</v>
          </cell>
          <cell r="W197">
            <v>0</v>
          </cell>
          <cell r="X197">
            <v>0</v>
          </cell>
          <cell r="Z197">
            <v>0</v>
          </cell>
          <cell r="AA197">
            <v>0</v>
          </cell>
          <cell r="AC197">
            <v>0</v>
          </cell>
          <cell r="AD197">
            <v>0</v>
          </cell>
          <cell r="AF197">
            <v>0</v>
          </cell>
          <cell r="AG197">
            <v>0</v>
          </cell>
          <cell r="AI197">
            <v>0</v>
          </cell>
          <cell r="AJ197">
            <v>0</v>
          </cell>
          <cell r="AL197">
            <v>0</v>
          </cell>
          <cell r="AM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BF197" t="str">
            <v>5800</v>
          </cell>
          <cell r="BG197" t="str">
            <v>J012</v>
          </cell>
          <cell r="BH197" t="str">
            <v>GBB</v>
          </cell>
        </row>
        <row r="198">
          <cell r="K198">
            <v>26000</v>
          </cell>
          <cell r="L198">
            <v>0</v>
          </cell>
          <cell r="N198">
            <v>6000</v>
          </cell>
          <cell r="O198">
            <v>0</v>
          </cell>
          <cell r="Q198">
            <v>-12000</v>
          </cell>
          <cell r="R198">
            <v>0</v>
          </cell>
          <cell r="T198">
            <v>0</v>
          </cell>
          <cell r="U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C198">
            <v>0</v>
          </cell>
          <cell r="AD198">
            <v>0</v>
          </cell>
          <cell r="AF198">
            <v>0</v>
          </cell>
          <cell r="AG198">
            <v>0</v>
          </cell>
          <cell r="AI198">
            <v>0</v>
          </cell>
          <cell r="AJ198">
            <v>0</v>
          </cell>
          <cell r="AL198">
            <v>0</v>
          </cell>
          <cell r="AM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BF198" t="str">
            <v>5801</v>
          </cell>
          <cell r="BG198" t="str">
            <v>J008</v>
          </cell>
          <cell r="BH198" t="str">
            <v>GBB</v>
          </cell>
        </row>
        <row r="199"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Q199">
            <v>0</v>
          </cell>
          <cell r="R199">
            <v>0</v>
          </cell>
          <cell r="T199">
            <v>0</v>
          </cell>
          <cell r="U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C199">
            <v>0</v>
          </cell>
          <cell r="AD199">
            <v>0</v>
          </cell>
          <cell r="AF199">
            <v>0</v>
          </cell>
          <cell r="AG199">
            <v>0</v>
          </cell>
          <cell r="AI199">
            <v>0</v>
          </cell>
          <cell r="AJ199">
            <v>0</v>
          </cell>
          <cell r="AL199">
            <v>0</v>
          </cell>
          <cell r="AM199">
            <v>0</v>
          </cell>
          <cell r="AO199">
            <v>0</v>
          </cell>
          <cell r="AP199">
            <v>0</v>
          </cell>
          <cell r="AR199">
            <v>0</v>
          </cell>
          <cell r="AS199">
            <v>0</v>
          </cell>
          <cell r="BF199" t="str">
            <v>5801</v>
          </cell>
          <cell r="BG199" t="str">
            <v>J009</v>
          </cell>
          <cell r="BH199" t="str">
            <v>GBB</v>
          </cell>
        </row>
        <row r="200"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Z200">
            <v>0</v>
          </cell>
          <cell r="AA200">
            <v>0</v>
          </cell>
          <cell r="AC200">
            <v>0</v>
          </cell>
          <cell r="AD200">
            <v>0</v>
          </cell>
          <cell r="AF200">
            <v>0</v>
          </cell>
          <cell r="AG200">
            <v>0</v>
          </cell>
          <cell r="AI200">
            <v>0</v>
          </cell>
          <cell r="AJ200">
            <v>0</v>
          </cell>
          <cell r="AL200">
            <v>0</v>
          </cell>
          <cell r="AM200">
            <v>0</v>
          </cell>
          <cell r="AO200">
            <v>0</v>
          </cell>
          <cell r="AP200">
            <v>0</v>
          </cell>
          <cell r="AR200">
            <v>0</v>
          </cell>
          <cell r="AS200">
            <v>0</v>
          </cell>
          <cell r="BF200" t="str">
            <v>5801</v>
          </cell>
          <cell r="BG200" t="str">
            <v>J010</v>
          </cell>
          <cell r="BH200" t="str">
            <v>GBB</v>
          </cell>
        </row>
        <row r="201"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Q201">
            <v>0</v>
          </cell>
          <cell r="R201">
            <v>0</v>
          </cell>
          <cell r="T201">
            <v>0</v>
          </cell>
          <cell r="U201">
            <v>0</v>
          </cell>
          <cell r="W201">
            <v>0</v>
          </cell>
          <cell r="X201">
            <v>0</v>
          </cell>
          <cell r="Z201">
            <v>0</v>
          </cell>
          <cell r="AA201">
            <v>0</v>
          </cell>
          <cell r="AC201">
            <v>0</v>
          </cell>
          <cell r="AD201">
            <v>0</v>
          </cell>
          <cell r="AF201">
            <v>0</v>
          </cell>
          <cell r="AG201">
            <v>0</v>
          </cell>
          <cell r="AI201">
            <v>0</v>
          </cell>
          <cell r="AJ201">
            <v>0</v>
          </cell>
          <cell r="AL201">
            <v>0</v>
          </cell>
          <cell r="AM201">
            <v>0</v>
          </cell>
          <cell r="AO201">
            <v>0</v>
          </cell>
          <cell r="AP201">
            <v>0</v>
          </cell>
          <cell r="AR201">
            <v>0</v>
          </cell>
          <cell r="AS201">
            <v>0</v>
          </cell>
          <cell r="BF201" t="str">
            <v>6000</v>
          </cell>
          <cell r="BG201" t="str">
            <v>K001</v>
          </cell>
          <cell r="BH201" t="str">
            <v>GBB</v>
          </cell>
        </row>
        <row r="202"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Q202">
            <v>0</v>
          </cell>
          <cell r="R202">
            <v>0</v>
          </cell>
          <cell r="T202">
            <v>0</v>
          </cell>
          <cell r="U202">
            <v>0</v>
          </cell>
          <cell r="W202">
            <v>0</v>
          </cell>
          <cell r="X202">
            <v>0</v>
          </cell>
          <cell r="Z202">
            <v>0</v>
          </cell>
          <cell r="AA202">
            <v>0</v>
          </cell>
          <cell r="AC202">
            <v>0</v>
          </cell>
          <cell r="AD202">
            <v>0</v>
          </cell>
          <cell r="AF202">
            <v>0</v>
          </cell>
          <cell r="AG202">
            <v>0</v>
          </cell>
          <cell r="AI202">
            <v>0</v>
          </cell>
          <cell r="AJ202">
            <v>0</v>
          </cell>
          <cell r="AL202">
            <v>0</v>
          </cell>
          <cell r="AM202">
            <v>0</v>
          </cell>
          <cell r="AO202">
            <v>0</v>
          </cell>
          <cell r="AP202">
            <v>0</v>
          </cell>
          <cell r="AR202">
            <v>0</v>
          </cell>
          <cell r="AS202">
            <v>0</v>
          </cell>
          <cell r="BF202" t="str">
            <v>6000</v>
          </cell>
          <cell r="BG202" t="str">
            <v>K002</v>
          </cell>
          <cell r="BH202" t="str">
            <v>GBB</v>
          </cell>
        </row>
        <row r="203"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Q203">
            <v>0</v>
          </cell>
          <cell r="R203">
            <v>0</v>
          </cell>
          <cell r="T203">
            <v>0</v>
          </cell>
          <cell r="U203">
            <v>0</v>
          </cell>
          <cell r="W203">
            <v>0</v>
          </cell>
          <cell r="X203">
            <v>0</v>
          </cell>
          <cell r="Z203">
            <v>0</v>
          </cell>
          <cell r="AA203">
            <v>0</v>
          </cell>
          <cell r="AC203">
            <v>0</v>
          </cell>
          <cell r="AD203">
            <v>0</v>
          </cell>
          <cell r="AF203">
            <v>0</v>
          </cell>
          <cell r="AG203">
            <v>0</v>
          </cell>
          <cell r="AI203">
            <v>0</v>
          </cell>
          <cell r="AJ203">
            <v>0</v>
          </cell>
          <cell r="AL203">
            <v>0</v>
          </cell>
          <cell r="AM203">
            <v>0</v>
          </cell>
          <cell r="AO203">
            <v>0</v>
          </cell>
          <cell r="AP203">
            <v>0</v>
          </cell>
          <cell r="AR203">
            <v>0</v>
          </cell>
          <cell r="AS203">
            <v>0</v>
          </cell>
          <cell r="BF203" t="str">
            <v>6100</v>
          </cell>
          <cell r="BG203" t="str">
            <v>K001</v>
          </cell>
          <cell r="BH203" t="str">
            <v>GBB</v>
          </cell>
        </row>
        <row r="204">
          <cell r="K204">
            <v>-104.74</v>
          </cell>
          <cell r="L204">
            <v>0</v>
          </cell>
          <cell r="N204">
            <v>-104.74000000000001</v>
          </cell>
          <cell r="O204">
            <v>0</v>
          </cell>
          <cell r="Q204">
            <v>-101.36000000000001</v>
          </cell>
          <cell r="R204">
            <v>0</v>
          </cell>
          <cell r="T204">
            <v>-104.74000000000001</v>
          </cell>
          <cell r="U204">
            <v>0</v>
          </cell>
          <cell r="W204">
            <v>-101.35999999999984</v>
          </cell>
          <cell r="X204">
            <v>0</v>
          </cell>
          <cell r="Z204">
            <v>-104.74000000000001</v>
          </cell>
          <cell r="AA204">
            <v>0</v>
          </cell>
          <cell r="AC204">
            <v>-104.74000000000001</v>
          </cell>
          <cell r="AD204">
            <v>0</v>
          </cell>
          <cell r="AF204">
            <v>-94.599999999999909</v>
          </cell>
          <cell r="AG204">
            <v>0</v>
          </cell>
          <cell r="AI204">
            <v>-104.73999999999978</v>
          </cell>
          <cell r="AJ204">
            <v>0</v>
          </cell>
          <cell r="AL204">
            <v>-101.36000000000013</v>
          </cell>
          <cell r="AM204">
            <v>0</v>
          </cell>
          <cell r="AO204">
            <v>-104.73999999999978</v>
          </cell>
          <cell r="AP204">
            <v>0</v>
          </cell>
          <cell r="AR204">
            <v>-101.36000000000013</v>
          </cell>
          <cell r="AS204">
            <v>0</v>
          </cell>
          <cell r="BF204" t="str">
            <v>6100</v>
          </cell>
          <cell r="BG204" t="str">
            <v>K002</v>
          </cell>
          <cell r="BH204" t="str">
            <v>GBB</v>
          </cell>
        </row>
        <row r="205"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Q205">
            <v>0</v>
          </cell>
          <cell r="R205">
            <v>0</v>
          </cell>
          <cell r="T205">
            <v>0</v>
          </cell>
          <cell r="U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F205">
            <v>0</v>
          </cell>
          <cell r="AG205">
            <v>0</v>
          </cell>
          <cell r="AI205">
            <v>0</v>
          </cell>
          <cell r="AJ205">
            <v>0</v>
          </cell>
          <cell r="AL205">
            <v>0</v>
          </cell>
          <cell r="AM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BF205" t="str">
            <v>6200</v>
          </cell>
          <cell r="BG205" t="str">
            <v>K001</v>
          </cell>
          <cell r="BH205" t="str">
            <v>GBB</v>
          </cell>
        </row>
        <row r="206"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Q206">
            <v>0</v>
          </cell>
          <cell r="R206">
            <v>0</v>
          </cell>
          <cell r="T206">
            <v>0</v>
          </cell>
          <cell r="U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C206">
            <v>0</v>
          </cell>
          <cell r="AD206">
            <v>0</v>
          </cell>
          <cell r="AF206">
            <v>0</v>
          </cell>
          <cell r="AG206">
            <v>0</v>
          </cell>
          <cell r="AI206">
            <v>0</v>
          </cell>
          <cell r="AJ206">
            <v>0</v>
          </cell>
          <cell r="AL206">
            <v>0</v>
          </cell>
          <cell r="AM206">
            <v>0</v>
          </cell>
          <cell r="AO206">
            <v>0</v>
          </cell>
          <cell r="AP206">
            <v>0</v>
          </cell>
          <cell r="AR206">
            <v>0</v>
          </cell>
          <cell r="AS206">
            <v>0</v>
          </cell>
          <cell r="BF206" t="str">
            <v>6200</v>
          </cell>
          <cell r="BG206" t="str">
            <v>K002</v>
          </cell>
          <cell r="BH206" t="str">
            <v>GBB</v>
          </cell>
        </row>
        <row r="207"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Z207">
            <v>0</v>
          </cell>
          <cell r="AA207">
            <v>0</v>
          </cell>
          <cell r="AC207">
            <v>0</v>
          </cell>
          <cell r="AD207">
            <v>0</v>
          </cell>
          <cell r="AF207">
            <v>0</v>
          </cell>
          <cell r="AG207">
            <v>0</v>
          </cell>
          <cell r="AI207">
            <v>0</v>
          </cell>
          <cell r="AJ207">
            <v>0</v>
          </cell>
          <cell r="AL207">
            <v>0</v>
          </cell>
          <cell r="AM207">
            <v>0</v>
          </cell>
          <cell r="AO207">
            <v>110944.83</v>
          </cell>
          <cell r="AP207">
            <v>0</v>
          </cell>
          <cell r="AR207">
            <v>0</v>
          </cell>
          <cell r="AS207">
            <v>0</v>
          </cell>
          <cell r="BF207" t="str">
            <v>6300</v>
          </cell>
          <cell r="BG207" t="str">
            <v>K001</v>
          </cell>
          <cell r="BH207" t="str">
            <v>GBB</v>
          </cell>
        </row>
        <row r="208"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Q208">
            <v>0</v>
          </cell>
          <cell r="R208">
            <v>0</v>
          </cell>
          <cell r="T208">
            <v>0</v>
          </cell>
          <cell r="U208">
            <v>0</v>
          </cell>
          <cell r="W208">
            <v>0</v>
          </cell>
          <cell r="X208">
            <v>0</v>
          </cell>
          <cell r="Z208">
            <v>0</v>
          </cell>
          <cell r="AA208">
            <v>0</v>
          </cell>
          <cell r="AC208">
            <v>0</v>
          </cell>
          <cell r="AD208">
            <v>0</v>
          </cell>
          <cell r="AF208">
            <v>0</v>
          </cell>
          <cell r="AG208">
            <v>0</v>
          </cell>
          <cell r="AI208">
            <v>0</v>
          </cell>
          <cell r="AJ208">
            <v>0</v>
          </cell>
          <cell r="AL208">
            <v>0</v>
          </cell>
          <cell r="AM208">
            <v>0</v>
          </cell>
          <cell r="AO208">
            <v>-1264.47</v>
          </cell>
          <cell r="AP208">
            <v>0</v>
          </cell>
          <cell r="AR208">
            <v>-1459.0000000000002</v>
          </cell>
          <cell r="AS208">
            <v>0</v>
          </cell>
          <cell r="BF208" t="str">
            <v>6300</v>
          </cell>
          <cell r="BG208" t="str">
            <v>K002</v>
          </cell>
          <cell r="BH208" t="str">
            <v>GBB</v>
          </cell>
        </row>
        <row r="209"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  <cell r="T209">
            <v>0</v>
          </cell>
          <cell r="U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C209">
            <v>0</v>
          </cell>
          <cell r="AD209">
            <v>0</v>
          </cell>
          <cell r="AF209">
            <v>0</v>
          </cell>
          <cell r="AG209">
            <v>0</v>
          </cell>
          <cell r="AI209">
            <v>0</v>
          </cell>
          <cell r="AJ209">
            <v>0</v>
          </cell>
          <cell r="AL209">
            <v>0</v>
          </cell>
          <cell r="AM209">
            <v>0</v>
          </cell>
          <cell r="AO209">
            <v>0</v>
          </cell>
          <cell r="AP209">
            <v>0</v>
          </cell>
          <cell r="AR209">
            <v>0</v>
          </cell>
          <cell r="AS209">
            <v>0</v>
          </cell>
          <cell r="BF209" t="str">
            <v>6400</v>
          </cell>
          <cell r="BG209" t="str">
            <v>K001</v>
          </cell>
          <cell r="BH209" t="str">
            <v>GBB</v>
          </cell>
        </row>
        <row r="210"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  <cell r="T210">
            <v>0</v>
          </cell>
          <cell r="U210">
            <v>0</v>
          </cell>
          <cell r="W210">
            <v>0</v>
          </cell>
          <cell r="X210">
            <v>0</v>
          </cell>
          <cell r="Z210">
            <v>0</v>
          </cell>
          <cell r="AA210">
            <v>0</v>
          </cell>
          <cell r="AC210">
            <v>0</v>
          </cell>
          <cell r="AD210">
            <v>0</v>
          </cell>
          <cell r="AF210">
            <v>0</v>
          </cell>
          <cell r="AG210">
            <v>0</v>
          </cell>
          <cell r="AI210">
            <v>0</v>
          </cell>
          <cell r="AJ210">
            <v>0</v>
          </cell>
          <cell r="AL210">
            <v>0</v>
          </cell>
          <cell r="AM210">
            <v>0</v>
          </cell>
          <cell r="AO210">
            <v>0</v>
          </cell>
          <cell r="AP210">
            <v>0</v>
          </cell>
          <cell r="AR210">
            <v>0</v>
          </cell>
          <cell r="AS210">
            <v>0</v>
          </cell>
          <cell r="BF210" t="str">
            <v>6400</v>
          </cell>
          <cell r="BG210" t="str">
            <v>K002</v>
          </cell>
          <cell r="BH210" t="str">
            <v>GBB</v>
          </cell>
        </row>
        <row r="211"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  <cell r="T211">
            <v>0</v>
          </cell>
          <cell r="U211">
            <v>0</v>
          </cell>
          <cell r="W211">
            <v>0</v>
          </cell>
          <cell r="X211">
            <v>0</v>
          </cell>
          <cell r="Z211">
            <v>0</v>
          </cell>
          <cell r="AA211">
            <v>0</v>
          </cell>
          <cell r="AC211">
            <v>0</v>
          </cell>
          <cell r="AD211">
            <v>0</v>
          </cell>
          <cell r="AF211">
            <v>0</v>
          </cell>
          <cell r="AG211">
            <v>0</v>
          </cell>
          <cell r="AI211">
            <v>0</v>
          </cell>
          <cell r="AJ211">
            <v>0</v>
          </cell>
          <cell r="AL211">
            <v>0</v>
          </cell>
          <cell r="AM211">
            <v>0</v>
          </cell>
          <cell r="AO211">
            <v>0</v>
          </cell>
          <cell r="AP211">
            <v>0</v>
          </cell>
          <cell r="AR211">
            <v>0</v>
          </cell>
          <cell r="AS211">
            <v>0</v>
          </cell>
          <cell r="BF211" t="str">
            <v>6500</v>
          </cell>
          <cell r="BG211" t="str">
            <v>K001</v>
          </cell>
          <cell r="BH211" t="str">
            <v>GBB</v>
          </cell>
        </row>
        <row r="212"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Q212">
            <v>0</v>
          </cell>
          <cell r="R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  <cell r="Z212">
            <v>0</v>
          </cell>
          <cell r="AA212">
            <v>0</v>
          </cell>
          <cell r="AC212">
            <v>0</v>
          </cell>
          <cell r="AD212">
            <v>0</v>
          </cell>
          <cell r="AF212">
            <v>0</v>
          </cell>
          <cell r="AG212">
            <v>0</v>
          </cell>
          <cell r="AI212">
            <v>0</v>
          </cell>
          <cell r="AJ212">
            <v>0</v>
          </cell>
          <cell r="AL212">
            <v>0</v>
          </cell>
          <cell r="AM212">
            <v>0</v>
          </cell>
          <cell r="AO212">
            <v>0</v>
          </cell>
          <cell r="AP212">
            <v>0</v>
          </cell>
          <cell r="AR212">
            <v>0</v>
          </cell>
          <cell r="AS212">
            <v>0</v>
          </cell>
          <cell r="BF212" t="str">
            <v>6500</v>
          </cell>
          <cell r="BG212" t="str">
            <v>K002</v>
          </cell>
          <cell r="BH212" t="str">
            <v>GBB</v>
          </cell>
        </row>
        <row r="213"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Q213">
            <v>0</v>
          </cell>
          <cell r="R213">
            <v>0</v>
          </cell>
          <cell r="T213">
            <v>0</v>
          </cell>
          <cell r="U213">
            <v>0</v>
          </cell>
          <cell r="W213">
            <v>0</v>
          </cell>
          <cell r="X213">
            <v>0</v>
          </cell>
          <cell r="Z213">
            <v>0</v>
          </cell>
          <cell r="AA213">
            <v>0</v>
          </cell>
          <cell r="AC213">
            <v>0</v>
          </cell>
          <cell r="AD213">
            <v>0</v>
          </cell>
          <cell r="AF213">
            <v>0</v>
          </cell>
          <cell r="AG213">
            <v>0</v>
          </cell>
          <cell r="AI213">
            <v>0</v>
          </cell>
          <cell r="AJ213">
            <v>0</v>
          </cell>
          <cell r="AL213">
            <v>0</v>
          </cell>
          <cell r="AM213">
            <v>0</v>
          </cell>
          <cell r="AO213">
            <v>0</v>
          </cell>
          <cell r="AP213">
            <v>0</v>
          </cell>
          <cell r="AR213">
            <v>0</v>
          </cell>
          <cell r="AS213">
            <v>0</v>
          </cell>
          <cell r="BF213" t="str">
            <v>6600</v>
          </cell>
          <cell r="BG213" t="str">
            <v>K001</v>
          </cell>
          <cell r="BH213" t="str">
            <v>GBB</v>
          </cell>
        </row>
        <row r="214"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Z214">
            <v>0</v>
          </cell>
          <cell r="AA214">
            <v>0</v>
          </cell>
          <cell r="AC214">
            <v>0</v>
          </cell>
          <cell r="AD214">
            <v>0</v>
          </cell>
          <cell r="AF214">
            <v>0</v>
          </cell>
          <cell r="AG214">
            <v>0</v>
          </cell>
          <cell r="AI214">
            <v>0</v>
          </cell>
          <cell r="AJ214">
            <v>0</v>
          </cell>
          <cell r="AL214">
            <v>0</v>
          </cell>
          <cell r="AM214">
            <v>0</v>
          </cell>
          <cell r="AO214">
            <v>0</v>
          </cell>
          <cell r="AP214">
            <v>0</v>
          </cell>
          <cell r="AR214">
            <v>0</v>
          </cell>
          <cell r="AS214">
            <v>0</v>
          </cell>
          <cell r="BF214" t="str">
            <v>6600</v>
          </cell>
          <cell r="BG214" t="str">
            <v>K002</v>
          </cell>
          <cell r="BH214" t="str">
            <v>GBB</v>
          </cell>
        </row>
        <row r="215"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Q215">
            <v>0</v>
          </cell>
          <cell r="R215">
            <v>0</v>
          </cell>
          <cell r="T215">
            <v>0</v>
          </cell>
          <cell r="U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C215">
            <v>0</v>
          </cell>
          <cell r="AD215">
            <v>0</v>
          </cell>
          <cell r="AF215">
            <v>17328</v>
          </cell>
          <cell r="AG215">
            <v>0</v>
          </cell>
          <cell r="AI215">
            <v>-421630.66</v>
          </cell>
          <cell r="AJ215">
            <v>0</v>
          </cell>
          <cell r="AL215">
            <v>46904.089999999967</v>
          </cell>
          <cell r="AM215">
            <v>0</v>
          </cell>
          <cell r="AO215">
            <v>-6653.4100000000908</v>
          </cell>
          <cell r="AP215">
            <v>0</v>
          </cell>
          <cell r="AR215">
            <v>-5975.0799999999581</v>
          </cell>
          <cell r="AS215">
            <v>0</v>
          </cell>
          <cell r="BF215" t="str">
            <v>7000</v>
          </cell>
          <cell r="BG215" t="str">
            <v>Z000</v>
          </cell>
          <cell r="BH215" t="str">
            <v>GBB</v>
          </cell>
        </row>
        <row r="216">
          <cell r="K216">
            <v>130000</v>
          </cell>
          <cell r="L216">
            <v>0</v>
          </cell>
          <cell r="N216">
            <v>258250</v>
          </cell>
          <cell r="O216">
            <v>0</v>
          </cell>
          <cell r="Q216">
            <v>145750</v>
          </cell>
          <cell r="R216">
            <v>0</v>
          </cell>
          <cell r="T216">
            <v>161875</v>
          </cell>
          <cell r="U216">
            <v>0</v>
          </cell>
          <cell r="W216">
            <v>153625</v>
          </cell>
          <cell r="X216">
            <v>0</v>
          </cell>
          <cell r="Z216">
            <v>143010</v>
          </cell>
          <cell r="AA216">
            <v>0</v>
          </cell>
          <cell r="AC216">
            <v>139000</v>
          </cell>
          <cell r="AD216">
            <v>0</v>
          </cell>
          <cell r="AF216">
            <v>188000.00000000023</v>
          </cell>
          <cell r="AG216">
            <v>0</v>
          </cell>
          <cell r="AI216">
            <v>171299.99999999977</v>
          </cell>
          <cell r="AJ216">
            <v>0</v>
          </cell>
          <cell r="AL216">
            <v>139490</v>
          </cell>
          <cell r="AM216">
            <v>0</v>
          </cell>
          <cell r="AO216">
            <v>203000</v>
          </cell>
          <cell r="AP216">
            <v>0</v>
          </cell>
          <cell r="AR216">
            <v>165000</v>
          </cell>
          <cell r="AS216">
            <v>0</v>
          </cell>
          <cell r="BF216" t="str">
            <v>7001</v>
          </cell>
          <cell r="BG216" t="str">
            <v>Z000</v>
          </cell>
          <cell r="BH216" t="str">
            <v>GBB</v>
          </cell>
        </row>
        <row r="217">
          <cell r="K217">
            <v>165758.76000000013</v>
          </cell>
          <cell r="L217">
            <v>0</v>
          </cell>
          <cell r="N217">
            <v>44786.189999999711</v>
          </cell>
          <cell r="O217">
            <v>0</v>
          </cell>
          <cell r="Q217">
            <v>155137.35000000056</v>
          </cell>
          <cell r="R217">
            <v>0</v>
          </cell>
          <cell r="T217">
            <v>167475.89000000013</v>
          </cell>
          <cell r="U217">
            <v>0</v>
          </cell>
          <cell r="W217">
            <v>172191.60999999987</v>
          </cell>
          <cell r="X217">
            <v>0</v>
          </cell>
          <cell r="Z217">
            <v>175619.04000000004</v>
          </cell>
          <cell r="AA217">
            <v>0</v>
          </cell>
          <cell r="AC217">
            <v>206347.4700000002</v>
          </cell>
          <cell r="AD217">
            <v>0</v>
          </cell>
          <cell r="AF217">
            <v>-1754208.22</v>
          </cell>
          <cell r="AG217">
            <v>0</v>
          </cell>
          <cell r="AI217">
            <v>183447.06000000006</v>
          </cell>
          <cell r="AJ217">
            <v>0</v>
          </cell>
          <cell r="AL217">
            <v>264325.25999999978</v>
          </cell>
          <cell r="AM217">
            <v>0</v>
          </cell>
          <cell r="AO217">
            <v>163759.20999999996</v>
          </cell>
          <cell r="AP217">
            <v>0</v>
          </cell>
          <cell r="AR217">
            <v>210927.96999999974</v>
          </cell>
          <cell r="AS217">
            <v>0</v>
          </cell>
          <cell r="BF217" t="str">
            <v>7002</v>
          </cell>
          <cell r="BG217" t="str">
            <v>Z000</v>
          </cell>
          <cell r="BH217" t="str">
            <v>GBB</v>
          </cell>
        </row>
        <row r="218"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Q218">
            <v>0</v>
          </cell>
          <cell r="R218">
            <v>0</v>
          </cell>
          <cell r="T218">
            <v>0</v>
          </cell>
          <cell r="U218">
            <v>0</v>
          </cell>
          <cell r="W218">
            <v>0</v>
          </cell>
          <cell r="X218">
            <v>0</v>
          </cell>
          <cell r="Z218">
            <v>0</v>
          </cell>
          <cell r="AA218">
            <v>0</v>
          </cell>
          <cell r="AC218">
            <v>0</v>
          </cell>
          <cell r="AD218">
            <v>0</v>
          </cell>
          <cell r="AF218">
            <v>0</v>
          </cell>
          <cell r="AG218">
            <v>0</v>
          </cell>
          <cell r="AI218">
            <v>0</v>
          </cell>
          <cell r="AJ218">
            <v>0</v>
          </cell>
          <cell r="AL218">
            <v>0</v>
          </cell>
          <cell r="AM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BF218" t="str">
            <v>7100</v>
          </cell>
          <cell r="BG218" t="str">
            <v>Z000</v>
          </cell>
          <cell r="BH218" t="str">
            <v>GBB</v>
          </cell>
        </row>
        <row r="219"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Q219">
            <v>0</v>
          </cell>
          <cell r="R219">
            <v>0</v>
          </cell>
          <cell r="T219">
            <v>0</v>
          </cell>
          <cell r="U219">
            <v>0</v>
          </cell>
          <cell r="W219">
            <v>0</v>
          </cell>
          <cell r="X219">
            <v>0</v>
          </cell>
          <cell r="Z219">
            <v>0</v>
          </cell>
          <cell r="AA219">
            <v>0</v>
          </cell>
          <cell r="AC219">
            <v>0</v>
          </cell>
          <cell r="AD219">
            <v>0</v>
          </cell>
          <cell r="AF219">
            <v>0</v>
          </cell>
          <cell r="AG219">
            <v>0</v>
          </cell>
          <cell r="AI219">
            <v>0</v>
          </cell>
          <cell r="AJ219">
            <v>0</v>
          </cell>
          <cell r="AL219">
            <v>0</v>
          </cell>
          <cell r="AM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BF219" t="str">
            <v>7300</v>
          </cell>
          <cell r="BG219" t="str">
            <v>Z000</v>
          </cell>
          <cell r="BH219" t="str">
            <v>GBB</v>
          </cell>
        </row>
        <row r="220"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Q220">
            <v>0</v>
          </cell>
          <cell r="R220">
            <v>0</v>
          </cell>
          <cell r="T220">
            <v>0</v>
          </cell>
          <cell r="U220">
            <v>0</v>
          </cell>
          <cell r="W220">
            <v>0</v>
          </cell>
          <cell r="X220">
            <v>0</v>
          </cell>
          <cell r="Z220">
            <v>0</v>
          </cell>
          <cell r="AA220">
            <v>0</v>
          </cell>
          <cell r="AC220">
            <v>0</v>
          </cell>
          <cell r="AD220">
            <v>0</v>
          </cell>
          <cell r="AF220">
            <v>0</v>
          </cell>
          <cell r="AG220">
            <v>0</v>
          </cell>
          <cell r="AI220">
            <v>0</v>
          </cell>
          <cell r="AJ220">
            <v>0</v>
          </cell>
          <cell r="AL220">
            <v>0</v>
          </cell>
          <cell r="AM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BF220" t="str">
            <v>7350</v>
          </cell>
          <cell r="BG220" t="str">
            <v>Z000</v>
          </cell>
          <cell r="BH220" t="str">
            <v>GBB</v>
          </cell>
        </row>
        <row r="221"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F221">
            <v>0</v>
          </cell>
          <cell r="AG221">
            <v>0</v>
          </cell>
          <cell r="AI221">
            <v>0</v>
          </cell>
          <cell r="AJ221">
            <v>0</v>
          </cell>
          <cell r="AL221">
            <v>0</v>
          </cell>
          <cell r="AM221">
            <v>0</v>
          </cell>
          <cell r="AO221">
            <v>0</v>
          </cell>
          <cell r="AP221">
            <v>0</v>
          </cell>
          <cell r="AR221">
            <v>0</v>
          </cell>
          <cell r="AS221">
            <v>0</v>
          </cell>
          <cell r="BF221" t="str">
            <v>7400</v>
          </cell>
          <cell r="BG221" t="str">
            <v>Z000</v>
          </cell>
          <cell r="BH221" t="str">
            <v>GBB</v>
          </cell>
        </row>
        <row r="222"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Q222">
            <v>0</v>
          </cell>
          <cell r="R222">
            <v>0</v>
          </cell>
          <cell r="T222">
            <v>0</v>
          </cell>
          <cell r="U222">
            <v>0</v>
          </cell>
          <cell r="W222">
            <v>87</v>
          </cell>
          <cell r="X222">
            <v>0</v>
          </cell>
          <cell r="Z222">
            <v>-60</v>
          </cell>
          <cell r="AA222">
            <v>0</v>
          </cell>
          <cell r="AC222">
            <v>-34.199999999999989</v>
          </cell>
          <cell r="AD222">
            <v>0</v>
          </cell>
          <cell r="AF222">
            <v>33740.799999999996</v>
          </cell>
          <cell r="AG222">
            <v>0</v>
          </cell>
          <cell r="AI222">
            <v>3835.1099999999933</v>
          </cell>
          <cell r="AJ222">
            <v>0</v>
          </cell>
          <cell r="AL222">
            <v>-6103.8000000000029</v>
          </cell>
          <cell r="AM222">
            <v>0</v>
          </cell>
          <cell r="AO222">
            <v>646.80000000000291</v>
          </cell>
          <cell r="AP222">
            <v>0</v>
          </cell>
          <cell r="AR222">
            <v>-4745.2999999999884</v>
          </cell>
          <cell r="AS222">
            <v>0</v>
          </cell>
          <cell r="BF222" t="str">
            <v>7500</v>
          </cell>
          <cell r="BG222" t="str">
            <v>Z000</v>
          </cell>
          <cell r="BH222" t="str">
            <v>GBB</v>
          </cell>
        </row>
        <row r="223"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Q223">
            <v>0</v>
          </cell>
          <cell r="R223">
            <v>0</v>
          </cell>
          <cell r="T223">
            <v>0</v>
          </cell>
          <cell r="U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C223">
            <v>0</v>
          </cell>
          <cell r="AD223">
            <v>0</v>
          </cell>
          <cell r="AF223">
            <v>0</v>
          </cell>
          <cell r="AG223">
            <v>0</v>
          </cell>
          <cell r="AI223">
            <v>0</v>
          </cell>
          <cell r="AJ223">
            <v>0</v>
          </cell>
          <cell r="AL223">
            <v>0</v>
          </cell>
          <cell r="AM223">
            <v>0</v>
          </cell>
          <cell r="AO223">
            <v>0</v>
          </cell>
          <cell r="AP223">
            <v>0</v>
          </cell>
          <cell r="AR223">
            <v>0</v>
          </cell>
          <cell r="AS223">
            <v>0</v>
          </cell>
          <cell r="BF223" t="str">
            <v>7600</v>
          </cell>
          <cell r="BG223" t="str">
            <v>Z000</v>
          </cell>
          <cell r="BH223" t="str">
            <v>GBB</v>
          </cell>
        </row>
        <row r="224"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Z224">
            <v>0</v>
          </cell>
          <cell r="AA224">
            <v>0</v>
          </cell>
          <cell r="AC224">
            <v>0</v>
          </cell>
          <cell r="AD224">
            <v>0</v>
          </cell>
          <cell r="AF224">
            <v>0</v>
          </cell>
          <cell r="AG224">
            <v>0</v>
          </cell>
          <cell r="AI224">
            <v>0</v>
          </cell>
          <cell r="AJ224">
            <v>0</v>
          </cell>
          <cell r="AL224">
            <v>0</v>
          </cell>
          <cell r="AM224">
            <v>0</v>
          </cell>
          <cell r="AO224">
            <v>0</v>
          </cell>
          <cell r="AP224">
            <v>0</v>
          </cell>
          <cell r="AR224">
            <v>0</v>
          </cell>
          <cell r="AS224">
            <v>0</v>
          </cell>
          <cell r="BF224" t="str">
            <v>7700</v>
          </cell>
          <cell r="BG224" t="str">
            <v>Z000</v>
          </cell>
          <cell r="BH224" t="str">
            <v>GBB</v>
          </cell>
        </row>
        <row r="225"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Z225">
            <v>0</v>
          </cell>
          <cell r="AA225">
            <v>0</v>
          </cell>
          <cell r="AC225">
            <v>0</v>
          </cell>
          <cell r="AD225">
            <v>0</v>
          </cell>
          <cell r="AF225">
            <v>0</v>
          </cell>
          <cell r="AG225">
            <v>0</v>
          </cell>
          <cell r="AI225">
            <v>0</v>
          </cell>
          <cell r="AJ225">
            <v>0</v>
          </cell>
          <cell r="AL225">
            <v>0</v>
          </cell>
          <cell r="AM225">
            <v>0</v>
          </cell>
          <cell r="AO225">
            <v>0</v>
          </cell>
          <cell r="AP225">
            <v>0</v>
          </cell>
          <cell r="AR225">
            <v>0</v>
          </cell>
          <cell r="AS225">
            <v>0</v>
          </cell>
          <cell r="BF225" t="str">
            <v>8002</v>
          </cell>
          <cell r="BG225" t="str">
            <v>Z000</v>
          </cell>
          <cell r="BH225" t="str">
            <v>GBB</v>
          </cell>
        </row>
        <row r="226"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C226">
            <v>0</v>
          </cell>
          <cell r="AD226">
            <v>0</v>
          </cell>
          <cell r="AF226">
            <v>0</v>
          </cell>
          <cell r="AG226">
            <v>0</v>
          </cell>
          <cell r="AI226">
            <v>0</v>
          </cell>
          <cell r="AJ226">
            <v>0</v>
          </cell>
          <cell r="AL226">
            <v>0</v>
          </cell>
          <cell r="AM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BF226" t="str">
            <v>8003</v>
          </cell>
          <cell r="BG226" t="str">
            <v>Z000</v>
          </cell>
          <cell r="BH226" t="str">
            <v>GBB</v>
          </cell>
        </row>
        <row r="227"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Q227">
            <v>0</v>
          </cell>
          <cell r="R227">
            <v>0</v>
          </cell>
          <cell r="T227">
            <v>0</v>
          </cell>
          <cell r="U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C227">
            <v>0</v>
          </cell>
          <cell r="AD227">
            <v>0</v>
          </cell>
          <cell r="AF227">
            <v>0</v>
          </cell>
          <cell r="AG227">
            <v>0</v>
          </cell>
          <cell r="AI227">
            <v>0</v>
          </cell>
          <cell r="AJ227">
            <v>0</v>
          </cell>
          <cell r="AL227">
            <v>0</v>
          </cell>
          <cell r="AM227">
            <v>0</v>
          </cell>
          <cell r="AO227">
            <v>0</v>
          </cell>
          <cell r="AP227">
            <v>0</v>
          </cell>
          <cell r="AR227">
            <v>0</v>
          </cell>
          <cell r="AS227">
            <v>0</v>
          </cell>
          <cell r="BF227" t="str">
            <v>8200</v>
          </cell>
          <cell r="BG227" t="str">
            <v>Z000</v>
          </cell>
          <cell r="BH227" t="str">
            <v>GBB</v>
          </cell>
        </row>
        <row r="228"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Z228">
            <v>0</v>
          </cell>
          <cell r="AA228">
            <v>0</v>
          </cell>
          <cell r="AC228">
            <v>0</v>
          </cell>
          <cell r="AD228">
            <v>0</v>
          </cell>
          <cell r="AF228">
            <v>0</v>
          </cell>
          <cell r="AG228">
            <v>0</v>
          </cell>
          <cell r="AI228">
            <v>0</v>
          </cell>
          <cell r="AJ228">
            <v>0</v>
          </cell>
          <cell r="AL228">
            <v>0</v>
          </cell>
          <cell r="AM228">
            <v>0</v>
          </cell>
          <cell r="AO228">
            <v>0</v>
          </cell>
          <cell r="AP228">
            <v>0</v>
          </cell>
          <cell r="AR228">
            <v>0</v>
          </cell>
          <cell r="AS228">
            <v>0</v>
          </cell>
          <cell r="BF228" t="str">
            <v>8201</v>
          </cell>
          <cell r="BG228" t="str">
            <v>Z000</v>
          </cell>
          <cell r="BH228" t="str">
            <v>GBB</v>
          </cell>
        </row>
        <row r="229"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Q229">
            <v>0</v>
          </cell>
          <cell r="R229">
            <v>0</v>
          </cell>
          <cell r="T229">
            <v>0</v>
          </cell>
          <cell r="U229">
            <v>0</v>
          </cell>
          <cell r="W229">
            <v>0</v>
          </cell>
          <cell r="X229">
            <v>0</v>
          </cell>
          <cell r="Z229">
            <v>0</v>
          </cell>
          <cell r="AA229">
            <v>0</v>
          </cell>
          <cell r="AC229">
            <v>0</v>
          </cell>
          <cell r="AD229">
            <v>0</v>
          </cell>
          <cell r="AF229">
            <v>0</v>
          </cell>
          <cell r="AG229">
            <v>0</v>
          </cell>
          <cell r="AI229">
            <v>0</v>
          </cell>
          <cell r="AJ229">
            <v>0</v>
          </cell>
          <cell r="AL229">
            <v>0</v>
          </cell>
          <cell r="AM229">
            <v>0</v>
          </cell>
          <cell r="AO229">
            <v>0</v>
          </cell>
          <cell r="AP229">
            <v>0</v>
          </cell>
          <cell r="AR229">
            <v>0</v>
          </cell>
          <cell r="AS229">
            <v>0</v>
          </cell>
          <cell r="BF229" t="str">
            <v>8300</v>
          </cell>
          <cell r="BG229" t="str">
            <v>Z000</v>
          </cell>
          <cell r="BH229" t="str">
            <v>GBB</v>
          </cell>
        </row>
        <row r="230"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Q230">
            <v>0</v>
          </cell>
          <cell r="R230">
            <v>0</v>
          </cell>
          <cell r="T230">
            <v>0</v>
          </cell>
          <cell r="U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C230">
            <v>0</v>
          </cell>
          <cell r="AD230">
            <v>0</v>
          </cell>
          <cell r="AF230">
            <v>0</v>
          </cell>
          <cell r="AG230">
            <v>0</v>
          </cell>
          <cell r="AI230">
            <v>0</v>
          </cell>
          <cell r="AJ230">
            <v>0</v>
          </cell>
          <cell r="AL230">
            <v>0</v>
          </cell>
          <cell r="AM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BF230" t="str">
            <v>8400</v>
          </cell>
          <cell r="BG230" t="str">
            <v>N001</v>
          </cell>
          <cell r="BH230" t="str">
            <v>GBB</v>
          </cell>
        </row>
        <row r="231">
          <cell r="K231">
            <v>-64952.199999999953</v>
          </cell>
          <cell r="L231">
            <v>0</v>
          </cell>
          <cell r="N231">
            <v>4861.1800000001676</v>
          </cell>
          <cell r="O231">
            <v>0</v>
          </cell>
          <cell r="Q231">
            <v>-9903.2899999977089</v>
          </cell>
          <cell r="R231">
            <v>0</v>
          </cell>
          <cell r="T231">
            <v>2008704.9800000023</v>
          </cell>
          <cell r="U231">
            <v>0</v>
          </cell>
          <cell r="W231">
            <v>-1773330.9599999972</v>
          </cell>
          <cell r="X231">
            <v>0</v>
          </cell>
          <cell r="Z231">
            <v>-17138.749999999069</v>
          </cell>
          <cell r="AA231">
            <v>0</v>
          </cell>
          <cell r="AC231">
            <v>-173539.38999999966</v>
          </cell>
          <cell r="AD231">
            <v>0</v>
          </cell>
          <cell r="AF231">
            <v>-42450.530000000261</v>
          </cell>
          <cell r="AG231">
            <v>0</v>
          </cell>
          <cell r="AI231">
            <v>45096.149999999441</v>
          </cell>
          <cell r="AJ231">
            <v>0</v>
          </cell>
          <cell r="AL231">
            <v>3336958.459999999</v>
          </cell>
          <cell r="AM231">
            <v>0</v>
          </cell>
          <cell r="AO231">
            <v>-1394838.3100000024</v>
          </cell>
          <cell r="AP231">
            <v>0</v>
          </cell>
          <cell r="AR231">
            <v>-1500027.8400000017</v>
          </cell>
          <cell r="AS231">
            <v>0</v>
          </cell>
          <cell r="BF231" t="str">
            <v>8400</v>
          </cell>
          <cell r="BG231" t="str">
            <v>N002</v>
          </cell>
          <cell r="BH231" t="str">
            <v>GBB</v>
          </cell>
        </row>
        <row r="232">
          <cell r="K232">
            <v>-573287.5</v>
          </cell>
          <cell r="L232">
            <v>0</v>
          </cell>
          <cell r="N232">
            <v>612440.56999999983</v>
          </cell>
          <cell r="O232">
            <v>0</v>
          </cell>
          <cell r="Q232">
            <v>38844.910000000149</v>
          </cell>
          <cell r="R232">
            <v>0</v>
          </cell>
          <cell r="T232">
            <v>-1521.5099999979138</v>
          </cell>
          <cell r="U232">
            <v>0</v>
          </cell>
          <cell r="W232">
            <v>-637553.5699999975</v>
          </cell>
          <cell r="X232">
            <v>0</v>
          </cell>
          <cell r="Z232">
            <v>-26816.599999999627</v>
          </cell>
          <cell r="AA232">
            <v>0</v>
          </cell>
          <cell r="AC232">
            <v>-71.150000000372529</v>
          </cell>
          <cell r="AD232">
            <v>0</v>
          </cell>
          <cell r="AF232">
            <v>-71.150000000372529</v>
          </cell>
          <cell r="AG232">
            <v>0</v>
          </cell>
          <cell r="AI232">
            <v>0</v>
          </cell>
          <cell r="AJ232">
            <v>0</v>
          </cell>
          <cell r="AL232">
            <v>0</v>
          </cell>
          <cell r="AM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BF232" t="str">
            <v>8400</v>
          </cell>
          <cell r="BG232" t="str">
            <v>N003</v>
          </cell>
          <cell r="BH232" t="str">
            <v>GBB</v>
          </cell>
        </row>
        <row r="233">
          <cell r="K233">
            <v>26377.679999999978</v>
          </cell>
          <cell r="L233">
            <v>0</v>
          </cell>
          <cell r="N233">
            <v>34125.069999999963</v>
          </cell>
          <cell r="O233">
            <v>0</v>
          </cell>
          <cell r="Q233">
            <v>12076.809999999939</v>
          </cell>
          <cell r="R233">
            <v>0</v>
          </cell>
          <cell r="T233">
            <v>-2729.4499999997788</v>
          </cell>
          <cell r="U233">
            <v>0</v>
          </cell>
          <cell r="W233">
            <v>101486.62000000011</v>
          </cell>
          <cell r="X233">
            <v>0</v>
          </cell>
          <cell r="Z233">
            <v>44719.489999999991</v>
          </cell>
          <cell r="AA233">
            <v>0</v>
          </cell>
          <cell r="AC233">
            <v>52285.080000000075</v>
          </cell>
          <cell r="AD233">
            <v>0</v>
          </cell>
          <cell r="AF233">
            <v>23139.840000000084</v>
          </cell>
          <cell r="AG233">
            <v>0</v>
          </cell>
          <cell r="AI233">
            <v>51946.989999999991</v>
          </cell>
          <cell r="AJ233">
            <v>0</v>
          </cell>
          <cell r="AL233">
            <v>44700.010000000475</v>
          </cell>
          <cell r="AM233">
            <v>0</v>
          </cell>
          <cell r="AO233">
            <v>76768.200000000186</v>
          </cell>
          <cell r="AP233">
            <v>0</v>
          </cell>
          <cell r="AR233">
            <v>79969.120000000112</v>
          </cell>
          <cell r="AS233">
            <v>0</v>
          </cell>
          <cell r="BF233" t="str">
            <v>8400</v>
          </cell>
          <cell r="BG233" t="str">
            <v>N004</v>
          </cell>
          <cell r="BH233" t="str">
            <v>GBB</v>
          </cell>
        </row>
        <row r="234"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Q234">
            <v>20000</v>
          </cell>
          <cell r="R234">
            <v>0</v>
          </cell>
          <cell r="T234">
            <v>-20040</v>
          </cell>
          <cell r="U234">
            <v>0</v>
          </cell>
          <cell r="W234">
            <v>40</v>
          </cell>
          <cell r="X234">
            <v>0</v>
          </cell>
          <cell r="Z234">
            <v>0</v>
          </cell>
          <cell r="AA234">
            <v>0</v>
          </cell>
          <cell r="AC234">
            <v>0</v>
          </cell>
          <cell r="AD234">
            <v>0</v>
          </cell>
          <cell r="AF234">
            <v>-10690.169999999925</v>
          </cell>
          <cell r="AG234">
            <v>0</v>
          </cell>
          <cell r="AI234">
            <v>10690.169999999925</v>
          </cell>
          <cell r="AJ234">
            <v>0</v>
          </cell>
          <cell r="AL234">
            <v>0</v>
          </cell>
          <cell r="AM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BF234" t="str">
            <v>8400</v>
          </cell>
          <cell r="BG234" t="str">
            <v>N999</v>
          </cell>
          <cell r="BH234" t="str">
            <v>GBB</v>
          </cell>
        </row>
        <row r="235"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Z235">
            <v>0</v>
          </cell>
          <cell r="AA235">
            <v>0</v>
          </cell>
          <cell r="AC235">
            <v>0</v>
          </cell>
          <cell r="AD235">
            <v>0</v>
          </cell>
          <cell r="AF235">
            <v>0</v>
          </cell>
          <cell r="AG235">
            <v>0</v>
          </cell>
          <cell r="AI235">
            <v>0</v>
          </cell>
          <cell r="AJ235">
            <v>0</v>
          </cell>
          <cell r="AL235">
            <v>0</v>
          </cell>
          <cell r="AM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BF235" t="str">
            <v>8420</v>
          </cell>
          <cell r="BG235" t="str">
            <v>Z000</v>
          </cell>
          <cell r="BH235" t="str">
            <v>GBB</v>
          </cell>
        </row>
        <row r="236"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  <cell r="T236">
            <v>0</v>
          </cell>
          <cell r="U236">
            <v>0</v>
          </cell>
          <cell r="W236">
            <v>0</v>
          </cell>
          <cell r="X236">
            <v>0</v>
          </cell>
          <cell r="Z236">
            <v>0</v>
          </cell>
          <cell r="AA236">
            <v>0</v>
          </cell>
          <cell r="AC236">
            <v>0</v>
          </cell>
          <cell r="AD236">
            <v>0</v>
          </cell>
          <cell r="AF236">
            <v>0</v>
          </cell>
          <cell r="AG236">
            <v>0</v>
          </cell>
          <cell r="AI236">
            <v>0</v>
          </cell>
          <cell r="AJ236">
            <v>0</v>
          </cell>
          <cell r="AL236">
            <v>0</v>
          </cell>
          <cell r="AM236">
            <v>0</v>
          </cell>
          <cell r="AO236">
            <v>0</v>
          </cell>
          <cell r="AP236">
            <v>0</v>
          </cell>
          <cell r="AR236">
            <v>0</v>
          </cell>
          <cell r="AS236">
            <v>0</v>
          </cell>
          <cell r="BF236" t="str">
            <v>8500</v>
          </cell>
          <cell r="BG236" t="str">
            <v>O101</v>
          </cell>
          <cell r="BH236" t="str">
            <v>GBB</v>
          </cell>
        </row>
        <row r="237"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Q237">
            <v>0</v>
          </cell>
          <cell r="R237">
            <v>0</v>
          </cell>
          <cell r="T237">
            <v>0</v>
          </cell>
          <cell r="U237">
            <v>0</v>
          </cell>
          <cell r="W237">
            <v>0</v>
          </cell>
          <cell r="X237">
            <v>0</v>
          </cell>
          <cell r="Z237">
            <v>0</v>
          </cell>
          <cell r="AA237">
            <v>0</v>
          </cell>
          <cell r="AC237">
            <v>0</v>
          </cell>
          <cell r="AD237">
            <v>0</v>
          </cell>
          <cell r="AF237">
            <v>0</v>
          </cell>
          <cell r="AG237">
            <v>0</v>
          </cell>
          <cell r="AI237">
            <v>0</v>
          </cell>
          <cell r="AJ237">
            <v>0</v>
          </cell>
          <cell r="AL237">
            <v>0</v>
          </cell>
          <cell r="AM237">
            <v>0</v>
          </cell>
          <cell r="AO237">
            <v>0</v>
          </cell>
          <cell r="AP237">
            <v>0</v>
          </cell>
          <cell r="AR237">
            <v>0</v>
          </cell>
          <cell r="AS237">
            <v>0</v>
          </cell>
          <cell r="BF237" t="str">
            <v>8600</v>
          </cell>
          <cell r="BG237" t="str">
            <v>P201</v>
          </cell>
          <cell r="BH237" t="str">
            <v>GBB</v>
          </cell>
        </row>
        <row r="238"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Q238">
            <v>0</v>
          </cell>
          <cell r="R238">
            <v>0</v>
          </cell>
          <cell r="T238">
            <v>0</v>
          </cell>
          <cell r="U238">
            <v>0</v>
          </cell>
          <cell r="W238">
            <v>0</v>
          </cell>
          <cell r="X238">
            <v>0</v>
          </cell>
          <cell r="Z238">
            <v>0</v>
          </cell>
          <cell r="AA238">
            <v>0</v>
          </cell>
          <cell r="AC238">
            <v>0</v>
          </cell>
          <cell r="AD238">
            <v>0</v>
          </cell>
          <cell r="AF238">
            <v>0</v>
          </cell>
          <cell r="AG238">
            <v>0</v>
          </cell>
          <cell r="AI238">
            <v>0</v>
          </cell>
          <cell r="AJ238">
            <v>0</v>
          </cell>
          <cell r="AL238">
            <v>0</v>
          </cell>
          <cell r="AM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BF238" t="str">
            <v>8600</v>
          </cell>
          <cell r="BG238" t="str">
            <v>P202</v>
          </cell>
          <cell r="BH238" t="str">
            <v>GBB</v>
          </cell>
        </row>
        <row r="239"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Q239">
            <v>0</v>
          </cell>
          <cell r="R239">
            <v>0</v>
          </cell>
          <cell r="T239">
            <v>0</v>
          </cell>
          <cell r="U239">
            <v>0</v>
          </cell>
          <cell r="W239">
            <v>0</v>
          </cell>
          <cell r="X239">
            <v>0</v>
          </cell>
          <cell r="Z239">
            <v>0</v>
          </cell>
          <cell r="AA239">
            <v>0</v>
          </cell>
          <cell r="AC239">
            <v>0</v>
          </cell>
          <cell r="AD239">
            <v>0</v>
          </cell>
          <cell r="AF239">
            <v>0</v>
          </cell>
          <cell r="AG239">
            <v>0</v>
          </cell>
          <cell r="AI239">
            <v>0</v>
          </cell>
          <cell r="AJ239">
            <v>0</v>
          </cell>
          <cell r="AL239">
            <v>0</v>
          </cell>
          <cell r="AM239">
            <v>0</v>
          </cell>
          <cell r="AO239">
            <v>0</v>
          </cell>
          <cell r="AP239">
            <v>0</v>
          </cell>
          <cell r="AR239">
            <v>0</v>
          </cell>
          <cell r="AS239">
            <v>0</v>
          </cell>
          <cell r="BF239" t="str">
            <v>8600</v>
          </cell>
          <cell r="BG239" t="str">
            <v>P203</v>
          </cell>
          <cell r="BH239" t="str">
            <v>GBB</v>
          </cell>
        </row>
        <row r="240"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Q240">
            <v>0</v>
          </cell>
          <cell r="R240">
            <v>0</v>
          </cell>
          <cell r="T240">
            <v>0</v>
          </cell>
          <cell r="U240">
            <v>0</v>
          </cell>
          <cell r="W240">
            <v>0</v>
          </cell>
          <cell r="X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0</v>
          </cell>
          <cell r="AF240">
            <v>0</v>
          </cell>
          <cell r="AG240">
            <v>0</v>
          </cell>
          <cell r="AI240">
            <v>0</v>
          </cell>
          <cell r="AJ240">
            <v>0</v>
          </cell>
          <cell r="AL240">
            <v>0</v>
          </cell>
          <cell r="AM240">
            <v>0</v>
          </cell>
          <cell r="AO240">
            <v>0</v>
          </cell>
          <cell r="AP240">
            <v>0</v>
          </cell>
          <cell r="AR240">
            <v>0</v>
          </cell>
          <cell r="AS240">
            <v>0</v>
          </cell>
          <cell r="BF240" t="str">
            <v>8600</v>
          </cell>
          <cell r="BG240" t="str">
            <v>P204</v>
          </cell>
          <cell r="BH240" t="str">
            <v>GBB</v>
          </cell>
        </row>
        <row r="241"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Q241">
            <v>0</v>
          </cell>
          <cell r="R241">
            <v>0</v>
          </cell>
          <cell r="T241">
            <v>0</v>
          </cell>
          <cell r="U241">
            <v>0</v>
          </cell>
          <cell r="W241">
            <v>0</v>
          </cell>
          <cell r="X241">
            <v>0</v>
          </cell>
          <cell r="Z241">
            <v>0</v>
          </cell>
          <cell r="AA241">
            <v>0</v>
          </cell>
          <cell r="AC241">
            <v>0</v>
          </cell>
          <cell r="AD241">
            <v>0</v>
          </cell>
          <cell r="AF241">
            <v>0</v>
          </cell>
          <cell r="AG241">
            <v>0</v>
          </cell>
          <cell r="AI241">
            <v>0</v>
          </cell>
          <cell r="AJ241">
            <v>0</v>
          </cell>
          <cell r="AL241">
            <v>0</v>
          </cell>
          <cell r="AM241">
            <v>0</v>
          </cell>
          <cell r="AO241">
            <v>0</v>
          </cell>
          <cell r="AP241">
            <v>0</v>
          </cell>
          <cell r="AR241">
            <v>0</v>
          </cell>
          <cell r="AS241">
            <v>0</v>
          </cell>
          <cell r="BF241" t="str">
            <v>8600</v>
          </cell>
          <cell r="BG241" t="str">
            <v>P205</v>
          </cell>
          <cell r="BH241" t="str">
            <v>GBB</v>
          </cell>
        </row>
        <row r="242"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C242">
            <v>0</v>
          </cell>
          <cell r="AD242">
            <v>0</v>
          </cell>
          <cell r="AF242">
            <v>0</v>
          </cell>
          <cell r="AG242">
            <v>0</v>
          </cell>
          <cell r="AI242">
            <v>0</v>
          </cell>
          <cell r="AJ242">
            <v>0</v>
          </cell>
          <cell r="AL242">
            <v>0</v>
          </cell>
          <cell r="AM242">
            <v>0</v>
          </cell>
          <cell r="AO242">
            <v>0</v>
          </cell>
          <cell r="AP242">
            <v>0</v>
          </cell>
          <cell r="AR242">
            <v>0</v>
          </cell>
          <cell r="AS242">
            <v>0</v>
          </cell>
          <cell r="BF242" t="str">
            <v>8600</v>
          </cell>
          <cell r="BG242" t="str">
            <v>P206</v>
          </cell>
          <cell r="BH242" t="str">
            <v>GBB</v>
          </cell>
        </row>
        <row r="243"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Z243">
            <v>0</v>
          </cell>
          <cell r="AA243">
            <v>0</v>
          </cell>
          <cell r="AC243">
            <v>0</v>
          </cell>
          <cell r="AD243">
            <v>0</v>
          </cell>
          <cell r="AF243">
            <v>0</v>
          </cell>
          <cell r="AG243">
            <v>0</v>
          </cell>
          <cell r="AI243">
            <v>0</v>
          </cell>
          <cell r="AJ243">
            <v>0</v>
          </cell>
          <cell r="AL243">
            <v>0</v>
          </cell>
          <cell r="AM243">
            <v>0</v>
          </cell>
          <cell r="AO243">
            <v>0</v>
          </cell>
          <cell r="AP243">
            <v>0</v>
          </cell>
          <cell r="AR243">
            <v>0</v>
          </cell>
          <cell r="AS243">
            <v>0</v>
          </cell>
          <cell r="BF243" t="str">
            <v>8600</v>
          </cell>
          <cell r="BG243" t="str">
            <v>P207</v>
          </cell>
          <cell r="BH243" t="str">
            <v>GBB</v>
          </cell>
        </row>
        <row r="244"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Q244">
            <v>0</v>
          </cell>
          <cell r="R244">
            <v>0</v>
          </cell>
          <cell r="T244">
            <v>0</v>
          </cell>
          <cell r="U244">
            <v>0</v>
          </cell>
          <cell r="W244">
            <v>0</v>
          </cell>
          <cell r="X244">
            <v>0</v>
          </cell>
          <cell r="Z244">
            <v>0</v>
          </cell>
          <cell r="AA244">
            <v>0</v>
          </cell>
          <cell r="AC244">
            <v>0</v>
          </cell>
          <cell r="AD244">
            <v>0</v>
          </cell>
          <cell r="AF244">
            <v>0</v>
          </cell>
          <cell r="AG244">
            <v>0</v>
          </cell>
          <cell r="AI244">
            <v>0</v>
          </cell>
          <cell r="AJ244">
            <v>0</v>
          </cell>
          <cell r="AL244">
            <v>0</v>
          </cell>
          <cell r="AM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BF244" t="str">
            <v>8600</v>
          </cell>
          <cell r="BG244" t="str">
            <v>P208</v>
          </cell>
          <cell r="BH244" t="str">
            <v>GBB</v>
          </cell>
        </row>
        <row r="245"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Q245">
            <v>0</v>
          </cell>
          <cell r="R245">
            <v>0</v>
          </cell>
          <cell r="T245">
            <v>0</v>
          </cell>
          <cell r="U245">
            <v>0</v>
          </cell>
          <cell r="W245">
            <v>0</v>
          </cell>
          <cell r="X245">
            <v>0</v>
          </cell>
          <cell r="Z245">
            <v>0</v>
          </cell>
          <cell r="AA245">
            <v>0</v>
          </cell>
          <cell r="AC245">
            <v>0</v>
          </cell>
          <cell r="AD245">
            <v>0</v>
          </cell>
          <cell r="AF245">
            <v>0</v>
          </cell>
          <cell r="AG245">
            <v>0</v>
          </cell>
          <cell r="AI245">
            <v>0</v>
          </cell>
          <cell r="AJ245">
            <v>0</v>
          </cell>
          <cell r="AL245">
            <v>0</v>
          </cell>
          <cell r="AM245">
            <v>0</v>
          </cell>
          <cell r="AO245">
            <v>0</v>
          </cell>
          <cell r="AP245">
            <v>0</v>
          </cell>
          <cell r="AR245">
            <v>0</v>
          </cell>
          <cell r="AS245">
            <v>0</v>
          </cell>
          <cell r="BF245" t="str">
            <v>8600</v>
          </cell>
          <cell r="BG245" t="str">
            <v>P209</v>
          </cell>
          <cell r="BH245" t="str">
            <v>GBB</v>
          </cell>
        </row>
        <row r="246"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Q246">
            <v>0</v>
          </cell>
          <cell r="R246">
            <v>0</v>
          </cell>
          <cell r="T246">
            <v>0</v>
          </cell>
          <cell r="U246">
            <v>0</v>
          </cell>
          <cell r="W246">
            <v>0</v>
          </cell>
          <cell r="X246">
            <v>0</v>
          </cell>
          <cell r="Z246">
            <v>0</v>
          </cell>
          <cell r="AA246">
            <v>0</v>
          </cell>
          <cell r="AC246">
            <v>0</v>
          </cell>
          <cell r="AD246">
            <v>0</v>
          </cell>
          <cell r="AF246">
            <v>0</v>
          </cell>
          <cell r="AG246">
            <v>0</v>
          </cell>
          <cell r="AI246">
            <v>0</v>
          </cell>
          <cell r="AJ246">
            <v>0</v>
          </cell>
          <cell r="AL246">
            <v>0</v>
          </cell>
          <cell r="AM246">
            <v>0</v>
          </cell>
          <cell r="AO246">
            <v>0</v>
          </cell>
          <cell r="AP246">
            <v>0</v>
          </cell>
          <cell r="AR246">
            <v>0</v>
          </cell>
          <cell r="AS246">
            <v>0</v>
          </cell>
          <cell r="BF246" t="str">
            <v>8600</v>
          </cell>
          <cell r="BG246" t="str">
            <v>P210</v>
          </cell>
          <cell r="BH246" t="str">
            <v>GBB</v>
          </cell>
        </row>
        <row r="247"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Q247">
            <v>0</v>
          </cell>
          <cell r="R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Z247">
            <v>0</v>
          </cell>
          <cell r="AA247">
            <v>0</v>
          </cell>
          <cell r="AC247">
            <v>0</v>
          </cell>
          <cell r="AD247">
            <v>0</v>
          </cell>
          <cell r="AF247">
            <v>0</v>
          </cell>
          <cell r="AG247">
            <v>0</v>
          </cell>
          <cell r="AI247">
            <v>0</v>
          </cell>
          <cell r="AJ247">
            <v>0</v>
          </cell>
          <cell r="AL247">
            <v>0</v>
          </cell>
          <cell r="AM247">
            <v>0</v>
          </cell>
          <cell r="AO247">
            <v>0</v>
          </cell>
          <cell r="AP247">
            <v>0</v>
          </cell>
          <cell r="AR247">
            <v>0</v>
          </cell>
          <cell r="AS247">
            <v>0</v>
          </cell>
          <cell r="BF247" t="str">
            <v>8600</v>
          </cell>
          <cell r="BG247" t="str">
            <v>P211</v>
          </cell>
          <cell r="BH247" t="str">
            <v>GBB</v>
          </cell>
        </row>
        <row r="248">
          <cell r="K248">
            <v>-623300.16</v>
          </cell>
          <cell r="L248">
            <v>0</v>
          </cell>
          <cell r="N248">
            <v>640100.16</v>
          </cell>
          <cell r="O248">
            <v>0</v>
          </cell>
          <cell r="Q248">
            <v>-6600</v>
          </cell>
          <cell r="R248">
            <v>0</v>
          </cell>
          <cell r="T248">
            <v>18188.319999999949</v>
          </cell>
          <cell r="U248">
            <v>0</v>
          </cell>
          <cell r="W248">
            <v>1168.1700000000419</v>
          </cell>
          <cell r="X248">
            <v>0</v>
          </cell>
          <cell r="Z248">
            <v>-53395.439999999828</v>
          </cell>
          <cell r="AA248">
            <v>0</v>
          </cell>
          <cell r="AC248">
            <v>9964456.9100000001</v>
          </cell>
          <cell r="AD248">
            <v>0</v>
          </cell>
          <cell r="AF248">
            <v>-4779530.96</v>
          </cell>
          <cell r="AG248">
            <v>0</v>
          </cell>
          <cell r="AI248">
            <v>-769157.95000000112</v>
          </cell>
          <cell r="AJ248">
            <v>0</v>
          </cell>
          <cell r="AL248">
            <v>-2941698.669999999</v>
          </cell>
          <cell r="AM248">
            <v>0</v>
          </cell>
          <cell r="AO248">
            <v>-1416215.6199999992</v>
          </cell>
          <cell r="AP248">
            <v>0</v>
          </cell>
          <cell r="AR248">
            <v>130637.8200000003</v>
          </cell>
          <cell r="AS248">
            <v>0</v>
          </cell>
          <cell r="BF248" t="str">
            <v>9000</v>
          </cell>
          <cell r="BG248" t="str">
            <v>Z000</v>
          </cell>
          <cell r="BH248" t="str">
            <v>GBB</v>
          </cell>
        </row>
        <row r="249">
          <cell r="K249">
            <v>146095.10000000009</v>
          </cell>
          <cell r="L249">
            <v>0</v>
          </cell>
          <cell r="N249">
            <v>136659.88000000035</v>
          </cell>
          <cell r="O249">
            <v>0</v>
          </cell>
          <cell r="Q249">
            <v>219657.64000000013</v>
          </cell>
          <cell r="R249">
            <v>0</v>
          </cell>
          <cell r="T249">
            <v>178243.80000000121</v>
          </cell>
          <cell r="U249">
            <v>0</v>
          </cell>
          <cell r="W249">
            <v>179589.54999999981</v>
          </cell>
          <cell r="X249">
            <v>0</v>
          </cell>
          <cell r="Z249">
            <v>-132995.84999999963</v>
          </cell>
          <cell r="AA249">
            <v>0</v>
          </cell>
          <cell r="AC249">
            <v>448362.79000000004</v>
          </cell>
          <cell r="AD249">
            <v>0</v>
          </cell>
          <cell r="AF249">
            <v>155007.88000000082</v>
          </cell>
          <cell r="AG249">
            <v>0</v>
          </cell>
          <cell r="AI249">
            <v>189757.89999999944</v>
          </cell>
          <cell r="AJ249">
            <v>0</v>
          </cell>
          <cell r="AL249">
            <v>180570.91000000201</v>
          </cell>
          <cell r="AM249">
            <v>0</v>
          </cell>
          <cell r="AO249">
            <v>168712.75999999978</v>
          </cell>
          <cell r="AP249">
            <v>0</v>
          </cell>
          <cell r="AR249">
            <v>209927.26999999955</v>
          </cell>
          <cell r="AS249">
            <v>0</v>
          </cell>
          <cell r="BF249" t="str">
            <v>9001</v>
          </cell>
          <cell r="BG249" t="str">
            <v>Z000</v>
          </cell>
          <cell r="BH249" t="str">
            <v>GBB</v>
          </cell>
        </row>
        <row r="250">
          <cell r="K250">
            <v>101347.2300000001</v>
          </cell>
          <cell r="L250">
            <v>0</v>
          </cell>
          <cell r="N250">
            <v>-101347.22999999986</v>
          </cell>
          <cell r="O250">
            <v>0</v>
          </cell>
          <cell r="Q250">
            <v>0</v>
          </cell>
          <cell r="R250">
            <v>0</v>
          </cell>
          <cell r="T250">
            <v>0</v>
          </cell>
          <cell r="U250">
            <v>0</v>
          </cell>
          <cell r="W250">
            <v>0</v>
          </cell>
          <cell r="X250">
            <v>0</v>
          </cell>
          <cell r="Z250">
            <v>0</v>
          </cell>
          <cell r="AA250">
            <v>0</v>
          </cell>
          <cell r="AC250">
            <v>-1801.4900000002235</v>
          </cell>
          <cell r="AD250">
            <v>0</v>
          </cell>
          <cell r="AF250">
            <v>0</v>
          </cell>
          <cell r="AG250">
            <v>0</v>
          </cell>
          <cell r="AI250">
            <v>-0.11000000010244548</v>
          </cell>
          <cell r="AJ250">
            <v>0</v>
          </cell>
          <cell r="AL250">
            <v>1801.7599999997765</v>
          </cell>
          <cell r="AM250">
            <v>0</v>
          </cell>
          <cell r="AO250">
            <v>0</v>
          </cell>
          <cell r="AP250">
            <v>0</v>
          </cell>
          <cell r="AR250">
            <v>0</v>
          </cell>
          <cell r="AS250">
            <v>0</v>
          </cell>
          <cell r="BF250" t="str">
            <v>9002</v>
          </cell>
          <cell r="BG250" t="str">
            <v>Z000</v>
          </cell>
          <cell r="BH250" t="str">
            <v>GBB</v>
          </cell>
        </row>
        <row r="251">
          <cell r="K251">
            <v>12668.400000000009</v>
          </cell>
          <cell r="L251">
            <v>0</v>
          </cell>
          <cell r="N251">
            <v>-12668.400000000009</v>
          </cell>
          <cell r="O251">
            <v>0</v>
          </cell>
          <cell r="Q251">
            <v>0</v>
          </cell>
          <cell r="R251">
            <v>0</v>
          </cell>
          <cell r="T251">
            <v>0</v>
          </cell>
          <cell r="U251">
            <v>0</v>
          </cell>
          <cell r="W251">
            <v>0</v>
          </cell>
          <cell r="X251">
            <v>0</v>
          </cell>
          <cell r="Z251">
            <v>0</v>
          </cell>
          <cell r="AA251">
            <v>0</v>
          </cell>
          <cell r="AC251">
            <v>-225.20000000001164</v>
          </cell>
          <cell r="AD251">
            <v>0</v>
          </cell>
          <cell r="AF251">
            <v>0</v>
          </cell>
          <cell r="AG251">
            <v>0</v>
          </cell>
          <cell r="AI251">
            <v>-1.0000000009313226E-2</v>
          </cell>
          <cell r="AJ251">
            <v>0</v>
          </cell>
          <cell r="AL251">
            <v>225.21999999997206</v>
          </cell>
          <cell r="AM251">
            <v>0</v>
          </cell>
          <cell r="AO251">
            <v>0</v>
          </cell>
          <cell r="AP251">
            <v>0</v>
          </cell>
          <cell r="AR251">
            <v>0</v>
          </cell>
          <cell r="AS251">
            <v>0</v>
          </cell>
          <cell r="BF251" t="str">
            <v>9003</v>
          </cell>
          <cell r="BG251" t="str">
            <v>Z000</v>
          </cell>
          <cell r="BH251" t="str">
            <v>GBB</v>
          </cell>
        </row>
        <row r="252">
          <cell r="K252">
            <v>2450.0300000000279</v>
          </cell>
          <cell r="L252">
            <v>0</v>
          </cell>
          <cell r="N252">
            <v>29360.560000000056</v>
          </cell>
          <cell r="O252">
            <v>0</v>
          </cell>
          <cell r="Q252">
            <v>20212.139999999898</v>
          </cell>
          <cell r="R252">
            <v>0</v>
          </cell>
          <cell r="T252">
            <v>-9540.9599999999627</v>
          </cell>
          <cell r="U252">
            <v>0</v>
          </cell>
          <cell r="W252">
            <v>-5213.9399999999441</v>
          </cell>
          <cell r="X252">
            <v>0</v>
          </cell>
          <cell r="Z252">
            <v>-137839.34000000032</v>
          </cell>
          <cell r="AA252">
            <v>0</v>
          </cell>
          <cell r="AC252">
            <v>144633.12000000011</v>
          </cell>
          <cell r="AD252">
            <v>0</v>
          </cell>
          <cell r="AF252">
            <v>5177.0500000002794</v>
          </cell>
          <cell r="AG252">
            <v>0</v>
          </cell>
          <cell r="AI252">
            <v>567</v>
          </cell>
          <cell r="AJ252">
            <v>0</v>
          </cell>
          <cell r="AL252">
            <v>-15954.199999999721</v>
          </cell>
          <cell r="AM252">
            <v>0</v>
          </cell>
          <cell r="AO252">
            <v>310.31000000005588</v>
          </cell>
          <cell r="AP252">
            <v>0</v>
          </cell>
          <cell r="AR252">
            <v>3419.9899999992922</v>
          </cell>
          <cell r="AS252">
            <v>0</v>
          </cell>
          <cell r="BF252" t="str">
            <v>9004</v>
          </cell>
          <cell r="BG252" t="str">
            <v>Z000</v>
          </cell>
          <cell r="BH252" t="str">
            <v>GBB</v>
          </cell>
        </row>
        <row r="253"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Q253">
            <v>0</v>
          </cell>
          <cell r="R253">
            <v>0</v>
          </cell>
          <cell r="T253">
            <v>0</v>
          </cell>
          <cell r="U253">
            <v>0</v>
          </cell>
          <cell r="W253">
            <v>0</v>
          </cell>
          <cell r="X253">
            <v>0</v>
          </cell>
          <cell r="Z253">
            <v>0</v>
          </cell>
          <cell r="AA253">
            <v>0</v>
          </cell>
          <cell r="AC253">
            <v>4000</v>
          </cell>
          <cell r="AD253">
            <v>0</v>
          </cell>
          <cell r="AF253">
            <v>-4000</v>
          </cell>
          <cell r="AG253">
            <v>0</v>
          </cell>
          <cell r="AI253">
            <v>14728.2</v>
          </cell>
          <cell r="AJ253">
            <v>0</v>
          </cell>
          <cell r="AL253">
            <v>-14728.2</v>
          </cell>
          <cell r="AM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BF253" t="str">
            <v>9050</v>
          </cell>
          <cell r="BG253" t="str">
            <v>Z000</v>
          </cell>
          <cell r="BH253" t="str">
            <v>GBB</v>
          </cell>
        </row>
        <row r="254"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Q254">
            <v>0</v>
          </cell>
          <cell r="R254">
            <v>0</v>
          </cell>
          <cell r="T254">
            <v>0</v>
          </cell>
          <cell r="U254">
            <v>0</v>
          </cell>
          <cell r="W254">
            <v>0</v>
          </cell>
          <cell r="X254">
            <v>0</v>
          </cell>
          <cell r="Z254">
            <v>0</v>
          </cell>
          <cell r="AA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I254">
            <v>0</v>
          </cell>
          <cell r="AJ254">
            <v>0</v>
          </cell>
          <cell r="AL254">
            <v>0</v>
          </cell>
          <cell r="AM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BF254" t="str">
            <v>9051</v>
          </cell>
          <cell r="BG254" t="str">
            <v>Z000</v>
          </cell>
          <cell r="BH254" t="str">
            <v>GBB</v>
          </cell>
        </row>
        <row r="255"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Q255">
            <v>0</v>
          </cell>
          <cell r="R255">
            <v>0</v>
          </cell>
          <cell r="T255">
            <v>0</v>
          </cell>
          <cell r="U255">
            <v>0</v>
          </cell>
          <cell r="W255">
            <v>0</v>
          </cell>
          <cell r="X255">
            <v>0</v>
          </cell>
          <cell r="Z255">
            <v>0</v>
          </cell>
          <cell r="AA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I255">
            <v>0</v>
          </cell>
          <cell r="AJ255">
            <v>0</v>
          </cell>
          <cell r="AL255">
            <v>0</v>
          </cell>
          <cell r="AM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BF255" t="str">
            <v>9100</v>
          </cell>
          <cell r="BG255" t="str">
            <v>Z000</v>
          </cell>
          <cell r="BH255" t="str">
            <v>GBB</v>
          </cell>
        </row>
        <row r="256">
          <cell r="K256">
            <v>2250</v>
          </cell>
          <cell r="L256">
            <v>0</v>
          </cell>
          <cell r="N256">
            <v>19.880000000000109</v>
          </cell>
          <cell r="O256">
            <v>0</v>
          </cell>
          <cell r="Q256">
            <v>120.1200000000008</v>
          </cell>
          <cell r="R256">
            <v>0</v>
          </cell>
          <cell r="T256">
            <v>140.09000000000015</v>
          </cell>
          <cell r="U256">
            <v>0</v>
          </cell>
          <cell r="W256">
            <v>19945.039999999997</v>
          </cell>
          <cell r="X256">
            <v>0</v>
          </cell>
          <cell r="Z256">
            <v>19174.859999999993</v>
          </cell>
          <cell r="AA256">
            <v>0</v>
          </cell>
          <cell r="AC256">
            <v>-43672.42</v>
          </cell>
          <cell r="AD256">
            <v>0</v>
          </cell>
          <cell r="AF256">
            <v>17674.350000000006</v>
          </cell>
          <cell r="AG256">
            <v>0</v>
          </cell>
          <cell r="AI256">
            <v>9690.730000000025</v>
          </cell>
          <cell r="AJ256">
            <v>0</v>
          </cell>
          <cell r="AL256">
            <v>5979.4100000000035</v>
          </cell>
          <cell r="AM256">
            <v>0</v>
          </cell>
          <cell r="AO256">
            <v>-708.67000000001281</v>
          </cell>
          <cell r="AP256">
            <v>0</v>
          </cell>
          <cell r="AR256">
            <v>5190.7800000000279</v>
          </cell>
          <cell r="AS256">
            <v>0</v>
          </cell>
          <cell r="BF256" t="str">
            <v>9200</v>
          </cell>
          <cell r="BG256" t="str">
            <v>Q001</v>
          </cell>
          <cell r="BH256" t="str">
            <v>GBB</v>
          </cell>
        </row>
        <row r="257"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Q257">
            <v>0</v>
          </cell>
          <cell r="R257">
            <v>0</v>
          </cell>
          <cell r="T257">
            <v>0</v>
          </cell>
          <cell r="U257">
            <v>0</v>
          </cell>
          <cell r="W257">
            <v>0</v>
          </cell>
          <cell r="X257">
            <v>0</v>
          </cell>
          <cell r="Z257">
            <v>0</v>
          </cell>
          <cell r="AA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I257">
            <v>0</v>
          </cell>
          <cell r="AJ257">
            <v>0</v>
          </cell>
          <cell r="AL257">
            <v>0</v>
          </cell>
          <cell r="AM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BF257" t="str">
            <v>9200</v>
          </cell>
          <cell r="BG257" t="str">
            <v>Q002</v>
          </cell>
          <cell r="BH257" t="str">
            <v>GBB</v>
          </cell>
        </row>
        <row r="258"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Q258">
            <v>0</v>
          </cell>
          <cell r="R258">
            <v>0</v>
          </cell>
          <cell r="T258">
            <v>159.92999999999302</v>
          </cell>
          <cell r="U258">
            <v>0</v>
          </cell>
          <cell r="W258">
            <v>-41951.380000000063</v>
          </cell>
          <cell r="X258">
            <v>0</v>
          </cell>
          <cell r="Z258">
            <v>-7120.9399999999441</v>
          </cell>
          <cell r="AA258">
            <v>0</v>
          </cell>
          <cell r="AC258">
            <v>5189.1700000000419</v>
          </cell>
          <cell r="AD258">
            <v>0</v>
          </cell>
          <cell r="AF258">
            <v>241.11000000010245</v>
          </cell>
          <cell r="AG258">
            <v>0</v>
          </cell>
          <cell r="AI258">
            <v>42241.280000000261</v>
          </cell>
          <cell r="AJ258">
            <v>0</v>
          </cell>
          <cell r="AL258">
            <v>-2540.0700000000652</v>
          </cell>
          <cell r="AM258">
            <v>0</v>
          </cell>
          <cell r="AO258">
            <v>3780.899999999674</v>
          </cell>
          <cell r="AP258">
            <v>0</v>
          </cell>
          <cell r="AR258">
            <v>-4.6566128730773926E-10</v>
          </cell>
          <cell r="AS258">
            <v>0</v>
          </cell>
          <cell r="BF258" t="str">
            <v>9200</v>
          </cell>
          <cell r="BG258" t="str">
            <v>Q003</v>
          </cell>
          <cell r="BH258" t="str">
            <v>GBB</v>
          </cell>
        </row>
        <row r="259">
          <cell r="K259">
            <v>-200</v>
          </cell>
          <cell r="L259">
            <v>0</v>
          </cell>
          <cell r="N259">
            <v>1288.3999999999996</v>
          </cell>
          <cell r="O259">
            <v>0</v>
          </cell>
          <cell r="Q259">
            <v>-1399.9999999999982</v>
          </cell>
          <cell r="R259">
            <v>0</v>
          </cell>
          <cell r="T259">
            <v>311.59999999999854</v>
          </cell>
          <cell r="U259">
            <v>0</v>
          </cell>
          <cell r="W259">
            <v>0</v>
          </cell>
          <cell r="X259">
            <v>0</v>
          </cell>
          <cell r="Z259">
            <v>0</v>
          </cell>
          <cell r="AA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I259">
            <v>0</v>
          </cell>
          <cell r="AJ259">
            <v>0</v>
          </cell>
          <cell r="AL259">
            <v>0</v>
          </cell>
          <cell r="AM259">
            <v>0</v>
          </cell>
          <cell r="AO259">
            <v>0</v>
          </cell>
          <cell r="AP259">
            <v>0</v>
          </cell>
          <cell r="AR259">
            <v>0</v>
          </cell>
          <cell r="AS259">
            <v>0</v>
          </cell>
          <cell r="BF259" t="str">
            <v>9200</v>
          </cell>
          <cell r="BG259" t="str">
            <v>Q004</v>
          </cell>
          <cell r="BH259" t="str">
            <v>GBB</v>
          </cell>
        </row>
        <row r="260"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Q260">
            <v>0</v>
          </cell>
          <cell r="R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  <cell r="Z260">
            <v>0</v>
          </cell>
          <cell r="AA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I260">
            <v>0</v>
          </cell>
          <cell r="AJ260">
            <v>0</v>
          </cell>
          <cell r="AL260">
            <v>0</v>
          </cell>
          <cell r="AM260">
            <v>0</v>
          </cell>
          <cell r="AO260">
            <v>0</v>
          </cell>
          <cell r="AP260">
            <v>0</v>
          </cell>
          <cell r="AR260">
            <v>0</v>
          </cell>
          <cell r="AS260">
            <v>0</v>
          </cell>
          <cell r="BF260" t="str">
            <v>9300</v>
          </cell>
          <cell r="BG260" t="str">
            <v>Z000</v>
          </cell>
          <cell r="BH260" t="str">
            <v>GBB</v>
          </cell>
        </row>
        <row r="261"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Q261">
            <v>0</v>
          </cell>
          <cell r="R261">
            <v>0</v>
          </cell>
          <cell r="T261">
            <v>0</v>
          </cell>
          <cell r="U261">
            <v>0</v>
          </cell>
          <cell r="W261">
            <v>0</v>
          </cell>
          <cell r="X261">
            <v>0</v>
          </cell>
          <cell r="Z261">
            <v>0</v>
          </cell>
          <cell r="AA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I261">
            <v>0</v>
          </cell>
          <cell r="AJ261">
            <v>0</v>
          </cell>
          <cell r="AL261">
            <v>0</v>
          </cell>
          <cell r="AM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BF261" t="str">
            <v>9400</v>
          </cell>
          <cell r="BG261" t="str">
            <v>Z000</v>
          </cell>
          <cell r="BH261" t="str">
            <v>GBB</v>
          </cell>
        </row>
        <row r="262">
          <cell r="K262">
            <v>0</v>
          </cell>
          <cell r="L262">
            <v>0</v>
          </cell>
          <cell r="N262">
            <v>-4.5474735088646412E-13</v>
          </cell>
          <cell r="O262">
            <v>0</v>
          </cell>
          <cell r="Q262">
            <v>0</v>
          </cell>
          <cell r="R262">
            <v>0</v>
          </cell>
          <cell r="T262">
            <v>-10000</v>
          </cell>
          <cell r="U262">
            <v>0</v>
          </cell>
          <cell r="W262">
            <v>10102.000000000011</v>
          </cell>
          <cell r="X262">
            <v>0</v>
          </cell>
          <cell r="Z262">
            <v>3.637978807091713E-12</v>
          </cell>
          <cell r="AA262">
            <v>0</v>
          </cell>
          <cell r="AC262">
            <v>-110.59999999999854</v>
          </cell>
          <cell r="AD262">
            <v>0</v>
          </cell>
          <cell r="AF262">
            <v>110.59999999999854</v>
          </cell>
          <cell r="AG262">
            <v>0</v>
          </cell>
          <cell r="AI262">
            <v>0</v>
          </cell>
          <cell r="AJ262">
            <v>0</v>
          </cell>
          <cell r="AL262">
            <v>-221.69999999999709</v>
          </cell>
          <cell r="AM262">
            <v>0</v>
          </cell>
          <cell r="AO262">
            <v>0</v>
          </cell>
          <cell r="AP262">
            <v>0</v>
          </cell>
          <cell r="AR262">
            <v>239.70000000000437</v>
          </cell>
          <cell r="AS262">
            <v>0</v>
          </cell>
          <cell r="BF262" t="str">
            <v>9500</v>
          </cell>
          <cell r="BG262" t="str">
            <v>Z000</v>
          </cell>
          <cell r="BH262" t="str">
            <v>GBB</v>
          </cell>
        </row>
        <row r="263"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Z263">
            <v>0</v>
          </cell>
          <cell r="AA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I263">
            <v>0</v>
          </cell>
          <cell r="AJ263">
            <v>0</v>
          </cell>
          <cell r="AL263">
            <v>0</v>
          </cell>
          <cell r="AM263">
            <v>0</v>
          </cell>
          <cell r="AO263">
            <v>0</v>
          </cell>
          <cell r="AP263">
            <v>0</v>
          </cell>
          <cell r="AR263">
            <v>0</v>
          </cell>
          <cell r="AS263">
            <v>0</v>
          </cell>
          <cell r="BF263" t="str">
            <v>9550</v>
          </cell>
          <cell r="BG263" t="str">
            <v>Z000</v>
          </cell>
          <cell r="BH263" t="str">
            <v>GBB</v>
          </cell>
        </row>
        <row r="264">
          <cell r="K264">
            <v>-77.38</v>
          </cell>
          <cell r="L264">
            <v>0</v>
          </cell>
          <cell r="N264">
            <v>-315.03999999999996</v>
          </cell>
          <cell r="O264">
            <v>0</v>
          </cell>
          <cell r="Q264">
            <v>-81.419999999999959</v>
          </cell>
          <cell r="R264">
            <v>0</v>
          </cell>
          <cell r="T264">
            <v>-5.3800000000003365</v>
          </cell>
          <cell r="U264">
            <v>0</v>
          </cell>
          <cell r="W264">
            <v>-1794.0099999999984</v>
          </cell>
          <cell r="X264">
            <v>0</v>
          </cell>
          <cell r="Z264">
            <v>-226.25999999999931</v>
          </cell>
          <cell r="AA264">
            <v>0</v>
          </cell>
          <cell r="AC264">
            <v>-18.639999999999873</v>
          </cell>
          <cell r="AD264">
            <v>0</v>
          </cell>
          <cell r="AF264">
            <v>-991.57999999999947</v>
          </cell>
          <cell r="AG264">
            <v>0</v>
          </cell>
          <cell r="AI264">
            <v>-452.63000000000056</v>
          </cell>
          <cell r="AJ264">
            <v>0</v>
          </cell>
          <cell r="AL264">
            <v>-135.55999999999949</v>
          </cell>
          <cell r="AM264">
            <v>0</v>
          </cell>
          <cell r="AO264">
            <v>-171.61999999999989</v>
          </cell>
          <cell r="AP264">
            <v>0</v>
          </cell>
          <cell r="AR264">
            <v>4614.25</v>
          </cell>
          <cell r="AS264">
            <v>0</v>
          </cell>
          <cell r="BF264" t="str">
            <v>9600</v>
          </cell>
          <cell r="BG264" t="str">
            <v>Z000</v>
          </cell>
          <cell r="BH264" t="str">
            <v>GBB</v>
          </cell>
        </row>
        <row r="265"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Q265">
            <v>0</v>
          </cell>
          <cell r="R265">
            <v>0</v>
          </cell>
          <cell r="T265">
            <v>0</v>
          </cell>
          <cell r="U265">
            <v>0</v>
          </cell>
          <cell r="W265">
            <v>0</v>
          </cell>
          <cell r="X265">
            <v>0</v>
          </cell>
          <cell r="Z265">
            <v>0</v>
          </cell>
          <cell r="AA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I265">
            <v>0</v>
          </cell>
          <cell r="AJ265">
            <v>0</v>
          </cell>
          <cell r="AL265">
            <v>0</v>
          </cell>
          <cell r="AM265">
            <v>0</v>
          </cell>
          <cell r="AO265">
            <v>0</v>
          </cell>
          <cell r="AP265">
            <v>0</v>
          </cell>
          <cell r="AR265">
            <v>0</v>
          </cell>
          <cell r="AS265">
            <v>0</v>
          </cell>
          <cell r="BF265" t="str">
            <v>9700</v>
          </cell>
          <cell r="BG265" t="str">
            <v>Z000</v>
          </cell>
          <cell r="BH265" t="str">
            <v>GBB</v>
          </cell>
        </row>
        <row r="266"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  <cell r="T266">
            <v>0</v>
          </cell>
          <cell r="U266">
            <v>0</v>
          </cell>
          <cell r="W266">
            <v>0</v>
          </cell>
          <cell r="X266">
            <v>0</v>
          </cell>
          <cell r="Z266">
            <v>0</v>
          </cell>
          <cell r="AA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I266">
            <v>0</v>
          </cell>
          <cell r="AJ266">
            <v>0</v>
          </cell>
          <cell r="AL266">
            <v>0</v>
          </cell>
          <cell r="AM266">
            <v>0</v>
          </cell>
          <cell r="AO266">
            <v>0</v>
          </cell>
          <cell r="AP266">
            <v>0</v>
          </cell>
          <cell r="AR266">
            <v>0</v>
          </cell>
          <cell r="AS266">
            <v>0</v>
          </cell>
          <cell r="BF266" t="str">
            <v>9702</v>
          </cell>
          <cell r="BG266" t="str">
            <v>Z000</v>
          </cell>
          <cell r="BH266" t="str">
            <v>GBB</v>
          </cell>
        </row>
        <row r="267"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  <cell r="T267">
            <v>0</v>
          </cell>
          <cell r="U267">
            <v>0</v>
          </cell>
          <cell r="W267">
            <v>0</v>
          </cell>
          <cell r="X267">
            <v>0</v>
          </cell>
          <cell r="Z267">
            <v>0</v>
          </cell>
          <cell r="AA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I267">
            <v>0</v>
          </cell>
          <cell r="AJ267">
            <v>0</v>
          </cell>
          <cell r="AL267">
            <v>0</v>
          </cell>
          <cell r="AM267">
            <v>0</v>
          </cell>
          <cell r="AO267">
            <v>0</v>
          </cell>
          <cell r="AP267">
            <v>0</v>
          </cell>
          <cell r="AR267">
            <v>-178659.8</v>
          </cell>
          <cell r="AS267">
            <v>0</v>
          </cell>
          <cell r="BF267" t="str">
            <v>9750</v>
          </cell>
          <cell r="BG267" t="str">
            <v>Z000</v>
          </cell>
          <cell r="BH267" t="str">
            <v>GBB</v>
          </cell>
        </row>
        <row r="270">
          <cell r="K270">
            <v>705417.45000000019</v>
          </cell>
          <cell r="L270">
            <v>0</v>
          </cell>
          <cell r="N270">
            <v>927963.8900000006</v>
          </cell>
          <cell r="O270">
            <v>0</v>
          </cell>
          <cell r="Q270">
            <v>1125311.9500000011</v>
          </cell>
          <cell r="R270">
            <v>0</v>
          </cell>
          <cell r="T270">
            <v>1372211.2799999975</v>
          </cell>
          <cell r="U270">
            <v>0</v>
          </cell>
          <cell r="W270">
            <v>1434674.0399999991</v>
          </cell>
          <cell r="X270">
            <v>0</v>
          </cell>
          <cell r="Z270">
            <v>1520675.3100000024</v>
          </cell>
          <cell r="AA270">
            <v>0</v>
          </cell>
          <cell r="AC270">
            <v>1761538.7799999975</v>
          </cell>
          <cell r="AD270">
            <v>0</v>
          </cell>
          <cell r="AF270">
            <v>1686133.7900000066</v>
          </cell>
          <cell r="AG270">
            <v>0</v>
          </cell>
          <cell r="AI270">
            <v>1878745.570000004</v>
          </cell>
          <cell r="AJ270">
            <v>0</v>
          </cell>
          <cell r="AL270">
            <v>1402175.6000000015</v>
          </cell>
          <cell r="AM270">
            <v>0</v>
          </cell>
          <cell r="AO270">
            <v>1990982.629999999</v>
          </cell>
          <cell r="AP270">
            <v>0</v>
          </cell>
          <cell r="AR270">
            <v>2159473.0199999996</v>
          </cell>
          <cell r="AS270">
            <v>0</v>
          </cell>
          <cell r="BF270" t="str">
            <v>1000</v>
          </cell>
          <cell r="BG270" t="str">
            <v>A001</v>
          </cell>
          <cell r="BH270" t="str">
            <v>TUL</v>
          </cell>
        </row>
        <row r="271">
          <cell r="K271">
            <v>80696.100000000035</v>
          </cell>
          <cell r="L271">
            <v>0</v>
          </cell>
          <cell r="N271">
            <v>89022.719999999972</v>
          </cell>
          <cell r="O271">
            <v>0</v>
          </cell>
          <cell r="Q271">
            <v>117777.10999999999</v>
          </cell>
          <cell r="R271">
            <v>0</v>
          </cell>
          <cell r="T271">
            <v>143877.45369999995</v>
          </cell>
          <cell r="U271">
            <v>0</v>
          </cell>
          <cell r="W271">
            <v>145938.94999999995</v>
          </cell>
          <cell r="X271">
            <v>0</v>
          </cell>
          <cell r="Z271">
            <v>157562.36999999988</v>
          </cell>
          <cell r="AA271">
            <v>0</v>
          </cell>
          <cell r="AC271">
            <v>180439.07000000007</v>
          </cell>
          <cell r="AD271">
            <v>0</v>
          </cell>
          <cell r="AF271">
            <v>173718.34000000008</v>
          </cell>
          <cell r="AG271">
            <v>0</v>
          </cell>
          <cell r="AI271">
            <v>155483.44999999995</v>
          </cell>
          <cell r="AJ271">
            <v>0</v>
          </cell>
          <cell r="AL271">
            <v>204134.69999999995</v>
          </cell>
          <cell r="AM271">
            <v>0</v>
          </cell>
          <cell r="AO271">
            <v>251736.16000000015</v>
          </cell>
          <cell r="AP271">
            <v>0</v>
          </cell>
          <cell r="AR271">
            <v>206021.07999999984</v>
          </cell>
          <cell r="AS271">
            <v>0</v>
          </cell>
          <cell r="BF271" t="str">
            <v>1000</v>
          </cell>
          <cell r="BG271" t="str">
            <v>A002</v>
          </cell>
          <cell r="BH271" t="str">
            <v>TUL</v>
          </cell>
        </row>
        <row r="272"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Q272">
            <v>0</v>
          </cell>
          <cell r="R272">
            <v>0</v>
          </cell>
          <cell r="T272">
            <v>0</v>
          </cell>
          <cell r="U272">
            <v>0</v>
          </cell>
          <cell r="W272">
            <v>0</v>
          </cell>
          <cell r="X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I272">
            <v>0</v>
          </cell>
          <cell r="AJ272">
            <v>0</v>
          </cell>
          <cell r="AL272">
            <v>0</v>
          </cell>
          <cell r="AM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BF272" t="str">
            <v>1000</v>
          </cell>
          <cell r="BG272" t="str">
            <v>A003</v>
          </cell>
          <cell r="BH272" t="str">
            <v>TUL</v>
          </cell>
        </row>
        <row r="273">
          <cell r="K273">
            <v>556376</v>
          </cell>
          <cell r="L273">
            <v>0</v>
          </cell>
          <cell r="N273">
            <v>564218.68999999994</v>
          </cell>
          <cell r="O273">
            <v>0</v>
          </cell>
          <cell r="Q273">
            <v>616119.61000000034</v>
          </cell>
          <cell r="R273">
            <v>0</v>
          </cell>
          <cell r="T273">
            <v>612956.8200000003</v>
          </cell>
          <cell r="U273">
            <v>0</v>
          </cell>
          <cell r="W273">
            <v>614297.72999999952</v>
          </cell>
          <cell r="X273">
            <v>0</v>
          </cell>
          <cell r="Z273">
            <v>570269.89999999944</v>
          </cell>
          <cell r="AA273">
            <v>0</v>
          </cell>
          <cell r="AC273">
            <v>469026.6500000013</v>
          </cell>
          <cell r="AD273">
            <v>0</v>
          </cell>
          <cell r="AF273">
            <v>437881.56000000145</v>
          </cell>
          <cell r="AG273">
            <v>0</v>
          </cell>
          <cell r="AI273">
            <v>534379.07999999914</v>
          </cell>
          <cell r="AJ273">
            <v>0</v>
          </cell>
          <cell r="AL273">
            <v>762574.32000000123</v>
          </cell>
          <cell r="AM273">
            <v>0</v>
          </cell>
          <cell r="AO273">
            <v>857417.12999999896</v>
          </cell>
          <cell r="AP273">
            <v>0</v>
          </cell>
          <cell r="AR273">
            <v>533207.09999999963</v>
          </cell>
          <cell r="AS273">
            <v>0</v>
          </cell>
          <cell r="BF273" t="str">
            <v>1000</v>
          </cell>
          <cell r="BG273" t="str">
            <v>A004</v>
          </cell>
          <cell r="BH273" t="str">
            <v>TUL</v>
          </cell>
        </row>
        <row r="274">
          <cell r="K274">
            <v>6.8212102632969618E-13</v>
          </cell>
          <cell r="L274">
            <v>0</v>
          </cell>
          <cell r="N274">
            <v>1.1823431123048067E-11</v>
          </cell>
          <cell r="O274">
            <v>0</v>
          </cell>
          <cell r="Q274">
            <v>-3.2014213502407074E-10</v>
          </cell>
          <cell r="R274">
            <v>0</v>
          </cell>
          <cell r="T274">
            <v>-2.3283064365386963E-10</v>
          </cell>
          <cell r="U274">
            <v>0</v>
          </cell>
          <cell r="W274">
            <v>0</v>
          </cell>
          <cell r="X274">
            <v>0</v>
          </cell>
          <cell r="Z274">
            <v>0</v>
          </cell>
          <cell r="AA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I274">
            <v>0</v>
          </cell>
          <cell r="AJ274">
            <v>0</v>
          </cell>
          <cell r="AL274">
            <v>0</v>
          </cell>
          <cell r="AM274">
            <v>0</v>
          </cell>
          <cell r="AO274">
            <v>0</v>
          </cell>
          <cell r="AP274">
            <v>0</v>
          </cell>
          <cell r="AR274">
            <v>0</v>
          </cell>
          <cell r="AS274">
            <v>0</v>
          </cell>
          <cell r="BF274" t="str">
            <v>1000</v>
          </cell>
          <cell r="BG274" t="str">
            <v>A005</v>
          </cell>
          <cell r="BH274" t="str">
            <v>TUL</v>
          </cell>
        </row>
        <row r="275"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Q275">
            <v>0</v>
          </cell>
          <cell r="R275">
            <v>0</v>
          </cell>
          <cell r="T275">
            <v>0</v>
          </cell>
          <cell r="U275">
            <v>0</v>
          </cell>
          <cell r="W275">
            <v>0</v>
          </cell>
          <cell r="X275">
            <v>0</v>
          </cell>
          <cell r="Z275">
            <v>0</v>
          </cell>
          <cell r="AA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I275">
            <v>0</v>
          </cell>
          <cell r="AJ275">
            <v>0</v>
          </cell>
          <cell r="AL275">
            <v>0</v>
          </cell>
          <cell r="AM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BF275" t="str">
            <v>1000</v>
          </cell>
          <cell r="BG275" t="str">
            <v>A006</v>
          </cell>
          <cell r="BH275" t="str">
            <v>TUL</v>
          </cell>
        </row>
        <row r="276"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Q276">
            <v>0</v>
          </cell>
          <cell r="R276">
            <v>0</v>
          </cell>
          <cell r="T276">
            <v>0</v>
          </cell>
          <cell r="U276">
            <v>0</v>
          </cell>
          <cell r="W276">
            <v>0</v>
          </cell>
          <cell r="X276">
            <v>0</v>
          </cell>
          <cell r="Z276">
            <v>0</v>
          </cell>
          <cell r="AA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I276">
            <v>0</v>
          </cell>
          <cell r="AJ276">
            <v>0</v>
          </cell>
          <cell r="AL276">
            <v>0</v>
          </cell>
          <cell r="AM276">
            <v>0</v>
          </cell>
          <cell r="AO276">
            <v>0</v>
          </cell>
          <cell r="AP276">
            <v>0</v>
          </cell>
          <cell r="AR276">
            <v>0</v>
          </cell>
          <cell r="AS276">
            <v>0</v>
          </cell>
          <cell r="BF276" t="str">
            <v>1000</v>
          </cell>
          <cell r="BG276" t="str">
            <v>A007</v>
          </cell>
          <cell r="BH276" t="str">
            <v>TUL</v>
          </cell>
        </row>
        <row r="277"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Z277">
            <v>0</v>
          </cell>
          <cell r="AA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I277">
            <v>0</v>
          </cell>
          <cell r="AJ277">
            <v>0</v>
          </cell>
          <cell r="AL277">
            <v>0</v>
          </cell>
          <cell r="AM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BF277" t="str">
            <v>1000</v>
          </cell>
          <cell r="BG277" t="str">
            <v>A008</v>
          </cell>
          <cell r="BH277" t="str">
            <v>TUL</v>
          </cell>
        </row>
        <row r="278"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Z278">
            <v>0</v>
          </cell>
          <cell r="AA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I278">
            <v>0</v>
          </cell>
          <cell r="AJ278">
            <v>0</v>
          </cell>
          <cell r="AL278">
            <v>0</v>
          </cell>
          <cell r="AM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BF278" t="str">
            <v>1000</v>
          </cell>
          <cell r="BG278" t="str">
            <v>A009</v>
          </cell>
          <cell r="BH278" t="str">
            <v>TUL</v>
          </cell>
        </row>
        <row r="279"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Q279">
            <v>0</v>
          </cell>
          <cell r="R279">
            <v>0</v>
          </cell>
          <cell r="T279">
            <v>0</v>
          </cell>
          <cell r="U279">
            <v>0</v>
          </cell>
          <cell r="W279">
            <v>0</v>
          </cell>
          <cell r="X279">
            <v>0</v>
          </cell>
          <cell r="Z279">
            <v>0</v>
          </cell>
          <cell r="AA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I279">
            <v>0</v>
          </cell>
          <cell r="AJ279">
            <v>0</v>
          </cell>
          <cell r="AL279">
            <v>0</v>
          </cell>
          <cell r="AM279">
            <v>0</v>
          </cell>
          <cell r="AO279">
            <v>0</v>
          </cell>
          <cell r="AP279">
            <v>0</v>
          </cell>
          <cell r="AR279">
            <v>0</v>
          </cell>
          <cell r="AS279">
            <v>0</v>
          </cell>
          <cell r="BF279" t="str">
            <v>1000</v>
          </cell>
          <cell r="BG279" t="str">
            <v>A010</v>
          </cell>
          <cell r="BH279" t="str">
            <v>TUL</v>
          </cell>
        </row>
        <row r="280"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Q280">
            <v>0</v>
          </cell>
          <cell r="R280">
            <v>0</v>
          </cell>
          <cell r="T280">
            <v>0</v>
          </cell>
          <cell r="U280">
            <v>0</v>
          </cell>
          <cell r="W280">
            <v>0</v>
          </cell>
          <cell r="X280">
            <v>0</v>
          </cell>
          <cell r="Z280">
            <v>0</v>
          </cell>
          <cell r="AA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I280">
            <v>0</v>
          </cell>
          <cell r="AJ280">
            <v>0</v>
          </cell>
          <cell r="AL280">
            <v>0</v>
          </cell>
          <cell r="AM280">
            <v>0</v>
          </cell>
          <cell r="AO280">
            <v>0</v>
          </cell>
          <cell r="AP280">
            <v>0</v>
          </cell>
          <cell r="AR280">
            <v>0</v>
          </cell>
          <cell r="AS280">
            <v>0</v>
          </cell>
          <cell r="BF280" t="str">
            <v>1005</v>
          </cell>
          <cell r="BG280" t="str">
            <v>A081</v>
          </cell>
          <cell r="BH280" t="str">
            <v>TUL</v>
          </cell>
        </row>
        <row r="281"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Q281">
            <v>0</v>
          </cell>
          <cell r="R281">
            <v>0</v>
          </cell>
          <cell r="T281">
            <v>0</v>
          </cell>
          <cell r="U281">
            <v>0</v>
          </cell>
          <cell r="W281">
            <v>0</v>
          </cell>
          <cell r="X281">
            <v>0</v>
          </cell>
          <cell r="Z281">
            <v>0</v>
          </cell>
          <cell r="AA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I281">
            <v>0</v>
          </cell>
          <cell r="AJ281">
            <v>0</v>
          </cell>
          <cell r="AL281">
            <v>0</v>
          </cell>
          <cell r="AM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BF281" t="str">
            <v>1005</v>
          </cell>
          <cell r="BG281" t="str">
            <v>A082</v>
          </cell>
          <cell r="BH281" t="str">
            <v>TUL</v>
          </cell>
        </row>
        <row r="282"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Q282">
            <v>0</v>
          </cell>
          <cell r="R282">
            <v>0</v>
          </cell>
          <cell r="T282">
            <v>0</v>
          </cell>
          <cell r="U282">
            <v>0</v>
          </cell>
          <cell r="W282">
            <v>0</v>
          </cell>
          <cell r="X282">
            <v>0</v>
          </cell>
          <cell r="Z282">
            <v>0</v>
          </cell>
          <cell r="AA282">
            <v>0</v>
          </cell>
          <cell r="AC282">
            <v>28018.73</v>
          </cell>
          <cell r="AD282">
            <v>0</v>
          </cell>
          <cell r="AF282">
            <v>18173.349999999995</v>
          </cell>
          <cell r="AG282">
            <v>0</v>
          </cell>
          <cell r="AI282">
            <v>-46192.08</v>
          </cell>
          <cell r="AJ282">
            <v>0</v>
          </cell>
          <cell r="AL282">
            <v>0</v>
          </cell>
          <cell r="AM282">
            <v>0</v>
          </cell>
          <cell r="AO282">
            <v>0</v>
          </cell>
          <cell r="AP282">
            <v>0</v>
          </cell>
          <cell r="AR282">
            <v>0</v>
          </cell>
          <cell r="AS282">
            <v>0</v>
          </cell>
          <cell r="BF282" t="str">
            <v>1005</v>
          </cell>
          <cell r="BG282" t="str">
            <v>A083</v>
          </cell>
          <cell r="BH282" t="str">
            <v>TUL</v>
          </cell>
        </row>
        <row r="283">
          <cell r="K283">
            <v>1.4210854715202004E-14</v>
          </cell>
          <cell r="L283">
            <v>0</v>
          </cell>
          <cell r="N283">
            <v>258016.31</v>
          </cell>
          <cell r="O283">
            <v>0</v>
          </cell>
          <cell r="Q283">
            <v>23010.320000000007</v>
          </cell>
          <cell r="R283">
            <v>0</v>
          </cell>
          <cell r="T283">
            <v>19957.270000000077</v>
          </cell>
          <cell r="U283">
            <v>0</v>
          </cell>
          <cell r="W283">
            <v>25250.530000000028</v>
          </cell>
          <cell r="X283">
            <v>0</v>
          </cell>
          <cell r="Z283">
            <v>24390.959999999963</v>
          </cell>
          <cell r="AA283">
            <v>0</v>
          </cell>
          <cell r="AC283">
            <v>25602.660000000033</v>
          </cell>
          <cell r="AD283">
            <v>0</v>
          </cell>
          <cell r="AF283">
            <v>23848.089999999967</v>
          </cell>
          <cell r="AG283">
            <v>0</v>
          </cell>
          <cell r="AI283">
            <v>26403.25</v>
          </cell>
          <cell r="AJ283">
            <v>0</v>
          </cell>
          <cell r="AL283">
            <v>26698.319999999949</v>
          </cell>
          <cell r="AM283">
            <v>0</v>
          </cell>
          <cell r="AO283">
            <v>28983.910000000033</v>
          </cell>
          <cell r="AP283">
            <v>0</v>
          </cell>
          <cell r="AR283">
            <v>28909.140000000014</v>
          </cell>
          <cell r="AS283">
            <v>0</v>
          </cell>
          <cell r="BF283" t="str">
            <v>1005</v>
          </cell>
          <cell r="BG283" t="str">
            <v>A084</v>
          </cell>
          <cell r="BH283" t="str">
            <v>TUL</v>
          </cell>
        </row>
        <row r="284"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Q284">
            <v>0</v>
          </cell>
          <cell r="R284">
            <v>0</v>
          </cell>
          <cell r="T284">
            <v>0</v>
          </cell>
          <cell r="U284">
            <v>0</v>
          </cell>
          <cell r="W284">
            <v>0</v>
          </cell>
          <cell r="X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I284">
            <v>0</v>
          </cell>
          <cell r="AJ284">
            <v>0</v>
          </cell>
          <cell r="AL284">
            <v>0</v>
          </cell>
          <cell r="AM284">
            <v>0</v>
          </cell>
          <cell r="AO284">
            <v>0</v>
          </cell>
          <cell r="AP284">
            <v>0</v>
          </cell>
          <cell r="AR284">
            <v>0</v>
          </cell>
          <cell r="AS284">
            <v>0</v>
          </cell>
          <cell r="BF284" t="str">
            <v>1005</v>
          </cell>
          <cell r="BG284" t="str">
            <v>A085</v>
          </cell>
          <cell r="BH284" t="str">
            <v>TUL</v>
          </cell>
        </row>
        <row r="285"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Q285">
            <v>0</v>
          </cell>
          <cell r="R285">
            <v>0</v>
          </cell>
          <cell r="T285">
            <v>0</v>
          </cell>
          <cell r="U285">
            <v>0</v>
          </cell>
          <cell r="W285">
            <v>0</v>
          </cell>
          <cell r="X285">
            <v>0</v>
          </cell>
          <cell r="Z285">
            <v>0</v>
          </cell>
          <cell r="AA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I285">
            <v>0</v>
          </cell>
          <cell r="AJ285">
            <v>0</v>
          </cell>
          <cell r="AL285">
            <v>0</v>
          </cell>
          <cell r="AM285">
            <v>0</v>
          </cell>
          <cell r="AO285">
            <v>0</v>
          </cell>
          <cell r="AP285">
            <v>0</v>
          </cell>
          <cell r="AR285">
            <v>0</v>
          </cell>
          <cell r="AS285">
            <v>0</v>
          </cell>
          <cell r="BF285" t="str">
            <v>1005</v>
          </cell>
          <cell r="BG285" t="str">
            <v>A086</v>
          </cell>
          <cell r="BH285" t="str">
            <v>TUL</v>
          </cell>
        </row>
        <row r="286"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Q286">
            <v>0</v>
          </cell>
          <cell r="R286">
            <v>0</v>
          </cell>
          <cell r="T286">
            <v>0</v>
          </cell>
          <cell r="U286">
            <v>0</v>
          </cell>
          <cell r="W286">
            <v>0</v>
          </cell>
          <cell r="X286">
            <v>0</v>
          </cell>
          <cell r="Z286">
            <v>0</v>
          </cell>
          <cell r="AA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I286">
            <v>0</v>
          </cell>
          <cell r="AJ286">
            <v>0</v>
          </cell>
          <cell r="AL286">
            <v>0</v>
          </cell>
          <cell r="AM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BF286" t="str">
            <v>1008</v>
          </cell>
          <cell r="BG286" t="str">
            <v>A041</v>
          </cell>
          <cell r="BH286" t="str">
            <v>TUL</v>
          </cell>
        </row>
        <row r="287"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Z287">
            <v>0</v>
          </cell>
          <cell r="AA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I287">
            <v>0</v>
          </cell>
          <cell r="AJ287">
            <v>0</v>
          </cell>
          <cell r="AL287">
            <v>0</v>
          </cell>
          <cell r="AM287">
            <v>0</v>
          </cell>
          <cell r="AO287">
            <v>0</v>
          </cell>
          <cell r="AP287">
            <v>0</v>
          </cell>
          <cell r="AR287">
            <v>0</v>
          </cell>
          <cell r="AS287">
            <v>0</v>
          </cell>
          <cell r="BF287" t="str">
            <v>1008</v>
          </cell>
          <cell r="BG287" t="str">
            <v>A042</v>
          </cell>
          <cell r="BH287" t="str">
            <v>TUL</v>
          </cell>
        </row>
        <row r="288"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Q288">
            <v>0</v>
          </cell>
          <cell r="R288">
            <v>0</v>
          </cell>
          <cell r="T288">
            <v>0</v>
          </cell>
          <cell r="U288">
            <v>0</v>
          </cell>
          <cell r="W288">
            <v>0</v>
          </cell>
          <cell r="X288">
            <v>0</v>
          </cell>
          <cell r="Z288">
            <v>0</v>
          </cell>
          <cell r="AA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I288">
            <v>0</v>
          </cell>
          <cell r="AJ288">
            <v>0</v>
          </cell>
          <cell r="AL288">
            <v>0</v>
          </cell>
          <cell r="AM288">
            <v>0</v>
          </cell>
          <cell r="AO288">
            <v>0</v>
          </cell>
          <cell r="AP288">
            <v>0</v>
          </cell>
          <cell r="AR288">
            <v>0</v>
          </cell>
          <cell r="AS288">
            <v>0</v>
          </cell>
          <cell r="BF288" t="str">
            <v>1008</v>
          </cell>
          <cell r="BG288" t="str">
            <v>A043</v>
          </cell>
          <cell r="BH288" t="str">
            <v>TUL</v>
          </cell>
        </row>
        <row r="289"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Q289">
            <v>0</v>
          </cell>
          <cell r="R289">
            <v>0</v>
          </cell>
          <cell r="T289">
            <v>0</v>
          </cell>
          <cell r="U289">
            <v>0</v>
          </cell>
          <cell r="W289">
            <v>0</v>
          </cell>
          <cell r="X289">
            <v>0</v>
          </cell>
          <cell r="Z289">
            <v>0</v>
          </cell>
          <cell r="AA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I289">
            <v>0</v>
          </cell>
          <cell r="AJ289">
            <v>0</v>
          </cell>
          <cell r="AL289">
            <v>0</v>
          </cell>
          <cell r="AM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BF289" t="str">
            <v>1008</v>
          </cell>
          <cell r="BG289" t="str">
            <v>A044</v>
          </cell>
          <cell r="BH289" t="str">
            <v>TUL</v>
          </cell>
        </row>
        <row r="290"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Q290">
            <v>0</v>
          </cell>
          <cell r="R290">
            <v>0</v>
          </cell>
          <cell r="T290">
            <v>0</v>
          </cell>
          <cell r="U290">
            <v>0</v>
          </cell>
          <cell r="W290">
            <v>0</v>
          </cell>
          <cell r="X290">
            <v>0</v>
          </cell>
          <cell r="Z290">
            <v>0</v>
          </cell>
          <cell r="AA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I290">
            <v>0</v>
          </cell>
          <cell r="AJ290">
            <v>0</v>
          </cell>
          <cell r="AL290">
            <v>0</v>
          </cell>
          <cell r="AM290">
            <v>0</v>
          </cell>
          <cell r="AO290">
            <v>0</v>
          </cell>
          <cell r="AP290">
            <v>0</v>
          </cell>
          <cell r="AR290">
            <v>0</v>
          </cell>
          <cell r="AS290">
            <v>0</v>
          </cell>
          <cell r="BF290" t="str">
            <v>1009</v>
          </cell>
          <cell r="BG290" t="str">
            <v>A061</v>
          </cell>
          <cell r="BH290" t="str">
            <v>TUL</v>
          </cell>
        </row>
        <row r="291"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Q291">
            <v>0</v>
          </cell>
          <cell r="R291">
            <v>0</v>
          </cell>
          <cell r="T291">
            <v>0</v>
          </cell>
          <cell r="U291">
            <v>0</v>
          </cell>
          <cell r="W291">
            <v>0</v>
          </cell>
          <cell r="X291">
            <v>0</v>
          </cell>
          <cell r="Z291">
            <v>0</v>
          </cell>
          <cell r="AA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I291">
            <v>0</v>
          </cell>
          <cell r="AJ291">
            <v>0</v>
          </cell>
          <cell r="AL291">
            <v>0</v>
          </cell>
          <cell r="AM291">
            <v>0</v>
          </cell>
          <cell r="AO291">
            <v>0</v>
          </cell>
          <cell r="AP291">
            <v>0</v>
          </cell>
          <cell r="AR291">
            <v>0</v>
          </cell>
          <cell r="AS291">
            <v>0</v>
          </cell>
          <cell r="BF291" t="str">
            <v>1009</v>
          </cell>
          <cell r="BG291" t="str">
            <v>A062</v>
          </cell>
          <cell r="BH291" t="str">
            <v>TUL</v>
          </cell>
        </row>
        <row r="292"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Q292">
            <v>0</v>
          </cell>
          <cell r="R292">
            <v>0</v>
          </cell>
          <cell r="T292">
            <v>0</v>
          </cell>
          <cell r="U292">
            <v>0</v>
          </cell>
          <cell r="W292">
            <v>0</v>
          </cell>
          <cell r="X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I292">
            <v>0</v>
          </cell>
          <cell r="AJ292">
            <v>0</v>
          </cell>
          <cell r="AL292">
            <v>0</v>
          </cell>
          <cell r="AM292">
            <v>0</v>
          </cell>
          <cell r="AO292">
            <v>0</v>
          </cell>
          <cell r="AP292">
            <v>0</v>
          </cell>
          <cell r="AR292">
            <v>0</v>
          </cell>
          <cell r="AS292">
            <v>0</v>
          </cell>
          <cell r="BF292" t="str">
            <v>1009</v>
          </cell>
          <cell r="BG292" t="str">
            <v>A063</v>
          </cell>
          <cell r="BH292" t="str">
            <v>TUL</v>
          </cell>
        </row>
        <row r="293"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Q293">
            <v>0</v>
          </cell>
          <cell r="R293">
            <v>0</v>
          </cell>
          <cell r="T293">
            <v>0</v>
          </cell>
          <cell r="U293">
            <v>0</v>
          </cell>
          <cell r="W293">
            <v>0</v>
          </cell>
          <cell r="X293">
            <v>0</v>
          </cell>
          <cell r="Z293">
            <v>0</v>
          </cell>
          <cell r="AA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I293">
            <v>0</v>
          </cell>
          <cell r="AJ293">
            <v>0</v>
          </cell>
          <cell r="AL293">
            <v>0</v>
          </cell>
          <cell r="AM293">
            <v>0</v>
          </cell>
          <cell r="AO293">
            <v>0</v>
          </cell>
          <cell r="AP293">
            <v>0</v>
          </cell>
          <cell r="AR293">
            <v>0</v>
          </cell>
          <cell r="AS293">
            <v>0</v>
          </cell>
          <cell r="BF293" t="str">
            <v>1009</v>
          </cell>
          <cell r="BG293" t="str">
            <v>A064</v>
          </cell>
          <cell r="BH293" t="str">
            <v>TUL</v>
          </cell>
        </row>
        <row r="294"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Q294">
            <v>0</v>
          </cell>
          <cell r="R294">
            <v>0</v>
          </cell>
          <cell r="T294">
            <v>0</v>
          </cell>
          <cell r="U294">
            <v>0</v>
          </cell>
          <cell r="W294">
            <v>0</v>
          </cell>
          <cell r="X294">
            <v>0</v>
          </cell>
          <cell r="Z294">
            <v>0</v>
          </cell>
          <cell r="AA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I294">
            <v>0</v>
          </cell>
          <cell r="AJ294">
            <v>0</v>
          </cell>
          <cell r="AL294">
            <v>0</v>
          </cell>
          <cell r="AM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BF294" t="str">
            <v>1009</v>
          </cell>
          <cell r="BG294" t="str">
            <v>A065</v>
          </cell>
          <cell r="BH294" t="str">
            <v>TUL</v>
          </cell>
        </row>
        <row r="295">
          <cell r="K295">
            <v>-4.6566128730773926E-10</v>
          </cell>
          <cell r="L295">
            <v>0</v>
          </cell>
          <cell r="N295">
            <v>0</v>
          </cell>
          <cell r="O295">
            <v>0</v>
          </cell>
          <cell r="Q295">
            <v>4.6566128730773926E-10</v>
          </cell>
          <cell r="R295">
            <v>0</v>
          </cell>
          <cell r="T295">
            <v>-4.6566128730773926E-10</v>
          </cell>
          <cell r="U295">
            <v>0</v>
          </cell>
          <cell r="W295">
            <v>0</v>
          </cell>
          <cell r="X295">
            <v>0</v>
          </cell>
          <cell r="Z295">
            <v>0</v>
          </cell>
          <cell r="AA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I295">
            <v>0</v>
          </cell>
          <cell r="AJ295">
            <v>0</v>
          </cell>
          <cell r="AL295">
            <v>0</v>
          </cell>
          <cell r="AM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BF295" t="str">
            <v>2001</v>
          </cell>
          <cell r="BG295" t="str">
            <v>B001</v>
          </cell>
          <cell r="BH295" t="str">
            <v>TUL</v>
          </cell>
        </row>
        <row r="296">
          <cell r="K296">
            <v>279407.19</v>
          </cell>
          <cell r="L296">
            <v>0</v>
          </cell>
          <cell r="N296">
            <v>335026.7</v>
          </cell>
          <cell r="O296">
            <v>0</v>
          </cell>
          <cell r="Q296">
            <v>336654.92999999993</v>
          </cell>
          <cell r="R296">
            <v>0</v>
          </cell>
          <cell r="T296">
            <v>376461.35787999991</v>
          </cell>
          <cell r="U296">
            <v>0</v>
          </cell>
          <cell r="W296">
            <v>366654.3600000001</v>
          </cell>
          <cell r="X296">
            <v>0</v>
          </cell>
          <cell r="Z296">
            <v>373378.36999999965</v>
          </cell>
          <cell r="AA296">
            <v>0</v>
          </cell>
          <cell r="AC296">
            <v>414441.16000000108</v>
          </cell>
          <cell r="AD296">
            <v>0</v>
          </cell>
          <cell r="AF296">
            <v>421023.14000000013</v>
          </cell>
          <cell r="AG296">
            <v>0</v>
          </cell>
          <cell r="AI296">
            <v>423479.77000000048</v>
          </cell>
          <cell r="AJ296">
            <v>0</v>
          </cell>
          <cell r="AL296">
            <v>430555.78000000026</v>
          </cell>
          <cell r="AM296">
            <v>0</v>
          </cell>
          <cell r="AO296">
            <v>460717.37000000011</v>
          </cell>
          <cell r="AP296">
            <v>0</v>
          </cell>
          <cell r="AR296">
            <v>425241.16999999993</v>
          </cell>
          <cell r="AS296">
            <v>0</v>
          </cell>
          <cell r="BF296" t="str">
            <v>2001</v>
          </cell>
          <cell r="BG296" t="str">
            <v>B002</v>
          </cell>
          <cell r="BH296" t="str">
            <v>TUL</v>
          </cell>
        </row>
        <row r="297"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Q297">
            <v>0</v>
          </cell>
          <cell r="R297">
            <v>0</v>
          </cell>
          <cell r="T297">
            <v>0</v>
          </cell>
          <cell r="U297">
            <v>0</v>
          </cell>
          <cell r="W297">
            <v>0</v>
          </cell>
          <cell r="X297">
            <v>0</v>
          </cell>
          <cell r="Z297">
            <v>0</v>
          </cell>
          <cell r="AA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I297">
            <v>0</v>
          </cell>
          <cell r="AJ297">
            <v>0</v>
          </cell>
          <cell r="AL297">
            <v>0</v>
          </cell>
          <cell r="AM297">
            <v>0</v>
          </cell>
          <cell r="AO297">
            <v>0</v>
          </cell>
          <cell r="AP297">
            <v>0</v>
          </cell>
          <cell r="AR297">
            <v>0</v>
          </cell>
          <cell r="AS297">
            <v>0</v>
          </cell>
          <cell r="BF297" t="str">
            <v>2001</v>
          </cell>
          <cell r="BG297" t="str">
            <v>B003</v>
          </cell>
          <cell r="BH297" t="str">
            <v>TUL</v>
          </cell>
        </row>
        <row r="298">
          <cell r="K298">
            <v>300.77999999999884</v>
          </cell>
          <cell r="L298">
            <v>0</v>
          </cell>
          <cell r="N298">
            <v>4800.9600000000391</v>
          </cell>
          <cell r="O298">
            <v>0</v>
          </cell>
          <cell r="Q298">
            <v>4178.8300000000163</v>
          </cell>
          <cell r="R298">
            <v>0</v>
          </cell>
          <cell r="T298">
            <v>4899.449999999837</v>
          </cell>
          <cell r="U298">
            <v>0</v>
          </cell>
          <cell r="W298">
            <v>3079.8100000000559</v>
          </cell>
          <cell r="X298">
            <v>0</v>
          </cell>
          <cell r="Z298">
            <v>2806.7600000000093</v>
          </cell>
          <cell r="AA298">
            <v>0</v>
          </cell>
          <cell r="AC298">
            <v>3795.140000000014</v>
          </cell>
          <cell r="AD298">
            <v>0</v>
          </cell>
          <cell r="AF298">
            <v>3596.9199999999255</v>
          </cell>
          <cell r="AG298">
            <v>0</v>
          </cell>
          <cell r="AI298">
            <v>2406.2100000000792</v>
          </cell>
          <cell r="AJ298">
            <v>0</v>
          </cell>
          <cell r="AL298">
            <v>3024.4499999999534</v>
          </cell>
          <cell r="AM298">
            <v>0</v>
          </cell>
          <cell r="AO298">
            <v>2070.0200000000186</v>
          </cell>
          <cell r="AP298">
            <v>0</v>
          </cell>
          <cell r="AR298">
            <v>2085.3399999999674</v>
          </cell>
          <cell r="AS298">
            <v>0</v>
          </cell>
          <cell r="BF298" t="str">
            <v>2001</v>
          </cell>
          <cell r="BG298" t="str">
            <v>B004</v>
          </cell>
          <cell r="BH298" t="str">
            <v>TUL</v>
          </cell>
        </row>
        <row r="299">
          <cell r="K299">
            <v>20000</v>
          </cell>
          <cell r="L299">
            <v>0</v>
          </cell>
          <cell r="N299">
            <v>20000</v>
          </cell>
          <cell r="O299">
            <v>0</v>
          </cell>
          <cell r="Q299">
            <v>20000</v>
          </cell>
          <cell r="R299">
            <v>0</v>
          </cell>
          <cell r="T299">
            <v>20000</v>
          </cell>
          <cell r="U299">
            <v>0</v>
          </cell>
          <cell r="W299">
            <v>20000</v>
          </cell>
          <cell r="X299">
            <v>0</v>
          </cell>
          <cell r="Z299">
            <v>19999.999999999985</v>
          </cell>
          <cell r="AA299">
            <v>0</v>
          </cell>
          <cell r="AC299">
            <v>20000.000000000015</v>
          </cell>
          <cell r="AD299">
            <v>0</v>
          </cell>
          <cell r="AF299">
            <v>20000</v>
          </cell>
          <cell r="AG299">
            <v>0</v>
          </cell>
          <cell r="AI299">
            <v>20000</v>
          </cell>
          <cell r="AJ299">
            <v>0</v>
          </cell>
          <cell r="AL299">
            <v>20000</v>
          </cell>
          <cell r="AM299">
            <v>0</v>
          </cell>
          <cell r="AO299">
            <v>20000</v>
          </cell>
          <cell r="AP299">
            <v>0</v>
          </cell>
          <cell r="AR299">
            <v>20000</v>
          </cell>
          <cell r="AS299">
            <v>0</v>
          </cell>
          <cell r="BF299" t="str">
            <v>2001</v>
          </cell>
          <cell r="BG299" t="str">
            <v>B005</v>
          </cell>
          <cell r="BH299" t="str">
            <v>TUL</v>
          </cell>
        </row>
        <row r="300"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Q300">
            <v>0</v>
          </cell>
          <cell r="R300">
            <v>0</v>
          </cell>
          <cell r="T300">
            <v>0</v>
          </cell>
          <cell r="U300">
            <v>0</v>
          </cell>
          <cell r="W300">
            <v>0</v>
          </cell>
          <cell r="X300">
            <v>0</v>
          </cell>
          <cell r="Z300">
            <v>0</v>
          </cell>
          <cell r="AA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I300">
            <v>0</v>
          </cell>
          <cell r="AJ300">
            <v>0</v>
          </cell>
          <cell r="AL300">
            <v>0</v>
          </cell>
          <cell r="AM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0</v>
          </cell>
          <cell r="BF300" t="str">
            <v>2001</v>
          </cell>
          <cell r="BG300" t="str">
            <v>B006</v>
          </cell>
          <cell r="BH300" t="str">
            <v>TUL</v>
          </cell>
        </row>
        <row r="301">
          <cell r="K301">
            <v>-246170.3599999994</v>
          </cell>
          <cell r="L301">
            <v>0</v>
          </cell>
          <cell r="N301">
            <v>500672.58999999985</v>
          </cell>
          <cell r="O301">
            <v>0</v>
          </cell>
          <cell r="Q301">
            <v>-332720.20000000019</v>
          </cell>
          <cell r="R301">
            <v>0</v>
          </cell>
          <cell r="T301">
            <v>39845.868290000595</v>
          </cell>
          <cell r="U301">
            <v>0</v>
          </cell>
          <cell r="W301">
            <v>215189.5700000003</v>
          </cell>
          <cell r="X301">
            <v>0</v>
          </cell>
          <cell r="Z301">
            <v>305312.28999999957</v>
          </cell>
          <cell r="AA301">
            <v>0</v>
          </cell>
          <cell r="AC301">
            <v>1115918.1300000004</v>
          </cell>
          <cell r="AD301">
            <v>0</v>
          </cell>
          <cell r="AF301">
            <v>-1005769.4099999992</v>
          </cell>
          <cell r="AG301">
            <v>0</v>
          </cell>
          <cell r="AI301">
            <v>-116671.15000000037</v>
          </cell>
          <cell r="AJ301">
            <v>0</v>
          </cell>
          <cell r="AL301">
            <v>-33369.69000000041</v>
          </cell>
          <cell r="AM301">
            <v>0</v>
          </cell>
          <cell r="AO301">
            <v>-23447.570000000298</v>
          </cell>
          <cell r="AP301">
            <v>0</v>
          </cell>
          <cell r="AR301">
            <v>170771.28000000026</v>
          </cell>
          <cell r="AS301">
            <v>0</v>
          </cell>
          <cell r="BF301" t="str">
            <v>2008</v>
          </cell>
          <cell r="BG301" t="str">
            <v>Z000</v>
          </cell>
          <cell r="BH301" t="str">
            <v>TUL</v>
          </cell>
        </row>
        <row r="302">
          <cell r="K302">
            <v>155070.53000000003</v>
          </cell>
          <cell r="L302">
            <v>0</v>
          </cell>
          <cell r="N302">
            <v>86797.850000000093</v>
          </cell>
          <cell r="O302">
            <v>0</v>
          </cell>
          <cell r="Q302">
            <v>12028.270000000019</v>
          </cell>
          <cell r="R302">
            <v>0</v>
          </cell>
          <cell r="T302">
            <v>19176</v>
          </cell>
          <cell r="U302">
            <v>0</v>
          </cell>
          <cell r="W302">
            <v>78420</v>
          </cell>
          <cell r="X302">
            <v>0</v>
          </cell>
          <cell r="Z302">
            <v>-130005</v>
          </cell>
          <cell r="AA302">
            <v>0</v>
          </cell>
          <cell r="AC302">
            <v>12895.729999999981</v>
          </cell>
          <cell r="AD302">
            <v>0</v>
          </cell>
          <cell r="AF302">
            <v>548005.25999999978</v>
          </cell>
          <cell r="AG302">
            <v>0</v>
          </cell>
          <cell r="AI302">
            <v>648165.50999999978</v>
          </cell>
          <cell r="AJ302">
            <v>0</v>
          </cell>
          <cell r="AL302">
            <v>-758328.95</v>
          </cell>
          <cell r="AM302">
            <v>0</v>
          </cell>
          <cell r="AO302">
            <v>-158598.19999999995</v>
          </cell>
          <cell r="AP302">
            <v>0</v>
          </cell>
          <cell r="AR302">
            <v>-11224.819999999832</v>
          </cell>
          <cell r="AS302">
            <v>0</v>
          </cell>
          <cell r="BF302" t="str">
            <v>2010</v>
          </cell>
          <cell r="BG302" t="str">
            <v>B021</v>
          </cell>
          <cell r="BH302" t="str">
            <v>TUL</v>
          </cell>
        </row>
        <row r="303"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Q303">
            <v>0</v>
          </cell>
          <cell r="R303">
            <v>0</v>
          </cell>
          <cell r="T303">
            <v>0</v>
          </cell>
          <cell r="U303">
            <v>0</v>
          </cell>
          <cell r="W303">
            <v>0</v>
          </cell>
          <cell r="X303">
            <v>0</v>
          </cell>
          <cell r="Z303">
            <v>0</v>
          </cell>
          <cell r="AA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I303">
            <v>0</v>
          </cell>
          <cell r="AJ303">
            <v>0</v>
          </cell>
          <cell r="AL303">
            <v>0</v>
          </cell>
          <cell r="AM303">
            <v>0</v>
          </cell>
          <cell r="AO303">
            <v>0</v>
          </cell>
          <cell r="AP303">
            <v>0</v>
          </cell>
          <cell r="AR303">
            <v>-1279.1999999999998</v>
          </cell>
          <cell r="AS303">
            <v>0</v>
          </cell>
          <cell r="BF303" t="str">
            <v>2010</v>
          </cell>
          <cell r="BG303" t="str">
            <v>B022</v>
          </cell>
          <cell r="BH303" t="str">
            <v>TUL</v>
          </cell>
        </row>
        <row r="304"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Q304">
            <v>0</v>
          </cell>
          <cell r="R304">
            <v>0</v>
          </cell>
          <cell r="T304">
            <v>0</v>
          </cell>
          <cell r="U304">
            <v>0</v>
          </cell>
          <cell r="W304">
            <v>0</v>
          </cell>
          <cell r="X304">
            <v>0</v>
          </cell>
          <cell r="Z304">
            <v>0</v>
          </cell>
          <cell r="AA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I304">
            <v>0</v>
          </cell>
          <cell r="AJ304">
            <v>0</v>
          </cell>
          <cell r="AL304">
            <v>0</v>
          </cell>
          <cell r="AM304">
            <v>0</v>
          </cell>
          <cell r="AO304">
            <v>0</v>
          </cell>
          <cell r="AP304">
            <v>0</v>
          </cell>
          <cell r="AR304">
            <v>0</v>
          </cell>
          <cell r="AS304">
            <v>0</v>
          </cell>
          <cell r="BF304" t="str">
            <v>2010</v>
          </cell>
          <cell r="BG304" t="str">
            <v>B023</v>
          </cell>
          <cell r="BH304" t="str">
            <v>TUL</v>
          </cell>
        </row>
        <row r="305"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Q305">
            <v>0</v>
          </cell>
          <cell r="R305">
            <v>0</v>
          </cell>
          <cell r="T305">
            <v>0</v>
          </cell>
          <cell r="U305">
            <v>0</v>
          </cell>
          <cell r="W305">
            <v>0</v>
          </cell>
          <cell r="X305">
            <v>0</v>
          </cell>
          <cell r="Z305">
            <v>0</v>
          </cell>
          <cell r="AA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I305">
            <v>0</v>
          </cell>
          <cell r="AJ305">
            <v>0</v>
          </cell>
          <cell r="AL305">
            <v>0</v>
          </cell>
          <cell r="AM305">
            <v>0</v>
          </cell>
          <cell r="AO305">
            <v>0</v>
          </cell>
          <cell r="AP305">
            <v>0</v>
          </cell>
          <cell r="AR305">
            <v>0</v>
          </cell>
          <cell r="AS305">
            <v>0</v>
          </cell>
          <cell r="BF305" t="str">
            <v>2010</v>
          </cell>
          <cell r="BG305" t="str">
            <v>B024</v>
          </cell>
          <cell r="BH305" t="str">
            <v>TUL</v>
          </cell>
        </row>
        <row r="306"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Q306">
            <v>0</v>
          </cell>
          <cell r="R306">
            <v>0</v>
          </cell>
          <cell r="T306">
            <v>0</v>
          </cell>
          <cell r="U306">
            <v>0</v>
          </cell>
          <cell r="W306">
            <v>0</v>
          </cell>
          <cell r="X306">
            <v>0</v>
          </cell>
          <cell r="Z306">
            <v>0</v>
          </cell>
          <cell r="AA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I306">
            <v>0</v>
          </cell>
          <cell r="AJ306">
            <v>0</v>
          </cell>
          <cell r="AL306">
            <v>0</v>
          </cell>
          <cell r="AM306">
            <v>0</v>
          </cell>
          <cell r="AO306">
            <v>0</v>
          </cell>
          <cell r="AP306">
            <v>0</v>
          </cell>
          <cell r="AR306">
            <v>0</v>
          </cell>
          <cell r="AS306">
            <v>0</v>
          </cell>
          <cell r="BF306" t="str">
            <v>2015</v>
          </cell>
          <cell r="BG306" t="str">
            <v>B201</v>
          </cell>
          <cell r="BH306" t="str">
            <v>TUL</v>
          </cell>
        </row>
        <row r="307"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Q307">
            <v>0</v>
          </cell>
          <cell r="R307">
            <v>0</v>
          </cell>
          <cell r="T307">
            <v>0</v>
          </cell>
          <cell r="U307">
            <v>0</v>
          </cell>
          <cell r="W307">
            <v>0</v>
          </cell>
          <cell r="X307">
            <v>0</v>
          </cell>
          <cell r="Z307">
            <v>0</v>
          </cell>
          <cell r="AA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I307">
            <v>0</v>
          </cell>
          <cell r="AJ307">
            <v>0</v>
          </cell>
          <cell r="AL307">
            <v>0</v>
          </cell>
          <cell r="AM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BF307" t="str">
            <v>2015</v>
          </cell>
          <cell r="BG307" t="str">
            <v>B202</v>
          </cell>
          <cell r="BH307" t="str">
            <v>TUL</v>
          </cell>
        </row>
        <row r="308"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Q308">
            <v>0</v>
          </cell>
          <cell r="R308">
            <v>0</v>
          </cell>
          <cell r="T308">
            <v>0</v>
          </cell>
          <cell r="U308">
            <v>0</v>
          </cell>
          <cell r="W308">
            <v>0</v>
          </cell>
          <cell r="X308">
            <v>0</v>
          </cell>
          <cell r="Z308">
            <v>0</v>
          </cell>
          <cell r="AA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I308">
            <v>0</v>
          </cell>
          <cell r="AJ308">
            <v>0</v>
          </cell>
          <cell r="AL308">
            <v>0</v>
          </cell>
          <cell r="AM308">
            <v>0</v>
          </cell>
          <cell r="AO308">
            <v>0</v>
          </cell>
          <cell r="AP308">
            <v>0</v>
          </cell>
          <cell r="AR308">
            <v>0</v>
          </cell>
          <cell r="AS308">
            <v>0</v>
          </cell>
          <cell r="BF308" t="str">
            <v>2015</v>
          </cell>
          <cell r="BG308" t="str">
            <v>B203</v>
          </cell>
          <cell r="BH308" t="str">
            <v>TUL</v>
          </cell>
        </row>
        <row r="309"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Q309">
            <v>0</v>
          </cell>
          <cell r="R309">
            <v>0</v>
          </cell>
          <cell r="T309">
            <v>0</v>
          </cell>
          <cell r="U309">
            <v>0</v>
          </cell>
          <cell r="W309">
            <v>0</v>
          </cell>
          <cell r="X309">
            <v>0</v>
          </cell>
          <cell r="Z309">
            <v>0</v>
          </cell>
          <cell r="AA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I309">
            <v>0</v>
          </cell>
          <cell r="AJ309">
            <v>0</v>
          </cell>
          <cell r="AL309">
            <v>0</v>
          </cell>
          <cell r="AM309">
            <v>0</v>
          </cell>
          <cell r="AO309">
            <v>0</v>
          </cell>
          <cell r="AP309">
            <v>0</v>
          </cell>
          <cell r="AR309">
            <v>0</v>
          </cell>
          <cell r="AS309">
            <v>0</v>
          </cell>
          <cell r="BF309" t="str">
            <v>2015</v>
          </cell>
          <cell r="BG309" t="str">
            <v>B204</v>
          </cell>
          <cell r="BH309" t="str">
            <v>TUL</v>
          </cell>
        </row>
        <row r="310">
          <cell r="K310">
            <v>31910.700000000012</v>
          </cell>
          <cell r="L310">
            <v>0</v>
          </cell>
          <cell r="N310">
            <v>35394</v>
          </cell>
          <cell r="O310">
            <v>0</v>
          </cell>
          <cell r="Q310">
            <v>34287</v>
          </cell>
          <cell r="R310">
            <v>0</v>
          </cell>
          <cell r="T310">
            <v>35372</v>
          </cell>
          <cell r="U310">
            <v>0</v>
          </cell>
          <cell r="W310">
            <v>28742</v>
          </cell>
          <cell r="X310">
            <v>0</v>
          </cell>
          <cell r="Z310">
            <v>39254</v>
          </cell>
          <cell r="AA310">
            <v>0</v>
          </cell>
          <cell r="AC310">
            <v>30515</v>
          </cell>
          <cell r="AD310">
            <v>0</v>
          </cell>
          <cell r="AF310">
            <v>30377</v>
          </cell>
          <cell r="AG310">
            <v>0</v>
          </cell>
          <cell r="AI310">
            <v>26818</v>
          </cell>
          <cell r="AJ310">
            <v>0</v>
          </cell>
          <cell r="AL310">
            <v>34011</v>
          </cell>
          <cell r="AM310">
            <v>0</v>
          </cell>
          <cell r="AO310">
            <v>55165</v>
          </cell>
          <cell r="AP310">
            <v>0</v>
          </cell>
          <cell r="AR310">
            <v>44920.999999999942</v>
          </cell>
          <cell r="AS310">
            <v>0</v>
          </cell>
          <cell r="BF310" t="str">
            <v>2015</v>
          </cell>
          <cell r="BG310" t="str">
            <v>B205</v>
          </cell>
          <cell r="BH310" t="str">
            <v>TUL</v>
          </cell>
        </row>
        <row r="311"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Q311">
            <v>0</v>
          </cell>
          <cell r="R311">
            <v>0</v>
          </cell>
          <cell r="T311">
            <v>0</v>
          </cell>
          <cell r="U311">
            <v>0</v>
          </cell>
          <cell r="W311">
            <v>0</v>
          </cell>
          <cell r="X311">
            <v>0</v>
          </cell>
          <cell r="Z311">
            <v>0</v>
          </cell>
          <cell r="AA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I311">
            <v>0</v>
          </cell>
          <cell r="AJ311">
            <v>0</v>
          </cell>
          <cell r="AL311">
            <v>0</v>
          </cell>
          <cell r="AM311">
            <v>0</v>
          </cell>
          <cell r="AO311">
            <v>0</v>
          </cell>
          <cell r="AP311">
            <v>0</v>
          </cell>
          <cell r="AR311">
            <v>0</v>
          </cell>
          <cell r="AS311">
            <v>0</v>
          </cell>
          <cell r="BF311" t="str">
            <v>2015</v>
          </cell>
          <cell r="BG311" t="str">
            <v>B206</v>
          </cell>
          <cell r="BH311" t="str">
            <v>TUL</v>
          </cell>
        </row>
        <row r="312"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  <cell r="T312">
            <v>0</v>
          </cell>
          <cell r="U312">
            <v>0</v>
          </cell>
          <cell r="W312">
            <v>0</v>
          </cell>
          <cell r="X312">
            <v>0</v>
          </cell>
          <cell r="Z312">
            <v>0</v>
          </cell>
          <cell r="AA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I312">
            <v>0</v>
          </cell>
          <cell r="AJ312">
            <v>0</v>
          </cell>
          <cell r="AL312">
            <v>0</v>
          </cell>
          <cell r="AM312">
            <v>0</v>
          </cell>
          <cell r="AO312">
            <v>0</v>
          </cell>
          <cell r="AP312">
            <v>0</v>
          </cell>
          <cell r="AR312">
            <v>0</v>
          </cell>
          <cell r="AS312">
            <v>0</v>
          </cell>
          <cell r="BF312" t="str">
            <v>2015</v>
          </cell>
          <cell r="BG312" t="str">
            <v>B207</v>
          </cell>
          <cell r="BH312" t="str">
            <v>TUL</v>
          </cell>
        </row>
        <row r="313"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Q313">
            <v>10</v>
          </cell>
          <cell r="R313">
            <v>0</v>
          </cell>
          <cell r="T313">
            <v>1934</v>
          </cell>
          <cell r="U313">
            <v>0</v>
          </cell>
          <cell r="W313">
            <v>1970</v>
          </cell>
          <cell r="X313">
            <v>0</v>
          </cell>
          <cell r="Z313">
            <v>0</v>
          </cell>
          <cell r="AA313">
            <v>0</v>
          </cell>
          <cell r="AC313">
            <v>310</v>
          </cell>
          <cell r="AD313">
            <v>0</v>
          </cell>
          <cell r="AF313">
            <v>110</v>
          </cell>
          <cell r="AG313">
            <v>0</v>
          </cell>
          <cell r="AI313">
            <v>0</v>
          </cell>
          <cell r="AJ313">
            <v>0</v>
          </cell>
          <cell r="AL313">
            <v>60</v>
          </cell>
          <cell r="AM313">
            <v>0</v>
          </cell>
          <cell r="AO313">
            <v>0</v>
          </cell>
          <cell r="AP313">
            <v>0</v>
          </cell>
          <cell r="AR313">
            <v>180</v>
          </cell>
          <cell r="AS313">
            <v>0</v>
          </cell>
          <cell r="BF313" t="str">
            <v>2015</v>
          </cell>
          <cell r="BG313" t="str">
            <v>B208</v>
          </cell>
          <cell r="BH313" t="str">
            <v>TUL</v>
          </cell>
        </row>
        <row r="314"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Q314">
            <v>0</v>
          </cell>
          <cell r="R314">
            <v>0</v>
          </cell>
          <cell r="T314">
            <v>0</v>
          </cell>
          <cell r="U314">
            <v>0</v>
          </cell>
          <cell r="W314">
            <v>0</v>
          </cell>
          <cell r="X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I314">
            <v>0</v>
          </cell>
          <cell r="AJ314">
            <v>0</v>
          </cell>
          <cell r="AL314">
            <v>0</v>
          </cell>
          <cell r="AM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0</v>
          </cell>
          <cell r="BF314" t="str">
            <v>2015</v>
          </cell>
          <cell r="BG314" t="str">
            <v>B209</v>
          </cell>
          <cell r="BH314" t="str">
            <v>TUL</v>
          </cell>
        </row>
        <row r="315"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Q315">
            <v>0</v>
          </cell>
          <cell r="R315">
            <v>0</v>
          </cell>
          <cell r="T315">
            <v>0</v>
          </cell>
          <cell r="U315">
            <v>0</v>
          </cell>
          <cell r="W315">
            <v>0</v>
          </cell>
          <cell r="X315">
            <v>0</v>
          </cell>
          <cell r="Z315">
            <v>0</v>
          </cell>
          <cell r="AA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I315">
            <v>0</v>
          </cell>
          <cell r="AJ315">
            <v>0</v>
          </cell>
          <cell r="AL315">
            <v>0</v>
          </cell>
          <cell r="AM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0</v>
          </cell>
          <cell r="BF315" t="str">
            <v>2015</v>
          </cell>
          <cell r="BG315" t="str">
            <v>B210</v>
          </cell>
          <cell r="BH315" t="str">
            <v>TUL</v>
          </cell>
        </row>
        <row r="316"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Q316">
            <v>7155.76</v>
          </cell>
          <cell r="R316">
            <v>0</v>
          </cell>
          <cell r="T316">
            <v>0</v>
          </cell>
          <cell r="U316">
            <v>0</v>
          </cell>
          <cell r="W316">
            <v>0</v>
          </cell>
          <cell r="X316">
            <v>0</v>
          </cell>
          <cell r="Z316">
            <v>0</v>
          </cell>
          <cell r="AA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I316">
            <v>0</v>
          </cell>
          <cell r="AJ316">
            <v>0</v>
          </cell>
          <cell r="AL316">
            <v>0</v>
          </cell>
          <cell r="AM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0</v>
          </cell>
          <cell r="BF316" t="str">
            <v>2016</v>
          </cell>
          <cell r="BG316" t="str">
            <v>B301</v>
          </cell>
          <cell r="BH316" t="str">
            <v>TUL</v>
          </cell>
        </row>
        <row r="317"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Q317">
            <v>0</v>
          </cell>
          <cell r="R317">
            <v>0</v>
          </cell>
          <cell r="T317">
            <v>0</v>
          </cell>
          <cell r="U317">
            <v>0</v>
          </cell>
          <cell r="W317">
            <v>0</v>
          </cell>
          <cell r="X317">
            <v>0</v>
          </cell>
          <cell r="Z317">
            <v>0</v>
          </cell>
          <cell r="AA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I317">
            <v>0</v>
          </cell>
          <cell r="AJ317">
            <v>0</v>
          </cell>
          <cell r="AL317">
            <v>0</v>
          </cell>
          <cell r="AM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BF317" t="str">
            <v>2016</v>
          </cell>
          <cell r="BG317" t="str">
            <v>B302</v>
          </cell>
          <cell r="BH317" t="str">
            <v>TUL</v>
          </cell>
        </row>
        <row r="318"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Q318">
            <v>0</v>
          </cell>
          <cell r="R318">
            <v>0</v>
          </cell>
          <cell r="T318">
            <v>0</v>
          </cell>
          <cell r="U318">
            <v>0</v>
          </cell>
          <cell r="W318">
            <v>0</v>
          </cell>
          <cell r="X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I318">
            <v>0</v>
          </cell>
          <cell r="AJ318">
            <v>0</v>
          </cell>
          <cell r="AL318">
            <v>0</v>
          </cell>
          <cell r="AM318">
            <v>0</v>
          </cell>
          <cell r="AO318">
            <v>0</v>
          </cell>
          <cell r="AP318">
            <v>0</v>
          </cell>
          <cell r="AR318">
            <v>0</v>
          </cell>
          <cell r="AS318">
            <v>0</v>
          </cell>
          <cell r="BF318" t="str">
            <v>2016</v>
          </cell>
          <cell r="BG318" t="str">
            <v>B303</v>
          </cell>
          <cell r="BH318" t="str">
            <v>TUL</v>
          </cell>
        </row>
        <row r="319"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Q319">
            <v>0</v>
          </cell>
          <cell r="R319">
            <v>0</v>
          </cell>
          <cell r="T319">
            <v>0</v>
          </cell>
          <cell r="U319">
            <v>0</v>
          </cell>
          <cell r="W319">
            <v>0</v>
          </cell>
          <cell r="X319">
            <v>0</v>
          </cell>
          <cell r="Z319">
            <v>0</v>
          </cell>
          <cell r="AA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I319">
            <v>0</v>
          </cell>
          <cell r="AJ319">
            <v>0</v>
          </cell>
          <cell r="AL319">
            <v>0</v>
          </cell>
          <cell r="AM319">
            <v>0</v>
          </cell>
          <cell r="AO319">
            <v>0</v>
          </cell>
          <cell r="AP319">
            <v>0</v>
          </cell>
          <cell r="AR319">
            <v>0</v>
          </cell>
          <cell r="AS319">
            <v>0</v>
          </cell>
          <cell r="BF319" t="str">
            <v>2017</v>
          </cell>
          <cell r="BG319" t="str">
            <v>B401</v>
          </cell>
          <cell r="BH319" t="str">
            <v>TUL</v>
          </cell>
        </row>
        <row r="320"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Q320">
            <v>0</v>
          </cell>
          <cell r="R320">
            <v>0</v>
          </cell>
          <cell r="T320">
            <v>0</v>
          </cell>
          <cell r="U320">
            <v>0</v>
          </cell>
          <cell r="W320">
            <v>0</v>
          </cell>
          <cell r="X320">
            <v>0</v>
          </cell>
          <cell r="Z320">
            <v>0</v>
          </cell>
          <cell r="AA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I320">
            <v>0</v>
          </cell>
          <cell r="AJ320">
            <v>0</v>
          </cell>
          <cell r="AL320">
            <v>0</v>
          </cell>
          <cell r="AM320">
            <v>0</v>
          </cell>
          <cell r="AO320">
            <v>0</v>
          </cell>
          <cell r="AP320">
            <v>0</v>
          </cell>
          <cell r="AR320">
            <v>0</v>
          </cell>
          <cell r="AS320">
            <v>0</v>
          </cell>
          <cell r="BF320" t="str">
            <v>2017</v>
          </cell>
          <cell r="BG320" t="str">
            <v>B402</v>
          </cell>
          <cell r="BH320" t="str">
            <v>TUL</v>
          </cell>
        </row>
        <row r="321">
          <cell r="K321">
            <v>37918.370000000024</v>
          </cell>
          <cell r="L321">
            <v>0</v>
          </cell>
          <cell r="N321">
            <v>39401.719999999972</v>
          </cell>
          <cell r="O321">
            <v>0</v>
          </cell>
          <cell r="Q321">
            <v>41430.050000000047</v>
          </cell>
          <cell r="R321">
            <v>0</v>
          </cell>
          <cell r="T321">
            <v>45751.119999999995</v>
          </cell>
          <cell r="U321">
            <v>0</v>
          </cell>
          <cell r="W321">
            <v>44598.680000000051</v>
          </cell>
          <cell r="X321">
            <v>0</v>
          </cell>
          <cell r="Z321">
            <v>50927.130000000121</v>
          </cell>
          <cell r="AA321">
            <v>0</v>
          </cell>
          <cell r="AC321">
            <v>51366.209999999963</v>
          </cell>
          <cell r="AD321">
            <v>0</v>
          </cell>
          <cell r="AF321">
            <v>51234.239999999991</v>
          </cell>
          <cell r="AG321">
            <v>0</v>
          </cell>
          <cell r="AI321">
            <v>49651.540000000037</v>
          </cell>
          <cell r="AJ321">
            <v>0</v>
          </cell>
          <cell r="AL321">
            <v>66051.25</v>
          </cell>
          <cell r="AM321">
            <v>0</v>
          </cell>
          <cell r="AO321">
            <v>61373.25</v>
          </cell>
          <cell r="AP321">
            <v>0</v>
          </cell>
          <cell r="AR321">
            <v>65607.459999999963</v>
          </cell>
          <cell r="AS321">
            <v>0</v>
          </cell>
          <cell r="BF321" t="str">
            <v>2017</v>
          </cell>
          <cell r="BG321" t="str">
            <v>B403</v>
          </cell>
          <cell r="BH321" t="str">
            <v>TUL</v>
          </cell>
        </row>
        <row r="322"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  <cell r="T322">
            <v>0</v>
          </cell>
          <cell r="U322">
            <v>0</v>
          </cell>
          <cell r="W322">
            <v>0</v>
          </cell>
          <cell r="X322">
            <v>0</v>
          </cell>
          <cell r="Z322">
            <v>0</v>
          </cell>
          <cell r="AA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I322">
            <v>0</v>
          </cell>
          <cell r="AJ322">
            <v>0</v>
          </cell>
          <cell r="AL322">
            <v>0</v>
          </cell>
          <cell r="AM322">
            <v>0</v>
          </cell>
          <cell r="AO322">
            <v>0</v>
          </cell>
          <cell r="AP322">
            <v>0</v>
          </cell>
          <cell r="AR322">
            <v>0</v>
          </cell>
          <cell r="AS322">
            <v>0</v>
          </cell>
          <cell r="BF322" t="str">
            <v>3100</v>
          </cell>
          <cell r="BG322" t="str">
            <v>C002</v>
          </cell>
          <cell r="BH322" t="str">
            <v>TUL</v>
          </cell>
        </row>
        <row r="323"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Q323">
            <v>0</v>
          </cell>
          <cell r="R323">
            <v>0</v>
          </cell>
          <cell r="T323">
            <v>0</v>
          </cell>
          <cell r="U323">
            <v>0</v>
          </cell>
          <cell r="W323">
            <v>0</v>
          </cell>
          <cell r="X323">
            <v>0</v>
          </cell>
          <cell r="Z323">
            <v>0</v>
          </cell>
          <cell r="AA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I323">
            <v>0</v>
          </cell>
          <cell r="AJ323">
            <v>0</v>
          </cell>
          <cell r="AL323">
            <v>0</v>
          </cell>
          <cell r="AM323">
            <v>0</v>
          </cell>
          <cell r="AO323">
            <v>0</v>
          </cell>
          <cell r="AP323">
            <v>0</v>
          </cell>
          <cell r="AR323">
            <v>0</v>
          </cell>
          <cell r="AS323">
            <v>0</v>
          </cell>
          <cell r="BF323" t="str">
            <v>3100</v>
          </cell>
          <cell r="BG323" t="str">
            <v>C003</v>
          </cell>
          <cell r="BH323" t="str">
            <v>TUL</v>
          </cell>
        </row>
        <row r="324"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Q324">
            <v>0</v>
          </cell>
          <cell r="R324">
            <v>0</v>
          </cell>
          <cell r="T324">
            <v>0</v>
          </cell>
          <cell r="U324">
            <v>0</v>
          </cell>
          <cell r="W324">
            <v>0</v>
          </cell>
          <cell r="X324">
            <v>0</v>
          </cell>
          <cell r="Z324">
            <v>0</v>
          </cell>
          <cell r="AA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I324">
            <v>0</v>
          </cell>
          <cell r="AJ324">
            <v>0</v>
          </cell>
          <cell r="AL324">
            <v>0</v>
          </cell>
          <cell r="AM324">
            <v>0</v>
          </cell>
          <cell r="AO324">
            <v>0</v>
          </cell>
          <cell r="AP324">
            <v>0</v>
          </cell>
          <cell r="AR324">
            <v>0</v>
          </cell>
          <cell r="AS324">
            <v>0</v>
          </cell>
          <cell r="BF324" t="str">
            <v>3100</v>
          </cell>
          <cell r="BG324" t="str">
            <v>C004</v>
          </cell>
          <cell r="BH324" t="str">
            <v>TUL</v>
          </cell>
        </row>
        <row r="325"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Q325">
            <v>0</v>
          </cell>
          <cell r="R325">
            <v>0</v>
          </cell>
          <cell r="T325">
            <v>0</v>
          </cell>
          <cell r="U325">
            <v>0</v>
          </cell>
          <cell r="W325">
            <v>0</v>
          </cell>
          <cell r="X325">
            <v>0</v>
          </cell>
          <cell r="Z325">
            <v>0</v>
          </cell>
          <cell r="AA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I325">
            <v>0</v>
          </cell>
          <cell r="AJ325">
            <v>0</v>
          </cell>
          <cell r="AL325">
            <v>0</v>
          </cell>
          <cell r="AM325">
            <v>0</v>
          </cell>
          <cell r="AO325">
            <v>0</v>
          </cell>
          <cell r="AP325">
            <v>0</v>
          </cell>
          <cell r="AR325">
            <v>0</v>
          </cell>
          <cell r="AS325">
            <v>0</v>
          </cell>
          <cell r="BF325" t="str">
            <v>3100</v>
          </cell>
          <cell r="BG325" t="str">
            <v>C005</v>
          </cell>
          <cell r="BH325" t="str">
            <v>TUL</v>
          </cell>
        </row>
        <row r="326"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Q326">
            <v>0</v>
          </cell>
          <cell r="R326">
            <v>0</v>
          </cell>
          <cell r="T326">
            <v>0</v>
          </cell>
          <cell r="U326">
            <v>0</v>
          </cell>
          <cell r="W326">
            <v>0</v>
          </cell>
          <cell r="X326">
            <v>0</v>
          </cell>
          <cell r="Z326">
            <v>0</v>
          </cell>
          <cell r="AA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I326">
            <v>0</v>
          </cell>
          <cell r="AJ326">
            <v>0</v>
          </cell>
          <cell r="AL326">
            <v>0</v>
          </cell>
          <cell r="AM326">
            <v>0</v>
          </cell>
          <cell r="AO326">
            <v>0</v>
          </cell>
          <cell r="AP326">
            <v>0</v>
          </cell>
          <cell r="AR326">
            <v>0</v>
          </cell>
          <cell r="AS326">
            <v>0</v>
          </cell>
          <cell r="BF326" t="str">
            <v>3100</v>
          </cell>
          <cell r="BG326" t="str">
            <v>C006</v>
          </cell>
          <cell r="BH326" t="str">
            <v>TUL</v>
          </cell>
        </row>
        <row r="327"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Q327">
            <v>0</v>
          </cell>
          <cell r="R327">
            <v>0</v>
          </cell>
          <cell r="T327">
            <v>0</v>
          </cell>
          <cell r="U327">
            <v>0</v>
          </cell>
          <cell r="W327">
            <v>0</v>
          </cell>
          <cell r="X327">
            <v>0</v>
          </cell>
          <cell r="Z327">
            <v>0</v>
          </cell>
          <cell r="AA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I327">
            <v>0</v>
          </cell>
          <cell r="AJ327">
            <v>0</v>
          </cell>
          <cell r="AL327">
            <v>0</v>
          </cell>
          <cell r="AM327">
            <v>0</v>
          </cell>
          <cell r="AO327">
            <v>0</v>
          </cell>
          <cell r="AP327">
            <v>0</v>
          </cell>
          <cell r="AR327">
            <v>0</v>
          </cell>
          <cell r="AS327">
            <v>0</v>
          </cell>
          <cell r="BF327" t="str">
            <v>3150</v>
          </cell>
          <cell r="BG327" t="str">
            <v>Z000</v>
          </cell>
          <cell r="BH327" t="str">
            <v>TUL</v>
          </cell>
        </row>
        <row r="328">
          <cell r="K328">
            <v>6100</v>
          </cell>
          <cell r="L328">
            <v>0</v>
          </cell>
          <cell r="N328">
            <v>6100</v>
          </cell>
          <cell r="O328">
            <v>0</v>
          </cell>
          <cell r="Q328">
            <v>6100</v>
          </cell>
          <cell r="R328">
            <v>0</v>
          </cell>
          <cell r="T328">
            <v>6100</v>
          </cell>
          <cell r="U328">
            <v>0</v>
          </cell>
          <cell r="W328">
            <v>6100</v>
          </cell>
          <cell r="X328">
            <v>0</v>
          </cell>
          <cell r="Z328">
            <v>6100</v>
          </cell>
          <cell r="AA328">
            <v>0</v>
          </cell>
          <cell r="AC328">
            <v>22910</v>
          </cell>
          <cell r="AD328">
            <v>0</v>
          </cell>
          <cell r="AF328">
            <v>22910</v>
          </cell>
          <cell r="AG328">
            <v>0</v>
          </cell>
          <cell r="AI328">
            <v>22910</v>
          </cell>
          <cell r="AJ328">
            <v>0</v>
          </cell>
          <cell r="AL328">
            <v>22909.999999999971</v>
          </cell>
          <cell r="AM328">
            <v>0</v>
          </cell>
          <cell r="AO328">
            <v>22910</v>
          </cell>
          <cell r="AP328">
            <v>0</v>
          </cell>
          <cell r="AR328">
            <v>130627.93000000002</v>
          </cell>
          <cell r="AS328">
            <v>0</v>
          </cell>
          <cell r="BF328" t="str">
            <v>4000</v>
          </cell>
          <cell r="BG328" t="str">
            <v>D001</v>
          </cell>
          <cell r="BH328" t="str">
            <v>TUL</v>
          </cell>
        </row>
        <row r="329"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Q329">
            <v>0</v>
          </cell>
          <cell r="R329">
            <v>0</v>
          </cell>
          <cell r="T329">
            <v>0</v>
          </cell>
          <cell r="U329">
            <v>0</v>
          </cell>
          <cell r="W329">
            <v>0</v>
          </cell>
          <cell r="X329">
            <v>0</v>
          </cell>
          <cell r="Z329">
            <v>0</v>
          </cell>
          <cell r="AA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I329">
            <v>0</v>
          </cell>
          <cell r="AJ329">
            <v>0</v>
          </cell>
          <cell r="AL329">
            <v>0</v>
          </cell>
          <cell r="AM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BF329" t="str">
            <v>4000</v>
          </cell>
          <cell r="BG329" t="str">
            <v>D002</v>
          </cell>
          <cell r="BH329" t="str">
            <v>TUL</v>
          </cell>
        </row>
        <row r="330">
          <cell r="K330">
            <v>10500</v>
          </cell>
          <cell r="L330">
            <v>0</v>
          </cell>
          <cell r="N330">
            <v>14700</v>
          </cell>
          <cell r="O330">
            <v>0</v>
          </cell>
          <cell r="Q330">
            <v>11550</v>
          </cell>
          <cell r="R330">
            <v>0</v>
          </cell>
          <cell r="T330">
            <v>11550</v>
          </cell>
          <cell r="U330">
            <v>0</v>
          </cell>
          <cell r="W330">
            <v>11550</v>
          </cell>
          <cell r="X330">
            <v>0</v>
          </cell>
          <cell r="Z330">
            <v>11550</v>
          </cell>
          <cell r="AA330">
            <v>0</v>
          </cell>
          <cell r="AC330">
            <v>11550</v>
          </cell>
          <cell r="AD330">
            <v>0</v>
          </cell>
          <cell r="AF330">
            <v>11550</v>
          </cell>
          <cell r="AG330">
            <v>0</v>
          </cell>
          <cell r="AI330">
            <v>11550.000000000029</v>
          </cell>
          <cell r="AJ330">
            <v>0</v>
          </cell>
          <cell r="AL330">
            <v>11550</v>
          </cell>
          <cell r="AM330">
            <v>0</v>
          </cell>
          <cell r="AO330">
            <v>11550</v>
          </cell>
          <cell r="AP330">
            <v>0</v>
          </cell>
          <cell r="AR330">
            <v>11550</v>
          </cell>
          <cell r="AS330">
            <v>0</v>
          </cell>
          <cell r="BF330" t="str">
            <v>4010</v>
          </cell>
          <cell r="BG330" t="str">
            <v>Z000</v>
          </cell>
          <cell r="BH330" t="str">
            <v>TUL</v>
          </cell>
        </row>
        <row r="331">
          <cell r="K331">
            <v>19029.099999999977</v>
          </cell>
          <cell r="L331">
            <v>0</v>
          </cell>
          <cell r="N331">
            <v>21150.619999999995</v>
          </cell>
          <cell r="O331">
            <v>0</v>
          </cell>
          <cell r="Q331">
            <v>26293.97000000003</v>
          </cell>
          <cell r="R331">
            <v>0</v>
          </cell>
          <cell r="T331">
            <v>10305.700000000215</v>
          </cell>
          <cell r="U331">
            <v>0</v>
          </cell>
          <cell r="W331">
            <v>3472.890000000014</v>
          </cell>
          <cell r="X331">
            <v>0</v>
          </cell>
          <cell r="Z331">
            <v>7004.8000000001339</v>
          </cell>
          <cell r="AA331">
            <v>0</v>
          </cell>
          <cell r="AC331">
            <v>6008.2000000000698</v>
          </cell>
          <cell r="AD331">
            <v>0</v>
          </cell>
          <cell r="AF331">
            <v>6530.9700000000012</v>
          </cell>
          <cell r="AG331">
            <v>0</v>
          </cell>
          <cell r="AI331">
            <v>17559.710000000108</v>
          </cell>
          <cell r="AJ331">
            <v>0</v>
          </cell>
          <cell r="AL331">
            <v>16268.080000000133</v>
          </cell>
          <cell r="AM331">
            <v>0</v>
          </cell>
          <cell r="AO331">
            <v>22234.600000000268</v>
          </cell>
          <cell r="AP331">
            <v>0</v>
          </cell>
          <cell r="AR331">
            <v>19147.79999999993</v>
          </cell>
          <cell r="AS331">
            <v>0</v>
          </cell>
          <cell r="BF331" t="str">
            <v>4150</v>
          </cell>
          <cell r="BG331" t="str">
            <v>Z000</v>
          </cell>
          <cell r="BH331" t="str">
            <v>TUL</v>
          </cell>
        </row>
        <row r="332">
          <cell r="K332">
            <v>25.270000000000437</v>
          </cell>
          <cell r="L332">
            <v>0</v>
          </cell>
          <cell r="N332">
            <v>-1.819999999999709</v>
          </cell>
          <cell r="O332">
            <v>0</v>
          </cell>
          <cell r="Q332">
            <v>-0.64000000000123691</v>
          </cell>
          <cell r="R332">
            <v>0</v>
          </cell>
          <cell r="T332">
            <v>10.909999999998035</v>
          </cell>
          <cell r="U332">
            <v>0</v>
          </cell>
          <cell r="W332">
            <v>-2.9500000000007276</v>
          </cell>
          <cell r="X332">
            <v>0</v>
          </cell>
          <cell r="Z332">
            <v>-16.910000000000764</v>
          </cell>
          <cell r="AA332">
            <v>0</v>
          </cell>
          <cell r="AC332">
            <v>0.36999999999898137</v>
          </cell>
          <cell r="AD332">
            <v>0</v>
          </cell>
          <cell r="AF332">
            <v>-3.0300000000006548</v>
          </cell>
          <cell r="AG332">
            <v>0</v>
          </cell>
          <cell r="AI332">
            <v>0.61999999999807187</v>
          </cell>
          <cell r="AJ332">
            <v>0</v>
          </cell>
          <cell r="AL332">
            <v>-0.98000000000047294</v>
          </cell>
          <cell r="AM332">
            <v>0</v>
          </cell>
          <cell r="AO332">
            <v>-1.3600000000014916</v>
          </cell>
          <cell r="AP332">
            <v>0</v>
          </cell>
          <cell r="AR332">
            <v>-6.3600000000005821</v>
          </cell>
          <cell r="AS332">
            <v>0</v>
          </cell>
          <cell r="BF332" t="str">
            <v>4200</v>
          </cell>
          <cell r="BG332" t="str">
            <v>Z000</v>
          </cell>
          <cell r="BH332" t="str">
            <v>TUL</v>
          </cell>
        </row>
        <row r="333"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Q333">
            <v>0</v>
          </cell>
          <cell r="R333">
            <v>0</v>
          </cell>
          <cell r="T333">
            <v>0</v>
          </cell>
          <cell r="U333">
            <v>0</v>
          </cell>
          <cell r="W333">
            <v>0</v>
          </cell>
          <cell r="X333">
            <v>0</v>
          </cell>
          <cell r="Z333">
            <v>0</v>
          </cell>
          <cell r="AA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I333">
            <v>0</v>
          </cell>
          <cell r="AJ333">
            <v>0</v>
          </cell>
          <cell r="AL333">
            <v>0</v>
          </cell>
          <cell r="AM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BF333" t="str">
            <v>4215</v>
          </cell>
          <cell r="BG333" t="str">
            <v>Z000</v>
          </cell>
          <cell r="BH333" t="str">
            <v>TUL</v>
          </cell>
        </row>
        <row r="334">
          <cell r="K334">
            <v>6000</v>
          </cell>
          <cell r="L334">
            <v>0</v>
          </cell>
          <cell r="N334">
            <v>18250</v>
          </cell>
          <cell r="O334">
            <v>0</v>
          </cell>
          <cell r="Q334">
            <v>19928.400000000023</v>
          </cell>
          <cell r="R334">
            <v>0</v>
          </cell>
          <cell r="T334">
            <v>14018.800000000047</v>
          </cell>
          <cell r="U334">
            <v>0</v>
          </cell>
          <cell r="W334">
            <v>12300</v>
          </cell>
          <cell r="X334">
            <v>0</v>
          </cell>
          <cell r="Z334">
            <v>15917.460000000079</v>
          </cell>
          <cell r="AA334">
            <v>0</v>
          </cell>
          <cell r="AC334">
            <v>12600</v>
          </cell>
          <cell r="AD334">
            <v>0</v>
          </cell>
          <cell r="AF334">
            <v>12300</v>
          </cell>
          <cell r="AG334">
            <v>0</v>
          </cell>
          <cell r="AI334">
            <v>12300</v>
          </cell>
          <cell r="AJ334">
            <v>0</v>
          </cell>
          <cell r="AL334">
            <v>62600</v>
          </cell>
          <cell r="AM334">
            <v>0</v>
          </cell>
          <cell r="AO334">
            <v>12550</v>
          </cell>
          <cell r="AP334">
            <v>0</v>
          </cell>
          <cell r="AR334">
            <v>12300</v>
          </cell>
          <cell r="AS334">
            <v>0</v>
          </cell>
          <cell r="BF334" t="str">
            <v>4230</v>
          </cell>
          <cell r="BG334" t="str">
            <v>Z000</v>
          </cell>
          <cell r="BH334" t="str">
            <v>TUL</v>
          </cell>
        </row>
        <row r="335"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Q335">
            <v>0</v>
          </cell>
          <cell r="R335">
            <v>0</v>
          </cell>
          <cell r="T335">
            <v>0</v>
          </cell>
          <cell r="U335">
            <v>0</v>
          </cell>
          <cell r="W335">
            <v>0</v>
          </cell>
          <cell r="X335">
            <v>0</v>
          </cell>
          <cell r="Z335">
            <v>0</v>
          </cell>
          <cell r="AA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I335">
            <v>0</v>
          </cell>
          <cell r="AJ335">
            <v>0</v>
          </cell>
          <cell r="AL335">
            <v>0</v>
          </cell>
          <cell r="AM335">
            <v>0</v>
          </cell>
          <cell r="AO335">
            <v>0</v>
          </cell>
          <cell r="AP335">
            <v>0</v>
          </cell>
          <cell r="AR335">
            <v>0</v>
          </cell>
          <cell r="AS335">
            <v>0</v>
          </cell>
          <cell r="BF335" t="str">
            <v>4240</v>
          </cell>
          <cell r="BG335" t="str">
            <v>Z000</v>
          </cell>
          <cell r="BH335" t="str">
            <v>TUL</v>
          </cell>
        </row>
        <row r="336">
          <cell r="K336">
            <v>4500</v>
          </cell>
          <cell r="L336">
            <v>0</v>
          </cell>
          <cell r="N336">
            <v>5080</v>
          </cell>
          <cell r="O336">
            <v>0</v>
          </cell>
          <cell r="Q336">
            <v>4500</v>
          </cell>
          <cell r="R336">
            <v>0</v>
          </cell>
          <cell r="T336">
            <v>4500</v>
          </cell>
          <cell r="U336">
            <v>0</v>
          </cell>
          <cell r="W336">
            <v>4674.9499999999971</v>
          </cell>
          <cell r="X336">
            <v>0</v>
          </cell>
          <cell r="Z336">
            <v>6950</v>
          </cell>
          <cell r="AA336">
            <v>0</v>
          </cell>
          <cell r="AC336">
            <v>4500</v>
          </cell>
          <cell r="AD336">
            <v>0</v>
          </cell>
          <cell r="AF336">
            <v>4800</v>
          </cell>
          <cell r="AG336">
            <v>0</v>
          </cell>
          <cell r="AI336">
            <v>4500</v>
          </cell>
          <cell r="AJ336">
            <v>0</v>
          </cell>
          <cell r="AL336">
            <v>4500</v>
          </cell>
          <cell r="AM336">
            <v>0</v>
          </cell>
          <cell r="AO336">
            <v>4500.0000000000146</v>
          </cell>
          <cell r="AP336">
            <v>0</v>
          </cell>
          <cell r="AR336">
            <v>4580</v>
          </cell>
          <cell r="AS336">
            <v>0</v>
          </cell>
          <cell r="BF336" t="str">
            <v>4250</v>
          </cell>
          <cell r="BG336" t="str">
            <v>Z000</v>
          </cell>
          <cell r="BH336" t="str">
            <v>TUL</v>
          </cell>
        </row>
        <row r="337">
          <cell r="K337">
            <v>10554.970000000001</v>
          </cell>
          <cell r="L337">
            <v>0</v>
          </cell>
          <cell r="N337">
            <v>7828.1399999999994</v>
          </cell>
          <cell r="O337">
            <v>0</v>
          </cell>
          <cell r="Q337">
            <v>8901.1600000000035</v>
          </cell>
          <cell r="R337">
            <v>0</v>
          </cell>
          <cell r="T337">
            <v>9909.5099999999948</v>
          </cell>
          <cell r="U337">
            <v>0</v>
          </cell>
          <cell r="W337">
            <v>7966.1699999999837</v>
          </cell>
          <cell r="X337">
            <v>0</v>
          </cell>
          <cell r="Z337">
            <v>12780.73000000001</v>
          </cell>
          <cell r="AA337">
            <v>0</v>
          </cell>
          <cell r="AC337">
            <v>8310.5400000000081</v>
          </cell>
          <cell r="AD337">
            <v>0</v>
          </cell>
          <cell r="AF337">
            <v>9243.8399999999965</v>
          </cell>
          <cell r="AG337">
            <v>0</v>
          </cell>
          <cell r="AI337">
            <v>10935.669999999998</v>
          </cell>
          <cell r="AJ337">
            <v>0</v>
          </cell>
          <cell r="AL337">
            <v>11671.639999999956</v>
          </cell>
          <cell r="AM337">
            <v>0</v>
          </cell>
          <cell r="AO337">
            <v>11960.600000000035</v>
          </cell>
          <cell r="AP337">
            <v>0</v>
          </cell>
          <cell r="AR337">
            <v>13200.509999999893</v>
          </cell>
          <cell r="AS337">
            <v>0</v>
          </cell>
          <cell r="BF337" t="str">
            <v>4275</v>
          </cell>
          <cell r="BG337" t="str">
            <v>Z000</v>
          </cell>
          <cell r="BH337" t="str">
            <v>TUL</v>
          </cell>
        </row>
        <row r="338">
          <cell r="K338">
            <v>3211.9700000000303</v>
          </cell>
          <cell r="L338">
            <v>0</v>
          </cell>
          <cell r="N338">
            <v>3464.6399999999849</v>
          </cell>
          <cell r="O338">
            <v>0</v>
          </cell>
          <cell r="Q338">
            <v>3553.8999999999651</v>
          </cell>
          <cell r="R338">
            <v>0</v>
          </cell>
          <cell r="T338">
            <v>3761.4100000000035</v>
          </cell>
          <cell r="U338">
            <v>0</v>
          </cell>
          <cell r="W338">
            <v>3640.070000000007</v>
          </cell>
          <cell r="X338">
            <v>0</v>
          </cell>
          <cell r="Z338">
            <v>6202.5600000000268</v>
          </cell>
          <cell r="AA338">
            <v>0</v>
          </cell>
          <cell r="AC338">
            <v>10067.729999999981</v>
          </cell>
          <cell r="AD338">
            <v>0</v>
          </cell>
          <cell r="AF338">
            <v>9093.4500000000116</v>
          </cell>
          <cell r="AG338">
            <v>0</v>
          </cell>
          <cell r="AI338">
            <v>10067.73000000004</v>
          </cell>
          <cell r="AJ338">
            <v>0</v>
          </cell>
          <cell r="AL338">
            <v>9742.9899999999325</v>
          </cell>
          <cell r="AM338">
            <v>0</v>
          </cell>
          <cell r="AO338">
            <v>10201.270000000048</v>
          </cell>
          <cell r="AP338">
            <v>0</v>
          </cell>
          <cell r="AR338">
            <v>10026.000000000058</v>
          </cell>
          <cell r="AS338">
            <v>0</v>
          </cell>
          <cell r="BF338" t="str">
            <v>4300</v>
          </cell>
          <cell r="BG338" t="str">
            <v>Z000</v>
          </cell>
          <cell r="BH338" t="str">
            <v>TUL</v>
          </cell>
        </row>
        <row r="339"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Q339">
            <v>0</v>
          </cell>
          <cell r="R339">
            <v>0</v>
          </cell>
          <cell r="T339">
            <v>0</v>
          </cell>
          <cell r="U339">
            <v>0</v>
          </cell>
          <cell r="W339">
            <v>0</v>
          </cell>
          <cell r="X339">
            <v>0</v>
          </cell>
          <cell r="Z339">
            <v>0</v>
          </cell>
          <cell r="AA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I339">
            <v>0</v>
          </cell>
          <cell r="AJ339">
            <v>0</v>
          </cell>
          <cell r="AL339">
            <v>0</v>
          </cell>
          <cell r="AM339">
            <v>0</v>
          </cell>
          <cell r="AO339">
            <v>0</v>
          </cell>
          <cell r="AP339">
            <v>0</v>
          </cell>
          <cell r="AR339">
            <v>0</v>
          </cell>
          <cell r="AS339">
            <v>0</v>
          </cell>
          <cell r="BF339" t="str">
            <v>4320</v>
          </cell>
          <cell r="BG339" t="str">
            <v>Z000</v>
          </cell>
          <cell r="BH339" t="str">
            <v>TUL</v>
          </cell>
        </row>
        <row r="340">
          <cell r="K340">
            <v>5000</v>
          </cell>
          <cell r="L340">
            <v>0</v>
          </cell>
          <cell r="N340">
            <v>2500</v>
          </cell>
          <cell r="O340">
            <v>0</v>
          </cell>
          <cell r="Q340">
            <v>2500</v>
          </cell>
          <cell r="R340">
            <v>0</v>
          </cell>
          <cell r="T340">
            <v>6000</v>
          </cell>
          <cell r="U340">
            <v>0</v>
          </cell>
          <cell r="W340">
            <v>6000</v>
          </cell>
          <cell r="X340">
            <v>0</v>
          </cell>
          <cell r="Z340">
            <v>20000</v>
          </cell>
          <cell r="AA340">
            <v>0</v>
          </cell>
          <cell r="AC340">
            <v>6000</v>
          </cell>
          <cell r="AD340">
            <v>0</v>
          </cell>
          <cell r="AF340">
            <v>6000</v>
          </cell>
          <cell r="AG340">
            <v>0</v>
          </cell>
          <cell r="AI340">
            <v>6000</v>
          </cell>
          <cell r="AJ340">
            <v>0</v>
          </cell>
          <cell r="AL340">
            <v>25926.160000000003</v>
          </cell>
          <cell r="AM340">
            <v>0</v>
          </cell>
          <cell r="AO340">
            <v>6000</v>
          </cell>
          <cell r="AP340">
            <v>0</v>
          </cell>
          <cell r="AR340">
            <v>34000</v>
          </cell>
          <cell r="AS340">
            <v>0</v>
          </cell>
          <cell r="BF340" t="str">
            <v>4330</v>
          </cell>
          <cell r="BG340" t="str">
            <v>Z000</v>
          </cell>
          <cell r="BH340" t="str">
            <v>TUL</v>
          </cell>
        </row>
        <row r="341">
          <cell r="K341">
            <v>0</v>
          </cell>
          <cell r="L341">
            <v>0</v>
          </cell>
          <cell r="N341">
            <v>0</v>
          </cell>
          <cell r="O341">
            <v>0</v>
          </cell>
          <cell r="Q341">
            <v>0</v>
          </cell>
          <cell r="R341">
            <v>0</v>
          </cell>
          <cell r="T341">
            <v>0</v>
          </cell>
          <cell r="U341">
            <v>0</v>
          </cell>
          <cell r="W341">
            <v>10260</v>
          </cell>
          <cell r="X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I341">
            <v>0</v>
          </cell>
          <cell r="AJ341">
            <v>0</v>
          </cell>
          <cell r="AL341">
            <v>59000</v>
          </cell>
          <cell r="AM341">
            <v>0</v>
          </cell>
          <cell r="AO341">
            <v>0</v>
          </cell>
          <cell r="AP341">
            <v>0</v>
          </cell>
          <cell r="AR341">
            <v>0</v>
          </cell>
          <cell r="AS341">
            <v>0</v>
          </cell>
          <cell r="BF341" t="str">
            <v>4340</v>
          </cell>
          <cell r="BG341" t="str">
            <v>D006</v>
          </cell>
          <cell r="BH341" t="str">
            <v>TUL</v>
          </cell>
        </row>
        <row r="342"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Q342">
            <v>0</v>
          </cell>
          <cell r="R342">
            <v>0</v>
          </cell>
          <cell r="T342">
            <v>0</v>
          </cell>
          <cell r="U342">
            <v>0</v>
          </cell>
          <cell r="W342">
            <v>0</v>
          </cell>
          <cell r="X342">
            <v>0</v>
          </cell>
          <cell r="Z342">
            <v>0</v>
          </cell>
          <cell r="AA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I342">
            <v>0</v>
          </cell>
          <cell r="AJ342">
            <v>0</v>
          </cell>
          <cell r="AL342">
            <v>0</v>
          </cell>
          <cell r="AM342">
            <v>0</v>
          </cell>
          <cell r="AO342">
            <v>0</v>
          </cell>
          <cell r="AP342">
            <v>0</v>
          </cell>
          <cell r="AR342">
            <v>0</v>
          </cell>
          <cell r="AS342">
            <v>0</v>
          </cell>
          <cell r="BF342" t="str">
            <v>4340</v>
          </cell>
          <cell r="BG342" t="str">
            <v>D007</v>
          </cell>
          <cell r="BH342" t="str">
            <v>TUL</v>
          </cell>
        </row>
        <row r="343"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Q343">
            <v>0</v>
          </cell>
          <cell r="R343">
            <v>0</v>
          </cell>
          <cell r="T343">
            <v>0</v>
          </cell>
          <cell r="U343">
            <v>0</v>
          </cell>
          <cell r="W343">
            <v>0</v>
          </cell>
          <cell r="X343">
            <v>0</v>
          </cell>
          <cell r="Z343">
            <v>0</v>
          </cell>
          <cell r="AA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I343">
            <v>0</v>
          </cell>
          <cell r="AJ343">
            <v>0</v>
          </cell>
          <cell r="AL343">
            <v>0</v>
          </cell>
          <cell r="AM343">
            <v>0</v>
          </cell>
          <cell r="AO343">
            <v>0</v>
          </cell>
          <cell r="AP343">
            <v>0</v>
          </cell>
          <cell r="AR343">
            <v>0</v>
          </cell>
          <cell r="AS343">
            <v>0</v>
          </cell>
          <cell r="BF343" t="str">
            <v>4340</v>
          </cell>
          <cell r="BG343" t="str">
            <v>D008</v>
          </cell>
          <cell r="BH343" t="str">
            <v>TUL</v>
          </cell>
        </row>
        <row r="344">
          <cell r="K344">
            <v>2039.9199999999983</v>
          </cell>
          <cell r="L344">
            <v>0</v>
          </cell>
          <cell r="N344">
            <v>3109.7599999999948</v>
          </cell>
          <cell r="O344">
            <v>0</v>
          </cell>
          <cell r="Q344">
            <v>2891.4000000000015</v>
          </cell>
          <cell r="R344">
            <v>0</v>
          </cell>
          <cell r="T344">
            <v>2640.8600000000006</v>
          </cell>
          <cell r="U344">
            <v>0</v>
          </cell>
          <cell r="W344">
            <v>1529.8799999999901</v>
          </cell>
          <cell r="X344">
            <v>0</v>
          </cell>
          <cell r="Z344">
            <v>2400</v>
          </cell>
          <cell r="AA344">
            <v>0</v>
          </cell>
          <cell r="AC344">
            <v>2535.6600000000035</v>
          </cell>
          <cell r="AD344">
            <v>0</v>
          </cell>
          <cell r="AF344">
            <v>6215.6200000000099</v>
          </cell>
          <cell r="AG344">
            <v>0</v>
          </cell>
          <cell r="AI344">
            <v>3914.8399999999965</v>
          </cell>
          <cell r="AJ344">
            <v>0</v>
          </cell>
          <cell r="AL344">
            <v>2128.3499999999913</v>
          </cell>
          <cell r="AM344">
            <v>0</v>
          </cell>
          <cell r="AO344">
            <v>2599.6999999999971</v>
          </cell>
          <cell r="AP344">
            <v>0</v>
          </cell>
          <cell r="AR344">
            <v>6197.2599999999802</v>
          </cell>
          <cell r="AS344">
            <v>0</v>
          </cell>
          <cell r="BF344" t="str">
            <v>4360</v>
          </cell>
          <cell r="BG344" t="str">
            <v>Z000</v>
          </cell>
          <cell r="BH344" t="str">
            <v>TUL</v>
          </cell>
        </row>
        <row r="345">
          <cell r="K345">
            <v>150</v>
          </cell>
          <cell r="L345">
            <v>0</v>
          </cell>
          <cell r="N345">
            <v>2161.34</v>
          </cell>
          <cell r="O345">
            <v>0</v>
          </cell>
          <cell r="Q345">
            <v>3000.0000000000036</v>
          </cell>
          <cell r="R345">
            <v>0</v>
          </cell>
          <cell r="T345">
            <v>-1484.9900000000034</v>
          </cell>
          <cell r="U345">
            <v>0</v>
          </cell>
          <cell r="W345">
            <v>0</v>
          </cell>
          <cell r="X345">
            <v>0</v>
          </cell>
          <cell r="Z345">
            <v>5104.9999999999982</v>
          </cell>
          <cell r="AA345">
            <v>0</v>
          </cell>
          <cell r="AC345">
            <v>0</v>
          </cell>
          <cell r="AD345">
            <v>0</v>
          </cell>
          <cell r="AF345">
            <v>550</v>
          </cell>
          <cell r="AG345">
            <v>0</v>
          </cell>
          <cell r="AI345">
            <v>3402.9000000000015</v>
          </cell>
          <cell r="AJ345">
            <v>0</v>
          </cell>
          <cell r="AL345">
            <v>1397.3999999999942</v>
          </cell>
          <cell r="AM345">
            <v>0</v>
          </cell>
          <cell r="AO345">
            <v>4176.4000000000015</v>
          </cell>
          <cell r="AP345">
            <v>0</v>
          </cell>
          <cell r="AR345">
            <v>535</v>
          </cell>
          <cell r="AS345">
            <v>0</v>
          </cell>
          <cell r="BF345" t="str">
            <v>4380</v>
          </cell>
          <cell r="BG345" t="str">
            <v>Z000</v>
          </cell>
          <cell r="BH345" t="str">
            <v>TUL</v>
          </cell>
        </row>
        <row r="346"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Q346">
            <v>0</v>
          </cell>
          <cell r="R346">
            <v>0</v>
          </cell>
          <cell r="T346">
            <v>0</v>
          </cell>
          <cell r="U346">
            <v>0</v>
          </cell>
          <cell r="W346">
            <v>0</v>
          </cell>
          <cell r="X346">
            <v>0</v>
          </cell>
          <cell r="Z346">
            <v>0</v>
          </cell>
          <cell r="AA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I346">
            <v>0</v>
          </cell>
          <cell r="AJ346">
            <v>0</v>
          </cell>
          <cell r="AL346">
            <v>0</v>
          </cell>
          <cell r="AM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BF346" t="str">
            <v>4400</v>
          </cell>
          <cell r="BG346" t="str">
            <v>Z000</v>
          </cell>
          <cell r="BH346" t="str">
            <v>TUL</v>
          </cell>
        </row>
        <row r="347">
          <cell r="K347">
            <v>1918.8799999999974</v>
          </cell>
          <cell r="L347">
            <v>0</v>
          </cell>
          <cell r="N347">
            <v>0</v>
          </cell>
          <cell r="O347">
            <v>0</v>
          </cell>
          <cell r="Q347">
            <v>0</v>
          </cell>
          <cell r="R347">
            <v>0</v>
          </cell>
          <cell r="T347">
            <v>0</v>
          </cell>
          <cell r="U347">
            <v>0</v>
          </cell>
          <cell r="W347">
            <v>0</v>
          </cell>
          <cell r="X347">
            <v>0</v>
          </cell>
          <cell r="Z347">
            <v>0</v>
          </cell>
          <cell r="AA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I347">
            <v>0</v>
          </cell>
          <cell r="AJ347">
            <v>0</v>
          </cell>
          <cell r="AL347">
            <v>0</v>
          </cell>
          <cell r="AM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BF347" t="str">
            <v>4480</v>
          </cell>
          <cell r="BG347" t="str">
            <v>Z000</v>
          </cell>
          <cell r="BH347" t="str">
            <v>TUL</v>
          </cell>
        </row>
        <row r="348">
          <cell r="K348">
            <v>2764.5300000000025</v>
          </cell>
          <cell r="L348">
            <v>0</v>
          </cell>
          <cell r="N348">
            <v>2544.5299999999988</v>
          </cell>
          <cell r="O348">
            <v>0</v>
          </cell>
          <cell r="Q348">
            <v>2629.0699999999997</v>
          </cell>
          <cell r="R348">
            <v>0</v>
          </cell>
          <cell r="T348">
            <v>2654.5299999999988</v>
          </cell>
          <cell r="U348">
            <v>0</v>
          </cell>
          <cell r="W348">
            <v>2654.5299999999988</v>
          </cell>
          <cell r="X348">
            <v>0</v>
          </cell>
          <cell r="Z348">
            <v>2660.5299999999988</v>
          </cell>
          <cell r="AA348">
            <v>0</v>
          </cell>
          <cell r="AC348">
            <v>994.80999999999767</v>
          </cell>
          <cell r="AD348">
            <v>0</v>
          </cell>
          <cell r="AF348">
            <v>2656.5500000000029</v>
          </cell>
          <cell r="AG348">
            <v>0</v>
          </cell>
          <cell r="AI348">
            <v>2656.5500000000029</v>
          </cell>
          <cell r="AJ348">
            <v>0</v>
          </cell>
          <cell r="AL348">
            <v>2656.5500000000029</v>
          </cell>
          <cell r="AM348">
            <v>0</v>
          </cell>
          <cell r="AO348">
            <v>2656.5500000000029</v>
          </cell>
          <cell r="AP348">
            <v>0</v>
          </cell>
          <cell r="AR348">
            <v>2656.5500000000029</v>
          </cell>
          <cell r="AS348">
            <v>0</v>
          </cell>
          <cell r="BF348" t="str">
            <v>4500</v>
          </cell>
          <cell r="BG348" t="str">
            <v>Z000</v>
          </cell>
          <cell r="BH348" t="str">
            <v>TUL</v>
          </cell>
        </row>
        <row r="349"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Q349">
            <v>0</v>
          </cell>
          <cell r="R349">
            <v>0</v>
          </cell>
          <cell r="T349">
            <v>0</v>
          </cell>
          <cell r="U349">
            <v>0</v>
          </cell>
          <cell r="W349">
            <v>0</v>
          </cell>
          <cell r="X349">
            <v>0</v>
          </cell>
          <cell r="Z349">
            <v>0</v>
          </cell>
          <cell r="AA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I349">
            <v>0</v>
          </cell>
          <cell r="AJ349">
            <v>0</v>
          </cell>
          <cell r="AL349">
            <v>0</v>
          </cell>
          <cell r="AM349">
            <v>0</v>
          </cell>
          <cell r="AO349">
            <v>0</v>
          </cell>
          <cell r="AP349">
            <v>0</v>
          </cell>
          <cell r="AR349">
            <v>0</v>
          </cell>
          <cell r="AS349">
            <v>0</v>
          </cell>
          <cell r="BF349" t="str">
            <v>4520</v>
          </cell>
          <cell r="BG349" t="str">
            <v>D011</v>
          </cell>
          <cell r="BH349" t="str">
            <v>TUL</v>
          </cell>
        </row>
        <row r="350"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Q350">
            <v>0</v>
          </cell>
          <cell r="R350">
            <v>0</v>
          </cell>
          <cell r="T350">
            <v>0</v>
          </cell>
          <cell r="U350">
            <v>0</v>
          </cell>
          <cell r="W350">
            <v>0</v>
          </cell>
          <cell r="X350">
            <v>0</v>
          </cell>
          <cell r="Z350">
            <v>0</v>
          </cell>
          <cell r="AA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I350">
            <v>0</v>
          </cell>
          <cell r="AJ350">
            <v>0</v>
          </cell>
          <cell r="AL350">
            <v>0</v>
          </cell>
          <cell r="AM350">
            <v>0</v>
          </cell>
          <cell r="AO350">
            <v>0</v>
          </cell>
          <cell r="AP350">
            <v>0</v>
          </cell>
          <cell r="AR350">
            <v>0</v>
          </cell>
          <cell r="AS350">
            <v>0</v>
          </cell>
          <cell r="BF350" t="str">
            <v>4520</v>
          </cell>
          <cell r="BG350" t="str">
            <v>D012</v>
          </cell>
          <cell r="BH350" t="str">
            <v>TUL</v>
          </cell>
        </row>
        <row r="351"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Q351">
            <v>0</v>
          </cell>
          <cell r="R351">
            <v>0</v>
          </cell>
          <cell r="T351">
            <v>0</v>
          </cell>
          <cell r="U351">
            <v>0</v>
          </cell>
          <cell r="W351">
            <v>0</v>
          </cell>
          <cell r="X351">
            <v>0</v>
          </cell>
          <cell r="Z351">
            <v>0</v>
          </cell>
          <cell r="AA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I351">
            <v>0</v>
          </cell>
          <cell r="AJ351">
            <v>0</v>
          </cell>
          <cell r="AL351">
            <v>0</v>
          </cell>
          <cell r="AM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BF351" t="str">
            <v>4520</v>
          </cell>
          <cell r="BG351" t="str">
            <v>D013</v>
          </cell>
          <cell r="BH351" t="str">
            <v>TUL</v>
          </cell>
        </row>
        <row r="352"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Q352">
            <v>0</v>
          </cell>
          <cell r="R352">
            <v>0</v>
          </cell>
          <cell r="T352">
            <v>0</v>
          </cell>
          <cell r="U352">
            <v>0</v>
          </cell>
          <cell r="W352">
            <v>0</v>
          </cell>
          <cell r="X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I352">
            <v>0</v>
          </cell>
          <cell r="AJ352">
            <v>0</v>
          </cell>
          <cell r="AL352">
            <v>0</v>
          </cell>
          <cell r="AM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0</v>
          </cell>
          <cell r="BF352" t="str">
            <v>4520</v>
          </cell>
          <cell r="BG352" t="str">
            <v>D014</v>
          </cell>
          <cell r="BH352" t="str">
            <v>TUL</v>
          </cell>
        </row>
        <row r="353"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Q353">
            <v>0</v>
          </cell>
          <cell r="R353">
            <v>0</v>
          </cell>
          <cell r="T353">
            <v>0</v>
          </cell>
          <cell r="U353">
            <v>0</v>
          </cell>
          <cell r="W353">
            <v>0</v>
          </cell>
          <cell r="X353">
            <v>0</v>
          </cell>
          <cell r="Z353">
            <v>0</v>
          </cell>
          <cell r="AA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I353">
            <v>0</v>
          </cell>
          <cell r="AJ353">
            <v>0</v>
          </cell>
          <cell r="AL353">
            <v>0</v>
          </cell>
          <cell r="AM353">
            <v>0</v>
          </cell>
          <cell r="AO353">
            <v>0</v>
          </cell>
          <cell r="AP353">
            <v>0</v>
          </cell>
          <cell r="AR353">
            <v>0</v>
          </cell>
          <cell r="AS353">
            <v>0</v>
          </cell>
          <cell r="BF353" t="str">
            <v>4520</v>
          </cell>
          <cell r="BG353" t="str">
            <v>D015</v>
          </cell>
          <cell r="BH353" t="str">
            <v>TUL</v>
          </cell>
        </row>
        <row r="354"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Q354">
            <v>0</v>
          </cell>
          <cell r="R354">
            <v>0</v>
          </cell>
          <cell r="T354">
            <v>0</v>
          </cell>
          <cell r="U354">
            <v>0</v>
          </cell>
          <cell r="W354">
            <v>0</v>
          </cell>
          <cell r="X354">
            <v>0</v>
          </cell>
          <cell r="Z354">
            <v>0</v>
          </cell>
          <cell r="AA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I354">
            <v>0</v>
          </cell>
          <cell r="AJ354">
            <v>0</v>
          </cell>
          <cell r="AL354">
            <v>0</v>
          </cell>
          <cell r="AM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0</v>
          </cell>
          <cell r="BF354" t="str">
            <v>4520</v>
          </cell>
          <cell r="BG354" t="str">
            <v>D016</v>
          </cell>
          <cell r="BH354" t="str">
            <v>TUL</v>
          </cell>
        </row>
        <row r="355"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Q355">
            <v>0</v>
          </cell>
          <cell r="R355">
            <v>0</v>
          </cell>
          <cell r="T355">
            <v>0</v>
          </cell>
          <cell r="U355">
            <v>0</v>
          </cell>
          <cell r="W355">
            <v>0</v>
          </cell>
          <cell r="X355">
            <v>0</v>
          </cell>
          <cell r="Z355">
            <v>0</v>
          </cell>
          <cell r="AA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I355">
            <v>0</v>
          </cell>
          <cell r="AJ355">
            <v>0</v>
          </cell>
          <cell r="AL355">
            <v>0</v>
          </cell>
          <cell r="AM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0</v>
          </cell>
          <cell r="BF355" t="str">
            <v>4560</v>
          </cell>
          <cell r="BG355" t="str">
            <v>Z000</v>
          </cell>
          <cell r="BH355" t="str">
            <v>TUL</v>
          </cell>
        </row>
        <row r="356">
          <cell r="K356">
            <v>429.14000000000033</v>
          </cell>
          <cell r="L356">
            <v>0</v>
          </cell>
          <cell r="N356">
            <v>7976.2699999999968</v>
          </cell>
          <cell r="O356">
            <v>0</v>
          </cell>
          <cell r="Q356">
            <v>98.739999999997963</v>
          </cell>
          <cell r="R356">
            <v>0</v>
          </cell>
          <cell r="T356">
            <v>98.739999999997963</v>
          </cell>
          <cell r="U356">
            <v>0</v>
          </cell>
          <cell r="W356">
            <v>98.739999999997963</v>
          </cell>
          <cell r="X356">
            <v>0</v>
          </cell>
          <cell r="Z356">
            <v>98.739999999997963</v>
          </cell>
          <cell r="AA356">
            <v>0</v>
          </cell>
          <cell r="AC356">
            <v>936.15999999999622</v>
          </cell>
          <cell r="AD356">
            <v>0</v>
          </cell>
          <cell r="AF356">
            <v>-55.730000000003201</v>
          </cell>
          <cell r="AG356">
            <v>0</v>
          </cell>
          <cell r="AI356">
            <v>3896.2699999999968</v>
          </cell>
          <cell r="AJ356">
            <v>0</v>
          </cell>
          <cell r="AL356">
            <v>586.44999999999709</v>
          </cell>
          <cell r="AM356">
            <v>0</v>
          </cell>
          <cell r="AO356">
            <v>341.44999999999709</v>
          </cell>
          <cell r="AP356">
            <v>0</v>
          </cell>
          <cell r="AR356">
            <v>341.44999999999709</v>
          </cell>
          <cell r="AS356">
            <v>0</v>
          </cell>
          <cell r="BF356" t="str">
            <v>4580</v>
          </cell>
          <cell r="BG356" t="str">
            <v>Z000</v>
          </cell>
          <cell r="BH356" t="str">
            <v>TUL</v>
          </cell>
        </row>
        <row r="357"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Q357">
            <v>0</v>
          </cell>
          <cell r="R357">
            <v>0</v>
          </cell>
          <cell r="T357">
            <v>0</v>
          </cell>
          <cell r="U357">
            <v>0</v>
          </cell>
          <cell r="W357">
            <v>0</v>
          </cell>
          <cell r="X357">
            <v>0</v>
          </cell>
          <cell r="Z357">
            <v>1.4551915228366852E-11</v>
          </cell>
          <cell r="AA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I357">
            <v>0</v>
          </cell>
          <cell r="AJ357">
            <v>0</v>
          </cell>
          <cell r="AL357">
            <v>0</v>
          </cell>
          <cell r="AM357">
            <v>0</v>
          </cell>
          <cell r="AO357">
            <v>0</v>
          </cell>
          <cell r="AP357">
            <v>0</v>
          </cell>
          <cell r="AR357">
            <v>0</v>
          </cell>
          <cell r="AS357">
            <v>0</v>
          </cell>
          <cell r="BF357" t="str">
            <v>4585</v>
          </cell>
          <cell r="BG357" t="str">
            <v>D021</v>
          </cell>
          <cell r="BH357" t="str">
            <v>TUL</v>
          </cell>
        </row>
        <row r="358">
          <cell r="K358">
            <v>167381.97999999998</v>
          </cell>
          <cell r="L358">
            <v>0</v>
          </cell>
          <cell r="N358">
            <v>170715.06000000006</v>
          </cell>
          <cell r="O358">
            <v>0</v>
          </cell>
          <cell r="Q358">
            <v>166191.83000000031</v>
          </cell>
          <cell r="R358">
            <v>0</v>
          </cell>
          <cell r="T358">
            <v>166204.11000000057</v>
          </cell>
          <cell r="U358">
            <v>0</v>
          </cell>
          <cell r="W358">
            <v>168607.95999999996</v>
          </cell>
          <cell r="X358">
            <v>0</v>
          </cell>
          <cell r="Z358">
            <v>170018.86999999965</v>
          </cell>
          <cell r="AA358">
            <v>0</v>
          </cell>
          <cell r="AC358">
            <v>176257.25</v>
          </cell>
          <cell r="AD358">
            <v>0</v>
          </cell>
          <cell r="AF358">
            <v>176628.9700000002</v>
          </cell>
          <cell r="AG358">
            <v>0</v>
          </cell>
          <cell r="AI358">
            <v>169861.54999999935</v>
          </cell>
          <cell r="AJ358">
            <v>0</v>
          </cell>
          <cell r="AL358">
            <v>160130.35000000009</v>
          </cell>
          <cell r="AM358">
            <v>0</v>
          </cell>
          <cell r="AO358">
            <v>170083.29000000004</v>
          </cell>
          <cell r="AP358">
            <v>0</v>
          </cell>
          <cell r="AR358">
            <v>170961.95999999996</v>
          </cell>
          <cell r="AS358">
            <v>0</v>
          </cell>
          <cell r="BF358" t="str">
            <v>4585</v>
          </cell>
          <cell r="BG358" t="str">
            <v>D022</v>
          </cell>
          <cell r="BH358" t="str">
            <v>TUL</v>
          </cell>
        </row>
        <row r="359"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Q359">
            <v>0</v>
          </cell>
          <cell r="R359">
            <v>0</v>
          </cell>
          <cell r="T359">
            <v>0</v>
          </cell>
          <cell r="U359">
            <v>0</v>
          </cell>
          <cell r="W359">
            <v>0</v>
          </cell>
          <cell r="X359">
            <v>0</v>
          </cell>
          <cell r="Z359">
            <v>0</v>
          </cell>
          <cell r="AA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I359">
            <v>0</v>
          </cell>
          <cell r="AJ359">
            <v>0</v>
          </cell>
          <cell r="AL359">
            <v>0</v>
          </cell>
          <cell r="AM359">
            <v>0</v>
          </cell>
          <cell r="AO359">
            <v>0</v>
          </cell>
          <cell r="AP359">
            <v>0</v>
          </cell>
          <cell r="AR359">
            <v>0</v>
          </cell>
          <cell r="AS359">
            <v>0</v>
          </cell>
          <cell r="BF359" t="str">
            <v>4585</v>
          </cell>
          <cell r="BG359" t="str">
            <v>D023</v>
          </cell>
          <cell r="BH359" t="str">
            <v>TUL</v>
          </cell>
        </row>
        <row r="360"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Q360">
            <v>0</v>
          </cell>
          <cell r="R360">
            <v>0</v>
          </cell>
          <cell r="T360">
            <v>0</v>
          </cell>
          <cell r="U360">
            <v>0</v>
          </cell>
          <cell r="W360">
            <v>0</v>
          </cell>
          <cell r="X360">
            <v>0</v>
          </cell>
          <cell r="Z360">
            <v>0</v>
          </cell>
          <cell r="AA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I360">
            <v>0</v>
          </cell>
          <cell r="AJ360">
            <v>0</v>
          </cell>
          <cell r="AL360">
            <v>0</v>
          </cell>
          <cell r="AM360">
            <v>0</v>
          </cell>
          <cell r="AO360">
            <v>0</v>
          </cell>
          <cell r="AP360">
            <v>0</v>
          </cell>
          <cell r="AR360">
            <v>0</v>
          </cell>
          <cell r="AS360">
            <v>0</v>
          </cell>
          <cell r="BF360" t="str">
            <v>4585</v>
          </cell>
          <cell r="BG360" t="str">
            <v>D024</v>
          </cell>
          <cell r="BH360" t="str">
            <v>TUL</v>
          </cell>
        </row>
        <row r="361">
          <cell r="K361">
            <v>41666.669999999925</v>
          </cell>
          <cell r="L361">
            <v>0</v>
          </cell>
          <cell r="N361">
            <v>17999.100000000093</v>
          </cell>
          <cell r="O361">
            <v>0</v>
          </cell>
          <cell r="Q361">
            <v>14408</v>
          </cell>
          <cell r="R361">
            <v>0</v>
          </cell>
          <cell r="T361">
            <v>12755.760000000009</v>
          </cell>
          <cell r="U361">
            <v>0</v>
          </cell>
          <cell r="W361">
            <v>1200</v>
          </cell>
          <cell r="X361">
            <v>0</v>
          </cell>
          <cell r="Z361">
            <v>4337.8799999998882</v>
          </cell>
          <cell r="AA361">
            <v>0</v>
          </cell>
          <cell r="AC361">
            <v>1900</v>
          </cell>
          <cell r="AD361">
            <v>0</v>
          </cell>
          <cell r="AF361">
            <v>25535.899999999907</v>
          </cell>
          <cell r="AG361">
            <v>0</v>
          </cell>
          <cell r="AI361">
            <v>41572.079999999842</v>
          </cell>
          <cell r="AJ361">
            <v>0</v>
          </cell>
          <cell r="AL361">
            <v>4761.3000000003958</v>
          </cell>
          <cell r="AM361">
            <v>0</v>
          </cell>
          <cell r="AO361">
            <v>14011.290000000037</v>
          </cell>
          <cell r="AP361">
            <v>0</v>
          </cell>
          <cell r="AR361">
            <v>13000.719999999972</v>
          </cell>
          <cell r="AS361">
            <v>0</v>
          </cell>
          <cell r="BF361" t="str">
            <v>4590</v>
          </cell>
          <cell r="BG361" t="str">
            <v>Z000</v>
          </cell>
          <cell r="BH361" t="str">
            <v>TUL</v>
          </cell>
        </row>
        <row r="362">
          <cell r="K362">
            <v>4437.3000000000029</v>
          </cell>
          <cell r="L362">
            <v>0</v>
          </cell>
          <cell r="N362">
            <v>1749.9499999999971</v>
          </cell>
          <cell r="O362">
            <v>0</v>
          </cell>
          <cell r="Q362">
            <v>3321.7600000000093</v>
          </cell>
          <cell r="R362">
            <v>0</v>
          </cell>
          <cell r="T362">
            <v>3443.2300000000105</v>
          </cell>
          <cell r="U362">
            <v>0</v>
          </cell>
          <cell r="W362">
            <v>4352.5500000000029</v>
          </cell>
          <cell r="X362">
            <v>0</v>
          </cell>
          <cell r="Z362">
            <v>1805.8000000000029</v>
          </cell>
          <cell r="AA362">
            <v>0</v>
          </cell>
          <cell r="AC362">
            <v>3013.8499999999913</v>
          </cell>
          <cell r="AD362">
            <v>0</v>
          </cell>
          <cell r="AF362">
            <v>4742.6000000000058</v>
          </cell>
          <cell r="AG362">
            <v>0</v>
          </cell>
          <cell r="AI362">
            <v>10480.950000000012</v>
          </cell>
          <cell r="AJ362">
            <v>0</v>
          </cell>
          <cell r="AL362">
            <v>11623.669999999984</v>
          </cell>
          <cell r="AM362">
            <v>0</v>
          </cell>
          <cell r="AO362">
            <v>2016.039999999979</v>
          </cell>
          <cell r="AP362">
            <v>0</v>
          </cell>
          <cell r="AR362">
            <v>3503.2900000000081</v>
          </cell>
          <cell r="AS362">
            <v>0</v>
          </cell>
          <cell r="BF362" t="str">
            <v>4600</v>
          </cell>
          <cell r="BG362" t="str">
            <v>Z000</v>
          </cell>
          <cell r="BH362" t="str">
            <v>TUL</v>
          </cell>
        </row>
        <row r="363">
          <cell r="K363">
            <v>12415.599999999999</v>
          </cell>
          <cell r="L363">
            <v>0</v>
          </cell>
          <cell r="N363">
            <v>99.450000000004366</v>
          </cell>
          <cell r="O363">
            <v>0</v>
          </cell>
          <cell r="Q363">
            <v>0</v>
          </cell>
          <cell r="R363">
            <v>0</v>
          </cell>
          <cell r="T363">
            <v>129.30000000000291</v>
          </cell>
          <cell r="U363">
            <v>0</v>
          </cell>
          <cell r="W363">
            <v>1463.0500000000029</v>
          </cell>
          <cell r="X363">
            <v>0</v>
          </cell>
          <cell r="Z363">
            <v>0</v>
          </cell>
          <cell r="AA363">
            <v>0</v>
          </cell>
          <cell r="AC363">
            <v>1366.3499999999913</v>
          </cell>
          <cell r="AD363">
            <v>0</v>
          </cell>
          <cell r="AF363">
            <v>2369.7700000000041</v>
          </cell>
          <cell r="AG363">
            <v>0</v>
          </cell>
          <cell r="AI363">
            <v>523.07999999998719</v>
          </cell>
          <cell r="AJ363">
            <v>0</v>
          </cell>
          <cell r="AL363">
            <v>467.05000000000291</v>
          </cell>
          <cell r="AM363">
            <v>0</v>
          </cell>
          <cell r="AO363">
            <v>1991.9499999999971</v>
          </cell>
          <cell r="AP363">
            <v>0</v>
          </cell>
          <cell r="AR363">
            <v>490.09999999999127</v>
          </cell>
          <cell r="AS363">
            <v>0</v>
          </cell>
          <cell r="BF363" t="str">
            <v>4620</v>
          </cell>
          <cell r="BG363" t="str">
            <v>Z000</v>
          </cell>
          <cell r="BH363" t="str">
            <v>TUL</v>
          </cell>
        </row>
        <row r="364">
          <cell r="K364">
            <v>529.80000000000291</v>
          </cell>
          <cell r="L364">
            <v>0</v>
          </cell>
          <cell r="N364">
            <v>364.94999999999709</v>
          </cell>
          <cell r="O364">
            <v>0</v>
          </cell>
          <cell r="Q364">
            <v>31867.300000000003</v>
          </cell>
          <cell r="R364">
            <v>0</v>
          </cell>
          <cell r="T364">
            <v>7151.2000000000116</v>
          </cell>
          <cell r="U364">
            <v>0</v>
          </cell>
          <cell r="W364">
            <v>0</v>
          </cell>
          <cell r="X364">
            <v>0</v>
          </cell>
          <cell r="Z364">
            <v>1721.320000000007</v>
          </cell>
          <cell r="AA364">
            <v>0</v>
          </cell>
          <cell r="AC364">
            <v>3920</v>
          </cell>
          <cell r="AD364">
            <v>0</v>
          </cell>
          <cell r="AF364">
            <v>923.54999999998836</v>
          </cell>
          <cell r="AG364">
            <v>0</v>
          </cell>
          <cell r="AI364">
            <v>1340.6000000000058</v>
          </cell>
          <cell r="AJ364">
            <v>0</v>
          </cell>
          <cell r="AL364">
            <v>450</v>
          </cell>
          <cell r="AM364">
            <v>0</v>
          </cell>
          <cell r="AO364">
            <v>5480</v>
          </cell>
          <cell r="AP364">
            <v>0</v>
          </cell>
          <cell r="AR364">
            <v>4210.7999999999884</v>
          </cell>
          <cell r="AS364">
            <v>0</v>
          </cell>
          <cell r="BF364" t="str">
            <v>4630</v>
          </cell>
          <cell r="BG364" t="str">
            <v>Z000</v>
          </cell>
          <cell r="BH364" t="str">
            <v>TUL</v>
          </cell>
        </row>
        <row r="365">
          <cell r="K365">
            <v>21197.739999999991</v>
          </cell>
          <cell r="L365">
            <v>0</v>
          </cell>
          <cell r="N365">
            <v>25737.969999999972</v>
          </cell>
          <cell r="O365">
            <v>0</v>
          </cell>
          <cell r="Q365">
            <v>13052.460000000021</v>
          </cell>
          <cell r="R365">
            <v>0</v>
          </cell>
          <cell r="T365">
            <v>9519.7000000000116</v>
          </cell>
          <cell r="U365">
            <v>0</v>
          </cell>
          <cell r="W365">
            <v>13750.660000000033</v>
          </cell>
          <cell r="X365">
            <v>0</v>
          </cell>
          <cell r="Z365">
            <v>13128.909999999974</v>
          </cell>
          <cell r="AA365">
            <v>0</v>
          </cell>
          <cell r="AC365">
            <v>20629.739999999991</v>
          </cell>
          <cell r="AD365">
            <v>0</v>
          </cell>
          <cell r="AF365">
            <v>16825.899999999907</v>
          </cell>
          <cell r="AG365">
            <v>0</v>
          </cell>
          <cell r="AI365">
            <v>12608.590000000026</v>
          </cell>
          <cell r="AJ365">
            <v>0</v>
          </cell>
          <cell r="AL365">
            <v>16377.969999999972</v>
          </cell>
          <cell r="AM365">
            <v>0</v>
          </cell>
          <cell r="AO365">
            <v>19000.119999999995</v>
          </cell>
          <cell r="AP365">
            <v>0</v>
          </cell>
          <cell r="AR365">
            <v>15621.539999999921</v>
          </cell>
          <cell r="AS365">
            <v>0</v>
          </cell>
          <cell r="BF365" t="str">
            <v>4660</v>
          </cell>
          <cell r="BG365" t="str">
            <v>Z000</v>
          </cell>
          <cell r="BH365" t="str">
            <v>TUL</v>
          </cell>
        </row>
        <row r="366">
          <cell r="K366">
            <v>-4397.6899999999951</v>
          </cell>
          <cell r="L366">
            <v>0</v>
          </cell>
          <cell r="N366">
            <v>0</v>
          </cell>
          <cell r="O366">
            <v>0</v>
          </cell>
          <cell r="Q366">
            <v>0</v>
          </cell>
          <cell r="R366">
            <v>0</v>
          </cell>
          <cell r="T366">
            <v>0</v>
          </cell>
          <cell r="U366">
            <v>0</v>
          </cell>
          <cell r="W366">
            <v>0</v>
          </cell>
          <cell r="X366">
            <v>0</v>
          </cell>
          <cell r="Z366">
            <v>0</v>
          </cell>
          <cell r="AA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I366">
            <v>0</v>
          </cell>
          <cell r="AJ366">
            <v>0</v>
          </cell>
          <cell r="AL366">
            <v>0</v>
          </cell>
          <cell r="AM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BF366" t="str">
            <v>4670</v>
          </cell>
          <cell r="BG366" t="str">
            <v>Z000</v>
          </cell>
          <cell r="BH366" t="str">
            <v>TUL</v>
          </cell>
        </row>
        <row r="367">
          <cell r="K367">
            <v>4464.1999999999989</v>
          </cell>
          <cell r="L367">
            <v>0</v>
          </cell>
          <cell r="N367">
            <v>138.04999999999927</v>
          </cell>
          <cell r="O367">
            <v>0</v>
          </cell>
          <cell r="Q367">
            <v>894.40000000000146</v>
          </cell>
          <cell r="R367">
            <v>0</v>
          </cell>
          <cell r="T367">
            <v>394.54999999999927</v>
          </cell>
          <cell r="U367">
            <v>0</v>
          </cell>
          <cell r="W367">
            <v>618.10000000000036</v>
          </cell>
          <cell r="X367">
            <v>0</v>
          </cell>
          <cell r="Z367">
            <v>15999.999999999998</v>
          </cell>
          <cell r="AA367">
            <v>0</v>
          </cell>
          <cell r="AC367">
            <v>359.49999999999636</v>
          </cell>
          <cell r="AD367">
            <v>0</v>
          </cell>
          <cell r="AF367">
            <v>892</v>
          </cell>
          <cell r="AG367">
            <v>0</v>
          </cell>
          <cell r="AI367">
            <v>5884.7999999999993</v>
          </cell>
          <cell r="AJ367">
            <v>0</v>
          </cell>
          <cell r="AL367">
            <v>3169.75</v>
          </cell>
          <cell r="AM367">
            <v>0</v>
          </cell>
          <cell r="AO367">
            <v>3993.6999999999971</v>
          </cell>
          <cell r="AP367">
            <v>0</v>
          </cell>
          <cell r="AR367">
            <v>410.25</v>
          </cell>
          <cell r="AS367">
            <v>0</v>
          </cell>
          <cell r="BF367" t="str">
            <v>4690</v>
          </cell>
          <cell r="BG367" t="str">
            <v>Z000</v>
          </cell>
          <cell r="BH367" t="str">
            <v>TUL</v>
          </cell>
        </row>
        <row r="368">
          <cell r="K368">
            <v>12013.330000000016</v>
          </cell>
          <cell r="L368">
            <v>0</v>
          </cell>
          <cell r="N368">
            <v>14615.000000000029</v>
          </cell>
          <cell r="O368">
            <v>0</v>
          </cell>
          <cell r="Q368">
            <v>14385</v>
          </cell>
          <cell r="R368">
            <v>0</v>
          </cell>
          <cell r="T368">
            <v>16677</v>
          </cell>
          <cell r="U368">
            <v>0</v>
          </cell>
          <cell r="W368">
            <v>24272</v>
          </cell>
          <cell r="X368">
            <v>0</v>
          </cell>
          <cell r="Z368">
            <v>24784</v>
          </cell>
          <cell r="AA368">
            <v>0</v>
          </cell>
          <cell r="AC368">
            <v>23993.999999999971</v>
          </cell>
          <cell r="AD368">
            <v>0</v>
          </cell>
          <cell r="AF368">
            <v>26854</v>
          </cell>
          <cell r="AG368">
            <v>0</v>
          </cell>
          <cell r="AI368">
            <v>24363.999999999942</v>
          </cell>
          <cell r="AJ368">
            <v>0</v>
          </cell>
          <cell r="AL368">
            <v>24364.099999999977</v>
          </cell>
          <cell r="AM368">
            <v>0</v>
          </cell>
          <cell r="AO368">
            <v>25041.900000000023</v>
          </cell>
          <cell r="AP368">
            <v>0</v>
          </cell>
          <cell r="AR368">
            <v>24364</v>
          </cell>
          <cell r="AS368">
            <v>0</v>
          </cell>
          <cell r="BF368" t="str">
            <v>4700</v>
          </cell>
          <cell r="BG368" t="str">
            <v>D031</v>
          </cell>
          <cell r="BH368" t="str">
            <v>TUL</v>
          </cell>
        </row>
        <row r="369">
          <cell r="K369">
            <v>0</v>
          </cell>
          <cell r="L369">
            <v>0</v>
          </cell>
          <cell r="N369">
            <v>0</v>
          </cell>
          <cell r="O369">
            <v>0</v>
          </cell>
          <cell r="Q369">
            <v>0</v>
          </cell>
          <cell r="R369">
            <v>0</v>
          </cell>
          <cell r="T369">
            <v>0</v>
          </cell>
          <cell r="U369">
            <v>0</v>
          </cell>
          <cell r="W369">
            <v>0</v>
          </cell>
          <cell r="X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I369">
            <v>0</v>
          </cell>
          <cell r="AJ369">
            <v>0</v>
          </cell>
          <cell r="AL369">
            <v>0</v>
          </cell>
          <cell r="AM369">
            <v>0</v>
          </cell>
          <cell r="AO369">
            <v>0</v>
          </cell>
          <cell r="AP369">
            <v>0</v>
          </cell>
          <cell r="AR369">
            <v>0</v>
          </cell>
          <cell r="AS369">
            <v>0</v>
          </cell>
          <cell r="BF369" t="str">
            <v>4700</v>
          </cell>
          <cell r="BG369" t="str">
            <v>D032</v>
          </cell>
          <cell r="BH369" t="str">
            <v>TUL</v>
          </cell>
        </row>
        <row r="370">
          <cell r="K370">
            <v>135152.29999999981</v>
          </cell>
          <cell r="L370">
            <v>0</v>
          </cell>
          <cell r="N370">
            <v>126462.08000000007</v>
          </cell>
          <cell r="O370">
            <v>0</v>
          </cell>
          <cell r="Q370">
            <v>125856</v>
          </cell>
          <cell r="R370">
            <v>0</v>
          </cell>
          <cell r="T370">
            <v>127721.20999999996</v>
          </cell>
          <cell r="U370">
            <v>0</v>
          </cell>
          <cell r="W370">
            <v>142231.68999999994</v>
          </cell>
          <cell r="X370">
            <v>0</v>
          </cell>
          <cell r="Z370">
            <v>147610.35999999987</v>
          </cell>
          <cell r="AA370">
            <v>0</v>
          </cell>
          <cell r="AC370">
            <v>137840.02000000002</v>
          </cell>
          <cell r="AD370">
            <v>0</v>
          </cell>
          <cell r="AF370">
            <v>138305.6799999997</v>
          </cell>
          <cell r="AG370">
            <v>0</v>
          </cell>
          <cell r="AI370">
            <v>147320.48000000045</v>
          </cell>
          <cell r="AJ370">
            <v>0</v>
          </cell>
          <cell r="AL370">
            <v>156755.41000000015</v>
          </cell>
          <cell r="AM370">
            <v>0</v>
          </cell>
          <cell r="AO370">
            <v>160317.74000000022</v>
          </cell>
          <cell r="AP370">
            <v>0</v>
          </cell>
          <cell r="AR370">
            <v>165476.85000000009</v>
          </cell>
          <cell r="AS370">
            <v>0</v>
          </cell>
          <cell r="BF370" t="str">
            <v>4740</v>
          </cell>
          <cell r="BG370" t="str">
            <v>D041</v>
          </cell>
          <cell r="BH370" t="str">
            <v>TUL</v>
          </cell>
        </row>
        <row r="371">
          <cell r="K371">
            <v>0</v>
          </cell>
          <cell r="L371">
            <v>0</v>
          </cell>
          <cell r="N371">
            <v>0</v>
          </cell>
          <cell r="O371">
            <v>0</v>
          </cell>
          <cell r="Q371">
            <v>5295</v>
          </cell>
          <cell r="R371">
            <v>0</v>
          </cell>
          <cell r="T371">
            <v>8367</v>
          </cell>
          <cell r="U371">
            <v>0</v>
          </cell>
          <cell r="W371">
            <v>13646.36</v>
          </cell>
          <cell r="X371">
            <v>0</v>
          </cell>
          <cell r="Z371">
            <v>15389.179999999993</v>
          </cell>
          <cell r="AA371">
            <v>0</v>
          </cell>
          <cell r="AC371">
            <v>50507.270000000004</v>
          </cell>
          <cell r="AD371">
            <v>0</v>
          </cell>
          <cell r="AF371">
            <v>6292.320000000007</v>
          </cell>
          <cell r="AG371">
            <v>0</v>
          </cell>
          <cell r="AI371">
            <v>469.69000000000233</v>
          </cell>
          <cell r="AJ371">
            <v>0</v>
          </cell>
          <cell r="AL371">
            <v>14628.880000000005</v>
          </cell>
          <cell r="AM371">
            <v>0</v>
          </cell>
          <cell r="AO371">
            <v>39929.75</v>
          </cell>
          <cell r="AP371">
            <v>0</v>
          </cell>
          <cell r="AR371">
            <v>45579.109999999986</v>
          </cell>
          <cell r="AS371">
            <v>0</v>
          </cell>
          <cell r="BF371" t="str">
            <v>4740</v>
          </cell>
          <cell r="BG371" t="str">
            <v>D042</v>
          </cell>
          <cell r="BH371" t="str">
            <v>TUL</v>
          </cell>
        </row>
        <row r="372"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Q372">
            <v>0</v>
          </cell>
          <cell r="R372">
            <v>0</v>
          </cell>
          <cell r="T372">
            <v>0</v>
          </cell>
          <cell r="U372">
            <v>0</v>
          </cell>
          <cell r="W372">
            <v>0</v>
          </cell>
          <cell r="X372">
            <v>0</v>
          </cell>
          <cell r="Z372">
            <v>0</v>
          </cell>
          <cell r="AA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I372">
            <v>0</v>
          </cell>
          <cell r="AJ372">
            <v>0</v>
          </cell>
          <cell r="AL372">
            <v>0</v>
          </cell>
          <cell r="AM372">
            <v>0</v>
          </cell>
          <cell r="AO372">
            <v>0</v>
          </cell>
          <cell r="AP372">
            <v>0</v>
          </cell>
          <cell r="AR372">
            <v>0</v>
          </cell>
          <cell r="AS372">
            <v>0</v>
          </cell>
          <cell r="BF372" t="str">
            <v>4740</v>
          </cell>
          <cell r="BG372" t="str">
            <v>D043</v>
          </cell>
          <cell r="BH372" t="str">
            <v>TUL</v>
          </cell>
        </row>
        <row r="373">
          <cell r="K373">
            <v>0</v>
          </cell>
          <cell r="L373">
            <v>0</v>
          </cell>
          <cell r="N373">
            <v>0</v>
          </cell>
          <cell r="O373">
            <v>0</v>
          </cell>
          <cell r="Q373">
            <v>9107.09</v>
          </cell>
          <cell r="R373">
            <v>0</v>
          </cell>
          <cell r="T373">
            <v>14655.579999999998</v>
          </cell>
          <cell r="U373">
            <v>0</v>
          </cell>
          <cell r="W373">
            <v>10488</v>
          </cell>
          <cell r="X373">
            <v>0</v>
          </cell>
          <cell r="Z373">
            <v>-13829.580000000002</v>
          </cell>
          <cell r="AA373">
            <v>0</v>
          </cell>
          <cell r="AC373">
            <v>11486.669999999998</v>
          </cell>
          <cell r="AD373">
            <v>0</v>
          </cell>
          <cell r="AF373">
            <v>11530.449999999997</v>
          </cell>
          <cell r="AG373">
            <v>0</v>
          </cell>
          <cell r="AI373">
            <v>12112.61</v>
          </cell>
          <cell r="AJ373">
            <v>0</v>
          </cell>
          <cell r="AL373">
            <v>13245.259999999995</v>
          </cell>
          <cell r="AM373">
            <v>0</v>
          </cell>
          <cell r="AO373">
            <v>13549.419999999998</v>
          </cell>
          <cell r="AP373">
            <v>0</v>
          </cell>
          <cell r="AR373">
            <v>10954.050000000003</v>
          </cell>
          <cell r="AS373">
            <v>0</v>
          </cell>
          <cell r="BF373" t="str">
            <v>4740</v>
          </cell>
          <cell r="BG373" t="str">
            <v>D044</v>
          </cell>
          <cell r="BH373" t="str">
            <v>TUL</v>
          </cell>
        </row>
        <row r="374">
          <cell r="K374">
            <v>0</v>
          </cell>
          <cell r="L374">
            <v>0</v>
          </cell>
          <cell r="N374">
            <v>0</v>
          </cell>
          <cell r="O374">
            <v>0</v>
          </cell>
          <cell r="Q374">
            <v>0</v>
          </cell>
          <cell r="R374">
            <v>0</v>
          </cell>
          <cell r="T374">
            <v>0</v>
          </cell>
          <cell r="U374">
            <v>0</v>
          </cell>
          <cell r="W374">
            <v>0</v>
          </cell>
          <cell r="X374">
            <v>0</v>
          </cell>
          <cell r="Z374">
            <v>0</v>
          </cell>
          <cell r="AA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I374">
            <v>0</v>
          </cell>
          <cell r="AJ374">
            <v>0</v>
          </cell>
          <cell r="AL374">
            <v>0</v>
          </cell>
          <cell r="AM374">
            <v>0</v>
          </cell>
          <cell r="AO374">
            <v>0</v>
          </cell>
          <cell r="AP374">
            <v>0</v>
          </cell>
          <cell r="AR374">
            <v>0</v>
          </cell>
          <cell r="AS374">
            <v>0</v>
          </cell>
          <cell r="BF374" t="str">
            <v>4740</v>
          </cell>
          <cell r="BG374" t="str">
            <v>D045</v>
          </cell>
          <cell r="BH374" t="str">
            <v>TUL</v>
          </cell>
        </row>
        <row r="375">
          <cell r="K375">
            <v>1000.8999999999996</v>
          </cell>
          <cell r="L375">
            <v>0</v>
          </cell>
          <cell r="N375">
            <v>2878.8999999999996</v>
          </cell>
          <cell r="O375">
            <v>0</v>
          </cell>
          <cell r="Q375">
            <v>1885.9000000000015</v>
          </cell>
          <cell r="R375">
            <v>0</v>
          </cell>
          <cell r="T375">
            <v>1000.9000000000015</v>
          </cell>
          <cell r="U375">
            <v>0</v>
          </cell>
          <cell r="W375">
            <v>815</v>
          </cell>
          <cell r="X375">
            <v>0</v>
          </cell>
          <cell r="Z375">
            <v>1071.9000000000015</v>
          </cell>
          <cell r="AA375">
            <v>0</v>
          </cell>
          <cell r="AC375">
            <v>1015.8000000000029</v>
          </cell>
          <cell r="AD375">
            <v>0</v>
          </cell>
          <cell r="AF375">
            <v>2171.9000000000087</v>
          </cell>
          <cell r="AG375">
            <v>0</v>
          </cell>
          <cell r="AI375">
            <v>1878.9000000000015</v>
          </cell>
          <cell r="AJ375">
            <v>0</v>
          </cell>
          <cell r="AL375">
            <v>1878.9000000000015</v>
          </cell>
          <cell r="AM375">
            <v>0</v>
          </cell>
          <cell r="AO375">
            <v>1878.9000000000051</v>
          </cell>
          <cell r="AP375">
            <v>0</v>
          </cell>
          <cell r="AR375">
            <v>2015.9000000000051</v>
          </cell>
          <cell r="AS375">
            <v>0</v>
          </cell>
          <cell r="BF375" t="str">
            <v>4760</v>
          </cell>
          <cell r="BG375" t="str">
            <v>Z000</v>
          </cell>
          <cell r="BH375" t="str">
            <v>TUL</v>
          </cell>
        </row>
        <row r="376">
          <cell r="K376">
            <v>522.73999999999978</v>
          </cell>
          <cell r="L376">
            <v>0</v>
          </cell>
          <cell r="N376">
            <v>15700.000000000004</v>
          </cell>
          <cell r="O376">
            <v>0</v>
          </cell>
          <cell r="Q376">
            <v>13072.329999999998</v>
          </cell>
          <cell r="R376">
            <v>0</v>
          </cell>
          <cell r="T376">
            <v>11439.660000000003</v>
          </cell>
          <cell r="U376">
            <v>0</v>
          </cell>
          <cell r="W376">
            <v>10569.75</v>
          </cell>
          <cell r="X376">
            <v>0</v>
          </cell>
          <cell r="Z376">
            <v>9960.9800000000032</v>
          </cell>
          <cell r="AA376">
            <v>0</v>
          </cell>
          <cell r="AC376">
            <v>8157.1600000000035</v>
          </cell>
          <cell r="AD376">
            <v>0</v>
          </cell>
          <cell r="AF376">
            <v>5305.3600000000006</v>
          </cell>
          <cell r="AG376">
            <v>0</v>
          </cell>
          <cell r="AI376">
            <v>12905.440000000002</v>
          </cell>
          <cell r="AJ376">
            <v>0</v>
          </cell>
          <cell r="AL376">
            <v>11868.399999999994</v>
          </cell>
          <cell r="AM376">
            <v>0</v>
          </cell>
          <cell r="AO376">
            <v>12295.470000000001</v>
          </cell>
          <cell r="AP376">
            <v>0</v>
          </cell>
          <cell r="AR376">
            <v>23875.510000000009</v>
          </cell>
          <cell r="AS376">
            <v>0</v>
          </cell>
          <cell r="BF376" t="str">
            <v>4800</v>
          </cell>
          <cell r="BG376" t="str">
            <v>D101</v>
          </cell>
          <cell r="BH376" t="str">
            <v>TUL</v>
          </cell>
        </row>
        <row r="377">
          <cell r="K377">
            <v>4610.5200000000041</v>
          </cell>
          <cell r="L377">
            <v>0</v>
          </cell>
          <cell r="N377">
            <v>3651.8199999999997</v>
          </cell>
          <cell r="O377">
            <v>0</v>
          </cell>
          <cell r="Q377">
            <v>4842.510000000002</v>
          </cell>
          <cell r="R377">
            <v>0</v>
          </cell>
          <cell r="T377">
            <v>4659.4900000000052</v>
          </cell>
          <cell r="U377">
            <v>0</v>
          </cell>
          <cell r="W377">
            <v>4621.5299999999988</v>
          </cell>
          <cell r="X377">
            <v>0</v>
          </cell>
          <cell r="Z377">
            <v>7817.1500000000087</v>
          </cell>
          <cell r="AA377">
            <v>0</v>
          </cell>
          <cell r="AC377">
            <v>9020.36</v>
          </cell>
          <cell r="AD377">
            <v>0</v>
          </cell>
          <cell r="AF377">
            <v>8164.0999999999913</v>
          </cell>
          <cell r="AG377">
            <v>0</v>
          </cell>
          <cell r="AI377">
            <v>10781.190000000002</v>
          </cell>
          <cell r="AJ377">
            <v>0</v>
          </cell>
          <cell r="AL377">
            <v>7996.3000000000175</v>
          </cell>
          <cell r="AM377">
            <v>0</v>
          </cell>
          <cell r="AO377">
            <v>8533.070000000007</v>
          </cell>
          <cell r="AP377">
            <v>0</v>
          </cell>
          <cell r="AR377">
            <v>6370.1100000000442</v>
          </cell>
          <cell r="AS377">
            <v>0</v>
          </cell>
          <cell r="BF377" t="str">
            <v>4800</v>
          </cell>
          <cell r="BG377" t="str">
            <v>D102</v>
          </cell>
          <cell r="BH377" t="str">
            <v>TUL</v>
          </cell>
        </row>
        <row r="378">
          <cell r="K378">
            <v>1608.9100000000035</v>
          </cell>
          <cell r="L378">
            <v>0</v>
          </cell>
          <cell r="N378">
            <v>3794.989999999998</v>
          </cell>
          <cell r="O378">
            <v>0</v>
          </cell>
          <cell r="Q378">
            <v>2657.25</v>
          </cell>
          <cell r="R378">
            <v>0</v>
          </cell>
          <cell r="T378">
            <v>2252.3000000000029</v>
          </cell>
          <cell r="U378">
            <v>0</v>
          </cell>
          <cell r="W378">
            <v>4275.1900000000023</v>
          </cell>
          <cell r="X378">
            <v>0</v>
          </cell>
          <cell r="Z378">
            <v>2300.3999999999869</v>
          </cell>
          <cell r="AA378">
            <v>0</v>
          </cell>
          <cell r="AC378">
            <v>3722.3999999999942</v>
          </cell>
          <cell r="AD378">
            <v>0</v>
          </cell>
          <cell r="AF378">
            <v>1822.3999999999942</v>
          </cell>
          <cell r="AG378">
            <v>0</v>
          </cell>
          <cell r="AI378">
            <v>2822.3999999999942</v>
          </cell>
          <cell r="AJ378">
            <v>0</v>
          </cell>
          <cell r="AL378">
            <v>9694.5999999999985</v>
          </cell>
          <cell r="AM378">
            <v>0</v>
          </cell>
          <cell r="AO378">
            <v>4300.0000000000073</v>
          </cell>
          <cell r="AP378">
            <v>0</v>
          </cell>
          <cell r="AR378">
            <v>2367.2000000000553</v>
          </cell>
          <cell r="AS378">
            <v>0</v>
          </cell>
          <cell r="BF378" t="str">
            <v>4800</v>
          </cell>
          <cell r="BG378" t="str">
            <v>D103</v>
          </cell>
          <cell r="BH378" t="str">
            <v>TUL</v>
          </cell>
        </row>
        <row r="379"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Q379">
            <v>0</v>
          </cell>
          <cell r="R379">
            <v>0</v>
          </cell>
          <cell r="T379">
            <v>0</v>
          </cell>
          <cell r="U379">
            <v>0</v>
          </cell>
          <cell r="W379">
            <v>0</v>
          </cell>
          <cell r="X379">
            <v>0</v>
          </cell>
          <cell r="Z379">
            <v>0</v>
          </cell>
          <cell r="AA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I379">
            <v>0</v>
          </cell>
          <cell r="AJ379">
            <v>0</v>
          </cell>
          <cell r="AL379">
            <v>0</v>
          </cell>
          <cell r="AM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BF379" t="str">
            <v>4820</v>
          </cell>
          <cell r="BG379" t="str">
            <v>Z000</v>
          </cell>
          <cell r="BH379" t="str">
            <v>TUL</v>
          </cell>
        </row>
        <row r="380">
          <cell r="K380">
            <v>150</v>
          </cell>
          <cell r="L380">
            <v>0</v>
          </cell>
          <cell r="N380">
            <v>8622.5000000000146</v>
          </cell>
          <cell r="O380">
            <v>0</v>
          </cell>
          <cell r="Q380">
            <v>210.00000000001455</v>
          </cell>
          <cell r="R380">
            <v>0</v>
          </cell>
          <cell r="T380">
            <v>6842.9800000000105</v>
          </cell>
          <cell r="U380">
            <v>0</v>
          </cell>
          <cell r="W380">
            <v>15469.640000000014</v>
          </cell>
          <cell r="X380">
            <v>0</v>
          </cell>
          <cell r="Z380">
            <v>150</v>
          </cell>
          <cell r="AA380">
            <v>0</v>
          </cell>
          <cell r="AC380">
            <v>500</v>
          </cell>
          <cell r="AD380">
            <v>0</v>
          </cell>
          <cell r="AF380">
            <v>1000</v>
          </cell>
          <cell r="AG380">
            <v>0</v>
          </cell>
          <cell r="AI380">
            <v>20118.100000000035</v>
          </cell>
          <cell r="AJ380">
            <v>0</v>
          </cell>
          <cell r="AL380">
            <v>1284</v>
          </cell>
          <cell r="AM380">
            <v>0</v>
          </cell>
          <cell r="AO380">
            <v>618.70000000001164</v>
          </cell>
          <cell r="AP380">
            <v>0</v>
          </cell>
          <cell r="AR380">
            <v>6086.6000000000058</v>
          </cell>
          <cell r="AS380">
            <v>0</v>
          </cell>
          <cell r="BF380" t="str">
            <v>4830</v>
          </cell>
          <cell r="BG380" t="str">
            <v>D111</v>
          </cell>
          <cell r="BH380" t="str">
            <v>TUL</v>
          </cell>
        </row>
        <row r="381">
          <cell r="K381">
            <v>0</v>
          </cell>
          <cell r="L381">
            <v>0</v>
          </cell>
          <cell r="N381">
            <v>0</v>
          </cell>
          <cell r="O381">
            <v>0</v>
          </cell>
          <cell r="Q381">
            <v>0</v>
          </cell>
          <cell r="R381">
            <v>0</v>
          </cell>
          <cell r="T381">
            <v>0</v>
          </cell>
          <cell r="U381">
            <v>0</v>
          </cell>
          <cell r="W381">
            <v>0</v>
          </cell>
          <cell r="X381">
            <v>0</v>
          </cell>
          <cell r="Z381">
            <v>0</v>
          </cell>
          <cell r="AA381">
            <v>0</v>
          </cell>
          <cell r="AC381">
            <v>0</v>
          </cell>
          <cell r="AD381">
            <v>0</v>
          </cell>
          <cell r="AF381">
            <v>2919</v>
          </cell>
          <cell r="AG381">
            <v>0</v>
          </cell>
          <cell r="AI381">
            <v>0</v>
          </cell>
          <cell r="AJ381">
            <v>0</v>
          </cell>
          <cell r="AL381">
            <v>0</v>
          </cell>
          <cell r="AM381">
            <v>0</v>
          </cell>
          <cell r="AO381">
            <v>0</v>
          </cell>
          <cell r="AP381">
            <v>0</v>
          </cell>
          <cell r="AR381">
            <v>3134.3799999999974</v>
          </cell>
          <cell r="AS381">
            <v>0</v>
          </cell>
          <cell r="BF381" t="str">
            <v>4830</v>
          </cell>
          <cell r="BG381" t="str">
            <v>D112</v>
          </cell>
          <cell r="BH381" t="str">
            <v>TUL</v>
          </cell>
        </row>
        <row r="382">
          <cell r="K382">
            <v>0</v>
          </cell>
          <cell r="L382">
            <v>0</v>
          </cell>
          <cell r="N382">
            <v>0</v>
          </cell>
          <cell r="O382">
            <v>0</v>
          </cell>
          <cell r="Q382">
            <v>0</v>
          </cell>
          <cell r="R382">
            <v>0</v>
          </cell>
          <cell r="T382">
            <v>0</v>
          </cell>
          <cell r="U382">
            <v>0</v>
          </cell>
          <cell r="W382">
            <v>0</v>
          </cell>
          <cell r="X382">
            <v>0</v>
          </cell>
          <cell r="Z382">
            <v>0</v>
          </cell>
          <cell r="AA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I382">
            <v>0</v>
          </cell>
          <cell r="AJ382">
            <v>0</v>
          </cell>
          <cell r="AL382">
            <v>0</v>
          </cell>
          <cell r="AM382">
            <v>0</v>
          </cell>
          <cell r="AO382">
            <v>0</v>
          </cell>
          <cell r="AP382">
            <v>0</v>
          </cell>
          <cell r="AR382">
            <v>0</v>
          </cell>
          <cell r="AS382">
            <v>0</v>
          </cell>
          <cell r="BF382" t="str">
            <v>4840</v>
          </cell>
          <cell r="BG382" t="str">
            <v>Z000</v>
          </cell>
          <cell r="BH382" t="str">
            <v>TUL</v>
          </cell>
        </row>
        <row r="383">
          <cell r="K383">
            <v>0</v>
          </cell>
          <cell r="L383">
            <v>0</v>
          </cell>
          <cell r="N383">
            <v>0</v>
          </cell>
          <cell r="O383">
            <v>0</v>
          </cell>
          <cell r="Q383">
            <v>0</v>
          </cell>
          <cell r="R383">
            <v>0</v>
          </cell>
          <cell r="T383">
            <v>0</v>
          </cell>
          <cell r="U383">
            <v>0</v>
          </cell>
          <cell r="W383">
            <v>0</v>
          </cell>
          <cell r="X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I383">
            <v>0</v>
          </cell>
          <cell r="AJ383">
            <v>0</v>
          </cell>
          <cell r="AL383">
            <v>0</v>
          </cell>
          <cell r="AM383">
            <v>0</v>
          </cell>
          <cell r="AO383">
            <v>0</v>
          </cell>
          <cell r="AP383">
            <v>0</v>
          </cell>
          <cell r="AR383">
            <v>0</v>
          </cell>
          <cell r="AS383">
            <v>0</v>
          </cell>
          <cell r="BF383" t="str">
            <v>4870</v>
          </cell>
          <cell r="BG383" t="str">
            <v>Z000</v>
          </cell>
          <cell r="BH383" t="str">
            <v>TUL</v>
          </cell>
        </row>
        <row r="384">
          <cell r="K384">
            <v>0</v>
          </cell>
          <cell r="L384">
            <v>0</v>
          </cell>
          <cell r="N384">
            <v>0</v>
          </cell>
          <cell r="O384">
            <v>0</v>
          </cell>
          <cell r="Q384">
            <v>0</v>
          </cell>
          <cell r="R384">
            <v>0</v>
          </cell>
          <cell r="T384">
            <v>0</v>
          </cell>
          <cell r="U384">
            <v>0</v>
          </cell>
          <cell r="W384">
            <v>0</v>
          </cell>
          <cell r="X384">
            <v>0</v>
          </cell>
          <cell r="Z384">
            <v>0</v>
          </cell>
          <cell r="AA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I384">
            <v>0</v>
          </cell>
          <cell r="AJ384">
            <v>0</v>
          </cell>
          <cell r="AL384">
            <v>0</v>
          </cell>
          <cell r="AM384">
            <v>0</v>
          </cell>
          <cell r="AO384">
            <v>0</v>
          </cell>
          <cell r="AP384">
            <v>0</v>
          </cell>
          <cell r="AR384">
            <v>0</v>
          </cell>
          <cell r="AS384">
            <v>0</v>
          </cell>
          <cell r="BF384" t="str">
            <v>4880</v>
          </cell>
          <cell r="BG384" t="str">
            <v>Z000</v>
          </cell>
          <cell r="BH384" t="str">
            <v>TUL</v>
          </cell>
        </row>
        <row r="385">
          <cell r="K385">
            <v>0</v>
          </cell>
          <cell r="L385">
            <v>0</v>
          </cell>
          <cell r="N385">
            <v>0</v>
          </cell>
          <cell r="O385">
            <v>0</v>
          </cell>
          <cell r="Q385">
            <v>0</v>
          </cell>
          <cell r="R385">
            <v>0</v>
          </cell>
          <cell r="T385">
            <v>0</v>
          </cell>
          <cell r="U385">
            <v>0</v>
          </cell>
          <cell r="W385">
            <v>0</v>
          </cell>
          <cell r="X385">
            <v>0</v>
          </cell>
          <cell r="Z385">
            <v>0</v>
          </cell>
          <cell r="AA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I385">
            <v>0</v>
          </cell>
          <cell r="AJ385">
            <v>0</v>
          </cell>
          <cell r="AL385">
            <v>0</v>
          </cell>
          <cell r="AM385">
            <v>0</v>
          </cell>
          <cell r="AO385">
            <v>0</v>
          </cell>
          <cell r="AP385">
            <v>0</v>
          </cell>
          <cell r="AR385">
            <v>0</v>
          </cell>
          <cell r="AS385">
            <v>0</v>
          </cell>
          <cell r="BF385" t="str">
            <v>4890</v>
          </cell>
          <cell r="BG385" t="str">
            <v>Z000</v>
          </cell>
          <cell r="BH385" t="str">
            <v>TUL</v>
          </cell>
        </row>
        <row r="386">
          <cell r="K386">
            <v>0</v>
          </cell>
          <cell r="L386">
            <v>0</v>
          </cell>
          <cell r="N386">
            <v>0</v>
          </cell>
          <cell r="O386">
            <v>0</v>
          </cell>
          <cell r="Q386">
            <v>0</v>
          </cell>
          <cell r="R386">
            <v>0</v>
          </cell>
          <cell r="T386">
            <v>0</v>
          </cell>
          <cell r="U386">
            <v>0</v>
          </cell>
          <cell r="W386">
            <v>0</v>
          </cell>
          <cell r="X386">
            <v>0</v>
          </cell>
          <cell r="Z386">
            <v>0</v>
          </cell>
          <cell r="AA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I386">
            <v>0</v>
          </cell>
          <cell r="AJ386">
            <v>0</v>
          </cell>
          <cell r="AL386">
            <v>0</v>
          </cell>
          <cell r="AM386">
            <v>0</v>
          </cell>
          <cell r="AO386">
            <v>0</v>
          </cell>
          <cell r="AP386">
            <v>0</v>
          </cell>
          <cell r="AR386">
            <v>0</v>
          </cell>
          <cell r="AS386">
            <v>0</v>
          </cell>
          <cell r="BF386" t="str">
            <v>4900</v>
          </cell>
          <cell r="BG386" t="str">
            <v>Z000</v>
          </cell>
          <cell r="BH386" t="str">
            <v>TUL</v>
          </cell>
        </row>
        <row r="387"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Q387">
            <v>0</v>
          </cell>
          <cell r="R387">
            <v>0</v>
          </cell>
          <cell r="T387">
            <v>0</v>
          </cell>
          <cell r="U387">
            <v>0</v>
          </cell>
          <cell r="W387">
            <v>0</v>
          </cell>
          <cell r="X387">
            <v>0</v>
          </cell>
          <cell r="Z387">
            <v>0</v>
          </cell>
          <cell r="AA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I387">
            <v>0</v>
          </cell>
          <cell r="AJ387">
            <v>0</v>
          </cell>
          <cell r="AL387">
            <v>0</v>
          </cell>
          <cell r="AM387">
            <v>0</v>
          </cell>
          <cell r="AO387">
            <v>0</v>
          </cell>
          <cell r="AP387">
            <v>0</v>
          </cell>
          <cell r="AR387">
            <v>0</v>
          </cell>
          <cell r="AS387">
            <v>0</v>
          </cell>
          <cell r="BF387" t="str">
            <v>4910</v>
          </cell>
          <cell r="BG387" t="str">
            <v>Z000</v>
          </cell>
          <cell r="BH387" t="str">
            <v>TUL</v>
          </cell>
        </row>
        <row r="388">
          <cell r="K388">
            <v>0</v>
          </cell>
          <cell r="L388">
            <v>0</v>
          </cell>
          <cell r="N388">
            <v>0</v>
          </cell>
          <cell r="O388">
            <v>0</v>
          </cell>
          <cell r="Q388">
            <v>0</v>
          </cell>
          <cell r="R388">
            <v>0</v>
          </cell>
          <cell r="T388">
            <v>0</v>
          </cell>
          <cell r="U388">
            <v>0</v>
          </cell>
          <cell r="W388">
            <v>0</v>
          </cell>
          <cell r="X388">
            <v>0</v>
          </cell>
          <cell r="Z388">
            <v>0</v>
          </cell>
          <cell r="AA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I388">
            <v>0</v>
          </cell>
          <cell r="AJ388">
            <v>0</v>
          </cell>
          <cell r="AL388">
            <v>0</v>
          </cell>
          <cell r="AM388">
            <v>0</v>
          </cell>
          <cell r="AO388">
            <v>0</v>
          </cell>
          <cell r="AP388">
            <v>0</v>
          </cell>
          <cell r="AR388">
            <v>0</v>
          </cell>
          <cell r="AS388">
            <v>0</v>
          </cell>
          <cell r="BF388" t="str">
            <v>4940</v>
          </cell>
          <cell r="BG388" t="str">
            <v>Z000</v>
          </cell>
          <cell r="BH388" t="str">
            <v>TUL</v>
          </cell>
        </row>
        <row r="389">
          <cell r="K389">
            <v>0</v>
          </cell>
          <cell r="L389">
            <v>0</v>
          </cell>
          <cell r="N389">
            <v>0</v>
          </cell>
          <cell r="O389">
            <v>0</v>
          </cell>
          <cell r="Q389">
            <v>0</v>
          </cell>
          <cell r="R389">
            <v>0</v>
          </cell>
          <cell r="T389">
            <v>0</v>
          </cell>
          <cell r="U389">
            <v>0</v>
          </cell>
          <cell r="W389">
            <v>0</v>
          </cell>
          <cell r="X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I389">
            <v>0</v>
          </cell>
          <cell r="AJ389">
            <v>0</v>
          </cell>
          <cell r="AL389">
            <v>0</v>
          </cell>
          <cell r="AM389">
            <v>0</v>
          </cell>
          <cell r="AO389">
            <v>0</v>
          </cell>
          <cell r="AP389">
            <v>0</v>
          </cell>
          <cell r="AR389">
            <v>0</v>
          </cell>
          <cell r="AS389">
            <v>0</v>
          </cell>
          <cell r="BF389" t="str">
            <v>4941</v>
          </cell>
          <cell r="BG389" t="str">
            <v>Z000</v>
          </cell>
          <cell r="BH389" t="str">
            <v>TUL</v>
          </cell>
        </row>
        <row r="390">
          <cell r="K390">
            <v>0</v>
          </cell>
          <cell r="L390">
            <v>0</v>
          </cell>
          <cell r="N390">
            <v>0</v>
          </cell>
          <cell r="O390">
            <v>0</v>
          </cell>
          <cell r="Q390">
            <v>0</v>
          </cell>
          <cell r="R390">
            <v>0</v>
          </cell>
          <cell r="T390">
            <v>0</v>
          </cell>
          <cell r="U390">
            <v>0</v>
          </cell>
          <cell r="W390">
            <v>0</v>
          </cell>
          <cell r="X390">
            <v>0</v>
          </cell>
          <cell r="Z390">
            <v>0</v>
          </cell>
          <cell r="AA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I390">
            <v>0</v>
          </cell>
          <cell r="AJ390">
            <v>0</v>
          </cell>
          <cell r="AL390">
            <v>0</v>
          </cell>
          <cell r="AM390">
            <v>0</v>
          </cell>
          <cell r="AO390">
            <v>0</v>
          </cell>
          <cell r="AP390">
            <v>0</v>
          </cell>
          <cell r="AR390">
            <v>0</v>
          </cell>
          <cell r="AS390">
            <v>0</v>
          </cell>
          <cell r="BF390" t="str">
            <v>4942</v>
          </cell>
          <cell r="BG390" t="str">
            <v>Z000</v>
          </cell>
          <cell r="BH390" t="str">
            <v>TUL</v>
          </cell>
        </row>
        <row r="391"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Q391">
            <v>0</v>
          </cell>
          <cell r="R391">
            <v>0</v>
          </cell>
          <cell r="T391">
            <v>0</v>
          </cell>
          <cell r="U391">
            <v>0</v>
          </cell>
          <cell r="W391">
            <v>0</v>
          </cell>
          <cell r="X391">
            <v>0</v>
          </cell>
          <cell r="Z391">
            <v>0</v>
          </cell>
          <cell r="AA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I391">
            <v>0</v>
          </cell>
          <cell r="AJ391">
            <v>0</v>
          </cell>
          <cell r="AL391">
            <v>0</v>
          </cell>
          <cell r="AM391">
            <v>0</v>
          </cell>
          <cell r="AO391">
            <v>0</v>
          </cell>
          <cell r="AP391">
            <v>0</v>
          </cell>
          <cell r="AR391">
            <v>0</v>
          </cell>
          <cell r="AS391">
            <v>0</v>
          </cell>
          <cell r="BF391" t="str">
            <v>4950</v>
          </cell>
          <cell r="BG391" t="str">
            <v>Z000</v>
          </cell>
          <cell r="BH391" t="str">
            <v>TUL</v>
          </cell>
        </row>
        <row r="392">
          <cell r="K392">
            <v>0</v>
          </cell>
          <cell r="L392">
            <v>0</v>
          </cell>
          <cell r="N392">
            <v>0</v>
          </cell>
          <cell r="O392">
            <v>0</v>
          </cell>
          <cell r="Q392">
            <v>0</v>
          </cell>
          <cell r="R392">
            <v>0</v>
          </cell>
          <cell r="T392">
            <v>0</v>
          </cell>
          <cell r="U392">
            <v>0</v>
          </cell>
          <cell r="W392">
            <v>0</v>
          </cell>
          <cell r="X392">
            <v>0</v>
          </cell>
          <cell r="Z392">
            <v>0</v>
          </cell>
          <cell r="AA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I392">
            <v>0</v>
          </cell>
          <cell r="AJ392">
            <v>0</v>
          </cell>
          <cell r="AL392">
            <v>0</v>
          </cell>
          <cell r="AM392">
            <v>0</v>
          </cell>
          <cell r="AO392">
            <v>0</v>
          </cell>
          <cell r="AP392">
            <v>0</v>
          </cell>
          <cell r="AR392">
            <v>0</v>
          </cell>
          <cell r="AS392">
            <v>0</v>
          </cell>
          <cell r="BF392" t="str">
            <v>5100</v>
          </cell>
          <cell r="BG392" t="str">
            <v>E001</v>
          </cell>
          <cell r="BH392" t="str">
            <v>TUL</v>
          </cell>
        </row>
        <row r="393">
          <cell r="K393">
            <v>0</v>
          </cell>
          <cell r="L393">
            <v>0</v>
          </cell>
          <cell r="N393">
            <v>0</v>
          </cell>
          <cell r="O393">
            <v>0</v>
          </cell>
          <cell r="Q393">
            <v>0</v>
          </cell>
          <cell r="R393">
            <v>0</v>
          </cell>
          <cell r="T393">
            <v>0</v>
          </cell>
          <cell r="U393">
            <v>0</v>
          </cell>
          <cell r="W393">
            <v>0</v>
          </cell>
          <cell r="X393">
            <v>0</v>
          </cell>
          <cell r="Z393">
            <v>0</v>
          </cell>
          <cell r="AA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I393">
            <v>0</v>
          </cell>
          <cell r="AJ393">
            <v>0</v>
          </cell>
          <cell r="AL393">
            <v>0</v>
          </cell>
          <cell r="AM393">
            <v>0</v>
          </cell>
          <cell r="AO393">
            <v>0</v>
          </cell>
          <cell r="AP393">
            <v>0</v>
          </cell>
          <cell r="AR393">
            <v>0</v>
          </cell>
          <cell r="AS393">
            <v>0</v>
          </cell>
          <cell r="BF393" t="str">
            <v>5100</v>
          </cell>
          <cell r="BG393" t="str">
            <v>E002</v>
          </cell>
          <cell r="BH393" t="str">
            <v>TUL</v>
          </cell>
        </row>
        <row r="394">
          <cell r="K394">
            <v>0</v>
          </cell>
          <cell r="L394">
            <v>0</v>
          </cell>
          <cell r="N394">
            <v>0</v>
          </cell>
          <cell r="O394">
            <v>0</v>
          </cell>
          <cell r="Q394">
            <v>0</v>
          </cell>
          <cell r="R394">
            <v>0</v>
          </cell>
          <cell r="T394">
            <v>0</v>
          </cell>
          <cell r="U394">
            <v>0</v>
          </cell>
          <cell r="W394">
            <v>0</v>
          </cell>
          <cell r="X394">
            <v>0</v>
          </cell>
          <cell r="Z394">
            <v>0</v>
          </cell>
          <cell r="AA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I394">
            <v>0</v>
          </cell>
          <cell r="AJ394">
            <v>0</v>
          </cell>
          <cell r="AL394">
            <v>0</v>
          </cell>
          <cell r="AM394">
            <v>0</v>
          </cell>
          <cell r="AO394">
            <v>0</v>
          </cell>
          <cell r="AP394">
            <v>0</v>
          </cell>
          <cell r="AR394">
            <v>0</v>
          </cell>
          <cell r="AS394">
            <v>0</v>
          </cell>
          <cell r="BF394" t="str">
            <v>5200</v>
          </cell>
          <cell r="BG394" t="str">
            <v>Z000</v>
          </cell>
          <cell r="BH394" t="str">
            <v>TUL</v>
          </cell>
        </row>
        <row r="395">
          <cell r="K395">
            <v>0</v>
          </cell>
          <cell r="L395">
            <v>0</v>
          </cell>
          <cell r="N395">
            <v>0</v>
          </cell>
          <cell r="O395">
            <v>0</v>
          </cell>
          <cell r="Q395">
            <v>0</v>
          </cell>
          <cell r="R395">
            <v>0</v>
          </cell>
          <cell r="T395">
            <v>0</v>
          </cell>
          <cell r="U395">
            <v>0</v>
          </cell>
          <cell r="W395">
            <v>0</v>
          </cell>
          <cell r="X395">
            <v>0</v>
          </cell>
          <cell r="Z395">
            <v>0</v>
          </cell>
          <cell r="AA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I395">
            <v>0</v>
          </cell>
          <cell r="AJ395">
            <v>0</v>
          </cell>
          <cell r="AL395">
            <v>0</v>
          </cell>
          <cell r="AM395">
            <v>0</v>
          </cell>
          <cell r="AO395">
            <v>0</v>
          </cell>
          <cell r="AP395">
            <v>0</v>
          </cell>
          <cell r="AR395">
            <v>0</v>
          </cell>
          <cell r="AS395">
            <v>0</v>
          </cell>
          <cell r="BF395" t="str">
            <v>5400</v>
          </cell>
          <cell r="BG395" t="str">
            <v>F001</v>
          </cell>
          <cell r="BH395" t="str">
            <v>TUL</v>
          </cell>
        </row>
        <row r="396">
          <cell r="K396">
            <v>0</v>
          </cell>
          <cell r="L396">
            <v>0</v>
          </cell>
          <cell r="N396">
            <v>0</v>
          </cell>
          <cell r="O396">
            <v>0</v>
          </cell>
          <cell r="Q396">
            <v>0</v>
          </cell>
          <cell r="R396">
            <v>0</v>
          </cell>
          <cell r="T396">
            <v>0</v>
          </cell>
          <cell r="U396">
            <v>0</v>
          </cell>
          <cell r="W396">
            <v>0</v>
          </cell>
          <cell r="X396">
            <v>0</v>
          </cell>
          <cell r="Z396">
            <v>0</v>
          </cell>
          <cell r="AA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I396">
            <v>0</v>
          </cell>
          <cell r="AJ396">
            <v>0</v>
          </cell>
          <cell r="AL396">
            <v>0</v>
          </cell>
          <cell r="AM396">
            <v>0</v>
          </cell>
          <cell r="AO396">
            <v>0</v>
          </cell>
          <cell r="AP396">
            <v>0</v>
          </cell>
          <cell r="AR396">
            <v>0</v>
          </cell>
          <cell r="AS396">
            <v>0</v>
          </cell>
          <cell r="BF396" t="str">
            <v>5400</v>
          </cell>
          <cell r="BG396" t="str">
            <v>F002</v>
          </cell>
          <cell r="BH396" t="str">
            <v>TUL</v>
          </cell>
        </row>
        <row r="397">
          <cell r="K397">
            <v>0</v>
          </cell>
          <cell r="L397">
            <v>0</v>
          </cell>
          <cell r="N397">
            <v>0</v>
          </cell>
          <cell r="O397">
            <v>0</v>
          </cell>
          <cell r="Q397">
            <v>0</v>
          </cell>
          <cell r="R397">
            <v>0</v>
          </cell>
          <cell r="T397">
            <v>0</v>
          </cell>
          <cell r="U397">
            <v>0</v>
          </cell>
          <cell r="W397">
            <v>0</v>
          </cell>
          <cell r="X397">
            <v>0</v>
          </cell>
          <cell r="Z397">
            <v>0</v>
          </cell>
          <cell r="AA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I397">
            <v>0</v>
          </cell>
          <cell r="AJ397">
            <v>0</v>
          </cell>
          <cell r="AL397">
            <v>0</v>
          </cell>
          <cell r="AM397">
            <v>0</v>
          </cell>
          <cell r="AO397">
            <v>0</v>
          </cell>
          <cell r="AP397">
            <v>0</v>
          </cell>
          <cell r="AR397">
            <v>0</v>
          </cell>
          <cell r="AS397">
            <v>0</v>
          </cell>
          <cell r="BF397" t="str">
            <v>5400</v>
          </cell>
          <cell r="BG397" t="str">
            <v>F003</v>
          </cell>
          <cell r="BH397" t="str">
            <v>TUL</v>
          </cell>
        </row>
        <row r="398">
          <cell r="K398">
            <v>0</v>
          </cell>
          <cell r="L398">
            <v>0</v>
          </cell>
          <cell r="N398">
            <v>0</v>
          </cell>
          <cell r="O398">
            <v>0</v>
          </cell>
          <cell r="Q398">
            <v>0</v>
          </cell>
          <cell r="R398">
            <v>0</v>
          </cell>
          <cell r="T398">
            <v>0</v>
          </cell>
          <cell r="U398">
            <v>0</v>
          </cell>
          <cell r="W398">
            <v>0</v>
          </cell>
          <cell r="X398">
            <v>0</v>
          </cell>
          <cell r="Z398">
            <v>0</v>
          </cell>
          <cell r="AA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I398">
            <v>0</v>
          </cell>
          <cell r="AJ398">
            <v>0</v>
          </cell>
          <cell r="AL398">
            <v>0</v>
          </cell>
          <cell r="AM398">
            <v>0</v>
          </cell>
          <cell r="AO398">
            <v>0</v>
          </cell>
          <cell r="AP398">
            <v>0</v>
          </cell>
          <cell r="AR398">
            <v>0</v>
          </cell>
          <cell r="AS398">
            <v>0</v>
          </cell>
          <cell r="BF398" t="str">
            <v>5400</v>
          </cell>
          <cell r="BG398" t="str">
            <v>F004</v>
          </cell>
          <cell r="BH398" t="str">
            <v>TUL</v>
          </cell>
        </row>
        <row r="399">
          <cell r="K399">
            <v>0</v>
          </cell>
          <cell r="L399">
            <v>0</v>
          </cell>
          <cell r="N399">
            <v>0</v>
          </cell>
          <cell r="O399">
            <v>0</v>
          </cell>
          <cell r="Q399">
            <v>0</v>
          </cell>
          <cell r="R399">
            <v>0</v>
          </cell>
          <cell r="T399">
            <v>0</v>
          </cell>
          <cell r="U399">
            <v>0</v>
          </cell>
          <cell r="W399">
            <v>0</v>
          </cell>
          <cell r="X399">
            <v>0</v>
          </cell>
          <cell r="Z399">
            <v>0</v>
          </cell>
          <cell r="AA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I399">
            <v>0</v>
          </cell>
          <cell r="AJ399">
            <v>0</v>
          </cell>
          <cell r="AL399">
            <v>0</v>
          </cell>
          <cell r="AM399">
            <v>0</v>
          </cell>
          <cell r="AO399">
            <v>0</v>
          </cell>
          <cell r="AP399">
            <v>0</v>
          </cell>
          <cell r="AR399">
            <v>0</v>
          </cell>
          <cell r="AS399">
            <v>0</v>
          </cell>
          <cell r="BF399" t="str">
            <v>5400</v>
          </cell>
          <cell r="BG399" t="str">
            <v>F005</v>
          </cell>
          <cell r="BH399" t="str">
            <v>TUL</v>
          </cell>
        </row>
        <row r="400">
          <cell r="K400">
            <v>0</v>
          </cell>
          <cell r="L400">
            <v>0</v>
          </cell>
          <cell r="N400">
            <v>0</v>
          </cell>
          <cell r="O400">
            <v>0</v>
          </cell>
          <cell r="Q400">
            <v>0</v>
          </cell>
          <cell r="R400">
            <v>0</v>
          </cell>
          <cell r="T400">
            <v>0</v>
          </cell>
          <cell r="U400">
            <v>0</v>
          </cell>
          <cell r="W400">
            <v>0</v>
          </cell>
          <cell r="X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I400">
            <v>0</v>
          </cell>
          <cell r="AJ400">
            <v>0</v>
          </cell>
          <cell r="AL400">
            <v>0</v>
          </cell>
          <cell r="AM400">
            <v>0</v>
          </cell>
          <cell r="AO400">
            <v>0</v>
          </cell>
          <cell r="AP400">
            <v>0</v>
          </cell>
          <cell r="AR400">
            <v>0</v>
          </cell>
          <cell r="AS400">
            <v>0</v>
          </cell>
          <cell r="BF400" t="str">
            <v>5400</v>
          </cell>
          <cell r="BG400" t="str">
            <v>F006</v>
          </cell>
          <cell r="BH400" t="str">
            <v>TUL</v>
          </cell>
        </row>
        <row r="401">
          <cell r="K401">
            <v>0</v>
          </cell>
          <cell r="L401">
            <v>0</v>
          </cell>
          <cell r="N401">
            <v>0</v>
          </cell>
          <cell r="O401">
            <v>0</v>
          </cell>
          <cell r="Q401">
            <v>0</v>
          </cell>
          <cell r="R401">
            <v>0</v>
          </cell>
          <cell r="T401">
            <v>0</v>
          </cell>
          <cell r="U401">
            <v>0</v>
          </cell>
          <cell r="W401">
            <v>0</v>
          </cell>
          <cell r="X401">
            <v>0</v>
          </cell>
          <cell r="Z401">
            <v>0</v>
          </cell>
          <cell r="AA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I401">
            <v>0</v>
          </cell>
          <cell r="AJ401">
            <v>0</v>
          </cell>
          <cell r="AL401">
            <v>0</v>
          </cell>
          <cell r="AM401">
            <v>0</v>
          </cell>
          <cell r="AO401">
            <v>0</v>
          </cell>
          <cell r="AP401">
            <v>0</v>
          </cell>
          <cell r="AR401">
            <v>0</v>
          </cell>
          <cell r="AS401">
            <v>0</v>
          </cell>
          <cell r="BF401" t="str">
            <v>5400</v>
          </cell>
          <cell r="BG401" t="str">
            <v>F007</v>
          </cell>
          <cell r="BH401" t="str">
            <v>TUL</v>
          </cell>
        </row>
        <row r="402">
          <cell r="K402">
            <v>0</v>
          </cell>
          <cell r="L402">
            <v>0</v>
          </cell>
          <cell r="N402">
            <v>0</v>
          </cell>
          <cell r="O402">
            <v>0</v>
          </cell>
          <cell r="Q402">
            <v>0</v>
          </cell>
          <cell r="R402">
            <v>0</v>
          </cell>
          <cell r="T402">
            <v>0</v>
          </cell>
          <cell r="U402">
            <v>0</v>
          </cell>
          <cell r="W402">
            <v>0</v>
          </cell>
          <cell r="X402">
            <v>0</v>
          </cell>
          <cell r="Z402">
            <v>0</v>
          </cell>
          <cell r="AA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I402">
            <v>0</v>
          </cell>
          <cell r="AJ402">
            <v>0</v>
          </cell>
          <cell r="AL402">
            <v>0</v>
          </cell>
          <cell r="AM402">
            <v>0</v>
          </cell>
          <cell r="AO402">
            <v>0</v>
          </cell>
          <cell r="AP402">
            <v>0</v>
          </cell>
          <cell r="AR402">
            <v>0</v>
          </cell>
          <cell r="AS402">
            <v>0</v>
          </cell>
          <cell r="BF402" t="str">
            <v>5400</v>
          </cell>
          <cell r="BG402" t="str">
            <v>F008</v>
          </cell>
          <cell r="BH402" t="str">
            <v>TUL</v>
          </cell>
        </row>
        <row r="403">
          <cell r="K403">
            <v>0</v>
          </cell>
          <cell r="L403">
            <v>0</v>
          </cell>
          <cell r="N403">
            <v>0</v>
          </cell>
          <cell r="O403">
            <v>0</v>
          </cell>
          <cell r="Q403">
            <v>0</v>
          </cell>
          <cell r="R403">
            <v>0</v>
          </cell>
          <cell r="T403">
            <v>0</v>
          </cell>
          <cell r="U403">
            <v>0</v>
          </cell>
          <cell r="W403">
            <v>0</v>
          </cell>
          <cell r="X403">
            <v>0</v>
          </cell>
          <cell r="Z403">
            <v>0</v>
          </cell>
          <cell r="AA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I403">
            <v>0</v>
          </cell>
          <cell r="AJ403">
            <v>0</v>
          </cell>
          <cell r="AL403">
            <v>0</v>
          </cell>
          <cell r="AM403">
            <v>0</v>
          </cell>
          <cell r="AO403">
            <v>0</v>
          </cell>
          <cell r="AP403">
            <v>0</v>
          </cell>
          <cell r="AR403">
            <v>0</v>
          </cell>
          <cell r="AS403">
            <v>0</v>
          </cell>
          <cell r="BF403" t="str">
            <v>5400</v>
          </cell>
          <cell r="BG403" t="str">
            <v>F009</v>
          </cell>
          <cell r="BH403" t="str">
            <v>TUL</v>
          </cell>
        </row>
        <row r="404">
          <cell r="K404">
            <v>0</v>
          </cell>
          <cell r="L404">
            <v>0</v>
          </cell>
          <cell r="N404">
            <v>0</v>
          </cell>
          <cell r="O404">
            <v>0</v>
          </cell>
          <cell r="Q404">
            <v>0</v>
          </cell>
          <cell r="R404">
            <v>0</v>
          </cell>
          <cell r="T404">
            <v>0</v>
          </cell>
          <cell r="U404">
            <v>0</v>
          </cell>
          <cell r="W404">
            <v>0</v>
          </cell>
          <cell r="X404">
            <v>0</v>
          </cell>
          <cell r="Z404">
            <v>0</v>
          </cell>
          <cell r="AA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I404">
            <v>0</v>
          </cell>
          <cell r="AJ404">
            <v>0</v>
          </cell>
          <cell r="AL404">
            <v>0</v>
          </cell>
          <cell r="AM404">
            <v>0</v>
          </cell>
          <cell r="AO404">
            <v>0</v>
          </cell>
          <cell r="AP404">
            <v>0</v>
          </cell>
          <cell r="AR404">
            <v>0</v>
          </cell>
          <cell r="AS404">
            <v>0</v>
          </cell>
          <cell r="BF404" t="str">
            <v>5400</v>
          </cell>
          <cell r="BG404" t="str">
            <v>F010</v>
          </cell>
          <cell r="BH404" t="str">
            <v>TUL</v>
          </cell>
        </row>
        <row r="405">
          <cell r="K405">
            <v>0</v>
          </cell>
          <cell r="L405">
            <v>0</v>
          </cell>
          <cell r="N405">
            <v>0</v>
          </cell>
          <cell r="O405">
            <v>0</v>
          </cell>
          <cell r="Q405">
            <v>0</v>
          </cell>
          <cell r="R405">
            <v>0</v>
          </cell>
          <cell r="T405">
            <v>0</v>
          </cell>
          <cell r="U405">
            <v>0</v>
          </cell>
          <cell r="W405">
            <v>0</v>
          </cell>
          <cell r="X405">
            <v>0</v>
          </cell>
          <cell r="Z405">
            <v>0</v>
          </cell>
          <cell r="AA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I405">
            <v>0</v>
          </cell>
          <cell r="AJ405">
            <v>0</v>
          </cell>
          <cell r="AL405">
            <v>0</v>
          </cell>
          <cell r="AM405">
            <v>0</v>
          </cell>
          <cell r="AO405">
            <v>0</v>
          </cell>
          <cell r="AP405">
            <v>0</v>
          </cell>
          <cell r="AR405">
            <v>0</v>
          </cell>
          <cell r="AS405">
            <v>0</v>
          </cell>
          <cell r="BF405" t="str">
            <v>5400</v>
          </cell>
          <cell r="BG405" t="str">
            <v>F011</v>
          </cell>
          <cell r="BH405" t="str">
            <v>TUL</v>
          </cell>
        </row>
        <row r="406">
          <cell r="K406">
            <v>0</v>
          </cell>
          <cell r="L406">
            <v>0</v>
          </cell>
          <cell r="N406">
            <v>0</v>
          </cell>
          <cell r="O406">
            <v>0</v>
          </cell>
          <cell r="Q406">
            <v>0</v>
          </cell>
          <cell r="R406">
            <v>0</v>
          </cell>
          <cell r="T406">
            <v>0</v>
          </cell>
          <cell r="U406">
            <v>0</v>
          </cell>
          <cell r="W406">
            <v>0</v>
          </cell>
          <cell r="X406">
            <v>0</v>
          </cell>
          <cell r="Z406">
            <v>0</v>
          </cell>
          <cell r="AA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I406">
            <v>0</v>
          </cell>
          <cell r="AJ406">
            <v>0</v>
          </cell>
          <cell r="AL406">
            <v>0</v>
          </cell>
          <cell r="AM406">
            <v>0</v>
          </cell>
          <cell r="AO406">
            <v>0</v>
          </cell>
          <cell r="AP406">
            <v>0</v>
          </cell>
          <cell r="AR406">
            <v>0</v>
          </cell>
          <cell r="AS406">
            <v>0</v>
          </cell>
          <cell r="BF406" t="str">
            <v>5400</v>
          </cell>
          <cell r="BG406" t="str">
            <v>F012</v>
          </cell>
          <cell r="BH406" t="str">
            <v>TUL</v>
          </cell>
        </row>
        <row r="407">
          <cell r="K407">
            <v>0</v>
          </cell>
          <cell r="L407">
            <v>0</v>
          </cell>
          <cell r="N407">
            <v>0</v>
          </cell>
          <cell r="O407">
            <v>0</v>
          </cell>
          <cell r="Q407">
            <v>0</v>
          </cell>
          <cell r="R407">
            <v>0</v>
          </cell>
          <cell r="T407">
            <v>0</v>
          </cell>
          <cell r="U407">
            <v>0</v>
          </cell>
          <cell r="W407">
            <v>0</v>
          </cell>
          <cell r="X407">
            <v>0</v>
          </cell>
          <cell r="Z407">
            <v>0</v>
          </cell>
          <cell r="AA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I407">
            <v>0</v>
          </cell>
          <cell r="AJ407">
            <v>0</v>
          </cell>
          <cell r="AL407">
            <v>0</v>
          </cell>
          <cell r="AM407">
            <v>0</v>
          </cell>
          <cell r="AO407">
            <v>0</v>
          </cell>
          <cell r="AP407">
            <v>0</v>
          </cell>
          <cell r="AR407">
            <v>0</v>
          </cell>
          <cell r="AS407">
            <v>0</v>
          </cell>
          <cell r="BF407" t="str">
            <v>5400</v>
          </cell>
          <cell r="BG407" t="str">
            <v>F013</v>
          </cell>
          <cell r="BH407" t="str">
            <v>TUL</v>
          </cell>
        </row>
        <row r="408">
          <cell r="K408">
            <v>0</v>
          </cell>
          <cell r="L408">
            <v>0</v>
          </cell>
          <cell r="N408">
            <v>0</v>
          </cell>
          <cell r="O408">
            <v>0</v>
          </cell>
          <cell r="Q408">
            <v>0</v>
          </cell>
          <cell r="R408">
            <v>0</v>
          </cell>
          <cell r="T408">
            <v>0</v>
          </cell>
          <cell r="U408">
            <v>0</v>
          </cell>
          <cell r="W408">
            <v>0</v>
          </cell>
          <cell r="X408">
            <v>0</v>
          </cell>
          <cell r="Z408">
            <v>0</v>
          </cell>
          <cell r="AA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I408">
            <v>0</v>
          </cell>
          <cell r="AJ408">
            <v>0</v>
          </cell>
          <cell r="AL408">
            <v>0</v>
          </cell>
          <cell r="AM408">
            <v>0</v>
          </cell>
          <cell r="AO408">
            <v>0</v>
          </cell>
          <cell r="AP408">
            <v>0</v>
          </cell>
          <cell r="AR408">
            <v>0</v>
          </cell>
          <cell r="AS408">
            <v>0</v>
          </cell>
          <cell r="BF408" t="str">
            <v>5400</v>
          </cell>
          <cell r="BG408" t="str">
            <v>F014</v>
          </cell>
          <cell r="BH408" t="str">
            <v>TUL</v>
          </cell>
        </row>
        <row r="409">
          <cell r="K409">
            <v>-8366.2200000000303</v>
          </cell>
          <cell r="L409">
            <v>0</v>
          </cell>
          <cell r="N409">
            <v>-3653.2799999999697</v>
          </cell>
          <cell r="O409">
            <v>0</v>
          </cell>
          <cell r="Q409">
            <v>-5574.2399999999907</v>
          </cell>
          <cell r="R409">
            <v>0</v>
          </cell>
          <cell r="T409">
            <v>-6238.0600000000559</v>
          </cell>
          <cell r="U409">
            <v>0</v>
          </cell>
          <cell r="W409">
            <v>-5137.3199999999488</v>
          </cell>
          <cell r="X409">
            <v>0</v>
          </cell>
          <cell r="Z409">
            <v>-5802.7000000000698</v>
          </cell>
          <cell r="AA409">
            <v>0</v>
          </cell>
          <cell r="AC409">
            <v>-5822.7399999999907</v>
          </cell>
          <cell r="AD409">
            <v>0</v>
          </cell>
          <cell r="AF409">
            <v>-5888.2799999999697</v>
          </cell>
          <cell r="AG409">
            <v>0</v>
          </cell>
          <cell r="AI409">
            <v>-6151.0800000000163</v>
          </cell>
          <cell r="AJ409">
            <v>0</v>
          </cell>
          <cell r="AL409">
            <v>-5985.4899999999907</v>
          </cell>
          <cell r="AM409">
            <v>0</v>
          </cell>
          <cell r="AO409">
            <v>-6098.3399999999383</v>
          </cell>
          <cell r="AP409">
            <v>0</v>
          </cell>
          <cell r="AR409">
            <v>-6083.0199999999604</v>
          </cell>
          <cell r="AS409">
            <v>0</v>
          </cell>
          <cell r="BF409" t="str">
            <v>5400</v>
          </cell>
          <cell r="BG409" t="str">
            <v>F015</v>
          </cell>
          <cell r="BH409" t="str">
            <v>TUL</v>
          </cell>
        </row>
        <row r="410">
          <cell r="K410">
            <v>0</v>
          </cell>
          <cell r="L410">
            <v>0</v>
          </cell>
          <cell r="N410">
            <v>0</v>
          </cell>
          <cell r="O410">
            <v>0</v>
          </cell>
          <cell r="Q410">
            <v>0</v>
          </cell>
          <cell r="R410">
            <v>0</v>
          </cell>
          <cell r="T410">
            <v>0</v>
          </cell>
          <cell r="U410">
            <v>0</v>
          </cell>
          <cell r="W410">
            <v>0</v>
          </cell>
          <cell r="X410">
            <v>0</v>
          </cell>
          <cell r="Z410">
            <v>0</v>
          </cell>
          <cell r="AA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I410">
            <v>0</v>
          </cell>
          <cell r="AJ410">
            <v>0</v>
          </cell>
          <cell r="AL410">
            <v>0</v>
          </cell>
          <cell r="AM410">
            <v>0</v>
          </cell>
          <cell r="AO410">
            <v>0</v>
          </cell>
          <cell r="AP410">
            <v>0</v>
          </cell>
          <cell r="AR410">
            <v>0</v>
          </cell>
          <cell r="AS410">
            <v>0</v>
          </cell>
          <cell r="BF410" t="str">
            <v>5400</v>
          </cell>
          <cell r="BG410" t="str">
            <v>F016</v>
          </cell>
          <cell r="BH410" t="str">
            <v>TUL</v>
          </cell>
        </row>
        <row r="411">
          <cell r="K411">
            <v>0</v>
          </cell>
          <cell r="L411">
            <v>0</v>
          </cell>
          <cell r="N411">
            <v>0</v>
          </cell>
          <cell r="O411">
            <v>0</v>
          </cell>
          <cell r="Q411">
            <v>0</v>
          </cell>
          <cell r="R411">
            <v>0</v>
          </cell>
          <cell r="T411">
            <v>0</v>
          </cell>
          <cell r="U411">
            <v>0</v>
          </cell>
          <cell r="W411">
            <v>0</v>
          </cell>
          <cell r="X411">
            <v>0</v>
          </cell>
          <cell r="Z411">
            <v>0</v>
          </cell>
          <cell r="AA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I411">
            <v>0</v>
          </cell>
          <cell r="AJ411">
            <v>0</v>
          </cell>
          <cell r="AL411">
            <v>0</v>
          </cell>
          <cell r="AM411">
            <v>0</v>
          </cell>
          <cell r="AO411">
            <v>0</v>
          </cell>
          <cell r="AP411">
            <v>0</v>
          </cell>
          <cell r="AR411">
            <v>0</v>
          </cell>
          <cell r="AS411">
            <v>0</v>
          </cell>
          <cell r="BF411" t="str">
            <v>5400</v>
          </cell>
          <cell r="BG411" t="str">
            <v>F017</v>
          </cell>
          <cell r="BH411" t="str">
            <v>TUL</v>
          </cell>
        </row>
        <row r="412">
          <cell r="K412">
            <v>0</v>
          </cell>
          <cell r="L412">
            <v>0</v>
          </cell>
          <cell r="N412">
            <v>0</v>
          </cell>
          <cell r="O412">
            <v>0</v>
          </cell>
          <cell r="Q412">
            <v>0</v>
          </cell>
          <cell r="R412">
            <v>0</v>
          </cell>
          <cell r="T412">
            <v>0</v>
          </cell>
          <cell r="U412">
            <v>0</v>
          </cell>
          <cell r="W412">
            <v>0</v>
          </cell>
          <cell r="X412">
            <v>0</v>
          </cell>
          <cell r="Z412">
            <v>0</v>
          </cell>
          <cell r="AA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I412">
            <v>0</v>
          </cell>
          <cell r="AJ412">
            <v>0</v>
          </cell>
          <cell r="AL412">
            <v>0</v>
          </cell>
          <cell r="AM412">
            <v>0</v>
          </cell>
          <cell r="AO412">
            <v>0</v>
          </cell>
          <cell r="AP412">
            <v>0</v>
          </cell>
          <cell r="AR412">
            <v>0</v>
          </cell>
          <cell r="AS412">
            <v>0</v>
          </cell>
          <cell r="BF412" t="str">
            <v>5400</v>
          </cell>
          <cell r="BG412" t="str">
            <v>F018</v>
          </cell>
          <cell r="BH412" t="str">
            <v>TUL</v>
          </cell>
        </row>
        <row r="413">
          <cell r="K413">
            <v>0</v>
          </cell>
          <cell r="L413">
            <v>0</v>
          </cell>
          <cell r="N413">
            <v>0</v>
          </cell>
          <cell r="O413">
            <v>0</v>
          </cell>
          <cell r="Q413">
            <v>20000</v>
          </cell>
          <cell r="R413">
            <v>0</v>
          </cell>
          <cell r="T413">
            <v>-20000</v>
          </cell>
          <cell r="U413">
            <v>0</v>
          </cell>
          <cell r="W413">
            <v>20000</v>
          </cell>
          <cell r="X413">
            <v>0</v>
          </cell>
          <cell r="Z413">
            <v>-20000.000000000116</v>
          </cell>
          <cell r="AA413">
            <v>0</v>
          </cell>
          <cell r="AC413">
            <v>20000</v>
          </cell>
          <cell r="AD413">
            <v>0</v>
          </cell>
          <cell r="AF413">
            <v>0</v>
          </cell>
          <cell r="AG413">
            <v>0</v>
          </cell>
          <cell r="AI413">
            <v>0</v>
          </cell>
          <cell r="AJ413">
            <v>0</v>
          </cell>
          <cell r="AL413">
            <v>-20000</v>
          </cell>
          <cell r="AM413">
            <v>0</v>
          </cell>
          <cell r="AO413">
            <v>0</v>
          </cell>
          <cell r="AP413">
            <v>0</v>
          </cell>
          <cell r="AR413">
            <v>0</v>
          </cell>
          <cell r="AS413">
            <v>0</v>
          </cell>
          <cell r="BF413" t="str">
            <v>5400</v>
          </cell>
          <cell r="BG413" t="str">
            <v>F019</v>
          </cell>
          <cell r="BH413" t="str">
            <v>TUL</v>
          </cell>
        </row>
        <row r="414">
          <cell r="K414">
            <v>0</v>
          </cell>
          <cell r="L414">
            <v>0</v>
          </cell>
          <cell r="N414">
            <v>0</v>
          </cell>
          <cell r="O414">
            <v>0</v>
          </cell>
          <cell r="Q414">
            <v>0</v>
          </cell>
          <cell r="R414">
            <v>0</v>
          </cell>
          <cell r="T414">
            <v>0</v>
          </cell>
          <cell r="U414">
            <v>0</v>
          </cell>
          <cell r="W414">
            <v>0</v>
          </cell>
          <cell r="X414">
            <v>0</v>
          </cell>
          <cell r="Z414">
            <v>0</v>
          </cell>
          <cell r="AA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I414">
            <v>0</v>
          </cell>
          <cell r="AJ414">
            <v>0</v>
          </cell>
          <cell r="AL414">
            <v>0</v>
          </cell>
          <cell r="AM414">
            <v>0</v>
          </cell>
          <cell r="AO414">
            <v>0</v>
          </cell>
          <cell r="AP414">
            <v>0</v>
          </cell>
          <cell r="AR414">
            <v>0</v>
          </cell>
          <cell r="AS414">
            <v>0</v>
          </cell>
          <cell r="BF414" t="str">
            <v>5400</v>
          </cell>
          <cell r="BG414" t="str">
            <v>F020</v>
          </cell>
          <cell r="BH414" t="str">
            <v>TUL</v>
          </cell>
        </row>
        <row r="415">
          <cell r="K415">
            <v>1019504.9699999914</v>
          </cell>
          <cell r="L415">
            <v>0</v>
          </cell>
          <cell r="N415">
            <v>1796813.1700000018</v>
          </cell>
          <cell r="O415">
            <v>0</v>
          </cell>
          <cell r="Q415">
            <v>1641375.9599999934</v>
          </cell>
          <cell r="R415">
            <v>0</v>
          </cell>
          <cell r="T415">
            <v>715351.00799000263</v>
          </cell>
          <cell r="U415">
            <v>0</v>
          </cell>
          <cell r="W415">
            <v>173442.68999999762</v>
          </cell>
          <cell r="X415">
            <v>0</v>
          </cell>
          <cell r="Z415">
            <v>569626.00000000745</v>
          </cell>
          <cell r="AA415">
            <v>0</v>
          </cell>
          <cell r="AC415">
            <v>4121243.8600000143</v>
          </cell>
          <cell r="AD415">
            <v>0</v>
          </cell>
          <cell r="AF415">
            <v>-638991.47999999672</v>
          </cell>
          <cell r="AG415">
            <v>0</v>
          </cell>
          <cell r="AI415">
            <v>360133.61999999732</v>
          </cell>
          <cell r="AJ415">
            <v>0</v>
          </cell>
          <cell r="AL415">
            <v>-2737587.3699999973</v>
          </cell>
          <cell r="AM415">
            <v>0</v>
          </cell>
          <cell r="AO415">
            <v>352402.84000000358</v>
          </cell>
          <cell r="AP415">
            <v>0</v>
          </cell>
          <cell r="AR415">
            <v>462587.54999999702</v>
          </cell>
          <cell r="AS415">
            <v>0</v>
          </cell>
          <cell r="BF415" t="str">
            <v>5500</v>
          </cell>
          <cell r="BG415" t="str">
            <v>G001</v>
          </cell>
          <cell r="BH415" t="str">
            <v>TUL</v>
          </cell>
        </row>
        <row r="416">
          <cell r="K416">
            <v>0</v>
          </cell>
          <cell r="L416">
            <v>0</v>
          </cell>
          <cell r="N416">
            <v>0</v>
          </cell>
          <cell r="O416">
            <v>0</v>
          </cell>
          <cell r="Q416">
            <v>0</v>
          </cell>
          <cell r="R416">
            <v>0</v>
          </cell>
          <cell r="T416">
            <v>0</v>
          </cell>
          <cell r="U416">
            <v>0</v>
          </cell>
          <cell r="W416">
            <v>0</v>
          </cell>
          <cell r="X416">
            <v>0</v>
          </cell>
          <cell r="Z416">
            <v>0</v>
          </cell>
          <cell r="AA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I416">
            <v>0</v>
          </cell>
          <cell r="AJ416">
            <v>0</v>
          </cell>
          <cell r="AL416">
            <v>0</v>
          </cell>
          <cell r="AM416">
            <v>0</v>
          </cell>
          <cell r="AO416">
            <v>0</v>
          </cell>
          <cell r="AP416">
            <v>0</v>
          </cell>
          <cell r="AR416">
            <v>0</v>
          </cell>
          <cell r="AS416">
            <v>0</v>
          </cell>
          <cell r="BF416" t="str">
            <v>5500</v>
          </cell>
          <cell r="BG416" t="str">
            <v>G002</v>
          </cell>
          <cell r="BH416" t="str">
            <v>TUL</v>
          </cell>
        </row>
        <row r="417">
          <cell r="K417">
            <v>0</v>
          </cell>
          <cell r="L417">
            <v>0</v>
          </cell>
          <cell r="N417">
            <v>0</v>
          </cell>
          <cell r="O417">
            <v>0</v>
          </cell>
          <cell r="Q417">
            <v>0</v>
          </cell>
          <cell r="R417">
            <v>0</v>
          </cell>
          <cell r="T417">
            <v>0</v>
          </cell>
          <cell r="U417">
            <v>0</v>
          </cell>
          <cell r="W417">
            <v>0</v>
          </cell>
          <cell r="X417">
            <v>0</v>
          </cell>
          <cell r="Z417">
            <v>0</v>
          </cell>
          <cell r="AA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I417">
            <v>0</v>
          </cell>
          <cell r="AJ417">
            <v>0</v>
          </cell>
          <cell r="AL417">
            <v>0</v>
          </cell>
          <cell r="AM417">
            <v>0</v>
          </cell>
          <cell r="AO417">
            <v>0</v>
          </cell>
          <cell r="AP417">
            <v>0</v>
          </cell>
          <cell r="AR417">
            <v>0</v>
          </cell>
          <cell r="AS417">
            <v>0</v>
          </cell>
          <cell r="BF417" t="str">
            <v>5500</v>
          </cell>
          <cell r="BG417" t="str">
            <v>G003</v>
          </cell>
          <cell r="BH417" t="str">
            <v>TUL</v>
          </cell>
        </row>
        <row r="418">
          <cell r="K418">
            <v>0</v>
          </cell>
          <cell r="L418">
            <v>0</v>
          </cell>
          <cell r="N418">
            <v>0</v>
          </cell>
          <cell r="O418">
            <v>0</v>
          </cell>
          <cell r="Q418">
            <v>0</v>
          </cell>
          <cell r="R418">
            <v>0</v>
          </cell>
          <cell r="T418">
            <v>0</v>
          </cell>
          <cell r="U418">
            <v>0</v>
          </cell>
          <cell r="W418">
            <v>0</v>
          </cell>
          <cell r="X418">
            <v>0</v>
          </cell>
          <cell r="Z418">
            <v>0</v>
          </cell>
          <cell r="AA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I418">
            <v>0</v>
          </cell>
          <cell r="AJ418">
            <v>0</v>
          </cell>
          <cell r="AL418">
            <v>0</v>
          </cell>
          <cell r="AM418">
            <v>0</v>
          </cell>
          <cell r="AO418">
            <v>0</v>
          </cell>
          <cell r="AP418">
            <v>0</v>
          </cell>
          <cell r="AR418">
            <v>0</v>
          </cell>
          <cell r="AS418">
            <v>0</v>
          </cell>
          <cell r="BF418" t="str">
            <v>5500</v>
          </cell>
          <cell r="BG418" t="str">
            <v>G004</v>
          </cell>
          <cell r="BH418" t="str">
            <v>TUL</v>
          </cell>
        </row>
        <row r="419">
          <cell r="K419">
            <v>0</v>
          </cell>
          <cell r="L419">
            <v>0</v>
          </cell>
          <cell r="N419">
            <v>0</v>
          </cell>
          <cell r="O419">
            <v>0</v>
          </cell>
          <cell r="Q419">
            <v>0</v>
          </cell>
          <cell r="R419">
            <v>0</v>
          </cell>
          <cell r="T419">
            <v>0</v>
          </cell>
          <cell r="U419">
            <v>0</v>
          </cell>
          <cell r="W419">
            <v>0</v>
          </cell>
          <cell r="X419">
            <v>0</v>
          </cell>
          <cell r="Z419">
            <v>0</v>
          </cell>
          <cell r="AA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I419">
            <v>0</v>
          </cell>
          <cell r="AJ419">
            <v>0</v>
          </cell>
          <cell r="AL419">
            <v>0</v>
          </cell>
          <cell r="AM419">
            <v>0</v>
          </cell>
          <cell r="AO419">
            <v>0</v>
          </cell>
          <cell r="AP419">
            <v>0</v>
          </cell>
          <cell r="AR419">
            <v>0</v>
          </cell>
          <cell r="AS419">
            <v>0</v>
          </cell>
          <cell r="BF419" t="str">
            <v>5500</v>
          </cell>
          <cell r="BG419" t="str">
            <v>G005</v>
          </cell>
          <cell r="BH419" t="str">
            <v>TUL</v>
          </cell>
        </row>
        <row r="420">
          <cell r="K420">
            <v>0</v>
          </cell>
          <cell r="L420">
            <v>0</v>
          </cell>
          <cell r="N420">
            <v>0</v>
          </cell>
          <cell r="O420">
            <v>0</v>
          </cell>
          <cell r="Q420">
            <v>0</v>
          </cell>
          <cell r="R420">
            <v>0</v>
          </cell>
          <cell r="T420">
            <v>0</v>
          </cell>
          <cell r="U420">
            <v>0</v>
          </cell>
          <cell r="W420">
            <v>0</v>
          </cell>
          <cell r="X420">
            <v>0</v>
          </cell>
          <cell r="Z420">
            <v>0</v>
          </cell>
          <cell r="AA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I420">
            <v>0</v>
          </cell>
          <cell r="AJ420">
            <v>0</v>
          </cell>
          <cell r="AL420">
            <v>0</v>
          </cell>
          <cell r="AM420">
            <v>0</v>
          </cell>
          <cell r="AO420">
            <v>0</v>
          </cell>
          <cell r="AP420">
            <v>0</v>
          </cell>
          <cell r="AR420">
            <v>0</v>
          </cell>
          <cell r="AS420">
            <v>0</v>
          </cell>
          <cell r="BF420" t="str">
            <v>5500</v>
          </cell>
          <cell r="BG420" t="str">
            <v>G006</v>
          </cell>
          <cell r="BH420" t="str">
            <v>TUL</v>
          </cell>
        </row>
        <row r="421">
          <cell r="K421">
            <v>1248449.8800000027</v>
          </cell>
          <cell r="L421">
            <v>0</v>
          </cell>
          <cell r="N421">
            <v>-124605.74000000209</v>
          </cell>
          <cell r="O421">
            <v>0</v>
          </cell>
          <cell r="Q421">
            <v>-369236.25999999791</v>
          </cell>
          <cell r="R421">
            <v>0</v>
          </cell>
          <cell r="T421">
            <v>-190516.7318200022</v>
          </cell>
          <cell r="U421">
            <v>0</v>
          </cell>
          <cell r="W421">
            <v>934559.60000000149</v>
          </cell>
          <cell r="X421">
            <v>0</v>
          </cell>
          <cell r="Z421">
            <v>-532786.79999998957</v>
          </cell>
          <cell r="AA421">
            <v>0</v>
          </cell>
          <cell r="AC421">
            <v>-611613.47000002116</v>
          </cell>
          <cell r="AD421">
            <v>0</v>
          </cell>
          <cell r="AF421">
            <v>-356876.81000001729</v>
          </cell>
          <cell r="AG421">
            <v>0</v>
          </cell>
          <cell r="AI421">
            <v>-1006340.1000000089</v>
          </cell>
          <cell r="AJ421">
            <v>0</v>
          </cell>
          <cell r="AL421">
            <v>5546288.1499999911</v>
          </cell>
          <cell r="AM421">
            <v>0</v>
          </cell>
          <cell r="AO421">
            <v>-626592.16000004113</v>
          </cell>
          <cell r="AP421">
            <v>0</v>
          </cell>
          <cell r="AR421">
            <v>568552.1400000304</v>
          </cell>
          <cell r="AS421">
            <v>0</v>
          </cell>
          <cell r="BF421" t="str">
            <v>5500</v>
          </cell>
          <cell r="BG421" t="str">
            <v>G007</v>
          </cell>
          <cell r="BH421" t="str">
            <v>TUL</v>
          </cell>
        </row>
        <row r="422">
          <cell r="K422">
            <v>0</v>
          </cell>
          <cell r="L422">
            <v>0</v>
          </cell>
          <cell r="N422">
            <v>0</v>
          </cell>
          <cell r="O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W422">
            <v>0</v>
          </cell>
          <cell r="X422">
            <v>0</v>
          </cell>
          <cell r="Z422">
            <v>0</v>
          </cell>
          <cell r="AA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I422">
            <v>0</v>
          </cell>
          <cell r="AJ422">
            <v>0</v>
          </cell>
          <cell r="AL422">
            <v>0</v>
          </cell>
          <cell r="AM422">
            <v>0</v>
          </cell>
          <cell r="AO422">
            <v>0</v>
          </cell>
          <cell r="AP422">
            <v>0</v>
          </cell>
          <cell r="AR422">
            <v>0</v>
          </cell>
          <cell r="AS422">
            <v>0</v>
          </cell>
          <cell r="BF422" t="str">
            <v>5500</v>
          </cell>
          <cell r="BG422" t="str">
            <v>G008</v>
          </cell>
          <cell r="BH422" t="str">
            <v>TUL</v>
          </cell>
        </row>
        <row r="423">
          <cell r="K423">
            <v>0</v>
          </cell>
          <cell r="L423">
            <v>0</v>
          </cell>
          <cell r="N423">
            <v>0</v>
          </cell>
          <cell r="O423">
            <v>0</v>
          </cell>
          <cell r="Q423">
            <v>0</v>
          </cell>
          <cell r="R423">
            <v>0</v>
          </cell>
          <cell r="T423">
            <v>0</v>
          </cell>
          <cell r="U423">
            <v>0</v>
          </cell>
          <cell r="W423">
            <v>0</v>
          </cell>
          <cell r="X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I423">
            <v>0</v>
          </cell>
          <cell r="AJ423">
            <v>0</v>
          </cell>
          <cell r="AL423">
            <v>0</v>
          </cell>
          <cell r="AM423">
            <v>0</v>
          </cell>
          <cell r="AO423">
            <v>0</v>
          </cell>
          <cell r="AP423">
            <v>0</v>
          </cell>
          <cell r="AR423">
            <v>0</v>
          </cell>
          <cell r="AS423">
            <v>0</v>
          </cell>
          <cell r="BF423" t="str">
            <v>5500</v>
          </cell>
          <cell r="BG423" t="str">
            <v>G009</v>
          </cell>
          <cell r="BH423" t="str">
            <v>TUL</v>
          </cell>
        </row>
        <row r="424">
          <cell r="K424">
            <v>0</v>
          </cell>
          <cell r="L424">
            <v>0</v>
          </cell>
          <cell r="N424">
            <v>0</v>
          </cell>
          <cell r="O424">
            <v>0</v>
          </cell>
          <cell r="Q424">
            <v>0</v>
          </cell>
          <cell r="R424">
            <v>0</v>
          </cell>
          <cell r="T424">
            <v>0</v>
          </cell>
          <cell r="U424">
            <v>0</v>
          </cell>
          <cell r="W424">
            <v>0</v>
          </cell>
          <cell r="X424">
            <v>0</v>
          </cell>
          <cell r="Z424">
            <v>0</v>
          </cell>
          <cell r="AA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I424">
            <v>0</v>
          </cell>
          <cell r="AJ424">
            <v>0</v>
          </cell>
          <cell r="AL424">
            <v>0</v>
          </cell>
          <cell r="AM424">
            <v>0</v>
          </cell>
          <cell r="AO424">
            <v>0</v>
          </cell>
          <cell r="AP424">
            <v>0</v>
          </cell>
          <cell r="AR424">
            <v>0</v>
          </cell>
          <cell r="AS424">
            <v>0</v>
          </cell>
          <cell r="BF424" t="str">
            <v>5500</v>
          </cell>
          <cell r="BG424" t="str">
            <v>G010</v>
          </cell>
          <cell r="BH424" t="str">
            <v>TUL</v>
          </cell>
        </row>
        <row r="425">
          <cell r="K425">
            <v>0</v>
          </cell>
          <cell r="L425">
            <v>0</v>
          </cell>
          <cell r="N425">
            <v>0</v>
          </cell>
          <cell r="O425">
            <v>0</v>
          </cell>
          <cell r="Q425">
            <v>0</v>
          </cell>
          <cell r="R425">
            <v>0</v>
          </cell>
          <cell r="T425">
            <v>0</v>
          </cell>
          <cell r="U425">
            <v>0</v>
          </cell>
          <cell r="W425">
            <v>0</v>
          </cell>
          <cell r="X425">
            <v>0</v>
          </cell>
          <cell r="Z425">
            <v>0</v>
          </cell>
          <cell r="AA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I425">
            <v>2.3283064365386963E-10</v>
          </cell>
          <cell r="AJ425">
            <v>0</v>
          </cell>
          <cell r="AL425">
            <v>0</v>
          </cell>
          <cell r="AM425">
            <v>0</v>
          </cell>
          <cell r="AO425">
            <v>0</v>
          </cell>
          <cell r="AP425">
            <v>0</v>
          </cell>
          <cell r="AR425">
            <v>0</v>
          </cell>
          <cell r="AS425">
            <v>0</v>
          </cell>
          <cell r="BF425" t="str">
            <v>5500</v>
          </cell>
          <cell r="BG425" t="str">
            <v>G011</v>
          </cell>
          <cell r="BH425" t="str">
            <v>TUL</v>
          </cell>
        </row>
        <row r="426">
          <cell r="K426">
            <v>0</v>
          </cell>
          <cell r="L426">
            <v>0</v>
          </cell>
          <cell r="N426">
            <v>0</v>
          </cell>
          <cell r="O426">
            <v>0</v>
          </cell>
          <cell r="Q426">
            <v>0</v>
          </cell>
          <cell r="R426">
            <v>0</v>
          </cell>
          <cell r="T426">
            <v>0</v>
          </cell>
          <cell r="U426">
            <v>0</v>
          </cell>
          <cell r="W426">
            <v>0</v>
          </cell>
          <cell r="X426">
            <v>0</v>
          </cell>
          <cell r="Z426">
            <v>0</v>
          </cell>
          <cell r="AA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I426">
            <v>0</v>
          </cell>
          <cell r="AJ426">
            <v>0</v>
          </cell>
          <cell r="AL426">
            <v>0</v>
          </cell>
          <cell r="AM426">
            <v>0</v>
          </cell>
          <cell r="AO426">
            <v>0</v>
          </cell>
          <cell r="AP426">
            <v>0</v>
          </cell>
          <cell r="AR426">
            <v>0</v>
          </cell>
          <cell r="AS426">
            <v>0</v>
          </cell>
          <cell r="BF426" t="str">
            <v>5500</v>
          </cell>
          <cell r="BG426" t="str">
            <v>G012</v>
          </cell>
          <cell r="BH426" t="str">
            <v>TUL</v>
          </cell>
        </row>
        <row r="427">
          <cell r="K427">
            <v>0</v>
          </cell>
          <cell r="L427">
            <v>0</v>
          </cell>
          <cell r="N427">
            <v>0</v>
          </cell>
          <cell r="O427">
            <v>0</v>
          </cell>
          <cell r="Q427">
            <v>0</v>
          </cell>
          <cell r="R427">
            <v>0</v>
          </cell>
          <cell r="T427">
            <v>0</v>
          </cell>
          <cell r="U427">
            <v>0</v>
          </cell>
          <cell r="W427">
            <v>0</v>
          </cell>
          <cell r="X427">
            <v>0</v>
          </cell>
          <cell r="Z427">
            <v>0</v>
          </cell>
          <cell r="AA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I427">
            <v>0</v>
          </cell>
          <cell r="AJ427">
            <v>0</v>
          </cell>
          <cell r="AL427">
            <v>0</v>
          </cell>
          <cell r="AM427">
            <v>0</v>
          </cell>
          <cell r="AO427">
            <v>0</v>
          </cell>
          <cell r="AP427">
            <v>0</v>
          </cell>
          <cell r="AR427">
            <v>0</v>
          </cell>
          <cell r="AS427">
            <v>0</v>
          </cell>
          <cell r="BF427" t="str">
            <v>5600</v>
          </cell>
          <cell r="BG427" t="str">
            <v>H001</v>
          </cell>
          <cell r="BH427" t="str">
            <v>TUL</v>
          </cell>
        </row>
        <row r="428">
          <cell r="K428">
            <v>0</v>
          </cell>
          <cell r="L428">
            <v>0</v>
          </cell>
          <cell r="N428">
            <v>0</v>
          </cell>
          <cell r="O428">
            <v>0</v>
          </cell>
          <cell r="Q428">
            <v>0</v>
          </cell>
          <cell r="R428">
            <v>0</v>
          </cell>
          <cell r="T428">
            <v>0</v>
          </cell>
          <cell r="U428">
            <v>0</v>
          </cell>
          <cell r="W428">
            <v>0</v>
          </cell>
          <cell r="X428">
            <v>0</v>
          </cell>
          <cell r="Z428">
            <v>0</v>
          </cell>
          <cell r="AA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I428">
            <v>0</v>
          </cell>
          <cell r="AJ428">
            <v>0</v>
          </cell>
          <cell r="AL428">
            <v>0</v>
          </cell>
          <cell r="AM428">
            <v>0</v>
          </cell>
          <cell r="AO428">
            <v>0</v>
          </cell>
          <cell r="AP428">
            <v>0</v>
          </cell>
          <cell r="AR428">
            <v>0</v>
          </cell>
          <cell r="AS428">
            <v>0</v>
          </cell>
          <cell r="BF428" t="str">
            <v>5600</v>
          </cell>
          <cell r="BG428" t="str">
            <v>H002</v>
          </cell>
          <cell r="BH428" t="str">
            <v>TUL</v>
          </cell>
        </row>
        <row r="429">
          <cell r="K429">
            <v>0</v>
          </cell>
          <cell r="L429">
            <v>0</v>
          </cell>
          <cell r="N429">
            <v>0</v>
          </cell>
          <cell r="O429">
            <v>0</v>
          </cell>
          <cell r="Q429">
            <v>0</v>
          </cell>
          <cell r="R429">
            <v>0</v>
          </cell>
          <cell r="T429">
            <v>0</v>
          </cell>
          <cell r="U429">
            <v>0</v>
          </cell>
          <cell r="W429">
            <v>0</v>
          </cell>
          <cell r="X429">
            <v>0</v>
          </cell>
          <cell r="Z429">
            <v>0</v>
          </cell>
          <cell r="AA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I429">
            <v>0</v>
          </cell>
          <cell r="AJ429">
            <v>0</v>
          </cell>
          <cell r="AL429">
            <v>0</v>
          </cell>
          <cell r="AM429">
            <v>0</v>
          </cell>
          <cell r="AO429">
            <v>0</v>
          </cell>
          <cell r="AP429">
            <v>0</v>
          </cell>
          <cell r="AR429">
            <v>0</v>
          </cell>
          <cell r="AS429">
            <v>0</v>
          </cell>
          <cell r="BF429" t="str">
            <v>5600</v>
          </cell>
          <cell r="BG429" t="str">
            <v>H003</v>
          </cell>
          <cell r="BH429" t="str">
            <v>TUL</v>
          </cell>
        </row>
        <row r="430">
          <cell r="K430">
            <v>98721.209999999963</v>
          </cell>
          <cell r="L430">
            <v>0</v>
          </cell>
          <cell r="N430">
            <v>356737.52</v>
          </cell>
          <cell r="O430">
            <v>0</v>
          </cell>
          <cell r="Q430">
            <v>23010.319999999832</v>
          </cell>
          <cell r="R430">
            <v>0</v>
          </cell>
          <cell r="T430">
            <v>217470.29000000004</v>
          </cell>
          <cell r="U430">
            <v>0</v>
          </cell>
          <cell r="W430">
            <v>25250.529999999795</v>
          </cell>
          <cell r="X430">
            <v>0</v>
          </cell>
          <cell r="Z430">
            <v>123112.16999999993</v>
          </cell>
          <cell r="AA430">
            <v>0</v>
          </cell>
          <cell r="AC430">
            <v>223045.08000000054</v>
          </cell>
          <cell r="AD430">
            <v>0</v>
          </cell>
          <cell r="AF430">
            <v>122569.30000000028</v>
          </cell>
          <cell r="AG430">
            <v>0</v>
          </cell>
          <cell r="AI430">
            <v>26403.25</v>
          </cell>
          <cell r="AJ430">
            <v>0</v>
          </cell>
          <cell r="AL430">
            <v>224140.74000000022</v>
          </cell>
          <cell r="AM430">
            <v>0</v>
          </cell>
          <cell r="AO430">
            <v>268940.12000000011</v>
          </cell>
          <cell r="AP430">
            <v>0</v>
          </cell>
          <cell r="AR430">
            <v>314630.34999999963</v>
          </cell>
          <cell r="AS430">
            <v>0</v>
          </cell>
          <cell r="BF430" t="str">
            <v>5600</v>
          </cell>
          <cell r="BG430" t="str">
            <v>H004</v>
          </cell>
          <cell r="BH430" t="str">
            <v>TUL</v>
          </cell>
        </row>
        <row r="431">
          <cell r="K431">
            <v>0</v>
          </cell>
          <cell r="L431">
            <v>0</v>
          </cell>
          <cell r="N431">
            <v>0</v>
          </cell>
          <cell r="O431">
            <v>0</v>
          </cell>
          <cell r="Q431">
            <v>0</v>
          </cell>
          <cell r="R431">
            <v>0</v>
          </cell>
          <cell r="T431">
            <v>0</v>
          </cell>
          <cell r="U431">
            <v>0</v>
          </cell>
          <cell r="W431">
            <v>0</v>
          </cell>
          <cell r="X431">
            <v>0</v>
          </cell>
          <cell r="Z431">
            <v>0</v>
          </cell>
          <cell r="AA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I431">
            <v>0</v>
          </cell>
          <cell r="AJ431">
            <v>0</v>
          </cell>
          <cell r="AL431">
            <v>0</v>
          </cell>
          <cell r="AM431">
            <v>0</v>
          </cell>
          <cell r="AO431">
            <v>0</v>
          </cell>
          <cell r="AP431">
            <v>0</v>
          </cell>
          <cell r="AR431">
            <v>0</v>
          </cell>
          <cell r="AS431">
            <v>0</v>
          </cell>
          <cell r="BF431" t="str">
            <v>5600</v>
          </cell>
          <cell r="BG431" t="str">
            <v>H005</v>
          </cell>
          <cell r="BH431" t="str">
            <v>TUL</v>
          </cell>
        </row>
        <row r="432">
          <cell r="K432">
            <v>0</v>
          </cell>
          <cell r="L432">
            <v>0</v>
          </cell>
          <cell r="N432">
            <v>0</v>
          </cell>
          <cell r="O432">
            <v>0</v>
          </cell>
          <cell r="Q432">
            <v>0</v>
          </cell>
          <cell r="R432">
            <v>0</v>
          </cell>
          <cell r="T432">
            <v>0</v>
          </cell>
          <cell r="U432">
            <v>0</v>
          </cell>
          <cell r="W432">
            <v>0</v>
          </cell>
          <cell r="X432">
            <v>0</v>
          </cell>
          <cell r="Z432">
            <v>0</v>
          </cell>
          <cell r="AA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I432">
            <v>0</v>
          </cell>
          <cell r="AJ432">
            <v>0</v>
          </cell>
          <cell r="AL432">
            <v>0</v>
          </cell>
          <cell r="AM432">
            <v>0</v>
          </cell>
          <cell r="AO432">
            <v>0</v>
          </cell>
          <cell r="AP432">
            <v>0</v>
          </cell>
          <cell r="AR432">
            <v>0</v>
          </cell>
          <cell r="AS432">
            <v>0</v>
          </cell>
          <cell r="BF432" t="str">
            <v>5600</v>
          </cell>
          <cell r="BG432" t="str">
            <v>H006</v>
          </cell>
          <cell r="BH432" t="str">
            <v>TUL</v>
          </cell>
        </row>
        <row r="433">
          <cell r="K433">
            <v>0</v>
          </cell>
          <cell r="L433">
            <v>0</v>
          </cell>
          <cell r="N433">
            <v>0</v>
          </cell>
          <cell r="O433">
            <v>0</v>
          </cell>
          <cell r="Q433">
            <v>0</v>
          </cell>
          <cell r="R433">
            <v>0</v>
          </cell>
          <cell r="T433">
            <v>0</v>
          </cell>
          <cell r="U433">
            <v>0</v>
          </cell>
          <cell r="W433">
            <v>0</v>
          </cell>
          <cell r="X433">
            <v>0</v>
          </cell>
          <cell r="Z433">
            <v>0</v>
          </cell>
          <cell r="AA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I433">
            <v>0</v>
          </cell>
          <cell r="AJ433">
            <v>0</v>
          </cell>
          <cell r="AL433">
            <v>0</v>
          </cell>
          <cell r="AM433">
            <v>0</v>
          </cell>
          <cell r="AO433">
            <v>0</v>
          </cell>
          <cell r="AP433">
            <v>0</v>
          </cell>
          <cell r="AR433">
            <v>0</v>
          </cell>
          <cell r="AS433">
            <v>0</v>
          </cell>
          <cell r="BF433" t="str">
            <v>5600</v>
          </cell>
          <cell r="BG433" t="str">
            <v>H007</v>
          </cell>
          <cell r="BH433" t="str">
            <v>TUL</v>
          </cell>
        </row>
        <row r="434">
          <cell r="K434">
            <v>0</v>
          </cell>
          <cell r="L434">
            <v>0</v>
          </cell>
          <cell r="N434">
            <v>0</v>
          </cell>
          <cell r="O434">
            <v>0</v>
          </cell>
          <cell r="Q434">
            <v>0</v>
          </cell>
          <cell r="R434">
            <v>0</v>
          </cell>
          <cell r="T434">
            <v>0</v>
          </cell>
          <cell r="U434">
            <v>0</v>
          </cell>
          <cell r="W434">
            <v>0</v>
          </cell>
          <cell r="X434">
            <v>0</v>
          </cell>
          <cell r="Z434">
            <v>0</v>
          </cell>
          <cell r="AA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I434">
            <v>0</v>
          </cell>
          <cell r="AJ434">
            <v>0</v>
          </cell>
          <cell r="AL434">
            <v>0</v>
          </cell>
          <cell r="AM434">
            <v>0</v>
          </cell>
          <cell r="AO434">
            <v>0</v>
          </cell>
          <cell r="AP434">
            <v>0</v>
          </cell>
          <cell r="AR434">
            <v>0</v>
          </cell>
          <cell r="AS434">
            <v>0</v>
          </cell>
          <cell r="BF434" t="str">
            <v>5600</v>
          </cell>
          <cell r="BG434" t="str">
            <v>H008</v>
          </cell>
          <cell r="BH434" t="str">
            <v>TUL</v>
          </cell>
        </row>
        <row r="435">
          <cell r="K435">
            <v>0</v>
          </cell>
          <cell r="L435">
            <v>0</v>
          </cell>
          <cell r="N435">
            <v>0</v>
          </cell>
          <cell r="O435">
            <v>0</v>
          </cell>
          <cell r="Q435">
            <v>0</v>
          </cell>
          <cell r="R435">
            <v>0</v>
          </cell>
          <cell r="T435">
            <v>0</v>
          </cell>
          <cell r="U435">
            <v>0</v>
          </cell>
          <cell r="W435">
            <v>0</v>
          </cell>
          <cell r="X435">
            <v>0</v>
          </cell>
          <cell r="Z435">
            <v>0</v>
          </cell>
          <cell r="AA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I435">
            <v>0</v>
          </cell>
          <cell r="AJ435">
            <v>0</v>
          </cell>
          <cell r="AL435">
            <v>0</v>
          </cell>
          <cell r="AM435">
            <v>0</v>
          </cell>
          <cell r="AO435">
            <v>0</v>
          </cell>
          <cell r="AP435">
            <v>0</v>
          </cell>
          <cell r="AR435">
            <v>0</v>
          </cell>
          <cell r="AS435">
            <v>0</v>
          </cell>
          <cell r="BF435" t="str">
            <v>5700</v>
          </cell>
          <cell r="BG435" t="str">
            <v>I001</v>
          </cell>
          <cell r="BH435" t="str">
            <v>TUL</v>
          </cell>
        </row>
        <row r="436">
          <cell r="K436">
            <v>0</v>
          </cell>
          <cell r="L436">
            <v>0</v>
          </cell>
          <cell r="N436">
            <v>0</v>
          </cell>
          <cell r="O436">
            <v>0</v>
          </cell>
          <cell r="Q436">
            <v>0</v>
          </cell>
          <cell r="R436">
            <v>0</v>
          </cell>
          <cell r="T436">
            <v>0</v>
          </cell>
          <cell r="U436">
            <v>0</v>
          </cell>
          <cell r="W436">
            <v>0</v>
          </cell>
          <cell r="X436">
            <v>0</v>
          </cell>
          <cell r="Z436">
            <v>0</v>
          </cell>
          <cell r="AA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I436">
            <v>0</v>
          </cell>
          <cell r="AJ436">
            <v>0</v>
          </cell>
          <cell r="AL436">
            <v>0</v>
          </cell>
          <cell r="AM436">
            <v>0</v>
          </cell>
          <cell r="AO436">
            <v>0</v>
          </cell>
          <cell r="AP436">
            <v>0</v>
          </cell>
          <cell r="AR436">
            <v>0</v>
          </cell>
          <cell r="AS436">
            <v>0</v>
          </cell>
          <cell r="BF436" t="str">
            <v>5700</v>
          </cell>
          <cell r="BG436" t="str">
            <v>I002</v>
          </cell>
          <cell r="BH436" t="str">
            <v>TUL</v>
          </cell>
        </row>
        <row r="437">
          <cell r="K437">
            <v>0</v>
          </cell>
          <cell r="L437">
            <v>0</v>
          </cell>
          <cell r="N437">
            <v>0</v>
          </cell>
          <cell r="O437">
            <v>0</v>
          </cell>
          <cell r="Q437">
            <v>0</v>
          </cell>
          <cell r="R437">
            <v>0</v>
          </cell>
          <cell r="T437">
            <v>0</v>
          </cell>
          <cell r="U437">
            <v>0</v>
          </cell>
          <cell r="W437">
            <v>0</v>
          </cell>
          <cell r="X437">
            <v>0</v>
          </cell>
          <cell r="Z437">
            <v>0</v>
          </cell>
          <cell r="AA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I437">
            <v>0</v>
          </cell>
          <cell r="AJ437">
            <v>0</v>
          </cell>
          <cell r="AL437">
            <v>0</v>
          </cell>
          <cell r="AM437">
            <v>0</v>
          </cell>
          <cell r="AO437">
            <v>0</v>
          </cell>
          <cell r="AP437">
            <v>0</v>
          </cell>
          <cell r="AR437">
            <v>0</v>
          </cell>
          <cell r="AS437">
            <v>0</v>
          </cell>
          <cell r="BF437" t="str">
            <v>5700</v>
          </cell>
          <cell r="BG437" t="str">
            <v>I003</v>
          </cell>
          <cell r="BH437" t="str">
            <v>TUL</v>
          </cell>
        </row>
        <row r="438">
          <cell r="K438">
            <v>0</v>
          </cell>
          <cell r="L438">
            <v>0</v>
          </cell>
          <cell r="N438">
            <v>0</v>
          </cell>
          <cell r="O438">
            <v>0</v>
          </cell>
          <cell r="Q438">
            <v>0</v>
          </cell>
          <cell r="R438">
            <v>0</v>
          </cell>
          <cell r="T438">
            <v>0</v>
          </cell>
          <cell r="U438">
            <v>0</v>
          </cell>
          <cell r="W438">
            <v>0</v>
          </cell>
          <cell r="X438">
            <v>0</v>
          </cell>
          <cell r="Z438">
            <v>0</v>
          </cell>
          <cell r="AA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I438">
            <v>0</v>
          </cell>
          <cell r="AJ438">
            <v>0</v>
          </cell>
          <cell r="AL438">
            <v>0</v>
          </cell>
          <cell r="AM438">
            <v>0</v>
          </cell>
          <cell r="AO438">
            <v>0</v>
          </cell>
          <cell r="AP438">
            <v>0</v>
          </cell>
          <cell r="AR438">
            <v>0</v>
          </cell>
          <cell r="AS438">
            <v>0</v>
          </cell>
          <cell r="BF438" t="str">
            <v>5700</v>
          </cell>
          <cell r="BG438" t="str">
            <v>I004</v>
          </cell>
          <cell r="BH438" t="str">
            <v>TUL</v>
          </cell>
        </row>
        <row r="439">
          <cell r="K439">
            <v>0</v>
          </cell>
          <cell r="L439">
            <v>0</v>
          </cell>
          <cell r="N439">
            <v>0</v>
          </cell>
          <cell r="O439">
            <v>0</v>
          </cell>
          <cell r="Q439">
            <v>0</v>
          </cell>
          <cell r="R439">
            <v>0</v>
          </cell>
          <cell r="T439">
            <v>0</v>
          </cell>
          <cell r="U439">
            <v>0</v>
          </cell>
          <cell r="W439">
            <v>0</v>
          </cell>
          <cell r="X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I439">
            <v>0</v>
          </cell>
          <cell r="AJ439">
            <v>0</v>
          </cell>
          <cell r="AL439">
            <v>0</v>
          </cell>
          <cell r="AM439">
            <v>0</v>
          </cell>
          <cell r="AO439">
            <v>0</v>
          </cell>
          <cell r="AP439">
            <v>0</v>
          </cell>
          <cell r="AR439">
            <v>0</v>
          </cell>
          <cell r="AS439">
            <v>0</v>
          </cell>
          <cell r="BF439" t="str">
            <v>5700</v>
          </cell>
          <cell r="BG439" t="str">
            <v>I005</v>
          </cell>
          <cell r="BH439" t="str">
            <v>TUL</v>
          </cell>
        </row>
        <row r="440">
          <cell r="K440">
            <v>0</v>
          </cell>
          <cell r="L440">
            <v>0</v>
          </cell>
          <cell r="N440">
            <v>0</v>
          </cell>
          <cell r="O440">
            <v>0</v>
          </cell>
          <cell r="Q440">
            <v>0</v>
          </cell>
          <cell r="R440">
            <v>0</v>
          </cell>
          <cell r="T440">
            <v>0</v>
          </cell>
          <cell r="U440">
            <v>0</v>
          </cell>
          <cell r="W440">
            <v>0</v>
          </cell>
          <cell r="X440">
            <v>0</v>
          </cell>
          <cell r="Z440">
            <v>0</v>
          </cell>
          <cell r="AA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I440">
            <v>0</v>
          </cell>
          <cell r="AJ440">
            <v>0</v>
          </cell>
          <cell r="AL440">
            <v>0</v>
          </cell>
          <cell r="AM440">
            <v>0</v>
          </cell>
          <cell r="AO440">
            <v>0</v>
          </cell>
          <cell r="AP440">
            <v>0</v>
          </cell>
          <cell r="AR440">
            <v>0</v>
          </cell>
          <cell r="AS440">
            <v>0</v>
          </cell>
          <cell r="BF440" t="str">
            <v>5700</v>
          </cell>
          <cell r="BG440" t="str">
            <v>I006</v>
          </cell>
          <cell r="BH440" t="str">
            <v>TUL</v>
          </cell>
        </row>
        <row r="441">
          <cell r="K441">
            <v>0</v>
          </cell>
          <cell r="L441">
            <v>0</v>
          </cell>
          <cell r="N441">
            <v>0</v>
          </cell>
          <cell r="O441">
            <v>0</v>
          </cell>
          <cell r="Q441">
            <v>0</v>
          </cell>
          <cell r="R441">
            <v>0</v>
          </cell>
          <cell r="T441">
            <v>0</v>
          </cell>
          <cell r="U441">
            <v>0</v>
          </cell>
          <cell r="W441">
            <v>0</v>
          </cell>
          <cell r="X441">
            <v>0</v>
          </cell>
          <cell r="Z441">
            <v>0</v>
          </cell>
          <cell r="AA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I441">
            <v>0</v>
          </cell>
          <cell r="AJ441">
            <v>0</v>
          </cell>
          <cell r="AL441">
            <v>0</v>
          </cell>
          <cell r="AM441">
            <v>0</v>
          </cell>
          <cell r="AO441">
            <v>0</v>
          </cell>
          <cell r="AP441">
            <v>0</v>
          </cell>
          <cell r="AR441">
            <v>0</v>
          </cell>
          <cell r="AS441">
            <v>0</v>
          </cell>
          <cell r="BF441" t="str">
            <v>5700</v>
          </cell>
          <cell r="BG441" t="str">
            <v>I007</v>
          </cell>
          <cell r="BH441" t="str">
            <v>TUL</v>
          </cell>
        </row>
        <row r="442">
          <cell r="K442">
            <v>0</v>
          </cell>
          <cell r="L442">
            <v>0</v>
          </cell>
          <cell r="N442">
            <v>0</v>
          </cell>
          <cell r="O442">
            <v>0</v>
          </cell>
          <cell r="Q442">
            <v>0</v>
          </cell>
          <cell r="R442">
            <v>0</v>
          </cell>
          <cell r="T442">
            <v>0</v>
          </cell>
          <cell r="U442">
            <v>0</v>
          </cell>
          <cell r="W442">
            <v>0</v>
          </cell>
          <cell r="X442">
            <v>0</v>
          </cell>
          <cell r="Z442">
            <v>0</v>
          </cell>
          <cell r="AA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I442">
            <v>0</v>
          </cell>
          <cell r="AJ442">
            <v>0</v>
          </cell>
          <cell r="AL442">
            <v>0</v>
          </cell>
          <cell r="AM442">
            <v>0</v>
          </cell>
          <cell r="AO442">
            <v>0</v>
          </cell>
          <cell r="AP442">
            <v>0</v>
          </cell>
          <cell r="AR442">
            <v>0</v>
          </cell>
          <cell r="AS442">
            <v>0</v>
          </cell>
          <cell r="BF442" t="str">
            <v>5700</v>
          </cell>
          <cell r="BG442" t="str">
            <v>I008</v>
          </cell>
          <cell r="BH442" t="str">
            <v>TUL</v>
          </cell>
        </row>
        <row r="443">
          <cell r="K443">
            <v>0</v>
          </cell>
          <cell r="L443">
            <v>0</v>
          </cell>
          <cell r="N443">
            <v>0</v>
          </cell>
          <cell r="O443">
            <v>0</v>
          </cell>
          <cell r="Q443">
            <v>0</v>
          </cell>
          <cell r="R443">
            <v>0</v>
          </cell>
          <cell r="T443">
            <v>0</v>
          </cell>
          <cell r="U443">
            <v>0</v>
          </cell>
          <cell r="W443">
            <v>0</v>
          </cell>
          <cell r="X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I443">
            <v>0</v>
          </cell>
          <cell r="AJ443">
            <v>0</v>
          </cell>
          <cell r="AL443">
            <v>0</v>
          </cell>
          <cell r="AM443">
            <v>0</v>
          </cell>
          <cell r="AO443">
            <v>0</v>
          </cell>
          <cell r="AP443">
            <v>0</v>
          </cell>
          <cell r="AR443">
            <v>0</v>
          </cell>
          <cell r="AS443">
            <v>0</v>
          </cell>
          <cell r="BF443" t="str">
            <v>5700</v>
          </cell>
          <cell r="BG443" t="str">
            <v>I009</v>
          </cell>
          <cell r="BH443" t="str">
            <v>TUL</v>
          </cell>
        </row>
        <row r="444">
          <cell r="K444">
            <v>-3084.6500000000015</v>
          </cell>
          <cell r="L444">
            <v>0</v>
          </cell>
          <cell r="N444">
            <v>-854.09999999999854</v>
          </cell>
          <cell r="O444">
            <v>0</v>
          </cell>
          <cell r="Q444">
            <v>423969.88</v>
          </cell>
          <cell r="R444">
            <v>0</v>
          </cell>
          <cell r="T444">
            <v>-67265.229999999981</v>
          </cell>
          <cell r="U444">
            <v>0</v>
          </cell>
          <cell r="W444">
            <v>66165.04999999993</v>
          </cell>
          <cell r="X444">
            <v>0</v>
          </cell>
          <cell r="Z444">
            <v>-23956.100000000093</v>
          </cell>
          <cell r="AA444">
            <v>0</v>
          </cell>
          <cell r="AC444">
            <v>905753.87000000011</v>
          </cell>
          <cell r="AD444">
            <v>0</v>
          </cell>
          <cell r="AF444">
            <v>408639.50999999978</v>
          </cell>
          <cell r="AG444">
            <v>0</v>
          </cell>
          <cell r="AI444">
            <v>-1733419.9700000002</v>
          </cell>
          <cell r="AJ444">
            <v>0</v>
          </cell>
          <cell r="AL444">
            <v>0</v>
          </cell>
          <cell r="AM444">
            <v>0</v>
          </cell>
          <cell r="AO444">
            <v>0</v>
          </cell>
          <cell r="AP444">
            <v>0</v>
          </cell>
          <cell r="AR444">
            <v>0</v>
          </cell>
          <cell r="AS444">
            <v>0</v>
          </cell>
          <cell r="BF444" t="str">
            <v>5700</v>
          </cell>
          <cell r="BG444" t="str">
            <v>I010</v>
          </cell>
          <cell r="BH444" t="str">
            <v>TUL</v>
          </cell>
        </row>
        <row r="445">
          <cell r="K445">
            <v>0</v>
          </cell>
          <cell r="L445">
            <v>0</v>
          </cell>
          <cell r="N445">
            <v>0</v>
          </cell>
          <cell r="O445">
            <v>0</v>
          </cell>
          <cell r="Q445">
            <v>0</v>
          </cell>
          <cell r="R445">
            <v>0</v>
          </cell>
          <cell r="T445">
            <v>0</v>
          </cell>
          <cell r="U445">
            <v>0</v>
          </cell>
          <cell r="W445">
            <v>0</v>
          </cell>
          <cell r="X445">
            <v>0</v>
          </cell>
          <cell r="Z445">
            <v>0</v>
          </cell>
          <cell r="AA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I445">
            <v>0</v>
          </cell>
          <cell r="AJ445">
            <v>0</v>
          </cell>
          <cell r="AL445">
            <v>0</v>
          </cell>
          <cell r="AM445">
            <v>0</v>
          </cell>
          <cell r="AO445">
            <v>0</v>
          </cell>
          <cell r="AP445">
            <v>0</v>
          </cell>
          <cell r="AR445">
            <v>0</v>
          </cell>
          <cell r="AS445">
            <v>0</v>
          </cell>
          <cell r="BF445" t="str">
            <v>5700</v>
          </cell>
          <cell r="BG445" t="str">
            <v>I011</v>
          </cell>
          <cell r="BH445" t="str">
            <v>TUL</v>
          </cell>
        </row>
        <row r="446">
          <cell r="K446">
            <v>0</v>
          </cell>
          <cell r="L446">
            <v>0</v>
          </cell>
          <cell r="N446">
            <v>0</v>
          </cell>
          <cell r="O446">
            <v>0</v>
          </cell>
          <cell r="Q446">
            <v>0</v>
          </cell>
          <cell r="R446">
            <v>0</v>
          </cell>
          <cell r="T446">
            <v>0</v>
          </cell>
          <cell r="U446">
            <v>0</v>
          </cell>
          <cell r="W446">
            <v>0</v>
          </cell>
          <cell r="X446">
            <v>0</v>
          </cell>
          <cell r="Z446">
            <v>0</v>
          </cell>
          <cell r="AA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I446">
            <v>0</v>
          </cell>
          <cell r="AJ446">
            <v>0</v>
          </cell>
          <cell r="AL446">
            <v>0</v>
          </cell>
          <cell r="AM446">
            <v>0</v>
          </cell>
          <cell r="AO446">
            <v>0</v>
          </cell>
          <cell r="AP446">
            <v>0</v>
          </cell>
          <cell r="AR446">
            <v>0</v>
          </cell>
          <cell r="AS446">
            <v>0</v>
          </cell>
          <cell r="BF446" t="str">
            <v>5700</v>
          </cell>
          <cell r="BG446" t="str">
            <v>I012</v>
          </cell>
          <cell r="BH446" t="str">
            <v>TUL</v>
          </cell>
        </row>
        <row r="447">
          <cell r="K447">
            <v>0</v>
          </cell>
          <cell r="L447">
            <v>0</v>
          </cell>
          <cell r="N447">
            <v>0</v>
          </cell>
          <cell r="O447">
            <v>0</v>
          </cell>
          <cell r="Q447">
            <v>0</v>
          </cell>
          <cell r="R447">
            <v>0</v>
          </cell>
          <cell r="T447">
            <v>0</v>
          </cell>
          <cell r="U447">
            <v>0</v>
          </cell>
          <cell r="W447">
            <v>0</v>
          </cell>
          <cell r="X447">
            <v>0</v>
          </cell>
          <cell r="Z447">
            <v>0</v>
          </cell>
          <cell r="AA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I447">
            <v>0</v>
          </cell>
          <cell r="AJ447">
            <v>0</v>
          </cell>
          <cell r="AL447">
            <v>0</v>
          </cell>
          <cell r="AM447">
            <v>0</v>
          </cell>
          <cell r="AO447">
            <v>0</v>
          </cell>
          <cell r="AP447">
            <v>0</v>
          </cell>
          <cell r="AR447">
            <v>0</v>
          </cell>
          <cell r="AS447">
            <v>0</v>
          </cell>
          <cell r="BF447" t="str">
            <v>5800</v>
          </cell>
          <cell r="BG447" t="str">
            <v>J001</v>
          </cell>
          <cell r="BH447" t="str">
            <v>TUL</v>
          </cell>
        </row>
        <row r="448">
          <cell r="K448">
            <v>0</v>
          </cell>
          <cell r="L448">
            <v>0</v>
          </cell>
          <cell r="N448">
            <v>0</v>
          </cell>
          <cell r="O448">
            <v>0</v>
          </cell>
          <cell r="Q448">
            <v>0</v>
          </cell>
          <cell r="R448">
            <v>0</v>
          </cell>
          <cell r="T448">
            <v>0</v>
          </cell>
          <cell r="U448">
            <v>0</v>
          </cell>
          <cell r="W448">
            <v>0</v>
          </cell>
          <cell r="X448">
            <v>0</v>
          </cell>
          <cell r="Z448">
            <v>0</v>
          </cell>
          <cell r="AA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I448">
            <v>0</v>
          </cell>
          <cell r="AJ448">
            <v>0</v>
          </cell>
          <cell r="AL448">
            <v>0</v>
          </cell>
          <cell r="AM448">
            <v>0</v>
          </cell>
          <cell r="AO448">
            <v>0</v>
          </cell>
          <cell r="AP448">
            <v>0</v>
          </cell>
          <cell r="AR448">
            <v>0</v>
          </cell>
          <cell r="AS448">
            <v>0</v>
          </cell>
          <cell r="BF448" t="str">
            <v>5800</v>
          </cell>
          <cell r="BG448" t="str">
            <v>J002</v>
          </cell>
          <cell r="BH448" t="str">
            <v>TUL</v>
          </cell>
        </row>
        <row r="449">
          <cell r="K449">
            <v>0</v>
          </cell>
          <cell r="L449">
            <v>0</v>
          </cell>
          <cell r="N449">
            <v>0</v>
          </cell>
          <cell r="O449">
            <v>0</v>
          </cell>
          <cell r="Q449">
            <v>0</v>
          </cell>
          <cell r="R449">
            <v>0</v>
          </cell>
          <cell r="T449">
            <v>0</v>
          </cell>
          <cell r="U449">
            <v>0</v>
          </cell>
          <cell r="W449">
            <v>0</v>
          </cell>
          <cell r="X449">
            <v>0</v>
          </cell>
          <cell r="Z449">
            <v>0</v>
          </cell>
          <cell r="AA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I449">
            <v>0</v>
          </cell>
          <cell r="AJ449">
            <v>0</v>
          </cell>
          <cell r="AL449">
            <v>0</v>
          </cell>
          <cell r="AM449">
            <v>0</v>
          </cell>
          <cell r="AO449">
            <v>0</v>
          </cell>
          <cell r="AP449">
            <v>0</v>
          </cell>
          <cell r="AR449">
            <v>0</v>
          </cell>
          <cell r="AS449">
            <v>0</v>
          </cell>
          <cell r="BF449" t="str">
            <v>5800</v>
          </cell>
          <cell r="BG449" t="str">
            <v>J003</v>
          </cell>
          <cell r="BH449" t="str">
            <v>TUL</v>
          </cell>
        </row>
        <row r="450">
          <cell r="K450">
            <v>0</v>
          </cell>
          <cell r="L450">
            <v>0</v>
          </cell>
          <cell r="N450">
            <v>0</v>
          </cell>
          <cell r="O450">
            <v>0</v>
          </cell>
          <cell r="Q450">
            <v>0</v>
          </cell>
          <cell r="R450">
            <v>0</v>
          </cell>
          <cell r="T450">
            <v>0</v>
          </cell>
          <cell r="U450">
            <v>0</v>
          </cell>
          <cell r="W450">
            <v>0</v>
          </cell>
          <cell r="X450">
            <v>0</v>
          </cell>
          <cell r="Z450">
            <v>0</v>
          </cell>
          <cell r="AA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I450">
            <v>0</v>
          </cell>
          <cell r="AJ450">
            <v>0</v>
          </cell>
          <cell r="AL450">
            <v>0</v>
          </cell>
          <cell r="AM450">
            <v>0</v>
          </cell>
          <cell r="AO450">
            <v>0</v>
          </cell>
          <cell r="AP450">
            <v>0</v>
          </cell>
          <cell r="AR450">
            <v>0</v>
          </cell>
          <cell r="AS450">
            <v>0</v>
          </cell>
          <cell r="BF450" t="str">
            <v>5800</v>
          </cell>
          <cell r="BG450" t="str">
            <v>J004</v>
          </cell>
          <cell r="BH450" t="str">
            <v>TUL</v>
          </cell>
        </row>
        <row r="451">
          <cell r="K451">
            <v>0</v>
          </cell>
          <cell r="L451">
            <v>0</v>
          </cell>
          <cell r="N451">
            <v>0</v>
          </cell>
          <cell r="O451">
            <v>0</v>
          </cell>
          <cell r="Q451">
            <v>0</v>
          </cell>
          <cell r="R451">
            <v>0</v>
          </cell>
          <cell r="T451">
            <v>0</v>
          </cell>
          <cell r="U451">
            <v>0</v>
          </cell>
          <cell r="W451">
            <v>0</v>
          </cell>
          <cell r="X451">
            <v>0</v>
          </cell>
          <cell r="Z451">
            <v>0</v>
          </cell>
          <cell r="AA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I451">
            <v>0</v>
          </cell>
          <cell r="AJ451">
            <v>0</v>
          </cell>
          <cell r="AL451">
            <v>0</v>
          </cell>
          <cell r="AM451">
            <v>0</v>
          </cell>
          <cell r="AO451">
            <v>0</v>
          </cell>
          <cell r="AP451">
            <v>0</v>
          </cell>
          <cell r="AR451">
            <v>0</v>
          </cell>
          <cell r="AS451">
            <v>0</v>
          </cell>
          <cell r="BF451" t="str">
            <v>5800</v>
          </cell>
          <cell r="BG451" t="str">
            <v>J005</v>
          </cell>
          <cell r="BH451" t="str">
            <v>TUL</v>
          </cell>
        </row>
        <row r="452">
          <cell r="K452">
            <v>0</v>
          </cell>
          <cell r="L452">
            <v>0</v>
          </cell>
          <cell r="N452">
            <v>0</v>
          </cell>
          <cell r="O452">
            <v>0</v>
          </cell>
          <cell r="Q452">
            <v>0</v>
          </cell>
          <cell r="R452">
            <v>0</v>
          </cell>
          <cell r="T452">
            <v>0</v>
          </cell>
          <cell r="U452">
            <v>0</v>
          </cell>
          <cell r="W452">
            <v>0</v>
          </cell>
          <cell r="X452">
            <v>0</v>
          </cell>
          <cell r="Z452">
            <v>0</v>
          </cell>
          <cell r="AA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I452">
            <v>0</v>
          </cell>
          <cell r="AJ452">
            <v>0</v>
          </cell>
          <cell r="AL452">
            <v>0</v>
          </cell>
          <cell r="AM452">
            <v>0</v>
          </cell>
          <cell r="AO452">
            <v>0</v>
          </cell>
          <cell r="AP452">
            <v>0</v>
          </cell>
          <cell r="AR452">
            <v>0</v>
          </cell>
          <cell r="AS452">
            <v>0</v>
          </cell>
          <cell r="BF452" t="str">
            <v>5800</v>
          </cell>
          <cell r="BG452" t="str">
            <v>J006</v>
          </cell>
          <cell r="BH452" t="str">
            <v>TUL</v>
          </cell>
        </row>
        <row r="453">
          <cell r="K453">
            <v>0</v>
          </cell>
          <cell r="L453">
            <v>0</v>
          </cell>
          <cell r="N453">
            <v>0</v>
          </cell>
          <cell r="O453">
            <v>0</v>
          </cell>
          <cell r="Q453">
            <v>0</v>
          </cell>
          <cell r="R453">
            <v>0</v>
          </cell>
          <cell r="T453">
            <v>0</v>
          </cell>
          <cell r="U453">
            <v>0</v>
          </cell>
          <cell r="W453">
            <v>0</v>
          </cell>
          <cell r="X453">
            <v>0</v>
          </cell>
          <cell r="Z453">
            <v>0</v>
          </cell>
          <cell r="AA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I453">
            <v>0</v>
          </cell>
          <cell r="AJ453">
            <v>0</v>
          </cell>
          <cell r="AL453">
            <v>0</v>
          </cell>
          <cell r="AM453">
            <v>0</v>
          </cell>
          <cell r="AO453">
            <v>0</v>
          </cell>
          <cell r="AP453">
            <v>0</v>
          </cell>
          <cell r="AR453">
            <v>0</v>
          </cell>
          <cell r="AS453">
            <v>0</v>
          </cell>
          <cell r="BF453" t="str">
            <v>5800</v>
          </cell>
          <cell r="BG453" t="str">
            <v>J007</v>
          </cell>
          <cell r="BH453" t="str">
            <v>TUL</v>
          </cell>
        </row>
        <row r="454">
          <cell r="K454">
            <v>0</v>
          </cell>
          <cell r="L454">
            <v>0</v>
          </cell>
          <cell r="N454">
            <v>0</v>
          </cell>
          <cell r="O454">
            <v>0</v>
          </cell>
          <cell r="Q454">
            <v>0</v>
          </cell>
          <cell r="R454">
            <v>0</v>
          </cell>
          <cell r="T454">
            <v>0</v>
          </cell>
          <cell r="U454">
            <v>0</v>
          </cell>
          <cell r="W454">
            <v>0</v>
          </cell>
          <cell r="X454">
            <v>0</v>
          </cell>
          <cell r="Z454">
            <v>0</v>
          </cell>
          <cell r="AA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I454">
            <v>0</v>
          </cell>
          <cell r="AJ454">
            <v>0</v>
          </cell>
          <cell r="AL454">
            <v>0</v>
          </cell>
          <cell r="AM454">
            <v>0</v>
          </cell>
          <cell r="AO454">
            <v>0</v>
          </cell>
          <cell r="AP454">
            <v>0</v>
          </cell>
          <cell r="AR454">
            <v>0</v>
          </cell>
          <cell r="AS454">
            <v>0</v>
          </cell>
          <cell r="BF454" t="str">
            <v>5801</v>
          </cell>
          <cell r="BG454" t="str">
            <v>J008</v>
          </cell>
          <cell r="BH454" t="str">
            <v>TUL</v>
          </cell>
        </row>
        <row r="455">
          <cell r="K455">
            <v>0</v>
          </cell>
          <cell r="L455">
            <v>0</v>
          </cell>
          <cell r="N455">
            <v>0</v>
          </cell>
          <cell r="O455">
            <v>0</v>
          </cell>
          <cell r="Q455">
            <v>0</v>
          </cell>
          <cell r="R455">
            <v>0</v>
          </cell>
          <cell r="T455">
            <v>0</v>
          </cell>
          <cell r="U455">
            <v>0</v>
          </cell>
          <cell r="W455">
            <v>0</v>
          </cell>
          <cell r="X455">
            <v>0</v>
          </cell>
          <cell r="Z455">
            <v>0</v>
          </cell>
          <cell r="AA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I455">
            <v>0</v>
          </cell>
          <cell r="AJ455">
            <v>0</v>
          </cell>
          <cell r="AL455">
            <v>0</v>
          </cell>
          <cell r="AM455">
            <v>0</v>
          </cell>
          <cell r="AO455">
            <v>0</v>
          </cell>
          <cell r="AP455">
            <v>0</v>
          </cell>
          <cell r="AR455">
            <v>0</v>
          </cell>
          <cell r="AS455">
            <v>0</v>
          </cell>
          <cell r="BF455" t="str">
            <v>5801</v>
          </cell>
          <cell r="BG455" t="str">
            <v>J009</v>
          </cell>
          <cell r="BH455" t="str">
            <v>TUL</v>
          </cell>
        </row>
        <row r="456">
          <cell r="K456">
            <v>0</v>
          </cell>
          <cell r="L456">
            <v>0</v>
          </cell>
          <cell r="N456">
            <v>0</v>
          </cell>
          <cell r="O456">
            <v>0</v>
          </cell>
          <cell r="Q456">
            <v>0</v>
          </cell>
          <cell r="R456">
            <v>0</v>
          </cell>
          <cell r="T456">
            <v>0</v>
          </cell>
          <cell r="U456">
            <v>0</v>
          </cell>
          <cell r="W456">
            <v>0</v>
          </cell>
          <cell r="X456">
            <v>0</v>
          </cell>
          <cell r="Z456">
            <v>0</v>
          </cell>
          <cell r="AA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I456">
            <v>0</v>
          </cell>
          <cell r="AJ456">
            <v>0</v>
          </cell>
          <cell r="AL456">
            <v>0</v>
          </cell>
          <cell r="AM456">
            <v>0</v>
          </cell>
          <cell r="AO456">
            <v>0</v>
          </cell>
          <cell r="AP456">
            <v>0</v>
          </cell>
          <cell r="AR456">
            <v>0</v>
          </cell>
          <cell r="AS456">
            <v>0</v>
          </cell>
          <cell r="BF456" t="str">
            <v>6000</v>
          </cell>
          <cell r="BG456" t="str">
            <v>K001</v>
          </cell>
          <cell r="BH456" t="str">
            <v>TUL</v>
          </cell>
        </row>
        <row r="457">
          <cell r="K457">
            <v>0</v>
          </cell>
          <cell r="L457">
            <v>0</v>
          </cell>
          <cell r="N457">
            <v>0</v>
          </cell>
          <cell r="O457">
            <v>0</v>
          </cell>
          <cell r="Q457">
            <v>0</v>
          </cell>
          <cell r="R457">
            <v>0</v>
          </cell>
          <cell r="T457">
            <v>0</v>
          </cell>
          <cell r="U457">
            <v>0</v>
          </cell>
          <cell r="W457">
            <v>0</v>
          </cell>
          <cell r="X457">
            <v>0</v>
          </cell>
          <cell r="Z457">
            <v>0</v>
          </cell>
          <cell r="AA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I457">
            <v>0</v>
          </cell>
          <cell r="AJ457">
            <v>0</v>
          </cell>
          <cell r="AL457">
            <v>0</v>
          </cell>
          <cell r="AM457">
            <v>0</v>
          </cell>
          <cell r="AO457">
            <v>0</v>
          </cell>
          <cell r="AP457">
            <v>0</v>
          </cell>
          <cell r="AR457">
            <v>0</v>
          </cell>
          <cell r="AS457">
            <v>0</v>
          </cell>
          <cell r="BF457" t="str">
            <v>6000</v>
          </cell>
          <cell r="BG457" t="str">
            <v>K002</v>
          </cell>
          <cell r="BH457" t="str">
            <v>TUL</v>
          </cell>
        </row>
        <row r="458">
          <cell r="K458">
            <v>-5624.1100000000006</v>
          </cell>
          <cell r="L458">
            <v>0</v>
          </cell>
          <cell r="N458">
            <v>0</v>
          </cell>
          <cell r="O458">
            <v>0</v>
          </cell>
          <cell r="Q458">
            <v>0</v>
          </cell>
          <cell r="R458">
            <v>0</v>
          </cell>
          <cell r="T458">
            <v>0</v>
          </cell>
          <cell r="U458">
            <v>0</v>
          </cell>
          <cell r="W458">
            <v>0</v>
          </cell>
          <cell r="X458">
            <v>0</v>
          </cell>
          <cell r="Z458">
            <v>0</v>
          </cell>
          <cell r="AA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I458">
            <v>0</v>
          </cell>
          <cell r="AJ458">
            <v>0</v>
          </cell>
          <cell r="AL458">
            <v>0</v>
          </cell>
          <cell r="AM458">
            <v>0</v>
          </cell>
          <cell r="AO458">
            <v>5398.9900000000052</v>
          </cell>
          <cell r="AP458">
            <v>0</v>
          </cell>
          <cell r="AR458">
            <v>0</v>
          </cell>
          <cell r="AS458">
            <v>0</v>
          </cell>
          <cell r="BF458" t="str">
            <v>6100</v>
          </cell>
          <cell r="BG458" t="str">
            <v>K001</v>
          </cell>
          <cell r="BH458" t="str">
            <v>TUL</v>
          </cell>
        </row>
        <row r="459">
          <cell r="K459">
            <v>-630.43000000000029</v>
          </cell>
          <cell r="L459">
            <v>0</v>
          </cell>
          <cell r="N459">
            <v>-2402.239999999998</v>
          </cell>
          <cell r="O459">
            <v>0</v>
          </cell>
          <cell r="Q459">
            <v>-2324.739999999998</v>
          </cell>
          <cell r="R459">
            <v>0</v>
          </cell>
          <cell r="T459">
            <v>-2402.239999999998</v>
          </cell>
          <cell r="U459">
            <v>0</v>
          </cell>
          <cell r="W459">
            <v>-2324.7300000000032</v>
          </cell>
          <cell r="X459">
            <v>0</v>
          </cell>
          <cell r="Z459">
            <v>-2402.2299999999996</v>
          </cell>
          <cell r="AA459">
            <v>0</v>
          </cell>
          <cell r="AC459">
            <v>-2402.2300000000032</v>
          </cell>
          <cell r="AD459">
            <v>0</v>
          </cell>
          <cell r="AF459">
            <v>-2169.7699999999968</v>
          </cell>
          <cell r="AG459">
            <v>0</v>
          </cell>
          <cell r="AI459">
            <v>-2402.2300000000032</v>
          </cell>
          <cell r="AJ459">
            <v>0</v>
          </cell>
          <cell r="AL459">
            <v>-2324.739999999998</v>
          </cell>
          <cell r="AM459">
            <v>0</v>
          </cell>
          <cell r="AO459">
            <v>-2490.9700000000012</v>
          </cell>
          <cell r="AP459">
            <v>0</v>
          </cell>
          <cell r="AR459">
            <v>-2472.6399999999994</v>
          </cell>
          <cell r="AS459">
            <v>0</v>
          </cell>
          <cell r="BF459" t="str">
            <v>6100</v>
          </cell>
          <cell r="BG459" t="str">
            <v>K002</v>
          </cell>
          <cell r="BH459" t="str">
            <v>TUL</v>
          </cell>
        </row>
        <row r="460">
          <cell r="K460">
            <v>24035.199999999997</v>
          </cell>
          <cell r="L460">
            <v>0</v>
          </cell>
          <cell r="N460">
            <v>0</v>
          </cell>
          <cell r="O460">
            <v>0</v>
          </cell>
          <cell r="Q460">
            <v>0</v>
          </cell>
          <cell r="R460">
            <v>0</v>
          </cell>
          <cell r="T460">
            <v>0</v>
          </cell>
          <cell r="U460">
            <v>0</v>
          </cell>
          <cell r="W460">
            <v>0</v>
          </cell>
          <cell r="X460">
            <v>0</v>
          </cell>
          <cell r="Z460">
            <v>0</v>
          </cell>
          <cell r="AA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I460">
            <v>0</v>
          </cell>
          <cell r="AJ460">
            <v>0</v>
          </cell>
          <cell r="AL460">
            <v>0</v>
          </cell>
          <cell r="AM460">
            <v>0</v>
          </cell>
          <cell r="AO460">
            <v>2725.9499999999971</v>
          </cell>
          <cell r="AP460">
            <v>0</v>
          </cell>
          <cell r="AR460">
            <v>0</v>
          </cell>
          <cell r="AS460">
            <v>0</v>
          </cell>
          <cell r="BF460" t="str">
            <v>6200</v>
          </cell>
          <cell r="BG460" t="str">
            <v>K001</v>
          </cell>
          <cell r="BH460" t="str">
            <v>TUL</v>
          </cell>
        </row>
        <row r="461">
          <cell r="K461">
            <v>-571.73000000000047</v>
          </cell>
          <cell r="L461">
            <v>0</v>
          </cell>
          <cell r="N461">
            <v>-824.38000000000011</v>
          </cell>
          <cell r="O461">
            <v>0</v>
          </cell>
          <cell r="Q461">
            <v>-797.77999999999975</v>
          </cell>
          <cell r="R461">
            <v>0</v>
          </cell>
          <cell r="T461">
            <v>-824.38000000000011</v>
          </cell>
          <cell r="U461">
            <v>0</v>
          </cell>
          <cell r="W461">
            <v>-797.79</v>
          </cell>
          <cell r="X461">
            <v>0</v>
          </cell>
          <cell r="Z461">
            <v>-824.36999999999989</v>
          </cell>
          <cell r="AA461">
            <v>0</v>
          </cell>
          <cell r="AC461">
            <v>-824.3700000000008</v>
          </cell>
          <cell r="AD461">
            <v>0</v>
          </cell>
          <cell r="AF461">
            <v>-744.60000000000036</v>
          </cell>
          <cell r="AG461">
            <v>0</v>
          </cell>
          <cell r="AI461">
            <v>-824.3700000000008</v>
          </cell>
          <cell r="AJ461">
            <v>0</v>
          </cell>
          <cell r="AL461">
            <v>-797.79999999999927</v>
          </cell>
          <cell r="AM461">
            <v>0</v>
          </cell>
          <cell r="AO461">
            <v>-843.03999999999905</v>
          </cell>
          <cell r="AP461">
            <v>0</v>
          </cell>
          <cell r="AR461">
            <v>-835.13999999999942</v>
          </cell>
          <cell r="AS461">
            <v>0</v>
          </cell>
          <cell r="BF461" t="str">
            <v>6200</v>
          </cell>
          <cell r="BG461" t="str">
            <v>K002</v>
          </cell>
          <cell r="BH461" t="str">
            <v>TUL</v>
          </cell>
        </row>
        <row r="462">
          <cell r="K462">
            <v>0</v>
          </cell>
          <cell r="L462">
            <v>0</v>
          </cell>
          <cell r="N462">
            <v>0</v>
          </cell>
          <cell r="O462">
            <v>0</v>
          </cell>
          <cell r="Q462">
            <v>0</v>
          </cell>
          <cell r="R462">
            <v>0</v>
          </cell>
          <cell r="T462">
            <v>0</v>
          </cell>
          <cell r="U462">
            <v>0</v>
          </cell>
          <cell r="W462">
            <v>0</v>
          </cell>
          <cell r="X462">
            <v>0</v>
          </cell>
          <cell r="Z462">
            <v>0</v>
          </cell>
          <cell r="AA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I462">
            <v>0</v>
          </cell>
          <cell r="AJ462">
            <v>0</v>
          </cell>
          <cell r="AL462">
            <v>0</v>
          </cell>
          <cell r="AM462">
            <v>0</v>
          </cell>
          <cell r="AO462">
            <v>0</v>
          </cell>
          <cell r="AP462">
            <v>0</v>
          </cell>
          <cell r="AR462">
            <v>0</v>
          </cell>
          <cell r="AS462">
            <v>0</v>
          </cell>
          <cell r="BF462" t="str">
            <v>6300</v>
          </cell>
          <cell r="BG462" t="str">
            <v>K001</v>
          </cell>
          <cell r="BH462" t="str">
            <v>TUL</v>
          </cell>
        </row>
        <row r="463">
          <cell r="K463">
            <v>-1.4551915228366852E-11</v>
          </cell>
          <cell r="L463">
            <v>0</v>
          </cell>
          <cell r="N463">
            <v>1.4551915228366852E-11</v>
          </cell>
          <cell r="O463">
            <v>0</v>
          </cell>
          <cell r="Q463">
            <v>0</v>
          </cell>
          <cell r="R463">
            <v>0</v>
          </cell>
          <cell r="T463">
            <v>1.4551915228366852E-11</v>
          </cell>
          <cell r="U463">
            <v>0</v>
          </cell>
          <cell r="W463">
            <v>0</v>
          </cell>
          <cell r="X463">
            <v>0</v>
          </cell>
          <cell r="Z463">
            <v>-2441.1599999999889</v>
          </cell>
          <cell r="AA463">
            <v>0</v>
          </cell>
          <cell r="AC463">
            <v>-6306.3299999999872</v>
          </cell>
          <cell r="AD463">
            <v>0</v>
          </cell>
          <cell r="AF463">
            <v>-5696.0400000000081</v>
          </cell>
          <cell r="AG463">
            <v>0</v>
          </cell>
          <cell r="AI463">
            <v>-6306.3299999999872</v>
          </cell>
          <cell r="AJ463">
            <v>0</v>
          </cell>
          <cell r="AL463">
            <v>-6102.8999999999942</v>
          </cell>
          <cell r="AM463">
            <v>0</v>
          </cell>
          <cell r="AO463">
            <v>-6306.3299999999872</v>
          </cell>
          <cell r="AP463">
            <v>0</v>
          </cell>
          <cell r="AR463">
            <v>-6102.8999999999942</v>
          </cell>
          <cell r="AS463">
            <v>0</v>
          </cell>
          <cell r="BF463" t="str">
            <v>6300</v>
          </cell>
          <cell r="BG463" t="str">
            <v>K002</v>
          </cell>
          <cell r="BH463" t="str">
            <v>TUL</v>
          </cell>
        </row>
        <row r="464">
          <cell r="K464">
            <v>0</v>
          </cell>
          <cell r="L464">
            <v>0</v>
          </cell>
          <cell r="N464">
            <v>0</v>
          </cell>
          <cell r="O464">
            <v>0</v>
          </cell>
          <cell r="Q464">
            <v>0</v>
          </cell>
          <cell r="R464">
            <v>0</v>
          </cell>
          <cell r="T464">
            <v>0</v>
          </cell>
          <cell r="U464">
            <v>0</v>
          </cell>
          <cell r="W464">
            <v>0</v>
          </cell>
          <cell r="X464">
            <v>0</v>
          </cell>
          <cell r="Z464">
            <v>0</v>
          </cell>
          <cell r="AA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I464">
            <v>0</v>
          </cell>
          <cell r="AJ464">
            <v>0</v>
          </cell>
          <cell r="AL464">
            <v>0</v>
          </cell>
          <cell r="AM464">
            <v>0</v>
          </cell>
          <cell r="AO464">
            <v>5959.9999999999982</v>
          </cell>
          <cell r="AP464">
            <v>0</v>
          </cell>
          <cell r="AR464">
            <v>0</v>
          </cell>
          <cell r="AS464">
            <v>0</v>
          </cell>
          <cell r="BF464" t="str">
            <v>6400</v>
          </cell>
          <cell r="BG464" t="str">
            <v>K001</v>
          </cell>
          <cell r="BH464" t="str">
            <v>TUL</v>
          </cell>
        </row>
        <row r="465">
          <cell r="K465">
            <v>-238.01000000000022</v>
          </cell>
          <cell r="L465">
            <v>0</v>
          </cell>
          <cell r="N465">
            <v>-238.01999999999998</v>
          </cell>
          <cell r="O465">
            <v>0</v>
          </cell>
          <cell r="Q465">
            <v>-230.32999999999993</v>
          </cell>
          <cell r="R465">
            <v>0</v>
          </cell>
          <cell r="T465">
            <v>-238.01000000000022</v>
          </cell>
          <cell r="U465">
            <v>0</v>
          </cell>
          <cell r="W465">
            <v>-230.34000000000015</v>
          </cell>
          <cell r="X465">
            <v>0</v>
          </cell>
          <cell r="Z465">
            <v>-238.01000000000022</v>
          </cell>
          <cell r="AA465">
            <v>0</v>
          </cell>
          <cell r="AC465">
            <v>-238.01000000000022</v>
          </cell>
          <cell r="AD465">
            <v>0</v>
          </cell>
          <cell r="AF465">
            <v>-214.98000000000138</v>
          </cell>
          <cell r="AG465">
            <v>0</v>
          </cell>
          <cell r="AI465">
            <v>-238.01000000000022</v>
          </cell>
          <cell r="AJ465">
            <v>0</v>
          </cell>
          <cell r="AL465">
            <v>-230.34000000000015</v>
          </cell>
          <cell r="AM465">
            <v>0</v>
          </cell>
          <cell r="AO465">
            <v>-264.13999999999942</v>
          </cell>
          <cell r="AP465">
            <v>0</v>
          </cell>
          <cell r="AR465">
            <v>-328.11000000000058</v>
          </cell>
          <cell r="AS465">
            <v>0</v>
          </cell>
          <cell r="BF465" t="str">
            <v>6400</v>
          </cell>
          <cell r="BG465" t="str">
            <v>K002</v>
          </cell>
          <cell r="BH465" t="str">
            <v>TUL</v>
          </cell>
        </row>
        <row r="466">
          <cell r="K466">
            <v>0</v>
          </cell>
          <cell r="L466">
            <v>0</v>
          </cell>
          <cell r="N466">
            <v>0</v>
          </cell>
          <cell r="O466">
            <v>0</v>
          </cell>
          <cell r="Q466">
            <v>0</v>
          </cell>
          <cell r="R466">
            <v>0</v>
          </cell>
          <cell r="T466">
            <v>0</v>
          </cell>
          <cell r="U466">
            <v>0</v>
          </cell>
          <cell r="W466">
            <v>0</v>
          </cell>
          <cell r="X466">
            <v>0</v>
          </cell>
          <cell r="Z466">
            <v>0</v>
          </cell>
          <cell r="AA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I466">
            <v>0</v>
          </cell>
          <cell r="AJ466">
            <v>0</v>
          </cell>
          <cell r="AL466">
            <v>0</v>
          </cell>
          <cell r="AM466">
            <v>0</v>
          </cell>
          <cell r="AO466">
            <v>0</v>
          </cell>
          <cell r="AP466">
            <v>0</v>
          </cell>
          <cell r="AR466">
            <v>0</v>
          </cell>
          <cell r="AS466">
            <v>0</v>
          </cell>
          <cell r="BF466" t="str">
            <v>6500</v>
          </cell>
          <cell r="BG466" t="str">
            <v>K001</v>
          </cell>
          <cell r="BH466" t="str">
            <v>TUL</v>
          </cell>
        </row>
        <row r="467">
          <cell r="K467">
            <v>0</v>
          </cell>
          <cell r="L467">
            <v>0</v>
          </cell>
          <cell r="N467">
            <v>0</v>
          </cell>
          <cell r="O467">
            <v>0</v>
          </cell>
          <cell r="Q467">
            <v>0</v>
          </cell>
          <cell r="R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  <cell r="Z467">
            <v>0</v>
          </cell>
          <cell r="AA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I467">
            <v>0</v>
          </cell>
          <cell r="AJ467">
            <v>0</v>
          </cell>
          <cell r="AL467">
            <v>0</v>
          </cell>
          <cell r="AM467">
            <v>0</v>
          </cell>
          <cell r="AO467">
            <v>0</v>
          </cell>
          <cell r="AP467">
            <v>0</v>
          </cell>
          <cell r="AR467">
            <v>0</v>
          </cell>
          <cell r="AS467">
            <v>0</v>
          </cell>
          <cell r="BF467" t="str">
            <v>6500</v>
          </cell>
          <cell r="BG467" t="str">
            <v>K002</v>
          </cell>
          <cell r="BH467" t="str">
            <v>TUL</v>
          </cell>
        </row>
        <row r="468">
          <cell r="K468">
            <v>0</v>
          </cell>
          <cell r="L468">
            <v>0</v>
          </cell>
          <cell r="N468">
            <v>0</v>
          </cell>
          <cell r="O468">
            <v>0</v>
          </cell>
          <cell r="Q468">
            <v>17472</v>
          </cell>
          <cell r="R468">
            <v>0</v>
          </cell>
          <cell r="T468">
            <v>0</v>
          </cell>
          <cell r="U468">
            <v>0</v>
          </cell>
          <cell r="W468">
            <v>0</v>
          </cell>
          <cell r="X468">
            <v>0</v>
          </cell>
          <cell r="Z468">
            <v>0</v>
          </cell>
          <cell r="AA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I468">
            <v>0</v>
          </cell>
          <cell r="AJ468">
            <v>0</v>
          </cell>
          <cell r="AL468">
            <v>0</v>
          </cell>
          <cell r="AM468">
            <v>0</v>
          </cell>
          <cell r="AO468">
            <v>0</v>
          </cell>
          <cell r="AP468">
            <v>0</v>
          </cell>
          <cell r="AR468">
            <v>0</v>
          </cell>
          <cell r="AS468">
            <v>0</v>
          </cell>
          <cell r="BF468" t="str">
            <v>6600</v>
          </cell>
          <cell r="BG468" t="str">
            <v>K001</v>
          </cell>
          <cell r="BH468" t="str">
            <v>TUL</v>
          </cell>
        </row>
        <row r="469">
          <cell r="K469">
            <v>0</v>
          </cell>
          <cell r="L469">
            <v>0</v>
          </cell>
          <cell r="N469">
            <v>0</v>
          </cell>
          <cell r="O469">
            <v>0</v>
          </cell>
          <cell r="Q469">
            <v>-201.05</v>
          </cell>
          <cell r="R469">
            <v>0</v>
          </cell>
          <cell r="T469">
            <v>-296.77999999999997</v>
          </cell>
          <cell r="U469">
            <v>0</v>
          </cell>
          <cell r="W469">
            <v>-287.20999999999998</v>
          </cell>
          <cell r="X469">
            <v>0</v>
          </cell>
          <cell r="Z469">
            <v>-296.78999999999996</v>
          </cell>
          <cell r="AA469">
            <v>0</v>
          </cell>
          <cell r="AC469">
            <v>-296.78999999999996</v>
          </cell>
          <cell r="AD469">
            <v>0</v>
          </cell>
          <cell r="AF469">
            <v>-268.05999999999995</v>
          </cell>
          <cell r="AG469">
            <v>0</v>
          </cell>
          <cell r="AI469">
            <v>-296.78999999999996</v>
          </cell>
          <cell r="AJ469">
            <v>0</v>
          </cell>
          <cell r="AL469">
            <v>-287.21000000000004</v>
          </cell>
          <cell r="AM469">
            <v>0</v>
          </cell>
          <cell r="AO469">
            <v>-296.78999999999996</v>
          </cell>
          <cell r="AP469">
            <v>0</v>
          </cell>
          <cell r="AR469">
            <v>-287.21000000000004</v>
          </cell>
          <cell r="AS469">
            <v>0</v>
          </cell>
          <cell r="BF469" t="str">
            <v>6600</v>
          </cell>
          <cell r="BG469" t="str">
            <v>K002</v>
          </cell>
          <cell r="BH469" t="str">
            <v>TUL</v>
          </cell>
        </row>
        <row r="470">
          <cell r="K470">
            <v>-41765.409999999974</v>
          </cell>
          <cell r="L470">
            <v>0</v>
          </cell>
          <cell r="N470">
            <v>17591.260000000009</v>
          </cell>
          <cell r="O470">
            <v>0</v>
          </cell>
          <cell r="Q470">
            <v>4446.0600000000559</v>
          </cell>
          <cell r="R470">
            <v>0</v>
          </cell>
          <cell r="T470">
            <v>-3221.140000000014</v>
          </cell>
          <cell r="U470">
            <v>0</v>
          </cell>
          <cell r="W470">
            <v>-1521.140000000014</v>
          </cell>
          <cell r="X470">
            <v>0</v>
          </cell>
          <cell r="Z470">
            <v>11502.090000000084</v>
          </cell>
          <cell r="AA470">
            <v>0</v>
          </cell>
          <cell r="AC470">
            <v>-185.56999999994878</v>
          </cell>
          <cell r="AD470">
            <v>0</v>
          </cell>
          <cell r="AF470">
            <v>-5948.3500000000931</v>
          </cell>
          <cell r="AG470">
            <v>0</v>
          </cell>
          <cell r="AI470">
            <v>2022434.71</v>
          </cell>
          <cell r="AJ470">
            <v>0</v>
          </cell>
          <cell r="AL470">
            <v>-170317.9700000002</v>
          </cell>
          <cell r="AM470">
            <v>0</v>
          </cell>
          <cell r="AO470">
            <v>-173190.32999999984</v>
          </cell>
          <cell r="AP470">
            <v>0</v>
          </cell>
          <cell r="AR470">
            <v>-218859.45000000019</v>
          </cell>
          <cell r="AS470">
            <v>0</v>
          </cell>
          <cell r="BF470" t="str">
            <v>7000</v>
          </cell>
          <cell r="BG470" t="str">
            <v>Z000</v>
          </cell>
          <cell r="BH470" t="str">
            <v>TUL</v>
          </cell>
        </row>
        <row r="471">
          <cell r="K471">
            <v>0</v>
          </cell>
          <cell r="L471">
            <v>0</v>
          </cell>
          <cell r="N471">
            <v>0</v>
          </cell>
          <cell r="O471">
            <v>0</v>
          </cell>
          <cell r="Q471">
            <v>0</v>
          </cell>
          <cell r="R471">
            <v>0</v>
          </cell>
          <cell r="T471">
            <v>0</v>
          </cell>
          <cell r="U471">
            <v>0</v>
          </cell>
          <cell r="W471">
            <v>0</v>
          </cell>
          <cell r="X471">
            <v>0</v>
          </cell>
          <cell r="Z471">
            <v>0</v>
          </cell>
          <cell r="AA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I471">
            <v>0</v>
          </cell>
          <cell r="AJ471">
            <v>0</v>
          </cell>
          <cell r="AL471">
            <v>0</v>
          </cell>
          <cell r="AM471">
            <v>0</v>
          </cell>
          <cell r="AO471">
            <v>0</v>
          </cell>
          <cell r="AP471">
            <v>0</v>
          </cell>
          <cell r="AR471">
            <v>0</v>
          </cell>
          <cell r="AS471">
            <v>0</v>
          </cell>
          <cell r="BF471" t="str">
            <v>7100</v>
          </cell>
          <cell r="BG471" t="str">
            <v>Z000</v>
          </cell>
          <cell r="BH471" t="str">
            <v>TUL</v>
          </cell>
        </row>
        <row r="472">
          <cell r="K472">
            <v>0</v>
          </cell>
          <cell r="L472">
            <v>0</v>
          </cell>
          <cell r="N472">
            <v>0</v>
          </cell>
          <cell r="O472">
            <v>0</v>
          </cell>
          <cell r="Q472">
            <v>11000</v>
          </cell>
          <cell r="R472">
            <v>0</v>
          </cell>
          <cell r="T472">
            <v>1000</v>
          </cell>
          <cell r="U472">
            <v>0</v>
          </cell>
          <cell r="W472">
            <v>8000</v>
          </cell>
          <cell r="X472">
            <v>0</v>
          </cell>
          <cell r="Z472">
            <v>20000</v>
          </cell>
          <cell r="AA472">
            <v>0</v>
          </cell>
          <cell r="AC472">
            <v>0</v>
          </cell>
          <cell r="AD472">
            <v>0</v>
          </cell>
          <cell r="AF472">
            <v>50095</v>
          </cell>
          <cell r="AG472">
            <v>0</v>
          </cell>
          <cell r="AI472">
            <v>0</v>
          </cell>
          <cell r="AJ472">
            <v>0</v>
          </cell>
          <cell r="AL472">
            <v>0</v>
          </cell>
          <cell r="AM472">
            <v>0</v>
          </cell>
          <cell r="AO472">
            <v>0</v>
          </cell>
          <cell r="AP472">
            <v>0</v>
          </cell>
          <cell r="AR472">
            <v>-40000</v>
          </cell>
          <cell r="AS472">
            <v>0</v>
          </cell>
          <cell r="BF472" t="str">
            <v>7300</v>
          </cell>
          <cell r="BG472" t="str">
            <v>Z000</v>
          </cell>
          <cell r="BH472" t="str">
            <v>TUL</v>
          </cell>
        </row>
        <row r="473">
          <cell r="K473">
            <v>2500</v>
          </cell>
          <cell r="L473">
            <v>0</v>
          </cell>
          <cell r="N473">
            <v>0</v>
          </cell>
          <cell r="O473">
            <v>0</v>
          </cell>
          <cell r="Q473">
            <v>0</v>
          </cell>
          <cell r="R473">
            <v>0</v>
          </cell>
          <cell r="T473">
            <v>0</v>
          </cell>
          <cell r="U473">
            <v>0</v>
          </cell>
          <cell r="W473">
            <v>0</v>
          </cell>
          <cell r="X473">
            <v>0</v>
          </cell>
          <cell r="Z473">
            <v>0</v>
          </cell>
          <cell r="AA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I473">
            <v>0</v>
          </cell>
          <cell r="AJ473">
            <v>0</v>
          </cell>
          <cell r="AL473">
            <v>0</v>
          </cell>
          <cell r="AM473">
            <v>0</v>
          </cell>
          <cell r="AO473">
            <v>0</v>
          </cell>
          <cell r="AP473">
            <v>0</v>
          </cell>
          <cell r="AR473">
            <v>0</v>
          </cell>
          <cell r="AS473">
            <v>0</v>
          </cell>
          <cell r="BF473" t="str">
            <v>7350</v>
          </cell>
          <cell r="BG473" t="str">
            <v>Z000</v>
          </cell>
          <cell r="BH473" t="str">
            <v>TUL</v>
          </cell>
        </row>
        <row r="474">
          <cell r="K474">
            <v>0</v>
          </cell>
          <cell r="L474">
            <v>0</v>
          </cell>
          <cell r="N474">
            <v>0</v>
          </cell>
          <cell r="O474">
            <v>0</v>
          </cell>
          <cell r="Q474">
            <v>0</v>
          </cell>
          <cell r="R474">
            <v>0</v>
          </cell>
          <cell r="T474">
            <v>0</v>
          </cell>
          <cell r="U474">
            <v>0</v>
          </cell>
          <cell r="W474">
            <v>0</v>
          </cell>
          <cell r="X474">
            <v>0</v>
          </cell>
          <cell r="Z474">
            <v>0</v>
          </cell>
          <cell r="AA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I474">
            <v>0</v>
          </cell>
          <cell r="AJ474">
            <v>0</v>
          </cell>
          <cell r="AL474">
            <v>0</v>
          </cell>
          <cell r="AM474">
            <v>0</v>
          </cell>
          <cell r="AO474">
            <v>0</v>
          </cell>
          <cell r="AP474">
            <v>0</v>
          </cell>
          <cell r="AR474">
            <v>0</v>
          </cell>
          <cell r="AS474">
            <v>0</v>
          </cell>
          <cell r="BF474" t="str">
            <v>7400</v>
          </cell>
          <cell r="BG474" t="str">
            <v>Z000</v>
          </cell>
          <cell r="BH474" t="str">
            <v>TUL</v>
          </cell>
        </row>
        <row r="475">
          <cell r="K475">
            <v>0</v>
          </cell>
          <cell r="L475">
            <v>0</v>
          </cell>
          <cell r="N475">
            <v>0</v>
          </cell>
          <cell r="O475">
            <v>0</v>
          </cell>
          <cell r="Q475">
            <v>0</v>
          </cell>
          <cell r="R475">
            <v>0</v>
          </cell>
          <cell r="T475">
            <v>0</v>
          </cell>
          <cell r="U475">
            <v>0</v>
          </cell>
          <cell r="W475">
            <v>0</v>
          </cell>
          <cell r="X475">
            <v>0</v>
          </cell>
          <cell r="Z475">
            <v>0</v>
          </cell>
          <cell r="AA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I475">
            <v>0</v>
          </cell>
          <cell r="AJ475">
            <v>0</v>
          </cell>
          <cell r="AL475">
            <v>60000</v>
          </cell>
          <cell r="AM475">
            <v>0</v>
          </cell>
          <cell r="AO475">
            <v>0</v>
          </cell>
          <cell r="AP475">
            <v>0</v>
          </cell>
          <cell r="AR475">
            <v>0</v>
          </cell>
          <cell r="AS475">
            <v>0</v>
          </cell>
          <cell r="BF475" t="str">
            <v>7500</v>
          </cell>
          <cell r="BG475" t="str">
            <v>Z000</v>
          </cell>
          <cell r="BH475" t="str">
            <v>TUL</v>
          </cell>
        </row>
        <row r="476">
          <cell r="K476">
            <v>0</v>
          </cell>
          <cell r="L476">
            <v>0</v>
          </cell>
          <cell r="N476">
            <v>0</v>
          </cell>
          <cell r="O476">
            <v>0</v>
          </cell>
          <cell r="Q476">
            <v>0</v>
          </cell>
          <cell r="R476">
            <v>0</v>
          </cell>
          <cell r="T476">
            <v>0</v>
          </cell>
          <cell r="U476">
            <v>0</v>
          </cell>
          <cell r="W476">
            <v>0</v>
          </cell>
          <cell r="X476">
            <v>0</v>
          </cell>
          <cell r="Z476">
            <v>0</v>
          </cell>
          <cell r="AA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I476">
            <v>0</v>
          </cell>
          <cell r="AJ476">
            <v>0</v>
          </cell>
          <cell r="AL476">
            <v>0</v>
          </cell>
          <cell r="AM476">
            <v>0</v>
          </cell>
          <cell r="AO476">
            <v>0</v>
          </cell>
          <cell r="AP476">
            <v>0</v>
          </cell>
          <cell r="AR476">
            <v>0</v>
          </cell>
          <cell r="AS476">
            <v>0</v>
          </cell>
          <cell r="BF476" t="str">
            <v>7600</v>
          </cell>
          <cell r="BG476" t="str">
            <v>Z000</v>
          </cell>
          <cell r="BH476" t="str">
            <v>TUL</v>
          </cell>
        </row>
        <row r="477">
          <cell r="K477">
            <v>0</v>
          </cell>
          <cell r="L477">
            <v>0</v>
          </cell>
          <cell r="N477">
            <v>0</v>
          </cell>
          <cell r="O477">
            <v>0</v>
          </cell>
          <cell r="Q477">
            <v>0</v>
          </cell>
          <cell r="R477">
            <v>0</v>
          </cell>
          <cell r="T477">
            <v>0</v>
          </cell>
          <cell r="U477">
            <v>0</v>
          </cell>
          <cell r="W477">
            <v>0</v>
          </cell>
          <cell r="X477">
            <v>0</v>
          </cell>
          <cell r="Z477">
            <v>0</v>
          </cell>
          <cell r="AA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I477">
            <v>0</v>
          </cell>
          <cell r="AJ477">
            <v>0</v>
          </cell>
          <cell r="AL477">
            <v>0</v>
          </cell>
          <cell r="AM477">
            <v>0</v>
          </cell>
          <cell r="AO477">
            <v>0</v>
          </cell>
          <cell r="AP477">
            <v>0</v>
          </cell>
          <cell r="AR477">
            <v>0</v>
          </cell>
          <cell r="AS477">
            <v>0</v>
          </cell>
          <cell r="BF477" t="str">
            <v>7700</v>
          </cell>
          <cell r="BG477" t="str">
            <v>Z000</v>
          </cell>
          <cell r="BH477" t="str">
            <v>TUL</v>
          </cell>
        </row>
        <row r="478">
          <cell r="K478">
            <v>1902512.0700000003</v>
          </cell>
          <cell r="L478">
            <v>0</v>
          </cell>
          <cell r="N478">
            <v>-1902600.7799999993</v>
          </cell>
          <cell r="O478">
            <v>0</v>
          </cell>
          <cell r="Q478">
            <v>379.1500000692904</v>
          </cell>
          <cell r="R478">
            <v>0</v>
          </cell>
          <cell r="T478">
            <v>-1865.1899999305606</v>
          </cell>
          <cell r="U478">
            <v>0</v>
          </cell>
          <cell r="W478">
            <v>12870.260000105947</v>
          </cell>
          <cell r="X478">
            <v>0</v>
          </cell>
          <cell r="Z478">
            <v>18045.210000131279</v>
          </cell>
          <cell r="AA478">
            <v>0</v>
          </cell>
          <cell r="AC478">
            <v>28723.570000082254</v>
          </cell>
          <cell r="AD478">
            <v>0</v>
          </cell>
          <cell r="AF478">
            <v>44010.270000055432</v>
          </cell>
          <cell r="AG478">
            <v>0</v>
          </cell>
          <cell r="AI478">
            <v>-90917.629999838769</v>
          </cell>
          <cell r="AJ478">
            <v>0</v>
          </cell>
          <cell r="AL478">
            <v>-20691.379999920726</v>
          </cell>
          <cell r="AM478">
            <v>0</v>
          </cell>
          <cell r="AO478">
            <v>-3426.7999998778105</v>
          </cell>
          <cell r="AP478">
            <v>0</v>
          </cell>
          <cell r="AR478">
            <v>452.53000012040138</v>
          </cell>
          <cell r="AS478">
            <v>0</v>
          </cell>
          <cell r="BF478" t="str">
            <v>8002</v>
          </cell>
          <cell r="BG478" t="str">
            <v>Z000</v>
          </cell>
          <cell r="BH478" t="str">
            <v>TUL</v>
          </cell>
        </row>
        <row r="479">
          <cell r="K479">
            <v>0</v>
          </cell>
          <cell r="L479">
            <v>0</v>
          </cell>
          <cell r="N479">
            <v>0</v>
          </cell>
          <cell r="O479">
            <v>0</v>
          </cell>
          <cell r="Q479">
            <v>0</v>
          </cell>
          <cell r="R479">
            <v>0</v>
          </cell>
          <cell r="T479">
            <v>0</v>
          </cell>
          <cell r="U479">
            <v>0</v>
          </cell>
          <cell r="W479">
            <v>0</v>
          </cell>
          <cell r="X479">
            <v>0</v>
          </cell>
          <cell r="Z479">
            <v>0</v>
          </cell>
          <cell r="AA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I479">
            <v>0</v>
          </cell>
          <cell r="AJ479">
            <v>0</v>
          </cell>
          <cell r="AL479">
            <v>0</v>
          </cell>
          <cell r="AM479">
            <v>0</v>
          </cell>
          <cell r="AO479">
            <v>0</v>
          </cell>
          <cell r="AP479">
            <v>0</v>
          </cell>
          <cell r="AR479">
            <v>0</v>
          </cell>
          <cell r="AS479">
            <v>0</v>
          </cell>
          <cell r="BF479" t="str">
            <v>8003</v>
          </cell>
          <cell r="BG479" t="str">
            <v>Z000</v>
          </cell>
          <cell r="BH479" t="str">
            <v>TUL</v>
          </cell>
        </row>
        <row r="480">
          <cell r="K480">
            <v>2504781.3000000007</v>
          </cell>
          <cell r="L480">
            <v>0</v>
          </cell>
          <cell r="N480">
            <v>2242039.4499999881</v>
          </cell>
          <cell r="O480">
            <v>0</v>
          </cell>
          <cell r="Q480">
            <v>2407283.3499999866</v>
          </cell>
          <cell r="R480">
            <v>0</v>
          </cell>
          <cell r="T480">
            <v>1982011.8899999633</v>
          </cell>
          <cell r="U480">
            <v>0</v>
          </cell>
          <cell r="W480">
            <v>2290086.0800000131</v>
          </cell>
          <cell r="X480">
            <v>0</v>
          </cell>
          <cell r="Z480">
            <v>1855151.5800000578</v>
          </cell>
          <cell r="AA480">
            <v>0</v>
          </cell>
          <cell r="AC480">
            <v>418480.73999979347</v>
          </cell>
          <cell r="AD480">
            <v>0</v>
          </cell>
          <cell r="AF480">
            <v>463668.56999988109</v>
          </cell>
          <cell r="AG480">
            <v>0</v>
          </cell>
          <cell r="AI480">
            <v>1475936.4199997485</v>
          </cell>
          <cell r="AJ480">
            <v>0</v>
          </cell>
          <cell r="AL480">
            <v>1759849.650000304</v>
          </cell>
          <cell r="AM480">
            <v>0</v>
          </cell>
          <cell r="AO480">
            <v>1707193.7300000936</v>
          </cell>
          <cell r="AP480">
            <v>0</v>
          </cell>
          <cell r="AR480">
            <v>59190.260000154376</v>
          </cell>
          <cell r="AS480">
            <v>0</v>
          </cell>
          <cell r="BF480" t="str">
            <v>8200</v>
          </cell>
          <cell r="BG480" t="str">
            <v>Z000</v>
          </cell>
          <cell r="BH480" t="str">
            <v>TUL</v>
          </cell>
        </row>
        <row r="481">
          <cell r="K481">
            <v>-144323.90000000037</v>
          </cell>
          <cell r="L481">
            <v>0</v>
          </cell>
          <cell r="N481">
            <v>-139427.28000000026</v>
          </cell>
          <cell r="O481">
            <v>0</v>
          </cell>
          <cell r="Q481">
            <v>-135088.88999999966</v>
          </cell>
          <cell r="R481">
            <v>0</v>
          </cell>
          <cell r="T481">
            <v>-106556.54629999958</v>
          </cell>
          <cell r="U481">
            <v>0</v>
          </cell>
          <cell r="W481">
            <v>-105663.04999999981</v>
          </cell>
          <cell r="X481">
            <v>0</v>
          </cell>
          <cell r="Z481">
            <v>-70761.63000000082</v>
          </cell>
          <cell r="AA481">
            <v>0</v>
          </cell>
          <cell r="AC481">
            <v>-12964.929999999702</v>
          </cell>
          <cell r="AD481">
            <v>0</v>
          </cell>
          <cell r="AF481">
            <v>-5287.660000000149</v>
          </cell>
          <cell r="AG481">
            <v>0</v>
          </cell>
          <cell r="AI481">
            <v>-60744.549999999814</v>
          </cell>
          <cell r="AJ481">
            <v>0</v>
          </cell>
          <cell r="AL481">
            <v>-103579.29999999981</v>
          </cell>
          <cell r="AM481">
            <v>0</v>
          </cell>
          <cell r="AO481">
            <v>-97305.83999999892</v>
          </cell>
          <cell r="AP481">
            <v>0</v>
          </cell>
          <cell r="AR481">
            <v>-20758.919999999925</v>
          </cell>
          <cell r="AS481">
            <v>0</v>
          </cell>
          <cell r="BF481" t="str">
            <v>8201</v>
          </cell>
          <cell r="BG481" t="str">
            <v>Z000</v>
          </cell>
          <cell r="BH481" t="str">
            <v>TUL</v>
          </cell>
        </row>
        <row r="482">
          <cell r="K482">
            <v>155070.53000000003</v>
          </cell>
          <cell r="L482">
            <v>0</v>
          </cell>
          <cell r="N482">
            <v>86797.849999999744</v>
          </cell>
          <cell r="O482">
            <v>0</v>
          </cell>
          <cell r="Q482">
            <v>12028.270000000019</v>
          </cell>
          <cell r="R482">
            <v>0</v>
          </cell>
          <cell r="T482">
            <v>19176</v>
          </cell>
          <cell r="U482">
            <v>0</v>
          </cell>
          <cell r="W482">
            <v>78420</v>
          </cell>
          <cell r="X482">
            <v>0</v>
          </cell>
          <cell r="Z482">
            <v>-130005</v>
          </cell>
          <cell r="AA482">
            <v>0</v>
          </cell>
          <cell r="AC482">
            <v>12895.729999999981</v>
          </cell>
          <cell r="AD482">
            <v>0</v>
          </cell>
          <cell r="AF482">
            <v>548005.26000000024</v>
          </cell>
          <cell r="AG482">
            <v>0</v>
          </cell>
          <cell r="AI482">
            <v>648165.50999999978</v>
          </cell>
          <cell r="AJ482">
            <v>0</v>
          </cell>
          <cell r="AL482">
            <v>-758328.95000000019</v>
          </cell>
          <cell r="AM482">
            <v>0</v>
          </cell>
          <cell r="AO482">
            <v>-158598.20000000019</v>
          </cell>
          <cell r="AP482">
            <v>0</v>
          </cell>
          <cell r="AR482">
            <v>-11224.819999999832</v>
          </cell>
          <cell r="AS482">
            <v>0</v>
          </cell>
          <cell r="BF482" t="str">
            <v>8300</v>
          </cell>
          <cell r="BG482" t="str">
            <v>Z000</v>
          </cell>
          <cell r="BH482" t="str">
            <v>TUL</v>
          </cell>
        </row>
        <row r="483">
          <cell r="K483">
            <v>56815.14999999851</v>
          </cell>
          <cell r="L483">
            <v>0</v>
          </cell>
          <cell r="N483">
            <v>-125797.09999999776</v>
          </cell>
          <cell r="O483">
            <v>0</v>
          </cell>
          <cell r="Q483">
            <v>-157819.50999999046</v>
          </cell>
          <cell r="R483">
            <v>0</v>
          </cell>
          <cell r="T483">
            <v>69200.059999998659</v>
          </cell>
          <cell r="U483">
            <v>0</v>
          </cell>
          <cell r="W483">
            <v>-31179.230000000447</v>
          </cell>
          <cell r="X483">
            <v>0</v>
          </cell>
          <cell r="Z483">
            <v>-7821.3200000040233</v>
          </cell>
          <cell r="AA483">
            <v>0</v>
          </cell>
          <cell r="AC483">
            <v>-4308.6300000026822</v>
          </cell>
          <cell r="AD483">
            <v>0</v>
          </cell>
          <cell r="AF483">
            <v>-3975.1700000017881</v>
          </cell>
          <cell r="AG483">
            <v>0</v>
          </cell>
          <cell r="AI483">
            <v>8875.3299999982119</v>
          </cell>
          <cell r="AJ483">
            <v>0</v>
          </cell>
          <cell r="AL483">
            <v>-5583.320000000298</v>
          </cell>
          <cell r="AM483">
            <v>0</v>
          </cell>
          <cell r="AO483">
            <v>17444.619999997318</v>
          </cell>
          <cell r="AP483">
            <v>0</v>
          </cell>
          <cell r="AR483">
            <v>8182.8000000007451</v>
          </cell>
          <cell r="AS483">
            <v>0</v>
          </cell>
          <cell r="BF483" t="str">
            <v>8400</v>
          </cell>
          <cell r="BG483" t="str">
            <v>N001</v>
          </cell>
          <cell r="BH483" t="str">
            <v>TUL</v>
          </cell>
        </row>
        <row r="484">
          <cell r="K484">
            <v>228436.37999999896</v>
          </cell>
          <cell r="L484">
            <v>0</v>
          </cell>
          <cell r="N484">
            <v>-228197.95000000298</v>
          </cell>
          <cell r="O484">
            <v>0</v>
          </cell>
          <cell r="Q484">
            <v>-277835.61000002921</v>
          </cell>
          <cell r="R484">
            <v>0</v>
          </cell>
          <cell r="T484">
            <v>419006.81000003219</v>
          </cell>
          <cell r="U484">
            <v>0</v>
          </cell>
          <cell r="W484">
            <v>-146838.99000003934</v>
          </cell>
          <cell r="X484">
            <v>0</v>
          </cell>
          <cell r="Z484">
            <v>261438.84999997914</v>
          </cell>
          <cell r="AA484">
            <v>0</v>
          </cell>
          <cell r="AC484">
            <v>-72551.320000007749</v>
          </cell>
          <cell r="AD484">
            <v>0</v>
          </cell>
          <cell r="AF484">
            <v>-321398.23999999464</v>
          </cell>
          <cell r="AG484">
            <v>0</v>
          </cell>
          <cell r="AI484">
            <v>-47421.989999994636</v>
          </cell>
          <cell r="AJ484">
            <v>0</v>
          </cell>
          <cell r="AL484">
            <v>-32088.320000000298</v>
          </cell>
          <cell r="AM484">
            <v>0</v>
          </cell>
          <cell r="AO484">
            <v>-19947.290000014007</v>
          </cell>
          <cell r="AP484">
            <v>0</v>
          </cell>
          <cell r="AR484">
            <v>22001.039999999106</v>
          </cell>
          <cell r="AS484">
            <v>0</v>
          </cell>
          <cell r="BF484" t="str">
            <v>8400</v>
          </cell>
          <cell r="BG484" t="str">
            <v>N002</v>
          </cell>
          <cell r="BH484" t="str">
            <v>TUL</v>
          </cell>
        </row>
        <row r="485">
          <cell r="K485">
            <v>0</v>
          </cell>
          <cell r="L485">
            <v>0</v>
          </cell>
          <cell r="N485">
            <v>0</v>
          </cell>
          <cell r="O485">
            <v>0</v>
          </cell>
          <cell r="Q485">
            <v>0</v>
          </cell>
          <cell r="R485">
            <v>0</v>
          </cell>
          <cell r="T485">
            <v>0</v>
          </cell>
          <cell r="U485">
            <v>0</v>
          </cell>
          <cell r="W485">
            <v>0</v>
          </cell>
          <cell r="X485">
            <v>0</v>
          </cell>
          <cell r="Z485">
            <v>0</v>
          </cell>
          <cell r="AA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I485">
            <v>0</v>
          </cell>
          <cell r="AJ485">
            <v>0</v>
          </cell>
          <cell r="AL485">
            <v>0</v>
          </cell>
          <cell r="AM485">
            <v>0</v>
          </cell>
          <cell r="AO485">
            <v>62.460000000000036</v>
          </cell>
          <cell r="AP485">
            <v>0</v>
          </cell>
          <cell r="AR485">
            <v>0</v>
          </cell>
          <cell r="AS485">
            <v>0</v>
          </cell>
          <cell r="BF485" t="str">
            <v>8400</v>
          </cell>
          <cell r="BG485" t="str">
            <v>N003</v>
          </cell>
          <cell r="BH485" t="str">
            <v>TUL</v>
          </cell>
        </row>
        <row r="486">
          <cell r="K486">
            <v>-1500563.6099999975</v>
          </cell>
          <cell r="L486">
            <v>0</v>
          </cell>
          <cell r="N486">
            <v>1873714.1900000013</v>
          </cell>
          <cell r="O486">
            <v>0</v>
          </cell>
          <cell r="Q486">
            <v>320451.63000000268</v>
          </cell>
          <cell r="R486">
            <v>0</v>
          </cell>
          <cell r="T486">
            <v>-1535055.5300000329</v>
          </cell>
          <cell r="U486">
            <v>0</v>
          </cell>
          <cell r="W486">
            <v>918885.90999999642</v>
          </cell>
          <cell r="X486">
            <v>0</v>
          </cell>
          <cell r="Z486">
            <v>-1427759.0900000334</v>
          </cell>
          <cell r="AA486">
            <v>0</v>
          </cell>
          <cell r="AC486">
            <v>426126.01999998838</v>
          </cell>
          <cell r="AD486">
            <v>0</v>
          </cell>
          <cell r="AF486">
            <v>2132099.0100000054</v>
          </cell>
          <cell r="AG486">
            <v>0</v>
          </cell>
          <cell r="AI486">
            <v>-1807309.950000003</v>
          </cell>
          <cell r="AJ486">
            <v>0</v>
          </cell>
          <cell r="AL486">
            <v>1518055.2000000253</v>
          </cell>
          <cell r="AM486">
            <v>0</v>
          </cell>
          <cell r="AO486">
            <v>316382.07000002265</v>
          </cell>
          <cell r="AP486">
            <v>0</v>
          </cell>
          <cell r="AR486">
            <v>3288991.3100000322</v>
          </cell>
          <cell r="AS486">
            <v>0</v>
          </cell>
          <cell r="BF486" t="str">
            <v>8400</v>
          </cell>
          <cell r="BG486" t="str">
            <v>N004</v>
          </cell>
          <cell r="BH486" t="str">
            <v>TUL</v>
          </cell>
        </row>
        <row r="487">
          <cell r="K487">
            <v>0</v>
          </cell>
          <cell r="L487">
            <v>0</v>
          </cell>
          <cell r="N487">
            <v>0</v>
          </cell>
          <cell r="O487">
            <v>0</v>
          </cell>
          <cell r="Q487">
            <v>0</v>
          </cell>
          <cell r="R487">
            <v>0</v>
          </cell>
          <cell r="T487">
            <v>0</v>
          </cell>
          <cell r="U487">
            <v>0</v>
          </cell>
          <cell r="W487">
            <v>0</v>
          </cell>
          <cell r="X487">
            <v>0</v>
          </cell>
          <cell r="Z487">
            <v>0</v>
          </cell>
          <cell r="AA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I487">
            <v>0</v>
          </cell>
          <cell r="AJ487">
            <v>0</v>
          </cell>
          <cell r="AL487">
            <v>0</v>
          </cell>
          <cell r="AM487">
            <v>0</v>
          </cell>
          <cell r="AO487">
            <v>0</v>
          </cell>
          <cell r="AP487">
            <v>0</v>
          </cell>
          <cell r="AR487">
            <v>-2747.3399999999965</v>
          </cell>
          <cell r="AS487">
            <v>0</v>
          </cell>
          <cell r="BF487" t="str">
            <v>8400</v>
          </cell>
          <cell r="BG487" t="str">
            <v>N005</v>
          </cell>
          <cell r="BH487" t="str">
            <v>TUL</v>
          </cell>
        </row>
        <row r="488">
          <cell r="K488">
            <v>-121.54999999999563</v>
          </cell>
          <cell r="L488">
            <v>0</v>
          </cell>
          <cell r="N488">
            <v>323.39999999999418</v>
          </cell>
          <cell r="O488">
            <v>0</v>
          </cell>
          <cell r="Q488">
            <v>378.79000000000815</v>
          </cell>
          <cell r="R488">
            <v>0</v>
          </cell>
          <cell r="T488">
            <v>78.529999999998836</v>
          </cell>
          <cell r="U488">
            <v>0</v>
          </cell>
          <cell r="W488">
            <v>-571.47000000000116</v>
          </cell>
          <cell r="X488">
            <v>0</v>
          </cell>
          <cell r="Z488">
            <v>2008.9000000000015</v>
          </cell>
          <cell r="AA488">
            <v>0</v>
          </cell>
          <cell r="AC488">
            <v>-1208.0499999999884</v>
          </cell>
          <cell r="AD488">
            <v>0</v>
          </cell>
          <cell r="AF488">
            <v>-1123.7499999999854</v>
          </cell>
          <cell r="AG488">
            <v>0</v>
          </cell>
          <cell r="AI488">
            <v>2538.1500000000087</v>
          </cell>
          <cell r="AJ488">
            <v>0</v>
          </cell>
          <cell r="AL488">
            <v>-1996.4200000000128</v>
          </cell>
          <cell r="AM488">
            <v>0</v>
          </cell>
          <cell r="AO488">
            <v>1579.8299999999872</v>
          </cell>
          <cell r="AP488">
            <v>0</v>
          </cell>
          <cell r="AR488">
            <v>1991.3899999999849</v>
          </cell>
          <cell r="AS488">
            <v>0</v>
          </cell>
          <cell r="BF488" t="str">
            <v>8400</v>
          </cell>
          <cell r="BG488" t="str">
            <v>N006</v>
          </cell>
          <cell r="BH488" t="str">
            <v>TUL</v>
          </cell>
        </row>
        <row r="489"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Q489">
            <v>0</v>
          </cell>
          <cell r="R489">
            <v>0</v>
          </cell>
          <cell r="T489">
            <v>0</v>
          </cell>
          <cell r="U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O489">
            <v>0</v>
          </cell>
          <cell r="AP489">
            <v>0</v>
          </cell>
          <cell r="AR489">
            <v>0</v>
          </cell>
          <cell r="AS489">
            <v>0</v>
          </cell>
          <cell r="BF489" t="str">
            <v>8400</v>
          </cell>
          <cell r="BG489" t="str">
            <v>N007</v>
          </cell>
          <cell r="BH489" t="str">
            <v>TUL</v>
          </cell>
        </row>
        <row r="490">
          <cell r="K490">
            <v>80000</v>
          </cell>
          <cell r="L490">
            <v>0</v>
          </cell>
          <cell r="N490">
            <v>-80000</v>
          </cell>
          <cell r="O490">
            <v>0</v>
          </cell>
          <cell r="Q490">
            <v>46299.449999999255</v>
          </cell>
          <cell r="R490">
            <v>0</v>
          </cell>
          <cell r="T490">
            <v>353700.55000000075</v>
          </cell>
          <cell r="U490">
            <v>0</v>
          </cell>
          <cell r="W490">
            <v>-400000</v>
          </cell>
          <cell r="X490">
            <v>0</v>
          </cell>
          <cell r="Z490">
            <v>0</v>
          </cell>
          <cell r="AA490">
            <v>0</v>
          </cell>
          <cell r="AC490">
            <v>0</v>
          </cell>
          <cell r="AD490">
            <v>0</v>
          </cell>
          <cell r="AF490">
            <v>-3013.8500000014901</v>
          </cell>
          <cell r="AG490">
            <v>0</v>
          </cell>
          <cell r="AI490">
            <v>3013.8500000014901</v>
          </cell>
          <cell r="AJ490">
            <v>0</v>
          </cell>
          <cell r="AL490">
            <v>0</v>
          </cell>
          <cell r="AM490">
            <v>0</v>
          </cell>
          <cell r="AO490">
            <v>0</v>
          </cell>
          <cell r="AP490">
            <v>0</v>
          </cell>
          <cell r="AR490">
            <v>0</v>
          </cell>
          <cell r="AS490">
            <v>0</v>
          </cell>
          <cell r="BF490" t="str">
            <v>8400</v>
          </cell>
          <cell r="BG490" t="str">
            <v>N999</v>
          </cell>
          <cell r="BH490" t="str">
            <v>TUL</v>
          </cell>
        </row>
        <row r="491">
          <cell r="K491">
            <v>0</v>
          </cell>
          <cell r="L491">
            <v>0</v>
          </cell>
          <cell r="N491">
            <v>0</v>
          </cell>
          <cell r="O491">
            <v>0</v>
          </cell>
          <cell r="Q491">
            <v>0</v>
          </cell>
          <cell r="R491">
            <v>0</v>
          </cell>
          <cell r="T491">
            <v>0</v>
          </cell>
          <cell r="U491">
            <v>0</v>
          </cell>
          <cell r="W491">
            <v>0</v>
          </cell>
          <cell r="X491">
            <v>0</v>
          </cell>
          <cell r="Z491">
            <v>0</v>
          </cell>
          <cell r="AA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I491">
            <v>0</v>
          </cell>
          <cell r="AJ491">
            <v>0</v>
          </cell>
          <cell r="AL491">
            <v>0</v>
          </cell>
          <cell r="AM491">
            <v>0</v>
          </cell>
          <cell r="AO491">
            <v>0</v>
          </cell>
          <cell r="AP491">
            <v>0</v>
          </cell>
          <cell r="AR491">
            <v>0</v>
          </cell>
          <cell r="AS491">
            <v>0</v>
          </cell>
          <cell r="BF491" t="str">
            <v>8420</v>
          </cell>
          <cell r="BG491" t="str">
            <v>Z000</v>
          </cell>
          <cell r="BH491" t="str">
            <v>TUL</v>
          </cell>
        </row>
        <row r="492">
          <cell r="K492">
            <v>-805.05000000001746</v>
          </cell>
          <cell r="L492">
            <v>0</v>
          </cell>
          <cell r="N492">
            <v>1403.9499999999825</v>
          </cell>
          <cell r="O492">
            <v>0</v>
          </cell>
          <cell r="Q492">
            <v>-4220.7000000000116</v>
          </cell>
          <cell r="R492">
            <v>0</v>
          </cell>
          <cell r="T492">
            <v>2241.2499999999709</v>
          </cell>
          <cell r="U492">
            <v>0</v>
          </cell>
          <cell r="W492">
            <v>1316.1499999999651</v>
          </cell>
          <cell r="X492">
            <v>0</v>
          </cell>
          <cell r="Z492">
            <v>806.20000000001164</v>
          </cell>
          <cell r="AA492">
            <v>0</v>
          </cell>
          <cell r="AC492">
            <v>-1888.5500000000175</v>
          </cell>
          <cell r="AD492">
            <v>0</v>
          </cell>
          <cell r="AF492">
            <v>-41.750000000029104</v>
          </cell>
          <cell r="AG492">
            <v>0</v>
          </cell>
          <cell r="AI492">
            <v>2468.0499999999884</v>
          </cell>
          <cell r="AJ492">
            <v>0</v>
          </cell>
          <cell r="AL492">
            <v>-283.05000000001746</v>
          </cell>
          <cell r="AM492">
            <v>0</v>
          </cell>
          <cell r="AO492">
            <v>0</v>
          </cell>
          <cell r="AP492">
            <v>0</v>
          </cell>
          <cell r="AR492">
            <v>1694.5499999999884</v>
          </cell>
          <cell r="AS492">
            <v>0</v>
          </cell>
          <cell r="BF492" t="str">
            <v>8500</v>
          </cell>
          <cell r="BG492" t="str">
            <v>O101</v>
          </cell>
          <cell r="BH492" t="str">
            <v>TUL</v>
          </cell>
        </row>
        <row r="493">
          <cell r="K493">
            <v>0</v>
          </cell>
          <cell r="L493">
            <v>0</v>
          </cell>
          <cell r="N493">
            <v>0</v>
          </cell>
          <cell r="O493">
            <v>0</v>
          </cell>
          <cell r="Q493">
            <v>0</v>
          </cell>
          <cell r="R493">
            <v>0</v>
          </cell>
          <cell r="T493">
            <v>0</v>
          </cell>
          <cell r="U493">
            <v>0</v>
          </cell>
          <cell r="W493">
            <v>0</v>
          </cell>
          <cell r="X493">
            <v>0</v>
          </cell>
          <cell r="Z493">
            <v>0</v>
          </cell>
          <cell r="AA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I493">
            <v>0</v>
          </cell>
          <cell r="AJ493">
            <v>0</v>
          </cell>
          <cell r="AL493">
            <v>0</v>
          </cell>
          <cell r="AM493">
            <v>0</v>
          </cell>
          <cell r="AO493">
            <v>0</v>
          </cell>
          <cell r="AP493">
            <v>0</v>
          </cell>
          <cell r="AR493">
            <v>0</v>
          </cell>
          <cell r="AS493">
            <v>0</v>
          </cell>
          <cell r="BF493" t="str">
            <v>8500</v>
          </cell>
          <cell r="BG493" t="str">
            <v>O102</v>
          </cell>
          <cell r="BH493" t="str">
            <v>TUL</v>
          </cell>
        </row>
        <row r="494">
          <cell r="K494">
            <v>0</v>
          </cell>
          <cell r="L494">
            <v>0</v>
          </cell>
          <cell r="N494">
            <v>0</v>
          </cell>
          <cell r="O494">
            <v>0</v>
          </cell>
          <cell r="Q494">
            <v>0</v>
          </cell>
          <cell r="R494">
            <v>0</v>
          </cell>
          <cell r="T494">
            <v>0</v>
          </cell>
          <cell r="U494">
            <v>0</v>
          </cell>
          <cell r="W494">
            <v>0</v>
          </cell>
          <cell r="X494">
            <v>0</v>
          </cell>
          <cell r="Z494">
            <v>0</v>
          </cell>
          <cell r="AA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I494">
            <v>0</v>
          </cell>
          <cell r="AJ494">
            <v>0</v>
          </cell>
          <cell r="AL494">
            <v>0</v>
          </cell>
          <cell r="AM494">
            <v>0</v>
          </cell>
          <cell r="AO494">
            <v>0</v>
          </cell>
          <cell r="AP494">
            <v>0</v>
          </cell>
          <cell r="AR494">
            <v>0</v>
          </cell>
          <cell r="AS494">
            <v>0</v>
          </cell>
          <cell r="BF494" t="str">
            <v>8500</v>
          </cell>
          <cell r="BG494" t="str">
            <v>O103</v>
          </cell>
          <cell r="BH494" t="str">
            <v>TUL</v>
          </cell>
        </row>
        <row r="495">
          <cell r="K495">
            <v>0</v>
          </cell>
          <cell r="L495">
            <v>0</v>
          </cell>
          <cell r="N495">
            <v>0</v>
          </cell>
          <cell r="O495">
            <v>0</v>
          </cell>
          <cell r="Q495">
            <v>0</v>
          </cell>
          <cell r="R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  <cell r="Z495">
            <v>0</v>
          </cell>
          <cell r="AA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I495">
            <v>0</v>
          </cell>
          <cell r="AJ495">
            <v>0</v>
          </cell>
          <cell r="AL495">
            <v>0</v>
          </cell>
          <cell r="AM495">
            <v>0</v>
          </cell>
          <cell r="AO495">
            <v>0</v>
          </cell>
          <cell r="AP495">
            <v>0</v>
          </cell>
          <cell r="AR495">
            <v>0</v>
          </cell>
          <cell r="AS495">
            <v>0</v>
          </cell>
          <cell r="BF495" t="str">
            <v>8500</v>
          </cell>
          <cell r="BG495" t="str">
            <v>O104</v>
          </cell>
          <cell r="BH495" t="str">
            <v>TUL</v>
          </cell>
        </row>
        <row r="496">
          <cell r="K496">
            <v>0</v>
          </cell>
          <cell r="L496">
            <v>0</v>
          </cell>
          <cell r="N496">
            <v>0</v>
          </cell>
          <cell r="O496">
            <v>0</v>
          </cell>
          <cell r="Q496">
            <v>0</v>
          </cell>
          <cell r="R496">
            <v>0</v>
          </cell>
          <cell r="T496">
            <v>0</v>
          </cell>
          <cell r="U496">
            <v>0</v>
          </cell>
          <cell r="W496">
            <v>0</v>
          </cell>
          <cell r="X496">
            <v>0</v>
          </cell>
          <cell r="Z496">
            <v>0</v>
          </cell>
          <cell r="AA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I496">
            <v>0</v>
          </cell>
          <cell r="AJ496">
            <v>0</v>
          </cell>
          <cell r="AL496">
            <v>0</v>
          </cell>
          <cell r="AM496">
            <v>0</v>
          </cell>
          <cell r="AO496">
            <v>0</v>
          </cell>
          <cell r="AP496">
            <v>0</v>
          </cell>
          <cell r="AR496">
            <v>0</v>
          </cell>
          <cell r="AS496">
            <v>0</v>
          </cell>
          <cell r="BF496" t="str">
            <v>8500</v>
          </cell>
          <cell r="BG496" t="str">
            <v>O105</v>
          </cell>
          <cell r="BH496" t="str">
            <v>TUL</v>
          </cell>
        </row>
        <row r="497">
          <cell r="K497">
            <v>0</v>
          </cell>
          <cell r="L497">
            <v>0</v>
          </cell>
          <cell r="N497">
            <v>0</v>
          </cell>
          <cell r="O497">
            <v>0</v>
          </cell>
          <cell r="Q497">
            <v>0</v>
          </cell>
          <cell r="R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  <cell r="Z497">
            <v>0</v>
          </cell>
          <cell r="AA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I497">
            <v>0</v>
          </cell>
          <cell r="AJ497">
            <v>0</v>
          </cell>
          <cell r="AL497">
            <v>0</v>
          </cell>
          <cell r="AM497">
            <v>0</v>
          </cell>
          <cell r="AO497">
            <v>0</v>
          </cell>
          <cell r="AP497">
            <v>0</v>
          </cell>
          <cell r="AR497">
            <v>0</v>
          </cell>
          <cell r="AS497">
            <v>0</v>
          </cell>
          <cell r="BF497" t="str">
            <v>8500</v>
          </cell>
          <cell r="BG497" t="str">
            <v>O106</v>
          </cell>
          <cell r="BH497" t="str">
            <v>TUL</v>
          </cell>
        </row>
        <row r="498">
          <cell r="K498">
            <v>0</v>
          </cell>
          <cell r="L498">
            <v>0</v>
          </cell>
          <cell r="N498">
            <v>0</v>
          </cell>
          <cell r="O498">
            <v>0</v>
          </cell>
          <cell r="Q498">
            <v>0</v>
          </cell>
          <cell r="R498">
            <v>0</v>
          </cell>
          <cell r="T498">
            <v>0</v>
          </cell>
          <cell r="U498">
            <v>0</v>
          </cell>
          <cell r="W498">
            <v>0</v>
          </cell>
          <cell r="X498">
            <v>0</v>
          </cell>
          <cell r="Z498">
            <v>0</v>
          </cell>
          <cell r="AA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I498">
            <v>0</v>
          </cell>
          <cell r="AJ498">
            <v>0</v>
          </cell>
          <cell r="AL498">
            <v>0</v>
          </cell>
          <cell r="AM498">
            <v>0</v>
          </cell>
          <cell r="AO498">
            <v>0</v>
          </cell>
          <cell r="AP498">
            <v>0</v>
          </cell>
          <cell r="AR498">
            <v>0</v>
          </cell>
          <cell r="AS498">
            <v>0</v>
          </cell>
          <cell r="BF498" t="str">
            <v>8500</v>
          </cell>
          <cell r="BG498" t="str">
            <v>O107</v>
          </cell>
          <cell r="BH498" t="str">
            <v>TUL</v>
          </cell>
        </row>
        <row r="499">
          <cell r="K499">
            <v>0</v>
          </cell>
          <cell r="L499">
            <v>0</v>
          </cell>
          <cell r="N499">
            <v>0</v>
          </cell>
          <cell r="O499">
            <v>0</v>
          </cell>
          <cell r="Q499">
            <v>0</v>
          </cell>
          <cell r="R499">
            <v>0</v>
          </cell>
          <cell r="T499">
            <v>0</v>
          </cell>
          <cell r="U499">
            <v>0</v>
          </cell>
          <cell r="W499">
            <v>0</v>
          </cell>
          <cell r="X499">
            <v>0</v>
          </cell>
          <cell r="Z499">
            <v>0</v>
          </cell>
          <cell r="AA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I499">
            <v>0</v>
          </cell>
          <cell r="AJ499">
            <v>0</v>
          </cell>
          <cell r="AL499">
            <v>0</v>
          </cell>
          <cell r="AM499">
            <v>0</v>
          </cell>
          <cell r="AO499">
            <v>0</v>
          </cell>
          <cell r="AP499">
            <v>0</v>
          </cell>
          <cell r="AR499">
            <v>0</v>
          </cell>
          <cell r="AS499">
            <v>0</v>
          </cell>
          <cell r="BF499" t="str">
            <v>8500</v>
          </cell>
          <cell r="BG499" t="str">
            <v>O108</v>
          </cell>
          <cell r="BH499" t="str">
            <v>TUL</v>
          </cell>
        </row>
        <row r="500">
          <cell r="K500">
            <v>7.2759576141834259E-12</v>
          </cell>
          <cell r="L500">
            <v>0</v>
          </cell>
          <cell r="N500">
            <v>7.2759576141834259E-12</v>
          </cell>
          <cell r="O500">
            <v>0</v>
          </cell>
          <cell r="Q500">
            <v>2000</v>
          </cell>
          <cell r="R500">
            <v>0</v>
          </cell>
          <cell r="T500">
            <v>-1999.9999999999854</v>
          </cell>
          <cell r="U500">
            <v>0</v>
          </cell>
          <cell r="W500">
            <v>-2.9103830456733704E-11</v>
          </cell>
          <cell r="X500">
            <v>0</v>
          </cell>
          <cell r="Z500">
            <v>0</v>
          </cell>
          <cell r="AA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I500">
            <v>2.9103830456733704E-11</v>
          </cell>
          <cell r="AJ500">
            <v>0</v>
          </cell>
          <cell r="AL500">
            <v>2000</v>
          </cell>
          <cell r="AM500">
            <v>0</v>
          </cell>
          <cell r="AO500">
            <v>0</v>
          </cell>
          <cell r="AP500">
            <v>0</v>
          </cell>
          <cell r="AR500">
            <v>-2000</v>
          </cell>
          <cell r="AS500">
            <v>0</v>
          </cell>
          <cell r="BF500" t="str">
            <v>8600</v>
          </cell>
          <cell r="BG500" t="str">
            <v>P201</v>
          </cell>
          <cell r="BH500" t="str">
            <v>TUL</v>
          </cell>
        </row>
        <row r="501">
          <cell r="K501">
            <v>0</v>
          </cell>
          <cell r="L501">
            <v>0</v>
          </cell>
          <cell r="N501">
            <v>0</v>
          </cell>
          <cell r="O501">
            <v>0</v>
          </cell>
          <cell r="Q501">
            <v>0</v>
          </cell>
          <cell r="R501">
            <v>0</v>
          </cell>
          <cell r="T501">
            <v>0</v>
          </cell>
          <cell r="U501">
            <v>0</v>
          </cell>
          <cell r="W501">
            <v>0</v>
          </cell>
          <cell r="X501">
            <v>0</v>
          </cell>
          <cell r="Z501">
            <v>0</v>
          </cell>
          <cell r="AA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I501">
            <v>0</v>
          </cell>
          <cell r="AJ501">
            <v>0</v>
          </cell>
          <cell r="AL501">
            <v>0</v>
          </cell>
          <cell r="AM501">
            <v>0</v>
          </cell>
          <cell r="AO501">
            <v>0</v>
          </cell>
          <cell r="AP501">
            <v>0</v>
          </cell>
          <cell r="AR501">
            <v>0</v>
          </cell>
          <cell r="AS501">
            <v>0</v>
          </cell>
          <cell r="BF501" t="str">
            <v>8600</v>
          </cell>
          <cell r="BG501" t="str">
            <v>P202</v>
          </cell>
          <cell r="BH501" t="str">
            <v>TUL</v>
          </cell>
        </row>
        <row r="502">
          <cell r="K502">
            <v>0</v>
          </cell>
          <cell r="L502">
            <v>0</v>
          </cell>
          <cell r="N502">
            <v>0</v>
          </cell>
          <cell r="O502">
            <v>0</v>
          </cell>
          <cell r="Q502">
            <v>0</v>
          </cell>
          <cell r="R502">
            <v>0</v>
          </cell>
          <cell r="T502">
            <v>0</v>
          </cell>
          <cell r="U502">
            <v>0</v>
          </cell>
          <cell r="W502">
            <v>0</v>
          </cell>
          <cell r="X502">
            <v>0</v>
          </cell>
          <cell r="Z502">
            <v>0</v>
          </cell>
          <cell r="AA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I502">
            <v>0</v>
          </cell>
          <cell r="AJ502">
            <v>0</v>
          </cell>
          <cell r="AL502">
            <v>0</v>
          </cell>
          <cell r="AM502">
            <v>0</v>
          </cell>
          <cell r="AO502">
            <v>0</v>
          </cell>
          <cell r="AP502">
            <v>0</v>
          </cell>
          <cell r="AR502">
            <v>0</v>
          </cell>
          <cell r="AS502">
            <v>0</v>
          </cell>
          <cell r="BF502" t="str">
            <v>8600</v>
          </cell>
          <cell r="BG502" t="str">
            <v>P203</v>
          </cell>
          <cell r="BH502" t="str">
            <v>TUL</v>
          </cell>
        </row>
        <row r="503">
          <cell r="K503">
            <v>0</v>
          </cell>
          <cell r="L503">
            <v>0</v>
          </cell>
          <cell r="N503">
            <v>0</v>
          </cell>
          <cell r="O503">
            <v>0</v>
          </cell>
          <cell r="Q503">
            <v>0</v>
          </cell>
          <cell r="R503">
            <v>0</v>
          </cell>
          <cell r="T503">
            <v>0</v>
          </cell>
          <cell r="U503">
            <v>0</v>
          </cell>
          <cell r="W503">
            <v>0</v>
          </cell>
          <cell r="X503">
            <v>0</v>
          </cell>
          <cell r="Z503">
            <v>0</v>
          </cell>
          <cell r="AA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I503">
            <v>0</v>
          </cell>
          <cell r="AJ503">
            <v>0</v>
          </cell>
          <cell r="AL503">
            <v>0</v>
          </cell>
          <cell r="AM503">
            <v>0</v>
          </cell>
          <cell r="AO503">
            <v>0</v>
          </cell>
          <cell r="AP503">
            <v>0</v>
          </cell>
          <cell r="AR503">
            <v>0</v>
          </cell>
          <cell r="AS503">
            <v>0</v>
          </cell>
          <cell r="BF503" t="str">
            <v>8600</v>
          </cell>
          <cell r="BG503" t="str">
            <v>P204</v>
          </cell>
          <cell r="BH503" t="str">
            <v>TUL</v>
          </cell>
        </row>
        <row r="504">
          <cell r="K504">
            <v>0</v>
          </cell>
          <cell r="L504">
            <v>0</v>
          </cell>
          <cell r="N504">
            <v>0</v>
          </cell>
          <cell r="O504">
            <v>0</v>
          </cell>
          <cell r="Q504">
            <v>0</v>
          </cell>
          <cell r="R504">
            <v>0</v>
          </cell>
          <cell r="T504">
            <v>0</v>
          </cell>
          <cell r="U504">
            <v>0</v>
          </cell>
          <cell r="W504">
            <v>0</v>
          </cell>
          <cell r="X504">
            <v>0</v>
          </cell>
          <cell r="Z504">
            <v>0</v>
          </cell>
          <cell r="AA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I504">
            <v>0</v>
          </cell>
          <cell r="AJ504">
            <v>0</v>
          </cell>
          <cell r="AL504">
            <v>0</v>
          </cell>
          <cell r="AM504">
            <v>0</v>
          </cell>
          <cell r="AO504">
            <v>0</v>
          </cell>
          <cell r="AP504">
            <v>0</v>
          </cell>
          <cell r="AR504">
            <v>0</v>
          </cell>
          <cell r="AS504">
            <v>0</v>
          </cell>
          <cell r="BF504" t="str">
            <v>8600</v>
          </cell>
          <cell r="BG504" t="str">
            <v>P205</v>
          </cell>
          <cell r="BH504" t="str">
            <v>TUL</v>
          </cell>
        </row>
        <row r="505">
          <cell r="K505">
            <v>0</v>
          </cell>
          <cell r="L505">
            <v>0</v>
          </cell>
          <cell r="N505">
            <v>0</v>
          </cell>
          <cell r="O505">
            <v>0</v>
          </cell>
          <cell r="Q505">
            <v>0</v>
          </cell>
          <cell r="R505">
            <v>0</v>
          </cell>
          <cell r="T505">
            <v>0</v>
          </cell>
          <cell r="U505">
            <v>0</v>
          </cell>
          <cell r="W505">
            <v>0</v>
          </cell>
          <cell r="X505">
            <v>0</v>
          </cell>
          <cell r="Z505">
            <v>0</v>
          </cell>
          <cell r="AA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I505">
            <v>0</v>
          </cell>
          <cell r="AJ505">
            <v>0</v>
          </cell>
          <cell r="AL505">
            <v>0</v>
          </cell>
          <cell r="AM505">
            <v>0</v>
          </cell>
          <cell r="AO505">
            <v>0</v>
          </cell>
          <cell r="AP505">
            <v>0</v>
          </cell>
          <cell r="AR505">
            <v>0</v>
          </cell>
          <cell r="AS505">
            <v>0</v>
          </cell>
          <cell r="BF505" t="str">
            <v>8600</v>
          </cell>
          <cell r="BG505" t="str">
            <v>P206</v>
          </cell>
          <cell r="BH505" t="str">
            <v>TUL</v>
          </cell>
        </row>
        <row r="506">
          <cell r="K506">
            <v>0</v>
          </cell>
          <cell r="L506">
            <v>0</v>
          </cell>
          <cell r="N506">
            <v>0</v>
          </cell>
          <cell r="O506">
            <v>0</v>
          </cell>
          <cell r="Q506">
            <v>0</v>
          </cell>
          <cell r="R506">
            <v>0</v>
          </cell>
          <cell r="T506">
            <v>0</v>
          </cell>
          <cell r="U506">
            <v>0</v>
          </cell>
          <cell r="W506">
            <v>0</v>
          </cell>
          <cell r="X506">
            <v>0</v>
          </cell>
          <cell r="Z506">
            <v>0</v>
          </cell>
          <cell r="AA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I506">
            <v>0</v>
          </cell>
          <cell r="AJ506">
            <v>0</v>
          </cell>
          <cell r="AL506">
            <v>0</v>
          </cell>
          <cell r="AM506">
            <v>0</v>
          </cell>
          <cell r="AO506">
            <v>0</v>
          </cell>
          <cell r="AP506">
            <v>0</v>
          </cell>
          <cell r="AR506">
            <v>0</v>
          </cell>
          <cell r="AS506">
            <v>0</v>
          </cell>
          <cell r="BF506" t="str">
            <v>8600</v>
          </cell>
          <cell r="BG506" t="str">
            <v>P207</v>
          </cell>
          <cell r="BH506" t="str">
            <v>TUL</v>
          </cell>
        </row>
        <row r="507">
          <cell r="K507">
            <v>0</v>
          </cell>
          <cell r="L507">
            <v>0</v>
          </cell>
          <cell r="N507">
            <v>0</v>
          </cell>
          <cell r="O507">
            <v>0</v>
          </cell>
          <cell r="Q507">
            <v>0</v>
          </cell>
          <cell r="R507">
            <v>0</v>
          </cell>
          <cell r="T507">
            <v>0</v>
          </cell>
          <cell r="U507">
            <v>0</v>
          </cell>
          <cell r="W507">
            <v>0</v>
          </cell>
          <cell r="X507">
            <v>0</v>
          </cell>
          <cell r="Z507">
            <v>0</v>
          </cell>
          <cell r="AA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I507">
            <v>0</v>
          </cell>
          <cell r="AJ507">
            <v>0</v>
          </cell>
          <cell r="AL507">
            <v>0</v>
          </cell>
          <cell r="AM507">
            <v>0</v>
          </cell>
          <cell r="AO507">
            <v>0</v>
          </cell>
          <cell r="AP507">
            <v>0</v>
          </cell>
          <cell r="AR507">
            <v>0</v>
          </cell>
          <cell r="AS507">
            <v>0</v>
          </cell>
          <cell r="BF507" t="str">
            <v>8600</v>
          </cell>
          <cell r="BG507" t="str">
            <v>P208</v>
          </cell>
          <cell r="BH507" t="str">
            <v>TUL</v>
          </cell>
        </row>
        <row r="508">
          <cell r="K508">
            <v>2685.6899999999441</v>
          </cell>
          <cell r="L508">
            <v>0</v>
          </cell>
          <cell r="N508">
            <v>48450.989999999991</v>
          </cell>
          <cell r="O508">
            <v>0</v>
          </cell>
          <cell r="Q508">
            <v>11131.790000000037</v>
          </cell>
          <cell r="R508">
            <v>0</v>
          </cell>
          <cell r="T508">
            <v>-20088.869999999879</v>
          </cell>
          <cell r="U508">
            <v>0</v>
          </cell>
          <cell r="W508">
            <v>66503.270000000019</v>
          </cell>
          <cell r="X508">
            <v>0</v>
          </cell>
          <cell r="Z508">
            <v>-174435.66000000015</v>
          </cell>
          <cell r="AA508">
            <v>0</v>
          </cell>
          <cell r="AC508">
            <v>-13316.980000000214</v>
          </cell>
          <cell r="AD508">
            <v>0</v>
          </cell>
          <cell r="AF508">
            <v>44372.160000000149</v>
          </cell>
          <cell r="AG508">
            <v>0</v>
          </cell>
          <cell r="AI508">
            <v>29297.010000000242</v>
          </cell>
          <cell r="AJ508">
            <v>0</v>
          </cell>
          <cell r="AL508">
            <v>45777.749999999767</v>
          </cell>
          <cell r="AM508">
            <v>0</v>
          </cell>
          <cell r="AO508">
            <v>-40667.160000000149</v>
          </cell>
          <cell r="AP508">
            <v>0</v>
          </cell>
          <cell r="AR508">
            <v>128749.16000000015</v>
          </cell>
          <cell r="AS508">
            <v>0</v>
          </cell>
          <cell r="BF508" t="str">
            <v>9000</v>
          </cell>
          <cell r="BG508" t="str">
            <v>Z000</v>
          </cell>
          <cell r="BH508" t="str">
            <v>TUL</v>
          </cell>
        </row>
        <row r="509">
          <cell r="K509">
            <v>139196.27000000005</v>
          </cell>
          <cell r="L509">
            <v>0</v>
          </cell>
          <cell r="N509">
            <v>107019.81</v>
          </cell>
          <cell r="O509">
            <v>0</v>
          </cell>
          <cell r="Q509">
            <v>118128.56000000006</v>
          </cell>
          <cell r="R509">
            <v>0</v>
          </cell>
          <cell r="T509">
            <v>-343185.91999999998</v>
          </cell>
          <cell r="U509">
            <v>0</v>
          </cell>
          <cell r="W509">
            <v>379711.49000000011</v>
          </cell>
          <cell r="X509">
            <v>0</v>
          </cell>
          <cell r="Z509">
            <v>263958.39</v>
          </cell>
          <cell r="AA509">
            <v>0</v>
          </cell>
          <cell r="AC509">
            <v>-349143.90999999968</v>
          </cell>
          <cell r="AD509">
            <v>0</v>
          </cell>
          <cell r="AF509">
            <v>-117304.44000000018</v>
          </cell>
          <cell r="AG509">
            <v>0</v>
          </cell>
          <cell r="AI509">
            <v>-142435.58999999985</v>
          </cell>
          <cell r="AJ509">
            <v>0</v>
          </cell>
          <cell r="AL509">
            <v>19154.540000000037</v>
          </cell>
          <cell r="AM509">
            <v>0</v>
          </cell>
          <cell r="AO509">
            <v>-85186.700000000186</v>
          </cell>
          <cell r="AP509">
            <v>0</v>
          </cell>
          <cell r="AR509">
            <v>94292.030000000261</v>
          </cell>
          <cell r="AS509">
            <v>0</v>
          </cell>
          <cell r="BF509" t="str">
            <v>9050</v>
          </cell>
          <cell r="BG509" t="str">
            <v>Z000</v>
          </cell>
          <cell r="BH509" t="str">
            <v>TUL</v>
          </cell>
        </row>
        <row r="510">
          <cell r="K510">
            <v>50856.75</v>
          </cell>
          <cell r="L510">
            <v>0</v>
          </cell>
          <cell r="N510">
            <v>-205696.70999999717</v>
          </cell>
          <cell r="O510">
            <v>0</v>
          </cell>
          <cell r="Q510">
            <v>8894.1099999845028</v>
          </cell>
          <cell r="R510">
            <v>0</v>
          </cell>
          <cell r="T510">
            <v>342407.13999997452</v>
          </cell>
          <cell r="U510">
            <v>0</v>
          </cell>
          <cell r="W510">
            <v>-273685.9299999848</v>
          </cell>
          <cell r="X510">
            <v>0</v>
          </cell>
          <cell r="Z510">
            <v>41562.229999996722</v>
          </cell>
          <cell r="AA510">
            <v>0</v>
          </cell>
          <cell r="AC510">
            <v>137411.47000000626</v>
          </cell>
          <cell r="AD510">
            <v>0</v>
          </cell>
          <cell r="AF510">
            <v>-93035.159999988973</v>
          </cell>
          <cell r="AG510">
            <v>0</v>
          </cell>
          <cell r="AI510">
            <v>19992.009999997914</v>
          </cell>
          <cell r="AJ510">
            <v>0</v>
          </cell>
          <cell r="AL510">
            <v>51799.490000002086</v>
          </cell>
          <cell r="AM510">
            <v>0</v>
          </cell>
          <cell r="AO510">
            <v>-46510.85000000149</v>
          </cell>
          <cell r="AP510">
            <v>0</v>
          </cell>
          <cell r="AR510">
            <v>20000</v>
          </cell>
          <cell r="AS510">
            <v>0</v>
          </cell>
          <cell r="BF510" t="str">
            <v>9051</v>
          </cell>
          <cell r="BG510" t="str">
            <v>Z000</v>
          </cell>
          <cell r="BH510" t="str">
            <v>TUL</v>
          </cell>
        </row>
        <row r="511">
          <cell r="K511">
            <v>0</v>
          </cell>
          <cell r="L511">
            <v>0</v>
          </cell>
          <cell r="N511">
            <v>0</v>
          </cell>
          <cell r="O511">
            <v>0</v>
          </cell>
          <cell r="Q511">
            <v>0</v>
          </cell>
          <cell r="R511">
            <v>0</v>
          </cell>
          <cell r="T511">
            <v>0</v>
          </cell>
          <cell r="U511">
            <v>0</v>
          </cell>
          <cell r="W511">
            <v>0</v>
          </cell>
          <cell r="X511">
            <v>0</v>
          </cell>
          <cell r="Z511">
            <v>0</v>
          </cell>
          <cell r="AA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I511">
            <v>0</v>
          </cell>
          <cell r="AJ511">
            <v>0</v>
          </cell>
          <cell r="AL511">
            <v>0</v>
          </cell>
          <cell r="AM511">
            <v>0</v>
          </cell>
          <cell r="AO511">
            <v>0</v>
          </cell>
          <cell r="AP511">
            <v>0</v>
          </cell>
          <cell r="AR511">
            <v>0</v>
          </cell>
          <cell r="AS511">
            <v>0</v>
          </cell>
          <cell r="BF511" t="str">
            <v>9100</v>
          </cell>
          <cell r="BG511" t="str">
            <v>Z000</v>
          </cell>
          <cell r="BH511" t="str">
            <v>TUL</v>
          </cell>
        </row>
        <row r="512">
          <cell r="K512">
            <v>1936.359999999986</v>
          </cell>
          <cell r="L512">
            <v>0</v>
          </cell>
          <cell r="N512">
            <v>-199.26999999996042</v>
          </cell>
          <cell r="O512">
            <v>0</v>
          </cell>
          <cell r="Q512">
            <v>2252.5500000000175</v>
          </cell>
          <cell r="R512">
            <v>0</v>
          </cell>
          <cell r="T512">
            <v>-572.37999999994645</v>
          </cell>
          <cell r="U512">
            <v>0</v>
          </cell>
          <cell r="W512">
            <v>-18859.400000000023</v>
          </cell>
          <cell r="X512">
            <v>0</v>
          </cell>
          <cell r="Z512">
            <v>0</v>
          </cell>
          <cell r="AA512">
            <v>0</v>
          </cell>
          <cell r="AC512">
            <v>3210</v>
          </cell>
          <cell r="AD512">
            <v>0</v>
          </cell>
          <cell r="AF512">
            <v>0</v>
          </cell>
          <cell r="AG512">
            <v>0</v>
          </cell>
          <cell r="AI512">
            <v>0</v>
          </cell>
          <cell r="AJ512">
            <v>0</v>
          </cell>
          <cell r="AL512">
            <v>0</v>
          </cell>
          <cell r="AM512">
            <v>0</v>
          </cell>
          <cell r="AO512">
            <v>-606.69999999995343</v>
          </cell>
          <cell r="AP512">
            <v>0</v>
          </cell>
          <cell r="AR512">
            <v>0</v>
          </cell>
          <cell r="AS512">
            <v>0</v>
          </cell>
          <cell r="BF512" t="str">
            <v>9200</v>
          </cell>
          <cell r="BG512" t="str">
            <v>Q001</v>
          </cell>
          <cell r="BH512" t="str">
            <v>TUL</v>
          </cell>
        </row>
        <row r="513">
          <cell r="K513">
            <v>0</v>
          </cell>
          <cell r="L513">
            <v>0</v>
          </cell>
          <cell r="N513">
            <v>0</v>
          </cell>
          <cell r="O513">
            <v>0</v>
          </cell>
          <cell r="Q513">
            <v>0</v>
          </cell>
          <cell r="R513">
            <v>0</v>
          </cell>
          <cell r="T513">
            <v>0</v>
          </cell>
          <cell r="U513">
            <v>0</v>
          </cell>
          <cell r="W513">
            <v>0</v>
          </cell>
          <cell r="X513">
            <v>0</v>
          </cell>
          <cell r="Z513">
            <v>0</v>
          </cell>
          <cell r="AA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I513">
            <v>0</v>
          </cell>
          <cell r="AJ513">
            <v>0</v>
          </cell>
          <cell r="AL513">
            <v>0</v>
          </cell>
          <cell r="AM513">
            <v>0</v>
          </cell>
          <cell r="AO513">
            <v>0</v>
          </cell>
          <cell r="AP513">
            <v>0</v>
          </cell>
          <cell r="AR513">
            <v>0</v>
          </cell>
          <cell r="AS513">
            <v>0</v>
          </cell>
          <cell r="BF513" t="str">
            <v>9200</v>
          </cell>
          <cell r="BG513" t="str">
            <v>Q002</v>
          </cell>
          <cell r="BH513" t="str">
            <v>TUL</v>
          </cell>
        </row>
        <row r="514">
          <cell r="K514">
            <v>0.5</v>
          </cell>
          <cell r="L514">
            <v>0</v>
          </cell>
          <cell r="N514">
            <v>78999.520000000019</v>
          </cell>
          <cell r="O514">
            <v>0</v>
          </cell>
          <cell r="Q514">
            <v>-106129.58999999985</v>
          </cell>
          <cell r="R514">
            <v>0</v>
          </cell>
          <cell r="T514">
            <v>-21999.989999999758</v>
          </cell>
          <cell r="U514">
            <v>0</v>
          </cell>
          <cell r="W514">
            <v>39500</v>
          </cell>
          <cell r="X514">
            <v>0</v>
          </cell>
          <cell r="Z514">
            <v>0</v>
          </cell>
          <cell r="AA514">
            <v>0</v>
          </cell>
          <cell r="AC514">
            <v>9630</v>
          </cell>
          <cell r="AD514">
            <v>0</v>
          </cell>
          <cell r="AF514">
            <v>-0.43999999994412065</v>
          </cell>
          <cell r="AG514">
            <v>0</v>
          </cell>
          <cell r="AI514">
            <v>0</v>
          </cell>
          <cell r="AJ514">
            <v>0</v>
          </cell>
          <cell r="AL514">
            <v>0</v>
          </cell>
          <cell r="AM514">
            <v>0</v>
          </cell>
          <cell r="AO514">
            <v>0</v>
          </cell>
          <cell r="AP514">
            <v>0</v>
          </cell>
          <cell r="AR514">
            <v>0</v>
          </cell>
          <cell r="AS514">
            <v>0</v>
          </cell>
          <cell r="BF514" t="str">
            <v>9200</v>
          </cell>
          <cell r="BG514" t="str">
            <v>Q003</v>
          </cell>
          <cell r="BH514" t="str">
            <v>TUL</v>
          </cell>
        </row>
        <row r="515">
          <cell r="K515">
            <v>280</v>
          </cell>
          <cell r="L515">
            <v>0</v>
          </cell>
          <cell r="N515">
            <v>-103477.12</v>
          </cell>
          <cell r="O515">
            <v>0</v>
          </cell>
          <cell r="Q515">
            <v>99019.519999999902</v>
          </cell>
          <cell r="R515">
            <v>0</v>
          </cell>
          <cell r="T515">
            <v>618</v>
          </cell>
          <cell r="U515">
            <v>0</v>
          </cell>
          <cell r="W515">
            <v>0</v>
          </cell>
          <cell r="X515">
            <v>0</v>
          </cell>
          <cell r="Z515">
            <v>0</v>
          </cell>
          <cell r="AA515">
            <v>0</v>
          </cell>
          <cell r="AC515">
            <v>1140</v>
          </cell>
          <cell r="AD515">
            <v>0</v>
          </cell>
          <cell r="AF515">
            <v>0</v>
          </cell>
          <cell r="AG515">
            <v>0</v>
          </cell>
          <cell r="AI515">
            <v>500</v>
          </cell>
          <cell r="AJ515">
            <v>0</v>
          </cell>
          <cell r="AL515">
            <v>500</v>
          </cell>
          <cell r="AM515">
            <v>0</v>
          </cell>
          <cell r="AO515">
            <v>500</v>
          </cell>
          <cell r="AP515">
            <v>0</v>
          </cell>
          <cell r="AR515">
            <v>500</v>
          </cell>
          <cell r="AS515">
            <v>0</v>
          </cell>
          <cell r="BF515" t="str">
            <v>9200</v>
          </cell>
          <cell r="BG515" t="str">
            <v>Q004</v>
          </cell>
          <cell r="BH515" t="str">
            <v>TUL</v>
          </cell>
        </row>
        <row r="516">
          <cell r="K516">
            <v>0</v>
          </cell>
          <cell r="L516">
            <v>0</v>
          </cell>
          <cell r="N516">
            <v>0</v>
          </cell>
          <cell r="O516">
            <v>0</v>
          </cell>
          <cell r="Q516">
            <v>0</v>
          </cell>
          <cell r="R516">
            <v>0</v>
          </cell>
          <cell r="T516">
            <v>0</v>
          </cell>
          <cell r="U516">
            <v>0</v>
          </cell>
          <cell r="W516">
            <v>0</v>
          </cell>
          <cell r="X516">
            <v>0</v>
          </cell>
          <cell r="Z516">
            <v>0</v>
          </cell>
          <cell r="AA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I516">
            <v>0</v>
          </cell>
          <cell r="AJ516">
            <v>0</v>
          </cell>
          <cell r="AL516">
            <v>0</v>
          </cell>
          <cell r="AM516">
            <v>0</v>
          </cell>
          <cell r="AO516">
            <v>0</v>
          </cell>
          <cell r="AP516">
            <v>0</v>
          </cell>
          <cell r="AR516">
            <v>0</v>
          </cell>
          <cell r="AS516">
            <v>0</v>
          </cell>
          <cell r="BF516" t="str">
            <v>9300</v>
          </cell>
          <cell r="BG516" t="str">
            <v>Z000</v>
          </cell>
          <cell r="BH516" t="str">
            <v>TUL</v>
          </cell>
        </row>
        <row r="517">
          <cell r="K517">
            <v>0</v>
          </cell>
          <cell r="L517">
            <v>0</v>
          </cell>
          <cell r="N517">
            <v>0</v>
          </cell>
          <cell r="O517">
            <v>0</v>
          </cell>
          <cell r="Q517">
            <v>0</v>
          </cell>
          <cell r="R517">
            <v>0</v>
          </cell>
          <cell r="T517">
            <v>0</v>
          </cell>
          <cell r="U517">
            <v>0</v>
          </cell>
          <cell r="W517">
            <v>0</v>
          </cell>
          <cell r="X517">
            <v>0</v>
          </cell>
          <cell r="Z517">
            <v>0</v>
          </cell>
          <cell r="AA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I517">
            <v>0</v>
          </cell>
          <cell r="AJ517">
            <v>0</v>
          </cell>
          <cell r="AL517">
            <v>0</v>
          </cell>
          <cell r="AM517">
            <v>0</v>
          </cell>
          <cell r="AO517">
            <v>0</v>
          </cell>
          <cell r="AP517">
            <v>0</v>
          </cell>
          <cell r="AR517">
            <v>0</v>
          </cell>
          <cell r="AS517">
            <v>0</v>
          </cell>
          <cell r="BF517" t="str">
            <v>9400</v>
          </cell>
          <cell r="BG517" t="str">
            <v>Z000</v>
          </cell>
          <cell r="BH517" t="str">
            <v>TUL</v>
          </cell>
        </row>
        <row r="518">
          <cell r="K518">
            <v>0</v>
          </cell>
          <cell r="L518">
            <v>0</v>
          </cell>
          <cell r="N518">
            <v>1.0000000707805157E-2</v>
          </cell>
          <cell r="O518">
            <v>0</v>
          </cell>
          <cell r="Q518">
            <v>0</v>
          </cell>
          <cell r="R518">
            <v>0</v>
          </cell>
          <cell r="T518">
            <v>-1000</v>
          </cell>
          <cell r="U518">
            <v>0</v>
          </cell>
          <cell r="W518">
            <v>0</v>
          </cell>
          <cell r="X518">
            <v>0</v>
          </cell>
          <cell r="Z518">
            <v>0</v>
          </cell>
          <cell r="AA518">
            <v>0</v>
          </cell>
          <cell r="AC518">
            <v>0</v>
          </cell>
          <cell r="AD518">
            <v>0</v>
          </cell>
          <cell r="AF518">
            <v>-1718.5999999996275</v>
          </cell>
          <cell r="AG518">
            <v>0</v>
          </cell>
          <cell r="AI518">
            <v>2718.589999999851</v>
          </cell>
          <cell r="AJ518">
            <v>0</v>
          </cell>
          <cell r="AL518">
            <v>-1000</v>
          </cell>
          <cell r="AM518">
            <v>0</v>
          </cell>
          <cell r="AO518">
            <v>1008.5599999995902</v>
          </cell>
          <cell r="AP518">
            <v>0</v>
          </cell>
          <cell r="AR518">
            <v>-8.5599999995902181</v>
          </cell>
          <cell r="AS518">
            <v>0</v>
          </cell>
          <cell r="BF518" t="str">
            <v>9500</v>
          </cell>
          <cell r="BG518" t="str">
            <v>Z000</v>
          </cell>
          <cell r="BH518" t="str">
            <v>TUL</v>
          </cell>
        </row>
        <row r="519">
          <cell r="K519">
            <v>0</v>
          </cell>
          <cell r="L519">
            <v>0</v>
          </cell>
          <cell r="N519">
            <v>0</v>
          </cell>
          <cell r="O519">
            <v>0</v>
          </cell>
          <cell r="Q519">
            <v>0</v>
          </cell>
          <cell r="R519">
            <v>0</v>
          </cell>
          <cell r="T519">
            <v>0</v>
          </cell>
          <cell r="U519">
            <v>0</v>
          </cell>
          <cell r="W519">
            <v>0</v>
          </cell>
          <cell r="X519">
            <v>0</v>
          </cell>
          <cell r="Z519">
            <v>0</v>
          </cell>
          <cell r="AA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I519">
            <v>0</v>
          </cell>
          <cell r="AJ519">
            <v>0</v>
          </cell>
          <cell r="AL519">
            <v>0</v>
          </cell>
          <cell r="AM519">
            <v>0</v>
          </cell>
          <cell r="AO519">
            <v>0</v>
          </cell>
          <cell r="AP519">
            <v>0</v>
          </cell>
          <cell r="AR519">
            <v>0</v>
          </cell>
          <cell r="AS519">
            <v>0</v>
          </cell>
          <cell r="BF519" t="str">
            <v>9550</v>
          </cell>
          <cell r="BG519" t="str">
            <v>Z000</v>
          </cell>
          <cell r="BH519" t="str">
            <v>TUL</v>
          </cell>
        </row>
        <row r="520">
          <cell r="K520">
            <v>0</v>
          </cell>
          <cell r="L520">
            <v>0</v>
          </cell>
          <cell r="N520">
            <v>0</v>
          </cell>
          <cell r="O520">
            <v>0</v>
          </cell>
          <cell r="Q520">
            <v>0</v>
          </cell>
          <cell r="R520">
            <v>0</v>
          </cell>
          <cell r="T520">
            <v>0</v>
          </cell>
          <cell r="U520">
            <v>0</v>
          </cell>
          <cell r="W520">
            <v>0</v>
          </cell>
          <cell r="X520">
            <v>0</v>
          </cell>
          <cell r="Z520">
            <v>0</v>
          </cell>
          <cell r="AA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I520">
            <v>0</v>
          </cell>
          <cell r="AJ520">
            <v>0</v>
          </cell>
          <cell r="AL520">
            <v>0</v>
          </cell>
          <cell r="AM520">
            <v>0</v>
          </cell>
          <cell r="AO520">
            <v>0</v>
          </cell>
          <cell r="AP520">
            <v>0</v>
          </cell>
          <cell r="AR520">
            <v>0</v>
          </cell>
          <cell r="AS520">
            <v>0</v>
          </cell>
          <cell r="BF520" t="str">
            <v>9600</v>
          </cell>
          <cell r="BG520" t="str">
            <v>Z000</v>
          </cell>
          <cell r="BH520" t="str">
            <v>TUL</v>
          </cell>
        </row>
        <row r="521">
          <cell r="K521">
            <v>1383.8700000000244</v>
          </cell>
          <cell r="L521">
            <v>0</v>
          </cell>
          <cell r="N521">
            <v>1284.2000000000116</v>
          </cell>
          <cell r="O521">
            <v>0</v>
          </cell>
          <cell r="Q521">
            <v>1079.8299999999872</v>
          </cell>
          <cell r="R521">
            <v>0</v>
          </cell>
          <cell r="T521">
            <v>1316.5999999999476</v>
          </cell>
          <cell r="U521">
            <v>0</v>
          </cell>
          <cell r="W521">
            <v>1950.1499999999651</v>
          </cell>
          <cell r="X521">
            <v>0</v>
          </cell>
          <cell r="Z521">
            <v>694.10000000003492</v>
          </cell>
          <cell r="AA521">
            <v>0</v>
          </cell>
          <cell r="AC521">
            <v>1036.960000000021</v>
          </cell>
          <cell r="AD521">
            <v>0</v>
          </cell>
          <cell r="AF521">
            <v>-421.05000000004657</v>
          </cell>
          <cell r="AG521">
            <v>0</v>
          </cell>
          <cell r="AI521">
            <v>-676.23999999999069</v>
          </cell>
          <cell r="AJ521">
            <v>0</v>
          </cell>
          <cell r="AL521">
            <v>-8541.929999999993</v>
          </cell>
          <cell r="AM521">
            <v>0</v>
          </cell>
          <cell r="AO521">
            <v>622.92000000004191</v>
          </cell>
          <cell r="AP521">
            <v>0</v>
          </cell>
          <cell r="AR521">
            <v>84.150000000023283</v>
          </cell>
          <cell r="AS521">
            <v>0</v>
          </cell>
          <cell r="BF521" t="str">
            <v>9700</v>
          </cell>
          <cell r="BG521" t="str">
            <v>Z000</v>
          </cell>
          <cell r="BH521" t="str">
            <v>TUL</v>
          </cell>
        </row>
        <row r="522">
          <cell r="K522">
            <v>0</v>
          </cell>
          <cell r="L522">
            <v>0</v>
          </cell>
          <cell r="N522">
            <v>0</v>
          </cell>
          <cell r="O522">
            <v>0</v>
          </cell>
          <cell r="Q522">
            <v>0</v>
          </cell>
          <cell r="R522">
            <v>0</v>
          </cell>
          <cell r="T522">
            <v>0</v>
          </cell>
          <cell r="U522">
            <v>0</v>
          </cell>
          <cell r="W522">
            <v>0</v>
          </cell>
          <cell r="X522">
            <v>0</v>
          </cell>
          <cell r="Z522">
            <v>0</v>
          </cell>
          <cell r="AA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I522">
            <v>0</v>
          </cell>
          <cell r="AJ522">
            <v>0</v>
          </cell>
          <cell r="AL522">
            <v>0</v>
          </cell>
          <cell r="AM522">
            <v>0</v>
          </cell>
          <cell r="AO522">
            <v>0</v>
          </cell>
          <cell r="AP522">
            <v>0</v>
          </cell>
          <cell r="AR522">
            <v>0</v>
          </cell>
          <cell r="AS522">
            <v>0</v>
          </cell>
          <cell r="BF522" t="str">
            <v>9702</v>
          </cell>
          <cell r="BG522" t="str">
            <v>Z000</v>
          </cell>
          <cell r="BH522" t="str">
            <v>TUL</v>
          </cell>
        </row>
        <row r="523">
          <cell r="K523">
            <v>0</v>
          </cell>
          <cell r="L523">
            <v>0</v>
          </cell>
          <cell r="N523">
            <v>0</v>
          </cell>
          <cell r="O523">
            <v>0</v>
          </cell>
          <cell r="Q523">
            <v>-15000</v>
          </cell>
          <cell r="R523">
            <v>0</v>
          </cell>
          <cell r="T523">
            <v>0</v>
          </cell>
          <cell r="U523">
            <v>0</v>
          </cell>
          <cell r="W523">
            <v>0</v>
          </cell>
          <cell r="X523">
            <v>0</v>
          </cell>
          <cell r="Z523">
            <v>-15000</v>
          </cell>
          <cell r="AA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I523">
            <v>0</v>
          </cell>
          <cell r="AJ523">
            <v>0</v>
          </cell>
          <cell r="AL523">
            <v>-15000</v>
          </cell>
          <cell r="AM523">
            <v>0</v>
          </cell>
          <cell r="AO523">
            <v>0</v>
          </cell>
          <cell r="AP523">
            <v>0</v>
          </cell>
          <cell r="AR523">
            <v>-15000</v>
          </cell>
          <cell r="AS523">
            <v>0</v>
          </cell>
          <cell r="BF523" t="str">
            <v>9750</v>
          </cell>
          <cell r="BG523" t="str">
            <v>Z000</v>
          </cell>
          <cell r="BH523" t="str">
            <v>TUL</v>
          </cell>
        </row>
        <row r="524">
          <cell r="K524">
            <v>1.4551915228366852E-11</v>
          </cell>
          <cell r="L524">
            <v>0</v>
          </cell>
          <cell r="N524">
            <v>0</v>
          </cell>
          <cell r="O524">
            <v>0</v>
          </cell>
          <cell r="Q524">
            <v>0</v>
          </cell>
          <cell r="R524">
            <v>0</v>
          </cell>
          <cell r="T524">
            <v>0</v>
          </cell>
          <cell r="U524">
            <v>0</v>
          </cell>
          <cell r="W524">
            <v>0</v>
          </cell>
          <cell r="X524">
            <v>0</v>
          </cell>
          <cell r="Z524">
            <v>0</v>
          </cell>
          <cell r="AA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I524">
            <v>0</v>
          </cell>
          <cell r="AJ524">
            <v>0</v>
          </cell>
          <cell r="AL524">
            <v>0</v>
          </cell>
          <cell r="AM524">
            <v>0</v>
          </cell>
          <cell r="AO524">
            <v>0</v>
          </cell>
          <cell r="AP524">
            <v>0</v>
          </cell>
          <cell r="AR524">
            <v>0</v>
          </cell>
          <cell r="AS524">
            <v>0</v>
          </cell>
          <cell r="BF524" t="str">
            <v>1000</v>
          </cell>
          <cell r="BG524" t="str">
            <v>A001</v>
          </cell>
          <cell r="BH524" t="str">
            <v>GBM</v>
          </cell>
        </row>
        <row r="525">
          <cell r="K525">
            <v>0</v>
          </cell>
          <cell r="L525">
            <v>0</v>
          </cell>
          <cell r="N525">
            <v>0</v>
          </cell>
          <cell r="O525">
            <v>0</v>
          </cell>
          <cell r="Q525">
            <v>0</v>
          </cell>
          <cell r="R525">
            <v>0</v>
          </cell>
          <cell r="T525">
            <v>0</v>
          </cell>
          <cell r="U525">
            <v>0</v>
          </cell>
          <cell r="W525">
            <v>0</v>
          </cell>
          <cell r="X525">
            <v>0</v>
          </cell>
          <cell r="Z525">
            <v>0</v>
          </cell>
          <cell r="AA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I525">
            <v>0</v>
          </cell>
          <cell r="AJ525">
            <v>0</v>
          </cell>
          <cell r="AL525">
            <v>0</v>
          </cell>
          <cell r="AM525">
            <v>0</v>
          </cell>
          <cell r="AO525">
            <v>0</v>
          </cell>
          <cell r="AP525">
            <v>0</v>
          </cell>
          <cell r="AR525">
            <v>0</v>
          </cell>
          <cell r="AS525">
            <v>0</v>
          </cell>
          <cell r="BF525" t="str">
            <v>1000</v>
          </cell>
          <cell r="BG525" t="str">
            <v>A002</v>
          </cell>
          <cell r="BH525" t="str">
            <v>GBM</v>
          </cell>
        </row>
        <row r="526">
          <cell r="K526">
            <v>0</v>
          </cell>
          <cell r="L526">
            <v>0</v>
          </cell>
          <cell r="N526">
            <v>0</v>
          </cell>
          <cell r="O526">
            <v>0</v>
          </cell>
          <cell r="Q526">
            <v>0</v>
          </cell>
          <cell r="R526">
            <v>0</v>
          </cell>
          <cell r="T526">
            <v>0</v>
          </cell>
          <cell r="U526">
            <v>0</v>
          </cell>
          <cell r="W526">
            <v>0</v>
          </cell>
          <cell r="X526">
            <v>0</v>
          </cell>
          <cell r="Z526">
            <v>0</v>
          </cell>
          <cell r="AA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I526">
            <v>0</v>
          </cell>
          <cell r="AJ526">
            <v>0</v>
          </cell>
          <cell r="AL526">
            <v>0</v>
          </cell>
          <cell r="AM526">
            <v>0</v>
          </cell>
          <cell r="AO526">
            <v>0</v>
          </cell>
          <cell r="AP526">
            <v>0</v>
          </cell>
          <cell r="AR526">
            <v>0</v>
          </cell>
          <cell r="AS526">
            <v>0</v>
          </cell>
          <cell r="BF526" t="str">
            <v>1000</v>
          </cell>
          <cell r="BG526" t="str">
            <v>A003</v>
          </cell>
          <cell r="BH526" t="str">
            <v>GBM</v>
          </cell>
        </row>
        <row r="527">
          <cell r="K527">
            <v>0</v>
          </cell>
          <cell r="L527">
            <v>0</v>
          </cell>
          <cell r="N527">
            <v>0</v>
          </cell>
          <cell r="O527">
            <v>0</v>
          </cell>
          <cell r="Q527">
            <v>0</v>
          </cell>
          <cell r="R527">
            <v>0</v>
          </cell>
          <cell r="T527">
            <v>0</v>
          </cell>
          <cell r="U527">
            <v>0</v>
          </cell>
          <cell r="W527">
            <v>0</v>
          </cell>
          <cell r="X527">
            <v>0</v>
          </cell>
          <cell r="Z527">
            <v>0</v>
          </cell>
          <cell r="AA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I527">
            <v>0</v>
          </cell>
          <cell r="AJ527">
            <v>0</v>
          </cell>
          <cell r="AL527">
            <v>0</v>
          </cell>
          <cell r="AM527">
            <v>0</v>
          </cell>
          <cell r="AO527">
            <v>0</v>
          </cell>
          <cell r="AP527">
            <v>0</v>
          </cell>
          <cell r="AR527">
            <v>0</v>
          </cell>
          <cell r="AS527">
            <v>0</v>
          </cell>
          <cell r="BF527" t="str">
            <v>1000</v>
          </cell>
          <cell r="BG527" t="str">
            <v>A004</v>
          </cell>
          <cell r="BH527" t="str">
            <v>GBM</v>
          </cell>
        </row>
        <row r="528">
          <cell r="K528">
            <v>0</v>
          </cell>
          <cell r="L528">
            <v>0</v>
          </cell>
          <cell r="N528">
            <v>0</v>
          </cell>
          <cell r="O528">
            <v>0</v>
          </cell>
          <cell r="Q528">
            <v>0</v>
          </cell>
          <cell r="R528">
            <v>0</v>
          </cell>
          <cell r="T528">
            <v>0</v>
          </cell>
          <cell r="U528">
            <v>0</v>
          </cell>
          <cell r="W528">
            <v>0</v>
          </cell>
          <cell r="X528">
            <v>0</v>
          </cell>
          <cell r="Z528">
            <v>0</v>
          </cell>
          <cell r="AA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I528">
            <v>0</v>
          </cell>
          <cell r="AJ528">
            <v>0</v>
          </cell>
          <cell r="AL528">
            <v>0</v>
          </cell>
          <cell r="AM528">
            <v>0</v>
          </cell>
          <cell r="AO528">
            <v>0</v>
          </cell>
          <cell r="AP528">
            <v>0</v>
          </cell>
          <cell r="AR528">
            <v>0</v>
          </cell>
          <cell r="AS528">
            <v>0</v>
          </cell>
          <cell r="BF528" t="str">
            <v>1000</v>
          </cell>
          <cell r="BG528" t="str">
            <v>A005</v>
          </cell>
          <cell r="BH528" t="str">
            <v>GBM</v>
          </cell>
        </row>
        <row r="529">
          <cell r="K529">
            <v>0</v>
          </cell>
          <cell r="L529">
            <v>0</v>
          </cell>
          <cell r="N529">
            <v>0</v>
          </cell>
          <cell r="O529">
            <v>0</v>
          </cell>
          <cell r="Q529">
            <v>0</v>
          </cell>
          <cell r="R529">
            <v>0</v>
          </cell>
          <cell r="T529">
            <v>0</v>
          </cell>
          <cell r="U529">
            <v>0</v>
          </cell>
          <cell r="W529">
            <v>0</v>
          </cell>
          <cell r="X529">
            <v>0</v>
          </cell>
          <cell r="Z529">
            <v>0</v>
          </cell>
          <cell r="AA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I529">
            <v>0</v>
          </cell>
          <cell r="AJ529">
            <v>0</v>
          </cell>
          <cell r="AL529">
            <v>0</v>
          </cell>
          <cell r="AM529">
            <v>0</v>
          </cell>
          <cell r="AO529">
            <v>0</v>
          </cell>
          <cell r="AP529">
            <v>0</v>
          </cell>
          <cell r="AR529">
            <v>0</v>
          </cell>
          <cell r="AS529">
            <v>0</v>
          </cell>
          <cell r="BF529" t="str">
            <v>1000</v>
          </cell>
          <cell r="BG529" t="str">
            <v>A006</v>
          </cell>
          <cell r="BH529" t="str">
            <v>GBM</v>
          </cell>
        </row>
        <row r="530">
          <cell r="K530">
            <v>0</v>
          </cell>
          <cell r="L530">
            <v>0</v>
          </cell>
          <cell r="N530">
            <v>0</v>
          </cell>
          <cell r="O530">
            <v>0</v>
          </cell>
          <cell r="Q530">
            <v>0</v>
          </cell>
          <cell r="R530">
            <v>0</v>
          </cell>
          <cell r="T530">
            <v>0</v>
          </cell>
          <cell r="U530">
            <v>0</v>
          </cell>
          <cell r="W530">
            <v>0</v>
          </cell>
          <cell r="X530">
            <v>0</v>
          </cell>
          <cell r="Z530">
            <v>0</v>
          </cell>
          <cell r="AA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I530">
            <v>0</v>
          </cell>
          <cell r="AJ530">
            <v>0</v>
          </cell>
          <cell r="AL530">
            <v>0</v>
          </cell>
          <cell r="AM530">
            <v>0</v>
          </cell>
          <cell r="AO530">
            <v>0</v>
          </cell>
          <cell r="AP530">
            <v>0</v>
          </cell>
          <cell r="AR530">
            <v>0</v>
          </cell>
          <cell r="AS530">
            <v>0</v>
          </cell>
          <cell r="BF530" t="str">
            <v>1000</v>
          </cell>
          <cell r="BG530" t="str">
            <v>A007</v>
          </cell>
          <cell r="BH530" t="str">
            <v>GBM</v>
          </cell>
        </row>
        <row r="531">
          <cell r="K531">
            <v>0</v>
          </cell>
          <cell r="L531">
            <v>0</v>
          </cell>
          <cell r="N531">
            <v>0</v>
          </cell>
          <cell r="O531">
            <v>0</v>
          </cell>
          <cell r="Q531">
            <v>0</v>
          </cell>
          <cell r="R531">
            <v>0</v>
          </cell>
          <cell r="T531">
            <v>0</v>
          </cell>
          <cell r="U531">
            <v>0</v>
          </cell>
          <cell r="W531">
            <v>0</v>
          </cell>
          <cell r="X531">
            <v>0</v>
          </cell>
          <cell r="Z531">
            <v>0</v>
          </cell>
          <cell r="AA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I531">
            <v>0</v>
          </cell>
          <cell r="AJ531">
            <v>0</v>
          </cell>
          <cell r="AL531">
            <v>0</v>
          </cell>
          <cell r="AM531">
            <v>0</v>
          </cell>
          <cell r="AO531">
            <v>0</v>
          </cell>
          <cell r="AP531">
            <v>0</v>
          </cell>
          <cell r="AR531">
            <v>0</v>
          </cell>
          <cell r="AS531">
            <v>0</v>
          </cell>
          <cell r="BF531" t="str">
            <v>1000</v>
          </cell>
          <cell r="BG531" t="str">
            <v>A008</v>
          </cell>
          <cell r="BH531" t="str">
            <v>GBM</v>
          </cell>
        </row>
        <row r="532">
          <cell r="K532">
            <v>0</v>
          </cell>
          <cell r="L532">
            <v>0</v>
          </cell>
          <cell r="N532">
            <v>0</v>
          </cell>
          <cell r="O532">
            <v>0</v>
          </cell>
          <cell r="Q532">
            <v>0</v>
          </cell>
          <cell r="R532">
            <v>0</v>
          </cell>
          <cell r="T532">
            <v>0</v>
          </cell>
          <cell r="U532">
            <v>0</v>
          </cell>
          <cell r="W532">
            <v>0</v>
          </cell>
          <cell r="X532">
            <v>0</v>
          </cell>
          <cell r="Z532">
            <v>0</v>
          </cell>
          <cell r="AA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I532">
            <v>0</v>
          </cell>
          <cell r="AJ532">
            <v>0</v>
          </cell>
          <cell r="AL532">
            <v>0</v>
          </cell>
          <cell r="AM532">
            <v>0</v>
          </cell>
          <cell r="AO532">
            <v>0</v>
          </cell>
          <cell r="AP532">
            <v>0</v>
          </cell>
          <cell r="AR532">
            <v>0</v>
          </cell>
          <cell r="AS532">
            <v>0</v>
          </cell>
          <cell r="BF532" t="str">
            <v>1000</v>
          </cell>
          <cell r="BG532" t="str">
            <v>A009</v>
          </cell>
          <cell r="BH532" t="str">
            <v>GBM</v>
          </cell>
        </row>
        <row r="533">
          <cell r="K533">
            <v>0</v>
          </cell>
          <cell r="L533">
            <v>0</v>
          </cell>
          <cell r="N533">
            <v>0</v>
          </cell>
          <cell r="O533">
            <v>0</v>
          </cell>
          <cell r="Q533">
            <v>0</v>
          </cell>
          <cell r="R533">
            <v>0</v>
          </cell>
          <cell r="T533">
            <v>0</v>
          </cell>
          <cell r="U533">
            <v>0</v>
          </cell>
          <cell r="W533">
            <v>0</v>
          </cell>
          <cell r="X533">
            <v>0</v>
          </cell>
          <cell r="Z533">
            <v>0</v>
          </cell>
          <cell r="AA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I533">
            <v>0</v>
          </cell>
          <cell r="AJ533">
            <v>0</v>
          </cell>
          <cell r="AL533">
            <v>0</v>
          </cell>
          <cell r="AM533">
            <v>0</v>
          </cell>
          <cell r="AO533">
            <v>0</v>
          </cell>
          <cell r="AP533">
            <v>0</v>
          </cell>
          <cell r="AR533">
            <v>0</v>
          </cell>
          <cell r="AS533">
            <v>0</v>
          </cell>
          <cell r="BF533" t="str">
            <v>1000</v>
          </cell>
          <cell r="BG533" t="str">
            <v>A010</v>
          </cell>
          <cell r="BH533" t="str">
            <v>GBM</v>
          </cell>
        </row>
        <row r="534">
          <cell r="K534">
            <v>0</v>
          </cell>
          <cell r="L534">
            <v>0</v>
          </cell>
          <cell r="N534">
            <v>0</v>
          </cell>
          <cell r="O534">
            <v>0</v>
          </cell>
          <cell r="Q534">
            <v>0</v>
          </cell>
          <cell r="R534">
            <v>0</v>
          </cell>
          <cell r="T534">
            <v>0</v>
          </cell>
          <cell r="U534">
            <v>0</v>
          </cell>
          <cell r="W534">
            <v>0</v>
          </cell>
          <cell r="X534">
            <v>0</v>
          </cell>
          <cell r="Z534">
            <v>0</v>
          </cell>
          <cell r="AA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I534">
            <v>0</v>
          </cell>
          <cell r="AJ534">
            <v>0</v>
          </cell>
          <cell r="AL534">
            <v>0</v>
          </cell>
          <cell r="AM534">
            <v>0</v>
          </cell>
          <cell r="AO534">
            <v>0</v>
          </cell>
          <cell r="AP534">
            <v>0</v>
          </cell>
          <cell r="AR534">
            <v>0</v>
          </cell>
          <cell r="AS534">
            <v>0</v>
          </cell>
          <cell r="BF534" t="str">
            <v>1005</v>
          </cell>
          <cell r="BG534" t="str">
            <v>A081</v>
          </cell>
          <cell r="BH534" t="str">
            <v>GBM</v>
          </cell>
        </row>
        <row r="535">
          <cell r="K535">
            <v>90474.760000000009</v>
          </cell>
          <cell r="L535">
            <v>0</v>
          </cell>
          <cell r="N535">
            <v>92142.06</v>
          </cell>
          <cell r="O535">
            <v>0</v>
          </cell>
          <cell r="Q535">
            <v>102172.97999999992</v>
          </cell>
          <cell r="R535">
            <v>0</v>
          </cell>
          <cell r="T535">
            <v>113820.45000000007</v>
          </cell>
          <cell r="U535">
            <v>0</v>
          </cell>
          <cell r="W535">
            <v>115011.41999999998</v>
          </cell>
          <cell r="X535">
            <v>0</v>
          </cell>
          <cell r="Z535">
            <v>116848.58999999991</v>
          </cell>
          <cell r="AA535">
            <v>0</v>
          </cell>
          <cell r="AC535">
            <v>125302.30000000005</v>
          </cell>
          <cell r="AD535">
            <v>0</v>
          </cell>
          <cell r="AF535">
            <v>116118.31000000006</v>
          </cell>
          <cell r="AG535">
            <v>0</v>
          </cell>
          <cell r="AI535">
            <v>139202.41000000003</v>
          </cell>
          <cell r="AJ535">
            <v>0</v>
          </cell>
          <cell r="AL535">
            <v>139751.94999999995</v>
          </cell>
          <cell r="AM535">
            <v>0</v>
          </cell>
          <cell r="AO535">
            <v>142998.72999999975</v>
          </cell>
          <cell r="AP535">
            <v>0</v>
          </cell>
          <cell r="AR535">
            <v>135130.89000000036</v>
          </cell>
          <cell r="AS535">
            <v>0</v>
          </cell>
          <cell r="BF535" t="str">
            <v>1005</v>
          </cell>
          <cell r="BG535" t="str">
            <v>A082</v>
          </cell>
          <cell r="BH535" t="str">
            <v>GBM</v>
          </cell>
        </row>
        <row r="536">
          <cell r="K536">
            <v>0</v>
          </cell>
          <cell r="L536">
            <v>0</v>
          </cell>
          <cell r="N536">
            <v>0</v>
          </cell>
          <cell r="O536">
            <v>0</v>
          </cell>
          <cell r="Q536">
            <v>0</v>
          </cell>
          <cell r="R536">
            <v>0</v>
          </cell>
          <cell r="T536">
            <v>0</v>
          </cell>
          <cell r="U536">
            <v>0</v>
          </cell>
          <cell r="W536">
            <v>0</v>
          </cell>
          <cell r="X536">
            <v>0</v>
          </cell>
          <cell r="Z536">
            <v>-799</v>
          </cell>
          <cell r="AA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I536">
            <v>2112.84</v>
          </cell>
          <cell r="AJ536">
            <v>0</v>
          </cell>
          <cell r="AL536">
            <v>11300.5</v>
          </cell>
          <cell r="AM536">
            <v>0</v>
          </cell>
          <cell r="AO536">
            <v>17372.5</v>
          </cell>
          <cell r="AP536">
            <v>0</v>
          </cell>
          <cell r="AR536">
            <v>19834.029999999995</v>
          </cell>
          <cell r="AS536">
            <v>0</v>
          </cell>
          <cell r="BF536" t="str">
            <v>1005</v>
          </cell>
          <cell r="BG536" t="str">
            <v>A083</v>
          </cell>
          <cell r="BH536" t="str">
            <v>GBM</v>
          </cell>
        </row>
        <row r="537">
          <cell r="K537">
            <v>0</v>
          </cell>
          <cell r="L537">
            <v>0</v>
          </cell>
          <cell r="N537">
            <v>0</v>
          </cell>
          <cell r="O537">
            <v>0</v>
          </cell>
          <cell r="Q537">
            <v>0</v>
          </cell>
          <cell r="R537">
            <v>0</v>
          </cell>
          <cell r="T537">
            <v>0</v>
          </cell>
          <cell r="U537">
            <v>0</v>
          </cell>
          <cell r="W537">
            <v>0</v>
          </cell>
          <cell r="X537">
            <v>0</v>
          </cell>
          <cell r="Z537">
            <v>0</v>
          </cell>
          <cell r="AA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I537">
            <v>0</v>
          </cell>
          <cell r="AJ537">
            <v>0</v>
          </cell>
          <cell r="AL537">
            <v>0</v>
          </cell>
          <cell r="AM537">
            <v>0</v>
          </cell>
          <cell r="AO537">
            <v>0</v>
          </cell>
          <cell r="AP537">
            <v>0</v>
          </cell>
          <cell r="AR537">
            <v>0</v>
          </cell>
          <cell r="AS537">
            <v>0</v>
          </cell>
          <cell r="BF537" t="str">
            <v>1005</v>
          </cell>
          <cell r="BG537" t="str">
            <v>A084</v>
          </cell>
          <cell r="BH537" t="str">
            <v>GBM</v>
          </cell>
        </row>
        <row r="538">
          <cell r="K538">
            <v>394.52</v>
          </cell>
          <cell r="L538">
            <v>0</v>
          </cell>
          <cell r="N538">
            <v>2046.4</v>
          </cell>
          <cell r="O538">
            <v>0</v>
          </cell>
          <cell r="Q538">
            <v>1972.6000000000004</v>
          </cell>
          <cell r="R538">
            <v>0</v>
          </cell>
          <cell r="T538">
            <v>452.22999999999956</v>
          </cell>
          <cell r="U538">
            <v>0</v>
          </cell>
          <cell r="W538">
            <v>0</v>
          </cell>
          <cell r="X538">
            <v>0</v>
          </cell>
          <cell r="Z538">
            <v>0</v>
          </cell>
          <cell r="AA538">
            <v>0</v>
          </cell>
          <cell r="AC538">
            <v>0</v>
          </cell>
          <cell r="AD538">
            <v>0</v>
          </cell>
          <cell r="AF538">
            <v>21065.99</v>
          </cell>
          <cell r="AG538">
            <v>0</v>
          </cell>
          <cell r="AI538">
            <v>42298.14</v>
          </cell>
          <cell r="AJ538">
            <v>0</v>
          </cell>
          <cell r="AL538">
            <v>32498.150000000009</v>
          </cell>
          <cell r="AM538">
            <v>0</v>
          </cell>
          <cell r="AO538">
            <v>34125.940000000017</v>
          </cell>
          <cell r="AP538">
            <v>0</v>
          </cell>
          <cell r="AR538">
            <v>33025.099999999977</v>
          </cell>
          <cell r="AS538">
            <v>0</v>
          </cell>
          <cell r="BF538" t="str">
            <v>1005</v>
          </cell>
          <cell r="BG538" t="str">
            <v>A085</v>
          </cell>
          <cell r="BH538" t="str">
            <v>GBM</v>
          </cell>
        </row>
        <row r="539">
          <cell r="K539">
            <v>0</v>
          </cell>
          <cell r="L539">
            <v>0</v>
          </cell>
          <cell r="N539">
            <v>0</v>
          </cell>
          <cell r="O539">
            <v>0</v>
          </cell>
          <cell r="Q539">
            <v>0</v>
          </cell>
          <cell r="R539">
            <v>0</v>
          </cell>
          <cell r="T539">
            <v>0</v>
          </cell>
          <cell r="U539">
            <v>0</v>
          </cell>
          <cell r="W539">
            <v>0</v>
          </cell>
          <cell r="X539">
            <v>0</v>
          </cell>
          <cell r="Z539">
            <v>0</v>
          </cell>
          <cell r="AA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I539">
            <v>0</v>
          </cell>
          <cell r="AJ539">
            <v>0</v>
          </cell>
          <cell r="AL539">
            <v>0</v>
          </cell>
          <cell r="AM539">
            <v>0</v>
          </cell>
          <cell r="AO539">
            <v>0</v>
          </cell>
          <cell r="AP539">
            <v>0</v>
          </cell>
          <cell r="AR539">
            <v>0</v>
          </cell>
          <cell r="AS539">
            <v>0</v>
          </cell>
          <cell r="BF539" t="str">
            <v>1005</v>
          </cell>
          <cell r="BG539" t="str">
            <v>A086</v>
          </cell>
          <cell r="BH539" t="str">
            <v>GBM</v>
          </cell>
        </row>
        <row r="540">
          <cell r="K540">
            <v>0</v>
          </cell>
          <cell r="L540">
            <v>0</v>
          </cell>
          <cell r="N540">
            <v>0</v>
          </cell>
          <cell r="O540">
            <v>0</v>
          </cell>
          <cell r="Q540">
            <v>0</v>
          </cell>
          <cell r="R540">
            <v>0</v>
          </cell>
          <cell r="T540">
            <v>0</v>
          </cell>
          <cell r="U540">
            <v>0</v>
          </cell>
          <cell r="W540">
            <v>0</v>
          </cell>
          <cell r="X540">
            <v>0</v>
          </cell>
          <cell r="Z540">
            <v>0</v>
          </cell>
          <cell r="AA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I540">
            <v>0</v>
          </cell>
          <cell r="AJ540">
            <v>0</v>
          </cell>
          <cell r="AL540">
            <v>0</v>
          </cell>
          <cell r="AM540">
            <v>0</v>
          </cell>
          <cell r="AO540">
            <v>0</v>
          </cell>
          <cell r="AP540">
            <v>0</v>
          </cell>
          <cell r="AR540">
            <v>0</v>
          </cell>
          <cell r="AS540">
            <v>0</v>
          </cell>
          <cell r="BF540" t="str">
            <v>1008</v>
          </cell>
          <cell r="BG540" t="str">
            <v>A041</v>
          </cell>
          <cell r="BH540" t="str">
            <v>GBM</v>
          </cell>
        </row>
        <row r="541">
          <cell r="K541">
            <v>0</v>
          </cell>
          <cell r="L541">
            <v>0</v>
          </cell>
          <cell r="N541">
            <v>0</v>
          </cell>
          <cell r="O541">
            <v>0</v>
          </cell>
          <cell r="Q541">
            <v>0</v>
          </cell>
          <cell r="R541">
            <v>0</v>
          </cell>
          <cell r="T541">
            <v>0</v>
          </cell>
          <cell r="U541">
            <v>0</v>
          </cell>
          <cell r="W541">
            <v>0</v>
          </cell>
          <cell r="X541">
            <v>0</v>
          </cell>
          <cell r="Z541">
            <v>0</v>
          </cell>
          <cell r="AA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I541">
            <v>0</v>
          </cell>
          <cell r="AJ541">
            <v>0</v>
          </cell>
          <cell r="AL541">
            <v>0</v>
          </cell>
          <cell r="AM541">
            <v>0</v>
          </cell>
          <cell r="AO541">
            <v>0</v>
          </cell>
          <cell r="AP541">
            <v>0</v>
          </cell>
          <cell r="AR541">
            <v>0</v>
          </cell>
          <cell r="AS541">
            <v>0</v>
          </cell>
          <cell r="BF541" t="str">
            <v>1008</v>
          </cell>
          <cell r="BG541" t="str">
            <v>A042</v>
          </cell>
          <cell r="BH541" t="str">
            <v>GBM</v>
          </cell>
        </row>
        <row r="542">
          <cell r="K542">
            <v>0</v>
          </cell>
          <cell r="L542">
            <v>0</v>
          </cell>
          <cell r="N542">
            <v>0</v>
          </cell>
          <cell r="O542">
            <v>0</v>
          </cell>
          <cell r="Q542">
            <v>0</v>
          </cell>
          <cell r="R542">
            <v>0</v>
          </cell>
          <cell r="T542">
            <v>0</v>
          </cell>
          <cell r="U542">
            <v>0</v>
          </cell>
          <cell r="W542">
            <v>0</v>
          </cell>
          <cell r="X542">
            <v>0</v>
          </cell>
          <cell r="Z542">
            <v>0</v>
          </cell>
          <cell r="AA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I542">
            <v>0</v>
          </cell>
          <cell r="AJ542">
            <v>0</v>
          </cell>
          <cell r="AL542">
            <v>0</v>
          </cell>
          <cell r="AM542">
            <v>0</v>
          </cell>
          <cell r="AO542">
            <v>0</v>
          </cell>
          <cell r="AP542">
            <v>0</v>
          </cell>
          <cell r="AR542">
            <v>0</v>
          </cell>
          <cell r="AS542">
            <v>0</v>
          </cell>
          <cell r="BF542" t="str">
            <v>1008</v>
          </cell>
          <cell r="BG542" t="str">
            <v>A043</v>
          </cell>
          <cell r="BH542" t="str">
            <v>GBM</v>
          </cell>
        </row>
        <row r="543">
          <cell r="K543">
            <v>0</v>
          </cell>
          <cell r="L543">
            <v>0</v>
          </cell>
          <cell r="N543">
            <v>0</v>
          </cell>
          <cell r="O543">
            <v>0</v>
          </cell>
          <cell r="Q543">
            <v>0</v>
          </cell>
          <cell r="R543">
            <v>0</v>
          </cell>
          <cell r="T543">
            <v>0</v>
          </cell>
          <cell r="U543">
            <v>0</v>
          </cell>
          <cell r="W543">
            <v>0</v>
          </cell>
          <cell r="X543">
            <v>0</v>
          </cell>
          <cell r="Z543">
            <v>0</v>
          </cell>
          <cell r="AA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I543">
            <v>0</v>
          </cell>
          <cell r="AJ543">
            <v>0</v>
          </cell>
          <cell r="AL543">
            <v>0</v>
          </cell>
          <cell r="AM543">
            <v>0</v>
          </cell>
          <cell r="AO543">
            <v>0</v>
          </cell>
          <cell r="AP543">
            <v>0</v>
          </cell>
          <cell r="AR543">
            <v>0</v>
          </cell>
          <cell r="AS543">
            <v>0</v>
          </cell>
          <cell r="BF543" t="str">
            <v>1008</v>
          </cell>
          <cell r="BG543" t="str">
            <v>A044</v>
          </cell>
          <cell r="BH543" t="str">
            <v>GBM</v>
          </cell>
        </row>
        <row r="544">
          <cell r="K544">
            <v>0</v>
          </cell>
          <cell r="L544">
            <v>0</v>
          </cell>
          <cell r="N544">
            <v>0</v>
          </cell>
          <cell r="O544">
            <v>0</v>
          </cell>
          <cell r="Q544">
            <v>0</v>
          </cell>
          <cell r="R544">
            <v>0</v>
          </cell>
          <cell r="T544">
            <v>0</v>
          </cell>
          <cell r="U544">
            <v>0</v>
          </cell>
          <cell r="W544">
            <v>0</v>
          </cell>
          <cell r="X544">
            <v>0</v>
          </cell>
          <cell r="Z544">
            <v>0</v>
          </cell>
          <cell r="AA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I544">
            <v>0</v>
          </cell>
          <cell r="AJ544">
            <v>0</v>
          </cell>
          <cell r="AL544">
            <v>0</v>
          </cell>
          <cell r="AM544">
            <v>0</v>
          </cell>
          <cell r="AO544">
            <v>0</v>
          </cell>
          <cell r="AP544">
            <v>0</v>
          </cell>
          <cell r="AR544">
            <v>0</v>
          </cell>
          <cell r="AS544">
            <v>0</v>
          </cell>
          <cell r="BF544" t="str">
            <v>1009</v>
          </cell>
          <cell r="BG544" t="str">
            <v>A061</v>
          </cell>
          <cell r="BH544" t="str">
            <v>GBM</v>
          </cell>
        </row>
        <row r="545">
          <cell r="K545">
            <v>0</v>
          </cell>
          <cell r="L545">
            <v>0</v>
          </cell>
          <cell r="N545">
            <v>0</v>
          </cell>
          <cell r="O545">
            <v>0</v>
          </cell>
          <cell r="Q545">
            <v>0</v>
          </cell>
          <cell r="R545">
            <v>0</v>
          </cell>
          <cell r="T545">
            <v>0</v>
          </cell>
          <cell r="U545">
            <v>0</v>
          </cell>
          <cell r="W545">
            <v>0</v>
          </cell>
          <cell r="X545">
            <v>0</v>
          </cell>
          <cell r="Z545">
            <v>0</v>
          </cell>
          <cell r="AA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I545">
            <v>0</v>
          </cell>
          <cell r="AJ545">
            <v>0</v>
          </cell>
          <cell r="AL545">
            <v>0</v>
          </cell>
          <cell r="AM545">
            <v>0</v>
          </cell>
          <cell r="AO545">
            <v>0</v>
          </cell>
          <cell r="AP545">
            <v>0</v>
          </cell>
          <cell r="AR545">
            <v>0</v>
          </cell>
          <cell r="AS545">
            <v>0</v>
          </cell>
          <cell r="BF545" t="str">
            <v>1009</v>
          </cell>
          <cell r="BG545" t="str">
            <v>A062</v>
          </cell>
          <cell r="BH545" t="str">
            <v>GBM</v>
          </cell>
        </row>
        <row r="546">
          <cell r="K546">
            <v>0</v>
          </cell>
          <cell r="L546">
            <v>0</v>
          </cell>
          <cell r="N546">
            <v>0</v>
          </cell>
          <cell r="O546">
            <v>0</v>
          </cell>
          <cell r="Q546">
            <v>0</v>
          </cell>
          <cell r="R546">
            <v>0</v>
          </cell>
          <cell r="T546">
            <v>0</v>
          </cell>
          <cell r="U546">
            <v>0</v>
          </cell>
          <cell r="W546">
            <v>0</v>
          </cell>
          <cell r="X546">
            <v>0</v>
          </cell>
          <cell r="Z546">
            <v>0</v>
          </cell>
          <cell r="AA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I546">
            <v>0</v>
          </cell>
          <cell r="AJ546">
            <v>0</v>
          </cell>
          <cell r="AL546">
            <v>0</v>
          </cell>
          <cell r="AM546">
            <v>0</v>
          </cell>
          <cell r="AO546">
            <v>0</v>
          </cell>
          <cell r="AP546">
            <v>0</v>
          </cell>
          <cell r="AR546">
            <v>0</v>
          </cell>
          <cell r="AS546">
            <v>0</v>
          </cell>
          <cell r="BF546" t="str">
            <v>1009</v>
          </cell>
          <cell r="BG546" t="str">
            <v>A063</v>
          </cell>
          <cell r="BH546" t="str">
            <v>GBM</v>
          </cell>
        </row>
        <row r="547">
          <cell r="K547">
            <v>0</v>
          </cell>
          <cell r="L547">
            <v>0</v>
          </cell>
          <cell r="N547">
            <v>0</v>
          </cell>
          <cell r="O547">
            <v>0</v>
          </cell>
          <cell r="Q547">
            <v>0</v>
          </cell>
          <cell r="R547">
            <v>0</v>
          </cell>
          <cell r="T547">
            <v>0</v>
          </cell>
          <cell r="U547">
            <v>0</v>
          </cell>
          <cell r="W547">
            <v>0</v>
          </cell>
          <cell r="X547">
            <v>0</v>
          </cell>
          <cell r="Z547">
            <v>0</v>
          </cell>
          <cell r="AA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I547">
            <v>0</v>
          </cell>
          <cell r="AJ547">
            <v>0</v>
          </cell>
          <cell r="AL547">
            <v>0</v>
          </cell>
          <cell r="AM547">
            <v>0</v>
          </cell>
          <cell r="AO547">
            <v>0</v>
          </cell>
          <cell r="AP547">
            <v>0</v>
          </cell>
          <cell r="AR547">
            <v>0</v>
          </cell>
          <cell r="AS547">
            <v>0</v>
          </cell>
          <cell r="BF547" t="str">
            <v>1009</v>
          </cell>
          <cell r="BG547" t="str">
            <v>A064</v>
          </cell>
          <cell r="BH547" t="str">
            <v>GBM</v>
          </cell>
        </row>
        <row r="548">
          <cell r="K548">
            <v>0</v>
          </cell>
          <cell r="L548">
            <v>0</v>
          </cell>
          <cell r="N548">
            <v>0</v>
          </cell>
          <cell r="O548">
            <v>0</v>
          </cell>
          <cell r="Q548">
            <v>0</v>
          </cell>
          <cell r="R548">
            <v>0</v>
          </cell>
          <cell r="T548">
            <v>0</v>
          </cell>
          <cell r="U548">
            <v>0</v>
          </cell>
          <cell r="W548">
            <v>0</v>
          </cell>
          <cell r="X548">
            <v>0</v>
          </cell>
          <cell r="Z548">
            <v>0</v>
          </cell>
          <cell r="AA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I548">
            <v>0</v>
          </cell>
          <cell r="AJ548">
            <v>0</v>
          </cell>
          <cell r="AL548">
            <v>0</v>
          </cell>
          <cell r="AM548">
            <v>0</v>
          </cell>
          <cell r="AO548">
            <v>0</v>
          </cell>
          <cell r="AP548">
            <v>0</v>
          </cell>
          <cell r="AR548">
            <v>0</v>
          </cell>
          <cell r="AS548">
            <v>0</v>
          </cell>
          <cell r="BF548" t="str">
            <v>1009</v>
          </cell>
          <cell r="BG548" t="str">
            <v>A065</v>
          </cell>
          <cell r="BH548" t="str">
            <v>GBM</v>
          </cell>
        </row>
        <row r="549">
          <cell r="K549">
            <v>210.76000000000931</v>
          </cell>
          <cell r="L549">
            <v>0</v>
          </cell>
          <cell r="N549">
            <v>11492.100000000035</v>
          </cell>
          <cell r="O549">
            <v>0</v>
          </cell>
          <cell r="Q549">
            <v>21644.660000000033</v>
          </cell>
          <cell r="R549">
            <v>0</v>
          </cell>
          <cell r="T549">
            <v>21545.170000000042</v>
          </cell>
          <cell r="U549">
            <v>0</v>
          </cell>
          <cell r="W549">
            <v>21822</v>
          </cell>
          <cell r="X549">
            <v>0</v>
          </cell>
          <cell r="Z549">
            <v>22934.430000000051</v>
          </cell>
          <cell r="AA549">
            <v>0</v>
          </cell>
          <cell r="AC549">
            <v>53041.920000000042</v>
          </cell>
          <cell r="AD549">
            <v>0</v>
          </cell>
          <cell r="AF549">
            <v>43127.619999999995</v>
          </cell>
          <cell r="AG549">
            <v>0</v>
          </cell>
          <cell r="AI549">
            <v>36102.959999999963</v>
          </cell>
          <cell r="AJ549">
            <v>0</v>
          </cell>
          <cell r="AL549">
            <v>32820</v>
          </cell>
          <cell r="AM549">
            <v>0</v>
          </cell>
          <cell r="AO549">
            <v>29303.410000000033</v>
          </cell>
          <cell r="AP549">
            <v>0</v>
          </cell>
          <cell r="AR549">
            <v>30404.920000000042</v>
          </cell>
          <cell r="AS549">
            <v>0</v>
          </cell>
          <cell r="BF549" t="str">
            <v>2001</v>
          </cell>
          <cell r="BG549" t="str">
            <v>B001</v>
          </cell>
          <cell r="BH549" t="str">
            <v>GBM</v>
          </cell>
        </row>
        <row r="550">
          <cell r="K550">
            <v>0</v>
          </cell>
          <cell r="L550">
            <v>0</v>
          </cell>
          <cell r="N550">
            <v>0</v>
          </cell>
          <cell r="O550">
            <v>0</v>
          </cell>
          <cell r="Q550">
            <v>0</v>
          </cell>
          <cell r="R550">
            <v>0</v>
          </cell>
          <cell r="T550">
            <v>0</v>
          </cell>
          <cell r="U550">
            <v>0</v>
          </cell>
          <cell r="W550">
            <v>0</v>
          </cell>
          <cell r="X550">
            <v>0</v>
          </cell>
          <cell r="Z550">
            <v>0</v>
          </cell>
          <cell r="AA550">
            <v>0</v>
          </cell>
          <cell r="AC550">
            <v>0</v>
          </cell>
          <cell r="AD550">
            <v>0</v>
          </cell>
          <cell r="AF550">
            <v>26099.91</v>
          </cell>
          <cell r="AG550">
            <v>0</v>
          </cell>
          <cell r="AI550">
            <v>63649.11</v>
          </cell>
          <cell r="AJ550">
            <v>0</v>
          </cell>
          <cell r="AL550">
            <v>68673.3</v>
          </cell>
          <cell r="AM550">
            <v>0</v>
          </cell>
          <cell r="AO550">
            <v>74529.580000000016</v>
          </cell>
          <cell r="AP550">
            <v>0</v>
          </cell>
          <cell r="AR550">
            <v>72251.150000000023</v>
          </cell>
          <cell r="AS550">
            <v>0</v>
          </cell>
          <cell r="BF550" t="str">
            <v>2001</v>
          </cell>
          <cell r="BG550" t="str">
            <v>B002</v>
          </cell>
          <cell r="BH550" t="str">
            <v>GBM</v>
          </cell>
        </row>
        <row r="551">
          <cell r="K551">
            <v>0</v>
          </cell>
          <cell r="L551">
            <v>0</v>
          </cell>
          <cell r="N551">
            <v>0</v>
          </cell>
          <cell r="O551">
            <v>0</v>
          </cell>
          <cell r="Q551">
            <v>0</v>
          </cell>
          <cell r="R551">
            <v>0</v>
          </cell>
          <cell r="T551">
            <v>0</v>
          </cell>
          <cell r="U551">
            <v>0</v>
          </cell>
          <cell r="W551">
            <v>0</v>
          </cell>
          <cell r="X551">
            <v>0</v>
          </cell>
          <cell r="Z551">
            <v>0</v>
          </cell>
          <cell r="AA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I551">
            <v>0</v>
          </cell>
          <cell r="AJ551">
            <v>0</v>
          </cell>
          <cell r="AL551">
            <v>0</v>
          </cell>
          <cell r="AM551">
            <v>0</v>
          </cell>
          <cell r="AO551">
            <v>0</v>
          </cell>
          <cell r="AP551">
            <v>0</v>
          </cell>
          <cell r="AR551">
            <v>0</v>
          </cell>
          <cell r="AS551">
            <v>0</v>
          </cell>
          <cell r="BF551" t="str">
            <v>2001</v>
          </cell>
          <cell r="BG551" t="str">
            <v>B003</v>
          </cell>
          <cell r="BH551" t="str">
            <v>GBM</v>
          </cell>
        </row>
        <row r="552">
          <cell r="K552">
            <v>0</v>
          </cell>
          <cell r="L552">
            <v>0</v>
          </cell>
          <cell r="N552">
            <v>0</v>
          </cell>
          <cell r="O552">
            <v>0</v>
          </cell>
          <cell r="Q552">
            <v>0</v>
          </cell>
          <cell r="R552">
            <v>0</v>
          </cell>
          <cell r="T552">
            <v>0</v>
          </cell>
          <cell r="U552">
            <v>0</v>
          </cell>
          <cell r="W552">
            <v>0</v>
          </cell>
          <cell r="X552">
            <v>0</v>
          </cell>
          <cell r="Z552">
            <v>0</v>
          </cell>
          <cell r="AA552">
            <v>0</v>
          </cell>
          <cell r="AC552">
            <v>0</v>
          </cell>
          <cell r="AD552">
            <v>0</v>
          </cell>
          <cell r="AF552">
            <v>723.54</v>
          </cell>
          <cell r="AG552">
            <v>0</v>
          </cell>
          <cell r="AI552">
            <v>0</v>
          </cell>
          <cell r="AJ552">
            <v>0</v>
          </cell>
          <cell r="AL552">
            <v>0</v>
          </cell>
          <cell r="AM552">
            <v>0</v>
          </cell>
          <cell r="AO552">
            <v>0</v>
          </cell>
          <cell r="AP552">
            <v>0</v>
          </cell>
          <cell r="AR552">
            <v>0</v>
          </cell>
          <cell r="AS552">
            <v>0</v>
          </cell>
          <cell r="BF552" t="str">
            <v>2001</v>
          </cell>
          <cell r="BG552" t="str">
            <v>B004</v>
          </cell>
          <cell r="BH552" t="str">
            <v>GBM</v>
          </cell>
        </row>
        <row r="553">
          <cell r="K553">
            <v>0</v>
          </cell>
          <cell r="L553">
            <v>0</v>
          </cell>
          <cell r="N553">
            <v>0</v>
          </cell>
          <cell r="O553">
            <v>0</v>
          </cell>
          <cell r="Q553">
            <v>0</v>
          </cell>
          <cell r="R553">
            <v>0</v>
          </cell>
          <cell r="T553">
            <v>0</v>
          </cell>
          <cell r="U553">
            <v>0</v>
          </cell>
          <cell r="W553">
            <v>2237.75</v>
          </cell>
          <cell r="X553">
            <v>0</v>
          </cell>
          <cell r="Z553">
            <v>0</v>
          </cell>
          <cell r="AA553">
            <v>0</v>
          </cell>
          <cell r="AC553">
            <v>0</v>
          </cell>
          <cell r="AD553">
            <v>0</v>
          </cell>
          <cell r="AF553">
            <v>12363.83</v>
          </cell>
          <cell r="AG553">
            <v>0</v>
          </cell>
          <cell r="AI553">
            <v>12477.159999999998</v>
          </cell>
          <cell r="AJ553">
            <v>0</v>
          </cell>
          <cell r="AL553">
            <v>12696.04</v>
          </cell>
          <cell r="AM553">
            <v>0</v>
          </cell>
          <cell r="AO553">
            <v>0</v>
          </cell>
          <cell r="AP553">
            <v>0</v>
          </cell>
          <cell r="AR553">
            <v>0</v>
          </cell>
          <cell r="AS553">
            <v>0</v>
          </cell>
          <cell r="BF553" t="str">
            <v>2001</v>
          </cell>
          <cell r="BG553" t="str">
            <v>B005</v>
          </cell>
          <cell r="BH553" t="str">
            <v>GBM</v>
          </cell>
        </row>
        <row r="554">
          <cell r="K554">
            <v>0</v>
          </cell>
          <cell r="L554">
            <v>0</v>
          </cell>
          <cell r="N554">
            <v>0</v>
          </cell>
          <cell r="O554">
            <v>0</v>
          </cell>
          <cell r="Q554">
            <v>0</v>
          </cell>
          <cell r="R554">
            <v>0</v>
          </cell>
          <cell r="T554">
            <v>0</v>
          </cell>
          <cell r="U554">
            <v>0</v>
          </cell>
          <cell r="W554">
            <v>0</v>
          </cell>
          <cell r="X554">
            <v>0</v>
          </cell>
          <cell r="Z554">
            <v>0</v>
          </cell>
          <cell r="AA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I554">
            <v>0</v>
          </cell>
          <cell r="AJ554">
            <v>0</v>
          </cell>
          <cell r="AL554">
            <v>0</v>
          </cell>
          <cell r="AM554">
            <v>0</v>
          </cell>
          <cell r="AO554">
            <v>0</v>
          </cell>
          <cell r="AP554">
            <v>0</v>
          </cell>
          <cell r="AR554">
            <v>0</v>
          </cell>
          <cell r="AS554">
            <v>0</v>
          </cell>
          <cell r="BF554" t="str">
            <v>2001</v>
          </cell>
          <cell r="BG554" t="str">
            <v>B006</v>
          </cell>
          <cell r="BH554" t="str">
            <v>GBM</v>
          </cell>
        </row>
        <row r="555">
          <cell r="K555">
            <v>49191.390000000014</v>
          </cell>
          <cell r="L555">
            <v>0</v>
          </cell>
          <cell r="N555">
            <v>12165.5</v>
          </cell>
          <cell r="O555">
            <v>0</v>
          </cell>
          <cell r="Q555">
            <v>57949.739999999991</v>
          </cell>
          <cell r="R555">
            <v>0</v>
          </cell>
          <cell r="T555">
            <v>80675.919999999984</v>
          </cell>
          <cell r="U555">
            <v>0</v>
          </cell>
          <cell r="W555">
            <v>102554.97000000003</v>
          </cell>
          <cell r="X555">
            <v>0</v>
          </cell>
          <cell r="Z555">
            <v>59732.160000000091</v>
          </cell>
          <cell r="AA555">
            <v>0</v>
          </cell>
          <cell r="AC555">
            <v>3448.6900000000023</v>
          </cell>
          <cell r="AD555">
            <v>0</v>
          </cell>
          <cell r="AF555">
            <v>89447.570000000182</v>
          </cell>
          <cell r="AG555">
            <v>0</v>
          </cell>
          <cell r="AI555">
            <v>-97525.04999999993</v>
          </cell>
          <cell r="AJ555">
            <v>0</v>
          </cell>
          <cell r="AL555">
            <v>69563.0900000002</v>
          </cell>
          <cell r="AM555">
            <v>0</v>
          </cell>
          <cell r="AO555">
            <v>-79785.569999999832</v>
          </cell>
          <cell r="AP555">
            <v>0</v>
          </cell>
          <cell r="AR555">
            <v>56801.290000000037</v>
          </cell>
          <cell r="AS555">
            <v>0</v>
          </cell>
          <cell r="BF555" t="str">
            <v>2008</v>
          </cell>
          <cell r="BG555" t="str">
            <v>Z000</v>
          </cell>
          <cell r="BH555" t="str">
            <v>GBM</v>
          </cell>
        </row>
        <row r="556">
          <cell r="K556">
            <v>0</v>
          </cell>
          <cell r="L556">
            <v>0</v>
          </cell>
          <cell r="N556">
            <v>0</v>
          </cell>
          <cell r="O556">
            <v>0</v>
          </cell>
          <cell r="Q556">
            <v>0</v>
          </cell>
          <cell r="R556">
            <v>0</v>
          </cell>
          <cell r="T556">
            <v>0</v>
          </cell>
          <cell r="U556">
            <v>0</v>
          </cell>
          <cell r="W556">
            <v>0</v>
          </cell>
          <cell r="X556">
            <v>0</v>
          </cell>
          <cell r="Z556">
            <v>0</v>
          </cell>
          <cell r="AA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I556">
            <v>0</v>
          </cell>
          <cell r="AJ556">
            <v>0</v>
          </cell>
          <cell r="AL556">
            <v>0</v>
          </cell>
          <cell r="AM556">
            <v>0</v>
          </cell>
          <cell r="AO556">
            <v>0</v>
          </cell>
          <cell r="AP556">
            <v>0</v>
          </cell>
          <cell r="AR556">
            <v>0</v>
          </cell>
          <cell r="AS556">
            <v>0</v>
          </cell>
          <cell r="BF556" t="str">
            <v>2010</v>
          </cell>
          <cell r="BG556" t="str">
            <v>B021</v>
          </cell>
          <cell r="BH556" t="str">
            <v>GBM</v>
          </cell>
        </row>
        <row r="557">
          <cell r="K557">
            <v>0</v>
          </cell>
          <cell r="L557">
            <v>0</v>
          </cell>
          <cell r="N557">
            <v>0</v>
          </cell>
          <cell r="O557">
            <v>0</v>
          </cell>
          <cell r="Q557">
            <v>0</v>
          </cell>
          <cell r="R557">
            <v>0</v>
          </cell>
          <cell r="T557">
            <v>0</v>
          </cell>
          <cell r="U557">
            <v>0</v>
          </cell>
          <cell r="W557">
            <v>0</v>
          </cell>
          <cell r="X557">
            <v>0</v>
          </cell>
          <cell r="Z557">
            <v>0</v>
          </cell>
          <cell r="AA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I557">
            <v>0</v>
          </cell>
          <cell r="AJ557">
            <v>0</v>
          </cell>
          <cell r="AL557">
            <v>0</v>
          </cell>
          <cell r="AM557">
            <v>0</v>
          </cell>
          <cell r="AO557">
            <v>0</v>
          </cell>
          <cell r="AP557">
            <v>0</v>
          </cell>
          <cell r="AR557">
            <v>0</v>
          </cell>
          <cell r="AS557">
            <v>0</v>
          </cell>
          <cell r="BF557" t="str">
            <v>2010</v>
          </cell>
          <cell r="BG557" t="str">
            <v>B022</v>
          </cell>
          <cell r="BH557" t="str">
            <v>GBM</v>
          </cell>
        </row>
        <row r="558">
          <cell r="K558">
            <v>0</v>
          </cell>
          <cell r="L558">
            <v>0</v>
          </cell>
          <cell r="N558">
            <v>0</v>
          </cell>
          <cell r="O558">
            <v>0</v>
          </cell>
          <cell r="Q558">
            <v>0</v>
          </cell>
          <cell r="R558">
            <v>0</v>
          </cell>
          <cell r="T558">
            <v>0</v>
          </cell>
          <cell r="U558">
            <v>0</v>
          </cell>
          <cell r="W558">
            <v>0</v>
          </cell>
          <cell r="X558">
            <v>0</v>
          </cell>
          <cell r="Z558">
            <v>0</v>
          </cell>
          <cell r="AA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I558">
            <v>0</v>
          </cell>
          <cell r="AJ558">
            <v>0</v>
          </cell>
          <cell r="AL558">
            <v>0</v>
          </cell>
          <cell r="AM558">
            <v>0</v>
          </cell>
          <cell r="AO558">
            <v>0</v>
          </cell>
          <cell r="AP558">
            <v>0</v>
          </cell>
          <cell r="AR558">
            <v>0</v>
          </cell>
          <cell r="AS558">
            <v>0</v>
          </cell>
          <cell r="BF558" t="str">
            <v>2010</v>
          </cell>
          <cell r="BG558" t="str">
            <v>B023</v>
          </cell>
          <cell r="BH558" t="str">
            <v>GBM</v>
          </cell>
        </row>
        <row r="559">
          <cell r="K559">
            <v>0</v>
          </cell>
          <cell r="L559">
            <v>0</v>
          </cell>
          <cell r="N559">
            <v>0</v>
          </cell>
          <cell r="O559">
            <v>0</v>
          </cell>
          <cell r="Q559">
            <v>0</v>
          </cell>
          <cell r="R559">
            <v>0</v>
          </cell>
          <cell r="T559">
            <v>0</v>
          </cell>
          <cell r="U559">
            <v>0</v>
          </cell>
          <cell r="W559">
            <v>0</v>
          </cell>
          <cell r="X559">
            <v>0</v>
          </cell>
          <cell r="Z559">
            <v>0</v>
          </cell>
          <cell r="AA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I559">
            <v>0</v>
          </cell>
          <cell r="AJ559">
            <v>0</v>
          </cell>
          <cell r="AL559">
            <v>0</v>
          </cell>
          <cell r="AM559">
            <v>0</v>
          </cell>
          <cell r="AO559">
            <v>0</v>
          </cell>
          <cell r="AP559">
            <v>0</v>
          </cell>
          <cell r="AR559">
            <v>0</v>
          </cell>
          <cell r="AS559">
            <v>0</v>
          </cell>
          <cell r="BF559" t="str">
            <v>2010</v>
          </cell>
          <cell r="BG559" t="str">
            <v>B024</v>
          </cell>
          <cell r="BH559" t="str">
            <v>GBM</v>
          </cell>
        </row>
        <row r="560">
          <cell r="K560">
            <v>0</v>
          </cell>
          <cell r="L560">
            <v>0</v>
          </cell>
          <cell r="N560">
            <v>0</v>
          </cell>
          <cell r="O560">
            <v>0</v>
          </cell>
          <cell r="Q560">
            <v>0</v>
          </cell>
          <cell r="R560">
            <v>0</v>
          </cell>
          <cell r="T560">
            <v>0</v>
          </cell>
          <cell r="U560">
            <v>0</v>
          </cell>
          <cell r="W560">
            <v>0</v>
          </cell>
          <cell r="X560">
            <v>0</v>
          </cell>
          <cell r="Z560">
            <v>0</v>
          </cell>
          <cell r="AA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I560">
            <v>0</v>
          </cell>
          <cell r="AJ560">
            <v>0</v>
          </cell>
          <cell r="AL560">
            <v>0</v>
          </cell>
          <cell r="AM560">
            <v>0</v>
          </cell>
          <cell r="AO560">
            <v>0</v>
          </cell>
          <cell r="AP560">
            <v>0</v>
          </cell>
          <cell r="AR560">
            <v>0</v>
          </cell>
          <cell r="AS560">
            <v>0</v>
          </cell>
          <cell r="BF560" t="str">
            <v>2015</v>
          </cell>
          <cell r="BG560" t="str">
            <v>B201</v>
          </cell>
          <cell r="BH560" t="str">
            <v>GBM</v>
          </cell>
        </row>
        <row r="561">
          <cell r="K561">
            <v>0</v>
          </cell>
          <cell r="L561">
            <v>0</v>
          </cell>
          <cell r="N561">
            <v>0</v>
          </cell>
          <cell r="O561">
            <v>0</v>
          </cell>
          <cell r="Q561">
            <v>0</v>
          </cell>
          <cell r="R561">
            <v>0</v>
          </cell>
          <cell r="T561">
            <v>0</v>
          </cell>
          <cell r="U561">
            <v>0</v>
          </cell>
          <cell r="W561">
            <v>0</v>
          </cell>
          <cell r="X561">
            <v>0</v>
          </cell>
          <cell r="Z561">
            <v>0</v>
          </cell>
          <cell r="AA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I561">
            <v>0</v>
          </cell>
          <cell r="AJ561">
            <v>0</v>
          </cell>
          <cell r="AL561">
            <v>0</v>
          </cell>
          <cell r="AM561">
            <v>0</v>
          </cell>
          <cell r="AO561">
            <v>0</v>
          </cell>
          <cell r="AP561">
            <v>0</v>
          </cell>
          <cell r="AR561">
            <v>0</v>
          </cell>
          <cell r="AS561">
            <v>0</v>
          </cell>
          <cell r="BF561" t="str">
            <v>2015</v>
          </cell>
          <cell r="BG561" t="str">
            <v>B202</v>
          </cell>
          <cell r="BH561" t="str">
            <v>GBM</v>
          </cell>
        </row>
        <row r="562">
          <cell r="K562">
            <v>0</v>
          </cell>
          <cell r="L562">
            <v>0</v>
          </cell>
          <cell r="N562">
            <v>0</v>
          </cell>
          <cell r="O562">
            <v>0</v>
          </cell>
          <cell r="Q562">
            <v>0</v>
          </cell>
          <cell r="R562">
            <v>0</v>
          </cell>
          <cell r="T562">
            <v>0</v>
          </cell>
          <cell r="U562">
            <v>0</v>
          </cell>
          <cell r="W562">
            <v>0</v>
          </cell>
          <cell r="X562">
            <v>0</v>
          </cell>
          <cell r="Z562">
            <v>0</v>
          </cell>
          <cell r="AA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I562">
            <v>0</v>
          </cell>
          <cell r="AJ562">
            <v>0</v>
          </cell>
          <cell r="AL562">
            <v>0</v>
          </cell>
          <cell r="AM562">
            <v>0</v>
          </cell>
          <cell r="AO562">
            <v>0</v>
          </cell>
          <cell r="AP562">
            <v>0</v>
          </cell>
          <cell r="AR562">
            <v>0</v>
          </cell>
          <cell r="AS562">
            <v>0</v>
          </cell>
          <cell r="BF562" t="str">
            <v>2015</v>
          </cell>
          <cell r="BG562" t="str">
            <v>B203</v>
          </cell>
          <cell r="BH562" t="str">
            <v>GBM</v>
          </cell>
        </row>
        <row r="563">
          <cell r="K563">
            <v>0</v>
          </cell>
          <cell r="L563">
            <v>0</v>
          </cell>
          <cell r="N563">
            <v>0</v>
          </cell>
          <cell r="O563">
            <v>0</v>
          </cell>
          <cell r="Q563">
            <v>0</v>
          </cell>
          <cell r="R563">
            <v>0</v>
          </cell>
          <cell r="T563">
            <v>0</v>
          </cell>
          <cell r="U563">
            <v>0</v>
          </cell>
          <cell r="W563">
            <v>0</v>
          </cell>
          <cell r="X563">
            <v>0</v>
          </cell>
          <cell r="Z563">
            <v>0</v>
          </cell>
          <cell r="AA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I563">
            <v>0</v>
          </cell>
          <cell r="AJ563">
            <v>0</v>
          </cell>
          <cell r="AL563">
            <v>0</v>
          </cell>
          <cell r="AM563">
            <v>0</v>
          </cell>
          <cell r="AO563">
            <v>0</v>
          </cell>
          <cell r="AP563">
            <v>0</v>
          </cell>
          <cell r="AR563">
            <v>0</v>
          </cell>
          <cell r="AS563">
            <v>0</v>
          </cell>
          <cell r="BF563" t="str">
            <v>2015</v>
          </cell>
          <cell r="BG563" t="str">
            <v>B204</v>
          </cell>
          <cell r="BH563" t="str">
            <v>GBM</v>
          </cell>
        </row>
        <row r="564">
          <cell r="K564">
            <v>0</v>
          </cell>
          <cell r="L564">
            <v>0</v>
          </cell>
          <cell r="N564">
            <v>0</v>
          </cell>
          <cell r="O564">
            <v>0</v>
          </cell>
          <cell r="Q564">
            <v>0</v>
          </cell>
          <cell r="R564">
            <v>0</v>
          </cell>
          <cell r="T564">
            <v>0</v>
          </cell>
          <cell r="U564">
            <v>0</v>
          </cell>
          <cell r="W564">
            <v>0</v>
          </cell>
          <cell r="X564">
            <v>0</v>
          </cell>
          <cell r="Z564">
            <v>0</v>
          </cell>
          <cell r="AA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I564">
            <v>0</v>
          </cell>
          <cell r="AJ564">
            <v>0</v>
          </cell>
          <cell r="AL564">
            <v>0</v>
          </cell>
          <cell r="AM564">
            <v>0</v>
          </cell>
          <cell r="AO564">
            <v>0</v>
          </cell>
          <cell r="AP564">
            <v>0</v>
          </cell>
          <cell r="AR564">
            <v>0</v>
          </cell>
          <cell r="AS564">
            <v>0</v>
          </cell>
          <cell r="BF564" t="str">
            <v>2015</v>
          </cell>
          <cell r="BG564" t="str">
            <v>B205</v>
          </cell>
          <cell r="BH564" t="str">
            <v>GBM</v>
          </cell>
        </row>
        <row r="565">
          <cell r="K565">
            <v>0</v>
          </cell>
          <cell r="L565">
            <v>0</v>
          </cell>
          <cell r="N565">
            <v>0</v>
          </cell>
          <cell r="O565">
            <v>0</v>
          </cell>
          <cell r="Q565">
            <v>0</v>
          </cell>
          <cell r="R565">
            <v>0</v>
          </cell>
          <cell r="T565">
            <v>0</v>
          </cell>
          <cell r="U565">
            <v>0</v>
          </cell>
          <cell r="W565">
            <v>0</v>
          </cell>
          <cell r="X565">
            <v>0</v>
          </cell>
          <cell r="Z565">
            <v>0</v>
          </cell>
          <cell r="AA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I565">
            <v>0</v>
          </cell>
          <cell r="AJ565">
            <v>0</v>
          </cell>
          <cell r="AL565">
            <v>0</v>
          </cell>
          <cell r="AM565">
            <v>0</v>
          </cell>
          <cell r="AO565">
            <v>0</v>
          </cell>
          <cell r="AP565">
            <v>0</v>
          </cell>
          <cell r="AR565">
            <v>0</v>
          </cell>
          <cell r="AS565">
            <v>0</v>
          </cell>
          <cell r="BF565" t="str">
            <v>2015</v>
          </cell>
          <cell r="BG565" t="str">
            <v>B206</v>
          </cell>
          <cell r="BH565" t="str">
            <v>GBM</v>
          </cell>
        </row>
        <row r="566">
          <cell r="K566">
            <v>0</v>
          </cell>
          <cell r="L566">
            <v>0</v>
          </cell>
          <cell r="N566">
            <v>0</v>
          </cell>
          <cell r="O566">
            <v>0</v>
          </cell>
          <cell r="Q566">
            <v>0</v>
          </cell>
          <cell r="R566">
            <v>0</v>
          </cell>
          <cell r="T566">
            <v>0</v>
          </cell>
          <cell r="U566">
            <v>0</v>
          </cell>
          <cell r="W566">
            <v>0</v>
          </cell>
          <cell r="X566">
            <v>0</v>
          </cell>
          <cell r="Z566">
            <v>0</v>
          </cell>
          <cell r="AA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I566">
            <v>0</v>
          </cell>
          <cell r="AJ566">
            <v>0</v>
          </cell>
          <cell r="AL566">
            <v>0</v>
          </cell>
          <cell r="AM566">
            <v>0</v>
          </cell>
          <cell r="AO566">
            <v>0</v>
          </cell>
          <cell r="AP566">
            <v>0</v>
          </cell>
          <cell r="AR566">
            <v>0</v>
          </cell>
          <cell r="AS566">
            <v>0</v>
          </cell>
          <cell r="BF566" t="str">
            <v>2015</v>
          </cell>
          <cell r="BG566" t="str">
            <v>B207</v>
          </cell>
          <cell r="BH566" t="str">
            <v>GBM</v>
          </cell>
        </row>
        <row r="567">
          <cell r="K567">
            <v>0</v>
          </cell>
          <cell r="L567">
            <v>0</v>
          </cell>
          <cell r="N567">
            <v>0</v>
          </cell>
          <cell r="O567">
            <v>0</v>
          </cell>
          <cell r="Q567">
            <v>0</v>
          </cell>
          <cell r="R567">
            <v>0</v>
          </cell>
          <cell r="T567">
            <v>0</v>
          </cell>
          <cell r="U567">
            <v>0</v>
          </cell>
          <cell r="W567">
            <v>0</v>
          </cell>
          <cell r="X567">
            <v>0</v>
          </cell>
          <cell r="Z567">
            <v>0</v>
          </cell>
          <cell r="AA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I567">
            <v>0</v>
          </cell>
          <cell r="AJ567">
            <v>0</v>
          </cell>
          <cell r="AL567">
            <v>0</v>
          </cell>
          <cell r="AM567">
            <v>0</v>
          </cell>
          <cell r="AO567">
            <v>0</v>
          </cell>
          <cell r="AP567">
            <v>0</v>
          </cell>
          <cell r="AR567">
            <v>0</v>
          </cell>
          <cell r="AS567">
            <v>0</v>
          </cell>
          <cell r="BF567" t="str">
            <v>2015</v>
          </cell>
          <cell r="BG567" t="str">
            <v>B208</v>
          </cell>
          <cell r="BH567" t="str">
            <v>GBM</v>
          </cell>
        </row>
        <row r="568">
          <cell r="K568">
            <v>0</v>
          </cell>
          <cell r="L568">
            <v>0</v>
          </cell>
          <cell r="N568">
            <v>0</v>
          </cell>
          <cell r="O568">
            <v>0</v>
          </cell>
          <cell r="Q568">
            <v>0</v>
          </cell>
          <cell r="R568">
            <v>0</v>
          </cell>
          <cell r="T568">
            <v>0</v>
          </cell>
          <cell r="U568">
            <v>0</v>
          </cell>
          <cell r="W568">
            <v>0</v>
          </cell>
          <cell r="X568">
            <v>0</v>
          </cell>
          <cell r="Z568">
            <v>0</v>
          </cell>
          <cell r="AA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I568">
            <v>0</v>
          </cell>
          <cell r="AJ568">
            <v>0</v>
          </cell>
          <cell r="AL568">
            <v>0</v>
          </cell>
          <cell r="AM568">
            <v>0</v>
          </cell>
          <cell r="AO568">
            <v>0</v>
          </cell>
          <cell r="AP568">
            <v>0</v>
          </cell>
          <cell r="AR568">
            <v>0</v>
          </cell>
          <cell r="AS568">
            <v>0</v>
          </cell>
          <cell r="BF568" t="str">
            <v>2015</v>
          </cell>
          <cell r="BG568" t="str">
            <v>B209</v>
          </cell>
          <cell r="BH568" t="str">
            <v>GBM</v>
          </cell>
        </row>
        <row r="569">
          <cell r="K569">
            <v>0</v>
          </cell>
          <cell r="L569">
            <v>0</v>
          </cell>
          <cell r="N569">
            <v>0</v>
          </cell>
          <cell r="O569">
            <v>0</v>
          </cell>
          <cell r="Q569">
            <v>0</v>
          </cell>
          <cell r="R569">
            <v>0</v>
          </cell>
          <cell r="T569">
            <v>0</v>
          </cell>
          <cell r="U569">
            <v>0</v>
          </cell>
          <cell r="W569">
            <v>0</v>
          </cell>
          <cell r="X569">
            <v>0</v>
          </cell>
          <cell r="Z569">
            <v>0</v>
          </cell>
          <cell r="AA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I569">
            <v>0</v>
          </cell>
          <cell r="AJ569">
            <v>0</v>
          </cell>
          <cell r="AL569">
            <v>0</v>
          </cell>
          <cell r="AM569">
            <v>0</v>
          </cell>
          <cell r="AO569">
            <v>0</v>
          </cell>
          <cell r="AP569">
            <v>0</v>
          </cell>
          <cell r="AR569">
            <v>0</v>
          </cell>
          <cell r="AS569">
            <v>0</v>
          </cell>
          <cell r="BF569" t="str">
            <v>2015</v>
          </cell>
          <cell r="BG569" t="str">
            <v>B210</v>
          </cell>
          <cell r="BH569" t="str">
            <v>GBM</v>
          </cell>
        </row>
        <row r="570">
          <cell r="K570">
            <v>0</v>
          </cell>
          <cell r="L570">
            <v>0</v>
          </cell>
          <cell r="N570">
            <v>0</v>
          </cell>
          <cell r="O570">
            <v>0</v>
          </cell>
          <cell r="Q570">
            <v>0</v>
          </cell>
          <cell r="R570">
            <v>0</v>
          </cell>
          <cell r="T570">
            <v>0</v>
          </cell>
          <cell r="U570">
            <v>0</v>
          </cell>
          <cell r="W570">
            <v>0</v>
          </cell>
          <cell r="X570">
            <v>0</v>
          </cell>
          <cell r="Z570">
            <v>0</v>
          </cell>
          <cell r="AA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I570">
            <v>0</v>
          </cell>
          <cell r="AJ570">
            <v>0</v>
          </cell>
          <cell r="AL570">
            <v>0</v>
          </cell>
          <cell r="AM570">
            <v>0</v>
          </cell>
          <cell r="AO570">
            <v>0</v>
          </cell>
          <cell r="AP570">
            <v>0</v>
          </cell>
          <cell r="AR570">
            <v>0</v>
          </cell>
          <cell r="AS570">
            <v>0</v>
          </cell>
          <cell r="BF570" t="str">
            <v>2016</v>
          </cell>
          <cell r="BG570" t="str">
            <v>B301</v>
          </cell>
          <cell r="BH570" t="str">
            <v>GBM</v>
          </cell>
        </row>
        <row r="571">
          <cell r="K571">
            <v>0</v>
          </cell>
          <cell r="L571">
            <v>0</v>
          </cell>
          <cell r="N571">
            <v>0</v>
          </cell>
          <cell r="O571">
            <v>0</v>
          </cell>
          <cell r="Q571">
            <v>0</v>
          </cell>
          <cell r="R571">
            <v>0</v>
          </cell>
          <cell r="T571">
            <v>0</v>
          </cell>
          <cell r="U571">
            <v>0</v>
          </cell>
          <cell r="W571">
            <v>0</v>
          </cell>
          <cell r="X571">
            <v>0</v>
          </cell>
          <cell r="Z571">
            <v>0</v>
          </cell>
          <cell r="AA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I571">
            <v>0</v>
          </cell>
          <cell r="AJ571">
            <v>0</v>
          </cell>
          <cell r="AL571">
            <v>0</v>
          </cell>
          <cell r="AM571">
            <v>0</v>
          </cell>
          <cell r="AO571">
            <v>0</v>
          </cell>
          <cell r="AP571">
            <v>0</v>
          </cell>
          <cell r="AR571">
            <v>0</v>
          </cell>
          <cell r="AS571">
            <v>0</v>
          </cell>
          <cell r="BF571" t="str">
            <v>2016</v>
          </cell>
          <cell r="BG571" t="str">
            <v>B302</v>
          </cell>
          <cell r="BH571" t="str">
            <v>GBM</v>
          </cell>
        </row>
        <row r="572">
          <cell r="K572">
            <v>0</v>
          </cell>
          <cell r="L572">
            <v>0</v>
          </cell>
          <cell r="N572">
            <v>0</v>
          </cell>
          <cell r="O572">
            <v>0</v>
          </cell>
          <cell r="Q572">
            <v>0</v>
          </cell>
          <cell r="R572">
            <v>0</v>
          </cell>
          <cell r="T572">
            <v>0</v>
          </cell>
          <cell r="U572">
            <v>0</v>
          </cell>
          <cell r="W572">
            <v>0</v>
          </cell>
          <cell r="X572">
            <v>0</v>
          </cell>
          <cell r="Z572">
            <v>0</v>
          </cell>
          <cell r="AA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I572">
            <v>0</v>
          </cell>
          <cell r="AJ572">
            <v>0</v>
          </cell>
          <cell r="AL572">
            <v>0</v>
          </cell>
          <cell r="AM572">
            <v>0</v>
          </cell>
          <cell r="AO572">
            <v>0</v>
          </cell>
          <cell r="AP572">
            <v>0</v>
          </cell>
          <cell r="AR572">
            <v>0</v>
          </cell>
          <cell r="AS572">
            <v>0</v>
          </cell>
          <cell r="BF572" t="str">
            <v>2016</v>
          </cell>
          <cell r="BG572" t="str">
            <v>B303</v>
          </cell>
          <cell r="BH572" t="str">
            <v>GBM</v>
          </cell>
        </row>
        <row r="573">
          <cell r="K573">
            <v>0</v>
          </cell>
          <cell r="L573">
            <v>0</v>
          </cell>
          <cell r="N573">
            <v>0</v>
          </cell>
          <cell r="O573">
            <v>0</v>
          </cell>
          <cell r="Q573">
            <v>0</v>
          </cell>
          <cell r="R573">
            <v>0</v>
          </cell>
          <cell r="T573">
            <v>0</v>
          </cell>
          <cell r="U573">
            <v>0</v>
          </cell>
          <cell r="W573">
            <v>0</v>
          </cell>
          <cell r="X573">
            <v>0</v>
          </cell>
          <cell r="Z573">
            <v>0</v>
          </cell>
          <cell r="AA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I573">
            <v>0</v>
          </cell>
          <cell r="AJ573">
            <v>0</v>
          </cell>
          <cell r="AL573">
            <v>0</v>
          </cell>
          <cell r="AM573">
            <v>0</v>
          </cell>
          <cell r="AO573">
            <v>0</v>
          </cell>
          <cell r="AP573">
            <v>0</v>
          </cell>
          <cell r="AR573">
            <v>0</v>
          </cell>
          <cell r="AS573">
            <v>0</v>
          </cell>
          <cell r="BF573" t="str">
            <v>2017</v>
          </cell>
          <cell r="BG573" t="str">
            <v>B401</v>
          </cell>
          <cell r="BH573" t="str">
            <v>GBM</v>
          </cell>
        </row>
        <row r="574">
          <cell r="K574">
            <v>0</v>
          </cell>
          <cell r="L574">
            <v>0</v>
          </cell>
          <cell r="N574">
            <v>0</v>
          </cell>
          <cell r="O574">
            <v>0</v>
          </cell>
          <cell r="Q574">
            <v>0</v>
          </cell>
          <cell r="R574">
            <v>0</v>
          </cell>
          <cell r="T574">
            <v>0</v>
          </cell>
          <cell r="U574">
            <v>0</v>
          </cell>
          <cell r="W574">
            <v>0</v>
          </cell>
          <cell r="X574">
            <v>0</v>
          </cell>
          <cell r="Z574">
            <v>0</v>
          </cell>
          <cell r="AA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I574">
            <v>0</v>
          </cell>
          <cell r="AJ574">
            <v>0</v>
          </cell>
          <cell r="AL574">
            <v>0</v>
          </cell>
          <cell r="AM574">
            <v>0</v>
          </cell>
          <cell r="AO574">
            <v>0</v>
          </cell>
          <cell r="AP574">
            <v>0</v>
          </cell>
          <cell r="AR574">
            <v>0</v>
          </cell>
          <cell r="AS574">
            <v>0</v>
          </cell>
          <cell r="BF574" t="str">
            <v>2017</v>
          </cell>
          <cell r="BG574" t="str">
            <v>B402</v>
          </cell>
          <cell r="BH574" t="str">
            <v>GBM</v>
          </cell>
        </row>
        <row r="575">
          <cell r="K575">
            <v>0</v>
          </cell>
          <cell r="L575">
            <v>0</v>
          </cell>
          <cell r="N575">
            <v>0</v>
          </cell>
          <cell r="O575">
            <v>0</v>
          </cell>
          <cell r="Q575">
            <v>0</v>
          </cell>
          <cell r="R575">
            <v>0</v>
          </cell>
          <cell r="T575">
            <v>0</v>
          </cell>
          <cell r="U575">
            <v>0</v>
          </cell>
          <cell r="W575">
            <v>0</v>
          </cell>
          <cell r="X575">
            <v>0</v>
          </cell>
          <cell r="Z575">
            <v>0</v>
          </cell>
          <cell r="AA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I575">
            <v>0</v>
          </cell>
          <cell r="AJ575">
            <v>0</v>
          </cell>
          <cell r="AL575">
            <v>0</v>
          </cell>
          <cell r="AM575">
            <v>0</v>
          </cell>
          <cell r="AO575">
            <v>0</v>
          </cell>
          <cell r="AP575">
            <v>0</v>
          </cell>
          <cell r="AR575">
            <v>0</v>
          </cell>
          <cell r="AS575">
            <v>0</v>
          </cell>
          <cell r="BF575" t="str">
            <v>2017</v>
          </cell>
          <cell r="BG575" t="str">
            <v>B403</v>
          </cell>
          <cell r="BH575" t="str">
            <v>GBM</v>
          </cell>
        </row>
        <row r="576">
          <cell r="K576">
            <v>0</v>
          </cell>
          <cell r="L576">
            <v>0</v>
          </cell>
          <cell r="N576">
            <v>0</v>
          </cell>
          <cell r="O576">
            <v>0</v>
          </cell>
          <cell r="Q576">
            <v>0</v>
          </cell>
          <cell r="R576">
            <v>0</v>
          </cell>
          <cell r="T576">
            <v>0</v>
          </cell>
          <cell r="U576">
            <v>0</v>
          </cell>
          <cell r="W576">
            <v>0</v>
          </cell>
          <cell r="X576">
            <v>0</v>
          </cell>
          <cell r="Z576">
            <v>0</v>
          </cell>
          <cell r="AA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I576">
            <v>0</v>
          </cell>
          <cell r="AJ576">
            <v>0</v>
          </cell>
          <cell r="AL576">
            <v>0</v>
          </cell>
          <cell r="AM576">
            <v>0</v>
          </cell>
          <cell r="AO576">
            <v>0</v>
          </cell>
          <cell r="AP576">
            <v>0</v>
          </cell>
          <cell r="AR576">
            <v>0</v>
          </cell>
          <cell r="AS576">
            <v>0</v>
          </cell>
          <cell r="BF576" t="str">
            <v>3100</v>
          </cell>
          <cell r="BG576" t="str">
            <v>C002</v>
          </cell>
          <cell r="BH576" t="str">
            <v>GBM</v>
          </cell>
        </row>
        <row r="577">
          <cell r="K577">
            <v>0</v>
          </cell>
          <cell r="L577">
            <v>0</v>
          </cell>
          <cell r="N577">
            <v>0</v>
          </cell>
          <cell r="O577">
            <v>0</v>
          </cell>
          <cell r="Q577">
            <v>0</v>
          </cell>
          <cell r="R577">
            <v>0</v>
          </cell>
          <cell r="T577">
            <v>0</v>
          </cell>
          <cell r="U577">
            <v>0</v>
          </cell>
          <cell r="W577">
            <v>0</v>
          </cell>
          <cell r="X577">
            <v>0</v>
          </cell>
          <cell r="Z577">
            <v>0</v>
          </cell>
          <cell r="AA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I577">
            <v>0</v>
          </cell>
          <cell r="AJ577">
            <v>0</v>
          </cell>
          <cell r="AL577">
            <v>0</v>
          </cell>
          <cell r="AM577">
            <v>0</v>
          </cell>
          <cell r="AO577">
            <v>0</v>
          </cell>
          <cell r="AP577">
            <v>0</v>
          </cell>
          <cell r="AR577">
            <v>0</v>
          </cell>
          <cell r="AS577">
            <v>0</v>
          </cell>
          <cell r="BF577" t="str">
            <v>3100</v>
          </cell>
          <cell r="BG577" t="str">
            <v>C003</v>
          </cell>
          <cell r="BH577" t="str">
            <v>GBM</v>
          </cell>
        </row>
        <row r="578">
          <cell r="K578">
            <v>0</v>
          </cell>
          <cell r="L578">
            <v>0</v>
          </cell>
          <cell r="N578">
            <v>0</v>
          </cell>
          <cell r="O578">
            <v>0</v>
          </cell>
          <cell r="Q578">
            <v>0</v>
          </cell>
          <cell r="R578">
            <v>0</v>
          </cell>
          <cell r="T578">
            <v>0</v>
          </cell>
          <cell r="U578">
            <v>0</v>
          </cell>
          <cell r="W578">
            <v>0</v>
          </cell>
          <cell r="X578">
            <v>0</v>
          </cell>
          <cell r="Z578">
            <v>0</v>
          </cell>
          <cell r="AA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I578">
            <v>0</v>
          </cell>
          <cell r="AJ578">
            <v>0</v>
          </cell>
          <cell r="AL578">
            <v>0</v>
          </cell>
          <cell r="AM578">
            <v>0</v>
          </cell>
          <cell r="AO578">
            <v>0</v>
          </cell>
          <cell r="AP578">
            <v>0</v>
          </cell>
          <cell r="AR578">
            <v>0</v>
          </cell>
          <cell r="AS578">
            <v>0</v>
          </cell>
          <cell r="BF578" t="str">
            <v>3100</v>
          </cell>
          <cell r="BG578" t="str">
            <v>C004</v>
          </cell>
          <cell r="BH578" t="str">
            <v>GBM</v>
          </cell>
        </row>
        <row r="579">
          <cell r="K579">
            <v>0</v>
          </cell>
          <cell r="L579">
            <v>0</v>
          </cell>
          <cell r="N579">
            <v>0</v>
          </cell>
          <cell r="O579">
            <v>0</v>
          </cell>
          <cell r="Q579">
            <v>0</v>
          </cell>
          <cell r="R579">
            <v>0</v>
          </cell>
          <cell r="T579">
            <v>0</v>
          </cell>
          <cell r="U579">
            <v>0</v>
          </cell>
          <cell r="W579">
            <v>0</v>
          </cell>
          <cell r="X579">
            <v>0</v>
          </cell>
          <cell r="Z579">
            <v>0</v>
          </cell>
          <cell r="AA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I579">
            <v>0</v>
          </cell>
          <cell r="AJ579">
            <v>0</v>
          </cell>
          <cell r="AL579">
            <v>0</v>
          </cell>
          <cell r="AM579">
            <v>0</v>
          </cell>
          <cell r="AO579">
            <v>0</v>
          </cell>
          <cell r="AP579">
            <v>0</v>
          </cell>
          <cell r="AR579">
            <v>0</v>
          </cell>
          <cell r="AS579">
            <v>0</v>
          </cell>
          <cell r="BF579" t="str">
            <v>3100</v>
          </cell>
          <cell r="BG579" t="str">
            <v>C005</v>
          </cell>
          <cell r="BH579" t="str">
            <v>GBM</v>
          </cell>
        </row>
        <row r="580">
          <cell r="K580">
            <v>0</v>
          </cell>
          <cell r="L580">
            <v>0</v>
          </cell>
          <cell r="N580">
            <v>0</v>
          </cell>
          <cell r="O580">
            <v>0</v>
          </cell>
          <cell r="Q580">
            <v>0</v>
          </cell>
          <cell r="R580">
            <v>0</v>
          </cell>
          <cell r="T580">
            <v>0</v>
          </cell>
          <cell r="U580">
            <v>0</v>
          </cell>
          <cell r="W580">
            <v>0</v>
          </cell>
          <cell r="X580">
            <v>0</v>
          </cell>
          <cell r="Z580">
            <v>0</v>
          </cell>
          <cell r="AA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I580">
            <v>0</v>
          </cell>
          <cell r="AJ580">
            <v>0</v>
          </cell>
          <cell r="AL580">
            <v>0</v>
          </cell>
          <cell r="AM580">
            <v>0</v>
          </cell>
          <cell r="AO580">
            <v>0</v>
          </cell>
          <cell r="AP580">
            <v>0</v>
          </cell>
          <cell r="AR580">
            <v>0</v>
          </cell>
          <cell r="AS580">
            <v>0</v>
          </cell>
          <cell r="BF580" t="str">
            <v>3100</v>
          </cell>
          <cell r="BG580" t="str">
            <v>C006</v>
          </cell>
          <cell r="BH580" t="str">
            <v>GBM</v>
          </cell>
        </row>
        <row r="581">
          <cell r="K581">
            <v>0</v>
          </cell>
          <cell r="L581">
            <v>0</v>
          </cell>
          <cell r="N581">
            <v>0</v>
          </cell>
          <cell r="O581">
            <v>0</v>
          </cell>
          <cell r="Q581">
            <v>0</v>
          </cell>
          <cell r="R581">
            <v>0</v>
          </cell>
          <cell r="T581">
            <v>0</v>
          </cell>
          <cell r="U581">
            <v>0</v>
          </cell>
          <cell r="W581">
            <v>0</v>
          </cell>
          <cell r="X581">
            <v>0</v>
          </cell>
          <cell r="Z581">
            <v>0</v>
          </cell>
          <cell r="AA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I581">
            <v>0</v>
          </cell>
          <cell r="AJ581">
            <v>0</v>
          </cell>
          <cell r="AL581">
            <v>0</v>
          </cell>
          <cell r="AM581">
            <v>0</v>
          </cell>
          <cell r="AO581">
            <v>0</v>
          </cell>
          <cell r="AP581">
            <v>0</v>
          </cell>
          <cell r="AR581">
            <v>0</v>
          </cell>
          <cell r="AS581">
            <v>0</v>
          </cell>
          <cell r="BF581" t="str">
            <v>3150</v>
          </cell>
          <cell r="BG581" t="str">
            <v>Z000</v>
          </cell>
          <cell r="BH581" t="str">
            <v>GBM</v>
          </cell>
        </row>
        <row r="582">
          <cell r="K582">
            <v>2750</v>
          </cell>
          <cell r="L582">
            <v>0</v>
          </cell>
          <cell r="N582">
            <v>2750</v>
          </cell>
          <cell r="O582">
            <v>0</v>
          </cell>
          <cell r="Q582">
            <v>2750</v>
          </cell>
          <cell r="R582">
            <v>0</v>
          </cell>
          <cell r="T582">
            <v>2750</v>
          </cell>
          <cell r="U582">
            <v>0</v>
          </cell>
          <cell r="W582">
            <v>2750</v>
          </cell>
          <cell r="X582">
            <v>0</v>
          </cell>
          <cell r="Z582">
            <v>2750</v>
          </cell>
          <cell r="AA582">
            <v>0</v>
          </cell>
          <cell r="AC582">
            <v>4100</v>
          </cell>
          <cell r="AD582">
            <v>0</v>
          </cell>
          <cell r="AF582">
            <v>15715</v>
          </cell>
          <cell r="AG582">
            <v>0</v>
          </cell>
          <cell r="AI582">
            <v>4100</v>
          </cell>
          <cell r="AJ582">
            <v>0</v>
          </cell>
          <cell r="AL582">
            <v>4100</v>
          </cell>
          <cell r="AM582">
            <v>0</v>
          </cell>
          <cell r="AO582">
            <v>4100</v>
          </cell>
          <cell r="AP582">
            <v>0</v>
          </cell>
          <cell r="AR582">
            <v>-24443.059999999998</v>
          </cell>
          <cell r="AS582">
            <v>0</v>
          </cell>
          <cell r="BF582" t="str">
            <v>4000</v>
          </cell>
          <cell r="BG582" t="str">
            <v>D001</v>
          </cell>
          <cell r="BH582" t="str">
            <v>GBM</v>
          </cell>
        </row>
        <row r="583">
          <cell r="K583">
            <v>0</v>
          </cell>
          <cell r="L583">
            <v>0</v>
          </cell>
          <cell r="N583">
            <v>0</v>
          </cell>
          <cell r="O583">
            <v>0</v>
          </cell>
          <cell r="Q583">
            <v>0</v>
          </cell>
          <cell r="R583">
            <v>0</v>
          </cell>
          <cell r="T583">
            <v>0</v>
          </cell>
          <cell r="U583">
            <v>0</v>
          </cell>
          <cell r="W583">
            <v>0</v>
          </cell>
          <cell r="X583">
            <v>0</v>
          </cell>
          <cell r="Z583">
            <v>0</v>
          </cell>
          <cell r="AA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I583">
            <v>0</v>
          </cell>
          <cell r="AJ583">
            <v>0</v>
          </cell>
          <cell r="AL583">
            <v>0</v>
          </cell>
          <cell r="AM583">
            <v>0</v>
          </cell>
          <cell r="AO583">
            <v>0</v>
          </cell>
          <cell r="AP583">
            <v>0</v>
          </cell>
          <cell r="AR583">
            <v>0</v>
          </cell>
          <cell r="AS583">
            <v>0</v>
          </cell>
          <cell r="BF583" t="str">
            <v>4000</v>
          </cell>
          <cell r="BG583" t="str">
            <v>D002</v>
          </cell>
          <cell r="BH583" t="str">
            <v>GBM</v>
          </cell>
        </row>
        <row r="584">
          <cell r="K584">
            <v>0</v>
          </cell>
          <cell r="L584">
            <v>0</v>
          </cell>
          <cell r="N584">
            <v>0</v>
          </cell>
          <cell r="O584">
            <v>0</v>
          </cell>
          <cell r="Q584">
            <v>0</v>
          </cell>
          <cell r="R584">
            <v>0</v>
          </cell>
          <cell r="T584">
            <v>0</v>
          </cell>
          <cell r="U584">
            <v>0</v>
          </cell>
          <cell r="W584">
            <v>0</v>
          </cell>
          <cell r="X584">
            <v>0</v>
          </cell>
          <cell r="Z584">
            <v>0</v>
          </cell>
          <cell r="AA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I584">
            <v>0</v>
          </cell>
          <cell r="AJ584">
            <v>0</v>
          </cell>
          <cell r="AL584">
            <v>0</v>
          </cell>
          <cell r="AM584">
            <v>0</v>
          </cell>
          <cell r="AO584">
            <v>0</v>
          </cell>
          <cell r="AP584">
            <v>0</v>
          </cell>
          <cell r="AR584">
            <v>0</v>
          </cell>
          <cell r="AS584">
            <v>0</v>
          </cell>
          <cell r="BF584" t="str">
            <v>4010</v>
          </cell>
          <cell r="BG584" t="str">
            <v>Z000</v>
          </cell>
          <cell r="BH584" t="str">
            <v>GBM</v>
          </cell>
        </row>
        <row r="585">
          <cell r="K585">
            <v>1178.3900000000012</v>
          </cell>
          <cell r="L585">
            <v>0</v>
          </cell>
          <cell r="N585">
            <v>1789.880000000001</v>
          </cell>
          <cell r="O585">
            <v>0</v>
          </cell>
          <cell r="Q585">
            <v>1473</v>
          </cell>
          <cell r="R585">
            <v>0</v>
          </cell>
          <cell r="T585">
            <v>1160.2599999999911</v>
          </cell>
          <cell r="U585">
            <v>0</v>
          </cell>
          <cell r="W585">
            <v>966.22000000000116</v>
          </cell>
          <cell r="X585">
            <v>0</v>
          </cell>
          <cell r="Z585">
            <v>817.63999999999942</v>
          </cell>
          <cell r="AA585">
            <v>0</v>
          </cell>
          <cell r="AC585">
            <v>822.91999999999825</v>
          </cell>
          <cell r="AD585">
            <v>0</v>
          </cell>
          <cell r="AF585">
            <v>653.75</v>
          </cell>
          <cell r="AG585">
            <v>0</v>
          </cell>
          <cell r="AI585">
            <v>713.60999999998603</v>
          </cell>
          <cell r="AJ585">
            <v>0</v>
          </cell>
          <cell r="AL585">
            <v>885.8799999999901</v>
          </cell>
          <cell r="AM585">
            <v>0</v>
          </cell>
          <cell r="AO585">
            <v>581.60000000000582</v>
          </cell>
          <cell r="AP585">
            <v>0</v>
          </cell>
          <cell r="AR585">
            <v>824.85999999998603</v>
          </cell>
          <cell r="AS585">
            <v>0</v>
          </cell>
          <cell r="BF585" t="str">
            <v>4150</v>
          </cell>
          <cell r="BG585" t="str">
            <v>Z000</v>
          </cell>
          <cell r="BH585" t="str">
            <v>GBM</v>
          </cell>
        </row>
        <row r="586">
          <cell r="K586">
            <v>0</v>
          </cell>
          <cell r="L586">
            <v>0</v>
          </cell>
          <cell r="N586">
            <v>0</v>
          </cell>
          <cell r="O586">
            <v>0</v>
          </cell>
          <cell r="Q586">
            <v>0</v>
          </cell>
          <cell r="R586">
            <v>0</v>
          </cell>
          <cell r="T586">
            <v>0</v>
          </cell>
          <cell r="U586">
            <v>0</v>
          </cell>
          <cell r="W586">
            <v>0</v>
          </cell>
          <cell r="X586">
            <v>0</v>
          </cell>
          <cell r="Z586">
            <v>0</v>
          </cell>
          <cell r="AA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I586">
            <v>0</v>
          </cell>
          <cell r="AJ586">
            <v>0</v>
          </cell>
          <cell r="AL586">
            <v>0</v>
          </cell>
          <cell r="AM586">
            <v>0</v>
          </cell>
          <cell r="AO586">
            <v>0</v>
          </cell>
          <cell r="AP586">
            <v>0</v>
          </cell>
          <cell r="AR586">
            <v>0</v>
          </cell>
          <cell r="AS586">
            <v>0</v>
          </cell>
          <cell r="BF586" t="str">
            <v>4200</v>
          </cell>
          <cell r="BG586" t="str">
            <v>Z000</v>
          </cell>
          <cell r="BH586" t="str">
            <v>GBM</v>
          </cell>
        </row>
        <row r="587">
          <cell r="K587">
            <v>0</v>
          </cell>
          <cell r="L587">
            <v>0</v>
          </cell>
          <cell r="N587">
            <v>0</v>
          </cell>
          <cell r="O587">
            <v>0</v>
          </cell>
          <cell r="Q587">
            <v>0</v>
          </cell>
          <cell r="R587">
            <v>0</v>
          </cell>
          <cell r="T587">
            <v>0</v>
          </cell>
          <cell r="U587">
            <v>0</v>
          </cell>
          <cell r="W587">
            <v>0</v>
          </cell>
          <cell r="X587">
            <v>0</v>
          </cell>
          <cell r="Z587">
            <v>0</v>
          </cell>
          <cell r="AA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I587">
            <v>0</v>
          </cell>
          <cell r="AJ587">
            <v>0</v>
          </cell>
          <cell r="AL587">
            <v>4250</v>
          </cell>
          <cell r="AM587">
            <v>0</v>
          </cell>
          <cell r="AO587">
            <v>11750</v>
          </cell>
          <cell r="AP587">
            <v>0</v>
          </cell>
          <cell r="AR587">
            <v>8000</v>
          </cell>
          <cell r="AS587">
            <v>0</v>
          </cell>
          <cell r="BF587" t="str">
            <v>4215</v>
          </cell>
          <cell r="BG587" t="str">
            <v>Z000</v>
          </cell>
          <cell r="BH587" t="str">
            <v>GBM</v>
          </cell>
        </row>
        <row r="588">
          <cell r="K588">
            <v>70505.760000000009</v>
          </cell>
          <cell r="L588">
            <v>0</v>
          </cell>
          <cell r="N588">
            <v>52000</v>
          </cell>
          <cell r="O588">
            <v>0</v>
          </cell>
          <cell r="Q588">
            <v>52000</v>
          </cell>
          <cell r="R588">
            <v>0</v>
          </cell>
          <cell r="T588">
            <v>59500</v>
          </cell>
          <cell r="U588">
            <v>0</v>
          </cell>
          <cell r="W588">
            <v>81733.330000000075</v>
          </cell>
          <cell r="X588">
            <v>0</v>
          </cell>
          <cell r="Z588">
            <v>73695.770000000019</v>
          </cell>
          <cell r="AA588">
            <v>0</v>
          </cell>
          <cell r="AC588">
            <v>59500</v>
          </cell>
          <cell r="AD588">
            <v>0</v>
          </cell>
          <cell r="AF588">
            <v>52000</v>
          </cell>
          <cell r="AG588">
            <v>0</v>
          </cell>
          <cell r="AI588">
            <v>52000</v>
          </cell>
          <cell r="AJ588">
            <v>0</v>
          </cell>
          <cell r="AL588">
            <v>52000</v>
          </cell>
          <cell r="AM588">
            <v>0</v>
          </cell>
          <cell r="AO588">
            <v>52000</v>
          </cell>
          <cell r="AP588">
            <v>0</v>
          </cell>
          <cell r="AR588">
            <v>53950</v>
          </cell>
          <cell r="AS588">
            <v>0</v>
          </cell>
          <cell r="BF588" t="str">
            <v>4230</v>
          </cell>
          <cell r="BG588" t="str">
            <v>Z000</v>
          </cell>
          <cell r="BH588" t="str">
            <v>GBM</v>
          </cell>
        </row>
        <row r="589">
          <cell r="K589">
            <v>0</v>
          </cell>
          <cell r="L589">
            <v>0</v>
          </cell>
          <cell r="N589">
            <v>0</v>
          </cell>
          <cell r="O589">
            <v>0</v>
          </cell>
          <cell r="Q589">
            <v>0</v>
          </cell>
          <cell r="R589">
            <v>0</v>
          </cell>
          <cell r="T589">
            <v>0</v>
          </cell>
          <cell r="U589">
            <v>0</v>
          </cell>
          <cell r="W589">
            <v>0</v>
          </cell>
          <cell r="X589">
            <v>0</v>
          </cell>
          <cell r="Z589">
            <v>0</v>
          </cell>
          <cell r="AA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I589">
            <v>0</v>
          </cell>
          <cell r="AJ589">
            <v>0</v>
          </cell>
          <cell r="AL589">
            <v>0</v>
          </cell>
          <cell r="AM589">
            <v>0</v>
          </cell>
          <cell r="AO589">
            <v>0</v>
          </cell>
          <cell r="AP589">
            <v>0</v>
          </cell>
          <cell r="AR589">
            <v>0</v>
          </cell>
          <cell r="AS589">
            <v>0</v>
          </cell>
          <cell r="BF589" t="str">
            <v>4240</v>
          </cell>
          <cell r="BG589" t="str">
            <v>Z000</v>
          </cell>
          <cell r="BH589" t="str">
            <v>GBM</v>
          </cell>
        </row>
        <row r="590">
          <cell r="K590">
            <v>0</v>
          </cell>
          <cell r="L590">
            <v>0</v>
          </cell>
          <cell r="N590">
            <v>0</v>
          </cell>
          <cell r="O590">
            <v>0</v>
          </cell>
          <cell r="Q590">
            <v>0</v>
          </cell>
          <cell r="R590">
            <v>0</v>
          </cell>
          <cell r="T590">
            <v>0</v>
          </cell>
          <cell r="U590">
            <v>0</v>
          </cell>
          <cell r="W590">
            <v>0</v>
          </cell>
          <cell r="X590">
            <v>0</v>
          </cell>
          <cell r="Z590">
            <v>0</v>
          </cell>
          <cell r="AA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I590">
            <v>0</v>
          </cell>
          <cell r="AJ590">
            <v>0</v>
          </cell>
          <cell r="AL590">
            <v>0</v>
          </cell>
          <cell r="AM590">
            <v>0</v>
          </cell>
          <cell r="AO590">
            <v>0</v>
          </cell>
          <cell r="AP590">
            <v>0</v>
          </cell>
          <cell r="AR590">
            <v>0</v>
          </cell>
          <cell r="AS590">
            <v>0</v>
          </cell>
          <cell r="BF590" t="str">
            <v>4250</v>
          </cell>
          <cell r="BG590" t="str">
            <v>Z000</v>
          </cell>
          <cell r="BH590" t="str">
            <v>GBM</v>
          </cell>
        </row>
        <row r="591">
          <cell r="K591">
            <v>0</v>
          </cell>
          <cell r="L591">
            <v>0</v>
          </cell>
          <cell r="N591">
            <v>0</v>
          </cell>
          <cell r="O591">
            <v>0</v>
          </cell>
          <cell r="Q591">
            <v>0</v>
          </cell>
          <cell r="R591">
            <v>0</v>
          </cell>
          <cell r="T591">
            <v>0</v>
          </cell>
          <cell r="U591">
            <v>0</v>
          </cell>
          <cell r="W591">
            <v>0</v>
          </cell>
          <cell r="X591">
            <v>0</v>
          </cell>
          <cell r="Z591">
            <v>0</v>
          </cell>
          <cell r="AA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I591">
            <v>0</v>
          </cell>
          <cell r="AJ591">
            <v>0</v>
          </cell>
          <cell r="AL591">
            <v>0</v>
          </cell>
          <cell r="AM591">
            <v>0</v>
          </cell>
          <cell r="AO591">
            <v>0</v>
          </cell>
          <cell r="AP591">
            <v>0</v>
          </cell>
          <cell r="AR591">
            <v>0</v>
          </cell>
          <cell r="AS591">
            <v>0</v>
          </cell>
          <cell r="BF591" t="str">
            <v>4275</v>
          </cell>
          <cell r="BG591" t="str">
            <v>Z000</v>
          </cell>
          <cell r="BH591" t="str">
            <v>GBM</v>
          </cell>
        </row>
        <row r="592">
          <cell r="K592">
            <v>5300</v>
          </cell>
          <cell r="L592">
            <v>0</v>
          </cell>
          <cell r="N592">
            <v>5900</v>
          </cell>
          <cell r="O592">
            <v>0</v>
          </cell>
          <cell r="Q592">
            <v>6500</v>
          </cell>
          <cell r="R592">
            <v>0</v>
          </cell>
          <cell r="T592">
            <v>7100</v>
          </cell>
          <cell r="U592">
            <v>0</v>
          </cell>
          <cell r="W592">
            <v>7700</v>
          </cell>
          <cell r="X592">
            <v>0</v>
          </cell>
          <cell r="Z592">
            <v>8300</v>
          </cell>
          <cell r="AA592">
            <v>0</v>
          </cell>
          <cell r="AC592">
            <v>8733</v>
          </cell>
          <cell r="AD592">
            <v>0</v>
          </cell>
          <cell r="AF592">
            <v>9166.6699999999983</v>
          </cell>
          <cell r="AG592">
            <v>0</v>
          </cell>
          <cell r="AI592">
            <v>9600</v>
          </cell>
          <cell r="AJ592">
            <v>0</v>
          </cell>
          <cell r="AL592">
            <v>10033</v>
          </cell>
          <cell r="AM592">
            <v>0</v>
          </cell>
          <cell r="AO592">
            <v>10717.330000000002</v>
          </cell>
          <cell r="AP592">
            <v>0</v>
          </cell>
          <cell r="AR592">
            <v>11649.999999999985</v>
          </cell>
          <cell r="AS592">
            <v>0</v>
          </cell>
          <cell r="BF592" t="str">
            <v>4300</v>
          </cell>
          <cell r="BG592" t="str">
            <v>Z000</v>
          </cell>
          <cell r="BH592" t="str">
            <v>GBM</v>
          </cell>
        </row>
        <row r="593">
          <cell r="K593">
            <v>0</v>
          </cell>
          <cell r="L593">
            <v>0</v>
          </cell>
          <cell r="N593">
            <v>0</v>
          </cell>
          <cell r="O593">
            <v>0</v>
          </cell>
          <cell r="Q593">
            <v>0</v>
          </cell>
          <cell r="R593">
            <v>0</v>
          </cell>
          <cell r="T593">
            <v>0</v>
          </cell>
          <cell r="U593">
            <v>0</v>
          </cell>
          <cell r="W593">
            <v>0</v>
          </cell>
          <cell r="X593">
            <v>0</v>
          </cell>
          <cell r="Z593">
            <v>0</v>
          </cell>
          <cell r="AA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I593">
            <v>0</v>
          </cell>
          <cell r="AJ593">
            <v>0</v>
          </cell>
          <cell r="AL593">
            <v>0</v>
          </cell>
          <cell r="AM593">
            <v>0</v>
          </cell>
          <cell r="AO593">
            <v>0</v>
          </cell>
          <cell r="AP593">
            <v>0</v>
          </cell>
          <cell r="AR593">
            <v>0</v>
          </cell>
          <cell r="AS593">
            <v>0</v>
          </cell>
          <cell r="BF593" t="str">
            <v>4320</v>
          </cell>
          <cell r="BG593" t="str">
            <v>Z000</v>
          </cell>
          <cell r="BH593" t="str">
            <v>GBM</v>
          </cell>
        </row>
        <row r="594">
          <cell r="K594">
            <v>0</v>
          </cell>
          <cell r="L594">
            <v>0</v>
          </cell>
          <cell r="N594">
            <v>0</v>
          </cell>
          <cell r="O594">
            <v>0</v>
          </cell>
          <cell r="Q594">
            <v>0</v>
          </cell>
          <cell r="R594">
            <v>0</v>
          </cell>
          <cell r="T594">
            <v>0</v>
          </cell>
          <cell r="U594">
            <v>0</v>
          </cell>
          <cell r="W594">
            <v>0</v>
          </cell>
          <cell r="X594">
            <v>0</v>
          </cell>
          <cell r="Z594">
            <v>0</v>
          </cell>
          <cell r="AA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I594">
            <v>0</v>
          </cell>
          <cell r="AJ594">
            <v>0</v>
          </cell>
          <cell r="AL594">
            <v>0</v>
          </cell>
          <cell r="AM594">
            <v>0</v>
          </cell>
          <cell r="AO594">
            <v>0</v>
          </cell>
          <cell r="AP594">
            <v>0</v>
          </cell>
          <cell r="AR594">
            <v>0</v>
          </cell>
          <cell r="AS594">
            <v>0</v>
          </cell>
          <cell r="BF594" t="str">
            <v>4330</v>
          </cell>
          <cell r="BG594" t="str">
            <v>Z000</v>
          </cell>
          <cell r="BH594" t="str">
            <v>GBM</v>
          </cell>
        </row>
        <row r="595">
          <cell r="K595">
            <v>0</v>
          </cell>
          <cell r="L595">
            <v>0</v>
          </cell>
          <cell r="N595">
            <v>0</v>
          </cell>
          <cell r="O595">
            <v>0</v>
          </cell>
          <cell r="Q595">
            <v>0</v>
          </cell>
          <cell r="R595">
            <v>0</v>
          </cell>
          <cell r="T595">
            <v>0</v>
          </cell>
          <cell r="U595">
            <v>0</v>
          </cell>
          <cell r="W595">
            <v>0</v>
          </cell>
          <cell r="X595">
            <v>0</v>
          </cell>
          <cell r="Z595">
            <v>0</v>
          </cell>
          <cell r="AA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I595">
            <v>0</v>
          </cell>
          <cell r="AJ595">
            <v>0</v>
          </cell>
          <cell r="AL595">
            <v>0</v>
          </cell>
          <cell r="AM595">
            <v>0</v>
          </cell>
          <cell r="AO595">
            <v>0</v>
          </cell>
          <cell r="AP595">
            <v>0</v>
          </cell>
          <cell r="AR595">
            <v>0</v>
          </cell>
          <cell r="AS595">
            <v>0</v>
          </cell>
          <cell r="BF595" t="str">
            <v>4340</v>
          </cell>
          <cell r="BG595" t="str">
            <v>D006</v>
          </cell>
          <cell r="BH595" t="str">
            <v>GBM</v>
          </cell>
        </row>
        <row r="596">
          <cell r="K596">
            <v>0</v>
          </cell>
          <cell r="L596">
            <v>0</v>
          </cell>
          <cell r="N596">
            <v>0</v>
          </cell>
          <cell r="O596">
            <v>0</v>
          </cell>
          <cell r="Q596">
            <v>0</v>
          </cell>
          <cell r="R596">
            <v>0</v>
          </cell>
          <cell r="T596">
            <v>0</v>
          </cell>
          <cell r="U596">
            <v>0</v>
          </cell>
          <cell r="W596">
            <v>0</v>
          </cell>
          <cell r="X596">
            <v>0</v>
          </cell>
          <cell r="Z596">
            <v>0</v>
          </cell>
          <cell r="AA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I596">
            <v>0</v>
          </cell>
          <cell r="AJ596">
            <v>0</v>
          </cell>
          <cell r="AL596">
            <v>0</v>
          </cell>
          <cell r="AM596">
            <v>0</v>
          </cell>
          <cell r="AO596">
            <v>0</v>
          </cell>
          <cell r="AP596">
            <v>0</v>
          </cell>
          <cell r="AR596">
            <v>0</v>
          </cell>
          <cell r="AS596">
            <v>0</v>
          </cell>
          <cell r="BF596" t="str">
            <v>4340</v>
          </cell>
          <cell r="BG596" t="str">
            <v>D007</v>
          </cell>
          <cell r="BH596" t="str">
            <v>GBM</v>
          </cell>
        </row>
        <row r="597">
          <cell r="K597">
            <v>0</v>
          </cell>
          <cell r="L597">
            <v>0</v>
          </cell>
          <cell r="N597">
            <v>0</v>
          </cell>
          <cell r="O597">
            <v>0</v>
          </cell>
          <cell r="Q597">
            <v>0</v>
          </cell>
          <cell r="R597">
            <v>0</v>
          </cell>
          <cell r="T597">
            <v>0</v>
          </cell>
          <cell r="U597">
            <v>0</v>
          </cell>
          <cell r="W597">
            <v>0</v>
          </cell>
          <cell r="X597">
            <v>0</v>
          </cell>
          <cell r="Z597">
            <v>0</v>
          </cell>
          <cell r="AA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I597">
            <v>0</v>
          </cell>
          <cell r="AJ597">
            <v>0</v>
          </cell>
          <cell r="AL597">
            <v>0</v>
          </cell>
          <cell r="AM597">
            <v>0</v>
          </cell>
          <cell r="AO597">
            <v>0</v>
          </cell>
          <cell r="AP597">
            <v>0</v>
          </cell>
          <cell r="AR597">
            <v>0</v>
          </cell>
          <cell r="AS597">
            <v>0</v>
          </cell>
          <cell r="BF597" t="str">
            <v>4340</v>
          </cell>
          <cell r="BG597" t="str">
            <v>D008</v>
          </cell>
          <cell r="BH597" t="str">
            <v>GBM</v>
          </cell>
        </row>
        <row r="598">
          <cell r="K598">
            <v>0</v>
          </cell>
          <cell r="L598">
            <v>0</v>
          </cell>
          <cell r="N598">
            <v>0</v>
          </cell>
          <cell r="O598">
            <v>0</v>
          </cell>
          <cell r="Q598">
            <v>0</v>
          </cell>
          <cell r="R598">
            <v>0</v>
          </cell>
          <cell r="T598">
            <v>0</v>
          </cell>
          <cell r="U598">
            <v>0</v>
          </cell>
          <cell r="W598">
            <v>0</v>
          </cell>
          <cell r="X598">
            <v>0</v>
          </cell>
          <cell r="Z598">
            <v>0</v>
          </cell>
          <cell r="AA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I598">
            <v>0</v>
          </cell>
          <cell r="AJ598">
            <v>0</v>
          </cell>
          <cell r="AL598">
            <v>0</v>
          </cell>
          <cell r="AM598">
            <v>0</v>
          </cell>
          <cell r="AO598">
            <v>0</v>
          </cell>
          <cell r="AP598">
            <v>0</v>
          </cell>
          <cell r="AR598">
            <v>0</v>
          </cell>
          <cell r="AS598">
            <v>0</v>
          </cell>
          <cell r="BF598" t="str">
            <v>4360</v>
          </cell>
          <cell r="BG598" t="str">
            <v>Z000</v>
          </cell>
          <cell r="BH598" t="str">
            <v>GBM</v>
          </cell>
        </row>
        <row r="599">
          <cell r="K599">
            <v>0</v>
          </cell>
          <cell r="L599">
            <v>0</v>
          </cell>
          <cell r="N599">
            <v>0</v>
          </cell>
          <cell r="O599">
            <v>0</v>
          </cell>
          <cell r="Q599">
            <v>0</v>
          </cell>
          <cell r="R599">
            <v>0</v>
          </cell>
          <cell r="T599">
            <v>0</v>
          </cell>
          <cell r="U599">
            <v>0</v>
          </cell>
          <cell r="W599">
            <v>0</v>
          </cell>
          <cell r="X599">
            <v>0</v>
          </cell>
          <cell r="Z599">
            <v>0</v>
          </cell>
          <cell r="AA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I599">
            <v>0</v>
          </cell>
          <cell r="AJ599">
            <v>0</v>
          </cell>
          <cell r="AL599">
            <v>0</v>
          </cell>
          <cell r="AM599">
            <v>0</v>
          </cell>
          <cell r="AO599">
            <v>0</v>
          </cell>
          <cell r="AP599">
            <v>0</v>
          </cell>
          <cell r="AR599">
            <v>0</v>
          </cell>
          <cell r="AS599">
            <v>0</v>
          </cell>
          <cell r="BF599" t="str">
            <v>4380</v>
          </cell>
          <cell r="BG599" t="str">
            <v>Z000</v>
          </cell>
          <cell r="BH599" t="str">
            <v>GBM</v>
          </cell>
        </row>
        <row r="600">
          <cell r="K600">
            <v>0</v>
          </cell>
          <cell r="L600">
            <v>0</v>
          </cell>
          <cell r="N600">
            <v>0</v>
          </cell>
          <cell r="O600">
            <v>0</v>
          </cell>
          <cell r="Q600">
            <v>0</v>
          </cell>
          <cell r="R600">
            <v>0</v>
          </cell>
          <cell r="T600">
            <v>0</v>
          </cell>
          <cell r="U600">
            <v>0</v>
          </cell>
          <cell r="W600">
            <v>0</v>
          </cell>
          <cell r="X600">
            <v>0</v>
          </cell>
          <cell r="Z600">
            <v>0</v>
          </cell>
          <cell r="AA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I600">
            <v>0</v>
          </cell>
          <cell r="AJ600">
            <v>0</v>
          </cell>
          <cell r="AL600">
            <v>0</v>
          </cell>
          <cell r="AM600">
            <v>0</v>
          </cell>
          <cell r="AO600">
            <v>0</v>
          </cell>
          <cell r="AP600">
            <v>0</v>
          </cell>
          <cell r="AR600">
            <v>0</v>
          </cell>
          <cell r="AS600">
            <v>0</v>
          </cell>
          <cell r="BF600" t="str">
            <v>4400</v>
          </cell>
          <cell r="BG600" t="str">
            <v>Z000</v>
          </cell>
          <cell r="BH600" t="str">
            <v>GBM</v>
          </cell>
        </row>
        <row r="601">
          <cell r="K601">
            <v>0</v>
          </cell>
          <cell r="L601">
            <v>0</v>
          </cell>
          <cell r="N601">
            <v>0</v>
          </cell>
          <cell r="O601">
            <v>0</v>
          </cell>
          <cell r="Q601">
            <v>0</v>
          </cell>
          <cell r="R601">
            <v>0</v>
          </cell>
          <cell r="T601">
            <v>0</v>
          </cell>
          <cell r="U601">
            <v>0</v>
          </cell>
          <cell r="W601">
            <v>0</v>
          </cell>
          <cell r="X601">
            <v>0</v>
          </cell>
          <cell r="Z601">
            <v>0</v>
          </cell>
          <cell r="AA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I601">
            <v>0</v>
          </cell>
          <cell r="AJ601">
            <v>0</v>
          </cell>
          <cell r="AL601">
            <v>0</v>
          </cell>
          <cell r="AM601">
            <v>0</v>
          </cell>
          <cell r="AO601">
            <v>0</v>
          </cell>
          <cell r="AP601">
            <v>0</v>
          </cell>
          <cell r="AR601">
            <v>0</v>
          </cell>
          <cell r="AS601">
            <v>0</v>
          </cell>
          <cell r="BF601" t="str">
            <v>4480</v>
          </cell>
          <cell r="BG601" t="str">
            <v>Z000</v>
          </cell>
          <cell r="BH601" t="str">
            <v>GBM</v>
          </cell>
        </row>
        <row r="602">
          <cell r="K602">
            <v>0</v>
          </cell>
          <cell r="L602">
            <v>0</v>
          </cell>
          <cell r="N602">
            <v>0</v>
          </cell>
          <cell r="O602">
            <v>0</v>
          </cell>
          <cell r="Q602">
            <v>0</v>
          </cell>
          <cell r="R602">
            <v>0</v>
          </cell>
          <cell r="T602">
            <v>0</v>
          </cell>
          <cell r="U602">
            <v>0</v>
          </cell>
          <cell r="W602">
            <v>0</v>
          </cell>
          <cell r="X602">
            <v>0</v>
          </cell>
          <cell r="Z602">
            <v>0</v>
          </cell>
          <cell r="AA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I602">
            <v>0</v>
          </cell>
          <cell r="AJ602">
            <v>0</v>
          </cell>
          <cell r="AL602">
            <v>0</v>
          </cell>
          <cell r="AM602">
            <v>0</v>
          </cell>
          <cell r="AO602">
            <v>0</v>
          </cell>
          <cell r="AP602">
            <v>0</v>
          </cell>
          <cell r="AR602">
            <v>0</v>
          </cell>
          <cell r="AS602">
            <v>0</v>
          </cell>
          <cell r="BF602" t="str">
            <v>4500</v>
          </cell>
          <cell r="BG602" t="str">
            <v>Z000</v>
          </cell>
          <cell r="BH602" t="str">
            <v>GBM</v>
          </cell>
        </row>
        <row r="603">
          <cell r="K603">
            <v>0</v>
          </cell>
          <cell r="L603">
            <v>0</v>
          </cell>
          <cell r="N603">
            <v>0</v>
          </cell>
          <cell r="O603">
            <v>0</v>
          </cell>
          <cell r="Q603">
            <v>0</v>
          </cell>
          <cell r="R603">
            <v>0</v>
          </cell>
          <cell r="T603">
            <v>0</v>
          </cell>
          <cell r="U603">
            <v>0</v>
          </cell>
          <cell r="W603">
            <v>0</v>
          </cell>
          <cell r="X603">
            <v>0</v>
          </cell>
          <cell r="Z603">
            <v>0</v>
          </cell>
          <cell r="AA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I603">
            <v>0</v>
          </cell>
          <cell r="AJ603">
            <v>0</v>
          </cell>
          <cell r="AL603">
            <v>0</v>
          </cell>
          <cell r="AM603">
            <v>0</v>
          </cell>
          <cell r="AO603">
            <v>0</v>
          </cell>
          <cell r="AP603">
            <v>0</v>
          </cell>
          <cell r="AR603">
            <v>0</v>
          </cell>
          <cell r="AS603">
            <v>0</v>
          </cell>
          <cell r="BF603" t="str">
            <v>4520</v>
          </cell>
          <cell r="BG603" t="str">
            <v>D011</v>
          </cell>
          <cell r="BH603" t="str">
            <v>GBM</v>
          </cell>
        </row>
        <row r="604">
          <cell r="K604">
            <v>0</v>
          </cell>
          <cell r="L604">
            <v>0</v>
          </cell>
          <cell r="N604">
            <v>0</v>
          </cell>
          <cell r="O604">
            <v>0</v>
          </cell>
          <cell r="Q604">
            <v>0</v>
          </cell>
          <cell r="R604">
            <v>0</v>
          </cell>
          <cell r="T604">
            <v>0</v>
          </cell>
          <cell r="U604">
            <v>0</v>
          </cell>
          <cell r="W604">
            <v>0</v>
          </cell>
          <cell r="X604">
            <v>0</v>
          </cell>
          <cell r="Z604">
            <v>0</v>
          </cell>
          <cell r="AA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I604">
            <v>0</v>
          </cell>
          <cell r="AJ604">
            <v>0</v>
          </cell>
          <cell r="AL604">
            <v>0</v>
          </cell>
          <cell r="AM604">
            <v>0</v>
          </cell>
          <cell r="AO604">
            <v>0</v>
          </cell>
          <cell r="AP604">
            <v>0</v>
          </cell>
          <cell r="AR604">
            <v>0</v>
          </cell>
          <cell r="AS604">
            <v>0</v>
          </cell>
          <cell r="BF604" t="str">
            <v>4520</v>
          </cell>
          <cell r="BG604" t="str">
            <v>D012</v>
          </cell>
          <cell r="BH604" t="str">
            <v>GBM</v>
          </cell>
        </row>
        <row r="605">
          <cell r="K605">
            <v>0</v>
          </cell>
          <cell r="L605">
            <v>0</v>
          </cell>
          <cell r="N605">
            <v>0</v>
          </cell>
          <cell r="O605">
            <v>0</v>
          </cell>
          <cell r="Q605">
            <v>0</v>
          </cell>
          <cell r="R605">
            <v>0</v>
          </cell>
          <cell r="T605">
            <v>0</v>
          </cell>
          <cell r="U605">
            <v>0</v>
          </cell>
          <cell r="W605">
            <v>0</v>
          </cell>
          <cell r="X605">
            <v>0</v>
          </cell>
          <cell r="Z605">
            <v>0</v>
          </cell>
          <cell r="AA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I605">
            <v>0</v>
          </cell>
          <cell r="AJ605">
            <v>0</v>
          </cell>
          <cell r="AL605">
            <v>0</v>
          </cell>
          <cell r="AM605">
            <v>0</v>
          </cell>
          <cell r="AO605">
            <v>0</v>
          </cell>
          <cell r="AP605">
            <v>0</v>
          </cell>
          <cell r="AR605">
            <v>0</v>
          </cell>
          <cell r="AS605">
            <v>0</v>
          </cell>
          <cell r="BF605" t="str">
            <v>4520</v>
          </cell>
          <cell r="BG605" t="str">
            <v>D013</v>
          </cell>
          <cell r="BH605" t="str">
            <v>GBM</v>
          </cell>
        </row>
        <row r="606">
          <cell r="K606">
            <v>0</v>
          </cell>
          <cell r="L606">
            <v>0</v>
          </cell>
          <cell r="N606">
            <v>0</v>
          </cell>
          <cell r="O606">
            <v>0</v>
          </cell>
          <cell r="Q606">
            <v>0</v>
          </cell>
          <cell r="R606">
            <v>0</v>
          </cell>
          <cell r="T606">
            <v>0</v>
          </cell>
          <cell r="U606">
            <v>0</v>
          </cell>
          <cell r="W606">
            <v>0</v>
          </cell>
          <cell r="X606">
            <v>0</v>
          </cell>
          <cell r="Z606">
            <v>0</v>
          </cell>
          <cell r="AA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I606">
            <v>0</v>
          </cell>
          <cell r="AJ606">
            <v>0</v>
          </cell>
          <cell r="AL606">
            <v>0</v>
          </cell>
          <cell r="AM606">
            <v>0</v>
          </cell>
          <cell r="AO606">
            <v>0</v>
          </cell>
          <cell r="AP606">
            <v>0</v>
          </cell>
          <cell r="AR606">
            <v>0</v>
          </cell>
          <cell r="AS606">
            <v>0</v>
          </cell>
          <cell r="BF606" t="str">
            <v>4520</v>
          </cell>
          <cell r="BG606" t="str">
            <v>D014</v>
          </cell>
          <cell r="BH606" t="str">
            <v>GBM</v>
          </cell>
        </row>
        <row r="607">
          <cell r="K607">
            <v>0</v>
          </cell>
          <cell r="L607">
            <v>0</v>
          </cell>
          <cell r="N607">
            <v>0</v>
          </cell>
          <cell r="O607">
            <v>0</v>
          </cell>
          <cell r="Q607">
            <v>0</v>
          </cell>
          <cell r="R607">
            <v>0</v>
          </cell>
          <cell r="T607">
            <v>0</v>
          </cell>
          <cell r="U607">
            <v>0</v>
          </cell>
          <cell r="W607">
            <v>0</v>
          </cell>
          <cell r="X607">
            <v>0</v>
          </cell>
          <cell r="Z607">
            <v>0</v>
          </cell>
          <cell r="AA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I607">
            <v>0</v>
          </cell>
          <cell r="AJ607">
            <v>0</v>
          </cell>
          <cell r="AL607">
            <v>0</v>
          </cell>
          <cell r="AM607">
            <v>0</v>
          </cell>
          <cell r="AO607">
            <v>0</v>
          </cell>
          <cell r="AP607">
            <v>0</v>
          </cell>
          <cell r="AR607">
            <v>0</v>
          </cell>
          <cell r="AS607">
            <v>0</v>
          </cell>
          <cell r="BF607" t="str">
            <v>4520</v>
          </cell>
          <cell r="BG607" t="str">
            <v>D015</v>
          </cell>
          <cell r="BH607" t="str">
            <v>GBM</v>
          </cell>
        </row>
        <row r="608">
          <cell r="K608">
            <v>0</v>
          </cell>
          <cell r="L608">
            <v>0</v>
          </cell>
          <cell r="N608">
            <v>0</v>
          </cell>
          <cell r="O608">
            <v>0</v>
          </cell>
          <cell r="Q608">
            <v>0</v>
          </cell>
          <cell r="R608">
            <v>0</v>
          </cell>
          <cell r="T608">
            <v>0</v>
          </cell>
          <cell r="U608">
            <v>0</v>
          </cell>
          <cell r="W608">
            <v>0</v>
          </cell>
          <cell r="X608">
            <v>0</v>
          </cell>
          <cell r="Z608">
            <v>0</v>
          </cell>
          <cell r="AA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I608">
            <v>0</v>
          </cell>
          <cell r="AJ608">
            <v>0</v>
          </cell>
          <cell r="AL608">
            <v>0</v>
          </cell>
          <cell r="AM608">
            <v>0</v>
          </cell>
          <cell r="AO608">
            <v>0</v>
          </cell>
          <cell r="AP608">
            <v>0</v>
          </cell>
          <cell r="AR608">
            <v>0</v>
          </cell>
          <cell r="AS608">
            <v>0</v>
          </cell>
          <cell r="BF608" t="str">
            <v>4520</v>
          </cell>
          <cell r="BG608" t="str">
            <v>D016</v>
          </cell>
          <cell r="BH608" t="str">
            <v>GBM</v>
          </cell>
        </row>
        <row r="609">
          <cell r="K609">
            <v>0</v>
          </cell>
          <cell r="L609">
            <v>0</v>
          </cell>
          <cell r="N609">
            <v>0</v>
          </cell>
          <cell r="O609">
            <v>0</v>
          </cell>
          <cell r="Q609">
            <v>0</v>
          </cell>
          <cell r="R609">
            <v>0</v>
          </cell>
          <cell r="T609">
            <v>0</v>
          </cell>
          <cell r="U609">
            <v>0</v>
          </cell>
          <cell r="W609">
            <v>0</v>
          </cell>
          <cell r="X609">
            <v>0</v>
          </cell>
          <cell r="Z609">
            <v>0</v>
          </cell>
          <cell r="AA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I609">
            <v>0</v>
          </cell>
          <cell r="AJ609">
            <v>0</v>
          </cell>
          <cell r="AL609">
            <v>0</v>
          </cell>
          <cell r="AM609">
            <v>0</v>
          </cell>
          <cell r="AO609">
            <v>17464.79</v>
          </cell>
          <cell r="AP609">
            <v>0</v>
          </cell>
          <cell r="AR609">
            <v>4366.2000000000007</v>
          </cell>
          <cell r="AS609">
            <v>0</v>
          </cell>
          <cell r="BF609" t="str">
            <v>4560</v>
          </cell>
          <cell r="BG609" t="str">
            <v>Z000</v>
          </cell>
          <cell r="BH609" t="str">
            <v>GBM</v>
          </cell>
        </row>
        <row r="610">
          <cell r="K610">
            <v>0</v>
          </cell>
          <cell r="L610">
            <v>0</v>
          </cell>
          <cell r="N610">
            <v>0</v>
          </cell>
          <cell r="O610">
            <v>0</v>
          </cell>
          <cell r="Q610">
            <v>0</v>
          </cell>
          <cell r="R610">
            <v>0</v>
          </cell>
          <cell r="T610">
            <v>0</v>
          </cell>
          <cell r="U610">
            <v>0</v>
          </cell>
          <cell r="W610">
            <v>0</v>
          </cell>
          <cell r="X610">
            <v>0</v>
          </cell>
          <cell r="Z610">
            <v>0</v>
          </cell>
          <cell r="AA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I610">
            <v>0</v>
          </cell>
          <cell r="AJ610">
            <v>0</v>
          </cell>
          <cell r="AL610">
            <v>0</v>
          </cell>
          <cell r="AM610">
            <v>0</v>
          </cell>
          <cell r="AO610">
            <v>2789.21</v>
          </cell>
          <cell r="AP610">
            <v>0</v>
          </cell>
          <cell r="AR610">
            <v>0</v>
          </cell>
          <cell r="AS610">
            <v>0</v>
          </cell>
          <cell r="BF610" t="str">
            <v>4580</v>
          </cell>
          <cell r="BG610" t="str">
            <v>Z000</v>
          </cell>
          <cell r="BH610" t="str">
            <v>GBM</v>
          </cell>
        </row>
        <row r="611">
          <cell r="K611">
            <v>0</v>
          </cell>
          <cell r="L611">
            <v>0</v>
          </cell>
          <cell r="N611">
            <v>0</v>
          </cell>
          <cell r="O611">
            <v>0</v>
          </cell>
          <cell r="Q611">
            <v>0</v>
          </cell>
          <cell r="R611">
            <v>0</v>
          </cell>
          <cell r="T611">
            <v>0</v>
          </cell>
          <cell r="U611">
            <v>0</v>
          </cell>
          <cell r="W611">
            <v>0</v>
          </cell>
          <cell r="X611">
            <v>0</v>
          </cell>
          <cell r="Z611">
            <v>0</v>
          </cell>
          <cell r="AA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I611">
            <v>0</v>
          </cell>
          <cell r="AJ611">
            <v>0</v>
          </cell>
          <cell r="AL611">
            <v>0</v>
          </cell>
          <cell r="AM611">
            <v>0</v>
          </cell>
          <cell r="AO611">
            <v>0</v>
          </cell>
          <cell r="AP611">
            <v>0</v>
          </cell>
          <cell r="AR611">
            <v>0</v>
          </cell>
          <cell r="AS611">
            <v>0</v>
          </cell>
          <cell r="BF611" t="str">
            <v>4585</v>
          </cell>
          <cell r="BG611" t="str">
            <v>D021</v>
          </cell>
          <cell r="BH611" t="str">
            <v>GBM</v>
          </cell>
        </row>
        <row r="612">
          <cell r="K612">
            <v>0</v>
          </cell>
          <cell r="L612">
            <v>0</v>
          </cell>
          <cell r="N612">
            <v>0</v>
          </cell>
          <cell r="O612">
            <v>0</v>
          </cell>
          <cell r="Q612">
            <v>0</v>
          </cell>
          <cell r="R612">
            <v>0</v>
          </cell>
          <cell r="T612">
            <v>0</v>
          </cell>
          <cell r="U612">
            <v>0</v>
          </cell>
          <cell r="W612">
            <v>0</v>
          </cell>
          <cell r="X612">
            <v>0</v>
          </cell>
          <cell r="Z612">
            <v>0</v>
          </cell>
          <cell r="AA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I612">
            <v>0</v>
          </cell>
          <cell r="AJ612">
            <v>0</v>
          </cell>
          <cell r="AL612">
            <v>0</v>
          </cell>
          <cell r="AM612">
            <v>0</v>
          </cell>
          <cell r="AO612">
            <v>0</v>
          </cell>
          <cell r="AP612">
            <v>0</v>
          </cell>
          <cell r="AR612">
            <v>0</v>
          </cell>
          <cell r="AS612">
            <v>0</v>
          </cell>
          <cell r="BF612" t="str">
            <v>4585</v>
          </cell>
          <cell r="BG612" t="str">
            <v>D022</v>
          </cell>
          <cell r="BH612" t="str">
            <v>GBM</v>
          </cell>
        </row>
        <row r="613">
          <cell r="K613">
            <v>0</v>
          </cell>
          <cell r="L613">
            <v>0</v>
          </cell>
          <cell r="N613">
            <v>0</v>
          </cell>
          <cell r="O613">
            <v>0</v>
          </cell>
          <cell r="Q613">
            <v>0</v>
          </cell>
          <cell r="R613">
            <v>0</v>
          </cell>
          <cell r="T613">
            <v>0</v>
          </cell>
          <cell r="U613">
            <v>0</v>
          </cell>
          <cell r="W613">
            <v>0</v>
          </cell>
          <cell r="X613">
            <v>0</v>
          </cell>
          <cell r="Z613">
            <v>0</v>
          </cell>
          <cell r="AA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I613">
            <v>0</v>
          </cell>
          <cell r="AJ613">
            <v>0</v>
          </cell>
          <cell r="AL613">
            <v>0</v>
          </cell>
          <cell r="AM613">
            <v>0</v>
          </cell>
          <cell r="AO613">
            <v>0</v>
          </cell>
          <cell r="AP613">
            <v>0</v>
          </cell>
          <cell r="AR613">
            <v>0</v>
          </cell>
          <cell r="AS613">
            <v>0</v>
          </cell>
          <cell r="BF613" t="str">
            <v>4585</v>
          </cell>
          <cell r="BG613" t="str">
            <v>D023</v>
          </cell>
          <cell r="BH613" t="str">
            <v>GBM</v>
          </cell>
        </row>
        <row r="614">
          <cell r="K614">
            <v>0</v>
          </cell>
          <cell r="L614">
            <v>0</v>
          </cell>
          <cell r="N614">
            <v>0</v>
          </cell>
          <cell r="O614">
            <v>0</v>
          </cell>
          <cell r="Q614">
            <v>0</v>
          </cell>
          <cell r="R614">
            <v>0</v>
          </cell>
          <cell r="T614">
            <v>0</v>
          </cell>
          <cell r="U614">
            <v>0</v>
          </cell>
          <cell r="W614">
            <v>0</v>
          </cell>
          <cell r="X614">
            <v>0</v>
          </cell>
          <cell r="Z614">
            <v>0</v>
          </cell>
          <cell r="AA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I614">
            <v>0</v>
          </cell>
          <cell r="AJ614">
            <v>0</v>
          </cell>
          <cell r="AL614">
            <v>0</v>
          </cell>
          <cell r="AM614">
            <v>0</v>
          </cell>
          <cell r="AO614">
            <v>0</v>
          </cell>
          <cell r="AP614">
            <v>0</v>
          </cell>
          <cell r="AR614">
            <v>0</v>
          </cell>
          <cell r="AS614">
            <v>0</v>
          </cell>
          <cell r="BF614" t="str">
            <v>4585</v>
          </cell>
          <cell r="BG614" t="str">
            <v>D024</v>
          </cell>
          <cell r="BH614" t="str">
            <v>GBM</v>
          </cell>
        </row>
        <row r="615">
          <cell r="K615">
            <v>0</v>
          </cell>
          <cell r="L615">
            <v>0</v>
          </cell>
          <cell r="N615">
            <v>0</v>
          </cell>
          <cell r="O615">
            <v>0</v>
          </cell>
          <cell r="Q615">
            <v>0</v>
          </cell>
          <cell r="R615">
            <v>0</v>
          </cell>
          <cell r="T615">
            <v>0</v>
          </cell>
          <cell r="U615">
            <v>0</v>
          </cell>
          <cell r="W615">
            <v>0</v>
          </cell>
          <cell r="X615">
            <v>0</v>
          </cell>
          <cell r="Z615">
            <v>0</v>
          </cell>
          <cell r="AA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I615">
            <v>0</v>
          </cell>
          <cell r="AJ615">
            <v>0</v>
          </cell>
          <cell r="AL615">
            <v>0</v>
          </cell>
          <cell r="AM615">
            <v>0</v>
          </cell>
          <cell r="AO615">
            <v>0</v>
          </cell>
          <cell r="AP615">
            <v>0</v>
          </cell>
          <cell r="AR615">
            <v>18995.63</v>
          </cell>
          <cell r="AS615">
            <v>0</v>
          </cell>
          <cell r="BF615" t="str">
            <v>4590</v>
          </cell>
          <cell r="BG615" t="str">
            <v>Z000</v>
          </cell>
          <cell r="BH615" t="str">
            <v>GBM</v>
          </cell>
        </row>
        <row r="616">
          <cell r="K616">
            <v>0</v>
          </cell>
          <cell r="L616">
            <v>0</v>
          </cell>
          <cell r="N616">
            <v>0</v>
          </cell>
          <cell r="O616">
            <v>0</v>
          </cell>
          <cell r="Q616">
            <v>0</v>
          </cell>
          <cell r="R616">
            <v>0</v>
          </cell>
          <cell r="T616">
            <v>0</v>
          </cell>
          <cell r="U616">
            <v>0</v>
          </cell>
          <cell r="W616">
            <v>0</v>
          </cell>
          <cell r="X616">
            <v>0</v>
          </cell>
          <cell r="Z616">
            <v>0</v>
          </cell>
          <cell r="AA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I616">
            <v>0</v>
          </cell>
          <cell r="AJ616">
            <v>0</v>
          </cell>
          <cell r="AL616">
            <v>0</v>
          </cell>
          <cell r="AM616">
            <v>0</v>
          </cell>
          <cell r="AO616">
            <v>0</v>
          </cell>
          <cell r="AP616">
            <v>0</v>
          </cell>
          <cell r="AR616">
            <v>0</v>
          </cell>
          <cell r="AS616">
            <v>0</v>
          </cell>
          <cell r="BF616" t="str">
            <v>4600</v>
          </cell>
          <cell r="BG616" t="str">
            <v>Z000</v>
          </cell>
          <cell r="BH616" t="str">
            <v>GBM</v>
          </cell>
        </row>
        <row r="617">
          <cell r="K617">
            <v>0</v>
          </cell>
          <cell r="L617">
            <v>0</v>
          </cell>
          <cell r="N617">
            <v>0</v>
          </cell>
          <cell r="O617">
            <v>0</v>
          </cell>
          <cell r="Q617">
            <v>0</v>
          </cell>
          <cell r="R617">
            <v>0</v>
          </cell>
          <cell r="T617">
            <v>0</v>
          </cell>
          <cell r="U617">
            <v>0</v>
          </cell>
          <cell r="W617">
            <v>0</v>
          </cell>
          <cell r="X617">
            <v>0</v>
          </cell>
          <cell r="Z617">
            <v>0</v>
          </cell>
          <cell r="AA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I617">
            <v>0</v>
          </cell>
          <cell r="AJ617">
            <v>0</v>
          </cell>
          <cell r="AL617">
            <v>0</v>
          </cell>
          <cell r="AM617">
            <v>0</v>
          </cell>
          <cell r="AO617">
            <v>0</v>
          </cell>
          <cell r="AP617">
            <v>0</v>
          </cell>
          <cell r="AR617">
            <v>0</v>
          </cell>
          <cell r="AS617">
            <v>0</v>
          </cell>
          <cell r="BF617" t="str">
            <v>4620</v>
          </cell>
          <cell r="BG617" t="str">
            <v>Z000</v>
          </cell>
          <cell r="BH617" t="str">
            <v>GBM</v>
          </cell>
        </row>
        <row r="618">
          <cell r="K618">
            <v>0</v>
          </cell>
          <cell r="L618">
            <v>0</v>
          </cell>
          <cell r="N618">
            <v>0</v>
          </cell>
          <cell r="O618">
            <v>0</v>
          </cell>
          <cell r="Q618">
            <v>0</v>
          </cell>
          <cell r="R618">
            <v>0</v>
          </cell>
          <cell r="T618">
            <v>0</v>
          </cell>
          <cell r="U618">
            <v>0</v>
          </cell>
          <cell r="W618">
            <v>0</v>
          </cell>
          <cell r="X618">
            <v>0</v>
          </cell>
          <cell r="Z618">
            <v>0</v>
          </cell>
          <cell r="AA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I618">
            <v>0</v>
          </cell>
          <cell r="AJ618">
            <v>0</v>
          </cell>
          <cell r="AL618">
            <v>0</v>
          </cell>
          <cell r="AM618">
            <v>0</v>
          </cell>
          <cell r="AO618">
            <v>0</v>
          </cell>
          <cell r="AP618">
            <v>0</v>
          </cell>
          <cell r="AR618">
            <v>0</v>
          </cell>
          <cell r="AS618">
            <v>0</v>
          </cell>
          <cell r="BF618" t="str">
            <v>4630</v>
          </cell>
          <cell r="BG618" t="str">
            <v>Z000</v>
          </cell>
          <cell r="BH618" t="str">
            <v>GBM</v>
          </cell>
        </row>
        <row r="619">
          <cell r="K619">
            <v>0</v>
          </cell>
          <cell r="L619">
            <v>0</v>
          </cell>
          <cell r="N619">
            <v>0</v>
          </cell>
          <cell r="O619">
            <v>0</v>
          </cell>
          <cell r="Q619">
            <v>0</v>
          </cell>
          <cell r="R619">
            <v>0</v>
          </cell>
          <cell r="T619">
            <v>0</v>
          </cell>
          <cell r="U619">
            <v>0</v>
          </cell>
          <cell r="W619">
            <v>0</v>
          </cell>
          <cell r="X619">
            <v>0</v>
          </cell>
          <cell r="Z619">
            <v>0</v>
          </cell>
          <cell r="AA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I619">
            <v>0</v>
          </cell>
          <cell r="AJ619">
            <v>0</v>
          </cell>
          <cell r="AL619">
            <v>0</v>
          </cell>
          <cell r="AM619">
            <v>0</v>
          </cell>
          <cell r="AO619">
            <v>0</v>
          </cell>
          <cell r="AP619">
            <v>0</v>
          </cell>
          <cell r="AR619">
            <v>0</v>
          </cell>
          <cell r="AS619">
            <v>0</v>
          </cell>
          <cell r="BF619" t="str">
            <v>4660</v>
          </cell>
          <cell r="BG619" t="str">
            <v>Z000</v>
          </cell>
          <cell r="BH619" t="str">
            <v>GBM</v>
          </cell>
        </row>
        <row r="620">
          <cell r="K620">
            <v>0</v>
          </cell>
          <cell r="L620">
            <v>0</v>
          </cell>
          <cell r="N620">
            <v>0</v>
          </cell>
          <cell r="O620">
            <v>0</v>
          </cell>
          <cell r="Q620">
            <v>0</v>
          </cell>
          <cell r="R620">
            <v>0</v>
          </cell>
          <cell r="T620">
            <v>0</v>
          </cell>
          <cell r="U620">
            <v>0</v>
          </cell>
          <cell r="W620">
            <v>0</v>
          </cell>
          <cell r="X620">
            <v>0</v>
          </cell>
          <cell r="Z620">
            <v>0</v>
          </cell>
          <cell r="AA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I620">
            <v>0</v>
          </cell>
          <cell r="AJ620">
            <v>0</v>
          </cell>
          <cell r="AL620">
            <v>0</v>
          </cell>
          <cell r="AM620">
            <v>0</v>
          </cell>
          <cell r="AO620">
            <v>0</v>
          </cell>
          <cell r="AP620">
            <v>0</v>
          </cell>
          <cell r="AR620">
            <v>0</v>
          </cell>
          <cell r="AS620">
            <v>0</v>
          </cell>
          <cell r="BF620" t="str">
            <v>4670</v>
          </cell>
          <cell r="BG620" t="str">
            <v>Z000</v>
          </cell>
          <cell r="BH620" t="str">
            <v>GBM</v>
          </cell>
        </row>
        <row r="621">
          <cell r="K621">
            <v>0</v>
          </cell>
          <cell r="L621">
            <v>0</v>
          </cell>
          <cell r="N621">
            <v>0</v>
          </cell>
          <cell r="O621">
            <v>0</v>
          </cell>
          <cell r="Q621">
            <v>0</v>
          </cell>
          <cell r="R621">
            <v>0</v>
          </cell>
          <cell r="T621">
            <v>0</v>
          </cell>
          <cell r="U621">
            <v>0</v>
          </cell>
          <cell r="W621">
            <v>0</v>
          </cell>
          <cell r="X621">
            <v>0</v>
          </cell>
          <cell r="Z621">
            <v>0</v>
          </cell>
          <cell r="AA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I621">
            <v>0</v>
          </cell>
          <cell r="AJ621">
            <v>0</v>
          </cell>
          <cell r="AL621">
            <v>0</v>
          </cell>
          <cell r="AM621">
            <v>0</v>
          </cell>
          <cell r="AO621">
            <v>0</v>
          </cell>
          <cell r="AP621">
            <v>0</v>
          </cell>
          <cell r="AR621">
            <v>0</v>
          </cell>
          <cell r="AS621">
            <v>0</v>
          </cell>
          <cell r="BF621" t="str">
            <v>4690</v>
          </cell>
          <cell r="BG621" t="str">
            <v>Z000</v>
          </cell>
          <cell r="BH621" t="str">
            <v>GBM</v>
          </cell>
        </row>
        <row r="622">
          <cell r="K622">
            <v>0</v>
          </cell>
          <cell r="L622">
            <v>0</v>
          </cell>
          <cell r="N622">
            <v>0</v>
          </cell>
          <cell r="O622">
            <v>0</v>
          </cell>
          <cell r="Q622">
            <v>0</v>
          </cell>
          <cell r="R622">
            <v>0</v>
          </cell>
          <cell r="T622">
            <v>0</v>
          </cell>
          <cell r="U622">
            <v>0</v>
          </cell>
          <cell r="W622">
            <v>0</v>
          </cell>
          <cell r="X622">
            <v>0</v>
          </cell>
          <cell r="Z622">
            <v>0</v>
          </cell>
          <cell r="AA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I622">
            <v>0</v>
          </cell>
          <cell r="AJ622">
            <v>0</v>
          </cell>
          <cell r="AL622">
            <v>0</v>
          </cell>
          <cell r="AM622">
            <v>0</v>
          </cell>
          <cell r="AO622">
            <v>0</v>
          </cell>
          <cell r="AP622">
            <v>0</v>
          </cell>
          <cell r="AR622">
            <v>0</v>
          </cell>
          <cell r="AS622">
            <v>0</v>
          </cell>
          <cell r="BF622" t="str">
            <v>4700</v>
          </cell>
          <cell r="BG622" t="str">
            <v>D031</v>
          </cell>
          <cell r="BH622" t="str">
            <v>GBM</v>
          </cell>
        </row>
        <row r="623">
          <cell r="K623">
            <v>0</v>
          </cell>
          <cell r="L623">
            <v>0</v>
          </cell>
          <cell r="N623">
            <v>39000</v>
          </cell>
          <cell r="O623">
            <v>0</v>
          </cell>
          <cell r="Q623">
            <v>39000</v>
          </cell>
          <cell r="R623">
            <v>0</v>
          </cell>
          <cell r="T623">
            <v>39000</v>
          </cell>
          <cell r="U623">
            <v>0</v>
          </cell>
          <cell r="W623">
            <v>39000</v>
          </cell>
          <cell r="X623">
            <v>0</v>
          </cell>
          <cell r="Z623">
            <v>39000</v>
          </cell>
          <cell r="AA623">
            <v>0</v>
          </cell>
          <cell r="AC623">
            <v>39000</v>
          </cell>
          <cell r="AD623">
            <v>0</v>
          </cell>
          <cell r="AF623">
            <v>39000</v>
          </cell>
          <cell r="AG623">
            <v>0</v>
          </cell>
          <cell r="AI623">
            <v>39000</v>
          </cell>
          <cell r="AJ623">
            <v>0</v>
          </cell>
          <cell r="AL623">
            <v>39000</v>
          </cell>
          <cell r="AM623">
            <v>0</v>
          </cell>
          <cell r="AO623">
            <v>39000</v>
          </cell>
          <cell r="AP623">
            <v>0</v>
          </cell>
          <cell r="AR623">
            <v>39000</v>
          </cell>
          <cell r="AS623">
            <v>0</v>
          </cell>
          <cell r="BF623" t="str">
            <v>4700</v>
          </cell>
          <cell r="BG623" t="str">
            <v>D032</v>
          </cell>
          <cell r="BH623" t="str">
            <v>GBM</v>
          </cell>
        </row>
        <row r="624">
          <cell r="K624">
            <v>0</v>
          </cell>
          <cell r="L624">
            <v>0</v>
          </cell>
          <cell r="N624">
            <v>0</v>
          </cell>
          <cell r="O624">
            <v>0</v>
          </cell>
          <cell r="Q624">
            <v>0</v>
          </cell>
          <cell r="R624">
            <v>0</v>
          </cell>
          <cell r="T624">
            <v>0</v>
          </cell>
          <cell r="U624">
            <v>0</v>
          </cell>
          <cell r="W624">
            <v>0</v>
          </cell>
          <cell r="X624">
            <v>0</v>
          </cell>
          <cell r="Z624">
            <v>0</v>
          </cell>
          <cell r="AA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I624">
            <v>0</v>
          </cell>
          <cell r="AJ624">
            <v>0</v>
          </cell>
          <cell r="AL624">
            <v>0</v>
          </cell>
          <cell r="AM624">
            <v>0</v>
          </cell>
          <cell r="AO624">
            <v>0</v>
          </cell>
          <cell r="AP624">
            <v>0</v>
          </cell>
          <cell r="AR624">
            <v>0</v>
          </cell>
          <cell r="AS624">
            <v>0</v>
          </cell>
          <cell r="BF624" t="str">
            <v>4740</v>
          </cell>
          <cell r="BG624" t="str">
            <v>D041</v>
          </cell>
          <cell r="BH624" t="str">
            <v>GBM</v>
          </cell>
        </row>
        <row r="625">
          <cell r="K625">
            <v>0</v>
          </cell>
          <cell r="L625">
            <v>0</v>
          </cell>
          <cell r="N625">
            <v>0</v>
          </cell>
          <cell r="O625">
            <v>0</v>
          </cell>
          <cell r="Q625">
            <v>0</v>
          </cell>
          <cell r="R625">
            <v>0</v>
          </cell>
          <cell r="T625">
            <v>0</v>
          </cell>
          <cell r="U625">
            <v>0</v>
          </cell>
          <cell r="W625">
            <v>0</v>
          </cell>
          <cell r="X625">
            <v>0</v>
          </cell>
          <cell r="Z625">
            <v>0</v>
          </cell>
          <cell r="AA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I625">
            <v>0</v>
          </cell>
          <cell r="AJ625">
            <v>0</v>
          </cell>
          <cell r="AL625">
            <v>0</v>
          </cell>
          <cell r="AM625">
            <v>0</v>
          </cell>
          <cell r="AO625">
            <v>0</v>
          </cell>
          <cell r="AP625">
            <v>0</v>
          </cell>
          <cell r="AR625">
            <v>0</v>
          </cell>
          <cell r="AS625">
            <v>0</v>
          </cell>
          <cell r="BF625" t="str">
            <v>4740</v>
          </cell>
          <cell r="BG625" t="str">
            <v>D042</v>
          </cell>
          <cell r="BH625" t="str">
            <v>GBM</v>
          </cell>
        </row>
        <row r="626">
          <cell r="K626">
            <v>0</v>
          </cell>
          <cell r="L626">
            <v>0</v>
          </cell>
          <cell r="N626">
            <v>0</v>
          </cell>
          <cell r="O626">
            <v>0</v>
          </cell>
          <cell r="Q626">
            <v>0</v>
          </cell>
          <cell r="R626">
            <v>0</v>
          </cell>
          <cell r="T626">
            <v>0</v>
          </cell>
          <cell r="U626">
            <v>0</v>
          </cell>
          <cell r="W626">
            <v>0</v>
          </cell>
          <cell r="X626">
            <v>0</v>
          </cell>
          <cell r="Z626">
            <v>0</v>
          </cell>
          <cell r="AA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I626">
            <v>0</v>
          </cell>
          <cell r="AJ626">
            <v>0</v>
          </cell>
          <cell r="AL626">
            <v>0</v>
          </cell>
          <cell r="AM626">
            <v>0</v>
          </cell>
          <cell r="AO626">
            <v>0</v>
          </cell>
          <cell r="AP626">
            <v>0</v>
          </cell>
          <cell r="AR626">
            <v>0</v>
          </cell>
          <cell r="AS626">
            <v>0</v>
          </cell>
          <cell r="BF626" t="str">
            <v>4740</v>
          </cell>
          <cell r="BG626" t="str">
            <v>D043</v>
          </cell>
          <cell r="BH626" t="str">
            <v>GBM</v>
          </cell>
        </row>
        <row r="627">
          <cell r="K627">
            <v>0</v>
          </cell>
          <cell r="L627">
            <v>0</v>
          </cell>
          <cell r="N627">
            <v>0</v>
          </cell>
          <cell r="O627">
            <v>0</v>
          </cell>
          <cell r="Q627">
            <v>0</v>
          </cell>
          <cell r="R627">
            <v>0</v>
          </cell>
          <cell r="T627">
            <v>0</v>
          </cell>
          <cell r="U627">
            <v>0</v>
          </cell>
          <cell r="W627">
            <v>0</v>
          </cell>
          <cell r="X627">
            <v>0</v>
          </cell>
          <cell r="Z627">
            <v>0</v>
          </cell>
          <cell r="AA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I627">
            <v>0</v>
          </cell>
          <cell r="AJ627">
            <v>0</v>
          </cell>
          <cell r="AL627">
            <v>0</v>
          </cell>
          <cell r="AM627">
            <v>0</v>
          </cell>
          <cell r="AO627">
            <v>0</v>
          </cell>
          <cell r="AP627">
            <v>0</v>
          </cell>
          <cell r="AR627">
            <v>0</v>
          </cell>
          <cell r="AS627">
            <v>0</v>
          </cell>
          <cell r="BF627" t="str">
            <v>4740</v>
          </cell>
          <cell r="BG627" t="str">
            <v>D044</v>
          </cell>
          <cell r="BH627" t="str">
            <v>GBM</v>
          </cell>
        </row>
        <row r="628">
          <cell r="K628">
            <v>0</v>
          </cell>
          <cell r="L628">
            <v>0</v>
          </cell>
          <cell r="N628">
            <v>0</v>
          </cell>
          <cell r="O628">
            <v>0</v>
          </cell>
          <cell r="Q628">
            <v>0</v>
          </cell>
          <cell r="R628">
            <v>0</v>
          </cell>
          <cell r="T628">
            <v>0</v>
          </cell>
          <cell r="U628">
            <v>0</v>
          </cell>
          <cell r="W628">
            <v>0</v>
          </cell>
          <cell r="X628">
            <v>0</v>
          </cell>
          <cell r="Z628">
            <v>0</v>
          </cell>
          <cell r="AA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I628">
            <v>0</v>
          </cell>
          <cell r="AJ628">
            <v>0</v>
          </cell>
          <cell r="AL628">
            <v>0</v>
          </cell>
          <cell r="AM628">
            <v>0</v>
          </cell>
          <cell r="AO628">
            <v>0</v>
          </cell>
          <cell r="AP628">
            <v>0</v>
          </cell>
          <cell r="AR628">
            <v>0</v>
          </cell>
          <cell r="AS628">
            <v>0</v>
          </cell>
          <cell r="BF628" t="str">
            <v>4740</v>
          </cell>
          <cell r="BG628" t="str">
            <v>D045</v>
          </cell>
          <cell r="BH628" t="str">
            <v>GBM</v>
          </cell>
        </row>
        <row r="629">
          <cell r="K629">
            <v>0</v>
          </cell>
          <cell r="L629">
            <v>0</v>
          </cell>
          <cell r="N629">
            <v>0</v>
          </cell>
          <cell r="O629">
            <v>0</v>
          </cell>
          <cell r="Q629">
            <v>0</v>
          </cell>
          <cell r="R629">
            <v>0</v>
          </cell>
          <cell r="T629">
            <v>0</v>
          </cell>
          <cell r="U629">
            <v>0</v>
          </cell>
          <cell r="W629">
            <v>0</v>
          </cell>
          <cell r="X629">
            <v>0</v>
          </cell>
          <cell r="Z629">
            <v>0</v>
          </cell>
          <cell r="AA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I629">
            <v>0</v>
          </cell>
          <cell r="AJ629">
            <v>0</v>
          </cell>
          <cell r="AL629">
            <v>0</v>
          </cell>
          <cell r="AM629">
            <v>0</v>
          </cell>
          <cell r="AO629">
            <v>0</v>
          </cell>
          <cell r="AP629">
            <v>0</v>
          </cell>
          <cell r="AR629">
            <v>0</v>
          </cell>
          <cell r="AS629">
            <v>0</v>
          </cell>
          <cell r="BF629" t="str">
            <v>4760</v>
          </cell>
          <cell r="BG629" t="str">
            <v>Z000</v>
          </cell>
          <cell r="BH629" t="str">
            <v>GBM</v>
          </cell>
        </row>
        <row r="630">
          <cell r="K630">
            <v>0</v>
          </cell>
          <cell r="L630">
            <v>0</v>
          </cell>
          <cell r="N630">
            <v>0</v>
          </cell>
          <cell r="O630">
            <v>0</v>
          </cell>
          <cell r="Q630">
            <v>0</v>
          </cell>
          <cell r="R630">
            <v>0</v>
          </cell>
          <cell r="T630">
            <v>0</v>
          </cell>
          <cell r="U630">
            <v>0</v>
          </cell>
          <cell r="W630">
            <v>0</v>
          </cell>
          <cell r="X630">
            <v>0</v>
          </cell>
          <cell r="Z630">
            <v>0</v>
          </cell>
          <cell r="AA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I630">
            <v>0</v>
          </cell>
          <cell r="AJ630">
            <v>0</v>
          </cell>
          <cell r="AL630">
            <v>0</v>
          </cell>
          <cell r="AM630">
            <v>0</v>
          </cell>
          <cell r="AO630">
            <v>0</v>
          </cell>
          <cell r="AP630">
            <v>0</v>
          </cell>
          <cell r="AR630">
            <v>0</v>
          </cell>
          <cell r="AS630">
            <v>0</v>
          </cell>
          <cell r="BF630" t="str">
            <v>4800</v>
          </cell>
          <cell r="BG630" t="str">
            <v>D101</v>
          </cell>
          <cell r="BH630" t="str">
            <v>GBM</v>
          </cell>
        </row>
        <row r="631">
          <cell r="K631">
            <v>0</v>
          </cell>
          <cell r="L631">
            <v>0</v>
          </cell>
          <cell r="N631">
            <v>0</v>
          </cell>
          <cell r="O631">
            <v>0</v>
          </cell>
          <cell r="Q631">
            <v>0</v>
          </cell>
          <cell r="R631">
            <v>0</v>
          </cell>
          <cell r="T631">
            <v>0</v>
          </cell>
          <cell r="U631">
            <v>0</v>
          </cell>
          <cell r="W631">
            <v>0</v>
          </cell>
          <cell r="X631">
            <v>0</v>
          </cell>
          <cell r="Z631">
            <v>0</v>
          </cell>
          <cell r="AA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I631">
            <v>0</v>
          </cell>
          <cell r="AJ631">
            <v>0</v>
          </cell>
          <cell r="AL631">
            <v>0</v>
          </cell>
          <cell r="AM631">
            <v>0</v>
          </cell>
          <cell r="AO631">
            <v>0</v>
          </cell>
          <cell r="AP631">
            <v>0</v>
          </cell>
          <cell r="AR631">
            <v>0</v>
          </cell>
          <cell r="AS631">
            <v>0</v>
          </cell>
          <cell r="BF631" t="str">
            <v>4800</v>
          </cell>
          <cell r="BG631" t="str">
            <v>D102</v>
          </cell>
          <cell r="BH631" t="str">
            <v>GBM</v>
          </cell>
        </row>
        <row r="632">
          <cell r="K632">
            <v>0</v>
          </cell>
          <cell r="L632">
            <v>0</v>
          </cell>
          <cell r="N632">
            <v>0</v>
          </cell>
          <cell r="O632">
            <v>0</v>
          </cell>
          <cell r="Q632">
            <v>0</v>
          </cell>
          <cell r="R632">
            <v>0</v>
          </cell>
          <cell r="T632">
            <v>0</v>
          </cell>
          <cell r="U632">
            <v>0</v>
          </cell>
          <cell r="W632">
            <v>0</v>
          </cell>
          <cell r="X632">
            <v>0</v>
          </cell>
          <cell r="Z632">
            <v>0</v>
          </cell>
          <cell r="AA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I632">
            <v>0</v>
          </cell>
          <cell r="AJ632">
            <v>0</v>
          </cell>
          <cell r="AL632">
            <v>0</v>
          </cell>
          <cell r="AM632">
            <v>0</v>
          </cell>
          <cell r="AO632">
            <v>0</v>
          </cell>
          <cell r="AP632">
            <v>0</v>
          </cell>
          <cell r="AR632">
            <v>0</v>
          </cell>
          <cell r="AS632">
            <v>0</v>
          </cell>
          <cell r="BF632" t="str">
            <v>4800</v>
          </cell>
          <cell r="BG632" t="str">
            <v>D103</v>
          </cell>
          <cell r="BH632" t="str">
            <v>GBM</v>
          </cell>
        </row>
        <row r="633">
          <cell r="K633">
            <v>0</v>
          </cell>
          <cell r="L633">
            <v>0</v>
          </cell>
          <cell r="N633">
            <v>0</v>
          </cell>
          <cell r="O633">
            <v>0</v>
          </cell>
          <cell r="Q633">
            <v>0</v>
          </cell>
          <cell r="R633">
            <v>0</v>
          </cell>
          <cell r="T633">
            <v>0</v>
          </cell>
          <cell r="U633">
            <v>0</v>
          </cell>
          <cell r="W633">
            <v>0</v>
          </cell>
          <cell r="X633">
            <v>0</v>
          </cell>
          <cell r="Z633">
            <v>0</v>
          </cell>
          <cell r="AA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I633">
            <v>0</v>
          </cell>
          <cell r="AJ633">
            <v>0</v>
          </cell>
          <cell r="AL633">
            <v>0</v>
          </cell>
          <cell r="AM633">
            <v>0</v>
          </cell>
          <cell r="AO633">
            <v>0</v>
          </cell>
          <cell r="AP633">
            <v>0</v>
          </cell>
          <cell r="AR633">
            <v>0</v>
          </cell>
          <cell r="AS633">
            <v>0</v>
          </cell>
          <cell r="BF633" t="str">
            <v>4800</v>
          </cell>
          <cell r="BG633">
            <v>0</v>
          </cell>
          <cell r="BH633" t="str">
            <v>GBM</v>
          </cell>
        </row>
        <row r="634">
          <cell r="K634">
            <v>0</v>
          </cell>
          <cell r="L634">
            <v>0</v>
          </cell>
          <cell r="N634">
            <v>0</v>
          </cell>
          <cell r="O634">
            <v>0</v>
          </cell>
          <cell r="Q634">
            <v>0</v>
          </cell>
          <cell r="R634">
            <v>0</v>
          </cell>
          <cell r="T634">
            <v>0</v>
          </cell>
          <cell r="U634">
            <v>0</v>
          </cell>
          <cell r="W634">
            <v>0</v>
          </cell>
          <cell r="X634">
            <v>0</v>
          </cell>
          <cell r="Z634">
            <v>0</v>
          </cell>
          <cell r="AA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I634">
            <v>0</v>
          </cell>
          <cell r="AJ634">
            <v>0</v>
          </cell>
          <cell r="AL634">
            <v>0</v>
          </cell>
          <cell r="AM634">
            <v>0</v>
          </cell>
          <cell r="AO634">
            <v>0</v>
          </cell>
          <cell r="AP634">
            <v>0</v>
          </cell>
          <cell r="AR634">
            <v>0</v>
          </cell>
          <cell r="AS634">
            <v>0</v>
          </cell>
          <cell r="BF634" t="str">
            <v>4820</v>
          </cell>
          <cell r="BG634" t="str">
            <v>Z000</v>
          </cell>
          <cell r="BH634" t="str">
            <v>GBM</v>
          </cell>
        </row>
        <row r="635">
          <cell r="K635">
            <v>0</v>
          </cell>
          <cell r="L635">
            <v>0</v>
          </cell>
          <cell r="N635">
            <v>0</v>
          </cell>
          <cell r="O635">
            <v>0</v>
          </cell>
          <cell r="Q635">
            <v>0</v>
          </cell>
          <cell r="R635">
            <v>0</v>
          </cell>
          <cell r="T635">
            <v>0</v>
          </cell>
          <cell r="U635">
            <v>0</v>
          </cell>
          <cell r="W635">
            <v>0</v>
          </cell>
          <cell r="X635">
            <v>0</v>
          </cell>
          <cell r="Z635">
            <v>0</v>
          </cell>
          <cell r="AA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I635">
            <v>0</v>
          </cell>
          <cell r="AJ635">
            <v>0</v>
          </cell>
          <cell r="AL635">
            <v>0</v>
          </cell>
          <cell r="AM635">
            <v>0</v>
          </cell>
          <cell r="AO635">
            <v>0</v>
          </cell>
          <cell r="AP635">
            <v>0</v>
          </cell>
          <cell r="AR635">
            <v>0</v>
          </cell>
          <cell r="AS635">
            <v>0</v>
          </cell>
          <cell r="BF635" t="str">
            <v>4830</v>
          </cell>
          <cell r="BG635" t="str">
            <v>D111</v>
          </cell>
          <cell r="BH635" t="str">
            <v>GBM</v>
          </cell>
        </row>
        <row r="636">
          <cell r="K636">
            <v>0</v>
          </cell>
          <cell r="L636">
            <v>0</v>
          </cell>
          <cell r="N636">
            <v>0</v>
          </cell>
          <cell r="O636">
            <v>0</v>
          </cell>
          <cell r="Q636">
            <v>4609.66</v>
          </cell>
          <cell r="R636">
            <v>0</v>
          </cell>
          <cell r="T636">
            <v>0</v>
          </cell>
          <cell r="U636">
            <v>0</v>
          </cell>
          <cell r="W636">
            <v>0</v>
          </cell>
          <cell r="X636">
            <v>0</v>
          </cell>
          <cell r="Z636">
            <v>0</v>
          </cell>
          <cell r="AA636">
            <v>0</v>
          </cell>
          <cell r="AC636">
            <v>3616.1000000000004</v>
          </cell>
          <cell r="AD636">
            <v>0</v>
          </cell>
          <cell r="AF636">
            <v>0</v>
          </cell>
          <cell r="AG636">
            <v>0</v>
          </cell>
          <cell r="AI636">
            <v>0</v>
          </cell>
          <cell r="AJ636">
            <v>0</v>
          </cell>
          <cell r="AL636">
            <v>0</v>
          </cell>
          <cell r="AM636">
            <v>0</v>
          </cell>
          <cell r="AO636">
            <v>0</v>
          </cell>
          <cell r="AP636">
            <v>0</v>
          </cell>
          <cell r="AR636">
            <v>0</v>
          </cell>
          <cell r="AS636">
            <v>0</v>
          </cell>
          <cell r="BF636" t="str">
            <v>4830</v>
          </cell>
          <cell r="BG636" t="str">
            <v>D112</v>
          </cell>
          <cell r="BH636" t="str">
            <v>GBM</v>
          </cell>
        </row>
        <row r="637">
          <cell r="K637">
            <v>0</v>
          </cell>
          <cell r="L637">
            <v>0</v>
          </cell>
          <cell r="N637">
            <v>0</v>
          </cell>
          <cell r="O637">
            <v>0</v>
          </cell>
          <cell r="Q637">
            <v>0</v>
          </cell>
          <cell r="R637">
            <v>0</v>
          </cell>
          <cell r="T637">
            <v>0</v>
          </cell>
          <cell r="U637">
            <v>0</v>
          </cell>
          <cell r="W637">
            <v>0</v>
          </cell>
          <cell r="X637">
            <v>0</v>
          </cell>
          <cell r="Z637">
            <v>0</v>
          </cell>
          <cell r="AA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I637">
            <v>0</v>
          </cell>
          <cell r="AJ637">
            <v>0</v>
          </cell>
          <cell r="AL637">
            <v>0</v>
          </cell>
          <cell r="AM637">
            <v>0</v>
          </cell>
          <cell r="AO637">
            <v>0</v>
          </cell>
          <cell r="AP637">
            <v>0</v>
          </cell>
          <cell r="AR637">
            <v>0</v>
          </cell>
          <cell r="AS637">
            <v>0</v>
          </cell>
          <cell r="BF637" t="str">
            <v>4840</v>
          </cell>
          <cell r="BG637" t="str">
            <v>Z000</v>
          </cell>
          <cell r="BH637" t="str">
            <v>GBM</v>
          </cell>
        </row>
        <row r="638">
          <cell r="K638">
            <v>0</v>
          </cell>
          <cell r="L638">
            <v>0</v>
          </cell>
          <cell r="N638">
            <v>0</v>
          </cell>
          <cell r="O638">
            <v>0</v>
          </cell>
          <cell r="Q638">
            <v>0</v>
          </cell>
          <cell r="R638">
            <v>0</v>
          </cell>
          <cell r="T638">
            <v>0</v>
          </cell>
          <cell r="U638">
            <v>0</v>
          </cell>
          <cell r="W638">
            <v>0</v>
          </cell>
          <cell r="X638">
            <v>0</v>
          </cell>
          <cell r="Z638">
            <v>0</v>
          </cell>
          <cell r="AA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I638">
            <v>0</v>
          </cell>
          <cell r="AJ638">
            <v>0</v>
          </cell>
          <cell r="AL638">
            <v>0</v>
          </cell>
          <cell r="AM638">
            <v>0</v>
          </cell>
          <cell r="AO638">
            <v>0</v>
          </cell>
          <cell r="AP638">
            <v>0</v>
          </cell>
          <cell r="AR638">
            <v>0</v>
          </cell>
          <cell r="AS638">
            <v>0</v>
          </cell>
          <cell r="BF638" t="str">
            <v>4870</v>
          </cell>
          <cell r="BG638" t="str">
            <v>Z000</v>
          </cell>
          <cell r="BH638" t="str">
            <v>GBM</v>
          </cell>
        </row>
        <row r="639">
          <cell r="K639">
            <v>0</v>
          </cell>
          <cell r="L639">
            <v>0</v>
          </cell>
          <cell r="N639">
            <v>0</v>
          </cell>
          <cell r="O639">
            <v>0</v>
          </cell>
          <cell r="Q639">
            <v>0</v>
          </cell>
          <cell r="R639">
            <v>0</v>
          </cell>
          <cell r="T639">
            <v>0</v>
          </cell>
          <cell r="U639">
            <v>0</v>
          </cell>
          <cell r="W639">
            <v>0</v>
          </cell>
          <cell r="X639">
            <v>0</v>
          </cell>
          <cell r="Z639">
            <v>0</v>
          </cell>
          <cell r="AA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I639">
            <v>0</v>
          </cell>
          <cell r="AJ639">
            <v>0</v>
          </cell>
          <cell r="AL639">
            <v>0</v>
          </cell>
          <cell r="AM639">
            <v>0</v>
          </cell>
          <cell r="AO639">
            <v>0</v>
          </cell>
          <cell r="AP639">
            <v>0</v>
          </cell>
          <cell r="AR639">
            <v>0</v>
          </cell>
          <cell r="AS639">
            <v>0</v>
          </cell>
          <cell r="BF639" t="str">
            <v>4880</v>
          </cell>
          <cell r="BG639" t="str">
            <v>Z000</v>
          </cell>
          <cell r="BH639" t="str">
            <v>GBM</v>
          </cell>
        </row>
        <row r="640">
          <cell r="K640">
            <v>0</v>
          </cell>
          <cell r="L640">
            <v>0</v>
          </cell>
          <cell r="N640">
            <v>0</v>
          </cell>
          <cell r="O640">
            <v>0</v>
          </cell>
          <cell r="Q640">
            <v>0</v>
          </cell>
          <cell r="R640">
            <v>0</v>
          </cell>
          <cell r="T640">
            <v>0</v>
          </cell>
          <cell r="U640">
            <v>0</v>
          </cell>
          <cell r="W640">
            <v>0</v>
          </cell>
          <cell r="X640">
            <v>0</v>
          </cell>
          <cell r="Z640">
            <v>0</v>
          </cell>
          <cell r="AA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I640">
            <v>0</v>
          </cell>
          <cell r="AJ640">
            <v>0</v>
          </cell>
          <cell r="AL640">
            <v>0</v>
          </cell>
          <cell r="AM640">
            <v>0</v>
          </cell>
          <cell r="AO640">
            <v>0</v>
          </cell>
          <cell r="AP640">
            <v>0</v>
          </cell>
          <cell r="AR640">
            <v>0</v>
          </cell>
          <cell r="AS640">
            <v>0</v>
          </cell>
          <cell r="BF640" t="str">
            <v>4890</v>
          </cell>
          <cell r="BG640" t="str">
            <v>Z000</v>
          </cell>
          <cell r="BH640" t="str">
            <v>GBM</v>
          </cell>
        </row>
        <row r="641">
          <cell r="K641">
            <v>0</v>
          </cell>
          <cell r="L641">
            <v>0</v>
          </cell>
          <cell r="N641">
            <v>0</v>
          </cell>
          <cell r="O641">
            <v>0</v>
          </cell>
          <cell r="Q641">
            <v>0</v>
          </cell>
          <cell r="R641">
            <v>0</v>
          </cell>
          <cell r="T641">
            <v>0</v>
          </cell>
          <cell r="U641">
            <v>0</v>
          </cell>
          <cell r="W641">
            <v>0</v>
          </cell>
          <cell r="X641">
            <v>0</v>
          </cell>
          <cell r="Z641">
            <v>0</v>
          </cell>
          <cell r="AA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I641">
            <v>0</v>
          </cell>
          <cell r="AJ641">
            <v>0</v>
          </cell>
          <cell r="AL641">
            <v>0</v>
          </cell>
          <cell r="AM641">
            <v>0</v>
          </cell>
          <cell r="AO641">
            <v>0</v>
          </cell>
          <cell r="AP641">
            <v>0</v>
          </cell>
          <cell r="AR641">
            <v>0</v>
          </cell>
          <cell r="AS641">
            <v>0</v>
          </cell>
          <cell r="BF641" t="str">
            <v>4900</v>
          </cell>
          <cell r="BG641" t="str">
            <v>Z000</v>
          </cell>
          <cell r="BH641" t="str">
            <v>GBM</v>
          </cell>
        </row>
        <row r="642">
          <cell r="K642">
            <v>0</v>
          </cell>
          <cell r="L642">
            <v>0</v>
          </cell>
          <cell r="N642">
            <v>0</v>
          </cell>
          <cell r="O642">
            <v>0</v>
          </cell>
          <cell r="Q642">
            <v>0</v>
          </cell>
          <cell r="R642">
            <v>0</v>
          </cell>
          <cell r="T642">
            <v>0</v>
          </cell>
          <cell r="U642">
            <v>0</v>
          </cell>
          <cell r="W642">
            <v>0</v>
          </cell>
          <cell r="X642">
            <v>0</v>
          </cell>
          <cell r="Z642">
            <v>0</v>
          </cell>
          <cell r="AA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I642">
            <v>0</v>
          </cell>
          <cell r="AJ642">
            <v>0</v>
          </cell>
          <cell r="AL642">
            <v>0</v>
          </cell>
          <cell r="AM642">
            <v>0</v>
          </cell>
          <cell r="AO642">
            <v>0</v>
          </cell>
          <cell r="AP642">
            <v>0</v>
          </cell>
          <cell r="AR642">
            <v>0</v>
          </cell>
          <cell r="AS642">
            <v>0</v>
          </cell>
          <cell r="BF642" t="str">
            <v>4910</v>
          </cell>
          <cell r="BG642" t="str">
            <v>Z000</v>
          </cell>
          <cell r="BH642" t="str">
            <v>GBM</v>
          </cell>
        </row>
        <row r="643">
          <cell r="K643">
            <v>0</v>
          </cell>
          <cell r="L643">
            <v>0</v>
          </cell>
          <cell r="N643">
            <v>0</v>
          </cell>
          <cell r="O643">
            <v>0</v>
          </cell>
          <cell r="Q643">
            <v>0</v>
          </cell>
          <cell r="R643">
            <v>0</v>
          </cell>
          <cell r="T643">
            <v>0</v>
          </cell>
          <cell r="U643">
            <v>0</v>
          </cell>
          <cell r="W643">
            <v>0</v>
          </cell>
          <cell r="X643">
            <v>0</v>
          </cell>
          <cell r="Z643">
            <v>0</v>
          </cell>
          <cell r="AA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I643">
            <v>0</v>
          </cell>
          <cell r="AJ643">
            <v>0</v>
          </cell>
          <cell r="AL643">
            <v>0</v>
          </cell>
          <cell r="AM643">
            <v>0</v>
          </cell>
          <cell r="AO643">
            <v>0</v>
          </cell>
          <cell r="AP643">
            <v>0</v>
          </cell>
          <cell r="AR643">
            <v>0</v>
          </cell>
          <cell r="AS643">
            <v>0</v>
          </cell>
          <cell r="BF643" t="str">
            <v>4940</v>
          </cell>
          <cell r="BG643" t="str">
            <v>Z000</v>
          </cell>
          <cell r="BH643" t="str">
            <v>GBM</v>
          </cell>
        </row>
        <row r="644">
          <cell r="K644">
            <v>0</v>
          </cell>
          <cell r="L644">
            <v>0</v>
          </cell>
          <cell r="N644">
            <v>0</v>
          </cell>
          <cell r="O644">
            <v>0</v>
          </cell>
          <cell r="Q644">
            <v>0</v>
          </cell>
          <cell r="R644">
            <v>0</v>
          </cell>
          <cell r="T644">
            <v>0</v>
          </cell>
          <cell r="U644">
            <v>0</v>
          </cell>
          <cell r="W644">
            <v>0</v>
          </cell>
          <cell r="X644">
            <v>0</v>
          </cell>
          <cell r="Z644">
            <v>0</v>
          </cell>
          <cell r="AA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I644">
            <v>0</v>
          </cell>
          <cell r="AJ644">
            <v>0</v>
          </cell>
          <cell r="AL644">
            <v>0</v>
          </cell>
          <cell r="AM644">
            <v>0</v>
          </cell>
          <cell r="AO644">
            <v>0</v>
          </cell>
          <cell r="AP644">
            <v>0</v>
          </cell>
          <cell r="AR644">
            <v>0</v>
          </cell>
          <cell r="AS644">
            <v>0</v>
          </cell>
          <cell r="BF644" t="str">
            <v>4941</v>
          </cell>
          <cell r="BG644" t="str">
            <v>Z000</v>
          </cell>
          <cell r="BH644" t="str">
            <v>GBM</v>
          </cell>
        </row>
        <row r="645">
          <cell r="K645">
            <v>0</v>
          </cell>
          <cell r="L645">
            <v>0</v>
          </cell>
          <cell r="N645">
            <v>0</v>
          </cell>
          <cell r="O645">
            <v>0</v>
          </cell>
          <cell r="Q645">
            <v>0</v>
          </cell>
          <cell r="R645">
            <v>0</v>
          </cell>
          <cell r="T645">
            <v>0</v>
          </cell>
          <cell r="U645">
            <v>0</v>
          </cell>
          <cell r="W645">
            <v>0</v>
          </cell>
          <cell r="X645">
            <v>0</v>
          </cell>
          <cell r="Z645">
            <v>0</v>
          </cell>
          <cell r="AA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I645">
            <v>0</v>
          </cell>
          <cell r="AJ645">
            <v>0</v>
          </cell>
          <cell r="AL645">
            <v>0</v>
          </cell>
          <cell r="AM645">
            <v>0</v>
          </cell>
          <cell r="AO645">
            <v>0</v>
          </cell>
          <cell r="AP645">
            <v>0</v>
          </cell>
          <cell r="AR645">
            <v>0</v>
          </cell>
          <cell r="AS645">
            <v>0</v>
          </cell>
          <cell r="BF645" t="str">
            <v>4942</v>
          </cell>
          <cell r="BG645" t="str">
            <v>Z000</v>
          </cell>
          <cell r="BH645" t="str">
            <v>GBM</v>
          </cell>
        </row>
        <row r="646">
          <cell r="K646">
            <v>0</v>
          </cell>
          <cell r="L646">
            <v>0</v>
          </cell>
          <cell r="N646">
            <v>0</v>
          </cell>
          <cell r="O646">
            <v>0</v>
          </cell>
          <cell r="Q646">
            <v>0</v>
          </cell>
          <cell r="R646">
            <v>0</v>
          </cell>
          <cell r="T646">
            <v>0</v>
          </cell>
          <cell r="U646">
            <v>0</v>
          </cell>
          <cell r="W646">
            <v>0</v>
          </cell>
          <cell r="X646">
            <v>0</v>
          </cell>
          <cell r="Z646">
            <v>0</v>
          </cell>
          <cell r="AA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I646">
            <v>0</v>
          </cell>
          <cell r="AJ646">
            <v>0</v>
          </cell>
          <cell r="AL646">
            <v>0</v>
          </cell>
          <cell r="AM646">
            <v>0</v>
          </cell>
          <cell r="AO646">
            <v>0</v>
          </cell>
          <cell r="AP646">
            <v>0</v>
          </cell>
          <cell r="AR646">
            <v>0</v>
          </cell>
          <cell r="AS646">
            <v>0</v>
          </cell>
          <cell r="BF646" t="str">
            <v>4950</v>
          </cell>
          <cell r="BG646" t="str">
            <v>Z000</v>
          </cell>
          <cell r="BH646" t="str">
            <v>GBM</v>
          </cell>
        </row>
        <row r="647">
          <cell r="K647">
            <v>0</v>
          </cell>
          <cell r="L647">
            <v>0</v>
          </cell>
          <cell r="N647">
            <v>0</v>
          </cell>
          <cell r="O647">
            <v>0</v>
          </cell>
          <cell r="Q647">
            <v>0</v>
          </cell>
          <cell r="R647">
            <v>0</v>
          </cell>
          <cell r="T647">
            <v>0</v>
          </cell>
          <cell r="U647">
            <v>0</v>
          </cell>
          <cell r="W647">
            <v>0</v>
          </cell>
          <cell r="X647">
            <v>0</v>
          </cell>
          <cell r="Z647">
            <v>0</v>
          </cell>
          <cell r="AA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I647">
            <v>0</v>
          </cell>
          <cell r="AJ647">
            <v>0</v>
          </cell>
          <cell r="AL647">
            <v>0</v>
          </cell>
          <cell r="AM647">
            <v>0</v>
          </cell>
          <cell r="AO647">
            <v>0</v>
          </cell>
          <cell r="AP647">
            <v>0</v>
          </cell>
          <cell r="AR647">
            <v>0</v>
          </cell>
          <cell r="AS647">
            <v>0</v>
          </cell>
          <cell r="BF647" t="str">
            <v>5100</v>
          </cell>
          <cell r="BG647" t="str">
            <v>E001</v>
          </cell>
          <cell r="BH647" t="str">
            <v>GBM</v>
          </cell>
        </row>
        <row r="648">
          <cell r="K648">
            <v>0</v>
          </cell>
          <cell r="L648">
            <v>0</v>
          </cell>
          <cell r="N648">
            <v>0</v>
          </cell>
          <cell r="O648">
            <v>0</v>
          </cell>
          <cell r="Q648">
            <v>0</v>
          </cell>
          <cell r="R648">
            <v>0</v>
          </cell>
          <cell r="T648">
            <v>0</v>
          </cell>
          <cell r="U648">
            <v>0</v>
          </cell>
          <cell r="W648">
            <v>0</v>
          </cell>
          <cell r="X648">
            <v>0</v>
          </cell>
          <cell r="Z648">
            <v>0</v>
          </cell>
          <cell r="AA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I648">
            <v>0</v>
          </cell>
          <cell r="AJ648">
            <v>0</v>
          </cell>
          <cell r="AL648">
            <v>0</v>
          </cell>
          <cell r="AM648">
            <v>0</v>
          </cell>
          <cell r="AO648">
            <v>0</v>
          </cell>
          <cell r="AP648">
            <v>0</v>
          </cell>
          <cell r="AR648">
            <v>0</v>
          </cell>
          <cell r="AS648">
            <v>0</v>
          </cell>
          <cell r="BF648" t="str">
            <v>5100</v>
          </cell>
          <cell r="BG648" t="str">
            <v>E002</v>
          </cell>
          <cell r="BH648" t="str">
            <v>GBM</v>
          </cell>
        </row>
        <row r="649">
          <cell r="K649">
            <v>0</v>
          </cell>
          <cell r="L649">
            <v>0</v>
          </cell>
          <cell r="N649">
            <v>0</v>
          </cell>
          <cell r="O649">
            <v>0</v>
          </cell>
          <cell r="Q649">
            <v>0</v>
          </cell>
          <cell r="R649">
            <v>0</v>
          </cell>
          <cell r="T649">
            <v>0</v>
          </cell>
          <cell r="U649">
            <v>0</v>
          </cell>
          <cell r="W649">
            <v>0</v>
          </cell>
          <cell r="X649">
            <v>0</v>
          </cell>
          <cell r="Z649">
            <v>0</v>
          </cell>
          <cell r="AA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I649">
            <v>0</v>
          </cell>
          <cell r="AJ649">
            <v>0</v>
          </cell>
          <cell r="AL649">
            <v>0</v>
          </cell>
          <cell r="AM649">
            <v>0</v>
          </cell>
          <cell r="AO649">
            <v>0</v>
          </cell>
          <cell r="AP649">
            <v>0</v>
          </cell>
          <cell r="AR649">
            <v>0</v>
          </cell>
          <cell r="AS649">
            <v>0</v>
          </cell>
          <cell r="BF649" t="str">
            <v>5200</v>
          </cell>
          <cell r="BG649" t="str">
            <v>Z000</v>
          </cell>
          <cell r="BH649" t="str">
            <v>GBM</v>
          </cell>
        </row>
        <row r="650">
          <cell r="K650">
            <v>0</v>
          </cell>
          <cell r="L650">
            <v>0</v>
          </cell>
          <cell r="N650">
            <v>0</v>
          </cell>
          <cell r="O650">
            <v>0</v>
          </cell>
          <cell r="Q650">
            <v>0</v>
          </cell>
          <cell r="R650">
            <v>0</v>
          </cell>
          <cell r="T650">
            <v>0</v>
          </cell>
          <cell r="U650">
            <v>0</v>
          </cell>
          <cell r="W650">
            <v>0</v>
          </cell>
          <cell r="X650">
            <v>0</v>
          </cell>
          <cell r="Z650">
            <v>0</v>
          </cell>
          <cell r="AA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I650">
            <v>0</v>
          </cell>
          <cell r="AJ650">
            <v>0</v>
          </cell>
          <cell r="AL650">
            <v>0</v>
          </cell>
          <cell r="AM650">
            <v>0</v>
          </cell>
          <cell r="AO650">
            <v>0</v>
          </cell>
          <cell r="AP650">
            <v>0</v>
          </cell>
          <cell r="AR650">
            <v>0</v>
          </cell>
          <cell r="AS650">
            <v>0</v>
          </cell>
          <cell r="BF650" t="str">
            <v>5400</v>
          </cell>
          <cell r="BG650" t="str">
            <v>F001</v>
          </cell>
          <cell r="BH650" t="str">
            <v>GBM</v>
          </cell>
        </row>
        <row r="651">
          <cell r="K651">
            <v>0</v>
          </cell>
          <cell r="L651">
            <v>0</v>
          </cell>
          <cell r="N651">
            <v>0</v>
          </cell>
          <cell r="O651">
            <v>0</v>
          </cell>
          <cell r="Q651">
            <v>0</v>
          </cell>
          <cell r="R651">
            <v>0</v>
          </cell>
          <cell r="T651">
            <v>0</v>
          </cell>
          <cell r="U651">
            <v>0</v>
          </cell>
          <cell r="W651">
            <v>0</v>
          </cell>
          <cell r="X651">
            <v>0</v>
          </cell>
          <cell r="Z651">
            <v>0</v>
          </cell>
          <cell r="AA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I651">
            <v>0</v>
          </cell>
          <cell r="AJ651">
            <v>0</v>
          </cell>
          <cell r="AL651">
            <v>0</v>
          </cell>
          <cell r="AM651">
            <v>0</v>
          </cell>
          <cell r="AO651">
            <v>0</v>
          </cell>
          <cell r="AP651">
            <v>0</v>
          </cell>
          <cell r="AR651">
            <v>0</v>
          </cell>
          <cell r="AS651">
            <v>0</v>
          </cell>
          <cell r="BF651" t="str">
            <v>5400</v>
          </cell>
          <cell r="BG651" t="str">
            <v>F002</v>
          </cell>
          <cell r="BH651" t="str">
            <v>GBM</v>
          </cell>
        </row>
        <row r="652">
          <cell r="K652">
            <v>0</v>
          </cell>
          <cell r="L652">
            <v>0</v>
          </cell>
          <cell r="N652">
            <v>0</v>
          </cell>
          <cell r="O652">
            <v>0</v>
          </cell>
          <cell r="Q652">
            <v>0</v>
          </cell>
          <cell r="R652">
            <v>0</v>
          </cell>
          <cell r="T652">
            <v>0</v>
          </cell>
          <cell r="U652">
            <v>0</v>
          </cell>
          <cell r="W652">
            <v>0</v>
          </cell>
          <cell r="X652">
            <v>0</v>
          </cell>
          <cell r="Z652">
            <v>0</v>
          </cell>
          <cell r="AA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I652">
            <v>0</v>
          </cell>
          <cell r="AJ652">
            <v>0</v>
          </cell>
          <cell r="AL652">
            <v>0</v>
          </cell>
          <cell r="AM652">
            <v>0</v>
          </cell>
          <cell r="AO652">
            <v>0</v>
          </cell>
          <cell r="AP652">
            <v>0</v>
          </cell>
          <cell r="AR652">
            <v>0</v>
          </cell>
          <cell r="AS652">
            <v>0</v>
          </cell>
          <cell r="BF652" t="str">
            <v>5400</v>
          </cell>
          <cell r="BG652" t="str">
            <v>F003</v>
          </cell>
          <cell r="BH652" t="str">
            <v>GBM</v>
          </cell>
        </row>
        <row r="653">
          <cell r="K653">
            <v>0</v>
          </cell>
          <cell r="L653">
            <v>0</v>
          </cell>
          <cell r="N653">
            <v>0</v>
          </cell>
          <cell r="O653">
            <v>0</v>
          </cell>
          <cell r="Q653">
            <v>0</v>
          </cell>
          <cell r="R653">
            <v>0</v>
          </cell>
          <cell r="T653">
            <v>0</v>
          </cell>
          <cell r="U653">
            <v>0</v>
          </cell>
          <cell r="W653">
            <v>0</v>
          </cell>
          <cell r="X653">
            <v>0</v>
          </cell>
          <cell r="Z653">
            <v>0</v>
          </cell>
          <cell r="AA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I653">
            <v>0</v>
          </cell>
          <cell r="AJ653">
            <v>0</v>
          </cell>
          <cell r="AL653">
            <v>0</v>
          </cell>
          <cell r="AM653">
            <v>0</v>
          </cell>
          <cell r="AO653">
            <v>0</v>
          </cell>
          <cell r="AP653">
            <v>0</v>
          </cell>
          <cell r="AR653">
            <v>0</v>
          </cell>
          <cell r="AS653">
            <v>0</v>
          </cell>
          <cell r="BF653" t="str">
            <v>5400</v>
          </cell>
          <cell r="BG653" t="str">
            <v>F004</v>
          </cell>
          <cell r="BH653" t="str">
            <v>GBM</v>
          </cell>
        </row>
        <row r="654">
          <cell r="K654">
            <v>981784.47000000067</v>
          </cell>
          <cell r="L654">
            <v>0</v>
          </cell>
          <cell r="N654">
            <v>293529.19999999925</v>
          </cell>
          <cell r="O654">
            <v>0</v>
          </cell>
          <cell r="Q654">
            <v>80162.009999999776</v>
          </cell>
          <cell r="R654">
            <v>0</v>
          </cell>
          <cell r="T654">
            <v>59886.669999999925</v>
          </cell>
          <cell r="U654">
            <v>0</v>
          </cell>
          <cell r="W654">
            <v>24430.090000001714</v>
          </cell>
          <cell r="X654">
            <v>0</v>
          </cell>
          <cell r="Z654">
            <v>1239994.4700000007</v>
          </cell>
          <cell r="AA654">
            <v>0</v>
          </cell>
          <cell r="AC654">
            <v>99145.660000000149</v>
          </cell>
          <cell r="AD654">
            <v>0</v>
          </cell>
          <cell r="AF654">
            <v>-702052.72999999858</v>
          </cell>
          <cell r="AG654">
            <v>0</v>
          </cell>
          <cell r="AI654">
            <v>-110186.47000000067</v>
          </cell>
          <cell r="AJ654">
            <v>0</v>
          </cell>
          <cell r="AL654">
            <v>-135154.26999999955</v>
          </cell>
          <cell r="AM654">
            <v>0</v>
          </cell>
          <cell r="AO654">
            <v>173518.58000000007</v>
          </cell>
          <cell r="AP654">
            <v>0</v>
          </cell>
          <cell r="AR654">
            <v>3650.1499999985099</v>
          </cell>
          <cell r="AS654">
            <v>0</v>
          </cell>
          <cell r="BF654" t="str">
            <v>5400</v>
          </cell>
          <cell r="BG654" t="str">
            <v>F005</v>
          </cell>
          <cell r="BH654" t="str">
            <v>GBM</v>
          </cell>
        </row>
        <row r="655">
          <cell r="K655">
            <v>70182.290000000037</v>
          </cell>
          <cell r="L655">
            <v>0</v>
          </cell>
          <cell r="N655">
            <v>269840.90000000037</v>
          </cell>
          <cell r="O655">
            <v>0</v>
          </cell>
          <cell r="Q655">
            <v>23482.650000000373</v>
          </cell>
          <cell r="R655">
            <v>0</v>
          </cell>
          <cell r="T655">
            <v>21658.5</v>
          </cell>
          <cell r="U655">
            <v>0</v>
          </cell>
          <cell r="W655">
            <v>6835.2399999992922</v>
          </cell>
          <cell r="X655">
            <v>0</v>
          </cell>
          <cell r="Z655">
            <v>1204773.29</v>
          </cell>
          <cell r="AA655">
            <v>0</v>
          </cell>
          <cell r="AC655">
            <v>-408391.53000000026</v>
          </cell>
          <cell r="AD655">
            <v>0</v>
          </cell>
          <cell r="AF655">
            <v>-604160.62000000011</v>
          </cell>
          <cell r="AG655">
            <v>0</v>
          </cell>
          <cell r="AI655">
            <v>27055.270000000484</v>
          </cell>
          <cell r="AJ655">
            <v>0</v>
          </cell>
          <cell r="AL655">
            <v>-254964.58000000007</v>
          </cell>
          <cell r="AM655">
            <v>0</v>
          </cell>
          <cell r="AO655">
            <v>-17761.36999999918</v>
          </cell>
          <cell r="AP655">
            <v>0</v>
          </cell>
          <cell r="AR655">
            <v>-11142.570000000298</v>
          </cell>
          <cell r="AS655">
            <v>0</v>
          </cell>
          <cell r="BF655" t="str">
            <v>5400</v>
          </cell>
          <cell r="BG655" t="str">
            <v>F006</v>
          </cell>
          <cell r="BH655" t="str">
            <v>GBM</v>
          </cell>
        </row>
        <row r="656">
          <cell r="K656">
            <v>0</v>
          </cell>
          <cell r="L656">
            <v>0</v>
          </cell>
          <cell r="N656">
            <v>0</v>
          </cell>
          <cell r="O656">
            <v>0</v>
          </cell>
          <cell r="Q656">
            <v>0</v>
          </cell>
          <cell r="R656">
            <v>0</v>
          </cell>
          <cell r="T656">
            <v>0</v>
          </cell>
          <cell r="U656">
            <v>0</v>
          </cell>
          <cell r="W656">
            <v>0</v>
          </cell>
          <cell r="X656">
            <v>0</v>
          </cell>
          <cell r="Z656">
            <v>0</v>
          </cell>
          <cell r="AA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I656">
            <v>0</v>
          </cell>
          <cell r="AJ656">
            <v>0</v>
          </cell>
          <cell r="AL656">
            <v>0</v>
          </cell>
          <cell r="AM656">
            <v>0</v>
          </cell>
          <cell r="AO656">
            <v>0</v>
          </cell>
          <cell r="AP656">
            <v>0</v>
          </cell>
          <cell r="AR656">
            <v>0</v>
          </cell>
          <cell r="AS656">
            <v>0</v>
          </cell>
          <cell r="BF656" t="str">
            <v>5400</v>
          </cell>
          <cell r="BG656" t="str">
            <v>F007</v>
          </cell>
          <cell r="BH656" t="str">
            <v>GBM</v>
          </cell>
        </row>
        <row r="657">
          <cell r="K657">
            <v>0</v>
          </cell>
          <cell r="L657">
            <v>0</v>
          </cell>
          <cell r="N657">
            <v>0</v>
          </cell>
          <cell r="O657">
            <v>0</v>
          </cell>
          <cell r="Q657">
            <v>0</v>
          </cell>
          <cell r="R657">
            <v>0</v>
          </cell>
          <cell r="T657">
            <v>0</v>
          </cell>
          <cell r="U657">
            <v>0</v>
          </cell>
          <cell r="W657">
            <v>0</v>
          </cell>
          <cell r="X657">
            <v>0</v>
          </cell>
          <cell r="Z657">
            <v>0</v>
          </cell>
          <cell r="AA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I657">
            <v>0</v>
          </cell>
          <cell r="AJ657">
            <v>0</v>
          </cell>
          <cell r="AL657">
            <v>0</v>
          </cell>
          <cell r="AM657">
            <v>0</v>
          </cell>
          <cell r="AO657">
            <v>0</v>
          </cell>
          <cell r="AP657">
            <v>0</v>
          </cell>
          <cell r="AR657">
            <v>0</v>
          </cell>
          <cell r="AS657">
            <v>0</v>
          </cell>
          <cell r="BF657" t="str">
            <v>5400</v>
          </cell>
          <cell r="BG657" t="str">
            <v>F008</v>
          </cell>
          <cell r="BH657" t="str">
            <v>GBM</v>
          </cell>
        </row>
        <row r="658">
          <cell r="K658">
            <v>0</v>
          </cell>
          <cell r="L658">
            <v>0</v>
          </cell>
          <cell r="N658">
            <v>0</v>
          </cell>
          <cell r="O658">
            <v>0</v>
          </cell>
          <cell r="Q658">
            <v>0</v>
          </cell>
          <cell r="R658">
            <v>0</v>
          </cell>
          <cell r="T658">
            <v>0</v>
          </cell>
          <cell r="U658">
            <v>0</v>
          </cell>
          <cell r="W658">
            <v>0</v>
          </cell>
          <cell r="X658">
            <v>0</v>
          </cell>
          <cell r="Z658">
            <v>0</v>
          </cell>
          <cell r="AA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I658">
            <v>0</v>
          </cell>
          <cell r="AJ658">
            <v>0</v>
          </cell>
          <cell r="AL658">
            <v>0</v>
          </cell>
          <cell r="AM658">
            <v>0</v>
          </cell>
          <cell r="AO658">
            <v>0</v>
          </cell>
          <cell r="AP658">
            <v>0</v>
          </cell>
          <cell r="AR658">
            <v>0</v>
          </cell>
          <cell r="AS658">
            <v>0</v>
          </cell>
          <cell r="BF658" t="str">
            <v>5400</v>
          </cell>
          <cell r="BG658" t="str">
            <v>F009</v>
          </cell>
          <cell r="BH658" t="str">
            <v>GBM</v>
          </cell>
        </row>
        <row r="659">
          <cell r="K659">
            <v>0</v>
          </cell>
          <cell r="L659">
            <v>0</v>
          </cell>
          <cell r="N659">
            <v>0</v>
          </cell>
          <cell r="O659">
            <v>0</v>
          </cell>
          <cell r="Q659">
            <v>0</v>
          </cell>
          <cell r="R659">
            <v>0</v>
          </cell>
          <cell r="T659">
            <v>0</v>
          </cell>
          <cell r="U659">
            <v>0</v>
          </cell>
          <cell r="W659">
            <v>0</v>
          </cell>
          <cell r="X659">
            <v>0</v>
          </cell>
          <cell r="Z659">
            <v>0</v>
          </cell>
          <cell r="AA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I659">
            <v>0</v>
          </cell>
          <cell r="AJ659">
            <v>0</v>
          </cell>
          <cell r="AL659">
            <v>0</v>
          </cell>
          <cell r="AM659">
            <v>0</v>
          </cell>
          <cell r="AO659">
            <v>0</v>
          </cell>
          <cell r="AP659">
            <v>0</v>
          </cell>
          <cell r="AR659">
            <v>0</v>
          </cell>
          <cell r="AS659">
            <v>0</v>
          </cell>
          <cell r="BF659" t="str">
            <v>5400</v>
          </cell>
          <cell r="BG659" t="str">
            <v>F010</v>
          </cell>
          <cell r="BH659" t="str">
            <v>GBM</v>
          </cell>
        </row>
        <row r="660">
          <cell r="K660">
            <v>0</v>
          </cell>
          <cell r="L660">
            <v>0</v>
          </cell>
          <cell r="N660">
            <v>0</v>
          </cell>
          <cell r="O660">
            <v>0</v>
          </cell>
          <cell r="Q660">
            <v>0</v>
          </cell>
          <cell r="R660">
            <v>0</v>
          </cell>
          <cell r="T660">
            <v>0</v>
          </cell>
          <cell r="U660">
            <v>0</v>
          </cell>
          <cell r="W660">
            <v>0</v>
          </cell>
          <cell r="X660">
            <v>0</v>
          </cell>
          <cell r="Z660">
            <v>0</v>
          </cell>
          <cell r="AA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I660">
            <v>0</v>
          </cell>
          <cell r="AJ660">
            <v>0</v>
          </cell>
          <cell r="AL660">
            <v>0</v>
          </cell>
          <cell r="AM660">
            <v>0</v>
          </cell>
          <cell r="AO660">
            <v>0</v>
          </cell>
          <cell r="AP660">
            <v>0</v>
          </cell>
          <cell r="AR660">
            <v>0</v>
          </cell>
          <cell r="AS660">
            <v>0</v>
          </cell>
          <cell r="BF660" t="str">
            <v>5400</v>
          </cell>
          <cell r="BG660" t="str">
            <v>F011</v>
          </cell>
          <cell r="BH660" t="str">
            <v>GBM</v>
          </cell>
        </row>
        <row r="661">
          <cell r="K661">
            <v>0</v>
          </cell>
          <cell r="L661">
            <v>0</v>
          </cell>
          <cell r="N661">
            <v>0</v>
          </cell>
          <cell r="O661">
            <v>0</v>
          </cell>
          <cell r="Q661">
            <v>0</v>
          </cell>
          <cell r="R661">
            <v>0</v>
          </cell>
          <cell r="T661">
            <v>0</v>
          </cell>
          <cell r="U661">
            <v>0</v>
          </cell>
          <cell r="W661">
            <v>0</v>
          </cell>
          <cell r="X661">
            <v>0</v>
          </cell>
          <cell r="Z661">
            <v>0</v>
          </cell>
          <cell r="AA661">
            <v>0</v>
          </cell>
          <cell r="AC661">
            <v>0</v>
          </cell>
          <cell r="AD661">
            <v>0</v>
          </cell>
          <cell r="AF661">
            <v>129779.61</v>
          </cell>
          <cell r="AG661">
            <v>0</v>
          </cell>
          <cell r="AI661">
            <v>15598.240000000005</v>
          </cell>
          <cell r="AJ661">
            <v>0</v>
          </cell>
          <cell r="AL661">
            <v>15732.589999999997</v>
          </cell>
          <cell r="AM661">
            <v>0</v>
          </cell>
          <cell r="AO661">
            <v>15984.089999999997</v>
          </cell>
          <cell r="AP661">
            <v>0</v>
          </cell>
          <cell r="AR661">
            <v>16110.579999999987</v>
          </cell>
          <cell r="AS661">
            <v>0</v>
          </cell>
          <cell r="BF661" t="str">
            <v>5400</v>
          </cell>
          <cell r="BG661" t="str">
            <v>F012</v>
          </cell>
          <cell r="BH661" t="str">
            <v>GBM</v>
          </cell>
        </row>
        <row r="662">
          <cell r="K662">
            <v>0</v>
          </cell>
          <cell r="L662">
            <v>0</v>
          </cell>
          <cell r="N662">
            <v>0</v>
          </cell>
          <cell r="O662">
            <v>0</v>
          </cell>
          <cell r="Q662">
            <v>0</v>
          </cell>
          <cell r="R662">
            <v>0</v>
          </cell>
          <cell r="T662">
            <v>0</v>
          </cell>
          <cell r="U662">
            <v>0</v>
          </cell>
          <cell r="W662">
            <v>0</v>
          </cell>
          <cell r="X662">
            <v>0</v>
          </cell>
          <cell r="Z662">
            <v>0</v>
          </cell>
          <cell r="AA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I662">
            <v>0</v>
          </cell>
          <cell r="AJ662">
            <v>0</v>
          </cell>
          <cell r="AL662">
            <v>0</v>
          </cell>
          <cell r="AM662">
            <v>0</v>
          </cell>
          <cell r="AO662">
            <v>0</v>
          </cell>
          <cell r="AP662">
            <v>0</v>
          </cell>
          <cell r="AR662">
            <v>0</v>
          </cell>
          <cell r="AS662">
            <v>0</v>
          </cell>
          <cell r="BF662" t="str">
            <v>5400</v>
          </cell>
          <cell r="BG662" t="str">
            <v>F013</v>
          </cell>
          <cell r="BH662" t="str">
            <v>GBM</v>
          </cell>
        </row>
        <row r="663">
          <cell r="K663">
            <v>0</v>
          </cell>
          <cell r="L663">
            <v>0</v>
          </cell>
          <cell r="N663">
            <v>0</v>
          </cell>
          <cell r="O663">
            <v>0</v>
          </cell>
          <cell r="Q663">
            <v>0</v>
          </cell>
          <cell r="R663">
            <v>0</v>
          </cell>
          <cell r="T663">
            <v>0</v>
          </cell>
          <cell r="U663">
            <v>0</v>
          </cell>
          <cell r="W663">
            <v>0</v>
          </cell>
          <cell r="X663">
            <v>0</v>
          </cell>
          <cell r="Z663">
            <v>0</v>
          </cell>
          <cell r="AA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I663">
            <v>0</v>
          </cell>
          <cell r="AJ663">
            <v>0</v>
          </cell>
          <cell r="AL663">
            <v>0</v>
          </cell>
          <cell r="AM663">
            <v>0</v>
          </cell>
          <cell r="AO663">
            <v>0</v>
          </cell>
          <cell r="AP663">
            <v>0</v>
          </cell>
          <cell r="AR663">
            <v>0</v>
          </cell>
          <cell r="AS663">
            <v>0</v>
          </cell>
          <cell r="BF663" t="str">
            <v>5400</v>
          </cell>
          <cell r="BG663" t="str">
            <v>F014</v>
          </cell>
          <cell r="BH663" t="str">
            <v>GBM</v>
          </cell>
        </row>
        <row r="664">
          <cell r="K664">
            <v>0</v>
          </cell>
          <cell r="L664">
            <v>0</v>
          </cell>
          <cell r="N664">
            <v>0</v>
          </cell>
          <cell r="O664">
            <v>0</v>
          </cell>
          <cell r="Q664">
            <v>0</v>
          </cell>
          <cell r="R664">
            <v>0</v>
          </cell>
          <cell r="T664">
            <v>0</v>
          </cell>
          <cell r="U664">
            <v>0</v>
          </cell>
          <cell r="W664">
            <v>0</v>
          </cell>
          <cell r="X664">
            <v>0</v>
          </cell>
          <cell r="Z664">
            <v>0</v>
          </cell>
          <cell r="AA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I664">
            <v>0</v>
          </cell>
          <cell r="AJ664">
            <v>0</v>
          </cell>
          <cell r="AL664">
            <v>0</v>
          </cell>
          <cell r="AM664">
            <v>0</v>
          </cell>
          <cell r="AO664">
            <v>0</v>
          </cell>
          <cell r="AP664">
            <v>0</v>
          </cell>
          <cell r="AR664">
            <v>0</v>
          </cell>
          <cell r="AS664">
            <v>0</v>
          </cell>
          <cell r="BF664" t="str">
            <v>5400</v>
          </cell>
          <cell r="BG664" t="str">
            <v>F015</v>
          </cell>
          <cell r="BH664" t="str">
            <v>GBM</v>
          </cell>
        </row>
        <row r="665">
          <cell r="K665">
            <v>0</v>
          </cell>
          <cell r="L665">
            <v>0</v>
          </cell>
          <cell r="N665">
            <v>0</v>
          </cell>
          <cell r="O665">
            <v>0</v>
          </cell>
          <cell r="Q665">
            <v>0</v>
          </cell>
          <cell r="R665">
            <v>0</v>
          </cell>
          <cell r="T665">
            <v>0</v>
          </cell>
          <cell r="U665">
            <v>0</v>
          </cell>
          <cell r="W665">
            <v>0</v>
          </cell>
          <cell r="X665">
            <v>0</v>
          </cell>
          <cell r="Z665">
            <v>0</v>
          </cell>
          <cell r="AA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I665">
            <v>0</v>
          </cell>
          <cell r="AJ665">
            <v>0</v>
          </cell>
          <cell r="AL665">
            <v>0</v>
          </cell>
          <cell r="AM665">
            <v>0</v>
          </cell>
          <cell r="AO665">
            <v>0</v>
          </cell>
          <cell r="AP665">
            <v>0</v>
          </cell>
          <cell r="AR665">
            <v>0</v>
          </cell>
          <cell r="AS665">
            <v>0</v>
          </cell>
          <cell r="BF665" t="str">
            <v>5400</v>
          </cell>
          <cell r="BG665" t="str">
            <v>F016</v>
          </cell>
          <cell r="BH665" t="str">
            <v>GBM</v>
          </cell>
        </row>
        <row r="666">
          <cell r="K666">
            <v>0</v>
          </cell>
          <cell r="L666">
            <v>0</v>
          </cell>
          <cell r="N666">
            <v>0</v>
          </cell>
          <cell r="O666">
            <v>0</v>
          </cell>
          <cell r="Q666">
            <v>0</v>
          </cell>
          <cell r="R666">
            <v>0</v>
          </cell>
          <cell r="T666">
            <v>0</v>
          </cell>
          <cell r="U666">
            <v>0</v>
          </cell>
          <cell r="W666">
            <v>0</v>
          </cell>
          <cell r="X666">
            <v>0</v>
          </cell>
          <cell r="Z666">
            <v>0</v>
          </cell>
          <cell r="AA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I666">
            <v>0</v>
          </cell>
          <cell r="AJ666">
            <v>0</v>
          </cell>
          <cell r="AL666">
            <v>0</v>
          </cell>
          <cell r="AM666">
            <v>0</v>
          </cell>
          <cell r="AO666">
            <v>0</v>
          </cell>
          <cell r="AP666">
            <v>0</v>
          </cell>
          <cell r="AR666">
            <v>0</v>
          </cell>
          <cell r="AS666">
            <v>0</v>
          </cell>
          <cell r="BF666" t="str">
            <v>5400</v>
          </cell>
          <cell r="BG666" t="str">
            <v>F017</v>
          </cell>
          <cell r="BH666" t="str">
            <v>GBM</v>
          </cell>
        </row>
        <row r="667">
          <cell r="K667">
            <v>0</v>
          </cell>
          <cell r="L667">
            <v>0</v>
          </cell>
          <cell r="N667">
            <v>0</v>
          </cell>
          <cell r="O667">
            <v>0</v>
          </cell>
          <cell r="Q667">
            <v>0</v>
          </cell>
          <cell r="R667">
            <v>0</v>
          </cell>
          <cell r="T667">
            <v>0</v>
          </cell>
          <cell r="U667">
            <v>0</v>
          </cell>
          <cell r="W667">
            <v>0</v>
          </cell>
          <cell r="X667">
            <v>0</v>
          </cell>
          <cell r="Z667">
            <v>0</v>
          </cell>
          <cell r="AA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I667">
            <v>0</v>
          </cell>
          <cell r="AJ667">
            <v>0</v>
          </cell>
          <cell r="AL667">
            <v>0</v>
          </cell>
          <cell r="AM667">
            <v>0</v>
          </cell>
          <cell r="AO667">
            <v>0</v>
          </cell>
          <cell r="AP667">
            <v>0</v>
          </cell>
          <cell r="AR667">
            <v>0</v>
          </cell>
          <cell r="AS667">
            <v>0</v>
          </cell>
          <cell r="BF667" t="str">
            <v>5400</v>
          </cell>
          <cell r="BG667" t="str">
            <v>F018</v>
          </cell>
          <cell r="BH667" t="str">
            <v>GBM</v>
          </cell>
        </row>
        <row r="668">
          <cell r="K668">
            <v>0</v>
          </cell>
          <cell r="L668">
            <v>0</v>
          </cell>
          <cell r="N668">
            <v>0</v>
          </cell>
          <cell r="O668">
            <v>0</v>
          </cell>
          <cell r="Q668">
            <v>0</v>
          </cell>
          <cell r="R668">
            <v>0</v>
          </cell>
          <cell r="T668">
            <v>0</v>
          </cell>
          <cell r="U668">
            <v>0</v>
          </cell>
          <cell r="W668">
            <v>0</v>
          </cell>
          <cell r="X668">
            <v>0</v>
          </cell>
          <cell r="Z668">
            <v>0</v>
          </cell>
          <cell r="AA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I668">
            <v>0</v>
          </cell>
          <cell r="AJ668">
            <v>0</v>
          </cell>
          <cell r="AL668">
            <v>0</v>
          </cell>
          <cell r="AM668">
            <v>0</v>
          </cell>
          <cell r="AO668">
            <v>0</v>
          </cell>
          <cell r="AP668">
            <v>0</v>
          </cell>
          <cell r="AR668">
            <v>0</v>
          </cell>
          <cell r="AS668">
            <v>0</v>
          </cell>
          <cell r="BF668" t="str">
            <v>5400</v>
          </cell>
          <cell r="BG668" t="str">
            <v>F019</v>
          </cell>
          <cell r="BH668" t="str">
            <v>GBM</v>
          </cell>
        </row>
        <row r="669">
          <cell r="K669">
            <v>0</v>
          </cell>
          <cell r="L669">
            <v>0</v>
          </cell>
          <cell r="N669">
            <v>0</v>
          </cell>
          <cell r="O669">
            <v>0</v>
          </cell>
          <cell r="Q669">
            <v>0</v>
          </cell>
          <cell r="R669">
            <v>0</v>
          </cell>
          <cell r="T669">
            <v>0</v>
          </cell>
          <cell r="U669">
            <v>0</v>
          </cell>
          <cell r="W669">
            <v>0</v>
          </cell>
          <cell r="X669">
            <v>0</v>
          </cell>
          <cell r="Z669">
            <v>0</v>
          </cell>
          <cell r="AA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I669">
            <v>0</v>
          </cell>
          <cell r="AJ669">
            <v>0</v>
          </cell>
          <cell r="AL669">
            <v>0</v>
          </cell>
          <cell r="AM669">
            <v>0</v>
          </cell>
          <cell r="AO669">
            <v>0</v>
          </cell>
          <cell r="AP669">
            <v>0</v>
          </cell>
          <cell r="AR669">
            <v>0</v>
          </cell>
          <cell r="AS669">
            <v>0</v>
          </cell>
          <cell r="BF669" t="str">
            <v>5400</v>
          </cell>
          <cell r="BG669" t="str">
            <v>F020</v>
          </cell>
          <cell r="BH669" t="str">
            <v>GBM</v>
          </cell>
        </row>
        <row r="670">
          <cell r="K670">
            <v>0</v>
          </cell>
          <cell r="L670">
            <v>0</v>
          </cell>
          <cell r="N670">
            <v>0</v>
          </cell>
          <cell r="O670">
            <v>0</v>
          </cell>
          <cell r="Q670">
            <v>0</v>
          </cell>
          <cell r="R670">
            <v>0</v>
          </cell>
          <cell r="T670">
            <v>0</v>
          </cell>
          <cell r="U670">
            <v>0</v>
          </cell>
          <cell r="W670">
            <v>0</v>
          </cell>
          <cell r="X670">
            <v>0</v>
          </cell>
          <cell r="Z670">
            <v>0</v>
          </cell>
          <cell r="AA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I670">
            <v>0</v>
          </cell>
          <cell r="AJ670">
            <v>0</v>
          </cell>
          <cell r="AL670">
            <v>0</v>
          </cell>
          <cell r="AM670">
            <v>0</v>
          </cell>
          <cell r="AO670">
            <v>0</v>
          </cell>
          <cell r="AP670">
            <v>0</v>
          </cell>
          <cell r="AR670">
            <v>0</v>
          </cell>
          <cell r="AS670">
            <v>0</v>
          </cell>
          <cell r="BF670" t="str">
            <v>5500</v>
          </cell>
          <cell r="BG670" t="str">
            <v>G001</v>
          </cell>
          <cell r="BH670" t="str">
            <v>GBM</v>
          </cell>
        </row>
        <row r="671">
          <cell r="K671">
            <v>0</v>
          </cell>
          <cell r="L671">
            <v>0</v>
          </cell>
          <cell r="N671">
            <v>0</v>
          </cell>
          <cell r="O671">
            <v>0</v>
          </cell>
          <cell r="Q671">
            <v>0</v>
          </cell>
          <cell r="R671">
            <v>0</v>
          </cell>
          <cell r="T671">
            <v>0</v>
          </cell>
          <cell r="U671">
            <v>0</v>
          </cell>
          <cell r="W671">
            <v>0</v>
          </cell>
          <cell r="X671">
            <v>0</v>
          </cell>
          <cell r="Z671">
            <v>0</v>
          </cell>
          <cell r="AA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I671">
            <v>0</v>
          </cell>
          <cell r="AJ671">
            <v>0</v>
          </cell>
          <cell r="AL671">
            <v>0</v>
          </cell>
          <cell r="AM671">
            <v>0</v>
          </cell>
          <cell r="AO671">
            <v>0</v>
          </cell>
          <cell r="AP671">
            <v>0</v>
          </cell>
          <cell r="AR671">
            <v>0</v>
          </cell>
          <cell r="AS671">
            <v>0</v>
          </cell>
          <cell r="BF671" t="str">
            <v>5500</v>
          </cell>
          <cell r="BG671" t="str">
            <v>G002</v>
          </cell>
          <cell r="BH671" t="str">
            <v>GBM</v>
          </cell>
        </row>
        <row r="672">
          <cell r="K672">
            <v>0</v>
          </cell>
          <cell r="L672">
            <v>0</v>
          </cell>
          <cell r="N672">
            <v>0</v>
          </cell>
          <cell r="O672">
            <v>0</v>
          </cell>
          <cell r="Q672">
            <v>0</v>
          </cell>
          <cell r="R672">
            <v>0</v>
          </cell>
          <cell r="T672">
            <v>0</v>
          </cell>
          <cell r="U672">
            <v>0</v>
          </cell>
          <cell r="W672">
            <v>0</v>
          </cell>
          <cell r="X672">
            <v>0</v>
          </cell>
          <cell r="Z672">
            <v>0</v>
          </cell>
          <cell r="AA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I672">
            <v>0</v>
          </cell>
          <cell r="AJ672">
            <v>0</v>
          </cell>
          <cell r="AL672">
            <v>0</v>
          </cell>
          <cell r="AM672">
            <v>0</v>
          </cell>
          <cell r="AO672">
            <v>0</v>
          </cell>
          <cell r="AP672">
            <v>0</v>
          </cell>
          <cell r="AR672">
            <v>0</v>
          </cell>
          <cell r="AS672">
            <v>0</v>
          </cell>
          <cell r="BF672" t="str">
            <v>5500</v>
          </cell>
          <cell r="BG672" t="str">
            <v>G003</v>
          </cell>
          <cell r="BH672" t="str">
            <v>GBM</v>
          </cell>
        </row>
        <row r="673">
          <cell r="K673">
            <v>0</v>
          </cell>
          <cell r="L673">
            <v>0</v>
          </cell>
          <cell r="N673">
            <v>0</v>
          </cell>
          <cell r="O673">
            <v>0</v>
          </cell>
          <cell r="Q673">
            <v>0</v>
          </cell>
          <cell r="R673">
            <v>0</v>
          </cell>
          <cell r="T673">
            <v>0</v>
          </cell>
          <cell r="U673">
            <v>0</v>
          </cell>
          <cell r="W673">
            <v>0</v>
          </cell>
          <cell r="X673">
            <v>0</v>
          </cell>
          <cell r="Z673">
            <v>0</v>
          </cell>
          <cell r="AA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I673">
            <v>0</v>
          </cell>
          <cell r="AJ673">
            <v>0</v>
          </cell>
          <cell r="AL673">
            <v>0</v>
          </cell>
          <cell r="AM673">
            <v>0</v>
          </cell>
          <cell r="AO673">
            <v>0</v>
          </cell>
          <cell r="AP673">
            <v>0</v>
          </cell>
          <cell r="AR673">
            <v>0</v>
          </cell>
          <cell r="AS673">
            <v>0</v>
          </cell>
          <cell r="BF673" t="str">
            <v>5500</v>
          </cell>
          <cell r="BG673" t="str">
            <v>G004</v>
          </cell>
          <cell r="BH673" t="str">
            <v>GBM</v>
          </cell>
        </row>
        <row r="674">
          <cell r="K674">
            <v>0</v>
          </cell>
          <cell r="L674">
            <v>0</v>
          </cell>
          <cell r="N674">
            <v>0</v>
          </cell>
          <cell r="O674">
            <v>0</v>
          </cell>
          <cell r="Q674">
            <v>0</v>
          </cell>
          <cell r="R674">
            <v>0</v>
          </cell>
          <cell r="T674">
            <v>0</v>
          </cell>
          <cell r="U674">
            <v>0</v>
          </cell>
          <cell r="W674">
            <v>0</v>
          </cell>
          <cell r="X674">
            <v>0</v>
          </cell>
          <cell r="Z674">
            <v>0</v>
          </cell>
          <cell r="AA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I674">
            <v>0</v>
          </cell>
          <cell r="AJ674">
            <v>0</v>
          </cell>
          <cell r="AL674">
            <v>0</v>
          </cell>
          <cell r="AM674">
            <v>0</v>
          </cell>
          <cell r="AO674">
            <v>0</v>
          </cell>
          <cell r="AP674">
            <v>0</v>
          </cell>
          <cell r="AR674">
            <v>0</v>
          </cell>
          <cell r="AS674">
            <v>0</v>
          </cell>
          <cell r="BF674" t="str">
            <v>5500</v>
          </cell>
          <cell r="BG674" t="str">
            <v>G005</v>
          </cell>
          <cell r="BH674" t="str">
            <v>GBM</v>
          </cell>
        </row>
        <row r="675">
          <cell r="K675">
            <v>0</v>
          </cell>
          <cell r="L675">
            <v>0</v>
          </cell>
          <cell r="N675">
            <v>0</v>
          </cell>
          <cell r="O675">
            <v>0</v>
          </cell>
          <cell r="Q675">
            <v>0</v>
          </cell>
          <cell r="R675">
            <v>0</v>
          </cell>
          <cell r="T675">
            <v>0</v>
          </cell>
          <cell r="U675">
            <v>0</v>
          </cell>
          <cell r="W675">
            <v>0</v>
          </cell>
          <cell r="X675">
            <v>0</v>
          </cell>
          <cell r="Z675">
            <v>0</v>
          </cell>
          <cell r="AA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I675">
            <v>0</v>
          </cell>
          <cell r="AJ675">
            <v>0</v>
          </cell>
          <cell r="AL675">
            <v>0</v>
          </cell>
          <cell r="AM675">
            <v>0</v>
          </cell>
          <cell r="AO675">
            <v>0</v>
          </cell>
          <cell r="AP675">
            <v>0</v>
          </cell>
          <cell r="AR675">
            <v>0</v>
          </cell>
          <cell r="AS675">
            <v>0</v>
          </cell>
          <cell r="BF675" t="str">
            <v>5500</v>
          </cell>
          <cell r="BG675" t="str">
            <v>G006</v>
          </cell>
          <cell r="BH675" t="str">
            <v>GBM</v>
          </cell>
        </row>
        <row r="676">
          <cell r="K676">
            <v>0</v>
          </cell>
          <cell r="L676">
            <v>0</v>
          </cell>
          <cell r="N676">
            <v>0</v>
          </cell>
          <cell r="O676">
            <v>0</v>
          </cell>
          <cell r="Q676">
            <v>0</v>
          </cell>
          <cell r="R676">
            <v>0</v>
          </cell>
          <cell r="T676">
            <v>0</v>
          </cell>
          <cell r="U676">
            <v>0</v>
          </cell>
          <cell r="W676">
            <v>0</v>
          </cell>
          <cell r="X676">
            <v>0</v>
          </cell>
          <cell r="Z676">
            <v>0</v>
          </cell>
          <cell r="AA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I676">
            <v>0</v>
          </cell>
          <cell r="AJ676">
            <v>0</v>
          </cell>
          <cell r="AL676">
            <v>0</v>
          </cell>
          <cell r="AM676">
            <v>0</v>
          </cell>
          <cell r="AO676">
            <v>0</v>
          </cell>
          <cell r="AP676">
            <v>0</v>
          </cell>
          <cell r="AR676">
            <v>0</v>
          </cell>
          <cell r="AS676">
            <v>0</v>
          </cell>
          <cell r="BF676" t="str">
            <v>5500</v>
          </cell>
          <cell r="BG676" t="str">
            <v>G007</v>
          </cell>
          <cell r="BH676" t="str">
            <v>GBM</v>
          </cell>
        </row>
        <row r="677">
          <cell r="K677">
            <v>0</v>
          </cell>
          <cell r="L677">
            <v>0</v>
          </cell>
          <cell r="N677">
            <v>0</v>
          </cell>
          <cell r="O677">
            <v>0</v>
          </cell>
          <cell r="Q677">
            <v>0</v>
          </cell>
          <cell r="R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  <cell r="Z677">
            <v>0</v>
          </cell>
          <cell r="AA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I677">
            <v>0</v>
          </cell>
          <cell r="AJ677">
            <v>0</v>
          </cell>
          <cell r="AL677">
            <v>0</v>
          </cell>
          <cell r="AM677">
            <v>0</v>
          </cell>
          <cell r="AO677">
            <v>0</v>
          </cell>
          <cell r="AP677">
            <v>0</v>
          </cell>
          <cell r="AR677">
            <v>0</v>
          </cell>
          <cell r="AS677">
            <v>0</v>
          </cell>
          <cell r="BF677" t="str">
            <v>5500</v>
          </cell>
          <cell r="BG677" t="str">
            <v>G008</v>
          </cell>
          <cell r="BH677" t="str">
            <v>GBM</v>
          </cell>
        </row>
        <row r="678">
          <cell r="K678">
            <v>0</v>
          </cell>
          <cell r="L678">
            <v>0</v>
          </cell>
          <cell r="N678">
            <v>0</v>
          </cell>
          <cell r="O678">
            <v>0</v>
          </cell>
          <cell r="Q678">
            <v>0</v>
          </cell>
          <cell r="R678">
            <v>0</v>
          </cell>
          <cell r="T678">
            <v>0</v>
          </cell>
          <cell r="U678">
            <v>0</v>
          </cell>
          <cell r="W678">
            <v>0</v>
          </cell>
          <cell r="X678">
            <v>0</v>
          </cell>
          <cell r="Z678">
            <v>0</v>
          </cell>
          <cell r="AA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I678">
            <v>0</v>
          </cell>
          <cell r="AJ678">
            <v>0</v>
          </cell>
          <cell r="AL678">
            <v>0</v>
          </cell>
          <cell r="AM678">
            <v>0</v>
          </cell>
          <cell r="AO678">
            <v>0</v>
          </cell>
          <cell r="AP678">
            <v>0</v>
          </cell>
          <cell r="AR678">
            <v>0</v>
          </cell>
          <cell r="AS678">
            <v>0</v>
          </cell>
          <cell r="BF678" t="str">
            <v>5500</v>
          </cell>
          <cell r="BG678" t="str">
            <v>G009</v>
          </cell>
          <cell r="BH678" t="str">
            <v>GBM</v>
          </cell>
        </row>
        <row r="679">
          <cell r="K679">
            <v>0</v>
          </cell>
          <cell r="L679">
            <v>0</v>
          </cell>
          <cell r="N679">
            <v>0</v>
          </cell>
          <cell r="O679">
            <v>0</v>
          </cell>
          <cell r="Q679">
            <v>0</v>
          </cell>
          <cell r="R679">
            <v>0</v>
          </cell>
          <cell r="T679">
            <v>0</v>
          </cell>
          <cell r="U679">
            <v>0</v>
          </cell>
          <cell r="W679">
            <v>0</v>
          </cell>
          <cell r="X679">
            <v>0</v>
          </cell>
          <cell r="Z679">
            <v>0</v>
          </cell>
          <cell r="AA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I679">
            <v>0</v>
          </cell>
          <cell r="AJ679">
            <v>0</v>
          </cell>
          <cell r="AL679">
            <v>0</v>
          </cell>
          <cell r="AM679">
            <v>0</v>
          </cell>
          <cell r="AO679">
            <v>0</v>
          </cell>
          <cell r="AP679">
            <v>0</v>
          </cell>
          <cell r="AR679">
            <v>0</v>
          </cell>
          <cell r="AS679">
            <v>0</v>
          </cell>
          <cell r="BF679" t="str">
            <v>5500</v>
          </cell>
          <cell r="BG679" t="str">
            <v>G010</v>
          </cell>
          <cell r="BH679" t="str">
            <v>GBM</v>
          </cell>
        </row>
        <row r="680">
          <cell r="K680">
            <v>0</v>
          </cell>
          <cell r="L680">
            <v>0</v>
          </cell>
          <cell r="N680">
            <v>0</v>
          </cell>
          <cell r="O680">
            <v>0</v>
          </cell>
          <cell r="Q680">
            <v>0</v>
          </cell>
          <cell r="R680">
            <v>0</v>
          </cell>
          <cell r="T680">
            <v>0</v>
          </cell>
          <cell r="U680">
            <v>0</v>
          </cell>
          <cell r="W680">
            <v>0</v>
          </cell>
          <cell r="X680">
            <v>0</v>
          </cell>
          <cell r="Z680">
            <v>0</v>
          </cell>
          <cell r="AA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I680">
            <v>0</v>
          </cell>
          <cell r="AJ680">
            <v>0</v>
          </cell>
          <cell r="AL680">
            <v>0</v>
          </cell>
          <cell r="AM680">
            <v>0</v>
          </cell>
          <cell r="AO680">
            <v>0</v>
          </cell>
          <cell r="AP680">
            <v>0</v>
          </cell>
          <cell r="AR680">
            <v>0</v>
          </cell>
          <cell r="AS680">
            <v>0</v>
          </cell>
          <cell r="BF680" t="str">
            <v>5500</v>
          </cell>
          <cell r="BG680" t="str">
            <v>G011</v>
          </cell>
          <cell r="BH680" t="str">
            <v>GBM</v>
          </cell>
        </row>
        <row r="681">
          <cell r="K681">
            <v>0</v>
          </cell>
          <cell r="L681">
            <v>0</v>
          </cell>
          <cell r="N681">
            <v>0</v>
          </cell>
          <cell r="O681">
            <v>0</v>
          </cell>
          <cell r="Q681">
            <v>0</v>
          </cell>
          <cell r="R681">
            <v>0</v>
          </cell>
          <cell r="T681">
            <v>0</v>
          </cell>
          <cell r="U681">
            <v>0</v>
          </cell>
          <cell r="W681">
            <v>0</v>
          </cell>
          <cell r="X681">
            <v>0</v>
          </cell>
          <cell r="Z681">
            <v>0</v>
          </cell>
          <cell r="AA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I681">
            <v>0</v>
          </cell>
          <cell r="AJ681">
            <v>0</v>
          </cell>
          <cell r="AL681">
            <v>0</v>
          </cell>
          <cell r="AM681">
            <v>0</v>
          </cell>
          <cell r="AO681">
            <v>0</v>
          </cell>
          <cell r="AP681">
            <v>0</v>
          </cell>
          <cell r="AR681">
            <v>0</v>
          </cell>
          <cell r="AS681">
            <v>0</v>
          </cell>
          <cell r="BF681" t="str">
            <v>5500</v>
          </cell>
          <cell r="BG681" t="str">
            <v>G012</v>
          </cell>
          <cell r="BH681" t="str">
            <v>GBM</v>
          </cell>
        </row>
        <row r="682">
          <cell r="K682">
            <v>0</v>
          </cell>
          <cell r="L682">
            <v>0</v>
          </cell>
          <cell r="N682">
            <v>0</v>
          </cell>
          <cell r="O682">
            <v>0</v>
          </cell>
          <cell r="Q682">
            <v>0</v>
          </cell>
          <cell r="R682">
            <v>0</v>
          </cell>
          <cell r="T682">
            <v>0</v>
          </cell>
          <cell r="U682">
            <v>0</v>
          </cell>
          <cell r="W682">
            <v>0</v>
          </cell>
          <cell r="X682">
            <v>0</v>
          </cell>
          <cell r="Z682">
            <v>0</v>
          </cell>
          <cell r="AA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I682">
            <v>0</v>
          </cell>
          <cell r="AJ682">
            <v>0</v>
          </cell>
          <cell r="AL682">
            <v>0</v>
          </cell>
          <cell r="AM682">
            <v>0</v>
          </cell>
          <cell r="AO682">
            <v>0</v>
          </cell>
          <cell r="AP682">
            <v>0</v>
          </cell>
          <cell r="AR682">
            <v>0</v>
          </cell>
          <cell r="AS682">
            <v>0</v>
          </cell>
          <cell r="BF682" t="str">
            <v>5600</v>
          </cell>
          <cell r="BG682" t="str">
            <v>H001</v>
          </cell>
          <cell r="BH682" t="str">
            <v>GBM</v>
          </cell>
        </row>
        <row r="683">
          <cell r="K683">
            <v>0</v>
          </cell>
          <cell r="L683">
            <v>0</v>
          </cell>
          <cell r="N683">
            <v>0</v>
          </cell>
          <cell r="O683">
            <v>0</v>
          </cell>
          <cell r="Q683">
            <v>0</v>
          </cell>
          <cell r="R683">
            <v>0</v>
          </cell>
          <cell r="T683">
            <v>0</v>
          </cell>
          <cell r="U683">
            <v>0</v>
          </cell>
          <cell r="W683">
            <v>0</v>
          </cell>
          <cell r="X683">
            <v>0</v>
          </cell>
          <cell r="Z683">
            <v>0</v>
          </cell>
          <cell r="AA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I683">
            <v>0</v>
          </cell>
          <cell r="AJ683">
            <v>0</v>
          </cell>
          <cell r="AL683">
            <v>0</v>
          </cell>
          <cell r="AM683">
            <v>0</v>
          </cell>
          <cell r="AO683">
            <v>0</v>
          </cell>
          <cell r="AP683">
            <v>0</v>
          </cell>
          <cell r="AR683">
            <v>0</v>
          </cell>
          <cell r="AS683">
            <v>0</v>
          </cell>
          <cell r="BF683" t="str">
            <v>5600</v>
          </cell>
          <cell r="BG683" t="str">
            <v>H002</v>
          </cell>
          <cell r="BH683" t="str">
            <v>GBM</v>
          </cell>
        </row>
        <row r="684">
          <cell r="K684">
            <v>0</v>
          </cell>
          <cell r="L684">
            <v>0</v>
          </cell>
          <cell r="N684">
            <v>0</v>
          </cell>
          <cell r="O684">
            <v>0</v>
          </cell>
          <cell r="Q684">
            <v>0</v>
          </cell>
          <cell r="R684">
            <v>0</v>
          </cell>
          <cell r="T684">
            <v>0</v>
          </cell>
          <cell r="U684">
            <v>0</v>
          </cell>
          <cell r="W684">
            <v>0</v>
          </cell>
          <cell r="X684">
            <v>0</v>
          </cell>
          <cell r="Z684">
            <v>0</v>
          </cell>
          <cell r="AA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I684">
            <v>0</v>
          </cell>
          <cell r="AJ684">
            <v>0</v>
          </cell>
          <cell r="AL684">
            <v>0</v>
          </cell>
          <cell r="AM684">
            <v>0</v>
          </cell>
          <cell r="AO684">
            <v>0</v>
          </cell>
          <cell r="AP684">
            <v>0</v>
          </cell>
          <cell r="AR684">
            <v>0</v>
          </cell>
          <cell r="AS684">
            <v>0</v>
          </cell>
          <cell r="BF684" t="str">
            <v>5600</v>
          </cell>
          <cell r="BG684" t="str">
            <v>H003</v>
          </cell>
          <cell r="BH684" t="str">
            <v>GBM</v>
          </cell>
        </row>
        <row r="685">
          <cell r="K685">
            <v>0</v>
          </cell>
          <cell r="L685">
            <v>0</v>
          </cell>
          <cell r="N685">
            <v>0</v>
          </cell>
          <cell r="O685">
            <v>0</v>
          </cell>
          <cell r="Q685">
            <v>0</v>
          </cell>
          <cell r="R685">
            <v>0</v>
          </cell>
          <cell r="T685">
            <v>0</v>
          </cell>
          <cell r="U685">
            <v>0</v>
          </cell>
          <cell r="W685">
            <v>0</v>
          </cell>
          <cell r="X685">
            <v>0</v>
          </cell>
          <cell r="Z685">
            <v>0</v>
          </cell>
          <cell r="AA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I685">
            <v>0</v>
          </cell>
          <cell r="AJ685">
            <v>0</v>
          </cell>
          <cell r="AL685">
            <v>0</v>
          </cell>
          <cell r="AM685">
            <v>0</v>
          </cell>
          <cell r="AO685">
            <v>0</v>
          </cell>
          <cell r="AP685">
            <v>0</v>
          </cell>
          <cell r="AR685">
            <v>0</v>
          </cell>
          <cell r="AS685">
            <v>0</v>
          </cell>
          <cell r="BF685" t="str">
            <v>5600</v>
          </cell>
          <cell r="BG685" t="str">
            <v>H004</v>
          </cell>
          <cell r="BH685" t="str">
            <v>GBM</v>
          </cell>
        </row>
        <row r="686">
          <cell r="K686">
            <v>0</v>
          </cell>
          <cell r="L686">
            <v>0</v>
          </cell>
          <cell r="N686">
            <v>0</v>
          </cell>
          <cell r="O686">
            <v>0</v>
          </cell>
          <cell r="Q686">
            <v>0</v>
          </cell>
          <cell r="R686">
            <v>0</v>
          </cell>
          <cell r="T686">
            <v>0</v>
          </cell>
          <cell r="U686">
            <v>0</v>
          </cell>
          <cell r="W686">
            <v>0</v>
          </cell>
          <cell r="X686">
            <v>0</v>
          </cell>
          <cell r="Z686">
            <v>0</v>
          </cell>
          <cell r="AA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I686">
            <v>0</v>
          </cell>
          <cell r="AJ686">
            <v>0</v>
          </cell>
          <cell r="AL686">
            <v>0</v>
          </cell>
          <cell r="AM686">
            <v>0</v>
          </cell>
          <cell r="AO686">
            <v>0</v>
          </cell>
          <cell r="AP686">
            <v>0</v>
          </cell>
          <cell r="AR686">
            <v>0</v>
          </cell>
          <cell r="AS686">
            <v>0</v>
          </cell>
          <cell r="BF686" t="str">
            <v>5600</v>
          </cell>
          <cell r="BG686" t="str">
            <v>H005</v>
          </cell>
          <cell r="BH686" t="str">
            <v>GBM</v>
          </cell>
        </row>
        <row r="687">
          <cell r="K687">
            <v>0</v>
          </cell>
          <cell r="L687">
            <v>0</v>
          </cell>
          <cell r="N687">
            <v>0</v>
          </cell>
          <cell r="O687">
            <v>0</v>
          </cell>
          <cell r="Q687">
            <v>0</v>
          </cell>
          <cell r="R687">
            <v>0</v>
          </cell>
          <cell r="T687">
            <v>5000</v>
          </cell>
          <cell r="U687">
            <v>0</v>
          </cell>
          <cell r="W687">
            <v>0</v>
          </cell>
          <cell r="X687">
            <v>0</v>
          </cell>
          <cell r="Z687">
            <v>0</v>
          </cell>
          <cell r="AA687">
            <v>0</v>
          </cell>
          <cell r="AC687">
            <v>0</v>
          </cell>
          <cell r="AD687">
            <v>0</v>
          </cell>
          <cell r="AF687">
            <v>-5000</v>
          </cell>
          <cell r="AG687">
            <v>0</v>
          </cell>
          <cell r="AI687">
            <v>0</v>
          </cell>
          <cell r="AJ687">
            <v>0</v>
          </cell>
          <cell r="AL687">
            <v>0</v>
          </cell>
          <cell r="AM687">
            <v>0</v>
          </cell>
          <cell r="AO687">
            <v>0</v>
          </cell>
          <cell r="AP687">
            <v>0</v>
          </cell>
          <cell r="AR687">
            <v>0</v>
          </cell>
          <cell r="AS687">
            <v>0</v>
          </cell>
          <cell r="BF687" t="str">
            <v>5600</v>
          </cell>
          <cell r="BG687" t="str">
            <v>H006</v>
          </cell>
          <cell r="BH687" t="str">
            <v>GBM</v>
          </cell>
        </row>
        <row r="688">
          <cell r="K688">
            <v>100394.52</v>
          </cell>
          <cell r="L688">
            <v>0</v>
          </cell>
          <cell r="N688">
            <v>2046.4000000000087</v>
          </cell>
          <cell r="O688">
            <v>0</v>
          </cell>
          <cell r="Q688">
            <v>1972.6000000000058</v>
          </cell>
          <cell r="R688">
            <v>0</v>
          </cell>
          <cell r="T688">
            <v>-102175.77000000002</v>
          </cell>
          <cell r="U688">
            <v>0</v>
          </cell>
          <cell r="W688">
            <v>-2237.75</v>
          </cell>
          <cell r="X688">
            <v>0</v>
          </cell>
          <cell r="Z688">
            <v>0</v>
          </cell>
          <cell r="AA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I688">
            <v>0</v>
          </cell>
          <cell r="AJ688">
            <v>0</v>
          </cell>
          <cell r="AL688">
            <v>0</v>
          </cell>
          <cell r="AM688">
            <v>0</v>
          </cell>
          <cell r="AO688">
            <v>0</v>
          </cell>
          <cell r="AP688">
            <v>0</v>
          </cell>
          <cell r="AR688">
            <v>0</v>
          </cell>
          <cell r="AS688">
            <v>0</v>
          </cell>
          <cell r="BF688" t="str">
            <v>5600</v>
          </cell>
          <cell r="BG688" t="str">
            <v>H007</v>
          </cell>
          <cell r="BH688" t="str">
            <v>GBM</v>
          </cell>
        </row>
        <row r="689">
          <cell r="K689">
            <v>0</v>
          </cell>
          <cell r="L689">
            <v>0</v>
          </cell>
          <cell r="N689">
            <v>0</v>
          </cell>
          <cell r="O689">
            <v>0</v>
          </cell>
          <cell r="Q689">
            <v>0</v>
          </cell>
          <cell r="R689">
            <v>0</v>
          </cell>
          <cell r="T689">
            <v>0</v>
          </cell>
          <cell r="U689">
            <v>0</v>
          </cell>
          <cell r="W689">
            <v>0</v>
          </cell>
          <cell r="X689">
            <v>0</v>
          </cell>
          <cell r="Z689">
            <v>0</v>
          </cell>
          <cell r="AA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I689">
            <v>0</v>
          </cell>
          <cell r="AJ689">
            <v>0</v>
          </cell>
          <cell r="AL689">
            <v>0</v>
          </cell>
          <cell r="AM689">
            <v>0</v>
          </cell>
          <cell r="AO689">
            <v>0</v>
          </cell>
          <cell r="AP689">
            <v>0</v>
          </cell>
          <cell r="AR689">
            <v>0</v>
          </cell>
          <cell r="AS689">
            <v>0</v>
          </cell>
          <cell r="BF689" t="str">
            <v>5600</v>
          </cell>
          <cell r="BG689" t="str">
            <v>H008</v>
          </cell>
          <cell r="BH689" t="str">
            <v>GBM</v>
          </cell>
        </row>
        <row r="690">
          <cell r="K690">
            <v>0</v>
          </cell>
          <cell r="L690">
            <v>0</v>
          </cell>
          <cell r="N690">
            <v>0</v>
          </cell>
          <cell r="O690">
            <v>0</v>
          </cell>
          <cell r="Q690">
            <v>0</v>
          </cell>
          <cell r="R690">
            <v>0</v>
          </cell>
          <cell r="T690">
            <v>0</v>
          </cell>
          <cell r="U690">
            <v>0</v>
          </cell>
          <cell r="W690">
            <v>0</v>
          </cell>
          <cell r="X690">
            <v>0</v>
          </cell>
          <cell r="Z690">
            <v>0</v>
          </cell>
          <cell r="AA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I690">
            <v>0</v>
          </cell>
          <cell r="AJ690">
            <v>0</v>
          </cell>
          <cell r="AL690">
            <v>0</v>
          </cell>
          <cell r="AM690">
            <v>0</v>
          </cell>
          <cell r="AO690">
            <v>0</v>
          </cell>
          <cell r="AP690">
            <v>0</v>
          </cell>
          <cell r="AR690">
            <v>0</v>
          </cell>
          <cell r="AS690">
            <v>0</v>
          </cell>
          <cell r="BF690" t="str">
            <v>5700</v>
          </cell>
          <cell r="BG690" t="str">
            <v>I001</v>
          </cell>
          <cell r="BH690" t="str">
            <v>GBM</v>
          </cell>
        </row>
        <row r="691">
          <cell r="K691">
            <v>0</v>
          </cell>
          <cell r="L691">
            <v>0</v>
          </cell>
          <cell r="N691">
            <v>0</v>
          </cell>
          <cell r="O691">
            <v>0</v>
          </cell>
          <cell r="Q691">
            <v>0</v>
          </cell>
          <cell r="R691">
            <v>0</v>
          </cell>
          <cell r="T691">
            <v>0</v>
          </cell>
          <cell r="U691">
            <v>0</v>
          </cell>
          <cell r="W691">
            <v>0</v>
          </cell>
          <cell r="X691">
            <v>0</v>
          </cell>
          <cell r="Z691">
            <v>0</v>
          </cell>
          <cell r="AA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I691">
            <v>0</v>
          </cell>
          <cell r="AJ691">
            <v>0</v>
          </cell>
          <cell r="AL691">
            <v>0</v>
          </cell>
          <cell r="AM691">
            <v>0</v>
          </cell>
          <cell r="AO691">
            <v>0</v>
          </cell>
          <cell r="AP691">
            <v>0</v>
          </cell>
          <cell r="AR691">
            <v>0</v>
          </cell>
          <cell r="AS691">
            <v>0</v>
          </cell>
          <cell r="BF691" t="str">
            <v>5700</v>
          </cell>
          <cell r="BG691" t="str">
            <v>I002</v>
          </cell>
          <cell r="BH691" t="str">
            <v>GBM</v>
          </cell>
        </row>
        <row r="692">
          <cell r="K692">
            <v>-9827.8300000005402</v>
          </cell>
          <cell r="L692">
            <v>0</v>
          </cell>
          <cell r="N692">
            <v>138318.31999999983</v>
          </cell>
          <cell r="O692">
            <v>0</v>
          </cell>
          <cell r="Q692">
            <v>762174.87999999989</v>
          </cell>
          <cell r="R692">
            <v>0</v>
          </cell>
          <cell r="T692">
            <v>83663.860000000335</v>
          </cell>
          <cell r="U692">
            <v>0</v>
          </cell>
          <cell r="W692">
            <v>1898.2199999997392</v>
          </cell>
          <cell r="X692">
            <v>0</v>
          </cell>
          <cell r="Z692">
            <v>53223.459999999963</v>
          </cell>
          <cell r="AA692">
            <v>0</v>
          </cell>
          <cell r="AC692">
            <v>47792.150000000373</v>
          </cell>
          <cell r="AD692">
            <v>0</v>
          </cell>
          <cell r="AF692">
            <v>62782.939999999478</v>
          </cell>
          <cell r="AG692">
            <v>0</v>
          </cell>
          <cell r="AI692">
            <v>52168.149999999441</v>
          </cell>
          <cell r="AJ692">
            <v>0</v>
          </cell>
          <cell r="AL692">
            <v>27986.900000000373</v>
          </cell>
          <cell r="AM692">
            <v>0</v>
          </cell>
          <cell r="AO692">
            <v>13831.079999999609</v>
          </cell>
          <cell r="AP692">
            <v>0</v>
          </cell>
          <cell r="AR692">
            <v>19359.520000000484</v>
          </cell>
          <cell r="AS692">
            <v>0</v>
          </cell>
          <cell r="BF692" t="str">
            <v>5700</v>
          </cell>
          <cell r="BG692" t="str">
            <v>I003</v>
          </cell>
          <cell r="BH692" t="str">
            <v>GBM</v>
          </cell>
        </row>
        <row r="693">
          <cell r="K693">
            <v>0</v>
          </cell>
          <cell r="L693">
            <v>0</v>
          </cell>
          <cell r="N693">
            <v>0</v>
          </cell>
          <cell r="O693">
            <v>0</v>
          </cell>
          <cell r="Q693">
            <v>-704667.21</v>
          </cell>
          <cell r="R693">
            <v>0</v>
          </cell>
          <cell r="T693">
            <v>0</v>
          </cell>
          <cell r="U693">
            <v>0</v>
          </cell>
          <cell r="W693">
            <v>0</v>
          </cell>
          <cell r="X693">
            <v>0</v>
          </cell>
          <cell r="Z693">
            <v>0</v>
          </cell>
          <cell r="AA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I693">
            <v>0</v>
          </cell>
          <cell r="AJ693">
            <v>0</v>
          </cell>
          <cell r="AL693">
            <v>0</v>
          </cell>
          <cell r="AM693">
            <v>0</v>
          </cell>
          <cell r="AO693">
            <v>0</v>
          </cell>
          <cell r="AP693">
            <v>0</v>
          </cell>
          <cell r="AR693">
            <v>0</v>
          </cell>
          <cell r="AS693">
            <v>0</v>
          </cell>
          <cell r="BF693" t="str">
            <v>5700</v>
          </cell>
          <cell r="BG693" t="str">
            <v>I004</v>
          </cell>
          <cell r="BH693" t="str">
            <v>GBM</v>
          </cell>
        </row>
        <row r="694">
          <cell r="K694">
            <v>153144.40000000037</v>
          </cell>
          <cell r="L694">
            <v>0</v>
          </cell>
          <cell r="N694">
            <v>149563.25</v>
          </cell>
          <cell r="O694">
            <v>0</v>
          </cell>
          <cell r="Q694">
            <v>234697.83999999985</v>
          </cell>
          <cell r="R694">
            <v>0</v>
          </cell>
          <cell r="T694">
            <v>89140.240000000224</v>
          </cell>
          <cell r="U694">
            <v>0</v>
          </cell>
          <cell r="W694">
            <v>-11673.389999999665</v>
          </cell>
          <cell r="X694">
            <v>0</v>
          </cell>
          <cell r="Z694">
            <v>31200.509999999776</v>
          </cell>
          <cell r="AA694">
            <v>0</v>
          </cell>
          <cell r="AC694">
            <v>343451.84999999963</v>
          </cell>
          <cell r="AD694">
            <v>0</v>
          </cell>
          <cell r="AF694">
            <v>41325.490000000224</v>
          </cell>
          <cell r="AG694">
            <v>0</v>
          </cell>
          <cell r="AI694">
            <v>46419.879999999888</v>
          </cell>
          <cell r="AJ694">
            <v>0</v>
          </cell>
          <cell r="AL694">
            <v>-291114.51999999955</v>
          </cell>
          <cell r="AM694">
            <v>0</v>
          </cell>
          <cell r="AO694">
            <v>43036.820000000298</v>
          </cell>
          <cell r="AP694">
            <v>0</v>
          </cell>
          <cell r="AR694">
            <v>40081.399999999441</v>
          </cell>
          <cell r="AS694">
            <v>0</v>
          </cell>
          <cell r="BF694" t="str">
            <v>5700</v>
          </cell>
          <cell r="BG694" t="str">
            <v>I005</v>
          </cell>
          <cell r="BH694" t="str">
            <v>GBM</v>
          </cell>
        </row>
        <row r="695">
          <cell r="K695">
            <v>1358.3700000001118</v>
          </cell>
          <cell r="L695">
            <v>0</v>
          </cell>
          <cell r="N695">
            <v>201506.09000000008</v>
          </cell>
          <cell r="O695">
            <v>0</v>
          </cell>
          <cell r="Q695">
            <v>62024.240000000224</v>
          </cell>
          <cell r="R695">
            <v>0</v>
          </cell>
          <cell r="T695">
            <v>-638525.29999999981</v>
          </cell>
          <cell r="U695">
            <v>0</v>
          </cell>
          <cell r="W695">
            <v>-12932.819999999832</v>
          </cell>
          <cell r="X695">
            <v>0</v>
          </cell>
          <cell r="Z695">
            <v>7567.2799999997951</v>
          </cell>
          <cell r="AA695">
            <v>0</v>
          </cell>
          <cell r="AC695">
            <v>414136.54999999981</v>
          </cell>
          <cell r="AD695">
            <v>0</v>
          </cell>
          <cell r="AF695">
            <v>805544.02999999933</v>
          </cell>
          <cell r="AG695">
            <v>0</v>
          </cell>
          <cell r="AI695">
            <v>4214.5800000000745</v>
          </cell>
          <cell r="AJ695">
            <v>0</v>
          </cell>
          <cell r="AL695">
            <v>-285532.9299999997</v>
          </cell>
          <cell r="AM695">
            <v>0</v>
          </cell>
          <cell r="AO695">
            <v>-562305.72999999952</v>
          </cell>
          <cell r="AP695">
            <v>0</v>
          </cell>
          <cell r="AR695">
            <v>-448941.70999999996</v>
          </cell>
          <cell r="AS695">
            <v>0</v>
          </cell>
          <cell r="BF695" t="str">
            <v>5700</v>
          </cell>
          <cell r="BG695" t="str">
            <v>I006</v>
          </cell>
          <cell r="BH695" t="str">
            <v>GBM</v>
          </cell>
        </row>
        <row r="696">
          <cell r="K696">
            <v>30.520000000484288</v>
          </cell>
          <cell r="L696">
            <v>0</v>
          </cell>
          <cell r="N696">
            <v>31.370000000111759</v>
          </cell>
          <cell r="O696">
            <v>0</v>
          </cell>
          <cell r="Q696">
            <v>29.53000000026077</v>
          </cell>
          <cell r="R696">
            <v>0</v>
          </cell>
          <cell r="T696">
            <v>32.049999999813735</v>
          </cell>
          <cell r="U696">
            <v>0</v>
          </cell>
          <cell r="W696">
            <v>31.019999999552965</v>
          </cell>
          <cell r="X696">
            <v>0</v>
          </cell>
          <cell r="Z696">
            <v>32.049999999813735</v>
          </cell>
          <cell r="AA696">
            <v>0</v>
          </cell>
          <cell r="AC696">
            <v>120570.65000000037</v>
          </cell>
          <cell r="AD696">
            <v>0</v>
          </cell>
          <cell r="AF696">
            <v>5030.929999999702</v>
          </cell>
          <cell r="AG696">
            <v>0</v>
          </cell>
          <cell r="AI696">
            <v>-41686.200000000186</v>
          </cell>
          <cell r="AJ696">
            <v>0</v>
          </cell>
          <cell r="AL696">
            <v>342611.09999999963</v>
          </cell>
          <cell r="AM696">
            <v>0</v>
          </cell>
          <cell r="AO696">
            <v>181710.93000000063</v>
          </cell>
          <cell r="AP696">
            <v>0</v>
          </cell>
          <cell r="AR696">
            <v>9730.9599999999627</v>
          </cell>
          <cell r="AS696">
            <v>0</v>
          </cell>
          <cell r="BF696" t="str">
            <v>5700</v>
          </cell>
          <cell r="BG696" t="str">
            <v>I007</v>
          </cell>
          <cell r="BH696" t="str">
            <v>GBM</v>
          </cell>
        </row>
        <row r="697">
          <cell r="K697">
            <v>226577.90999999992</v>
          </cell>
          <cell r="L697">
            <v>0</v>
          </cell>
          <cell r="N697">
            <v>270957.53000000026</v>
          </cell>
          <cell r="O697">
            <v>0</v>
          </cell>
          <cell r="Q697">
            <v>173963.95999999996</v>
          </cell>
          <cell r="R697">
            <v>0</v>
          </cell>
          <cell r="T697">
            <v>18833.680000000168</v>
          </cell>
          <cell r="U697">
            <v>0</v>
          </cell>
          <cell r="W697">
            <v>250133.42000000016</v>
          </cell>
          <cell r="X697">
            <v>0</v>
          </cell>
          <cell r="Z697">
            <v>-34906.870000000112</v>
          </cell>
          <cell r="AA697">
            <v>0</v>
          </cell>
          <cell r="AC697">
            <v>47927.260000000009</v>
          </cell>
          <cell r="AD697">
            <v>0</v>
          </cell>
          <cell r="AF697">
            <v>48231.590000000084</v>
          </cell>
          <cell r="AG697">
            <v>0</v>
          </cell>
          <cell r="AI697">
            <v>107390.76000000001</v>
          </cell>
          <cell r="AJ697">
            <v>0</v>
          </cell>
          <cell r="AL697">
            <v>70997.479999999981</v>
          </cell>
          <cell r="AM697">
            <v>0</v>
          </cell>
          <cell r="AO697">
            <v>42123.720000000205</v>
          </cell>
          <cell r="AP697">
            <v>0</v>
          </cell>
          <cell r="AR697">
            <v>8898.9600000001956</v>
          </cell>
          <cell r="AS697">
            <v>0</v>
          </cell>
          <cell r="BF697" t="str">
            <v>5700</v>
          </cell>
          <cell r="BG697" t="str">
            <v>I008</v>
          </cell>
          <cell r="BH697" t="str">
            <v>GBM</v>
          </cell>
        </row>
        <row r="698">
          <cell r="K698">
            <v>0</v>
          </cell>
          <cell r="L698">
            <v>0</v>
          </cell>
          <cell r="N698">
            <v>0</v>
          </cell>
          <cell r="O698">
            <v>0</v>
          </cell>
          <cell r="Q698">
            <v>2077.75</v>
          </cell>
          <cell r="R698">
            <v>0</v>
          </cell>
          <cell r="T698">
            <v>20000</v>
          </cell>
          <cell r="U698">
            <v>0</v>
          </cell>
          <cell r="W698">
            <v>0</v>
          </cell>
          <cell r="X698">
            <v>0</v>
          </cell>
          <cell r="Z698">
            <v>0</v>
          </cell>
          <cell r="AA698">
            <v>0</v>
          </cell>
          <cell r="AC698">
            <v>0</v>
          </cell>
          <cell r="AD698">
            <v>0</v>
          </cell>
          <cell r="AF698">
            <v>27180.559999999998</v>
          </cell>
          <cell r="AG698">
            <v>0</v>
          </cell>
          <cell r="AI698">
            <v>-24941.499999999993</v>
          </cell>
          <cell r="AJ698">
            <v>0</v>
          </cell>
          <cell r="AL698">
            <v>484.1299999999901</v>
          </cell>
          <cell r="AM698">
            <v>0</v>
          </cell>
          <cell r="AO698">
            <v>33091.44999999999</v>
          </cell>
          <cell r="AP698">
            <v>0</v>
          </cell>
          <cell r="AR698">
            <v>30042.28</v>
          </cell>
          <cell r="AS698">
            <v>0</v>
          </cell>
          <cell r="BF698" t="str">
            <v>5700</v>
          </cell>
          <cell r="BG698" t="str">
            <v>I009</v>
          </cell>
          <cell r="BH698" t="str">
            <v>GBM</v>
          </cell>
        </row>
        <row r="699">
          <cell r="K699">
            <v>0</v>
          </cell>
          <cell r="L699">
            <v>0</v>
          </cell>
          <cell r="N699">
            <v>0</v>
          </cell>
          <cell r="O699">
            <v>0</v>
          </cell>
          <cell r="Q699">
            <v>0</v>
          </cell>
          <cell r="R699">
            <v>0</v>
          </cell>
          <cell r="T699">
            <v>0</v>
          </cell>
          <cell r="U699">
            <v>0</v>
          </cell>
          <cell r="W699">
            <v>0</v>
          </cell>
          <cell r="X699">
            <v>0</v>
          </cell>
          <cell r="Z699">
            <v>0</v>
          </cell>
          <cell r="AA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I699">
            <v>608099.50999999978</v>
          </cell>
          <cell r="AJ699">
            <v>0</v>
          </cell>
          <cell r="AL699">
            <v>1214389.6399999999</v>
          </cell>
          <cell r="AM699">
            <v>0</v>
          </cell>
          <cell r="AO699">
            <v>371274.32000000007</v>
          </cell>
          <cell r="AP699">
            <v>0</v>
          </cell>
          <cell r="AR699">
            <v>6370.6499999994412</v>
          </cell>
          <cell r="AS699">
            <v>0</v>
          </cell>
          <cell r="BF699" t="str">
            <v>5700</v>
          </cell>
          <cell r="BG699" t="str">
            <v>I010</v>
          </cell>
          <cell r="BH699" t="str">
            <v>GBM</v>
          </cell>
        </row>
        <row r="700">
          <cell r="K700">
            <v>-10000</v>
          </cell>
          <cell r="L700">
            <v>0</v>
          </cell>
          <cell r="N700">
            <v>-10000</v>
          </cell>
          <cell r="O700">
            <v>0</v>
          </cell>
          <cell r="Q700">
            <v>-10000</v>
          </cell>
          <cell r="R700">
            <v>0</v>
          </cell>
          <cell r="T700">
            <v>-10000</v>
          </cell>
          <cell r="U700">
            <v>0</v>
          </cell>
          <cell r="W700">
            <v>-10000</v>
          </cell>
          <cell r="X700">
            <v>0</v>
          </cell>
          <cell r="Z700">
            <v>-10661.440000000002</v>
          </cell>
          <cell r="AA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I700">
            <v>0</v>
          </cell>
          <cell r="AJ700">
            <v>0</v>
          </cell>
          <cell r="AL700">
            <v>0</v>
          </cell>
          <cell r="AM700">
            <v>0</v>
          </cell>
          <cell r="AO700">
            <v>0</v>
          </cell>
          <cell r="AP700">
            <v>0</v>
          </cell>
          <cell r="AR700">
            <v>0</v>
          </cell>
          <cell r="AS700">
            <v>0</v>
          </cell>
          <cell r="BF700" t="str">
            <v>5700</v>
          </cell>
          <cell r="BG700" t="str">
            <v>I011</v>
          </cell>
          <cell r="BH700" t="str">
            <v>GBM</v>
          </cell>
        </row>
        <row r="701">
          <cell r="K701">
            <v>0</v>
          </cell>
          <cell r="L701">
            <v>0</v>
          </cell>
          <cell r="N701">
            <v>0</v>
          </cell>
          <cell r="O701">
            <v>0</v>
          </cell>
          <cell r="Q701">
            <v>0</v>
          </cell>
          <cell r="R701">
            <v>0</v>
          </cell>
          <cell r="T701">
            <v>0</v>
          </cell>
          <cell r="U701">
            <v>0</v>
          </cell>
          <cell r="W701">
            <v>0</v>
          </cell>
          <cell r="X701">
            <v>0</v>
          </cell>
          <cell r="Z701">
            <v>0</v>
          </cell>
          <cell r="AA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I701">
            <v>0</v>
          </cell>
          <cell r="AJ701">
            <v>0</v>
          </cell>
          <cell r="AL701">
            <v>0</v>
          </cell>
          <cell r="AM701">
            <v>0</v>
          </cell>
          <cell r="AO701">
            <v>0</v>
          </cell>
          <cell r="AP701">
            <v>0</v>
          </cell>
          <cell r="AR701">
            <v>0</v>
          </cell>
          <cell r="AS701">
            <v>0</v>
          </cell>
          <cell r="BF701" t="str">
            <v>5700</v>
          </cell>
          <cell r="BG701" t="str">
            <v>I012</v>
          </cell>
          <cell r="BH701" t="str">
            <v>GBM</v>
          </cell>
        </row>
        <row r="702">
          <cell r="K702">
            <v>0</v>
          </cell>
          <cell r="L702">
            <v>0</v>
          </cell>
          <cell r="N702">
            <v>0</v>
          </cell>
          <cell r="O702">
            <v>0</v>
          </cell>
          <cell r="Q702">
            <v>0</v>
          </cell>
          <cell r="R702">
            <v>0</v>
          </cell>
          <cell r="T702">
            <v>0</v>
          </cell>
          <cell r="U702">
            <v>0</v>
          </cell>
          <cell r="W702">
            <v>0</v>
          </cell>
          <cell r="X702">
            <v>0</v>
          </cell>
          <cell r="Z702">
            <v>0</v>
          </cell>
          <cell r="AA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I702">
            <v>0</v>
          </cell>
          <cell r="AJ702">
            <v>0</v>
          </cell>
          <cell r="AL702">
            <v>0</v>
          </cell>
          <cell r="AM702">
            <v>0</v>
          </cell>
          <cell r="AO702">
            <v>0</v>
          </cell>
          <cell r="AP702">
            <v>0</v>
          </cell>
          <cell r="AR702">
            <v>0</v>
          </cell>
          <cell r="AS702">
            <v>0</v>
          </cell>
          <cell r="BF702" t="str">
            <v>5800</v>
          </cell>
          <cell r="BG702" t="str">
            <v>J001</v>
          </cell>
          <cell r="BH702" t="str">
            <v>GBM</v>
          </cell>
        </row>
        <row r="703">
          <cell r="K703">
            <v>0</v>
          </cell>
          <cell r="L703">
            <v>0</v>
          </cell>
          <cell r="N703">
            <v>0</v>
          </cell>
          <cell r="O703">
            <v>0</v>
          </cell>
          <cell r="Q703">
            <v>0</v>
          </cell>
          <cell r="R703">
            <v>0</v>
          </cell>
          <cell r="T703">
            <v>0</v>
          </cell>
          <cell r="U703">
            <v>0</v>
          </cell>
          <cell r="W703">
            <v>0</v>
          </cell>
          <cell r="X703">
            <v>0</v>
          </cell>
          <cell r="Z703">
            <v>0</v>
          </cell>
          <cell r="AA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I703">
            <v>0</v>
          </cell>
          <cell r="AJ703">
            <v>0</v>
          </cell>
          <cell r="AL703">
            <v>0</v>
          </cell>
          <cell r="AM703">
            <v>0</v>
          </cell>
          <cell r="AO703">
            <v>0</v>
          </cell>
          <cell r="AP703">
            <v>0</v>
          </cell>
          <cell r="AR703">
            <v>0</v>
          </cell>
          <cell r="AS703">
            <v>0</v>
          </cell>
          <cell r="BF703" t="str">
            <v>5800</v>
          </cell>
          <cell r="BG703" t="str">
            <v>J002</v>
          </cell>
          <cell r="BH703" t="str">
            <v>GBM</v>
          </cell>
        </row>
        <row r="704">
          <cell r="K704">
            <v>0</v>
          </cell>
          <cell r="L704">
            <v>0</v>
          </cell>
          <cell r="N704">
            <v>0</v>
          </cell>
          <cell r="O704">
            <v>0</v>
          </cell>
          <cell r="Q704">
            <v>0</v>
          </cell>
          <cell r="R704">
            <v>0</v>
          </cell>
          <cell r="T704">
            <v>0</v>
          </cell>
          <cell r="U704">
            <v>0</v>
          </cell>
          <cell r="W704">
            <v>0</v>
          </cell>
          <cell r="X704">
            <v>0</v>
          </cell>
          <cell r="Z704">
            <v>0</v>
          </cell>
          <cell r="AA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I704">
            <v>0</v>
          </cell>
          <cell r="AJ704">
            <v>0</v>
          </cell>
          <cell r="AL704">
            <v>0</v>
          </cell>
          <cell r="AM704">
            <v>0</v>
          </cell>
          <cell r="AO704">
            <v>0</v>
          </cell>
          <cell r="AP704">
            <v>0</v>
          </cell>
          <cell r="AR704">
            <v>0</v>
          </cell>
          <cell r="AS704">
            <v>0</v>
          </cell>
          <cell r="BF704" t="str">
            <v>5800</v>
          </cell>
          <cell r="BG704" t="str">
            <v>J003</v>
          </cell>
          <cell r="BH704" t="str">
            <v>GBM</v>
          </cell>
        </row>
        <row r="705">
          <cell r="K705">
            <v>0</v>
          </cell>
          <cell r="L705">
            <v>0</v>
          </cell>
          <cell r="N705">
            <v>0</v>
          </cell>
          <cell r="O705">
            <v>0</v>
          </cell>
          <cell r="Q705">
            <v>0</v>
          </cell>
          <cell r="R705">
            <v>0</v>
          </cell>
          <cell r="T705">
            <v>0</v>
          </cell>
          <cell r="U705">
            <v>0</v>
          </cell>
          <cell r="W705">
            <v>0</v>
          </cell>
          <cell r="X705">
            <v>0</v>
          </cell>
          <cell r="Z705">
            <v>0</v>
          </cell>
          <cell r="AA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I705">
            <v>0</v>
          </cell>
          <cell r="AJ705">
            <v>0</v>
          </cell>
          <cell r="AL705">
            <v>0</v>
          </cell>
          <cell r="AM705">
            <v>0</v>
          </cell>
          <cell r="AO705">
            <v>0</v>
          </cell>
          <cell r="AP705">
            <v>0</v>
          </cell>
          <cell r="AR705">
            <v>0</v>
          </cell>
          <cell r="AS705">
            <v>0</v>
          </cell>
          <cell r="BF705" t="str">
            <v>5800</v>
          </cell>
          <cell r="BG705" t="str">
            <v>J004</v>
          </cell>
          <cell r="BH705" t="str">
            <v>GBM</v>
          </cell>
        </row>
        <row r="706">
          <cell r="K706">
            <v>0</v>
          </cell>
          <cell r="L706">
            <v>0</v>
          </cell>
          <cell r="N706">
            <v>0</v>
          </cell>
          <cell r="O706">
            <v>0</v>
          </cell>
          <cell r="Q706">
            <v>0</v>
          </cell>
          <cell r="R706">
            <v>0</v>
          </cell>
          <cell r="T706">
            <v>0</v>
          </cell>
          <cell r="U706">
            <v>0</v>
          </cell>
          <cell r="W706">
            <v>0</v>
          </cell>
          <cell r="X706">
            <v>0</v>
          </cell>
          <cell r="Z706">
            <v>0</v>
          </cell>
          <cell r="AA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I706">
            <v>0</v>
          </cell>
          <cell r="AJ706">
            <v>0</v>
          </cell>
          <cell r="AL706">
            <v>0</v>
          </cell>
          <cell r="AM706">
            <v>0</v>
          </cell>
          <cell r="AO706">
            <v>0</v>
          </cell>
          <cell r="AP706">
            <v>0</v>
          </cell>
          <cell r="AR706">
            <v>0</v>
          </cell>
          <cell r="AS706">
            <v>0</v>
          </cell>
          <cell r="BF706" t="str">
            <v>5800</v>
          </cell>
          <cell r="BG706" t="str">
            <v>J005</v>
          </cell>
          <cell r="BH706" t="str">
            <v>GBM</v>
          </cell>
        </row>
        <row r="707">
          <cell r="K707">
            <v>0</v>
          </cell>
          <cell r="L707">
            <v>0</v>
          </cell>
          <cell r="N707">
            <v>0</v>
          </cell>
          <cell r="O707">
            <v>0</v>
          </cell>
          <cell r="Q707">
            <v>0</v>
          </cell>
          <cell r="R707">
            <v>0</v>
          </cell>
          <cell r="T707">
            <v>0</v>
          </cell>
          <cell r="U707">
            <v>0</v>
          </cell>
          <cell r="W707">
            <v>0</v>
          </cell>
          <cell r="X707">
            <v>0</v>
          </cell>
          <cell r="Z707">
            <v>0</v>
          </cell>
          <cell r="AA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I707">
            <v>0</v>
          </cell>
          <cell r="AJ707">
            <v>0</v>
          </cell>
          <cell r="AL707">
            <v>0</v>
          </cell>
          <cell r="AM707">
            <v>0</v>
          </cell>
          <cell r="AO707">
            <v>0</v>
          </cell>
          <cell r="AP707">
            <v>0</v>
          </cell>
          <cell r="AR707">
            <v>0</v>
          </cell>
          <cell r="AS707">
            <v>0</v>
          </cell>
          <cell r="BF707" t="str">
            <v>5800</v>
          </cell>
          <cell r="BG707" t="str">
            <v>J006</v>
          </cell>
          <cell r="BH707" t="str">
            <v>GBM</v>
          </cell>
        </row>
        <row r="708">
          <cell r="K708">
            <v>0</v>
          </cell>
          <cell r="L708">
            <v>0</v>
          </cell>
          <cell r="N708">
            <v>0</v>
          </cell>
          <cell r="O708">
            <v>0</v>
          </cell>
          <cell r="Q708">
            <v>0</v>
          </cell>
          <cell r="R708">
            <v>0</v>
          </cell>
          <cell r="T708">
            <v>0</v>
          </cell>
          <cell r="U708">
            <v>0</v>
          </cell>
          <cell r="W708">
            <v>0</v>
          </cell>
          <cell r="X708">
            <v>0</v>
          </cell>
          <cell r="Z708">
            <v>0</v>
          </cell>
          <cell r="AA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I708">
            <v>0</v>
          </cell>
          <cell r="AJ708">
            <v>0</v>
          </cell>
          <cell r="AL708">
            <v>0</v>
          </cell>
          <cell r="AM708">
            <v>0</v>
          </cell>
          <cell r="AO708">
            <v>0</v>
          </cell>
          <cell r="AP708">
            <v>0</v>
          </cell>
          <cell r="AR708">
            <v>0</v>
          </cell>
          <cell r="AS708">
            <v>0</v>
          </cell>
          <cell r="BF708" t="str">
            <v>5800</v>
          </cell>
          <cell r="BG708" t="str">
            <v>J007</v>
          </cell>
          <cell r="BH708" t="str">
            <v>GBM</v>
          </cell>
        </row>
        <row r="709">
          <cell r="K709">
            <v>0</v>
          </cell>
          <cell r="L709">
            <v>0</v>
          </cell>
          <cell r="N709">
            <v>0</v>
          </cell>
          <cell r="O709">
            <v>0</v>
          </cell>
          <cell r="Q709">
            <v>0</v>
          </cell>
          <cell r="R709">
            <v>0</v>
          </cell>
          <cell r="T709">
            <v>0</v>
          </cell>
          <cell r="U709">
            <v>0</v>
          </cell>
          <cell r="W709">
            <v>0</v>
          </cell>
          <cell r="X709">
            <v>0</v>
          </cell>
          <cell r="Z709">
            <v>0</v>
          </cell>
          <cell r="AA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I709">
            <v>0</v>
          </cell>
          <cell r="AJ709">
            <v>0</v>
          </cell>
          <cell r="AL709">
            <v>0</v>
          </cell>
          <cell r="AM709">
            <v>0</v>
          </cell>
          <cell r="AO709">
            <v>0</v>
          </cell>
          <cell r="AP709">
            <v>0</v>
          </cell>
          <cell r="AR709">
            <v>0</v>
          </cell>
          <cell r="AS709">
            <v>0</v>
          </cell>
          <cell r="BF709" t="str">
            <v>6000</v>
          </cell>
          <cell r="BG709" t="str">
            <v>K001</v>
          </cell>
          <cell r="BH709" t="str">
            <v>GBM</v>
          </cell>
        </row>
        <row r="710">
          <cell r="K710">
            <v>0</v>
          </cell>
          <cell r="L710">
            <v>0</v>
          </cell>
          <cell r="N710">
            <v>0</v>
          </cell>
          <cell r="O710">
            <v>0</v>
          </cell>
          <cell r="Q710">
            <v>0</v>
          </cell>
          <cell r="R710">
            <v>0</v>
          </cell>
          <cell r="T710">
            <v>0</v>
          </cell>
          <cell r="U710">
            <v>0</v>
          </cell>
          <cell r="W710">
            <v>0</v>
          </cell>
          <cell r="X710">
            <v>0</v>
          </cell>
          <cell r="Z710">
            <v>0</v>
          </cell>
          <cell r="AA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I710">
            <v>0</v>
          </cell>
          <cell r="AJ710">
            <v>0</v>
          </cell>
          <cell r="AL710">
            <v>0</v>
          </cell>
          <cell r="AM710">
            <v>0</v>
          </cell>
          <cell r="AO710">
            <v>0</v>
          </cell>
          <cell r="AP710">
            <v>0</v>
          </cell>
          <cell r="AR710">
            <v>0</v>
          </cell>
          <cell r="AS710">
            <v>0</v>
          </cell>
          <cell r="BF710" t="str">
            <v>6000</v>
          </cell>
          <cell r="BG710" t="str">
            <v>K002</v>
          </cell>
          <cell r="BH710" t="str">
            <v>GBM</v>
          </cell>
        </row>
        <row r="711">
          <cell r="K711">
            <v>0</v>
          </cell>
          <cell r="L711">
            <v>0</v>
          </cell>
          <cell r="N711">
            <v>0</v>
          </cell>
          <cell r="O711">
            <v>0</v>
          </cell>
          <cell r="Q711">
            <v>0</v>
          </cell>
          <cell r="R711">
            <v>0</v>
          </cell>
          <cell r="T711">
            <v>0</v>
          </cell>
          <cell r="U711">
            <v>0</v>
          </cell>
          <cell r="W711">
            <v>0</v>
          </cell>
          <cell r="X711">
            <v>0</v>
          </cell>
          <cell r="Z711">
            <v>0</v>
          </cell>
          <cell r="AA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I711">
            <v>0</v>
          </cell>
          <cell r="AJ711">
            <v>0</v>
          </cell>
          <cell r="AL711">
            <v>0</v>
          </cell>
          <cell r="AM711">
            <v>0</v>
          </cell>
          <cell r="AO711">
            <v>0</v>
          </cell>
          <cell r="AP711">
            <v>0</v>
          </cell>
          <cell r="AR711">
            <v>0</v>
          </cell>
          <cell r="AS711">
            <v>0</v>
          </cell>
          <cell r="BF711" t="str">
            <v>6100</v>
          </cell>
          <cell r="BG711" t="str">
            <v>K001</v>
          </cell>
          <cell r="BH711" t="str">
            <v>GBM</v>
          </cell>
        </row>
        <row r="712">
          <cell r="K712">
            <v>0</v>
          </cell>
          <cell r="L712">
            <v>0</v>
          </cell>
          <cell r="N712">
            <v>0</v>
          </cell>
          <cell r="O712">
            <v>0</v>
          </cell>
          <cell r="Q712">
            <v>0</v>
          </cell>
          <cell r="R712">
            <v>0</v>
          </cell>
          <cell r="T712">
            <v>0</v>
          </cell>
          <cell r="U712">
            <v>0</v>
          </cell>
          <cell r="W712">
            <v>0</v>
          </cell>
          <cell r="X712">
            <v>0</v>
          </cell>
          <cell r="Z712">
            <v>0</v>
          </cell>
          <cell r="AA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I712">
            <v>0</v>
          </cell>
          <cell r="AJ712">
            <v>0</v>
          </cell>
          <cell r="AL712">
            <v>0</v>
          </cell>
          <cell r="AM712">
            <v>0</v>
          </cell>
          <cell r="AO712">
            <v>0</v>
          </cell>
          <cell r="AP712">
            <v>0</v>
          </cell>
          <cell r="AR712">
            <v>0</v>
          </cell>
          <cell r="AS712">
            <v>0</v>
          </cell>
          <cell r="BF712" t="str">
            <v>6100</v>
          </cell>
          <cell r="BG712" t="str">
            <v>K002</v>
          </cell>
          <cell r="BH712" t="str">
            <v>GBM</v>
          </cell>
        </row>
        <row r="713">
          <cell r="K713">
            <v>0</v>
          </cell>
          <cell r="L713">
            <v>0</v>
          </cell>
          <cell r="N713">
            <v>0</v>
          </cell>
          <cell r="O713">
            <v>0</v>
          </cell>
          <cell r="Q713">
            <v>0</v>
          </cell>
          <cell r="R713">
            <v>0</v>
          </cell>
          <cell r="T713">
            <v>0</v>
          </cell>
          <cell r="U713">
            <v>0</v>
          </cell>
          <cell r="W713">
            <v>0</v>
          </cell>
          <cell r="X713">
            <v>0</v>
          </cell>
          <cell r="Z713">
            <v>0</v>
          </cell>
          <cell r="AA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I713">
            <v>0</v>
          </cell>
          <cell r="AJ713">
            <v>0</v>
          </cell>
          <cell r="AL713">
            <v>0</v>
          </cell>
          <cell r="AM713">
            <v>0</v>
          </cell>
          <cell r="AO713">
            <v>0</v>
          </cell>
          <cell r="AP713">
            <v>0</v>
          </cell>
          <cell r="AR713">
            <v>0</v>
          </cell>
          <cell r="AS713">
            <v>0</v>
          </cell>
          <cell r="BF713" t="str">
            <v>6200</v>
          </cell>
          <cell r="BG713" t="str">
            <v>K001</v>
          </cell>
          <cell r="BH713" t="str">
            <v>GBM</v>
          </cell>
        </row>
        <row r="714">
          <cell r="K714">
            <v>0</v>
          </cell>
          <cell r="L714">
            <v>0</v>
          </cell>
          <cell r="N714">
            <v>0</v>
          </cell>
          <cell r="O714">
            <v>0</v>
          </cell>
          <cell r="Q714">
            <v>0</v>
          </cell>
          <cell r="R714">
            <v>0</v>
          </cell>
          <cell r="T714">
            <v>0</v>
          </cell>
          <cell r="U714">
            <v>0</v>
          </cell>
          <cell r="W714">
            <v>0</v>
          </cell>
          <cell r="X714">
            <v>0</v>
          </cell>
          <cell r="Z714">
            <v>0</v>
          </cell>
          <cell r="AA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I714">
            <v>0</v>
          </cell>
          <cell r="AJ714">
            <v>0</v>
          </cell>
          <cell r="AL714">
            <v>0</v>
          </cell>
          <cell r="AM714">
            <v>0</v>
          </cell>
          <cell r="AO714">
            <v>0</v>
          </cell>
          <cell r="AP714">
            <v>0</v>
          </cell>
          <cell r="AR714">
            <v>0</v>
          </cell>
          <cell r="AS714">
            <v>0</v>
          </cell>
          <cell r="BF714" t="str">
            <v>6200</v>
          </cell>
          <cell r="BG714" t="str">
            <v>K002</v>
          </cell>
          <cell r="BH714" t="str">
            <v>GBM</v>
          </cell>
        </row>
        <row r="715">
          <cell r="K715">
            <v>0</v>
          </cell>
          <cell r="L715">
            <v>0</v>
          </cell>
          <cell r="N715">
            <v>0</v>
          </cell>
          <cell r="O715">
            <v>0</v>
          </cell>
          <cell r="Q715">
            <v>0</v>
          </cell>
          <cell r="R715">
            <v>0</v>
          </cell>
          <cell r="T715">
            <v>0</v>
          </cell>
          <cell r="U715">
            <v>0</v>
          </cell>
          <cell r="W715">
            <v>0</v>
          </cell>
          <cell r="X715">
            <v>0</v>
          </cell>
          <cell r="Z715">
            <v>0</v>
          </cell>
          <cell r="AA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I715">
            <v>0</v>
          </cell>
          <cell r="AJ715">
            <v>0</v>
          </cell>
          <cell r="AL715">
            <v>0</v>
          </cell>
          <cell r="AM715">
            <v>0</v>
          </cell>
          <cell r="AO715">
            <v>0</v>
          </cell>
          <cell r="AP715">
            <v>0</v>
          </cell>
          <cell r="AR715">
            <v>0</v>
          </cell>
          <cell r="AS715">
            <v>0</v>
          </cell>
          <cell r="BF715" t="str">
            <v>6300</v>
          </cell>
          <cell r="BG715" t="str">
            <v>K001</v>
          </cell>
          <cell r="BH715" t="str">
            <v>GBM</v>
          </cell>
        </row>
        <row r="716">
          <cell r="K716">
            <v>0</v>
          </cell>
          <cell r="L716">
            <v>0</v>
          </cell>
          <cell r="N716">
            <v>0</v>
          </cell>
          <cell r="O716">
            <v>0</v>
          </cell>
          <cell r="Q716">
            <v>0</v>
          </cell>
          <cell r="R716">
            <v>0</v>
          </cell>
          <cell r="T716">
            <v>0</v>
          </cell>
          <cell r="U716">
            <v>0</v>
          </cell>
          <cell r="W716">
            <v>0</v>
          </cell>
          <cell r="X716">
            <v>0</v>
          </cell>
          <cell r="Z716">
            <v>0</v>
          </cell>
          <cell r="AA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I716">
            <v>0</v>
          </cell>
          <cell r="AJ716">
            <v>0</v>
          </cell>
          <cell r="AL716">
            <v>0</v>
          </cell>
          <cell r="AM716">
            <v>0</v>
          </cell>
          <cell r="AO716">
            <v>0</v>
          </cell>
          <cell r="AP716">
            <v>0</v>
          </cell>
          <cell r="AR716">
            <v>0</v>
          </cell>
          <cell r="AS716">
            <v>0</v>
          </cell>
          <cell r="BF716" t="str">
            <v>6300</v>
          </cell>
          <cell r="BG716" t="str">
            <v>K002</v>
          </cell>
          <cell r="BH716" t="str">
            <v>GBM</v>
          </cell>
        </row>
        <row r="717">
          <cell r="K717">
            <v>0</v>
          </cell>
          <cell r="L717">
            <v>0</v>
          </cell>
          <cell r="N717">
            <v>0</v>
          </cell>
          <cell r="O717">
            <v>0</v>
          </cell>
          <cell r="Q717">
            <v>0</v>
          </cell>
          <cell r="R717">
            <v>0</v>
          </cell>
          <cell r="T717">
            <v>0</v>
          </cell>
          <cell r="U717">
            <v>0</v>
          </cell>
          <cell r="W717">
            <v>0</v>
          </cell>
          <cell r="X717">
            <v>0</v>
          </cell>
          <cell r="Z717">
            <v>0</v>
          </cell>
          <cell r="AA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I717">
            <v>0</v>
          </cell>
          <cell r="AJ717">
            <v>0</v>
          </cell>
          <cell r="AL717">
            <v>0</v>
          </cell>
          <cell r="AM717">
            <v>0</v>
          </cell>
          <cell r="AO717">
            <v>0</v>
          </cell>
          <cell r="AP717">
            <v>0</v>
          </cell>
          <cell r="AR717">
            <v>0</v>
          </cell>
          <cell r="AS717">
            <v>0</v>
          </cell>
          <cell r="BF717" t="str">
            <v>6400</v>
          </cell>
          <cell r="BG717" t="str">
            <v>K001</v>
          </cell>
          <cell r="BH717" t="str">
            <v>GBM</v>
          </cell>
        </row>
        <row r="718">
          <cell r="K718">
            <v>0</v>
          </cell>
          <cell r="L718">
            <v>0</v>
          </cell>
          <cell r="N718">
            <v>0</v>
          </cell>
          <cell r="O718">
            <v>0</v>
          </cell>
          <cell r="Q718">
            <v>0</v>
          </cell>
          <cell r="R718">
            <v>0</v>
          </cell>
          <cell r="T718">
            <v>0</v>
          </cell>
          <cell r="U718">
            <v>0</v>
          </cell>
          <cell r="W718">
            <v>0</v>
          </cell>
          <cell r="X718">
            <v>0</v>
          </cell>
          <cell r="Z718">
            <v>0</v>
          </cell>
          <cell r="AA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I718">
            <v>0</v>
          </cell>
          <cell r="AJ718">
            <v>0</v>
          </cell>
          <cell r="AL718">
            <v>0</v>
          </cell>
          <cell r="AM718">
            <v>0</v>
          </cell>
          <cell r="AO718">
            <v>0</v>
          </cell>
          <cell r="AP718">
            <v>0</v>
          </cell>
          <cell r="AR718">
            <v>0</v>
          </cell>
          <cell r="AS718">
            <v>0</v>
          </cell>
          <cell r="BF718" t="str">
            <v>6400</v>
          </cell>
          <cell r="BG718" t="str">
            <v>K002</v>
          </cell>
          <cell r="BH718" t="str">
            <v>GBM</v>
          </cell>
        </row>
        <row r="719">
          <cell r="K719">
            <v>36000</v>
          </cell>
          <cell r="L719">
            <v>0</v>
          </cell>
          <cell r="N719">
            <v>36000</v>
          </cell>
          <cell r="O719">
            <v>0</v>
          </cell>
          <cell r="Q719">
            <v>117100</v>
          </cell>
          <cell r="R719">
            <v>0</v>
          </cell>
          <cell r="T719">
            <v>36000</v>
          </cell>
          <cell r="U719">
            <v>0</v>
          </cell>
          <cell r="W719">
            <v>36000</v>
          </cell>
          <cell r="X719">
            <v>0</v>
          </cell>
          <cell r="Z719">
            <v>36000</v>
          </cell>
          <cell r="AA719">
            <v>0</v>
          </cell>
          <cell r="AC719">
            <v>58850</v>
          </cell>
          <cell r="AD719">
            <v>0</v>
          </cell>
          <cell r="AF719">
            <v>41000</v>
          </cell>
          <cell r="AG719">
            <v>0</v>
          </cell>
          <cell r="AI719">
            <v>26000</v>
          </cell>
          <cell r="AJ719">
            <v>0</v>
          </cell>
          <cell r="AL719">
            <v>26000</v>
          </cell>
          <cell r="AM719">
            <v>0</v>
          </cell>
          <cell r="AO719">
            <v>41000</v>
          </cell>
          <cell r="AP719">
            <v>0</v>
          </cell>
          <cell r="AR719">
            <v>26000</v>
          </cell>
          <cell r="AS719">
            <v>0</v>
          </cell>
          <cell r="BF719" t="str">
            <v>6500</v>
          </cell>
          <cell r="BG719" t="str">
            <v>K001</v>
          </cell>
          <cell r="BH719" t="str">
            <v>GBM</v>
          </cell>
        </row>
        <row r="720">
          <cell r="K720">
            <v>-5300</v>
          </cell>
          <cell r="L720">
            <v>0</v>
          </cell>
          <cell r="N720">
            <v>-5900</v>
          </cell>
          <cell r="O720">
            <v>0</v>
          </cell>
          <cell r="Q720">
            <v>-6500</v>
          </cell>
          <cell r="R720">
            <v>0</v>
          </cell>
          <cell r="T720">
            <v>-7100</v>
          </cell>
          <cell r="U720">
            <v>0</v>
          </cell>
          <cell r="W720">
            <v>-7700</v>
          </cell>
          <cell r="X720">
            <v>0</v>
          </cell>
          <cell r="Z720">
            <v>-8300</v>
          </cell>
          <cell r="AA720">
            <v>0</v>
          </cell>
          <cell r="AC720">
            <v>-8733</v>
          </cell>
          <cell r="AD720">
            <v>0</v>
          </cell>
          <cell r="AF720">
            <v>-9166.6699999999983</v>
          </cell>
          <cell r="AG720">
            <v>0</v>
          </cell>
          <cell r="AI720">
            <v>-9600</v>
          </cell>
          <cell r="AJ720">
            <v>0</v>
          </cell>
          <cell r="AL720">
            <v>-10033</v>
          </cell>
          <cell r="AM720">
            <v>0</v>
          </cell>
          <cell r="AO720">
            <v>-10717.330000000002</v>
          </cell>
          <cell r="AP720">
            <v>0</v>
          </cell>
          <cell r="AR720">
            <v>-11650</v>
          </cell>
          <cell r="AS720">
            <v>0</v>
          </cell>
          <cell r="BF720" t="str">
            <v>6500</v>
          </cell>
          <cell r="BG720" t="str">
            <v>K002</v>
          </cell>
          <cell r="BH720" t="str">
            <v>GBM</v>
          </cell>
        </row>
        <row r="721">
          <cell r="K721">
            <v>0</v>
          </cell>
          <cell r="L721">
            <v>0</v>
          </cell>
          <cell r="N721">
            <v>0</v>
          </cell>
          <cell r="O721">
            <v>0</v>
          </cell>
          <cell r="Q721">
            <v>0</v>
          </cell>
          <cell r="R721">
            <v>0</v>
          </cell>
          <cell r="T721">
            <v>0</v>
          </cell>
          <cell r="U721">
            <v>0</v>
          </cell>
          <cell r="W721">
            <v>0</v>
          </cell>
          <cell r="X721">
            <v>0</v>
          </cell>
          <cell r="Z721">
            <v>0</v>
          </cell>
          <cell r="AA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I721">
            <v>0</v>
          </cell>
          <cell r="AJ721">
            <v>0</v>
          </cell>
          <cell r="AL721">
            <v>0</v>
          </cell>
          <cell r="AM721">
            <v>0</v>
          </cell>
          <cell r="AO721">
            <v>0</v>
          </cell>
          <cell r="AP721">
            <v>0</v>
          </cell>
          <cell r="AR721">
            <v>0</v>
          </cell>
          <cell r="AS721">
            <v>0</v>
          </cell>
          <cell r="BF721" t="str">
            <v>6600</v>
          </cell>
          <cell r="BG721" t="str">
            <v>K001</v>
          </cell>
          <cell r="BH721" t="str">
            <v>GBM</v>
          </cell>
        </row>
        <row r="722">
          <cell r="K722">
            <v>0</v>
          </cell>
          <cell r="L722">
            <v>0</v>
          </cell>
          <cell r="N722">
            <v>0</v>
          </cell>
          <cell r="O722">
            <v>0</v>
          </cell>
          <cell r="Q722">
            <v>0</v>
          </cell>
          <cell r="R722">
            <v>0</v>
          </cell>
          <cell r="T722">
            <v>0</v>
          </cell>
          <cell r="U722">
            <v>0</v>
          </cell>
          <cell r="W722">
            <v>0</v>
          </cell>
          <cell r="X722">
            <v>0</v>
          </cell>
          <cell r="Z722">
            <v>0</v>
          </cell>
          <cell r="AA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I722">
            <v>0</v>
          </cell>
          <cell r="AJ722">
            <v>0</v>
          </cell>
          <cell r="AL722">
            <v>0</v>
          </cell>
          <cell r="AM722">
            <v>0</v>
          </cell>
          <cell r="AO722">
            <v>0</v>
          </cell>
          <cell r="AP722">
            <v>0</v>
          </cell>
          <cell r="AR722">
            <v>0</v>
          </cell>
          <cell r="AS722">
            <v>0</v>
          </cell>
          <cell r="BF722" t="str">
            <v>6600</v>
          </cell>
          <cell r="BG722" t="str">
            <v>K002</v>
          </cell>
          <cell r="BH722" t="str">
            <v>GBM</v>
          </cell>
        </row>
        <row r="723">
          <cell r="K723">
            <v>0</v>
          </cell>
          <cell r="L723">
            <v>0</v>
          </cell>
          <cell r="N723">
            <v>0</v>
          </cell>
          <cell r="O723">
            <v>0</v>
          </cell>
          <cell r="Q723">
            <v>0</v>
          </cell>
          <cell r="R723">
            <v>0</v>
          </cell>
          <cell r="T723">
            <v>2449.6499999999978</v>
          </cell>
          <cell r="U723">
            <v>0</v>
          </cell>
          <cell r="W723">
            <v>-222.70000000000073</v>
          </cell>
          <cell r="X723">
            <v>0</v>
          </cell>
          <cell r="Z723">
            <v>-222.70000000000073</v>
          </cell>
          <cell r="AA723">
            <v>0</v>
          </cell>
          <cell r="AC723">
            <v>-222.70000000000073</v>
          </cell>
          <cell r="AD723">
            <v>0</v>
          </cell>
          <cell r="AF723">
            <v>156960.13</v>
          </cell>
          <cell r="AG723">
            <v>0</v>
          </cell>
          <cell r="AI723">
            <v>-222.69999999998254</v>
          </cell>
          <cell r="AJ723">
            <v>0</v>
          </cell>
          <cell r="AL723">
            <v>57027.299999999988</v>
          </cell>
          <cell r="AM723">
            <v>0</v>
          </cell>
          <cell r="AO723">
            <v>-29437.489999999991</v>
          </cell>
          <cell r="AP723">
            <v>0</v>
          </cell>
          <cell r="AR723">
            <v>7411.0999999999767</v>
          </cell>
          <cell r="AS723">
            <v>0</v>
          </cell>
          <cell r="BF723" t="str">
            <v>7000</v>
          </cell>
          <cell r="BG723" t="str">
            <v>Z000</v>
          </cell>
          <cell r="BH723" t="str">
            <v>GBM</v>
          </cell>
        </row>
        <row r="724">
          <cell r="K724">
            <v>0</v>
          </cell>
          <cell r="L724">
            <v>0</v>
          </cell>
          <cell r="N724">
            <v>0</v>
          </cell>
          <cell r="O724">
            <v>0</v>
          </cell>
          <cell r="Q724">
            <v>0</v>
          </cell>
          <cell r="R724">
            <v>0</v>
          </cell>
          <cell r="T724">
            <v>0</v>
          </cell>
          <cell r="U724">
            <v>0</v>
          </cell>
          <cell r="W724">
            <v>0</v>
          </cell>
          <cell r="X724">
            <v>0</v>
          </cell>
          <cell r="Z724">
            <v>0</v>
          </cell>
          <cell r="AA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I724">
            <v>0</v>
          </cell>
          <cell r="AJ724">
            <v>0</v>
          </cell>
          <cell r="AL724">
            <v>0</v>
          </cell>
          <cell r="AM724">
            <v>0</v>
          </cell>
          <cell r="AO724">
            <v>0</v>
          </cell>
          <cell r="AP724">
            <v>0</v>
          </cell>
          <cell r="AR724">
            <v>0</v>
          </cell>
          <cell r="AS724">
            <v>0</v>
          </cell>
          <cell r="BF724" t="str">
            <v>7100</v>
          </cell>
          <cell r="BG724" t="str">
            <v>Z000</v>
          </cell>
          <cell r="BH724" t="str">
            <v>GBM</v>
          </cell>
        </row>
        <row r="725">
          <cell r="K725">
            <v>0</v>
          </cell>
          <cell r="L725">
            <v>0</v>
          </cell>
          <cell r="N725">
            <v>0</v>
          </cell>
          <cell r="O725">
            <v>0</v>
          </cell>
          <cell r="Q725">
            <v>0</v>
          </cell>
          <cell r="R725">
            <v>0</v>
          </cell>
          <cell r="T725">
            <v>0</v>
          </cell>
          <cell r="U725">
            <v>0</v>
          </cell>
          <cell r="W725">
            <v>0</v>
          </cell>
          <cell r="X725">
            <v>0</v>
          </cell>
          <cell r="Z725">
            <v>0</v>
          </cell>
          <cell r="AA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I725">
            <v>0</v>
          </cell>
          <cell r="AJ725">
            <v>0</v>
          </cell>
          <cell r="AL725">
            <v>0</v>
          </cell>
          <cell r="AM725">
            <v>0</v>
          </cell>
          <cell r="AO725">
            <v>0</v>
          </cell>
          <cell r="AP725">
            <v>0</v>
          </cell>
          <cell r="AR725">
            <v>0</v>
          </cell>
          <cell r="AS725">
            <v>0</v>
          </cell>
          <cell r="BF725" t="str">
            <v>7300</v>
          </cell>
          <cell r="BG725" t="str">
            <v>Z000</v>
          </cell>
          <cell r="BH725" t="str">
            <v>GBM</v>
          </cell>
        </row>
        <row r="726">
          <cell r="K726">
            <v>0</v>
          </cell>
          <cell r="L726">
            <v>0</v>
          </cell>
          <cell r="N726">
            <v>0</v>
          </cell>
          <cell r="O726">
            <v>0</v>
          </cell>
          <cell r="Q726">
            <v>0</v>
          </cell>
          <cell r="R726">
            <v>0</v>
          </cell>
          <cell r="T726">
            <v>0</v>
          </cell>
          <cell r="U726">
            <v>0</v>
          </cell>
          <cell r="W726">
            <v>0</v>
          </cell>
          <cell r="X726">
            <v>0</v>
          </cell>
          <cell r="Z726">
            <v>0</v>
          </cell>
          <cell r="AA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I726">
            <v>0</v>
          </cell>
          <cell r="AJ726">
            <v>0</v>
          </cell>
          <cell r="AL726">
            <v>0</v>
          </cell>
          <cell r="AM726">
            <v>0</v>
          </cell>
          <cell r="AO726">
            <v>0</v>
          </cell>
          <cell r="AP726">
            <v>0</v>
          </cell>
          <cell r="AR726">
            <v>0</v>
          </cell>
          <cell r="AS726">
            <v>0</v>
          </cell>
          <cell r="BF726" t="str">
            <v>7350</v>
          </cell>
          <cell r="BG726" t="str">
            <v>Z000</v>
          </cell>
          <cell r="BH726" t="str">
            <v>GBM</v>
          </cell>
        </row>
        <row r="727">
          <cell r="K727">
            <v>0</v>
          </cell>
          <cell r="L727">
            <v>0</v>
          </cell>
          <cell r="N727">
            <v>0</v>
          </cell>
          <cell r="O727">
            <v>0</v>
          </cell>
          <cell r="Q727">
            <v>0</v>
          </cell>
          <cell r="R727">
            <v>0</v>
          </cell>
          <cell r="T727">
            <v>0</v>
          </cell>
          <cell r="U727">
            <v>0</v>
          </cell>
          <cell r="W727">
            <v>0</v>
          </cell>
          <cell r="X727">
            <v>0</v>
          </cell>
          <cell r="Z727">
            <v>0</v>
          </cell>
          <cell r="AA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I727">
            <v>0</v>
          </cell>
          <cell r="AJ727">
            <v>0</v>
          </cell>
          <cell r="AL727">
            <v>0</v>
          </cell>
          <cell r="AM727">
            <v>0</v>
          </cell>
          <cell r="AO727">
            <v>0</v>
          </cell>
          <cell r="AP727">
            <v>0</v>
          </cell>
          <cell r="AR727">
            <v>0</v>
          </cell>
          <cell r="AS727">
            <v>0</v>
          </cell>
          <cell r="BF727" t="str">
            <v>7400</v>
          </cell>
          <cell r="BG727" t="str">
            <v>Z000</v>
          </cell>
          <cell r="BH727" t="str">
            <v>GBM</v>
          </cell>
        </row>
        <row r="728">
          <cell r="K728">
            <v>0</v>
          </cell>
          <cell r="L728">
            <v>0</v>
          </cell>
          <cell r="N728">
            <v>0</v>
          </cell>
          <cell r="O728">
            <v>0</v>
          </cell>
          <cell r="Q728">
            <v>0</v>
          </cell>
          <cell r="R728">
            <v>0</v>
          </cell>
          <cell r="T728">
            <v>0</v>
          </cell>
          <cell r="U728">
            <v>0</v>
          </cell>
          <cell r="W728">
            <v>50000</v>
          </cell>
          <cell r="X728">
            <v>0</v>
          </cell>
          <cell r="Z728">
            <v>-50000</v>
          </cell>
          <cell r="AA728">
            <v>0</v>
          </cell>
          <cell r="AC728">
            <v>0</v>
          </cell>
          <cell r="AD728">
            <v>0</v>
          </cell>
          <cell r="AF728">
            <v>18732.660000000003</v>
          </cell>
          <cell r="AG728">
            <v>0</v>
          </cell>
          <cell r="AI728">
            <v>42298.090000000011</v>
          </cell>
          <cell r="AJ728">
            <v>0</v>
          </cell>
          <cell r="AL728">
            <v>-61030.749999999985</v>
          </cell>
          <cell r="AM728">
            <v>0</v>
          </cell>
          <cell r="AO728">
            <v>34125.94</v>
          </cell>
          <cell r="AP728">
            <v>0</v>
          </cell>
          <cell r="AR728">
            <v>33025.100000000006</v>
          </cell>
          <cell r="AS728">
            <v>0</v>
          </cell>
          <cell r="BF728" t="str">
            <v>7500</v>
          </cell>
          <cell r="BG728" t="str">
            <v>Z000</v>
          </cell>
          <cell r="BH728" t="str">
            <v>GBM</v>
          </cell>
        </row>
        <row r="729">
          <cell r="K729">
            <v>0</v>
          </cell>
          <cell r="L729">
            <v>0</v>
          </cell>
          <cell r="N729">
            <v>0</v>
          </cell>
          <cell r="O729">
            <v>0</v>
          </cell>
          <cell r="Q729">
            <v>0</v>
          </cell>
          <cell r="R729">
            <v>0</v>
          </cell>
          <cell r="T729">
            <v>0</v>
          </cell>
          <cell r="U729">
            <v>0</v>
          </cell>
          <cell r="W729">
            <v>0</v>
          </cell>
          <cell r="X729">
            <v>0</v>
          </cell>
          <cell r="Z729">
            <v>0</v>
          </cell>
          <cell r="AA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I729">
            <v>0</v>
          </cell>
          <cell r="AJ729">
            <v>0</v>
          </cell>
          <cell r="AL729">
            <v>0</v>
          </cell>
          <cell r="AM729">
            <v>0</v>
          </cell>
          <cell r="AO729">
            <v>0</v>
          </cell>
          <cell r="AP729">
            <v>0</v>
          </cell>
          <cell r="AR729">
            <v>0</v>
          </cell>
          <cell r="AS729">
            <v>0</v>
          </cell>
          <cell r="BF729" t="str">
            <v>7600</v>
          </cell>
          <cell r="BG729" t="str">
            <v>Z000</v>
          </cell>
          <cell r="BH729" t="str">
            <v>GBM</v>
          </cell>
        </row>
        <row r="730">
          <cell r="K730">
            <v>0</v>
          </cell>
          <cell r="L730">
            <v>0</v>
          </cell>
          <cell r="N730">
            <v>0</v>
          </cell>
          <cell r="O730">
            <v>0</v>
          </cell>
          <cell r="Q730">
            <v>0</v>
          </cell>
          <cell r="R730">
            <v>0</v>
          </cell>
          <cell r="T730">
            <v>0</v>
          </cell>
          <cell r="U730">
            <v>0</v>
          </cell>
          <cell r="W730">
            <v>0</v>
          </cell>
          <cell r="X730">
            <v>0</v>
          </cell>
          <cell r="Z730">
            <v>0</v>
          </cell>
          <cell r="AA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I730">
            <v>0</v>
          </cell>
          <cell r="AJ730">
            <v>0</v>
          </cell>
          <cell r="AL730">
            <v>0</v>
          </cell>
          <cell r="AM730">
            <v>0</v>
          </cell>
          <cell r="AO730">
            <v>0</v>
          </cell>
          <cell r="AP730">
            <v>0</v>
          </cell>
          <cell r="AR730">
            <v>0</v>
          </cell>
          <cell r="AS730">
            <v>0</v>
          </cell>
          <cell r="BF730" t="str">
            <v>7700</v>
          </cell>
          <cell r="BG730" t="str">
            <v>Z000</v>
          </cell>
          <cell r="BH730" t="str">
            <v>GBM</v>
          </cell>
        </row>
        <row r="731">
          <cell r="K731">
            <v>0</v>
          </cell>
          <cell r="L731">
            <v>0</v>
          </cell>
          <cell r="N731">
            <v>0</v>
          </cell>
          <cell r="O731">
            <v>0</v>
          </cell>
          <cell r="Q731">
            <v>0</v>
          </cell>
          <cell r="R731">
            <v>0</v>
          </cell>
          <cell r="T731">
            <v>0</v>
          </cell>
          <cell r="U731">
            <v>0</v>
          </cell>
          <cell r="W731">
            <v>0</v>
          </cell>
          <cell r="X731">
            <v>0</v>
          </cell>
          <cell r="Z731">
            <v>0</v>
          </cell>
          <cell r="AA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I731">
            <v>0</v>
          </cell>
          <cell r="AJ731">
            <v>0</v>
          </cell>
          <cell r="AL731">
            <v>0</v>
          </cell>
          <cell r="AM731">
            <v>0</v>
          </cell>
          <cell r="AO731">
            <v>0</v>
          </cell>
          <cell r="AP731">
            <v>0</v>
          </cell>
          <cell r="AR731">
            <v>0</v>
          </cell>
          <cell r="AS731">
            <v>0</v>
          </cell>
          <cell r="BF731" t="str">
            <v>8002</v>
          </cell>
          <cell r="BG731" t="str">
            <v>Z000</v>
          </cell>
          <cell r="BH731" t="str">
            <v>GBM</v>
          </cell>
        </row>
        <row r="732">
          <cell r="K732">
            <v>0</v>
          </cell>
          <cell r="L732">
            <v>0</v>
          </cell>
          <cell r="N732">
            <v>0</v>
          </cell>
          <cell r="O732">
            <v>0</v>
          </cell>
          <cell r="Q732">
            <v>0</v>
          </cell>
          <cell r="R732">
            <v>0</v>
          </cell>
          <cell r="T732">
            <v>0</v>
          </cell>
          <cell r="U732">
            <v>0</v>
          </cell>
          <cell r="W732">
            <v>0</v>
          </cell>
          <cell r="X732">
            <v>0</v>
          </cell>
          <cell r="Z732">
            <v>0</v>
          </cell>
          <cell r="AA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I732">
            <v>0</v>
          </cell>
          <cell r="AJ732">
            <v>0</v>
          </cell>
          <cell r="AL732">
            <v>0</v>
          </cell>
          <cell r="AM732">
            <v>0</v>
          </cell>
          <cell r="AO732">
            <v>0</v>
          </cell>
          <cell r="AP732">
            <v>0</v>
          </cell>
          <cell r="AR732">
            <v>0</v>
          </cell>
          <cell r="AS732">
            <v>0</v>
          </cell>
          <cell r="BF732" t="str">
            <v>8003</v>
          </cell>
          <cell r="BG732" t="str">
            <v>Z000</v>
          </cell>
          <cell r="BH732" t="str">
            <v>GBM</v>
          </cell>
        </row>
        <row r="733">
          <cell r="K733">
            <v>0</v>
          </cell>
          <cell r="L733">
            <v>0</v>
          </cell>
          <cell r="N733">
            <v>0</v>
          </cell>
          <cell r="O733">
            <v>0</v>
          </cell>
          <cell r="Q733">
            <v>0</v>
          </cell>
          <cell r="R733">
            <v>0</v>
          </cell>
          <cell r="T733">
            <v>0</v>
          </cell>
          <cell r="U733">
            <v>0</v>
          </cell>
          <cell r="W733">
            <v>0</v>
          </cell>
          <cell r="X733">
            <v>0</v>
          </cell>
          <cell r="Z733">
            <v>0</v>
          </cell>
          <cell r="AA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I733">
            <v>0</v>
          </cell>
          <cell r="AJ733">
            <v>0</v>
          </cell>
          <cell r="AL733">
            <v>0</v>
          </cell>
          <cell r="AM733">
            <v>0</v>
          </cell>
          <cell r="AO733">
            <v>0</v>
          </cell>
          <cell r="AP733">
            <v>0</v>
          </cell>
          <cell r="AR733">
            <v>0</v>
          </cell>
          <cell r="AS733">
            <v>0</v>
          </cell>
          <cell r="BF733" t="str">
            <v>8200</v>
          </cell>
          <cell r="BG733" t="str">
            <v>Z000</v>
          </cell>
          <cell r="BH733" t="str">
            <v>GBM</v>
          </cell>
        </row>
        <row r="734">
          <cell r="K734">
            <v>0</v>
          </cell>
          <cell r="L734">
            <v>0</v>
          </cell>
          <cell r="N734">
            <v>0</v>
          </cell>
          <cell r="O734">
            <v>0</v>
          </cell>
          <cell r="Q734">
            <v>0</v>
          </cell>
          <cell r="R734">
            <v>0</v>
          </cell>
          <cell r="T734">
            <v>0</v>
          </cell>
          <cell r="U734">
            <v>0</v>
          </cell>
          <cell r="W734">
            <v>0</v>
          </cell>
          <cell r="X734">
            <v>0</v>
          </cell>
          <cell r="Z734">
            <v>0</v>
          </cell>
          <cell r="AA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I734">
            <v>0</v>
          </cell>
          <cell r="AJ734">
            <v>0</v>
          </cell>
          <cell r="AL734">
            <v>0</v>
          </cell>
          <cell r="AM734">
            <v>0</v>
          </cell>
          <cell r="AO734">
            <v>0</v>
          </cell>
          <cell r="AP734">
            <v>0</v>
          </cell>
          <cell r="AR734">
            <v>0</v>
          </cell>
          <cell r="AS734">
            <v>0</v>
          </cell>
          <cell r="BF734" t="str">
            <v>8201</v>
          </cell>
          <cell r="BG734" t="str">
            <v>Z000</v>
          </cell>
          <cell r="BH734" t="str">
            <v>GBM</v>
          </cell>
        </row>
        <row r="735">
          <cell r="K735">
            <v>0</v>
          </cell>
          <cell r="L735">
            <v>0</v>
          </cell>
          <cell r="N735">
            <v>0</v>
          </cell>
          <cell r="O735">
            <v>0</v>
          </cell>
          <cell r="Q735">
            <v>0</v>
          </cell>
          <cell r="R735">
            <v>0</v>
          </cell>
          <cell r="T735">
            <v>0</v>
          </cell>
          <cell r="U735">
            <v>0</v>
          </cell>
          <cell r="W735">
            <v>0</v>
          </cell>
          <cell r="X735">
            <v>0</v>
          </cell>
          <cell r="Z735">
            <v>0</v>
          </cell>
          <cell r="AA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I735">
            <v>0</v>
          </cell>
          <cell r="AJ735">
            <v>0</v>
          </cell>
          <cell r="AL735">
            <v>0</v>
          </cell>
          <cell r="AM735">
            <v>0</v>
          </cell>
          <cell r="AO735">
            <v>0</v>
          </cell>
          <cell r="AP735">
            <v>0</v>
          </cell>
          <cell r="AR735">
            <v>0</v>
          </cell>
          <cell r="AS735">
            <v>0</v>
          </cell>
          <cell r="BF735" t="str">
            <v>8300</v>
          </cell>
          <cell r="BG735" t="str">
            <v>Z000</v>
          </cell>
          <cell r="BH735" t="str">
            <v>GBM</v>
          </cell>
        </row>
        <row r="736">
          <cell r="K736">
            <v>524071.84999999963</v>
          </cell>
          <cell r="L736">
            <v>0</v>
          </cell>
          <cell r="N736">
            <v>-247311.87999999896</v>
          </cell>
          <cell r="O736">
            <v>0</v>
          </cell>
          <cell r="Q736">
            <v>-608260.41000000015</v>
          </cell>
          <cell r="R736">
            <v>0</v>
          </cell>
          <cell r="T736">
            <v>408407.8900000006</v>
          </cell>
          <cell r="U736">
            <v>0</v>
          </cell>
          <cell r="W736">
            <v>-437006.22000000067</v>
          </cell>
          <cell r="X736">
            <v>0</v>
          </cell>
          <cell r="Z736">
            <v>2004982.3599999994</v>
          </cell>
          <cell r="AA736">
            <v>0</v>
          </cell>
          <cell r="AC736">
            <v>-1361195.3099999987</v>
          </cell>
          <cell r="AD736">
            <v>0</v>
          </cell>
          <cell r="AF736">
            <v>-360370</v>
          </cell>
          <cell r="AG736">
            <v>0</v>
          </cell>
          <cell r="AI736">
            <v>-263486.44999999925</v>
          </cell>
          <cell r="AJ736">
            <v>0</v>
          </cell>
          <cell r="AL736">
            <v>-15054.859999999404</v>
          </cell>
          <cell r="AM736">
            <v>0</v>
          </cell>
          <cell r="AO736">
            <v>102489.97000000253</v>
          </cell>
          <cell r="AP736">
            <v>0</v>
          </cell>
          <cell r="AR736">
            <v>250472.74999999627</v>
          </cell>
          <cell r="AS736">
            <v>0</v>
          </cell>
          <cell r="BF736" t="str">
            <v>8400</v>
          </cell>
          <cell r="BG736" t="str">
            <v>N001</v>
          </cell>
          <cell r="BH736" t="str">
            <v>GBM</v>
          </cell>
        </row>
        <row r="737">
          <cell r="K737">
            <v>0</v>
          </cell>
          <cell r="L737">
            <v>0</v>
          </cell>
          <cell r="N737">
            <v>0</v>
          </cell>
          <cell r="O737">
            <v>0</v>
          </cell>
          <cell r="Q737">
            <v>0</v>
          </cell>
          <cell r="R737">
            <v>0</v>
          </cell>
          <cell r="T737">
            <v>0</v>
          </cell>
          <cell r="U737">
            <v>0</v>
          </cell>
          <cell r="W737">
            <v>0</v>
          </cell>
          <cell r="X737">
            <v>0</v>
          </cell>
          <cell r="Z737">
            <v>0</v>
          </cell>
          <cell r="AA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I737">
            <v>0</v>
          </cell>
          <cell r="AJ737">
            <v>0</v>
          </cell>
          <cell r="AL737">
            <v>0</v>
          </cell>
          <cell r="AM737">
            <v>0</v>
          </cell>
          <cell r="AO737">
            <v>0</v>
          </cell>
          <cell r="AP737">
            <v>0</v>
          </cell>
          <cell r="AR737">
            <v>0</v>
          </cell>
          <cell r="AS737">
            <v>0</v>
          </cell>
          <cell r="BF737" t="str">
            <v>8420</v>
          </cell>
          <cell r="BG737" t="str">
            <v>Z000</v>
          </cell>
          <cell r="BH737" t="str">
            <v>GBM</v>
          </cell>
        </row>
        <row r="738">
          <cell r="K738">
            <v>0</v>
          </cell>
          <cell r="L738">
            <v>0</v>
          </cell>
          <cell r="N738">
            <v>0</v>
          </cell>
          <cell r="O738">
            <v>0</v>
          </cell>
          <cell r="Q738">
            <v>0</v>
          </cell>
          <cell r="R738">
            <v>0</v>
          </cell>
          <cell r="T738">
            <v>0</v>
          </cell>
          <cell r="U738">
            <v>0</v>
          </cell>
          <cell r="W738">
            <v>0</v>
          </cell>
          <cell r="X738">
            <v>0</v>
          </cell>
          <cell r="Z738">
            <v>0</v>
          </cell>
          <cell r="AA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I738">
            <v>0</v>
          </cell>
          <cell r="AJ738">
            <v>0</v>
          </cell>
          <cell r="AL738">
            <v>0</v>
          </cell>
          <cell r="AM738">
            <v>0</v>
          </cell>
          <cell r="AO738">
            <v>0</v>
          </cell>
          <cell r="AP738">
            <v>0</v>
          </cell>
          <cell r="AR738">
            <v>0</v>
          </cell>
          <cell r="AS738">
            <v>0</v>
          </cell>
          <cell r="BF738" t="str">
            <v>8500</v>
          </cell>
          <cell r="BG738" t="str">
            <v>Z000</v>
          </cell>
          <cell r="BH738" t="str">
            <v>GBM</v>
          </cell>
        </row>
        <row r="739">
          <cell r="K739">
            <v>0</v>
          </cell>
          <cell r="L739">
            <v>0</v>
          </cell>
          <cell r="N739">
            <v>0</v>
          </cell>
          <cell r="O739">
            <v>0</v>
          </cell>
          <cell r="Q739">
            <v>0</v>
          </cell>
          <cell r="R739">
            <v>0</v>
          </cell>
          <cell r="T739">
            <v>0</v>
          </cell>
          <cell r="U739">
            <v>0</v>
          </cell>
          <cell r="W739">
            <v>0</v>
          </cell>
          <cell r="X739">
            <v>0</v>
          </cell>
          <cell r="Z739">
            <v>0</v>
          </cell>
          <cell r="AA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I739">
            <v>0</v>
          </cell>
          <cell r="AJ739">
            <v>0</v>
          </cell>
          <cell r="AL739">
            <v>0</v>
          </cell>
          <cell r="AM739">
            <v>0</v>
          </cell>
          <cell r="AO739">
            <v>0</v>
          </cell>
          <cell r="AP739">
            <v>0</v>
          </cell>
          <cell r="AR739">
            <v>0</v>
          </cell>
          <cell r="AS739">
            <v>0</v>
          </cell>
          <cell r="BF739" t="str">
            <v>8600</v>
          </cell>
          <cell r="BG739" t="str">
            <v>P201</v>
          </cell>
          <cell r="BH739" t="str">
            <v>GBM</v>
          </cell>
        </row>
        <row r="740">
          <cell r="K740">
            <v>0</v>
          </cell>
          <cell r="L740">
            <v>0</v>
          </cell>
          <cell r="N740">
            <v>0</v>
          </cell>
          <cell r="O740">
            <v>0</v>
          </cell>
          <cell r="Q740">
            <v>0</v>
          </cell>
          <cell r="R740">
            <v>0</v>
          </cell>
          <cell r="T740">
            <v>0</v>
          </cell>
          <cell r="U740">
            <v>0</v>
          </cell>
          <cell r="W740">
            <v>0</v>
          </cell>
          <cell r="X740">
            <v>0</v>
          </cell>
          <cell r="Z740">
            <v>0</v>
          </cell>
          <cell r="AA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I740">
            <v>0</v>
          </cell>
          <cell r="AJ740">
            <v>0</v>
          </cell>
          <cell r="AL740">
            <v>0</v>
          </cell>
          <cell r="AM740">
            <v>0</v>
          </cell>
          <cell r="AO740">
            <v>0</v>
          </cell>
          <cell r="AP740">
            <v>0</v>
          </cell>
          <cell r="AR740">
            <v>0</v>
          </cell>
          <cell r="AS740">
            <v>0</v>
          </cell>
          <cell r="BF740" t="str">
            <v>8600</v>
          </cell>
          <cell r="BG740" t="str">
            <v>P202</v>
          </cell>
          <cell r="BH740" t="str">
            <v>GBM</v>
          </cell>
        </row>
        <row r="741">
          <cell r="K741">
            <v>0</v>
          </cell>
          <cell r="L741">
            <v>0</v>
          </cell>
          <cell r="N741">
            <v>0</v>
          </cell>
          <cell r="O741">
            <v>0</v>
          </cell>
          <cell r="Q741">
            <v>0</v>
          </cell>
          <cell r="R741">
            <v>0</v>
          </cell>
          <cell r="T741">
            <v>0</v>
          </cell>
          <cell r="U741">
            <v>0</v>
          </cell>
          <cell r="W741">
            <v>0</v>
          </cell>
          <cell r="X741">
            <v>0</v>
          </cell>
          <cell r="Z741">
            <v>0</v>
          </cell>
          <cell r="AA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I741">
            <v>0</v>
          </cell>
          <cell r="AJ741">
            <v>0</v>
          </cell>
          <cell r="AL741">
            <v>0</v>
          </cell>
          <cell r="AM741">
            <v>0</v>
          </cell>
          <cell r="AO741">
            <v>0</v>
          </cell>
          <cell r="AP741">
            <v>0</v>
          </cell>
          <cell r="AR741">
            <v>0</v>
          </cell>
          <cell r="AS741">
            <v>0</v>
          </cell>
          <cell r="BF741" t="str">
            <v>8600</v>
          </cell>
          <cell r="BG741" t="str">
            <v>P203</v>
          </cell>
          <cell r="BH741" t="str">
            <v>GBM</v>
          </cell>
        </row>
        <row r="742">
          <cell r="K742">
            <v>0</v>
          </cell>
          <cell r="L742">
            <v>0</v>
          </cell>
          <cell r="N742">
            <v>0</v>
          </cell>
          <cell r="O742">
            <v>0</v>
          </cell>
          <cell r="Q742">
            <v>0</v>
          </cell>
          <cell r="R742">
            <v>0</v>
          </cell>
          <cell r="T742">
            <v>0</v>
          </cell>
          <cell r="U742">
            <v>0</v>
          </cell>
          <cell r="W742">
            <v>0</v>
          </cell>
          <cell r="X742">
            <v>0</v>
          </cell>
          <cell r="Z742">
            <v>0</v>
          </cell>
          <cell r="AA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I742">
            <v>0</v>
          </cell>
          <cell r="AJ742">
            <v>0</v>
          </cell>
          <cell r="AL742">
            <v>0</v>
          </cell>
          <cell r="AM742">
            <v>0</v>
          </cell>
          <cell r="AO742">
            <v>0</v>
          </cell>
          <cell r="AP742">
            <v>0</v>
          </cell>
          <cell r="AR742">
            <v>0</v>
          </cell>
          <cell r="AS742">
            <v>0</v>
          </cell>
          <cell r="BF742" t="str">
            <v>8600</v>
          </cell>
          <cell r="BG742" t="str">
            <v>P204</v>
          </cell>
          <cell r="BH742" t="str">
            <v>GBM</v>
          </cell>
        </row>
        <row r="743">
          <cell r="K743">
            <v>0</v>
          </cell>
          <cell r="L743">
            <v>0</v>
          </cell>
          <cell r="N743">
            <v>0</v>
          </cell>
          <cell r="O743">
            <v>0</v>
          </cell>
          <cell r="Q743">
            <v>0</v>
          </cell>
          <cell r="R743">
            <v>0</v>
          </cell>
          <cell r="T743">
            <v>0</v>
          </cell>
          <cell r="U743">
            <v>0</v>
          </cell>
          <cell r="W743">
            <v>0</v>
          </cell>
          <cell r="X743">
            <v>0</v>
          </cell>
          <cell r="Z743">
            <v>0</v>
          </cell>
          <cell r="AA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I743">
            <v>0</v>
          </cell>
          <cell r="AJ743">
            <v>0</v>
          </cell>
          <cell r="AL743">
            <v>0</v>
          </cell>
          <cell r="AM743">
            <v>0</v>
          </cell>
          <cell r="AO743">
            <v>0</v>
          </cell>
          <cell r="AP743">
            <v>0</v>
          </cell>
          <cell r="AR743">
            <v>0</v>
          </cell>
          <cell r="AS743">
            <v>0</v>
          </cell>
          <cell r="BF743" t="str">
            <v>8600</v>
          </cell>
          <cell r="BG743" t="str">
            <v>P205</v>
          </cell>
          <cell r="BH743" t="str">
            <v>GBM</v>
          </cell>
        </row>
        <row r="744">
          <cell r="K744">
            <v>0</v>
          </cell>
          <cell r="L744">
            <v>0</v>
          </cell>
          <cell r="N744">
            <v>0</v>
          </cell>
          <cell r="O744">
            <v>0</v>
          </cell>
          <cell r="Q744">
            <v>0</v>
          </cell>
          <cell r="R744">
            <v>0</v>
          </cell>
          <cell r="T744">
            <v>0</v>
          </cell>
          <cell r="U744">
            <v>0</v>
          </cell>
          <cell r="W744">
            <v>0</v>
          </cell>
          <cell r="X744">
            <v>0</v>
          </cell>
          <cell r="Z744">
            <v>0</v>
          </cell>
          <cell r="AA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I744">
            <v>0</v>
          </cell>
          <cell r="AJ744">
            <v>0</v>
          </cell>
          <cell r="AL744">
            <v>0</v>
          </cell>
          <cell r="AM744">
            <v>0</v>
          </cell>
          <cell r="AO744">
            <v>0</v>
          </cell>
          <cell r="AP744">
            <v>0</v>
          </cell>
          <cell r="AR744">
            <v>0</v>
          </cell>
          <cell r="AS744">
            <v>0</v>
          </cell>
          <cell r="BF744" t="str">
            <v>8600</v>
          </cell>
          <cell r="BG744" t="str">
            <v>P206</v>
          </cell>
          <cell r="BH744" t="str">
            <v>GBM</v>
          </cell>
        </row>
        <row r="745">
          <cell r="K745">
            <v>0</v>
          </cell>
          <cell r="L745">
            <v>0</v>
          </cell>
          <cell r="N745">
            <v>0</v>
          </cell>
          <cell r="O745">
            <v>0</v>
          </cell>
          <cell r="Q745">
            <v>0</v>
          </cell>
          <cell r="R745">
            <v>0</v>
          </cell>
          <cell r="T745">
            <v>0</v>
          </cell>
          <cell r="U745">
            <v>0</v>
          </cell>
          <cell r="W745">
            <v>0</v>
          </cell>
          <cell r="X745">
            <v>0</v>
          </cell>
          <cell r="Z745">
            <v>0</v>
          </cell>
          <cell r="AA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I745">
            <v>0</v>
          </cell>
          <cell r="AJ745">
            <v>0</v>
          </cell>
          <cell r="AL745">
            <v>0</v>
          </cell>
          <cell r="AM745">
            <v>0</v>
          </cell>
          <cell r="AO745">
            <v>0</v>
          </cell>
          <cell r="AP745">
            <v>0</v>
          </cell>
          <cell r="AR745">
            <v>0</v>
          </cell>
          <cell r="AS745">
            <v>0</v>
          </cell>
          <cell r="BF745" t="str">
            <v>8600</v>
          </cell>
          <cell r="BG745" t="str">
            <v>P207</v>
          </cell>
          <cell r="BH745" t="str">
            <v>GBM</v>
          </cell>
        </row>
        <row r="746">
          <cell r="K746">
            <v>0</v>
          </cell>
          <cell r="L746">
            <v>0</v>
          </cell>
          <cell r="N746">
            <v>0</v>
          </cell>
          <cell r="O746">
            <v>0</v>
          </cell>
          <cell r="Q746">
            <v>0</v>
          </cell>
          <cell r="R746">
            <v>0</v>
          </cell>
          <cell r="T746">
            <v>0</v>
          </cell>
          <cell r="U746">
            <v>0</v>
          </cell>
          <cell r="W746">
            <v>0</v>
          </cell>
          <cell r="X746">
            <v>0</v>
          </cell>
          <cell r="Z746">
            <v>0</v>
          </cell>
          <cell r="AA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I746">
            <v>0</v>
          </cell>
          <cell r="AJ746">
            <v>0</v>
          </cell>
          <cell r="AL746">
            <v>0</v>
          </cell>
          <cell r="AM746">
            <v>0</v>
          </cell>
          <cell r="AO746">
            <v>0</v>
          </cell>
          <cell r="AP746">
            <v>0</v>
          </cell>
          <cell r="AR746">
            <v>0</v>
          </cell>
          <cell r="AS746">
            <v>0</v>
          </cell>
          <cell r="BF746" t="str">
            <v>8600</v>
          </cell>
          <cell r="BG746" t="str">
            <v>P208</v>
          </cell>
          <cell r="BH746" t="str">
            <v>GBM</v>
          </cell>
        </row>
        <row r="747">
          <cell r="K747">
            <v>0</v>
          </cell>
          <cell r="L747">
            <v>0</v>
          </cell>
          <cell r="N747">
            <v>0</v>
          </cell>
          <cell r="O747">
            <v>0</v>
          </cell>
          <cell r="Q747">
            <v>0</v>
          </cell>
          <cell r="R747">
            <v>0</v>
          </cell>
          <cell r="T747">
            <v>0</v>
          </cell>
          <cell r="U747">
            <v>0</v>
          </cell>
          <cell r="W747">
            <v>0</v>
          </cell>
          <cell r="X747">
            <v>0</v>
          </cell>
          <cell r="Z747">
            <v>0</v>
          </cell>
          <cell r="AA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I747">
            <v>0</v>
          </cell>
          <cell r="AJ747">
            <v>0</v>
          </cell>
          <cell r="AL747">
            <v>0</v>
          </cell>
          <cell r="AM747">
            <v>0</v>
          </cell>
          <cell r="AO747">
            <v>0</v>
          </cell>
          <cell r="AP747">
            <v>0</v>
          </cell>
          <cell r="AR747">
            <v>0</v>
          </cell>
          <cell r="AS747">
            <v>0</v>
          </cell>
          <cell r="BF747" t="str">
            <v>8600</v>
          </cell>
          <cell r="BG747" t="str">
            <v>P209</v>
          </cell>
          <cell r="BH747" t="str">
            <v>GBM</v>
          </cell>
        </row>
        <row r="748">
          <cell r="K748">
            <v>0</v>
          </cell>
          <cell r="L748">
            <v>0</v>
          </cell>
          <cell r="N748">
            <v>0</v>
          </cell>
          <cell r="O748">
            <v>0</v>
          </cell>
          <cell r="Q748">
            <v>0</v>
          </cell>
          <cell r="R748">
            <v>0</v>
          </cell>
          <cell r="T748">
            <v>0</v>
          </cell>
          <cell r="U748">
            <v>0</v>
          </cell>
          <cell r="W748">
            <v>0</v>
          </cell>
          <cell r="X748">
            <v>0</v>
          </cell>
          <cell r="Z748">
            <v>0</v>
          </cell>
          <cell r="AA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I748">
            <v>0</v>
          </cell>
          <cell r="AJ748">
            <v>0</v>
          </cell>
          <cell r="AL748">
            <v>0</v>
          </cell>
          <cell r="AM748">
            <v>0</v>
          </cell>
          <cell r="AO748">
            <v>0</v>
          </cell>
          <cell r="AP748">
            <v>0</v>
          </cell>
          <cell r="AR748">
            <v>0</v>
          </cell>
          <cell r="AS748">
            <v>0</v>
          </cell>
          <cell r="BF748" t="str">
            <v>8600</v>
          </cell>
          <cell r="BG748" t="str">
            <v>P210</v>
          </cell>
          <cell r="BH748" t="str">
            <v>GBM</v>
          </cell>
        </row>
        <row r="749">
          <cell r="K749">
            <v>0</v>
          </cell>
          <cell r="L749">
            <v>0</v>
          </cell>
          <cell r="N749">
            <v>0</v>
          </cell>
          <cell r="O749">
            <v>0</v>
          </cell>
          <cell r="Q749">
            <v>0</v>
          </cell>
          <cell r="R749">
            <v>0</v>
          </cell>
          <cell r="T749">
            <v>0</v>
          </cell>
          <cell r="U749">
            <v>0</v>
          </cell>
          <cell r="W749">
            <v>0</v>
          </cell>
          <cell r="X749">
            <v>0</v>
          </cell>
          <cell r="Z749">
            <v>0</v>
          </cell>
          <cell r="AA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I749">
            <v>0</v>
          </cell>
          <cell r="AJ749">
            <v>0</v>
          </cell>
          <cell r="AL749">
            <v>0</v>
          </cell>
          <cell r="AM749">
            <v>0</v>
          </cell>
          <cell r="AO749">
            <v>0</v>
          </cell>
          <cell r="AP749">
            <v>0</v>
          </cell>
          <cell r="AR749">
            <v>0</v>
          </cell>
          <cell r="AS749">
            <v>0</v>
          </cell>
          <cell r="BF749" t="str">
            <v>8600</v>
          </cell>
          <cell r="BG749" t="str">
            <v>P211</v>
          </cell>
          <cell r="BH749" t="str">
            <v>GBM</v>
          </cell>
        </row>
        <row r="750">
          <cell r="K750">
            <v>2750</v>
          </cell>
          <cell r="L750">
            <v>0</v>
          </cell>
          <cell r="N750">
            <v>2750</v>
          </cell>
          <cell r="O750">
            <v>0</v>
          </cell>
          <cell r="Q750">
            <v>2750</v>
          </cell>
          <cell r="R750">
            <v>0</v>
          </cell>
          <cell r="T750">
            <v>-57250</v>
          </cell>
          <cell r="U750">
            <v>0</v>
          </cell>
          <cell r="W750">
            <v>-20710</v>
          </cell>
          <cell r="X750">
            <v>0</v>
          </cell>
          <cell r="Z750">
            <v>-24450</v>
          </cell>
          <cell r="AA750">
            <v>0</v>
          </cell>
          <cell r="AC750">
            <v>12700</v>
          </cell>
          <cell r="AD750">
            <v>0</v>
          </cell>
          <cell r="AF750">
            <v>43020</v>
          </cell>
          <cell r="AG750">
            <v>0</v>
          </cell>
          <cell r="AI750">
            <v>4100</v>
          </cell>
          <cell r="AJ750">
            <v>0</v>
          </cell>
          <cell r="AL750">
            <v>4100</v>
          </cell>
          <cell r="AM750">
            <v>0</v>
          </cell>
          <cell r="AO750">
            <v>4100</v>
          </cell>
          <cell r="AP750">
            <v>0</v>
          </cell>
          <cell r="AR750">
            <v>-24443.060000000056</v>
          </cell>
          <cell r="AS750">
            <v>0</v>
          </cell>
          <cell r="BF750" t="str">
            <v>9000</v>
          </cell>
          <cell r="BG750" t="str">
            <v>Z000</v>
          </cell>
          <cell r="BH750" t="str">
            <v>GBM</v>
          </cell>
        </row>
        <row r="751">
          <cell r="K751">
            <v>0</v>
          </cell>
          <cell r="L751">
            <v>0</v>
          </cell>
          <cell r="N751">
            <v>0</v>
          </cell>
          <cell r="O751">
            <v>0</v>
          </cell>
          <cell r="Q751">
            <v>0</v>
          </cell>
          <cell r="R751">
            <v>0</v>
          </cell>
          <cell r="T751">
            <v>0</v>
          </cell>
          <cell r="U751">
            <v>0</v>
          </cell>
          <cell r="W751">
            <v>0</v>
          </cell>
          <cell r="X751">
            <v>0</v>
          </cell>
          <cell r="Z751">
            <v>0</v>
          </cell>
          <cell r="AA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I751">
            <v>0</v>
          </cell>
          <cell r="AJ751">
            <v>0</v>
          </cell>
          <cell r="AL751">
            <v>0</v>
          </cell>
          <cell r="AM751">
            <v>0</v>
          </cell>
          <cell r="AO751">
            <v>0</v>
          </cell>
          <cell r="AP751">
            <v>0</v>
          </cell>
          <cell r="AR751">
            <v>0</v>
          </cell>
          <cell r="AS751">
            <v>0</v>
          </cell>
          <cell r="BF751" t="str">
            <v>9050</v>
          </cell>
          <cell r="BG751" t="str">
            <v>Z000</v>
          </cell>
          <cell r="BH751" t="str">
            <v>GBM</v>
          </cell>
        </row>
        <row r="752">
          <cell r="K752">
            <v>0</v>
          </cell>
          <cell r="L752">
            <v>0</v>
          </cell>
          <cell r="N752">
            <v>0</v>
          </cell>
          <cell r="O752">
            <v>0</v>
          </cell>
          <cell r="Q752">
            <v>0</v>
          </cell>
          <cell r="R752">
            <v>0</v>
          </cell>
          <cell r="T752">
            <v>0</v>
          </cell>
          <cell r="U752">
            <v>0</v>
          </cell>
          <cell r="W752">
            <v>0</v>
          </cell>
          <cell r="X752">
            <v>0</v>
          </cell>
          <cell r="Z752">
            <v>0</v>
          </cell>
          <cell r="AA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I752">
            <v>0</v>
          </cell>
          <cell r="AJ752">
            <v>0</v>
          </cell>
          <cell r="AL752">
            <v>0</v>
          </cell>
          <cell r="AM752">
            <v>0</v>
          </cell>
          <cell r="AO752">
            <v>0</v>
          </cell>
          <cell r="AP752">
            <v>0</v>
          </cell>
          <cell r="AR752">
            <v>0</v>
          </cell>
          <cell r="AS752">
            <v>0</v>
          </cell>
          <cell r="BF752" t="str">
            <v>9051</v>
          </cell>
          <cell r="BG752" t="str">
            <v>Z000</v>
          </cell>
          <cell r="BH752" t="str">
            <v>GBM</v>
          </cell>
        </row>
        <row r="753">
          <cell r="K753">
            <v>0</v>
          </cell>
          <cell r="L753">
            <v>0</v>
          </cell>
          <cell r="N753">
            <v>0</v>
          </cell>
          <cell r="O753">
            <v>0</v>
          </cell>
          <cell r="Q753">
            <v>0</v>
          </cell>
          <cell r="R753">
            <v>0</v>
          </cell>
          <cell r="T753">
            <v>0</v>
          </cell>
          <cell r="U753">
            <v>0</v>
          </cell>
          <cell r="W753">
            <v>0</v>
          </cell>
          <cell r="X753">
            <v>0</v>
          </cell>
          <cell r="Z753">
            <v>0</v>
          </cell>
          <cell r="AA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I753">
            <v>0</v>
          </cell>
          <cell r="AJ753">
            <v>0</v>
          </cell>
          <cell r="AL753">
            <v>0</v>
          </cell>
          <cell r="AM753">
            <v>0</v>
          </cell>
          <cell r="AO753">
            <v>0</v>
          </cell>
          <cell r="AP753">
            <v>0</v>
          </cell>
          <cell r="AR753">
            <v>0</v>
          </cell>
          <cell r="AS753">
            <v>0</v>
          </cell>
          <cell r="BF753" t="str">
            <v>9100</v>
          </cell>
          <cell r="BG753" t="str">
            <v>Z000</v>
          </cell>
          <cell r="BH753" t="str">
            <v>GBM</v>
          </cell>
        </row>
        <row r="754">
          <cell r="K754">
            <v>0</v>
          </cell>
          <cell r="L754">
            <v>0</v>
          </cell>
          <cell r="N754">
            <v>0</v>
          </cell>
          <cell r="O754">
            <v>0</v>
          </cell>
          <cell r="Q754">
            <v>0</v>
          </cell>
          <cell r="R754">
            <v>0</v>
          </cell>
          <cell r="T754">
            <v>0</v>
          </cell>
          <cell r="U754">
            <v>0</v>
          </cell>
          <cell r="W754">
            <v>0</v>
          </cell>
          <cell r="X754">
            <v>0</v>
          </cell>
          <cell r="Z754">
            <v>0</v>
          </cell>
          <cell r="AA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I754">
            <v>0</v>
          </cell>
          <cell r="AJ754">
            <v>0</v>
          </cell>
          <cell r="AL754">
            <v>0</v>
          </cell>
          <cell r="AM754">
            <v>0</v>
          </cell>
          <cell r="AO754">
            <v>0</v>
          </cell>
          <cell r="AP754">
            <v>0</v>
          </cell>
          <cell r="AR754">
            <v>0</v>
          </cell>
          <cell r="AS754">
            <v>0</v>
          </cell>
          <cell r="BF754" t="str">
            <v>9200</v>
          </cell>
          <cell r="BG754" t="str">
            <v>Q001</v>
          </cell>
          <cell r="BH754" t="str">
            <v>GBM</v>
          </cell>
        </row>
        <row r="755">
          <cell r="K755">
            <v>0</v>
          </cell>
          <cell r="L755">
            <v>0</v>
          </cell>
          <cell r="N755">
            <v>0</v>
          </cell>
          <cell r="O755">
            <v>0</v>
          </cell>
          <cell r="Q755">
            <v>0</v>
          </cell>
          <cell r="R755">
            <v>0</v>
          </cell>
          <cell r="T755">
            <v>0</v>
          </cell>
          <cell r="U755">
            <v>0</v>
          </cell>
          <cell r="W755">
            <v>0</v>
          </cell>
          <cell r="X755">
            <v>0</v>
          </cell>
          <cell r="Z755">
            <v>0</v>
          </cell>
          <cell r="AA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I755">
            <v>0</v>
          </cell>
          <cell r="AJ755">
            <v>0</v>
          </cell>
          <cell r="AL755">
            <v>0</v>
          </cell>
          <cell r="AM755">
            <v>0</v>
          </cell>
          <cell r="AO755">
            <v>0</v>
          </cell>
          <cell r="AP755">
            <v>0</v>
          </cell>
          <cell r="AR755">
            <v>0</v>
          </cell>
          <cell r="AS755">
            <v>0</v>
          </cell>
          <cell r="BF755" t="str">
            <v>9200</v>
          </cell>
          <cell r="BG755" t="str">
            <v>Q002</v>
          </cell>
          <cell r="BH755" t="str">
            <v>GBM</v>
          </cell>
        </row>
        <row r="756">
          <cell r="K756">
            <v>0</v>
          </cell>
          <cell r="L756">
            <v>0</v>
          </cell>
          <cell r="N756">
            <v>0</v>
          </cell>
          <cell r="O756">
            <v>0</v>
          </cell>
          <cell r="Q756">
            <v>0</v>
          </cell>
          <cell r="R756">
            <v>0</v>
          </cell>
          <cell r="T756">
            <v>0</v>
          </cell>
          <cell r="U756">
            <v>0</v>
          </cell>
          <cell r="W756">
            <v>0</v>
          </cell>
          <cell r="X756">
            <v>0</v>
          </cell>
          <cell r="Z756">
            <v>0</v>
          </cell>
          <cell r="AA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I756">
            <v>0</v>
          </cell>
          <cell r="AJ756">
            <v>0</v>
          </cell>
          <cell r="AL756">
            <v>0</v>
          </cell>
          <cell r="AM756">
            <v>0</v>
          </cell>
          <cell r="AO756">
            <v>0</v>
          </cell>
          <cell r="AP756">
            <v>0</v>
          </cell>
          <cell r="AR756">
            <v>0</v>
          </cell>
          <cell r="AS756">
            <v>0</v>
          </cell>
          <cell r="BF756" t="str">
            <v>9200</v>
          </cell>
          <cell r="BG756" t="str">
            <v>Q003</v>
          </cell>
          <cell r="BH756" t="str">
            <v>GBM</v>
          </cell>
        </row>
        <row r="757">
          <cell r="K757">
            <v>0</v>
          </cell>
          <cell r="L757">
            <v>0</v>
          </cell>
          <cell r="N757">
            <v>0</v>
          </cell>
          <cell r="O757">
            <v>0</v>
          </cell>
          <cell r="Q757">
            <v>0</v>
          </cell>
          <cell r="R757">
            <v>0</v>
          </cell>
          <cell r="T757">
            <v>0</v>
          </cell>
          <cell r="U757">
            <v>0</v>
          </cell>
          <cell r="W757">
            <v>0</v>
          </cell>
          <cell r="X757">
            <v>0</v>
          </cell>
          <cell r="Z757">
            <v>0</v>
          </cell>
          <cell r="AA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I757">
            <v>0</v>
          </cell>
          <cell r="AJ757">
            <v>0</v>
          </cell>
          <cell r="AL757">
            <v>0</v>
          </cell>
          <cell r="AM757">
            <v>0</v>
          </cell>
          <cell r="AO757">
            <v>0</v>
          </cell>
          <cell r="AP757">
            <v>0</v>
          </cell>
          <cell r="AR757">
            <v>0</v>
          </cell>
          <cell r="AS757">
            <v>0</v>
          </cell>
          <cell r="BF757" t="str">
            <v>9300</v>
          </cell>
          <cell r="BG757" t="str">
            <v>Z000</v>
          </cell>
          <cell r="BH757" t="str">
            <v>GBM</v>
          </cell>
        </row>
        <row r="758">
          <cell r="K758">
            <v>0</v>
          </cell>
          <cell r="L758">
            <v>0</v>
          </cell>
          <cell r="N758">
            <v>0</v>
          </cell>
          <cell r="O758">
            <v>0</v>
          </cell>
          <cell r="Q758">
            <v>0</v>
          </cell>
          <cell r="R758">
            <v>0</v>
          </cell>
          <cell r="T758">
            <v>0</v>
          </cell>
          <cell r="U758">
            <v>0</v>
          </cell>
          <cell r="W758">
            <v>0</v>
          </cell>
          <cell r="X758">
            <v>0</v>
          </cell>
          <cell r="Z758">
            <v>0</v>
          </cell>
          <cell r="AA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I758">
            <v>0</v>
          </cell>
          <cell r="AJ758">
            <v>0</v>
          </cell>
          <cell r="AL758">
            <v>0</v>
          </cell>
          <cell r="AM758">
            <v>0</v>
          </cell>
          <cell r="AO758">
            <v>0</v>
          </cell>
          <cell r="AP758">
            <v>0</v>
          </cell>
          <cell r="AR758">
            <v>0</v>
          </cell>
          <cell r="AS758">
            <v>0</v>
          </cell>
          <cell r="BF758" t="str">
            <v>9400</v>
          </cell>
          <cell r="BG758" t="str">
            <v>Z000</v>
          </cell>
          <cell r="BH758" t="str">
            <v>GBM</v>
          </cell>
        </row>
        <row r="759">
          <cell r="K759">
            <v>0</v>
          </cell>
          <cell r="L759">
            <v>0</v>
          </cell>
          <cell r="N759">
            <v>0</v>
          </cell>
          <cell r="O759">
            <v>0</v>
          </cell>
          <cell r="Q759">
            <v>0</v>
          </cell>
          <cell r="R759">
            <v>0</v>
          </cell>
          <cell r="T759">
            <v>0</v>
          </cell>
          <cell r="U759">
            <v>0</v>
          </cell>
          <cell r="W759">
            <v>-15</v>
          </cell>
          <cell r="X759">
            <v>0</v>
          </cell>
          <cell r="Z759">
            <v>0</v>
          </cell>
          <cell r="AA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I759">
            <v>0</v>
          </cell>
          <cell r="AJ759">
            <v>0</v>
          </cell>
          <cell r="AL759">
            <v>0</v>
          </cell>
          <cell r="AM759">
            <v>0</v>
          </cell>
          <cell r="AO759">
            <v>-124.54000000003725</v>
          </cell>
          <cell r="AP759">
            <v>0</v>
          </cell>
          <cell r="AR759">
            <v>0</v>
          </cell>
          <cell r="AS759">
            <v>0</v>
          </cell>
          <cell r="BF759" t="str">
            <v>9500</v>
          </cell>
          <cell r="BG759" t="str">
            <v>Z000</v>
          </cell>
          <cell r="BH759" t="str">
            <v>GBM</v>
          </cell>
        </row>
        <row r="760">
          <cell r="K760">
            <v>0</v>
          </cell>
          <cell r="L760">
            <v>0</v>
          </cell>
          <cell r="N760">
            <v>0</v>
          </cell>
          <cell r="O760">
            <v>0</v>
          </cell>
          <cell r="Q760">
            <v>0</v>
          </cell>
          <cell r="R760">
            <v>0</v>
          </cell>
          <cell r="T760">
            <v>0</v>
          </cell>
          <cell r="U760">
            <v>0</v>
          </cell>
          <cell r="W760">
            <v>0</v>
          </cell>
          <cell r="X760">
            <v>0</v>
          </cell>
          <cell r="Z760">
            <v>0</v>
          </cell>
          <cell r="AA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I760">
            <v>0</v>
          </cell>
          <cell r="AJ760">
            <v>0</v>
          </cell>
          <cell r="AL760">
            <v>0</v>
          </cell>
          <cell r="AM760">
            <v>0</v>
          </cell>
          <cell r="AO760">
            <v>0</v>
          </cell>
          <cell r="AP760">
            <v>0</v>
          </cell>
          <cell r="AR760">
            <v>0</v>
          </cell>
          <cell r="AS760">
            <v>0</v>
          </cell>
          <cell r="BF760" t="str">
            <v>9550</v>
          </cell>
          <cell r="BG760" t="str">
            <v>Z000</v>
          </cell>
          <cell r="BH760" t="str">
            <v>GBM</v>
          </cell>
        </row>
        <row r="761">
          <cell r="K761">
            <v>0</v>
          </cell>
          <cell r="L761">
            <v>0</v>
          </cell>
          <cell r="N761">
            <v>0</v>
          </cell>
          <cell r="O761">
            <v>0</v>
          </cell>
          <cell r="Q761">
            <v>0</v>
          </cell>
          <cell r="R761">
            <v>0</v>
          </cell>
          <cell r="T761">
            <v>0</v>
          </cell>
          <cell r="U761">
            <v>0</v>
          </cell>
          <cell r="W761">
            <v>0</v>
          </cell>
          <cell r="X761">
            <v>0</v>
          </cell>
          <cell r="Z761">
            <v>0</v>
          </cell>
          <cell r="AA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I761">
            <v>0</v>
          </cell>
          <cell r="AJ761">
            <v>0</v>
          </cell>
          <cell r="AL761">
            <v>0</v>
          </cell>
          <cell r="AM761">
            <v>0</v>
          </cell>
          <cell r="AO761">
            <v>0</v>
          </cell>
          <cell r="AP761">
            <v>0</v>
          </cell>
          <cell r="AR761">
            <v>0</v>
          </cell>
          <cell r="AS761">
            <v>0</v>
          </cell>
          <cell r="BF761" t="str">
            <v>9600</v>
          </cell>
          <cell r="BG761" t="str">
            <v>Z000</v>
          </cell>
          <cell r="BH761" t="str">
            <v>GBM</v>
          </cell>
        </row>
        <row r="762">
          <cell r="K762">
            <v>0</v>
          </cell>
          <cell r="L762">
            <v>0</v>
          </cell>
          <cell r="N762">
            <v>0</v>
          </cell>
          <cell r="O762">
            <v>0</v>
          </cell>
          <cell r="Q762">
            <v>0</v>
          </cell>
          <cell r="R762">
            <v>0</v>
          </cell>
          <cell r="T762">
            <v>0</v>
          </cell>
          <cell r="U762">
            <v>0</v>
          </cell>
          <cell r="W762">
            <v>0</v>
          </cell>
          <cell r="X762">
            <v>0</v>
          </cell>
          <cell r="Z762">
            <v>0</v>
          </cell>
          <cell r="AA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I762">
            <v>0</v>
          </cell>
          <cell r="AJ762">
            <v>0</v>
          </cell>
          <cell r="AL762">
            <v>0</v>
          </cell>
          <cell r="AM762">
            <v>0</v>
          </cell>
          <cell r="AO762">
            <v>0</v>
          </cell>
          <cell r="AP762">
            <v>0</v>
          </cell>
          <cell r="AR762">
            <v>0</v>
          </cell>
          <cell r="AS762">
            <v>0</v>
          </cell>
          <cell r="BF762" t="str">
            <v>9700</v>
          </cell>
          <cell r="BG762" t="str">
            <v>Z000</v>
          </cell>
          <cell r="BH762" t="str">
            <v>GBM</v>
          </cell>
        </row>
        <row r="763">
          <cell r="K763">
            <v>0</v>
          </cell>
          <cell r="L763">
            <v>0</v>
          </cell>
          <cell r="N763">
            <v>0</v>
          </cell>
          <cell r="O763">
            <v>0</v>
          </cell>
          <cell r="Q763">
            <v>0</v>
          </cell>
          <cell r="R763">
            <v>0</v>
          </cell>
          <cell r="T763">
            <v>0</v>
          </cell>
          <cell r="U763">
            <v>0</v>
          </cell>
          <cell r="W763">
            <v>0</v>
          </cell>
          <cell r="X763">
            <v>0</v>
          </cell>
          <cell r="Z763">
            <v>0</v>
          </cell>
          <cell r="AA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I763">
            <v>0</v>
          </cell>
          <cell r="AJ763">
            <v>0</v>
          </cell>
          <cell r="AL763">
            <v>0</v>
          </cell>
          <cell r="AM763">
            <v>0</v>
          </cell>
          <cell r="AO763">
            <v>0</v>
          </cell>
          <cell r="AP763">
            <v>0</v>
          </cell>
          <cell r="AR763">
            <v>0</v>
          </cell>
          <cell r="AS763">
            <v>0</v>
          </cell>
          <cell r="BF763" t="str">
            <v>9702</v>
          </cell>
          <cell r="BG763" t="str">
            <v>Z000</v>
          </cell>
          <cell r="BH763" t="str">
            <v>GBM</v>
          </cell>
        </row>
        <row r="764">
          <cell r="K764">
            <v>0</v>
          </cell>
          <cell r="L764">
            <v>0</v>
          </cell>
          <cell r="N764">
            <v>0</v>
          </cell>
          <cell r="O764">
            <v>0</v>
          </cell>
          <cell r="Q764">
            <v>0</v>
          </cell>
          <cell r="R764">
            <v>0</v>
          </cell>
          <cell r="T764">
            <v>0</v>
          </cell>
          <cell r="U764">
            <v>0</v>
          </cell>
          <cell r="W764">
            <v>0</v>
          </cell>
          <cell r="X764">
            <v>0</v>
          </cell>
          <cell r="Z764">
            <v>0</v>
          </cell>
          <cell r="AA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I764">
            <v>0</v>
          </cell>
          <cell r="AJ764">
            <v>0</v>
          </cell>
          <cell r="AL764">
            <v>0</v>
          </cell>
          <cell r="AM764">
            <v>0</v>
          </cell>
          <cell r="AO764">
            <v>0</v>
          </cell>
          <cell r="AP764">
            <v>0</v>
          </cell>
          <cell r="AR764">
            <v>0</v>
          </cell>
          <cell r="AS764">
            <v>0</v>
          </cell>
          <cell r="BF764" t="str">
            <v>9750</v>
          </cell>
          <cell r="BG764" t="str">
            <v>Z000</v>
          </cell>
          <cell r="BH764" t="str">
            <v>GBM</v>
          </cell>
        </row>
        <row r="765">
          <cell r="K765">
            <v>60581.429999999993</v>
          </cell>
          <cell r="L765">
            <v>0</v>
          </cell>
          <cell r="N765">
            <v>70801.260000000009</v>
          </cell>
          <cell r="O765">
            <v>0</v>
          </cell>
          <cell r="Q765">
            <v>91584.819999999949</v>
          </cell>
          <cell r="R765">
            <v>0</v>
          </cell>
          <cell r="T765">
            <v>130552.90000000014</v>
          </cell>
          <cell r="U765">
            <v>0</v>
          </cell>
          <cell r="W765">
            <v>143397.18000000005</v>
          </cell>
          <cell r="X765">
            <v>0</v>
          </cell>
          <cell r="Z765">
            <v>168680.11</v>
          </cell>
          <cell r="AA765">
            <v>0</v>
          </cell>
          <cell r="AC765">
            <v>158960.39999999991</v>
          </cell>
          <cell r="AD765">
            <v>0</v>
          </cell>
          <cell r="AF765">
            <v>190484.55000000028</v>
          </cell>
          <cell r="AG765">
            <v>0</v>
          </cell>
          <cell r="AI765">
            <v>192880.66999999993</v>
          </cell>
          <cell r="AJ765">
            <v>0</v>
          </cell>
          <cell r="AL765">
            <v>223133.40999999968</v>
          </cell>
          <cell r="AM765">
            <v>0</v>
          </cell>
          <cell r="AO765">
            <v>257491.58999999985</v>
          </cell>
          <cell r="AP765">
            <v>0</v>
          </cell>
          <cell r="AR765">
            <v>324940.68999999994</v>
          </cell>
          <cell r="AS765">
            <v>0</v>
          </cell>
          <cell r="BF765" t="str">
            <v>1000</v>
          </cell>
          <cell r="BG765" t="str">
            <v>A001</v>
          </cell>
          <cell r="BH765" t="str">
            <v>GFS</v>
          </cell>
        </row>
        <row r="766">
          <cell r="K766">
            <v>13447.499999999993</v>
          </cell>
          <cell r="L766">
            <v>0</v>
          </cell>
          <cell r="N766">
            <v>15580.25</v>
          </cell>
          <cell r="O766">
            <v>0</v>
          </cell>
          <cell r="Q766">
            <v>17723.679999999993</v>
          </cell>
          <cell r="R766">
            <v>0</v>
          </cell>
          <cell r="T766">
            <v>20167.173999999999</v>
          </cell>
          <cell r="U766">
            <v>0</v>
          </cell>
          <cell r="W766">
            <v>21797.430000000008</v>
          </cell>
          <cell r="X766">
            <v>0</v>
          </cell>
          <cell r="Z766">
            <v>22180.059999999998</v>
          </cell>
          <cell r="AA766">
            <v>0</v>
          </cell>
          <cell r="AC766">
            <v>28236.959999999992</v>
          </cell>
          <cell r="AD766">
            <v>0</v>
          </cell>
          <cell r="AF766">
            <v>30982.290000000008</v>
          </cell>
          <cell r="AG766">
            <v>0</v>
          </cell>
          <cell r="AI766">
            <v>30641.059999999998</v>
          </cell>
          <cell r="AJ766">
            <v>0</v>
          </cell>
          <cell r="AL766">
            <v>36237.140000000014</v>
          </cell>
          <cell r="AM766">
            <v>0</v>
          </cell>
          <cell r="AO766">
            <v>31874</v>
          </cell>
          <cell r="AP766">
            <v>0</v>
          </cell>
          <cell r="AR766">
            <v>37468.570000000007</v>
          </cell>
          <cell r="AS766">
            <v>0</v>
          </cell>
          <cell r="BF766" t="str">
            <v>1000</v>
          </cell>
          <cell r="BG766" t="str">
            <v>A002</v>
          </cell>
          <cell r="BH766" t="str">
            <v>GFS</v>
          </cell>
        </row>
        <row r="767">
          <cell r="K767">
            <v>53294.499999999971</v>
          </cell>
          <cell r="L767">
            <v>0</v>
          </cell>
          <cell r="N767">
            <v>60335.310000000056</v>
          </cell>
          <cell r="O767">
            <v>0</v>
          </cell>
          <cell r="Q767">
            <v>72406.539999999979</v>
          </cell>
          <cell r="R767">
            <v>0</v>
          </cell>
          <cell r="T767">
            <v>94351.22000000003</v>
          </cell>
          <cell r="U767">
            <v>0</v>
          </cell>
          <cell r="W767">
            <v>100244.39000000001</v>
          </cell>
          <cell r="X767">
            <v>0</v>
          </cell>
          <cell r="Z767">
            <v>111255.71999999997</v>
          </cell>
          <cell r="AA767">
            <v>0</v>
          </cell>
          <cell r="AC767">
            <v>113706.92000000004</v>
          </cell>
          <cell r="AD767">
            <v>0</v>
          </cell>
          <cell r="AF767">
            <v>133699.81000000006</v>
          </cell>
          <cell r="AG767">
            <v>0</v>
          </cell>
          <cell r="AI767">
            <v>135488.34999999998</v>
          </cell>
          <cell r="AJ767">
            <v>0</v>
          </cell>
          <cell r="AL767">
            <v>146310.08999999985</v>
          </cell>
          <cell r="AM767">
            <v>0</v>
          </cell>
          <cell r="AO767">
            <v>160469.60999999987</v>
          </cell>
          <cell r="AP767">
            <v>0</v>
          </cell>
          <cell r="AR767">
            <v>196859.82000000007</v>
          </cell>
          <cell r="AS767">
            <v>0</v>
          </cell>
          <cell r="BF767" t="str">
            <v>1000</v>
          </cell>
          <cell r="BG767" t="str">
            <v>A003</v>
          </cell>
          <cell r="BH767" t="str">
            <v>GFS</v>
          </cell>
        </row>
        <row r="768">
          <cell r="K768">
            <v>49807.22</v>
          </cell>
          <cell r="L768">
            <v>0</v>
          </cell>
          <cell r="N768">
            <v>53178.299999999988</v>
          </cell>
          <cell r="O768">
            <v>0</v>
          </cell>
          <cell r="Q768">
            <v>55931.539999999979</v>
          </cell>
          <cell r="R768">
            <v>0</v>
          </cell>
          <cell r="T768">
            <v>68550.910000000033</v>
          </cell>
          <cell r="U768">
            <v>0</v>
          </cell>
          <cell r="W768">
            <v>61176.56</v>
          </cell>
          <cell r="X768">
            <v>0</v>
          </cell>
          <cell r="Z768">
            <v>29485.729999999981</v>
          </cell>
          <cell r="AA768">
            <v>0</v>
          </cell>
          <cell r="AC768">
            <v>61460.409999999974</v>
          </cell>
          <cell r="AD768">
            <v>0</v>
          </cell>
          <cell r="AF768">
            <v>65010.729999999981</v>
          </cell>
          <cell r="AG768">
            <v>0</v>
          </cell>
          <cell r="AI768">
            <v>71690.020000000019</v>
          </cell>
          <cell r="AJ768">
            <v>0</v>
          </cell>
          <cell r="AL768">
            <v>102884.79999999993</v>
          </cell>
          <cell r="AM768">
            <v>0</v>
          </cell>
          <cell r="AO768">
            <v>72189.989999999991</v>
          </cell>
          <cell r="AP768">
            <v>0</v>
          </cell>
          <cell r="AR768">
            <v>87470.720000000088</v>
          </cell>
          <cell r="AS768">
            <v>0</v>
          </cell>
          <cell r="BF768" t="str">
            <v>1000</v>
          </cell>
          <cell r="BG768" t="str">
            <v>A004</v>
          </cell>
          <cell r="BH768" t="str">
            <v>GFS</v>
          </cell>
        </row>
        <row r="769">
          <cell r="K769">
            <v>155.56999999999994</v>
          </cell>
          <cell r="L769">
            <v>0</v>
          </cell>
          <cell r="N769">
            <v>150.07000000000016</v>
          </cell>
          <cell r="O769">
            <v>0</v>
          </cell>
          <cell r="Q769">
            <v>126.07999999999993</v>
          </cell>
          <cell r="R769">
            <v>0</v>
          </cell>
          <cell r="T769">
            <v>197.11999999999989</v>
          </cell>
          <cell r="U769">
            <v>0</v>
          </cell>
          <cell r="W769">
            <v>59.069999999999936</v>
          </cell>
          <cell r="X769">
            <v>0</v>
          </cell>
          <cell r="Z769">
            <v>0</v>
          </cell>
          <cell r="AA769">
            <v>0</v>
          </cell>
          <cell r="AC769">
            <v>-113.04999999999995</v>
          </cell>
          <cell r="AD769">
            <v>0</v>
          </cell>
          <cell r="AF769">
            <v>0</v>
          </cell>
          <cell r="AG769">
            <v>0</v>
          </cell>
          <cell r="AI769">
            <v>0</v>
          </cell>
          <cell r="AJ769">
            <v>0</v>
          </cell>
          <cell r="AL769">
            <v>0</v>
          </cell>
          <cell r="AM769">
            <v>0</v>
          </cell>
          <cell r="AO769">
            <v>0</v>
          </cell>
          <cell r="AP769">
            <v>0</v>
          </cell>
          <cell r="AR769">
            <v>0</v>
          </cell>
          <cell r="AS769">
            <v>0</v>
          </cell>
          <cell r="BF769" t="str">
            <v>1000</v>
          </cell>
          <cell r="BG769" t="str">
            <v>A005</v>
          </cell>
          <cell r="BH769" t="str">
            <v>GFS</v>
          </cell>
        </row>
        <row r="770">
          <cell r="K770">
            <v>0</v>
          </cell>
          <cell r="L770">
            <v>0</v>
          </cell>
          <cell r="N770">
            <v>0</v>
          </cell>
          <cell r="O770">
            <v>0</v>
          </cell>
          <cell r="Q770">
            <v>0</v>
          </cell>
          <cell r="R770">
            <v>0</v>
          </cell>
          <cell r="T770">
            <v>0</v>
          </cell>
          <cell r="U770">
            <v>0</v>
          </cell>
          <cell r="W770">
            <v>0</v>
          </cell>
          <cell r="X770">
            <v>0</v>
          </cell>
          <cell r="Z770">
            <v>0</v>
          </cell>
          <cell r="AA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I770">
            <v>0</v>
          </cell>
          <cell r="AJ770">
            <v>0</v>
          </cell>
          <cell r="AL770">
            <v>0</v>
          </cell>
          <cell r="AM770">
            <v>0</v>
          </cell>
          <cell r="AO770">
            <v>0</v>
          </cell>
          <cell r="AP770">
            <v>0</v>
          </cell>
          <cell r="AR770">
            <v>0</v>
          </cell>
          <cell r="AS770">
            <v>0</v>
          </cell>
          <cell r="BF770" t="str">
            <v>1000</v>
          </cell>
          <cell r="BG770" t="str">
            <v>A006</v>
          </cell>
          <cell r="BH770" t="str">
            <v>GFS</v>
          </cell>
        </row>
        <row r="771">
          <cell r="K771">
            <v>0</v>
          </cell>
          <cell r="L771">
            <v>0</v>
          </cell>
          <cell r="N771">
            <v>0</v>
          </cell>
          <cell r="O771">
            <v>0</v>
          </cell>
          <cell r="Q771">
            <v>0</v>
          </cell>
          <cell r="R771">
            <v>0</v>
          </cell>
          <cell r="T771">
            <v>0</v>
          </cell>
          <cell r="U771">
            <v>0</v>
          </cell>
          <cell r="W771">
            <v>0</v>
          </cell>
          <cell r="X771">
            <v>0</v>
          </cell>
          <cell r="Z771">
            <v>0</v>
          </cell>
          <cell r="AA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I771">
            <v>0</v>
          </cell>
          <cell r="AJ771">
            <v>0</v>
          </cell>
          <cell r="AL771">
            <v>0</v>
          </cell>
          <cell r="AM771">
            <v>0</v>
          </cell>
          <cell r="AO771">
            <v>0</v>
          </cell>
          <cell r="AP771">
            <v>0</v>
          </cell>
          <cell r="AR771">
            <v>0</v>
          </cell>
          <cell r="AS771">
            <v>0</v>
          </cell>
          <cell r="BF771" t="str">
            <v>1000</v>
          </cell>
          <cell r="BG771" t="str">
            <v>A007</v>
          </cell>
          <cell r="BH771" t="str">
            <v>GFS</v>
          </cell>
        </row>
        <row r="772">
          <cell r="K772">
            <v>0</v>
          </cell>
          <cell r="L772">
            <v>0</v>
          </cell>
          <cell r="N772">
            <v>0</v>
          </cell>
          <cell r="O772">
            <v>0</v>
          </cell>
          <cell r="Q772">
            <v>0</v>
          </cell>
          <cell r="R772">
            <v>0</v>
          </cell>
          <cell r="T772">
            <v>0</v>
          </cell>
          <cell r="U772">
            <v>0</v>
          </cell>
          <cell r="W772">
            <v>0</v>
          </cell>
          <cell r="X772">
            <v>0</v>
          </cell>
          <cell r="Z772">
            <v>0</v>
          </cell>
          <cell r="AA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I772">
            <v>0</v>
          </cell>
          <cell r="AJ772">
            <v>0</v>
          </cell>
          <cell r="AL772">
            <v>0</v>
          </cell>
          <cell r="AM772">
            <v>0</v>
          </cell>
          <cell r="AO772">
            <v>3.637978807091713E-12</v>
          </cell>
          <cell r="AP772">
            <v>0</v>
          </cell>
          <cell r="AR772">
            <v>0</v>
          </cell>
          <cell r="AS772">
            <v>0</v>
          </cell>
          <cell r="BF772" t="str">
            <v>1000</v>
          </cell>
          <cell r="BG772" t="str">
            <v>A008</v>
          </cell>
          <cell r="BH772" t="str">
            <v>GFS</v>
          </cell>
        </row>
        <row r="773">
          <cell r="K773">
            <v>0</v>
          </cell>
          <cell r="L773">
            <v>0</v>
          </cell>
          <cell r="N773">
            <v>0</v>
          </cell>
          <cell r="O773">
            <v>0</v>
          </cell>
          <cell r="Q773">
            <v>0</v>
          </cell>
          <cell r="R773">
            <v>0</v>
          </cell>
          <cell r="T773">
            <v>0</v>
          </cell>
          <cell r="U773">
            <v>0</v>
          </cell>
          <cell r="W773">
            <v>0</v>
          </cell>
          <cell r="X773">
            <v>0</v>
          </cell>
          <cell r="Z773">
            <v>0</v>
          </cell>
          <cell r="AA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I773">
            <v>0</v>
          </cell>
          <cell r="AJ773">
            <v>0</v>
          </cell>
          <cell r="AL773">
            <v>0</v>
          </cell>
          <cell r="AM773">
            <v>0</v>
          </cell>
          <cell r="AO773">
            <v>0</v>
          </cell>
          <cell r="AP773">
            <v>0</v>
          </cell>
          <cell r="AR773">
            <v>0</v>
          </cell>
          <cell r="AS773">
            <v>0</v>
          </cell>
          <cell r="BF773" t="str">
            <v>1000</v>
          </cell>
          <cell r="BG773" t="str">
            <v>A009</v>
          </cell>
          <cell r="BH773" t="str">
            <v>GFS</v>
          </cell>
        </row>
        <row r="774">
          <cell r="K774">
            <v>0</v>
          </cell>
          <cell r="L774">
            <v>0</v>
          </cell>
          <cell r="N774">
            <v>0</v>
          </cell>
          <cell r="O774">
            <v>0</v>
          </cell>
          <cell r="Q774">
            <v>0</v>
          </cell>
          <cell r="R774">
            <v>0</v>
          </cell>
          <cell r="T774">
            <v>0</v>
          </cell>
          <cell r="U774">
            <v>0</v>
          </cell>
          <cell r="W774">
            <v>0</v>
          </cell>
          <cell r="X774">
            <v>0</v>
          </cell>
          <cell r="Z774">
            <v>0</v>
          </cell>
          <cell r="AA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I774">
            <v>0</v>
          </cell>
          <cell r="AJ774">
            <v>0</v>
          </cell>
          <cell r="AL774">
            <v>0</v>
          </cell>
          <cell r="AM774">
            <v>0</v>
          </cell>
          <cell r="AO774">
            <v>0</v>
          </cell>
          <cell r="AP774">
            <v>0</v>
          </cell>
          <cell r="AR774">
            <v>0</v>
          </cell>
          <cell r="AS774">
            <v>0</v>
          </cell>
          <cell r="BF774" t="str">
            <v>1000</v>
          </cell>
          <cell r="BG774" t="str">
            <v>A010</v>
          </cell>
          <cell r="BH774" t="str">
            <v>GFS</v>
          </cell>
        </row>
        <row r="775">
          <cell r="K775">
            <v>0</v>
          </cell>
          <cell r="L775">
            <v>0</v>
          </cell>
          <cell r="N775">
            <v>0</v>
          </cell>
          <cell r="O775">
            <v>0</v>
          </cell>
          <cell r="Q775">
            <v>0</v>
          </cell>
          <cell r="R775">
            <v>0</v>
          </cell>
          <cell r="T775">
            <v>0</v>
          </cell>
          <cell r="U775">
            <v>0</v>
          </cell>
          <cell r="W775">
            <v>0</v>
          </cell>
          <cell r="X775">
            <v>0</v>
          </cell>
          <cell r="Z775">
            <v>0</v>
          </cell>
          <cell r="AA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I775">
            <v>0</v>
          </cell>
          <cell r="AJ775">
            <v>0</v>
          </cell>
          <cell r="AL775">
            <v>0</v>
          </cell>
          <cell r="AM775">
            <v>0</v>
          </cell>
          <cell r="AO775">
            <v>0</v>
          </cell>
          <cell r="AP775">
            <v>0</v>
          </cell>
          <cell r="AR775">
            <v>0</v>
          </cell>
          <cell r="AS775">
            <v>0</v>
          </cell>
          <cell r="BF775" t="str">
            <v>1005</v>
          </cell>
          <cell r="BG775" t="str">
            <v>A081</v>
          </cell>
          <cell r="BH775" t="str">
            <v>GFS</v>
          </cell>
        </row>
        <row r="776">
          <cell r="K776">
            <v>0</v>
          </cell>
          <cell r="L776">
            <v>0</v>
          </cell>
          <cell r="N776">
            <v>0</v>
          </cell>
          <cell r="O776">
            <v>0</v>
          </cell>
          <cell r="Q776">
            <v>0</v>
          </cell>
          <cell r="R776">
            <v>0</v>
          </cell>
          <cell r="T776">
            <v>0</v>
          </cell>
          <cell r="U776">
            <v>0</v>
          </cell>
          <cell r="W776">
            <v>0</v>
          </cell>
          <cell r="X776">
            <v>0</v>
          </cell>
          <cell r="Z776">
            <v>0</v>
          </cell>
          <cell r="AA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I776">
            <v>0</v>
          </cell>
          <cell r="AJ776">
            <v>0</v>
          </cell>
          <cell r="AL776">
            <v>0</v>
          </cell>
          <cell r="AM776">
            <v>0</v>
          </cell>
          <cell r="AO776">
            <v>0</v>
          </cell>
          <cell r="AP776">
            <v>0</v>
          </cell>
          <cell r="AR776">
            <v>0</v>
          </cell>
          <cell r="AS776">
            <v>0</v>
          </cell>
          <cell r="BF776" t="str">
            <v>1005</v>
          </cell>
          <cell r="BG776" t="str">
            <v>A082</v>
          </cell>
          <cell r="BH776" t="str">
            <v>GFS</v>
          </cell>
        </row>
        <row r="777">
          <cell r="K777">
            <v>0</v>
          </cell>
          <cell r="L777">
            <v>0</v>
          </cell>
          <cell r="N777">
            <v>0</v>
          </cell>
          <cell r="O777">
            <v>0</v>
          </cell>
          <cell r="Q777">
            <v>0</v>
          </cell>
          <cell r="R777">
            <v>0</v>
          </cell>
          <cell r="T777">
            <v>0</v>
          </cell>
          <cell r="U777">
            <v>0</v>
          </cell>
          <cell r="W777">
            <v>0</v>
          </cell>
          <cell r="X777">
            <v>0</v>
          </cell>
          <cell r="Z777">
            <v>0</v>
          </cell>
          <cell r="AA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I777">
            <v>0</v>
          </cell>
          <cell r="AJ777">
            <v>0</v>
          </cell>
          <cell r="AL777">
            <v>0</v>
          </cell>
          <cell r="AM777">
            <v>0</v>
          </cell>
          <cell r="AO777">
            <v>0</v>
          </cell>
          <cell r="AP777">
            <v>0</v>
          </cell>
          <cell r="AR777">
            <v>0</v>
          </cell>
          <cell r="AS777">
            <v>0</v>
          </cell>
          <cell r="BF777" t="str">
            <v>1005</v>
          </cell>
          <cell r="BG777" t="str">
            <v>A083</v>
          </cell>
          <cell r="BH777" t="str">
            <v>GFS</v>
          </cell>
        </row>
        <row r="778">
          <cell r="K778">
            <v>0</v>
          </cell>
          <cell r="L778">
            <v>0</v>
          </cell>
          <cell r="N778">
            <v>0</v>
          </cell>
          <cell r="O778">
            <v>0</v>
          </cell>
          <cell r="Q778">
            <v>0</v>
          </cell>
          <cell r="R778">
            <v>0</v>
          </cell>
          <cell r="T778">
            <v>0</v>
          </cell>
          <cell r="U778">
            <v>0</v>
          </cell>
          <cell r="W778">
            <v>0</v>
          </cell>
          <cell r="X778">
            <v>0</v>
          </cell>
          <cell r="Z778">
            <v>0</v>
          </cell>
          <cell r="AA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I778">
            <v>0</v>
          </cell>
          <cell r="AJ778">
            <v>0</v>
          </cell>
          <cell r="AL778">
            <v>0</v>
          </cell>
          <cell r="AM778">
            <v>0</v>
          </cell>
          <cell r="AO778">
            <v>0</v>
          </cell>
          <cell r="AP778">
            <v>0</v>
          </cell>
          <cell r="AR778">
            <v>0</v>
          </cell>
          <cell r="AS778">
            <v>0</v>
          </cell>
          <cell r="BF778" t="str">
            <v>1005</v>
          </cell>
          <cell r="BG778" t="str">
            <v>A084</v>
          </cell>
          <cell r="BH778" t="str">
            <v>GFS</v>
          </cell>
        </row>
        <row r="779">
          <cell r="K779">
            <v>0</v>
          </cell>
          <cell r="L779">
            <v>0</v>
          </cell>
          <cell r="N779">
            <v>0</v>
          </cell>
          <cell r="O779">
            <v>0</v>
          </cell>
          <cell r="Q779">
            <v>0</v>
          </cell>
          <cell r="R779">
            <v>0</v>
          </cell>
          <cell r="T779">
            <v>0</v>
          </cell>
          <cell r="U779">
            <v>0</v>
          </cell>
          <cell r="W779">
            <v>0</v>
          </cell>
          <cell r="X779">
            <v>0</v>
          </cell>
          <cell r="Z779">
            <v>0</v>
          </cell>
          <cell r="AA779">
            <v>0</v>
          </cell>
          <cell r="AC779">
            <v>0</v>
          </cell>
          <cell r="AD779">
            <v>0</v>
          </cell>
          <cell r="AF779">
            <v>1047.95</v>
          </cell>
          <cell r="AG779">
            <v>0</v>
          </cell>
          <cell r="AI779">
            <v>3821.92</v>
          </cell>
          <cell r="AJ779">
            <v>0</v>
          </cell>
          <cell r="AL779">
            <v>5444.78</v>
          </cell>
          <cell r="AM779">
            <v>0</v>
          </cell>
          <cell r="AO779">
            <v>-2392.4300000000003</v>
          </cell>
          <cell r="AP779">
            <v>0</v>
          </cell>
          <cell r="AR779">
            <v>4750</v>
          </cell>
          <cell r="AS779">
            <v>0</v>
          </cell>
          <cell r="BF779" t="str">
            <v>1005</v>
          </cell>
          <cell r="BG779" t="str">
            <v>A085</v>
          </cell>
          <cell r="BH779" t="str">
            <v>GFS</v>
          </cell>
        </row>
        <row r="780">
          <cell r="K780">
            <v>0</v>
          </cell>
          <cell r="L780">
            <v>0</v>
          </cell>
          <cell r="N780">
            <v>0</v>
          </cell>
          <cell r="O780">
            <v>0</v>
          </cell>
          <cell r="Q780">
            <v>0</v>
          </cell>
          <cell r="R780">
            <v>0</v>
          </cell>
          <cell r="T780">
            <v>0</v>
          </cell>
          <cell r="U780">
            <v>0</v>
          </cell>
          <cell r="W780">
            <v>0</v>
          </cell>
          <cell r="X780">
            <v>0</v>
          </cell>
          <cell r="Z780">
            <v>0</v>
          </cell>
          <cell r="AA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I780">
            <v>0</v>
          </cell>
          <cell r="AJ780">
            <v>0</v>
          </cell>
          <cell r="AL780">
            <v>0</v>
          </cell>
          <cell r="AM780">
            <v>0</v>
          </cell>
          <cell r="AO780">
            <v>0</v>
          </cell>
          <cell r="AP780">
            <v>0</v>
          </cell>
          <cell r="AR780">
            <v>0</v>
          </cell>
          <cell r="AS780">
            <v>0</v>
          </cell>
          <cell r="BF780" t="str">
            <v>1005</v>
          </cell>
          <cell r="BG780" t="str">
            <v>A086</v>
          </cell>
          <cell r="BH780" t="str">
            <v>GFS</v>
          </cell>
        </row>
        <row r="781">
          <cell r="K781">
            <v>0</v>
          </cell>
          <cell r="L781">
            <v>0</v>
          </cell>
          <cell r="N781">
            <v>0</v>
          </cell>
          <cell r="O781">
            <v>0</v>
          </cell>
          <cell r="Q781">
            <v>0</v>
          </cell>
          <cell r="R781">
            <v>0</v>
          </cell>
          <cell r="T781">
            <v>0</v>
          </cell>
          <cell r="U781">
            <v>0</v>
          </cell>
          <cell r="W781">
            <v>0</v>
          </cell>
          <cell r="X781">
            <v>0</v>
          </cell>
          <cell r="Z781">
            <v>0</v>
          </cell>
          <cell r="AA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I781">
            <v>0</v>
          </cell>
          <cell r="AJ781">
            <v>0</v>
          </cell>
          <cell r="AL781">
            <v>0</v>
          </cell>
          <cell r="AM781">
            <v>0</v>
          </cell>
          <cell r="AO781">
            <v>0</v>
          </cell>
          <cell r="AP781">
            <v>0</v>
          </cell>
          <cell r="AR781">
            <v>0</v>
          </cell>
          <cell r="AS781">
            <v>0</v>
          </cell>
          <cell r="BF781" t="str">
            <v>1008</v>
          </cell>
          <cell r="BG781" t="str">
            <v>A041</v>
          </cell>
          <cell r="BH781" t="str">
            <v>GFS</v>
          </cell>
        </row>
        <row r="782">
          <cell r="K782">
            <v>0</v>
          </cell>
          <cell r="L782">
            <v>0</v>
          </cell>
          <cell r="N782">
            <v>0</v>
          </cell>
          <cell r="O782">
            <v>0</v>
          </cell>
          <cell r="Q782">
            <v>0</v>
          </cell>
          <cell r="R782">
            <v>0</v>
          </cell>
          <cell r="T782">
            <v>0</v>
          </cell>
          <cell r="U782">
            <v>0</v>
          </cell>
          <cell r="W782">
            <v>0</v>
          </cell>
          <cell r="X782">
            <v>0</v>
          </cell>
          <cell r="Z782">
            <v>0</v>
          </cell>
          <cell r="AA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I782">
            <v>0</v>
          </cell>
          <cell r="AJ782">
            <v>0</v>
          </cell>
          <cell r="AL782">
            <v>0</v>
          </cell>
          <cell r="AM782">
            <v>0</v>
          </cell>
          <cell r="AO782">
            <v>0</v>
          </cell>
          <cell r="AP782">
            <v>0</v>
          </cell>
          <cell r="AR782">
            <v>0</v>
          </cell>
          <cell r="AS782">
            <v>0</v>
          </cell>
          <cell r="BF782" t="str">
            <v>1008</v>
          </cell>
          <cell r="BG782" t="str">
            <v>A042</v>
          </cell>
          <cell r="BH782" t="str">
            <v>GFS</v>
          </cell>
        </row>
        <row r="783">
          <cell r="K783">
            <v>0</v>
          </cell>
          <cell r="L783">
            <v>0</v>
          </cell>
          <cell r="N783">
            <v>0</v>
          </cell>
          <cell r="O783">
            <v>0</v>
          </cell>
          <cell r="Q783">
            <v>0</v>
          </cell>
          <cell r="R783">
            <v>0</v>
          </cell>
          <cell r="T783">
            <v>0</v>
          </cell>
          <cell r="U783">
            <v>0</v>
          </cell>
          <cell r="W783">
            <v>0</v>
          </cell>
          <cell r="X783">
            <v>0</v>
          </cell>
          <cell r="Z783">
            <v>0</v>
          </cell>
          <cell r="AA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I783">
            <v>0</v>
          </cell>
          <cell r="AJ783">
            <v>0</v>
          </cell>
          <cell r="AL783">
            <v>0</v>
          </cell>
          <cell r="AM783">
            <v>0</v>
          </cell>
          <cell r="AO783">
            <v>0</v>
          </cell>
          <cell r="AP783">
            <v>0</v>
          </cell>
          <cell r="AR783">
            <v>0</v>
          </cell>
          <cell r="AS783">
            <v>0</v>
          </cell>
          <cell r="BF783" t="str">
            <v>1008</v>
          </cell>
          <cell r="BG783" t="str">
            <v>A043</v>
          </cell>
          <cell r="BH783" t="str">
            <v>GFS</v>
          </cell>
        </row>
        <row r="784">
          <cell r="K784">
            <v>0</v>
          </cell>
          <cell r="L784">
            <v>0</v>
          </cell>
          <cell r="N784">
            <v>0</v>
          </cell>
          <cell r="O784">
            <v>0</v>
          </cell>
          <cell r="Q784">
            <v>0</v>
          </cell>
          <cell r="R784">
            <v>0</v>
          </cell>
          <cell r="T784">
            <v>0</v>
          </cell>
          <cell r="U784">
            <v>0</v>
          </cell>
          <cell r="W784">
            <v>0</v>
          </cell>
          <cell r="X784">
            <v>0</v>
          </cell>
          <cell r="Z784">
            <v>0</v>
          </cell>
          <cell r="AA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I784">
            <v>0</v>
          </cell>
          <cell r="AJ784">
            <v>0</v>
          </cell>
          <cell r="AL784">
            <v>0</v>
          </cell>
          <cell r="AM784">
            <v>0</v>
          </cell>
          <cell r="AO784">
            <v>0</v>
          </cell>
          <cell r="AP784">
            <v>0</v>
          </cell>
          <cell r="AR784">
            <v>0</v>
          </cell>
          <cell r="AS784">
            <v>0</v>
          </cell>
          <cell r="BF784" t="str">
            <v>1008</v>
          </cell>
          <cell r="BG784" t="str">
            <v>A044</v>
          </cell>
          <cell r="BH784" t="str">
            <v>GFS</v>
          </cell>
        </row>
        <row r="785">
          <cell r="K785">
            <v>0</v>
          </cell>
          <cell r="L785">
            <v>0</v>
          </cell>
          <cell r="N785">
            <v>0</v>
          </cell>
          <cell r="O785">
            <v>0</v>
          </cell>
          <cell r="Q785">
            <v>0</v>
          </cell>
          <cell r="R785">
            <v>0</v>
          </cell>
          <cell r="T785">
            <v>0</v>
          </cell>
          <cell r="U785">
            <v>0</v>
          </cell>
          <cell r="W785">
            <v>0</v>
          </cell>
          <cell r="X785">
            <v>0</v>
          </cell>
          <cell r="Z785">
            <v>0</v>
          </cell>
          <cell r="AA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I785">
            <v>0</v>
          </cell>
          <cell r="AJ785">
            <v>0</v>
          </cell>
          <cell r="AL785">
            <v>0</v>
          </cell>
          <cell r="AM785">
            <v>0</v>
          </cell>
          <cell r="AO785">
            <v>0</v>
          </cell>
          <cell r="AP785">
            <v>0</v>
          </cell>
          <cell r="AR785">
            <v>0</v>
          </cell>
          <cell r="AS785">
            <v>0</v>
          </cell>
          <cell r="BF785" t="str">
            <v>1009</v>
          </cell>
          <cell r="BG785" t="str">
            <v>A061</v>
          </cell>
          <cell r="BH785" t="str">
            <v>GFS</v>
          </cell>
        </row>
        <row r="786">
          <cell r="K786">
            <v>0</v>
          </cell>
          <cell r="L786">
            <v>0</v>
          </cell>
          <cell r="N786">
            <v>0</v>
          </cell>
          <cell r="O786">
            <v>0</v>
          </cell>
          <cell r="Q786">
            <v>0</v>
          </cell>
          <cell r="R786">
            <v>0</v>
          </cell>
          <cell r="T786">
            <v>0</v>
          </cell>
          <cell r="U786">
            <v>0</v>
          </cell>
          <cell r="W786">
            <v>0</v>
          </cell>
          <cell r="X786">
            <v>0</v>
          </cell>
          <cell r="Z786">
            <v>0</v>
          </cell>
          <cell r="AA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I786">
            <v>0</v>
          </cell>
          <cell r="AJ786">
            <v>0</v>
          </cell>
          <cell r="AL786">
            <v>0</v>
          </cell>
          <cell r="AM786">
            <v>0</v>
          </cell>
          <cell r="AO786">
            <v>0</v>
          </cell>
          <cell r="AP786">
            <v>0</v>
          </cell>
          <cell r="AR786">
            <v>0</v>
          </cell>
          <cell r="AS786">
            <v>0</v>
          </cell>
          <cell r="BF786" t="str">
            <v>1009</v>
          </cell>
          <cell r="BG786" t="str">
            <v>A062</v>
          </cell>
          <cell r="BH786" t="str">
            <v>GFS</v>
          </cell>
        </row>
        <row r="787">
          <cell r="K787">
            <v>0</v>
          </cell>
          <cell r="L787">
            <v>0</v>
          </cell>
          <cell r="N787">
            <v>0</v>
          </cell>
          <cell r="O787">
            <v>0</v>
          </cell>
          <cell r="Q787">
            <v>0</v>
          </cell>
          <cell r="R787">
            <v>0</v>
          </cell>
          <cell r="T787">
            <v>0</v>
          </cell>
          <cell r="U787">
            <v>0</v>
          </cell>
          <cell r="W787">
            <v>0</v>
          </cell>
          <cell r="X787">
            <v>0</v>
          </cell>
          <cell r="Z787">
            <v>0</v>
          </cell>
          <cell r="AA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I787">
            <v>0</v>
          </cell>
          <cell r="AJ787">
            <v>0</v>
          </cell>
          <cell r="AL787">
            <v>0</v>
          </cell>
          <cell r="AM787">
            <v>0</v>
          </cell>
          <cell r="AO787">
            <v>0</v>
          </cell>
          <cell r="AP787">
            <v>0</v>
          </cell>
          <cell r="AR787">
            <v>0</v>
          </cell>
          <cell r="AS787">
            <v>0</v>
          </cell>
          <cell r="BF787" t="str">
            <v>1009</v>
          </cell>
          <cell r="BG787" t="str">
            <v>A063</v>
          </cell>
          <cell r="BH787" t="str">
            <v>GFS</v>
          </cell>
        </row>
        <row r="788">
          <cell r="K788">
            <v>0</v>
          </cell>
          <cell r="L788">
            <v>0</v>
          </cell>
          <cell r="N788">
            <v>0</v>
          </cell>
          <cell r="O788">
            <v>0</v>
          </cell>
          <cell r="Q788">
            <v>0</v>
          </cell>
          <cell r="R788">
            <v>0</v>
          </cell>
          <cell r="T788">
            <v>0</v>
          </cell>
          <cell r="U788">
            <v>0</v>
          </cell>
          <cell r="W788">
            <v>0</v>
          </cell>
          <cell r="X788">
            <v>0</v>
          </cell>
          <cell r="Z788">
            <v>0</v>
          </cell>
          <cell r="AA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I788">
            <v>0</v>
          </cell>
          <cell r="AJ788">
            <v>0</v>
          </cell>
          <cell r="AL788">
            <v>0</v>
          </cell>
          <cell r="AM788">
            <v>0</v>
          </cell>
          <cell r="AO788">
            <v>0</v>
          </cell>
          <cell r="AP788">
            <v>0</v>
          </cell>
          <cell r="AR788">
            <v>0</v>
          </cell>
          <cell r="AS788">
            <v>0</v>
          </cell>
          <cell r="BF788" t="str">
            <v>1009</v>
          </cell>
          <cell r="BG788" t="str">
            <v>A064</v>
          </cell>
          <cell r="BH788" t="str">
            <v>GFS</v>
          </cell>
        </row>
        <row r="789">
          <cell r="K789">
            <v>0</v>
          </cell>
          <cell r="L789">
            <v>0</v>
          </cell>
          <cell r="N789">
            <v>0</v>
          </cell>
          <cell r="O789">
            <v>0</v>
          </cell>
          <cell r="Q789">
            <v>0</v>
          </cell>
          <cell r="R789">
            <v>0</v>
          </cell>
          <cell r="T789">
            <v>0</v>
          </cell>
          <cell r="U789">
            <v>0</v>
          </cell>
          <cell r="W789">
            <v>0</v>
          </cell>
          <cell r="X789">
            <v>0</v>
          </cell>
          <cell r="Z789">
            <v>0</v>
          </cell>
          <cell r="AA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I789">
            <v>0</v>
          </cell>
          <cell r="AJ789">
            <v>0</v>
          </cell>
          <cell r="AL789">
            <v>0</v>
          </cell>
          <cell r="AM789">
            <v>0</v>
          </cell>
          <cell r="AO789">
            <v>0</v>
          </cell>
          <cell r="AP789">
            <v>0</v>
          </cell>
          <cell r="AR789">
            <v>0</v>
          </cell>
          <cell r="AS789">
            <v>0</v>
          </cell>
          <cell r="BF789" t="str">
            <v>1009</v>
          </cell>
          <cell r="BG789" t="str">
            <v>A065</v>
          </cell>
          <cell r="BH789" t="str">
            <v>GFS</v>
          </cell>
        </row>
        <row r="790">
          <cell r="K790">
            <v>0</v>
          </cell>
          <cell r="L790">
            <v>0</v>
          </cell>
          <cell r="N790">
            <v>9.0949470177292824E-13</v>
          </cell>
          <cell r="O790">
            <v>0</v>
          </cell>
          <cell r="Q790">
            <v>-9.0949470177292824E-13</v>
          </cell>
          <cell r="R790">
            <v>0</v>
          </cell>
          <cell r="T790">
            <v>4.7130000002653105E-3</v>
          </cell>
          <cell r="U790">
            <v>0</v>
          </cell>
          <cell r="W790">
            <v>0</v>
          </cell>
          <cell r="X790">
            <v>0</v>
          </cell>
          <cell r="Z790">
            <v>0</v>
          </cell>
          <cell r="AA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I790">
            <v>0</v>
          </cell>
          <cell r="AJ790">
            <v>0</v>
          </cell>
          <cell r="AL790">
            <v>0</v>
          </cell>
          <cell r="AM790">
            <v>0</v>
          </cell>
          <cell r="AO790">
            <v>0</v>
          </cell>
          <cell r="AP790">
            <v>0</v>
          </cell>
          <cell r="AR790">
            <v>0</v>
          </cell>
          <cell r="AS790">
            <v>0</v>
          </cell>
          <cell r="BF790" t="str">
            <v>2001</v>
          </cell>
          <cell r="BG790" t="str">
            <v>B001</v>
          </cell>
          <cell r="BH790" t="str">
            <v>GFS</v>
          </cell>
        </row>
        <row r="791">
          <cell r="K791">
            <v>1358.37</v>
          </cell>
          <cell r="L791">
            <v>0</v>
          </cell>
          <cell r="N791">
            <v>1705.3599999999997</v>
          </cell>
          <cell r="O791">
            <v>0</v>
          </cell>
          <cell r="Q791">
            <v>2057.63</v>
          </cell>
          <cell r="R791">
            <v>0</v>
          </cell>
          <cell r="T791">
            <v>1408.9399999999996</v>
          </cell>
          <cell r="U791">
            <v>0</v>
          </cell>
          <cell r="W791">
            <v>132.96000000000004</v>
          </cell>
          <cell r="X791">
            <v>0</v>
          </cell>
          <cell r="Z791">
            <v>67.279999999999745</v>
          </cell>
          <cell r="AA791">
            <v>0</v>
          </cell>
          <cell r="AC791">
            <v>636.55000000000018</v>
          </cell>
          <cell r="AD791">
            <v>0</v>
          </cell>
          <cell r="AF791">
            <v>1599.0299999999997</v>
          </cell>
          <cell r="AG791">
            <v>0</v>
          </cell>
          <cell r="AI791">
            <v>4214.3700000000008</v>
          </cell>
          <cell r="AJ791">
            <v>0</v>
          </cell>
          <cell r="AL791">
            <v>4467.0700000000015</v>
          </cell>
          <cell r="AM791">
            <v>0</v>
          </cell>
          <cell r="AO791">
            <v>2694.2700000000004</v>
          </cell>
          <cell r="AP791">
            <v>0</v>
          </cell>
          <cell r="AR791">
            <v>1058.2900000000009</v>
          </cell>
          <cell r="AS791">
            <v>0</v>
          </cell>
          <cell r="BF791" t="str">
            <v>2001</v>
          </cell>
          <cell r="BG791" t="str">
            <v>B002</v>
          </cell>
          <cell r="BH791" t="str">
            <v>GFS</v>
          </cell>
        </row>
        <row r="792">
          <cell r="K792">
            <v>0</v>
          </cell>
          <cell r="L792">
            <v>0</v>
          </cell>
          <cell r="N792">
            <v>0</v>
          </cell>
          <cell r="O792">
            <v>0</v>
          </cell>
          <cell r="Q792">
            <v>0</v>
          </cell>
          <cell r="R792">
            <v>0</v>
          </cell>
          <cell r="T792">
            <v>0</v>
          </cell>
          <cell r="U792">
            <v>0</v>
          </cell>
          <cell r="W792">
            <v>0</v>
          </cell>
          <cell r="X792">
            <v>0</v>
          </cell>
          <cell r="Z792">
            <v>0</v>
          </cell>
          <cell r="AA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I792">
            <v>0</v>
          </cell>
          <cell r="AJ792">
            <v>0</v>
          </cell>
          <cell r="AL792">
            <v>0</v>
          </cell>
          <cell r="AM792">
            <v>0</v>
          </cell>
          <cell r="AO792">
            <v>0</v>
          </cell>
          <cell r="AP792">
            <v>0</v>
          </cell>
          <cell r="AR792">
            <v>0</v>
          </cell>
          <cell r="AS792">
            <v>0</v>
          </cell>
          <cell r="BF792" t="str">
            <v>2001</v>
          </cell>
          <cell r="BG792" t="str">
            <v>B003</v>
          </cell>
          <cell r="BH792" t="str">
            <v>GFS</v>
          </cell>
        </row>
        <row r="793">
          <cell r="K793">
            <v>13206.86</v>
          </cell>
          <cell r="L793">
            <v>0</v>
          </cell>
          <cell r="N793">
            <v>12678.390000000003</v>
          </cell>
          <cell r="O793">
            <v>0</v>
          </cell>
          <cell r="Q793">
            <v>20597.170000000006</v>
          </cell>
          <cell r="R793">
            <v>0</v>
          </cell>
          <cell r="T793">
            <v>37583.519999999997</v>
          </cell>
          <cell r="U793">
            <v>0</v>
          </cell>
          <cell r="W793">
            <v>58677.25</v>
          </cell>
          <cell r="X793">
            <v>0</v>
          </cell>
          <cell r="Z793">
            <v>45070.799999999988</v>
          </cell>
          <cell r="AA793">
            <v>0</v>
          </cell>
          <cell r="AC793">
            <v>40031.040000000037</v>
          </cell>
          <cell r="AD793">
            <v>0</v>
          </cell>
          <cell r="AF793">
            <v>30001.030000000028</v>
          </cell>
          <cell r="AG793">
            <v>0</v>
          </cell>
          <cell r="AI793">
            <v>36854.010000000009</v>
          </cell>
          <cell r="AJ793">
            <v>0</v>
          </cell>
          <cell r="AL793">
            <v>44466.72000000003</v>
          </cell>
          <cell r="AM793">
            <v>0</v>
          </cell>
          <cell r="AO793">
            <v>68204.340000000026</v>
          </cell>
          <cell r="AP793">
            <v>0</v>
          </cell>
          <cell r="AR793">
            <v>87176.260000000009</v>
          </cell>
          <cell r="AS793">
            <v>0</v>
          </cell>
          <cell r="BF793" t="str">
            <v>2001</v>
          </cell>
          <cell r="BG793" t="str">
            <v>B004</v>
          </cell>
          <cell r="BH793" t="str">
            <v>GFS</v>
          </cell>
        </row>
        <row r="794">
          <cell r="K794">
            <v>0</v>
          </cell>
          <cell r="L794">
            <v>0</v>
          </cell>
          <cell r="N794">
            <v>0</v>
          </cell>
          <cell r="O794">
            <v>0</v>
          </cell>
          <cell r="Q794">
            <v>0</v>
          </cell>
          <cell r="R794">
            <v>0</v>
          </cell>
          <cell r="T794">
            <v>0</v>
          </cell>
          <cell r="U794">
            <v>0</v>
          </cell>
          <cell r="W794">
            <v>0</v>
          </cell>
          <cell r="X794">
            <v>0</v>
          </cell>
          <cell r="Z794">
            <v>0</v>
          </cell>
          <cell r="AA794">
            <v>0</v>
          </cell>
          <cell r="AC794">
            <v>533.33000000000004</v>
          </cell>
          <cell r="AD794">
            <v>0</v>
          </cell>
          <cell r="AF794">
            <v>3411.87</v>
          </cell>
          <cell r="AG794">
            <v>0</v>
          </cell>
          <cell r="AI794">
            <v>0</v>
          </cell>
          <cell r="AJ794">
            <v>0</v>
          </cell>
          <cell r="AL794">
            <v>0</v>
          </cell>
          <cell r="AM794">
            <v>0</v>
          </cell>
          <cell r="AO794">
            <v>0</v>
          </cell>
          <cell r="AP794">
            <v>0</v>
          </cell>
          <cell r="AR794">
            <v>0</v>
          </cell>
          <cell r="AS794">
            <v>0</v>
          </cell>
          <cell r="BF794" t="str">
            <v>2001</v>
          </cell>
          <cell r="BG794" t="str">
            <v>B005</v>
          </cell>
          <cell r="BH794" t="str">
            <v>GFS</v>
          </cell>
        </row>
        <row r="795">
          <cell r="K795">
            <v>0</v>
          </cell>
          <cell r="L795">
            <v>0</v>
          </cell>
          <cell r="N795">
            <v>0</v>
          </cell>
          <cell r="O795">
            <v>0</v>
          </cell>
          <cell r="Q795">
            <v>0</v>
          </cell>
          <cell r="R795">
            <v>0</v>
          </cell>
          <cell r="T795">
            <v>0</v>
          </cell>
          <cell r="U795">
            <v>0</v>
          </cell>
          <cell r="W795">
            <v>0</v>
          </cell>
          <cell r="X795">
            <v>0</v>
          </cell>
          <cell r="Z795">
            <v>0</v>
          </cell>
          <cell r="AA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I795">
            <v>0</v>
          </cell>
          <cell r="AJ795">
            <v>0</v>
          </cell>
          <cell r="AL795">
            <v>0</v>
          </cell>
          <cell r="AM795">
            <v>0</v>
          </cell>
          <cell r="AO795">
            <v>0</v>
          </cell>
          <cell r="AP795">
            <v>0</v>
          </cell>
          <cell r="AR795">
            <v>0</v>
          </cell>
          <cell r="AS795">
            <v>0</v>
          </cell>
          <cell r="BF795" t="str">
            <v>2001</v>
          </cell>
          <cell r="BG795" t="str">
            <v>B006</v>
          </cell>
          <cell r="BH795" t="str">
            <v>GFS</v>
          </cell>
        </row>
        <row r="796">
          <cell r="K796">
            <v>4.6100000000000136</v>
          </cell>
          <cell r="L796">
            <v>0</v>
          </cell>
          <cell r="N796">
            <v>-41.039999999999964</v>
          </cell>
          <cell r="O796">
            <v>0</v>
          </cell>
          <cell r="Q796">
            <v>0</v>
          </cell>
          <cell r="R796">
            <v>0</v>
          </cell>
          <cell r="T796">
            <v>0</v>
          </cell>
          <cell r="U796">
            <v>0</v>
          </cell>
          <cell r="W796">
            <v>0</v>
          </cell>
          <cell r="X796">
            <v>0</v>
          </cell>
          <cell r="Z796">
            <v>0</v>
          </cell>
          <cell r="AA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I796">
            <v>0</v>
          </cell>
          <cell r="AJ796">
            <v>0</v>
          </cell>
          <cell r="AL796">
            <v>0</v>
          </cell>
          <cell r="AM796">
            <v>0</v>
          </cell>
          <cell r="AO796">
            <v>0</v>
          </cell>
          <cell r="AP796">
            <v>0</v>
          </cell>
          <cell r="AR796">
            <v>0</v>
          </cell>
          <cell r="AS796">
            <v>0</v>
          </cell>
          <cell r="BF796" t="str">
            <v>2008</v>
          </cell>
          <cell r="BG796" t="str">
            <v>Z000</v>
          </cell>
          <cell r="BH796" t="str">
            <v>GFS</v>
          </cell>
        </row>
        <row r="797">
          <cell r="K797">
            <v>21467.75</v>
          </cell>
          <cell r="L797">
            <v>0</v>
          </cell>
          <cell r="N797">
            <v>3590.4600000000064</v>
          </cell>
          <cell r="O797">
            <v>0</v>
          </cell>
          <cell r="Q797">
            <v>19536.619999999995</v>
          </cell>
          <cell r="R797">
            <v>0</v>
          </cell>
          <cell r="T797">
            <v>-1184</v>
          </cell>
          <cell r="U797">
            <v>0</v>
          </cell>
          <cell r="W797">
            <v>20557</v>
          </cell>
          <cell r="X797">
            <v>0</v>
          </cell>
          <cell r="Z797">
            <v>13508.380000000005</v>
          </cell>
          <cell r="AA797">
            <v>0</v>
          </cell>
          <cell r="AC797">
            <v>12265.149999999965</v>
          </cell>
          <cell r="AD797">
            <v>0</v>
          </cell>
          <cell r="AF797">
            <v>28937.559999999998</v>
          </cell>
          <cell r="AG797">
            <v>0</v>
          </cell>
          <cell r="AI797">
            <v>28918.359999999986</v>
          </cell>
          <cell r="AJ797">
            <v>0</v>
          </cell>
          <cell r="AL797">
            <v>37860.200000000012</v>
          </cell>
          <cell r="AM797">
            <v>0</v>
          </cell>
          <cell r="AO797">
            <v>-12202</v>
          </cell>
          <cell r="AP797">
            <v>0</v>
          </cell>
          <cell r="AR797">
            <v>-52276.709999999963</v>
          </cell>
          <cell r="AS797">
            <v>0</v>
          </cell>
          <cell r="BF797" t="str">
            <v>2010</v>
          </cell>
          <cell r="BG797" t="str">
            <v>B021</v>
          </cell>
          <cell r="BH797" t="str">
            <v>GFS</v>
          </cell>
        </row>
        <row r="798">
          <cell r="K798">
            <v>0</v>
          </cell>
          <cell r="L798">
            <v>0</v>
          </cell>
          <cell r="N798">
            <v>0</v>
          </cell>
          <cell r="O798">
            <v>0</v>
          </cell>
          <cell r="Q798">
            <v>0</v>
          </cell>
          <cell r="R798">
            <v>0</v>
          </cell>
          <cell r="T798">
            <v>0</v>
          </cell>
          <cell r="U798">
            <v>0</v>
          </cell>
          <cell r="W798">
            <v>0</v>
          </cell>
          <cell r="X798">
            <v>0</v>
          </cell>
          <cell r="Z798">
            <v>0</v>
          </cell>
          <cell r="AA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I798">
            <v>985.97</v>
          </cell>
          <cell r="AJ798">
            <v>0</v>
          </cell>
          <cell r="AL798">
            <v>0</v>
          </cell>
          <cell r="AM798">
            <v>0</v>
          </cell>
          <cell r="AO798">
            <v>32574.589999999997</v>
          </cell>
          <cell r="AP798">
            <v>0</v>
          </cell>
          <cell r="AR798">
            <v>94017.76</v>
          </cell>
          <cell r="AS798">
            <v>0</v>
          </cell>
          <cell r="BF798" t="str">
            <v>2010</v>
          </cell>
          <cell r="BG798" t="str">
            <v>B022</v>
          </cell>
          <cell r="BH798" t="str">
            <v>GFS</v>
          </cell>
        </row>
        <row r="799">
          <cell r="K799">
            <v>0</v>
          </cell>
          <cell r="L799">
            <v>0</v>
          </cell>
          <cell r="N799">
            <v>0</v>
          </cell>
          <cell r="O799">
            <v>0</v>
          </cell>
          <cell r="Q799">
            <v>0</v>
          </cell>
          <cell r="R799">
            <v>0</v>
          </cell>
          <cell r="T799">
            <v>0</v>
          </cell>
          <cell r="U799">
            <v>0</v>
          </cell>
          <cell r="W799">
            <v>0</v>
          </cell>
          <cell r="X799">
            <v>0</v>
          </cell>
          <cell r="Z799">
            <v>0</v>
          </cell>
          <cell r="AA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I799">
            <v>0</v>
          </cell>
          <cell r="AJ799">
            <v>0</v>
          </cell>
          <cell r="AL799">
            <v>0</v>
          </cell>
          <cell r="AM799">
            <v>0</v>
          </cell>
          <cell r="AO799">
            <v>0</v>
          </cell>
          <cell r="AP799">
            <v>0</v>
          </cell>
          <cell r="AR799">
            <v>0</v>
          </cell>
          <cell r="AS799">
            <v>0</v>
          </cell>
          <cell r="BF799" t="str">
            <v>2010</v>
          </cell>
          <cell r="BG799" t="str">
            <v>B023</v>
          </cell>
          <cell r="BH799" t="str">
            <v>GFS</v>
          </cell>
        </row>
        <row r="800">
          <cell r="K800">
            <v>0</v>
          </cell>
          <cell r="L800">
            <v>0</v>
          </cell>
          <cell r="N800">
            <v>0</v>
          </cell>
          <cell r="O800">
            <v>0</v>
          </cell>
          <cell r="Q800">
            <v>0</v>
          </cell>
          <cell r="R800">
            <v>0</v>
          </cell>
          <cell r="T800">
            <v>0</v>
          </cell>
          <cell r="U800">
            <v>0</v>
          </cell>
          <cell r="W800">
            <v>0</v>
          </cell>
          <cell r="X800">
            <v>0</v>
          </cell>
          <cell r="Z800">
            <v>0</v>
          </cell>
          <cell r="AA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I800">
            <v>0</v>
          </cell>
          <cell r="AJ800">
            <v>0</v>
          </cell>
          <cell r="AL800">
            <v>0</v>
          </cell>
          <cell r="AM800">
            <v>0</v>
          </cell>
          <cell r="AO800">
            <v>0</v>
          </cell>
          <cell r="AP800">
            <v>0</v>
          </cell>
          <cell r="AR800">
            <v>0</v>
          </cell>
          <cell r="AS800">
            <v>0</v>
          </cell>
          <cell r="BF800" t="str">
            <v>2010</v>
          </cell>
          <cell r="BG800" t="str">
            <v>B024</v>
          </cell>
          <cell r="BH800" t="str">
            <v>GFS</v>
          </cell>
        </row>
        <row r="801">
          <cell r="K801">
            <v>0</v>
          </cell>
          <cell r="L801">
            <v>0</v>
          </cell>
          <cell r="N801">
            <v>0</v>
          </cell>
          <cell r="O801">
            <v>0</v>
          </cell>
          <cell r="Q801">
            <v>0</v>
          </cell>
          <cell r="R801">
            <v>0</v>
          </cell>
          <cell r="T801">
            <v>0</v>
          </cell>
          <cell r="U801">
            <v>0</v>
          </cell>
          <cell r="W801">
            <v>0</v>
          </cell>
          <cell r="X801">
            <v>0</v>
          </cell>
          <cell r="Z801">
            <v>0</v>
          </cell>
          <cell r="AA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I801">
            <v>0</v>
          </cell>
          <cell r="AJ801">
            <v>0</v>
          </cell>
          <cell r="AL801">
            <v>0</v>
          </cell>
          <cell r="AM801">
            <v>0</v>
          </cell>
          <cell r="AO801">
            <v>0</v>
          </cell>
          <cell r="AP801">
            <v>0</v>
          </cell>
          <cell r="AR801">
            <v>0</v>
          </cell>
          <cell r="AS801">
            <v>0</v>
          </cell>
          <cell r="BF801" t="str">
            <v>2015</v>
          </cell>
          <cell r="BG801" t="str">
            <v>B201</v>
          </cell>
          <cell r="BH801" t="str">
            <v>GFS</v>
          </cell>
        </row>
        <row r="802">
          <cell r="K802">
            <v>0</v>
          </cell>
          <cell r="L802">
            <v>0</v>
          </cell>
          <cell r="N802">
            <v>0</v>
          </cell>
          <cell r="O802">
            <v>0</v>
          </cell>
          <cell r="Q802">
            <v>0</v>
          </cell>
          <cell r="R802">
            <v>0</v>
          </cell>
          <cell r="T802">
            <v>0</v>
          </cell>
          <cell r="U802">
            <v>0</v>
          </cell>
          <cell r="W802">
            <v>0</v>
          </cell>
          <cell r="X802">
            <v>0</v>
          </cell>
          <cell r="Z802">
            <v>0</v>
          </cell>
          <cell r="AA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I802">
            <v>0</v>
          </cell>
          <cell r="AJ802">
            <v>0</v>
          </cell>
          <cell r="AL802">
            <v>0</v>
          </cell>
          <cell r="AM802">
            <v>0</v>
          </cell>
          <cell r="AO802">
            <v>0</v>
          </cell>
          <cell r="AP802">
            <v>0</v>
          </cell>
          <cell r="AR802">
            <v>0</v>
          </cell>
          <cell r="AS802">
            <v>0</v>
          </cell>
          <cell r="BF802" t="str">
            <v>2015</v>
          </cell>
          <cell r="BG802" t="str">
            <v>B202</v>
          </cell>
          <cell r="BH802" t="str">
            <v>GFS</v>
          </cell>
        </row>
        <row r="803">
          <cell r="K803">
            <v>0</v>
          </cell>
          <cell r="L803">
            <v>0</v>
          </cell>
          <cell r="N803">
            <v>0</v>
          </cell>
          <cell r="O803">
            <v>0</v>
          </cell>
          <cell r="Q803">
            <v>0</v>
          </cell>
          <cell r="R803">
            <v>0</v>
          </cell>
          <cell r="T803">
            <v>0</v>
          </cell>
          <cell r="U803">
            <v>0</v>
          </cell>
          <cell r="W803">
            <v>0</v>
          </cell>
          <cell r="X803">
            <v>0</v>
          </cell>
          <cell r="Z803">
            <v>0</v>
          </cell>
          <cell r="AA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I803">
            <v>0</v>
          </cell>
          <cell r="AJ803">
            <v>0</v>
          </cell>
          <cell r="AL803">
            <v>0</v>
          </cell>
          <cell r="AM803">
            <v>0</v>
          </cell>
          <cell r="AO803">
            <v>0</v>
          </cell>
          <cell r="AP803">
            <v>0</v>
          </cell>
          <cell r="AR803">
            <v>0</v>
          </cell>
          <cell r="AS803">
            <v>0</v>
          </cell>
          <cell r="BF803" t="str">
            <v>2015</v>
          </cell>
          <cell r="BG803" t="str">
            <v>B203</v>
          </cell>
          <cell r="BH803" t="str">
            <v>GFS</v>
          </cell>
        </row>
        <row r="804">
          <cell r="K804">
            <v>0</v>
          </cell>
          <cell r="L804">
            <v>0</v>
          </cell>
          <cell r="N804">
            <v>0</v>
          </cell>
          <cell r="O804">
            <v>0</v>
          </cell>
          <cell r="Q804">
            <v>0</v>
          </cell>
          <cell r="R804">
            <v>0</v>
          </cell>
          <cell r="T804">
            <v>0</v>
          </cell>
          <cell r="U804">
            <v>0</v>
          </cell>
          <cell r="W804">
            <v>0</v>
          </cell>
          <cell r="X804">
            <v>0</v>
          </cell>
          <cell r="Z804">
            <v>0</v>
          </cell>
          <cell r="AA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I804">
            <v>0</v>
          </cell>
          <cell r="AJ804">
            <v>0</v>
          </cell>
          <cell r="AL804">
            <v>0</v>
          </cell>
          <cell r="AM804">
            <v>0</v>
          </cell>
          <cell r="AO804">
            <v>0</v>
          </cell>
          <cell r="AP804">
            <v>0</v>
          </cell>
          <cell r="AR804">
            <v>0</v>
          </cell>
          <cell r="AS804">
            <v>0</v>
          </cell>
          <cell r="BF804" t="str">
            <v>2015</v>
          </cell>
          <cell r="BG804" t="str">
            <v>B204</v>
          </cell>
          <cell r="BH804" t="str">
            <v>GFS</v>
          </cell>
        </row>
        <row r="805">
          <cell r="K805">
            <v>7251</v>
          </cell>
          <cell r="L805">
            <v>0</v>
          </cell>
          <cell r="N805">
            <v>8435.5999999999985</v>
          </cell>
          <cell r="O805">
            <v>0</v>
          </cell>
          <cell r="Q805">
            <v>15811.950000000019</v>
          </cell>
          <cell r="R805">
            <v>0</v>
          </cell>
          <cell r="T805">
            <v>11696</v>
          </cell>
          <cell r="U805">
            <v>0</v>
          </cell>
          <cell r="W805">
            <v>12312.600000000006</v>
          </cell>
          <cell r="X805">
            <v>0</v>
          </cell>
          <cell r="Z805">
            <v>8473</v>
          </cell>
          <cell r="AA805">
            <v>0</v>
          </cell>
          <cell r="AC805">
            <v>11752.099999999977</v>
          </cell>
          <cell r="AD805">
            <v>0</v>
          </cell>
          <cell r="AF805">
            <v>8525.1000000000349</v>
          </cell>
          <cell r="AG805">
            <v>0</v>
          </cell>
          <cell r="AI805">
            <v>11884.999999999985</v>
          </cell>
          <cell r="AJ805">
            <v>0</v>
          </cell>
          <cell r="AL805">
            <v>16569.990000000005</v>
          </cell>
          <cell r="AM805">
            <v>0</v>
          </cell>
          <cell r="AO805">
            <v>14125.97000000003</v>
          </cell>
          <cell r="AP805">
            <v>0</v>
          </cell>
          <cell r="AR805">
            <v>11195.190000000002</v>
          </cell>
          <cell r="AS805">
            <v>0</v>
          </cell>
          <cell r="BF805" t="str">
            <v>2015</v>
          </cell>
          <cell r="BG805" t="str">
            <v>B205</v>
          </cell>
          <cell r="BH805" t="str">
            <v>GFS</v>
          </cell>
        </row>
        <row r="806">
          <cell r="K806">
            <v>340</v>
          </cell>
          <cell r="L806">
            <v>0</v>
          </cell>
          <cell r="N806">
            <v>0</v>
          </cell>
          <cell r="O806">
            <v>0</v>
          </cell>
          <cell r="Q806">
            <v>0</v>
          </cell>
          <cell r="R806">
            <v>0</v>
          </cell>
          <cell r="T806">
            <v>0</v>
          </cell>
          <cell r="U806">
            <v>0</v>
          </cell>
          <cell r="W806">
            <v>0</v>
          </cell>
          <cell r="X806">
            <v>0</v>
          </cell>
          <cell r="Z806">
            <v>0</v>
          </cell>
          <cell r="AA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I806">
            <v>0</v>
          </cell>
          <cell r="AJ806">
            <v>0</v>
          </cell>
          <cell r="AL806">
            <v>0</v>
          </cell>
          <cell r="AM806">
            <v>0</v>
          </cell>
          <cell r="AO806">
            <v>0</v>
          </cell>
          <cell r="AP806">
            <v>0</v>
          </cell>
          <cell r="AR806">
            <v>0</v>
          </cell>
          <cell r="AS806">
            <v>0</v>
          </cell>
          <cell r="BF806" t="str">
            <v>2015</v>
          </cell>
          <cell r="BG806" t="str">
            <v>B206</v>
          </cell>
          <cell r="BH806" t="str">
            <v>GFS</v>
          </cell>
        </row>
        <row r="807">
          <cell r="K807">
            <v>0</v>
          </cell>
          <cell r="L807">
            <v>0</v>
          </cell>
          <cell r="N807">
            <v>9</v>
          </cell>
          <cell r="O807">
            <v>0</v>
          </cell>
          <cell r="Q807">
            <v>0</v>
          </cell>
          <cell r="R807">
            <v>0</v>
          </cell>
          <cell r="T807">
            <v>0</v>
          </cell>
          <cell r="U807">
            <v>0</v>
          </cell>
          <cell r="W807">
            <v>0</v>
          </cell>
          <cell r="X807">
            <v>0</v>
          </cell>
          <cell r="Z807">
            <v>0</v>
          </cell>
          <cell r="AA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I807">
            <v>0</v>
          </cell>
          <cell r="AJ807">
            <v>0</v>
          </cell>
          <cell r="AL807">
            <v>0</v>
          </cell>
          <cell r="AM807">
            <v>0</v>
          </cell>
          <cell r="AO807">
            <v>0</v>
          </cell>
          <cell r="AP807">
            <v>0</v>
          </cell>
          <cell r="AR807">
            <v>0</v>
          </cell>
          <cell r="AS807">
            <v>0</v>
          </cell>
          <cell r="BF807" t="str">
            <v>2015</v>
          </cell>
          <cell r="BG807" t="str">
            <v>B207</v>
          </cell>
          <cell r="BH807" t="str">
            <v>GFS</v>
          </cell>
        </row>
        <row r="808">
          <cell r="K808">
            <v>8933</v>
          </cell>
          <cell r="L808">
            <v>0</v>
          </cell>
          <cell r="N808">
            <v>7635.4000000000015</v>
          </cell>
          <cell r="O808">
            <v>0</v>
          </cell>
          <cell r="Q808">
            <v>4289</v>
          </cell>
          <cell r="R808">
            <v>0</v>
          </cell>
          <cell r="T808">
            <v>9260.2799999999988</v>
          </cell>
          <cell r="U808">
            <v>0</v>
          </cell>
          <cell r="W808">
            <v>9312.0500000000029</v>
          </cell>
          <cell r="X808">
            <v>0</v>
          </cell>
          <cell r="Z808">
            <v>4899.5</v>
          </cell>
          <cell r="AA808">
            <v>0</v>
          </cell>
          <cell r="AC808">
            <v>5518.6000000000058</v>
          </cell>
          <cell r="AD808">
            <v>0</v>
          </cell>
          <cell r="AF808">
            <v>4506</v>
          </cell>
          <cell r="AG808">
            <v>0</v>
          </cell>
          <cell r="AI808">
            <v>5098.5</v>
          </cell>
          <cell r="AJ808">
            <v>0</v>
          </cell>
          <cell r="AL808">
            <v>6977.9000000000015</v>
          </cell>
          <cell r="AM808">
            <v>0</v>
          </cell>
          <cell r="AO808">
            <v>6701.0499999999884</v>
          </cell>
          <cell r="AP808">
            <v>0</v>
          </cell>
          <cell r="AR808">
            <v>9652.5</v>
          </cell>
          <cell r="AS808">
            <v>0</v>
          </cell>
          <cell r="BF808" t="str">
            <v>2015</v>
          </cell>
          <cell r="BG808" t="str">
            <v>B208</v>
          </cell>
          <cell r="BH808" t="str">
            <v>GFS</v>
          </cell>
        </row>
        <row r="809">
          <cell r="K809">
            <v>0</v>
          </cell>
          <cell r="L809">
            <v>0</v>
          </cell>
          <cell r="N809">
            <v>0</v>
          </cell>
          <cell r="O809">
            <v>0</v>
          </cell>
          <cell r="Q809">
            <v>0</v>
          </cell>
          <cell r="R809">
            <v>0</v>
          </cell>
          <cell r="T809">
            <v>0</v>
          </cell>
          <cell r="U809">
            <v>0</v>
          </cell>
          <cell r="W809">
            <v>0</v>
          </cell>
          <cell r="X809">
            <v>0</v>
          </cell>
          <cell r="Z809">
            <v>0</v>
          </cell>
          <cell r="AA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I809">
            <v>0</v>
          </cell>
          <cell r="AJ809">
            <v>0</v>
          </cell>
          <cell r="AL809">
            <v>0</v>
          </cell>
          <cell r="AM809">
            <v>0</v>
          </cell>
          <cell r="AO809">
            <v>0</v>
          </cell>
          <cell r="AP809">
            <v>0</v>
          </cell>
          <cell r="AR809">
            <v>0</v>
          </cell>
          <cell r="AS809">
            <v>0</v>
          </cell>
          <cell r="BF809" t="str">
            <v>2015</v>
          </cell>
          <cell r="BG809" t="str">
            <v>B209</v>
          </cell>
          <cell r="BH809" t="str">
            <v>GFS</v>
          </cell>
        </row>
        <row r="810">
          <cell r="K810">
            <v>0</v>
          </cell>
          <cell r="L810">
            <v>0</v>
          </cell>
          <cell r="N810">
            <v>0</v>
          </cell>
          <cell r="O810">
            <v>0</v>
          </cell>
          <cell r="Q810">
            <v>0</v>
          </cell>
          <cell r="R810">
            <v>0</v>
          </cell>
          <cell r="T810">
            <v>0</v>
          </cell>
          <cell r="U810">
            <v>0</v>
          </cell>
          <cell r="W810">
            <v>0</v>
          </cell>
          <cell r="X810">
            <v>0</v>
          </cell>
          <cell r="Z810">
            <v>0</v>
          </cell>
          <cell r="AA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I810">
            <v>0</v>
          </cell>
          <cell r="AJ810">
            <v>0</v>
          </cell>
          <cell r="AL810">
            <v>0</v>
          </cell>
          <cell r="AM810">
            <v>0</v>
          </cell>
          <cell r="AO810">
            <v>0</v>
          </cell>
          <cell r="AP810">
            <v>0</v>
          </cell>
          <cell r="AR810">
            <v>0</v>
          </cell>
          <cell r="AS810">
            <v>0</v>
          </cell>
          <cell r="BF810" t="str">
            <v>2015</v>
          </cell>
          <cell r="BG810" t="str">
            <v>B210</v>
          </cell>
          <cell r="BH810" t="str">
            <v>GFS</v>
          </cell>
        </row>
        <row r="811">
          <cell r="K811">
            <v>0</v>
          </cell>
          <cell r="L811">
            <v>0</v>
          </cell>
          <cell r="N811">
            <v>0</v>
          </cell>
          <cell r="O811">
            <v>0</v>
          </cell>
          <cell r="Q811">
            <v>0</v>
          </cell>
          <cell r="R811">
            <v>0</v>
          </cell>
          <cell r="T811">
            <v>0</v>
          </cell>
          <cell r="U811">
            <v>0</v>
          </cell>
          <cell r="W811">
            <v>0</v>
          </cell>
          <cell r="X811">
            <v>0</v>
          </cell>
          <cell r="Z811">
            <v>0</v>
          </cell>
          <cell r="AA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I811">
            <v>0</v>
          </cell>
          <cell r="AJ811">
            <v>0</v>
          </cell>
          <cell r="AL811">
            <v>0</v>
          </cell>
          <cell r="AM811">
            <v>0</v>
          </cell>
          <cell r="AO811">
            <v>0</v>
          </cell>
          <cell r="AP811">
            <v>0</v>
          </cell>
          <cell r="AR811">
            <v>0</v>
          </cell>
          <cell r="AS811">
            <v>0</v>
          </cell>
          <cell r="BF811" t="str">
            <v>2016</v>
          </cell>
          <cell r="BG811" t="str">
            <v>B301</v>
          </cell>
          <cell r="BH811" t="str">
            <v>GFS</v>
          </cell>
        </row>
        <row r="812">
          <cell r="K812">
            <v>0</v>
          </cell>
          <cell r="L812">
            <v>0</v>
          </cell>
          <cell r="N812">
            <v>0</v>
          </cell>
          <cell r="O812">
            <v>0</v>
          </cell>
          <cell r="Q812">
            <v>0</v>
          </cell>
          <cell r="R812">
            <v>0</v>
          </cell>
          <cell r="T812">
            <v>0</v>
          </cell>
          <cell r="U812">
            <v>0</v>
          </cell>
          <cell r="W812">
            <v>0</v>
          </cell>
          <cell r="X812">
            <v>0</v>
          </cell>
          <cell r="Z812">
            <v>0</v>
          </cell>
          <cell r="AA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I812">
            <v>0</v>
          </cell>
          <cell r="AJ812">
            <v>0</v>
          </cell>
          <cell r="AL812">
            <v>0</v>
          </cell>
          <cell r="AM812">
            <v>0</v>
          </cell>
          <cell r="AO812">
            <v>0</v>
          </cell>
          <cell r="AP812">
            <v>0</v>
          </cell>
          <cell r="AR812">
            <v>0</v>
          </cell>
          <cell r="AS812">
            <v>0</v>
          </cell>
          <cell r="BF812" t="str">
            <v>2016</v>
          </cell>
          <cell r="BG812" t="str">
            <v>B302</v>
          </cell>
          <cell r="BH812" t="str">
            <v>GFS</v>
          </cell>
        </row>
        <row r="813">
          <cell r="K813">
            <v>0</v>
          </cell>
          <cell r="L813">
            <v>0</v>
          </cell>
          <cell r="N813">
            <v>0</v>
          </cell>
          <cell r="O813">
            <v>0</v>
          </cell>
          <cell r="Q813">
            <v>0</v>
          </cell>
          <cell r="R813">
            <v>0</v>
          </cell>
          <cell r="T813">
            <v>0</v>
          </cell>
          <cell r="U813">
            <v>0</v>
          </cell>
          <cell r="W813">
            <v>0</v>
          </cell>
          <cell r="X813">
            <v>0</v>
          </cell>
          <cell r="Z813">
            <v>0</v>
          </cell>
          <cell r="AA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I813">
            <v>0</v>
          </cell>
          <cell r="AJ813">
            <v>0</v>
          </cell>
          <cell r="AL813">
            <v>0</v>
          </cell>
          <cell r="AM813">
            <v>0</v>
          </cell>
          <cell r="AO813">
            <v>0</v>
          </cell>
          <cell r="AP813">
            <v>0</v>
          </cell>
          <cell r="AR813">
            <v>0</v>
          </cell>
          <cell r="AS813">
            <v>0</v>
          </cell>
          <cell r="BF813" t="str">
            <v>2016</v>
          </cell>
          <cell r="BG813" t="str">
            <v>B303</v>
          </cell>
          <cell r="BH813" t="str">
            <v>GFS</v>
          </cell>
        </row>
        <row r="814">
          <cell r="K814">
            <v>0</v>
          </cell>
          <cell r="L814">
            <v>0</v>
          </cell>
          <cell r="N814">
            <v>0</v>
          </cell>
          <cell r="O814">
            <v>0</v>
          </cell>
          <cell r="Q814">
            <v>0</v>
          </cell>
          <cell r="R814">
            <v>0</v>
          </cell>
          <cell r="T814">
            <v>0</v>
          </cell>
          <cell r="U814">
            <v>0</v>
          </cell>
          <cell r="W814">
            <v>0</v>
          </cell>
          <cell r="X814">
            <v>0</v>
          </cell>
          <cell r="Z814">
            <v>0</v>
          </cell>
          <cell r="AA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I814">
            <v>0</v>
          </cell>
          <cell r="AJ814">
            <v>0</v>
          </cell>
          <cell r="AL814">
            <v>0</v>
          </cell>
          <cell r="AM814">
            <v>0</v>
          </cell>
          <cell r="AO814">
            <v>0</v>
          </cell>
          <cell r="AP814">
            <v>0</v>
          </cell>
          <cell r="AR814">
            <v>0</v>
          </cell>
          <cell r="AS814">
            <v>0</v>
          </cell>
          <cell r="BF814" t="str">
            <v>2017</v>
          </cell>
          <cell r="BG814" t="str">
            <v>B401</v>
          </cell>
          <cell r="BH814" t="str">
            <v>GFS</v>
          </cell>
        </row>
        <row r="815">
          <cell r="K815">
            <v>0</v>
          </cell>
          <cell r="L815">
            <v>0</v>
          </cell>
          <cell r="N815">
            <v>0</v>
          </cell>
          <cell r="O815">
            <v>0</v>
          </cell>
          <cell r="Q815">
            <v>0</v>
          </cell>
          <cell r="R815">
            <v>0</v>
          </cell>
          <cell r="T815">
            <v>0</v>
          </cell>
          <cell r="U815">
            <v>0</v>
          </cell>
          <cell r="W815">
            <v>0</v>
          </cell>
          <cell r="X815">
            <v>0</v>
          </cell>
          <cell r="Z815">
            <v>0</v>
          </cell>
          <cell r="AA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I815">
            <v>0</v>
          </cell>
          <cell r="AJ815">
            <v>0</v>
          </cell>
          <cell r="AL815">
            <v>0</v>
          </cell>
          <cell r="AM815">
            <v>0</v>
          </cell>
          <cell r="AO815">
            <v>0</v>
          </cell>
          <cell r="AP815">
            <v>0</v>
          </cell>
          <cell r="AR815">
            <v>0</v>
          </cell>
          <cell r="AS815">
            <v>0</v>
          </cell>
          <cell r="BF815" t="str">
            <v>2017</v>
          </cell>
          <cell r="BG815" t="str">
            <v>B402</v>
          </cell>
          <cell r="BH815" t="str">
            <v>GFS</v>
          </cell>
        </row>
        <row r="816">
          <cell r="K816">
            <v>-10063.940000000002</v>
          </cell>
          <cell r="L816">
            <v>0</v>
          </cell>
          <cell r="N816">
            <v>6540.5599999999977</v>
          </cell>
          <cell r="O816">
            <v>0</v>
          </cell>
          <cell r="Q816">
            <v>7972.8499999999985</v>
          </cell>
          <cell r="R816">
            <v>0</v>
          </cell>
          <cell r="T816">
            <v>9292.6699999999983</v>
          </cell>
          <cell r="U816">
            <v>0</v>
          </cell>
          <cell r="W816">
            <v>10957.929999999993</v>
          </cell>
          <cell r="X816">
            <v>0</v>
          </cell>
          <cell r="Z816">
            <v>12345.209999999992</v>
          </cell>
          <cell r="AA816">
            <v>0</v>
          </cell>
          <cell r="AC816">
            <v>12557.860000000015</v>
          </cell>
          <cell r="AD816">
            <v>0</v>
          </cell>
          <cell r="AF816">
            <v>13750.219999999987</v>
          </cell>
          <cell r="AG816">
            <v>0</v>
          </cell>
          <cell r="AI816">
            <v>14773.239999999976</v>
          </cell>
          <cell r="AJ816">
            <v>0</v>
          </cell>
          <cell r="AL816">
            <v>16223.550000000017</v>
          </cell>
          <cell r="AM816">
            <v>0</v>
          </cell>
          <cell r="AO816">
            <v>17865.28</v>
          </cell>
          <cell r="AP816">
            <v>0</v>
          </cell>
          <cell r="AR816">
            <v>18611.929999999993</v>
          </cell>
          <cell r="AS816">
            <v>0</v>
          </cell>
          <cell r="BF816" t="str">
            <v>2017</v>
          </cell>
          <cell r="BG816" t="str">
            <v>B403</v>
          </cell>
          <cell r="BH816" t="str">
            <v>GFS</v>
          </cell>
        </row>
        <row r="817">
          <cell r="K817">
            <v>0</v>
          </cell>
          <cell r="L817">
            <v>0</v>
          </cell>
          <cell r="N817">
            <v>0</v>
          </cell>
          <cell r="O817">
            <v>0</v>
          </cell>
          <cell r="Q817">
            <v>0</v>
          </cell>
          <cell r="R817">
            <v>0</v>
          </cell>
          <cell r="T817">
            <v>0</v>
          </cell>
          <cell r="U817">
            <v>0</v>
          </cell>
          <cell r="W817">
            <v>0</v>
          </cell>
          <cell r="X817">
            <v>0</v>
          </cell>
          <cell r="Z817">
            <v>0</v>
          </cell>
          <cell r="AA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I817">
            <v>0</v>
          </cell>
          <cell r="AJ817">
            <v>0</v>
          </cell>
          <cell r="AL817">
            <v>0</v>
          </cell>
          <cell r="AM817">
            <v>0</v>
          </cell>
          <cell r="AO817">
            <v>0</v>
          </cell>
          <cell r="AP817">
            <v>0</v>
          </cell>
          <cell r="AR817">
            <v>0</v>
          </cell>
          <cell r="AS817">
            <v>0</v>
          </cell>
          <cell r="BF817" t="str">
            <v>3100</v>
          </cell>
          <cell r="BG817" t="str">
            <v>C002</v>
          </cell>
          <cell r="BH817" t="str">
            <v>GFS</v>
          </cell>
        </row>
        <row r="818">
          <cell r="K818">
            <v>0</v>
          </cell>
          <cell r="L818">
            <v>0</v>
          </cell>
          <cell r="N818">
            <v>0</v>
          </cell>
          <cell r="O818">
            <v>0</v>
          </cell>
          <cell r="Q818">
            <v>0</v>
          </cell>
          <cell r="R818">
            <v>0</v>
          </cell>
          <cell r="T818">
            <v>0</v>
          </cell>
          <cell r="U818">
            <v>0</v>
          </cell>
          <cell r="W818">
            <v>0</v>
          </cell>
          <cell r="X818">
            <v>0</v>
          </cell>
          <cell r="Z818">
            <v>0</v>
          </cell>
          <cell r="AA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I818">
            <v>0</v>
          </cell>
          <cell r="AJ818">
            <v>0</v>
          </cell>
          <cell r="AL818">
            <v>0</v>
          </cell>
          <cell r="AM818">
            <v>0</v>
          </cell>
          <cell r="AO818">
            <v>0</v>
          </cell>
          <cell r="AP818">
            <v>0</v>
          </cell>
          <cell r="AR818">
            <v>0</v>
          </cell>
          <cell r="AS818">
            <v>0</v>
          </cell>
          <cell r="BF818" t="str">
            <v>3100</v>
          </cell>
          <cell r="BG818" t="str">
            <v>C003</v>
          </cell>
          <cell r="BH818" t="str">
            <v>GFS</v>
          </cell>
        </row>
        <row r="819">
          <cell r="K819">
            <v>0</v>
          </cell>
          <cell r="L819">
            <v>0</v>
          </cell>
          <cell r="N819">
            <v>0</v>
          </cell>
          <cell r="O819">
            <v>0</v>
          </cell>
          <cell r="Q819">
            <v>0</v>
          </cell>
          <cell r="R819">
            <v>0</v>
          </cell>
          <cell r="T819">
            <v>0</v>
          </cell>
          <cell r="U819">
            <v>0</v>
          </cell>
          <cell r="W819">
            <v>0</v>
          </cell>
          <cell r="X819">
            <v>0</v>
          </cell>
          <cell r="Z819">
            <v>0</v>
          </cell>
          <cell r="AA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I819">
            <v>0</v>
          </cell>
          <cell r="AJ819">
            <v>0</v>
          </cell>
          <cell r="AL819">
            <v>0</v>
          </cell>
          <cell r="AM819">
            <v>0</v>
          </cell>
          <cell r="AO819">
            <v>0</v>
          </cell>
          <cell r="AP819">
            <v>0</v>
          </cell>
          <cell r="AR819">
            <v>0</v>
          </cell>
          <cell r="AS819">
            <v>0</v>
          </cell>
          <cell r="BF819" t="str">
            <v>3100</v>
          </cell>
          <cell r="BG819" t="str">
            <v>C004</v>
          </cell>
          <cell r="BH819" t="str">
            <v>GFS</v>
          </cell>
        </row>
        <row r="820">
          <cell r="K820">
            <v>0</v>
          </cell>
          <cell r="L820">
            <v>0</v>
          </cell>
          <cell r="N820">
            <v>0</v>
          </cell>
          <cell r="O820">
            <v>0</v>
          </cell>
          <cell r="Q820">
            <v>0</v>
          </cell>
          <cell r="R820">
            <v>0</v>
          </cell>
          <cell r="T820">
            <v>0</v>
          </cell>
          <cell r="U820">
            <v>0</v>
          </cell>
          <cell r="W820">
            <v>0</v>
          </cell>
          <cell r="X820">
            <v>0</v>
          </cell>
          <cell r="Z820">
            <v>0</v>
          </cell>
          <cell r="AA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I820">
            <v>0</v>
          </cell>
          <cell r="AJ820">
            <v>0</v>
          </cell>
          <cell r="AL820">
            <v>0</v>
          </cell>
          <cell r="AM820">
            <v>0</v>
          </cell>
          <cell r="AO820">
            <v>0</v>
          </cell>
          <cell r="AP820">
            <v>0</v>
          </cell>
          <cell r="AR820">
            <v>0</v>
          </cell>
          <cell r="AS820">
            <v>0</v>
          </cell>
          <cell r="BF820" t="str">
            <v>3100</v>
          </cell>
          <cell r="BG820" t="str">
            <v>C005</v>
          </cell>
          <cell r="BH820" t="str">
            <v>GFS</v>
          </cell>
        </row>
        <row r="821">
          <cell r="K821">
            <v>0</v>
          </cell>
          <cell r="L821">
            <v>0</v>
          </cell>
          <cell r="N821">
            <v>0</v>
          </cell>
          <cell r="O821">
            <v>0</v>
          </cell>
          <cell r="Q821">
            <v>0</v>
          </cell>
          <cell r="R821">
            <v>0</v>
          </cell>
          <cell r="T821">
            <v>0</v>
          </cell>
          <cell r="U821">
            <v>0</v>
          </cell>
          <cell r="W821">
            <v>0</v>
          </cell>
          <cell r="X821">
            <v>0</v>
          </cell>
          <cell r="Z821">
            <v>0</v>
          </cell>
          <cell r="AA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I821">
            <v>0</v>
          </cell>
          <cell r="AJ821">
            <v>0</v>
          </cell>
          <cell r="AL821">
            <v>0</v>
          </cell>
          <cell r="AM821">
            <v>0</v>
          </cell>
          <cell r="AO821">
            <v>0</v>
          </cell>
          <cell r="AP821">
            <v>0</v>
          </cell>
          <cell r="AR821">
            <v>0</v>
          </cell>
          <cell r="AS821">
            <v>0</v>
          </cell>
          <cell r="BF821" t="str">
            <v>3100</v>
          </cell>
          <cell r="BG821" t="str">
            <v>C006</v>
          </cell>
          <cell r="BH821" t="str">
            <v>GFS</v>
          </cell>
        </row>
        <row r="822">
          <cell r="K822">
            <v>0</v>
          </cell>
          <cell r="L822">
            <v>0</v>
          </cell>
          <cell r="N822">
            <v>0</v>
          </cell>
          <cell r="O822">
            <v>0</v>
          </cell>
          <cell r="Q822">
            <v>0</v>
          </cell>
          <cell r="R822">
            <v>0</v>
          </cell>
          <cell r="T822">
            <v>0</v>
          </cell>
          <cell r="U822">
            <v>0</v>
          </cell>
          <cell r="W822">
            <v>0</v>
          </cell>
          <cell r="X822">
            <v>0</v>
          </cell>
          <cell r="Z822">
            <v>0</v>
          </cell>
          <cell r="AA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I822">
            <v>0</v>
          </cell>
          <cell r="AJ822">
            <v>0</v>
          </cell>
          <cell r="AL822">
            <v>0</v>
          </cell>
          <cell r="AM822">
            <v>0</v>
          </cell>
          <cell r="AO822">
            <v>0</v>
          </cell>
          <cell r="AP822">
            <v>0</v>
          </cell>
          <cell r="AR822">
            <v>0</v>
          </cell>
          <cell r="AS822">
            <v>0</v>
          </cell>
          <cell r="BF822" t="str">
            <v>3150</v>
          </cell>
          <cell r="BG822" t="str">
            <v>Z000</v>
          </cell>
          <cell r="BH822" t="str">
            <v>GFS</v>
          </cell>
        </row>
        <row r="823">
          <cell r="K823">
            <v>1000</v>
          </cell>
          <cell r="L823">
            <v>0</v>
          </cell>
          <cell r="N823">
            <v>1000</v>
          </cell>
          <cell r="O823">
            <v>0</v>
          </cell>
          <cell r="Q823">
            <v>1000</v>
          </cell>
          <cell r="R823">
            <v>0</v>
          </cell>
          <cell r="T823">
            <v>1000</v>
          </cell>
          <cell r="U823">
            <v>0</v>
          </cell>
          <cell r="W823">
            <v>1000</v>
          </cell>
          <cell r="X823">
            <v>0</v>
          </cell>
          <cell r="Z823">
            <v>1000</v>
          </cell>
          <cell r="AA823">
            <v>0</v>
          </cell>
          <cell r="AC823">
            <v>2720.0000000000018</v>
          </cell>
          <cell r="AD823">
            <v>0</v>
          </cell>
          <cell r="AF823">
            <v>2720</v>
          </cell>
          <cell r="AG823">
            <v>0</v>
          </cell>
          <cell r="AI823">
            <v>2720</v>
          </cell>
          <cell r="AJ823">
            <v>0</v>
          </cell>
          <cell r="AL823">
            <v>2720</v>
          </cell>
          <cell r="AM823">
            <v>0</v>
          </cell>
          <cell r="AO823">
            <v>2720</v>
          </cell>
          <cell r="AP823">
            <v>0</v>
          </cell>
          <cell r="AR823">
            <v>-1754.0800000000017</v>
          </cell>
          <cell r="AS823">
            <v>0</v>
          </cell>
          <cell r="BF823" t="str">
            <v>4000</v>
          </cell>
          <cell r="BG823" t="str">
            <v>D001</v>
          </cell>
          <cell r="BH823" t="str">
            <v>GFS</v>
          </cell>
        </row>
        <row r="824">
          <cell r="K824">
            <v>0</v>
          </cell>
          <cell r="L824">
            <v>0</v>
          </cell>
          <cell r="N824">
            <v>0</v>
          </cell>
          <cell r="O824">
            <v>0</v>
          </cell>
          <cell r="Q824">
            <v>0</v>
          </cell>
          <cell r="R824">
            <v>0</v>
          </cell>
          <cell r="T824">
            <v>0</v>
          </cell>
          <cell r="U824">
            <v>0</v>
          </cell>
          <cell r="W824">
            <v>0</v>
          </cell>
          <cell r="X824">
            <v>0</v>
          </cell>
          <cell r="Z824">
            <v>5060</v>
          </cell>
          <cell r="AA824">
            <v>0</v>
          </cell>
          <cell r="AC824">
            <v>2530</v>
          </cell>
          <cell r="AD824">
            <v>0</v>
          </cell>
          <cell r="AF824">
            <v>0</v>
          </cell>
          <cell r="AG824">
            <v>0</v>
          </cell>
          <cell r="AI824">
            <v>0</v>
          </cell>
          <cell r="AJ824">
            <v>0</v>
          </cell>
          <cell r="AL824">
            <v>0</v>
          </cell>
          <cell r="AM824">
            <v>0</v>
          </cell>
          <cell r="AO824">
            <v>0</v>
          </cell>
          <cell r="AP824">
            <v>0</v>
          </cell>
          <cell r="AR824">
            <v>0</v>
          </cell>
          <cell r="AS824">
            <v>0</v>
          </cell>
          <cell r="BF824" t="str">
            <v>4000</v>
          </cell>
          <cell r="BG824" t="str">
            <v>D002</v>
          </cell>
          <cell r="BH824" t="str">
            <v>GFS</v>
          </cell>
        </row>
        <row r="825">
          <cell r="K825">
            <v>2800</v>
          </cell>
          <cell r="L825">
            <v>0</v>
          </cell>
          <cell r="N825">
            <v>2500</v>
          </cell>
          <cell r="O825">
            <v>0</v>
          </cell>
          <cell r="Q825">
            <v>2500</v>
          </cell>
          <cell r="R825">
            <v>0</v>
          </cell>
          <cell r="T825">
            <v>2500</v>
          </cell>
          <cell r="U825">
            <v>0</v>
          </cell>
          <cell r="W825">
            <v>2500</v>
          </cell>
          <cell r="X825">
            <v>0</v>
          </cell>
          <cell r="Z825">
            <v>2500</v>
          </cell>
          <cell r="AA825">
            <v>0</v>
          </cell>
          <cell r="AC825">
            <v>2500</v>
          </cell>
          <cell r="AD825">
            <v>0</v>
          </cell>
          <cell r="AF825">
            <v>2500</v>
          </cell>
          <cell r="AG825">
            <v>0</v>
          </cell>
          <cell r="AI825">
            <v>2500</v>
          </cell>
          <cell r="AJ825">
            <v>0</v>
          </cell>
          <cell r="AL825">
            <v>2500</v>
          </cell>
          <cell r="AM825">
            <v>0</v>
          </cell>
          <cell r="AO825">
            <v>2500</v>
          </cell>
          <cell r="AP825">
            <v>0</v>
          </cell>
          <cell r="AR825">
            <v>2500</v>
          </cell>
          <cell r="AS825">
            <v>0</v>
          </cell>
          <cell r="BF825" t="str">
            <v>4010</v>
          </cell>
          <cell r="BG825" t="str">
            <v>Z000</v>
          </cell>
          <cell r="BH825" t="str">
            <v>GFS</v>
          </cell>
        </row>
        <row r="826">
          <cell r="K826">
            <v>5786.0200000000768</v>
          </cell>
          <cell r="L826">
            <v>0</v>
          </cell>
          <cell r="N826">
            <v>6139.070000000007</v>
          </cell>
          <cell r="O826">
            <v>0</v>
          </cell>
          <cell r="Q826">
            <v>4165.4000000001397</v>
          </cell>
          <cell r="R826">
            <v>0</v>
          </cell>
          <cell r="T826">
            <v>5330.4500000000335</v>
          </cell>
          <cell r="U826">
            <v>0</v>
          </cell>
          <cell r="W826">
            <v>4780.7600000000239</v>
          </cell>
          <cell r="X826">
            <v>0</v>
          </cell>
          <cell r="Z826">
            <v>3011.9400000000023</v>
          </cell>
          <cell r="AA826">
            <v>0</v>
          </cell>
          <cell r="AC826">
            <v>3444.7799999999916</v>
          </cell>
          <cell r="AD826">
            <v>0</v>
          </cell>
          <cell r="AF826">
            <v>4858.2400000000343</v>
          </cell>
          <cell r="AG826">
            <v>0</v>
          </cell>
          <cell r="AI826">
            <v>5755.7400000000198</v>
          </cell>
          <cell r="AJ826">
            <v>0</v>
          </cell>
          <cell r="AL826">
            <v>7901.2499999998836</v>
          </cell>
          <cell r="AM826">
            <v>0</v>
          </cell>
          <cell r="AO826">
            <v>7569.5899999999092</v>
          </cell>
          <cell r="AP826">
            <v>0</v>
          </cell>
          <cell r="AR826">
            <v>5952.7399999999034</v>
          </cell>
          <cell r="AS826">
            <v>0</v>
          </cell>
          <cell r="BF826" t="str">
            <v>4150</v>
          </cell>
          <cell r="BG826" t="str">
            <v>Z000</v>
          </cell>
          <cell r="BH826" t="str">
            <v>GFS</v>
          </cell>
        </row>
        <row r="827">
          <cell r="K827">
            <v>280.72000000000025</v>
          </cell>
          <cell r="L827">
            <v>0</v>
          </cell>
          <cell r="N827">
            <v>-2477.5400000000009</v>
          </cell>
          <cell r="O827">
            <v>0</v>
          </cell>
          <cell r="Q827">
            <v>4476.63</v>
          </cell>
          <cell r="R827">
            <v>0</v>
          </cell>
          <cell r="T827">
            <v>2714.0999999999949</v>
          </cell>
          <cell r="U827">
            <v>0</v>
          </cell>
          <cell r="W827">
            <v>215.79999999999563</v>
          </cell>
          <cell r="X827">
            <v>0</v>
          </cell>
          <cell r="Z827">
            <v>344.56999999999607</v>
          </cell>
          <cell r="AA827">
            <v>0</v>
          </cell>
          <cell r="AC827">
            <v>193.95000000000437</v>
          </cell>
          <cell r="AD827">
            <v>0</v>
          </cell>
          <cell r="AF827">
            <v>133.83000000000538</v>
          </cell>
          <cell r="AG827">
            <v>0</v>
          </cell>
          <cell r="AI827">
            <v>-320.2899999999936</v>
          </cell>
          <cell r="AJ827">
            <v>0</v>
          </cell>
          <cell r="AL827">
            <v>-24.96999999999025</v>
          </cell>
          <cell r="AM827">
            <v>0</v>
          </cell>
          <cell r="AO827">
            <v>-125.57999999999447</v>
          </cell>
          <cell r="AP827">
            <v>0</v>
          </cell>
          <cell r="AR827">
            <v>-283.34000000000742</v>
          </cell>
          <cell r="AS827">
            <v>0</v>
          </cell>
          <cell r="BF827" t="str">
            <v>4200</v>
          </cell>
          <cell r="BG827" t="str">
            <v>Z000</v>
          </cell>
          <cell r="BH827" t="str">
            <v>GFS</v>
          </cell>
        </row>
        <row r="828">
          <cell r="K828">
            <v>0</v>
          </cell>
          <cell r="L828">
            <v>0</v>
          </cell>
          <cell r="N828">
            <v>0</v>
          </cell>
          <cell r="O828">
            <v>0</v>
          </cell>
          <cell r="Q828">
            <v>0</v>
          </cell>
          <cell r="R828">
            <v>0</v>
          </cell>
          <cell r="T828">
            <v>0</v>
          </cell>
          <cell r="U828">
            <v>0</v>
          </cell>
          <cell r="W828">
            <v>6778.63</v>
          </cell>
          <cell r="X828">
            <v>0</v>
          </cell>
          <cell r="Z828">
            <v>3954.5999999999995</v>
          </cell>
          <cell r="AA828">
            <v>0</v>
          </cell>
          <cell r="AC828">
            <v>3954.6000000000004</v>
          </cell>
          <cell r="AD828">
            <v>0</v>
          </cell>
          <cell r="AF828">
            <v>3571.8999999999996</v>
          </cell>
          <cell r="AG828">
            <v>0</v>
          </cell>
          <cell r="AI828">
            <v>4108.57</v>
          </cell>
          <cell r="AJ828">
            <v>0</v>
          </cell>
          <cell r="AL828">
            <v>3180.41</v>
          </cell>
          <cell r="AM828">
            <v>0</v>
          </cell>
          <cell r="AO828">
            <v>7773.5999999999985</v>
          </cell>
          <cell r="AP828">
            <v>0</v>
          </cell>
          <cell r="AR828">
            <v>4508.5599999999977</v>
          </cell>
          <cell r="AS828">
            <v>0</v>
          </cell>
          <cell r="BF828" t="str">
            <v>4215</v>
          </cell>
          <cell r="BG828" t="str">
            <v>Z000</v>
          </cell>
          <cell r="BH828" t="str">
            <v>GFS</v>
          </cell>
        </row>
        <row r="829">
          <cell r="K829">
            <v>0</v>
          </cell>
          <cell r="L829">
            <v>0</v>
          </cell>
          <cell r="N829">
            <v>0</v>
          </cell>
          <cell r="O829">
            <v>0</v>
          </cell>
          <cell r="Q829">
            <v>0</v>
          </cell>
          <cell r="R829">
            <v>0</v>
          </cell>
          <cell r="T829">
            <v>0</v>
          </cell>
          <cell r="U829">
            <v>0</v>
          </cell>
          <cell r="W829">
            <v>0</v>
          </cell>
          <cell r="X829">
            <v>0</v>
          </cell>
          <cell r="Z829">
            <v>100</v>
          </cell>
          <cell r="AA829">
            <v>0</v>
          </cell>
          <cell r="AC829">
            <v>435</v>
          </cell>
          <cell r="AD829">
            <v>0</v>
          </cell>
          <cell r="AF829">
            <v>1035</v>
          </cell>
          <cell r="AG829">
            <v>0</v>
          </cell>
          <cell r="AI829">
            <v>1000</v>
          </cell>
          <cell r="AJ829">
            <v>0</v>
          </cell>
          <cell r="AL829">
            <v>100</v>
          </cell>
          <cell r="AM829">
            <v>0</v>
          </cell>
          <cell r="AO829">
            <v>0</v>
          </cell>
          <cell r="AP829">
            <v>0</v>
          </cell>
          <cell r="AR829">
            <v>180</v>
          </cell>
          <cell r="AS829">
            <v>0</v>
          </cell>
          <cell r="BF829" t="str">
            <v>4230</v>
          </cell>
          <cell r="BG829" t="str">
            <v>Z000</v>
          </cell>
          <cell r="BH829" t="str">
            <v>GFS</v>
          </cell>
        </row>
        <row r="830">
          <cell r="K830">
            <v>0</v>
          </cell>
          <cell r="L830">
            <v>0</v>
          </cell>
          <cell r="N830">
            <v>30</v>
          </cell>
          <cell r="O830">
            <v>0</v>
          </cell>
          <cell r="Q830">
            <v>0</v>
          </cell>
          <cell r="R830">
            <v>0</v>
          </cell>
          <cell r="T830">
            <v>0</v>
          </cell>
          <cell r="U830">
            <v>0</v>
          </cell>
          <cell r="W830">
            <v>0</v>
          </cell>
          <cell r="X830">
            <v>0</v>
          </cell>
          <cell r="Z830">
            <v>0</v>
          </cell>
          <cell r="AA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I830">
            <v>0</v>
          </cell>
          <cell r="AJ830">
            <v>0</v>
          </cell>
          <cell r="AL830">
            <v>0</v>
          </cell>
          <cell r="AM830">
            <v>0</v>
          </cell>
          <cell r="AO830">
            <v>0</v>
          </cell>
          <cell r="AP830">
            <v>0</v>
          </cell>
          <cell r="AR830">
            <v>0</v>
          </cell>
          <cell r="AS830">
            <v>0</v>
          </cell>
          <cell r="BF830" t="str">
            <v>4240</v>
          </cell>
          <cell r="BG830" t="str">
            <v>Z000</v>
          </cell>
          <cell r="BH830" t="str">
            <v>GFS</v>
          </cell>
        </row>
        <row r="831">
          <cell r="K831">
            <v>502.87000000000012</v>
          </cell>
          <cell r="L831">
            <v>0</v>
          </cell>
          <cell r="N831">
            <v>22</v>
          </cell>
          <cell r="O831">
            <v>0</v>
          </cell>
          <cell r="Q831">
            <v>0</v>
          </cell>
          <cell r="R831">
            <v>0</v>
          </cell>
          <cell r="T831">
            <v>0</v>
          </cell>
          <cell r="U831">
            <v>0</v>
          </cell>
          <cell r="W831">
            <v>67.329999999999927</v>
          </cell>
          <cell r="X831">
            <v>0</v>
          </cell>
          <cell r="Z831">
            <v>39</v>
          </cell>
          <cell r="AA831">
            <v>0</v>
          </cell>
          <cell r="AC831">
            <v>12</v>
          </cell>
          <cell r="AD831">
            <v>0</v>
          </cell>
          <cell r="AF831">
            <v>0</v>
          </cell>
          <cell r="AG831">
            <v>0</v>
          </cell>
          <cell r="AI831">
            <v>0</v>
          </cell>
          <cell r="AJ831">
            <v>0</v>
          </cell>
          <cell r="AL831">
            <v>370</v>
          </cell>
          <cell r="AM831">
            <v>0</v>
          </cell>
          <cell r="AO831">
            <v>30</v>
          </cell>
          <cell r="AP831">
            <v>0</v>
          </cell>
          <cell r="AR831">
            <v>130</v>
          </cell>
          <cell r="AS831">
            <v>0</v>
          </cell>
          <cell r="BF831" t="str">
            <v>4250</v>
          </cell>
          <cell r="BG831" t="str">
            <v>Z000</v>
          </cell>
          <cell r="BH831" t="str">
            <v>GFS</v>
          </cell>
        </row>
        <row r="832">
          <cell r="K832">
            <v>663</v>
          </cell>
          <cell r="L832">
            <v>0</v>
          </cell>
          <cell r="N832">
            <v>733.98999999999978</v>
          </cell>
          <cell r="O832">
            <v>0</v>
          </cell>
          <cell r="Q832">
            <v>575</v>
          </cell>
          <cell r="R832">
            <v>0</v>
          </cell>
          <cell r="T832">
            <v>-519</v>
          </cell>
          <cell r="U832">
            <v>0</v>
          </cell>
          <cell r="W832">
            <v>567</v>
          </cell>
          <cell r="X832">
            <v>0</v>
          </cell>
          <cell r="Z832">
            <v>48</v>
          </cell>
          <cell r="AA832">
            <v>0</v>
          </cell>
          <cell r="AC832">
            <v>56</v>
          </cell>
          <cell r="AD832">
            <v>0</v>
          </cell>
          <cell r="AF832">
            <v>6</v>
          </cell>
          <cell r="AG832">
            <v>0</v>
          </cell>
          <cell r="AI832">
            <v>42</v>
          </cell>
          <cell r="AJ832">
            <v>0</v>
          </cell>
          <cell r="AL832">
            <v>1308.5199999999995</v>
          </cell>
          <cell r="AM832">
            <v>0</v>
          </cell>
          <cell r="AO832">
            <v>1044</v>
          </cell>
          <cell r="AP832">
            <v>0</v>
          </cell>
          <cell r="AR832">
            <v>40</v>
          </cell>
          <cell r="AS832">
            <v>0</v>
          </cell>
          <cell r="BF832" t="str">
            <v>4275</v>
          </cell>
          <cell r="BG832" t="str">
            <v>Z000</v>
          </cell>
          <cell r="BH832" t="str">
            <v>GFS</v>
          </cell>
        </row>
        <row r="833">
          <cell r="K833">
            <v>1809.25</v>
          </cell>
          <cell r="L833">
            <v>0</v>
          </cell>
          <cell r="N833">
            <v>1290.9800000000014</v>
          </cell>
          <cell r="O833">
            <v>0</v>
          </cell>
          <cell r="Q833">
            <v>1493.2000000000025</v>
          </cell>
          <cell r="R833">
            <v>0</v>
          </cell>
          <cell r="T833">
            <v>2322.1700000000019</v>
          </cell>
          <cell r="U833">
            <v>0</v>
          </cell>
          <cell r="W833">
            <v>2054.0799999999981</v>
          </cell>
          <cell r="X833">
            <v>0</v>
          </cell>
          <cell r="Z833">
            <v>2223.6500000000015</v>
          </cell>
          <cell r="AA833">
            <v>0</v>
          </cell>
          <cell r="AC833">
            <v>2223.6500000000015</v>
          </cell>
          <cell r="AD833">
            <v>0</v>
          </cell>
          <cell r="AF833">
            <v>2008.4699999999975</v>
          </cell>
          <cell r="AG833">
            <v>0</v>
          </cell>
          <cell r="AI833">
            <v>3855.9599999999991</v>
          </cell>
          <cell r="AJ833">
            <v>0</v>
          </cell>
          <cell r="AL833">
            <v>3127.2900000000118</v>
          </cell>
          <cell r="AM833">
            <v>0</v>
          </cell>
          <cell r="AO833">
            <v>3232.9499999999971</v>
          </cell>
          <cell r="AP833">
            <v>0</v>
          </cell>
          <cell r="AR833">
            <v>3148.7200000000084</v>
          </cell>
          <cell r="AS833">
            <v>0</v>
          </cell>
          <cell r="BF833" t="str">
            <v>4300</v>
          </cell>
          <cell r="BG833" t="str">
            <v>Z000</v>
          </cell>
          <cell r="BH833" t="str">
            <v>GFS</v>
          </cell>
        </row>
        <row r="834">
          <cell r="K834">
            <v>0</v>
          </cell>
          <cell r="L834">
            <v>0</v>
          </cell>
          <cell r="N834">
            <v>0</v>
          </cell>
          <cell r="O834">
            <v>0</v>
          </cell>
          <cell r="Q834">
            <v>0</v>
          </cell>
          <cell r="R834">
            <v>0</v>
          </cell>
          <cell r="T834">
            <v>0</v>
          </cell>
          <cell r="U834">
            <v>0</v>
          </cell>
          <cell r="W834">
            <v>0</v>
          </cell>
          <cell r="X834">
            <v>0</v>
          </cell>
          <cell r="Z834">
            <v>0</v>
          </cell>
          <cell r="AA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I834">
            <v>0</v>
          </cell>
          <cell r="AJ834">
            <v>0</v>
          </cell>
          <cell r="AL834">
            <v>0</v>
          </cell>
          <cell r="AM834">
            <v>0</v>
          </cell>
          <cell r="AO834">
            <v>0</v>
          </cell>
          <cell r="AP834">
            <v>0</v>
          </cell>
          <cell r="AR834">
            <v>0</v>
          </cell>
          <cell r="AS834">
            <v>0</v>
          </cell>
          <cell r="BF834" t="str">
            <v>4320</v>
          </cell>
          <cell r="BG834" t="str">
            <v>Z000</v>
          </cell>
          <cell r="BH834" t="str">
            <v>GFS</v>
          </cell>
        </row>
        <row r="835">
          <cell r="K835">
            <v>0</v>
          </cell>
          <cell r="L835">
            <v>0</v>
          </cell>
          <cell r="N835">
            <v>0</v>
          </cell>
          <cell r="O835">
            <v>0</v>
          </cell>
          <cell r="Q835">
            <v>0</v>
          </cell>
          <cell r="R835">
            <v>0</v>
          </cell>
          <cell r="T835">
            <v>0</v>
          </cell>
          <cell r="U835">
            <v>0</v>
          </cell>
          <cell r="W835">
            <v>0</v>
          </cell>
          <cell r="X835">
            <v>0</v>
          </cell>
          <cell r="Z835">
            <v>0</v>
          </cell>
          <cell r="AA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I835">
            <v>0</v>
          </cell>
          <cell r="AJ835">
            <v>0</v>
          </cell>
          <cell r="AL835">
            <v>0</v>
          </cell>
          <cell r="AM835">
            <v>0</v>
          </cell>
          <cell r="AO835">
            <v>0</v>
          </cell>
          <cell r="AP835">
            <v>0</v>
          </cell>
          <cell r="AR835">
            <v>0</v>
          </cell>
          <cell r="AS835">
            <v>0</v>
          </cell>
          <cell r="BF835" t="str">
            <v>4330</v>
          </cell>
          <cell r="BG835" t="str">
            <v>Z000</v>
          </cell>
          <cell r="BH835" t="str">
            <v>GFS</v>
          </cell>
        </row>
        <row r="836">
          <cell r="K836">
            <v>0</v>
          </cell>
          <cell r="L836">
            <v>0</v>
          </cell>
          <cell r="N836">
            <v>0</v>
          </cell>
          <cell r="O836">
            <v>0</v>
          </cell>
          <cell r="Q836">
            <v>0</v>
          </cell>
          <cell r="R836">
            <v>0</v>
          </cell>
          <cell r="T836">
            <v>0</v>
          </cell>
          <cell r="U836">
            <v>0</v>
          </cell>
          <cell r="W836">
            <v>0</v>
          </cell>
          <cell r="X836">
            <v>0</v>
          </cell>
          <cell r="Z836">
            <v>0</v>
          </cell>
          <cell r="AA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I836">
            <v>0</v>
          </cell>
          <cell r="AJ836">
            <v>0</v>
          </cell>
          <cell r="AL836">
            <v>0</v>
          </cell>
          <cell r="AM836">
            <v>0</v>
          </cell>
          <cell r="AO836">
            <v>0</v>
          </cell>
          <cell r="AP836">
            <v>0</v>
          </cell>
          <cell r="AR836">
            <v>0</v>
          </cell>
          <cell r="AS836">
            <v>0</v>
          </cell>
          <cell r="BF836" t="str">
            <v>4340</v>
          </cell>
          <cell r="BG836" t="str">
            <v>D006</v>
          </cell>
          <cell r="BH836" t="str">
            <v>GFS</v>
          </cell>
        </row>
        <row r="837">
          <cell r="K837">
            <v>0</v>
          </cell>
          <cell r="L837">
            <v>0</v>
          </cell>
          <cell r="N837">
            <v>0</v>
          </cell>
          <cell r="O837">
            <v>0</v>
          </cell>
          <cell r="Q837">
            <v>0</v>
          </cell>
          <cell r="R837">
            <v>0</v>
          </cell>
          <cell r="T837">
            <v>0</v>
          </cell>
          <cell r="U837">
            <v>0</v>
          </cell>
          <cell r="W837">
            <v>0</v>
          </cell>
          <cell r="X837">
            <v>0</v>
          </cell>
          <cell r="Z837">
            <v>0</v>
          </cell>
          <cell r="AA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I837">
            <v>0</v>
          </cell>
          <cell r="AJ837">
            <v>0</v>
          </cell>
          <cell r="AL837">
            <v>0</v>
          </cell>
          <cell r="AM837">
            <v>0</v>
          </cell>
          <cell r="AO837">
            <v>0</v>
          </cell>
          <cell r="AP837">
            <v>0</v>
          </cell>
          <cell r="AR837">
            <v>0</v>
          </cell>
          <cell r="AS837">
            <v>0</v>
          </cell>
          <cell r="BF837" t="str">
            <v>4340</v>
          </cell>
          <cell r="BG837" t="str">
            <v>D007</v>
          </cell>
          <cell r="BH837" t="str">
            <v>GFS</v>
          </cell>
        </row>
        <row r="838">
          <cell r="K838">
            <v>0</v>
          </cell>
          <cell r="L838">
            <v>0</v>
          </cell>
          <cell r="N838">
            <v>0</v>
          </cell>
          <cell r="O838">
            <v>0</v>
          </cell>
          <cell r="Q838">
            <v>0</v>
          </cell>
          <cell r="R838">
            <v>0</v>
          </cell>
          <cell r="T838">
            <v>0</v>
          </cell>
          <cell r="U838">
            <v>0</v>
          </cell>
          <cell r="W838">
            <v>0</v>
          </cell>
          <cell r="X838">
            <v>0</v>
          </cell>
          <cell r="Z838">
            <v>0</v>
          </cell>
          <cell r="AA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I838">
            <v>0</v>
          </cell>
          <cell r="AJ838">
            <v>0</v>
          </cell>
          <cell r="AL838">
            <v>28</v>
          </cell>
          <cell r="AM838">
            <v>0</v>
          </cell>
          <cell r="AO838">
            <v>0</v>
          </cell>
          <cell r="AP838">
            <v>0</v>
          </cell>
          <cell r="AR838">
            <v>0</v>
          </cell>
          <cell r="AS838">
            <v>0</v>
          </cell>
          <cell r="BF838" t="str">
            <v>4340</v>
          </cell>
          <cell r="BG838" t="str">
            <v>D008</v>
          </cell>
          <cell r="BH838" t="str">
            <v>GFS</v>
          </cell>
        </row>
        <row r="839">
          <cell r="K839">
            <v>1180.2399999999998</v>
          </cell>
          <cell r="L839">
            <v>0</v>
          </cell>
          <cell r="N839">
            <v>1449.8199999999997</v>
          </cell>
          <cell r="O839">
            <v>0</v>
          </cell>
          <cell r="Q839">
            <v>1973.1800000000003</v>
          </cell>
          <cell r="R839">
            <v>0</v>
          </cell>
          <cell r="T839">
            <v>638.1299999999992</v>
          </cell>
          <cell r="U839">
            <v>0</v>
          </cell>
          <cell r="W839">
            <v>1385.9300000000003</v>
          </cell>
          <cell r="X839">
            <v>0</v>
          </cell>
          <cell r="Z839">
            <v>1446.1299999999992</v>
          </cell>
          <cell r="AA839">
            <v>0</v>
          </cell>
          <cell r="AC839">
            <v>1574.2699999999986</v>
          </cell>
          <cell r="AD839">
            <v>0</v>
          </cell>
          <cell r="AF839">
            <v>1099.090000000002</v>
          </cell>
          <cell r="AG839">
            <v>0</v>
          </cell>
          <cell r="AI839">
            <v>885.43999999999505</v>
          </cell>
          <cell r="AJ839">
            <v>0</v>
          </cell>
          <cell r="AL839">
            <v>781.52999999999884</v>
          </cell>
          <cell r="AM839">
            <v>0</v>
          </cell>
          <cell r="AO839">
            <v>1653.4900000000052</v>
          </cell>
          <cell r="AP839">
            <v>0</v>
          </cell>
          <cell r="AR839">
            <v>1128.5599999999977</v>
          </cell>
          <cell r="AS839">
            <v>0</v>
          </cell>
          <cell r="BF839" t="str">
            <v>4360</v>
          </cell>
          <cell r="BG839" t="str">
            <v>Z000</v>
          </cell>
          <cell r="BH839" t="str">
            <v>GFS</v>
          </cell>
        </row>
        <row r="840">
          <cell r="K840">
            <v>0</v>
          </cell>
          <cell r="L840">
            <v>0</v>
          </cell>
          <cell r="N840">
            <v>77</v>
          </cell>
          <cell r="O840">
            <v>0</v>
          </cell>
          <cell r="Q840">
            <v>76.999999999999773</v>
          </cell>
          <cell r="R840">
            <v>0</v>
          </cell>
          <cell r="T840">
            <v>77</v>
          </cell>
          <cell r="U840">
            <v>0</v>
          </cell>
          <cell r="W840">
            <v>77</v>
          </cell>
          <cell r="X840">
            <v>0</v>
          </cell>
          <cell r="Z840">
            <v>0</v>
          </cell>
          <cell r="AA840">
            <v>0</v>
          </cell>
          <cell r="AC840">
            <v>77</v>
          </cell>
          <cell r="AD840">
            <v>0</v>
          </cell>
          <cell r="AF840">
            <v>77</v>
          </cell>
          <cell r="AG840">
            <v>0</v>
          </cell>
          <cell r="AI840">
            <v>189</v>
          </cell>
          <cell r="AJ840">
            <v>0</v>
          </cell>
          <cell r="AL840">
            <v>79</v>
          </cell>
          <cell r="AM840">
            <v>0</v>
          </cell>
          <cell r="AO840">
            <v>299</v>
          </cell>
          <cell r="AP840">
            <v>0</v>
          </cell>
          <cell r="AR840">
            <v>102</v>
          </cell>
          <cell r="AS840">
            <v>0</v>
          </cell>
          <cell r="BF840" t="str">
            <v>4380</v>
          </cell>
          <cell r="BG840" t="str">
            <v>Z000</v>
          </cell>
          <cell r="BH840" t="str">
            <v>GFS</v>
          </cell>
        </row>
        <row r="841">
          <cell r="K841">
            <v>80.5</v>
          </cell>
          <cell r="L841">
            <v>0</v>
          </cell>
          <cell r="N841">
            <v>80.5</v>
          </cell>
          <cell r="O841">
            <v>0</v>
          </cell>
          <cell r="Q841">
            <v>181</v>
          </cell>
          <cell r="R841">
            <v>0</v>
          </cell>
          <cell r="T841">
            <v>181</v>
          </cell>
          <cell r="U841">
            <v>0</v>
          </cell>
          <cell r="W841">
            <v>181</v>
          </cell>
          <cell r="X841">
            <v>0</v>
          </cell>
          <cell r="Z841">
            <v>181.13000000000011</v>
          </cell>
          <cell r="AA841">
            <v>0</v>
          </cell>
          <cell r="AC841">
            <v>181.12999999999965</v>
          </cell>
          <cell r="AD841">
            <v>0</v>
          </cell>
          <cell r="AF841">
            <v>181.13000000000011</v>
          </cell>
          <cell r="AG841">
            <v>0</v>
          </cell>
          <cell r="AI841">
            <v>181.13000000000011</v>
          </cell>
          <cell r="AJ841">
            <v>0</v>
          </cell>
          <cell r="AL841">
            <v>181.13000000000011</v>
          </cell>
          <cell r="AM841">
            <v>0</v>
          </cell>
          <cell r="AO841">
            <v>181.13000000000011</v>
          </cell>
          <cell r="AP841">
            <v>0</v>
          </cell>
          <cell r="AR841">
            <v>181.13000000000011</v>
          </cell>
          <cell r="AS841">
            <v>0</v>
          </cell>
          <cell r="BF841" t="str">
            <v>4400</v>
          </cell>
          <cell r="BG841" t="str">
            <v>Z000</v>
          </cell>
          <cell r="BH841" t="str">
            <v>GFS</v>
          </cell>
        </row>
        <row r="842">
          <cell r="K842">
            <v>135</v>
          </cell>
          <cell r="L842">
            <v>0</v>
          </cell>
          <cell r="N842">
            <v>0</v>
          </cell>
          <cell r="O842">
            <v>0</v>
          </cell>
          <cell r="Q842">
            <v>0</v>
          </cell>
          <cell r="R842">
            <v>0</v>
          </cell>
          <cell r="T842">
            <v>0</v>
          </cell>
          <cell r="U842">
            <v>0</v>
          </cell>
          <cell r="W842">
            <v>0</v>
          </cell>
          <cell r="X842">
            <v>0</v>
          </cell>
          <cell r="Z842">
            <v>0</v>
          </cell>
          <cell r="AA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I842">
            <v>0</v>
          </cell>
          <cell r="AJ842">
            <v>0</v>
          </cell>
          <cell r="AL842">
            <v>0</v>
          </cell>
          <cell r="AM842">
            <v>0</v>
          </cell>
          <cell r="AO842">
            <v>0</v>
          </cell>
          <cell r="AP842">
            <v>0</v>
          </cell>
          <cell r="AR842">
            <v>0</v>
          </cell>
          <cell r="AS842">
            <v>0</v>
          </cell>
          <cell r="BF842" t="str">
            <v>4480</v>
          </cell>
          <cell r="BG842" t="str">
            <v>Z000</v>
          </cell>
          <cell r="BH842" t="str">
            <v>GFS</v>
          </cell>
        </row>
        <row r="843">
          <cell r="K843">
            <v>26.5</v>
          </cell>
          <cell r="L843">
            <v>0</v>
          </cell>
          <cell r="N843">
            <v>26.5</v>
          </cell>
          <cell r="O843">
            <v>0</v>
          </cell>
          <cell r="Q843">
            <v>26.5</v>
          </cell>
          <cell r="R843">
            <v>0</v>
          </cell>
          <cell r="T843">
            <v>26.5</v>
          </cell>
          <cell r="U843">
            <v>0</v>
          </cell>
          <cell r="W843">
            <v>26.5</v>
          </cell>
          <cell r="X843">
            <v>0</v>
          </cell>
          <cell r="Z843">
            <v>26.5</v>
          </cell>
          <cell r="AA843">
            <v>0</v>
          </cell>
          <cell r="AC843">
            <v>35.25</v>
          </cell>
          <cell r="AD843">
            <v>0</v>
          </cell>
          <cell r="AF843">
            <v>35.25</v>
          </cell>
          <cell r="AG843">
            <v>0</v>
          </cell>
          <cell r="AI843">
            <v>372.41000000000008</v>
          </cell>
          <cell r="AJ843">
            <v>0</v>
          </cell>
          <cell r="AL843">
            <v>203.82999999999993</v>
          </cell>
          <cell r="AM843">
            <v>0</v>
          </cell>
          <cell r="AO843">
            <v>203.82999999999993</v>
          </cell>
          <cell r="AP843">
            <v>0</v>
          </cell>
          <cell r="AR843">
            <v>226.07999999999993</v>
          </cell>
          <cell r="AS843">
            <v>0</v>
          </cell>
          <cell r="BF843" t="str">
            <v>4500</v>
          </cell>
          <cell r="BG843" t="str">
            <v>Z000</v>
          </cell>
          <cell r="BH843" t="str">
            <v>GFS</v>
          </cell>
        </row>
        <row r="844">
          <cell r="K844">
            <v>0</v>
          </cell>
          <cell r="L844">
            <v>0</v>
          </cell>
          <cell r="N844">
            <v>0</v>
          </cell>
          <cell r="O844">
            <v>0</v>
          </cell>
          <cell r="Q844">
            <v>0</v>
          </cell>
          <cell r="R844">
            <v>0</v>
          </cell>
          <cell r="T844">
            <v>0</v>
          </cell>
          <cell r="U844">
            <v>0</v>
          </cell>
          <cell r="W844">
            <v>0</v>
          </cell>
          <cell r="X844">
            <v>0</v>
          </cell>
          <cell r="Z844">
            <v>0</v>
          </cell>
          <cell r="AA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I844">
            <v>0</v>
          </cell>
          <cell r="AJ844">
            <v>0</v>
          </cell>
          <cell r="AL844">
            <v>0</v>
          </cell>
          <cell r="AM844">
            <v>0</v>
          </cell>
          <cell r="AO844">
            <v>0</v>
          </cell>
          <cell r="AP844">
            <v>0</v>
          </cell>
          <cell r="AR844">
            <v>0</v>
          </cell>
          <cell r="AS844">
            <v>0</v>
          </cell>
          <cell r="BF844" t="str">
            <v>4520</v>
          </cell>
          <cell r="BG844" t="str">
            <v>D011</v>
          </cell>
          <cell r="BH844" t="str">
            <v>GFS</v>
          </cell>
        </row>
        <row r="845">
          <cell r="K845">
            <v>0</v>
          </cell>
          <cell r="L845">
            <v>0</v>
          </cell>
          <cell r="N845">
            <v>0</v>
          </cell>
          <cell r="O845">
            <v>0</v>
          </cell>
          <cell r="Q845">
            <v>0</v>
          </cell>
          <cell r="R845">
            <v>0</v>
          </cell>
          <cell r="T845">
            <v>0</v>
          </cell>
          <cell r="U845">
            <v>0</v>
          </cell>
          <cell r="W845">
            <v>0</v>
          </cell>
          <cell r="X845">
            <v>0</v>
          </cell>
          <cell r="Z845">
            <v>0</v>
          </cell>
          <cell r="AA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I845">
            <v>0</v>
          </cell>
          <cell r="AJ845">
            <v>0</v>
          </cell>
          <cell r="AL845">
            <v>0</v>
          </cell>
          <cell r="AM845">
            <v>0</v>
          </cell>
          <cell r="AO845">
            <v>0</v>
          </cell>
          <cell r="AP845">
            <v>0</v>
          </cell>
          <cell r="AR845">
            <v>0</v>
          </cell>
          <cell r="AS845">
            <v>0</v>
          </cell>
          <cell r="BF845" t="str">
            <v>4520</v>
          </cell>
          <cell r="BG845" t="str">
            <v>D012</v>
          </cell>
          <cell r="BH845" t="str">
            <v>GFS</v>
          </cell>
        </row>
        <row r="846">
          <cell r="K846">
            <v>0</v>
          </cell>
          <cell r="L846">
            <v>0</v>
          </cell>
          <cell r="N846">
            <v>0</v>
          </cell>
          <cell r="O846">
            <v>0</v>
          </cell>
          <cell r="Q846">
            <v>0</v>
          </cell>
          <cell r="R846">
            <v>0</v>
          </cell>
          <cell r="T846">
            <v>0</v>
          </cell>
          <cell r="U846">
            <v>0</v>
          </cell>
          <cell r="W846">
            <v>0</v>
          </cell>
          <cell r="X846">
            <v>0</v>
          </cell>
          <cell r="Z846">
            <v>0</v>
          </cell>
          <cell r="AA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I846">
            <v>0</v>
          </cell>
          <cell r="AJ846">
            <v>0</v>
          </cell>
          <cell r="AL846">
            <v>0</v>
          </cell>
          <cell r="AM846">
            <v>0</v>
          </cell>
          <cell r="AO846">
            <v>0</v>
          </cell>
          <cell r="AP846">
            <v>0</v>
          </cell>
          <cell r="AR846">
            <v>0</v>
          </cell>
          <cell r="AS846">
            <v>0</v>
          </cell>
          <cell r="BF846" t="str">
            <v>4520</v>
          </cell>
          <cell r="BG846" t="str">
            <v>D013</v>
          </cell>
          <cell r="BH846" t="str">
            <v>GFS</v>
          </cell>
        </row>
        <row r="847">
          <cell r="K847">
            <v>0</v>
          </cell>
          <cell r="L847">
            <v>0</v>
          </cell>
          <cell r="N847">
            <v>0</v>
          </cell>
          <cell r="O847">
            <v>0</v>
          </cell>
          <cell r="Q847">
            <v>0</v>
          </cell>
          <cell r="R847">
            <v>0</v>
          </cell>
          <cell r="T847">
            <v>0</v>
          </cell>
          <cell r="U847">
            <v>0</v>
          </cell>
          <cell r="W847">
            <v>0</v>
          </cell>
          <cell r="X847">
            <v>0</v>
          </cell>
          <cell r="Z847">
            <v>0</v>
          </cell>
          <cell r="AA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I847">
            <v>0</v>
          </cell>
          <cell r="AJ847">
            <v>0</v>
          </cell>
          <cell r="AL847">
            <v>0</v>
          </cell>
          <cell r="AM847">
            <v>0</v>
          </cell>
          <cell r="AO847">
            <v>0</v>
          </cell>
          <cell r="AP847">
            <v>0</v>
          </cell>
          <cell r="AR847">
            <v>0</v>
          </cell>
          <cell r="AS847">
            <v>0</v>
          </cell>
          <cell r="BF847" t="str">
            <v>4520</v>
          </cell>
          <cell r="BG847" t="str">
            <v>D014</v>
          </cell>
          <cell r="BH847" t="str">
            <v>GFS</v>
          </cell>
        </row>
        <row r="848">
          <cell r="K848">
            <v>0</v>
          </cell>
          <cell r="L848">
            <v>0</v>
          </cell>
          <cell r="N848">
            <v>0</v>
          </cell>
          <cell r="O848">
            <v>0</v>
          </cell>
          <cell r="Q848">
            <v>0</v>
          </cell>
          <cell r="R848">
            <v>0</v>
          </cell>
          <cell r="T848">
            <v>0</v>
          </cell>
          <cell r="U848">
            <v>0</v>
          </cell>
          <cell r="W848">
            <v>0</v>
          </cell>
          <cell r="X848">
            <v>0</v>
          </cell>
          <cell r="Z848">
            <v>0</v>
          </cell>
          <cell r="AA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I848">
            <v>0</v>
          </cell>
          <cell r="AJ848">
            <v>0</v>
          </cell>
          <cell r="AL848">
            <v>0</v>
          </cell>
          <cell r="AM848">
            <v>0</v>
          </cell>
          <cell r="AO848">
            <v>0</v>
          </cell>
          <cell r="AP848">
            <v>0</v>
          </cell>
          <cell r="AR848">
            <v>0</v>
          </cell>
          <cell r="AS848">
            <v>0</v>
          </cell>
          <cell r="BF848" t="str">
            <v>4520</v>
          </cell>
          <cell r="BG848" t="str">
            <v>D015</v>
          </cell>
          <cell r="BH848" t="str">
            <v>GFS</v>
          </cell>
        </row>
        <row r="849">
          <cell r="K849">
            <v>0</v>
          </cell>
          <cell r="L849">
            <v>0</v>
          </cell>
          <cell r="N849">
            <v>0</v>
          </cell>
          <cell r="O849">
            <v>0</v>
          </cell>
          <cell r="Q849">
            <v>0</v>
          </cell>
          <cell r="R849">
            <v>0</v>
          </cell>
          <cell r="T849">
            <v>0</v>
          </cell>
          <cell r="U849">
            <v>0</v>
          </cell>
          <cell r="W849">
            <v>0</v>
          </cell>
          <cell r="X849">
            <v>0</v>
          </cell>
          <cell r="Z849">
            <v>0</v>
          </cell>
          <cell r="AA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I849">
            <v>0</v>
          </cell>
          <cell r="AJ849">
            <v>0</v>
          </cell>
          <cell r="AL849">
            <v>0</v>
          </cell>
          <cell r="AM849">
            <v>0</v>
          </cell>
          <cell r="AO849">
            <v>0</v>
          </cell>
          <cell r="AP849">
            <v>0</v>
          </cell>
          <cell r="AR849">
            <v>0</v>
          </cell>
          <cell r="AS849">
            <v>0</v>
          </cell>
          <cell r="BF849" t="str">
            <v>4520</v>
          </cell>
          <cell r="BG849" t="str">
            <v>D016</v>
          </cell>
          <cell r="BH849" t="str">
            <v>GFS</v>
          </cell>
        </row>
        <row r="850">
          <cell r="K850">
            <v>0</v>
          </cell>
          <cell r="L850">
            <v>0</v>
          </cell>
          <cell r="N850">
            <v>0</v>
          </cell>
          <cell r="O850">
            <v>0</v>
          </cell>
          <cell r="Q850">
            <v>0</v>
          </cell>
          <cell r="R850">
            <v>0</v>
          </cell>
          <cell r="T850">
            <v>0</v>
          </cell>
          <cell r="U850">
            <v>0</v>
          </cell>
          <cell r="W850">
            <v>0</v>
          </cell>
          <cell r="X850">
            <v>0</v>
          </cell>
          <cell r="Z850">
            <v>0</v>
          </cell>
          <cell r="AA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I850">
            <v>0</v>
          </cell>
          <cell r="AJ850">
            <v>0</v>
          </cell>
          <cell r="AL850">
            <v>0</v>
          </cell>
          <cell r="AM850">
            <v>0</v>
          </cell>
          <cell r="AO850">
            <v>0</v>
          </cell>
          <cell r="AP850">
            <v>0</v>
          </cell>
          <cell r="AR850">
            <v>0</v>
          </cell>
          <cell r="AS850">
            <v>0</v>
          </cell>
          <cell r="BF850" t="str">
            <v>4560</v>
          </cell>
          <cell r="BG850" t="str">
            <v>Z000</v>
          </cell>
          <cell r="BH850" t="str">
            <v>GFS</v>
          </cell>
        </row>
        <row r="851">
          <cell r="K851">
            <v>1134.6399999999994</v>
          </cell>
          <cell r="L851">
            <v>0</v>
          </cell>
          <cell r="N851">
            <v>931.63999999999942</v>
          </cell>
          <cell r="O851">
            <v>0</v>
          </cell>
          <cell r="Q851">
            <v>1358.6899999999987</v>
          </cell>
          <cell r="R851">
            <v>0</v>
          </cell>
          <cell r="T851">
            <v>349.71999999999025</v>
          </cell>
          <cell r="U851">
            <v>0</v>
          </cell>
          <cell r="W851">
            <v>318.86999999999171</v>
          </cell>
          <cell r="X851">
            <v>0</v>
          </cell>
          <cell r="Z851">
            <v>683.71999999999753</v>
          </cell>
          <cell r="AA851">
            <v>0</v>
          </cell>
          <cell r="AC851">
            <v>2438.6700000000019</v>
          </cell>
          <cell r="AD851">
            <v>0</v>
          </cell>
          <cell r="AF851">
            <v>1027.2800000000061</v>
          </cell>
          <cell r="AG851">
            <v>0</v>
          </cell>
          <cell r="AI851">
            <v>709.82999999999811</v>
          </cell>
          <cell r="AJ851">
            <v>0</v>
          </cell>
          <cell r="AL851">
            <v>616.4900000000016</v>
          </cell>
          <cell r="AM851">
            <v>0</v>
          </cell>
          <cell r="AO851">
            <v>618.9900000000016</v>
          </cell>
          <cell r="AP851">
            <v>0</v>
          </cell>
          <cell r="AR851">
            <v>798.15999999999622</v>
          </cell>
          <cell r="AS851">
            <v>0</v>
          </cell>
          <cell r="BF851" t="str">
            <v>4580</v>
          </cell>
          <cell r="BG851" t="str">
            <v>Z000</v>
          </cell>
          <cell r="BH851" t="str">
            <v>GFS</v>
          </cell>
        </row>
        <row r="852">
          <cell r="K852">
            <v>0</v>
          </cell>
          <cell r="L852">
            <v>0</v>
          </cell>
          <cell r="N852">
            <v>0</v>
          </cell>
          <cell r="O852">
            <v>0</v>
          </cell>
          <cell r="Q852">
            <v>0</v>
          </cell>
          <cell r="R852">
            <v>0</v>
          </cell>
          <cell r="T852">
            <v>0</v>
          </cell>
          <cell r="U852">
            <v>0</v>
          </cell>
          <cell r="W852">
            <v>0</v>
          </cell>
          <cell r="X852">
            <v>0</v>
          </cell>
          <cell r="Z852">
            <v>0</v>
          </cell>
          <cell r="AA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I852">
            <v>0</v>
          </cell>
          <cell r="AJ852">
            <v>0</v>
          </cell>
          <cell r="AL852">
            <v>0</v>
          </cell>
          <cell r="AM852">
            <v>0</v>
          </cell>
          <cell r="AO852">
            <v>0</v>
          </cell>
          <cell r="AP852">
            <v>0</v>
          </cell>
          <cell r="AR852">
            <v>0</v>
          </cell>
          <cell r="AS852">
            <v>0</v>
          </cell>
          <cell r="BF852" t="str">
            <v>4585</v>
          </cell>
          <cell r="BG852" t="str">
            <v>D021</v>
          </cell>
          <cell r="BH852" t="str">
            <v>GFS</v>
          </cell>
        </row>
        <row r="853">
          <cell r="K853">
            <v>16250</v>
          </cell>
          <cell r="L853">
            <v>0</v>
          </cell>
          <cell r="N853">
            <v>16250</v>
          </cell>
          <cell r="O853">
            <v>0</v>
          </cell>
          <cell r="Q853">
            <v>16250</v>
          </cell>
          <cell r="R853">
            <v>0</v>
          </cell>
          <cell r="T853">
            <v>16250</v>
          </cell>
          <cell r="U853">
            <v>0</v>
          </cell>
          <cell r="W853">
            <v>16250</v>
          </cell>
          <cell r="X853">
            <v>0</v>
          </cell>
          <cell r="Z853">
            <v>20000</v>
          </cell>
          <cell r="AA853">
            <v>0</v>
          </cell>
          <cell r="AC853">
            <v>20000</v>
          </cell>
          <cell r="AD853">
            <v>0</v>
          </cell>
          <cell r="AF853">
            <v>20000</v>
          </cell>
          <cell r="AG853">
            <v>0</v>
          </cell>
          <cell r="AI853">
            <v>20000</v>
          </cell>
          <cell r="AJ853">
            <v>0</v>
          </cell>
          <cell r="AL853">
            <v>20000</v>
          </cell>
          <cell r="AM853">
            <v>0</v>
          </cell>
          <cell r="AO853">
            <v>20000</v>
          </cell>
          <cell r="AP853">
            <v>0</v>
          </cell>
          <cell r="AR853">
            <v>20000</v>
          </cell>
          <cell r="AS853">
            <v>0</v>
          </cell>
          <cell r="BF853" t="str">
            <v>4585</v>
          </cell>
          <cell r="BG853" t="str">
            <v>D022</v>
          </cell>
          <cell r="BH853" t="str">
            <v>GFS</v>
          </cell>
        </row>
        <row r="854">
          <cell r="K854">
            <v>0</v>
          </cell>
          <cell r="L854">
            <v>0</v>
          </cell>
          <cell r="N854">
            <v>0</v>
          </cell>
          <cell r="O854">
            <v>0</v>
          </cell>
          <cell r="Q854">
            <v>0</v>
          </cell>
          <cell r="R854">
            <v>0</v>
          </cell>
          <cell r="T854">
            <v>0</v>
          </cell>
          <cell r="U854">
            <v>0</v>
          </cell>
          <cell r="W854">
            <v>0</v>
          </cell>
          <cell r="X854">
            <v>0</v>
          </cell>
          <cell r="Z854">
            <v>0</v>
          </cell>
          <cell r="AA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I854">
            <v>0</v>
          </cell>
          <cell r="AJ854">
            <v>0</v>
          </cell>
          <cell r="AL854">
            <v>0</v>
          </cell>
          <cell r="AM854">
            <v>0</v>
          </cell>
          <cell r="AO854">
            <v>0</v>
          </cell>
          <cell r="AP854">
            <v>0</v>
          </cell>
          <cell r="AR854">
            <v>0</v>
          </cell>
          <cell r="AS854">
            <v>0</v>
          </cell>
          <cell r="BF854" t="str">
            <v>4585</v>
          </cell>
          <cell r="BG854" t="str">
            <v>D023</v>
          </cell>
          <cell r="BH854" t="str">
            <v>GFS</v>
          </cell>
        </row>
        <row r="855">
          <cell r="K855">
            <v>0</v>
          </cell>
          <cell r="L855">
            <v>0</v>
          </cell>
          <cell r="N855">
            <v>0</v>
          </cell>
          <cell r="O855">
            <v>0</v>
          </cell>
          <cell r="Q855">
            <v>0</v>
          </cell>
          <cell r="R855">
            <v>0</v>
          </cell>
          <cell r="T855">
            <v>0</v>
          </cell>
          <cell r="U855">
            <v>0</v>
          </cell>
          <cell r="W855">
            <v>0</v>
          </cell>
          <cell r="X855">
            <v>0</v>
          </cell>
          <cell r="Z855">
            <v>0</v>
          </cell>
          <cell r="AA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I855">
            <v>0</v>
          </cell>
          <cell r="AJ855">
            <v>0</v>
          </cell>
          <cell r="AL855">
            <v>0</v>
          </cell>
          <cell r="AM855">
            <v>0</v>
          </cell>
          <cell r="AO855">
            <v>0</v>
          </cell>
          <cell r="AP855">
            <v>0</v>
          </cell>
          <cell r="AR855">
            <v>0</v>
          </cell>
          <cell r="AS855">
            <v>0</v>
          </cell>
          <cell r="BF855" t="str">
            <v>4585</v>
          </cell>
          <cell r="BG855" t="str">
            <v>D024</v>
          </cell>
          <cell r="BH855" t="str">
            <v>GFS</v>
          </cell>
        </row>
        <row r="856">
          <cell r="K856">
            <v>5094</v>
          </cell>
          <cell r="L856">
            <v>0</v>
          </cell>
          <cell r="N856">
            <v>72</v>
          </cell>
          <cell r="O856">
            <v>0</v>
          </cell>
          <cell r="Q856">
            <v>387</v>
          </cell>
          <cell r="R856">
            <v>0</v>
          </cell>
          <cell r="T856">
            <v>750</v>
          </cell>
          <cell r="U856">
            <v>0</v>
          </cell>
          <cell r="W856">
            <v>1405</v>
          </cell>
          <cell r="X856">
            <v>0</v>
          </cell>
          <cell r="Z856">
            <v>25</v>
          </cell>
          <cell r="AA856">
            <v>0</v>
          </cell>
          <cell r="AC856">
            <v>818.99999999999636</v>
          </cell>
          <cell r="AD856">
            <v>0</v>
          </cell>
          <cell r="AF856">
            <v>4104</v>
          </cell>
          <cell r="AG856">
            <v>0</v>
          </cell>
          <cell r="AI856">
            <v>7586</v>
          </cell>
          <cell r="AJ856">
            <v>0</v>
          </cell>
          <cell r="AL856">
            <v>0</v>
          </cell>
          <cell r="AM856">
            <v>0</v>
          </cell>
          <cell r="AO856">
            <v>5419</v>
          </cell>
          <cell r="AP856">
            <v>0</v>
          </cell>
          <cell r="AR856">
            <v>6084</v>
          </cell>
          <cell r="AS856">
            <v>0</v>
          </cell>
          <cell r="BF856" t="str">
            <v>4590</v>
          </cell>
          <cell r="BG856" t="str">
            <v>Z000</v>
          </cell>
          <cell r="BH856" t="str">
            <v>GFS</v>
          </cell>
        </row>
        <row r="857">
          <cell r="K857">
            <v>2717</v>
          </cell>
          <cell r="L857">
            <v>0</v>
          </cell>
          <cell r="N857">
            <v>366</v>
          </cell>
          <cell r="O857">
            <v>0</v>
          </cell>
          <cell r="Q857">
            <v>609</v>
          </cell>
          <cell r="R857">
            <v>0</v>
          </cell>
          <cell r="T857">
            <v>475</v>
          </cell>
          <cell r="U857">
            <v>0</v>
          </cell>
          <cell r="W857">
            <v>1081</v>
          </cell>
          <cell r="X857">
            <v>0</v>
          </cell>
          <cell r="Z857">
            <v>326</v>
          </cell>
          <cell r="AA857">
            <v>0</v>
          </cell>
          <cell r="AC857">
            <v>508</v>
          </cell>
          <cell r="AD857">
            <v>0</v>
          </cell>
          <cell r="AF857">
            <v>1205</v>
          </cell>
          <cell r="AG857">
            <v>0</v>
          </cell>
          <cell r="AI857">
            <v>1712</v>
          </cell>
          <cell r="AJ857">
            <v>0</v>
          </cell>
          <cell r="AL857">
            <v>1300</v>
          </cell>
          <cell r="AM857">
            <v>0</v>
          </cell>
          <cell r="AO857">
            <v>943</v>
          </cell>
          <cell r="AP857">
            <v>0</v>
          </cell>
          <cell r="AR857">
            <v>562</v>
          </cell>
          <cell r="AS857">
            <v>0</v>
          </cell>
          <cell r="BF857" t="str">
            <v>4600</v>
          </cell>
          <cell r="BG857" t="str">
            <v>Z000</v>
          </cell>
          <cell r="BH857" t="str">
            <v>GFS</v>
          </cell>
        </row>
        <row r="858">
          <cell r="K858">
            <v>117.92000000000007</v>
          </cell>
          <cell r="L858">
            <v>0</v>
          </cell>
          <cell r="N858">
            <v>110.76000000000022</v>
          </cell>
          <cell r="O858">
            <v>0</v>
          </cell>
          <cell r="Q858">
            <v>122</v>
          </cell>
          <cell r="R858">
            <v>0</v>
          </cell>
          <cell r="T858">
            <v>43</v>
          </cell>
          <cell r="U858">
            <v>0</v>
          </cell>
          <cell r="W858">
            <v>113.69999999999982</v>
          </cell>
          <cell r="X858">
            <v>0</v>
          </cell>
          <cell r="Z858">
            <v>37.720000000000255</v>
          </cell>
          <cell r="AA858">
            <v>0</v>
          </cell>
          <cell r="AC858">
            <v>39.569999999999709</v>
          </cell>
          <cell r="AD858">
            <v>0</v>
          </cell>
          <cell r="AF858">
            <v>21.699999999999818</v>
          </cell>
          <cell r="AG858">
            <v>0</v>
          </cell>
          <cell r="AI858">
            <v>59</v>
          </cell>
          <cell r="AJ858">
            <v>0</v>
          </cell>
          <cell r="AL858">
            <v>51.910000000000764</v>
          </cell>
          <cell r="AM858">
            <v>0</v>
          </cell>
          <cell r="AO858">
            <v>101.72999999999956</v>
          </cell>
          <cell r="AP858">
            <v>0</v>
          </cell>
          <cell r="AR858">
            <v>201.58999999999924</v>
          </cell>
          <cell r="AS858">
            <v>0</v>
          </cell>
          <cell r="BF858" t="str">
            <v>4620</v>
          </cell>
          <cell r="BG858" t="str">
            <v>Z000</v>
          </cell>
          <cell r="BH858" t="str">
            <v>GFS</v>
          </cell>
        </row>
        <row r="859">
          <cell r="K859">
            <v>0</v>
          </cell>
          <cell r="L859">
            <v>0</v>
          </cell>
          <cell r="N859">
            <v>0</v>
          </cell>
          <cell r="O859">
            <v>0</v>
          </cell>
          <cell r="Q859">
            <v>0</v>
          </cell>
          <cell r="R859">
            <v>0</v>
          </cell>
          <cell r="T859">
            <v>72</v>
          </cell>
          <cell r="U859">
            <v>0</v>
          </cell>
          <cell r="W859">
            <v>18</v>
          </cell>
          <cell r="X859">
            <v>0</v>
          </cell>
          <cell r="Z859">
            <v>5</v>
          </cell>
          <cell r="AA859">
            <v>0</v>
          </cell>
          <cell r="AC859">
            <v>65</v>
          </cell>
          <cell r="AD859">
            <v>0</v>
          </cell>
          <cell r="AF859">
            <v>0</v>
          </cell>
          <cell r="AG859">
            <v>0</v>
          </cell>
          <cell r="AI859">
            <v>8</v>
          </cell>
          <cell r="AJ859">
            <v>0</v>
          </cell>
          <cell r="AL859">
            <v>75</v>
          </cell>
          <cell r="AM859">
            <v>0</v>
          </cell>
          <cell r="AO859">
            <v>184.47999999999911</v>
          </cell>
          <cell r="AP859">
            <v>0</v>
          </cell>
          <cell r="AR859">
            <v>110</v>
          </cell>
          <cell r="AS859">
            <v>0</v>
          </cell>
          <cell r="BF859" t="str">
            <v>4630</v>
          </cell>
          <cell r="BG859" t="str">
            <v>Z000</v>
          </cell>
          <cell r="BH859" t="str">
            <v>GFS</v>
          </cell>
        </row>
        <row r="860">
          <cell r="K860">
            <v>2142.8899999999994</v>
          </cell>
          <cell r="L860">
            <v>0</v>
          </cell>
          <cell r="N860">
            <v>1569.9799999999959</v>
          </cell>
          <cell r="O860">
            <v>0</v>
          </cell>
          <cell r="Q860">
            <v>1121.7200000000012</v>
          </cell>
          <cell r="R860">
            <v>0</v>
          </cell>
          <cell r="T860">
            <v>1361.8000000000029</v>
          </cell>
          <cell r="U860">
            <v>0</v>
          </cell>
          <cell r="W860">
            <v>758.16999999999825</v>
          </cell>
          <cell r="X860">
            <v>0</v>
          </cell>
          <cell r="Z860">
            <v>545.33999999998196</v>
          </cell>
          <cell r="AA860">
            <v>0</v>
          </cell>
          <cell r="AC860">
            <v>1615.9600000000064</v>
          </cell>
          <cell r="AD860">
            <v>0</v>
          </cell>
          <cell r="AF860">
            <v>358.83000000000175</v>
          </cell>
          <cell r="AG860">
            <v>0</v>
          </cell>
          <cell r="AI860">
            <v>1673.070000000007</v>
          </cell>
          <cell r="AJ860">
            <v>0</v>
          </cell>
          <cell r="AL860">
            <v>989.75</v>
          </cell>
          <cell r="AM860">
            <v>0</v>
          </cell>
          <cell r="AO860">
            <v>1850.5500000000029</v>
          </cell>
          <cell r="AP860">
            <v>0</v>
          </cell>
          <cell r="AR860">
            <v>895.30000000000291</v>
          </cell>
          <cell r="AS860">
            <v>0</v>
          </cell>
          <cell r="BF860" t="str">
            <v>4660</v>
          </cell>
          <cell r="BG860" t="str">
            <v>Z000</v>
          </cell>
          <cell r="BH860" t="str">
            <v>GFS</v>
          </cell>
        </row>
        <row r="861">
          <cell r="K861">
            <v>0</v>
          </cell>
          <cell r="L861">
            <v>0</v>
          </cell>
          <cell r="N861">
            <v>0</v>
          </cell>
          <cell r="O861">
            <v>0</v>
          </cell>
          <cell r="Q861">
            <v>0</v>
          </cell>
          <cell r="R861">
            <v>0</v>
          </cell>
          <cell r="T861">
            <v>0</v>
          </cell>
          <cell r="U861">
            <v>0</v>
          </cell>
          <cell r="W861">
            <v>0</v>
          </cell>
          <cell r="X861">
            <v>0</v>
          </cell>
          <cell r="Z861">
            <v>0</v>
          </cell>
          <cell r="AA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I861">
            <v>0</v>
          </cell>
          <cell r="AJ861">
            <v>0</v>
          </cell>
          <cell r="AL861">
            <v>0</v>
          </cell>
          <cell r="AM861">
            <v>0</v>
          </cell>
          <cell r="AO861">
            <v>0</v>
          </cell>
          <cell r="AP861">
            <v>0</v>
          </cell>
          <cell r="AR861">
            <v>0</v>
          </cell>
          <cell r="AS861">
            <v>0</v>
          </cell>
          <cell r="BF861" t="str">
            <v>4670</v>
          </cell>
          <cell r="BG861" t="str">
            <v>Z000</v>
          </cell>
          <cell r="BH861" t="str">
            <v>GFS</v>
          </cell>
        </row>
        <row r="862">
          <cell r="K862">
            <v>258.63999999999987</v>
          </cell>
          <cell r="L862">
            <v>0</v>
          </cell>
          <cell r="N862">
            <v>398.5</v>
          </cell>
          <cell r="O862">
            <v>0</v>
          </cell>
          <cell r="Q862">
            <v>266</v>
          </cell>
          <cell r="R862">
            <v>0</v>
          </cell>
          <cell r="T862">
            <v>240</v>
          </cell>
          <cell r="U862">
            <v>0</v>
          </cell>
          <cell r="W862">
            <v>617</v>
          </cell>
          <cell r="X862">
            <v>0</v>
          </cell>
          <cell r="Z862">
            <v>2228</v>
          </cell>
          <cell r="AA862">
            <v>0</v>
          </cell>
          <cell r="AC862">
            <v>337.67999999999938</v>
          </cell>
          <cell r="AD862">
            <v>0</v>
          </cell>
          <cell r="AF862">
            <v>857</v>
          </cell>
          <cell r="AG862">
            <v>0</v>
          </cell>
          <cell r="AI862">
            <v>1113.9999999999991</v>
          </cell>
          <cell r="AJ862">
            <v>0</v>
          </cell>
          <cell r="AL862">
            <v>790.56999999999971</v>
          </cell>
          <cell r="AM862">
            <v>0</v>
          </cell>
          <cell r="AO862">
            <v>971</v>
          </cell>
          <cell r="AP862">
            <v>0</v>
          </cell>
          <cell r="AR862">
            <v>811</v>
          </cell>
          <cell r="AS862">
            <v>0</v>
          </cell>
          <cell r="BF862" t="str">
            <v>4690</v>
          </cell>
          <cell r="BG862" t="str">
            <v>Z000</v>
          </cell>
          <cell r="BH862" t="str">
            <v>GFS</v>
          </cell>
        </row>
        <row r="863">
          <cell r="K863">
            <v>5993.5</v>
          </cell>
          <cell r="L863">
            <v>0</v>
          </cell>
          <cell r="N863">
            <v>6329.5</v>
          </cell>
          <cell r="O863">
            <v>0</v>
          </cell>
          <cell r="Q863">
            <v>4389.4099999999889</v>
          </cell>
          <cell r="R863">
            <v>0</v>
          </cell>
          <cell r="T863">
            <v>6129.5</v>
          </cell>
          <cell r="U863">
            <v>0</v>
          </cell>
          <cell r="W863">
            <v>6374.5</v>
          </cell>
          <cell r="X863">
            <v>0</v>
          </cell>
          <cell r="Z863">
            <v>5334.5</v>
          </cell>
          <cell r="AA863">
            <v>0</v>
          </cell>
          <cell r="AC863">
            <v>6029.5</v>
          </cell>
          <cell r="AD863">
            <v>0</v>
          </cell>
          <cell r="AF863">
            <v>6131.5</v>
          </cell>
          <cell r="AG863">
            <v>0</v>
          </cell>
          <cell r="AI863">
            <v>6131.5</v>
          </cell>
          <cell r="AJ863">
            <v>0</v>
          </cell>
          <cell r="AL863">
            <v>6131.5</v>
          </cell>
          <cell r="AM863">
            <v>0</v>
          </cell>
          <cell r="AO863">
            <v>6131.5</v>
          </cell>
          <cell r="AP863">
            <v>0</v>
          </cell>
          <cell r="AR863">
            <v>6131.5</v>
          </cell>
          <cell r="AS863">
            <v>0</v>
          </cell>
          <cell r="BF863" t="str">
            <v>4700</v>
          </cell>
          <cell r="BG863" t="str">
            <v>D031</v>
          </cell>
          <cell r="BH863" t="str">
            <v>GFS</v>
          </cell>
        </row>
        <row r="864">
          <cell r="K864">
            <v>0</v>
          </cell>
          <cell r="L864">
            <v>0</v>
          </cell>
          <cell r="N864">
            <v>0</v>
          </cell>
          <cell r="O864">
            <v>0</v>
          </cell>
          <cell r="Q864">
            <v>0</v>
          </cell>
          <cell r="R864">
            <v>0</v>
          </cell>
          <cell r="T864">
            <v>0</v>
          </cell>
          <cell r="U864">
            <v>0</v>
          </cell>
          <cell r="W864">
            <v>0</v>
          </cell>
          <cell r="X864">
            <v>0</v>
          </cell>
          <cell r="Z864">
            <v>0</v>
          </cell>
          <cell r="AA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I864">
            <v>0</v>
          </cell>
          <cell r="AJ864">
            <v>0</v>
          </cell>
          <cell r="AL864">
            <v>0</v>
          </cell>
          <cell r="AM864">
            <v>0</v>
          </cell>
          <cell r="AO864">
            <v>0</v>
          </cell>
          <cell r="AP864">
            <v>0</v>
          </cell>
          <cell r="AR864">
            <v>0</v>
          </cell>
          <cell r="AS864">
            <v>0</v>
          </cell>
          <cell r="BF864" t="str">
            <v>4700</v>
          </cell>
          <cell r="BG864" t="str">
            <v>D032</v>
          </cell>
          <cell r="BH864" t="str">
            <v>GFS</v>
          </cell>
        </row>
        <row r="865">
          <cell r="K865">
            <v>32463.820000000065</v>
          </cell>
          <cell r="L865">
            <v>0</v>
          </cell>
          <cell r="N865">
            <v>35410.130000000005</v>
          </cell>
          <cell r="O865">
            <v>0</v>
          </cell>
          <cell r="Q865">
            <v>29757</v>
          </cell>
          <cell r="R865">
            <v>0</v>
          </cell>
          <cell r="T865">
            <v>29813</v>
          </cell>
          <cell r="U865">
            <v>0</v>
          </cell>
          <cell r="W865">
            <v>30082.539999999921</v>
          </cell>
          <cell r="X865">
            <v>0</v>
          </cell>
          <cell r="Z865">
            <v>33201</v>
          </cell>
          <cell r="AA865">
            <v>0</v>
          </cell>
          <cell r="AC865">
            <v>33416.000000000058</v>
          </cell>
          <cell r="AD865">
            <v>0</v>
          </cell>
          <cell r="AF865">
            <v>32337.000000000058</v>
          </cell>
          <cell r="AG865">
            <v>0</v>
          </cell>
          <cell r="AI865">
            <v>33127</v>
          </cell>
          <cell r="AJ865">
            <v>0</v>
          </cell>
          <cell r="AL865">
            <v>32821.330000000075</v>
          </cell>
          <cell r="AM865">
            <v>0</v>
          </cell>
          <cell r="AO865">
            <v>31614</v>
          </cell>
          <cell r="AP865">
            <v>0</v>
          </cell>
          <cell r="AR865">
            <v>33230.330000000075</v>
          </cell>
          <cell r="AS865">
            <v>0</v>
          </cell>
          <cell r="BF865" t="str">
            <v>4740</v>
          </cell>
          <cell r="BG865" t="str">
            <v>D041</v>
          </cell>
          <cell r="BH865" t="str">
            <v>GFS</v>
          </cell>
        </row>
        <row r="866">
          <cell r="K866">
            <v>0</v>
          </cell>
          <cell r="L866">
            <v>0</v>
          </cell>
          <cell r="N866">
            <v>0</v>
          </cell>
          <cell r="O866">
            <v>0</v>
          </cell>
          <cell r="Q866">
            <v>1442.51</v>
          </cell>
          <cell r="R866">
            <v>0</v>
          </cell>
          <cell r="T866">
            <v>2115.0199999999995</v>
          </cell>
          <cell r="U866">
            <v>0</v>
          </cell>
          <cell r="W866">
            <v>2859.17</v>
          </cell>
          <cell r="X866">
            <v>0</v>
          </cell>
          <cell r="Z866">
            <v>123.5</v>
          </cell>
          <cell r="AA866">
            <v>0</v>
          </cell>
          <cell r="AC866">
            <v>0</v>
          </cell>
          <cell r="AD866">
            <v>0</v>
          </cell>
          <cell r="AF866">
            <v>557.51000000000022</v>
          </cell>
          <cell r="AG866">
            <v>0</v>
          </cell>
          <cell r="AI866">
            <v>1604.9999999999991</v>
          </cell>
          <cell r="AJ866">
            <v>0</v>
          </cell>
          <cell r="AL866">
            <v>3906.58</v>
          </cell>
          <cell r="AM866">
            <v>0</v>
          </cell>
          <cell r="AO866">
            <v>5771.99</v>
          </cell>
          <cell r="AP866">
            <v>0</v>
          </cell>
          <cell r="AR866">
            <v>951.5</v>
          </cell>
          <cell r="AS866">
            <v>0</v>
          </cell>
          <cell r="BF866" t="str">
            <v>4740</v>
          </cell>
          <cell r="BG866" t="str">
            <v>D042</v>
          </cell>
          <cell r="BH866" t="str">
            <v>GFS</v>
          </cell>
        </row>
        <row r="867">
          <cell r="K867">
            <v>0</v>
          </cell>
          <cell r="L867">
            <v>0</v>
          </cell>
          <cell r="N867">
            <v>0</v>
          </cell>
          <cell r="O867">
            <v>0</v>
          </cell>
          <cell r="Q867">
            <v>3551</v>
          </cell>
          <cell r="R867">
            <v>0</v>
          </cell>
          <cell r="T867">
            <v>3565</v>
          </cell>
          <cell r="U867">
            <v>0</v>
          </cell>
          <cell r="W867">
            <v>3565</v>
          </cell>
          <cell r="X867">
            <v>0</v>
          </cell>
          <cell r="Z867">
            <v>3565</v>
          </cell>
          <cell r="AA867">
            <v>0</v>
          </cell>
          <cell r="AC867">
            <v>3437</v>
          </cell>
          <cell r="AD867">
            <v>0</v>
          </cell>
          <cell r="AF867">
            <v>3437</v>
          </cell>
          <cell r="AG867">
            <v>0</v>
          </cell>
          <cell r="AI867">
            <v>3465</v>
          </cell>
          <cell r="AJ867">
            <v>0</v>
          </cell>
          <cell r="AL867">
            <v>3665</v>
          </cell>
          <cell r="AM867">
            <v>0</v>
          </cell>
          <cell r="AO867">
            <v>2900</v>
          </cell>
          <cell r="AP867">
            <v>0</v>
          </cell>
          <cell r="AR867">
            <v>3602.1699999999983</v>
          </cell>
          <cell r="AS867">
            <v>0</v>
          </cell>
          <cell r="BF867" t="str">
            <v>4740</v>
          </cell>
          <cell r="BG867" t="str">
            <v>D043</v>
          </cell>
          <cell r="BH867" t="str">
            <v>GFS</v>
          </cell>
        </row>
        <row r="868">
          <cell r="K868">
            <v>0</v>
          </cell>
          <cell r="L868">
            <v>0</v>
          </cell>
          <cell r="N868">
            <v>0</v>
          </cell>
          <cell r="O868">
            <v>0</v>
          </cell>
          <cell r="Q868">
            <v>1183.32</v>
          </cell>
          <cell r="R868">
            <v>0</v>
          </cell>
          <cell r="T868">
            <v>1183.3299999999997</v>
          </cell>
          <cell r="U868">
            <v>0</v>
          </cell>
          <cell r="W868">
            <v>9646.8700000000008</v>
          </cell>
          <cell r="X868">
            <v>0</v>
          </cell>
          <cell r="Z868">
            <v>7569.02</v>
          </cell>
          <cell r="AA868">
            <v>0</v>
          </cell>
          <cell r="AC868">
            <v>2903.4199999999983</v>
          </cell>
          <cell r="AD868">
            <v>0</v>
          </cell>
          <cell r="AF868">
            <v>2911.4199999999983</v>
          </cell>
          <cell r="AG868">
            <v>0</v>
          </cell>
          <cell r="AI868">
            <v>2923.9199999999983</v>
          </cell>
          <cell r="AJ868">
            <v>0</v>
          </cell>
          <cell r="AL868">
            <v>2882.75</v>
          </cell>
          <cell r="AM868">
            <v>0</v>
          </cell>
          <cell r="AO868">
            <v>2863.6699999999983</v>
          </cell>
          <cell r="AP868">
            <v>0</v>
          </cell>
          <cell r="AR868">
            <v>3003.2900000000009</v>
          </cell>
          <cell r="AS868">
            <v>0</v>
          </cell>
          <cell r="BF868" t="str">
            <v>4740</v>
          </cell>
          <cell r="BG868" t="str">
            <v>D044</v>
          </cell>
          <cell r="BH868" t="str">
            <v>GFS</v>
          </cell>
        </row>
        <row r="869">
          <cell r="K869">
            <v>0</v>
          </cell>
          <cell r="L869">
            <v>0</v>
          </cell>
          <cell r="N869">
            <v>0</v>
          </cell>
          <cell r="O869">
            <v>0</v>
          </cell>
          <cell r="Q869">
            <v>120</v>
          </cell>
          <cell r="R869">
            <v>0</v>
          </cell>
          <cell r="T869">
            <v>120</v>
          </cell>
          <cell r="U869">
            <v>0</v>
          </cell>
          <cell r="W869">
            <v>0</v>
          </cell>
          <cell r="X869">
            <v>0</v>
          </cell>
          <cell r="Z869">
            <v>0</v>
          </cell>
          <cell r="AA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I869">
            <v>0</v>
          </cell>
          <cell r="AJ869">
            <v>0</v>
          </cell>
          <cell r="AL869">
            <v>0</v>
          </cell>
          <cell r="AM869">
            <v>0</v>
          </cell>
          <cell r="AO869">
            <v>0</v>
          </cell>
          <cell r="AP869">
            <v>0</v>
          </cell>
          <cell r="AR869">
            <v>0</v>
          </cell>
          <cell r="AS869">
            <v>0</v>
          </cell>
          <cell r="BF869" t="str">
            <v>4740</v>
          </cell>
          <cell r="BG869" t="str">
            <v>D045</v>
          </cell>
          <cell r="BH869" t="str">
            <v>GFS</v>
          </cell>
        </row>
        <row r="870">
          <cell r="K870">
            <v>0</v>
          </cell>
          <cell r="L870">
            <v>0</v>
          </cell>
          <cell r="N870">
            <v>0</v>
          </cell>
          <cell r="O870">
            <v>0</v>
          </cell>
          <cell r="Q870">
            <v>1025.06</v>
          </cell>
          <cell r="R870">
            <v>0</v>
          </cell>
          <cell r="T870">
            <v>1035.5999999999999</v>
          </cell>
          <cell r="U870">
            <v>0</v>
          </cell>
          <cell r="W870">
            <v>1051.5099999999998</v>
          </cell>
          <cell r="X870">
            <v>0</v>
          </cell>
          <cell r="Z870">
            <v>1480.7100000000005</v>
          </cell>
          <cell r="AA870">
            <v>0</v>
          </cell>
          <cell r="AC870">
            <v>1073.6400000000003</v>
          </cell>
          <cell r="AD870">
            <v>0</v>
          </cell>
          <cell r="AF870">
            <v>1059.2400000000007</v>
          </cell>
          <cell r="AG870">
            <v>0</v>
          </cell>
          <cell r="AI870">
            <v>1107.7300000000005</v>
          </cell>
          <cell r="AJ870">
            <v>0</v>
          </cell>
          <cell r="AL870">
            <v>1161.7399999999998</v>
          </cell>
          <cell r="AM870">
            <v>0</v>
          </cell>
          <cell r="AO870">
            <v>1724.2600000000002</v>
          </cell>
          <cell r="AP870">
            <v>0</v>
          </cell>
          <cell r="AR870">
            <v>1108.9100000000017</v>
          </cell>
          <cell r="AS870">
            <v>0</v>
          </cell>
          <cell r="BF870" t="str">
            <v>4740</v>
          </cell>
          <cell r="BG870" t="str">
            <v>D046</v>
          </cell>
          <cell r="BH870" t="str">
            <v>GFS</v>
          </cell>
        </row>
        <row r="871">
          <cell r="K871">
            <v>0</v>
          </cell>
          <cell r="L871">
            <v>0</v>
          </cell>
          <cell r="N871">
            <v>0</v>
          </cell>
          <cell r="O871">
            <v>0</v>
          </cell>
          <cell r="Q871">
            <v>0</v>
          </cell>
          <cell r="R871">
            <v>0</v>
          </cell>
          <cell r="T871">
            <v>0</v>
          </cell>
          <cell r="U871">
            <v>0</v>
          </cell>
          <cell r="W871">
            <v>0</v>
          </cell>
          <cell r="X871">
            <v>0</v>
          </cell>
          <cell r="Z871">
            <v>0</v>
          </cell>
          <cell r="AA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I871">
            <v>0</v>
          </cell>
          <cell r="AJ871">
            <v>0</v>
          </cell>
          <cell r="AL871">
            <v>0</v>
          </cell>
          <cell r="AM871">
            <v>0</v>
          </cell>
          <cell r="AO871">
            <v>0</v>
          </cell>
          <cell r="AP871">
            <v>0</v>
          </cell>
          <cell r="AR871">
            <v>0</v>
          </cell>
          <cell r="AS871">
            <v>0</v>
          </cell>
          <cell r="BF871" t="str">
            <v>4760</v>
          </cell>
          <cell r="BG871" t="str">
            <v>Z000</v>
          </cell>
          <cell r="BH871" t="str">
            <v>GFS</v>
          </cell>
        </row>
        <row r="872">
          <cell r="K872">
            <v>2700</v>
          </cell>
          <cell r="L872">
            <v>0</v>
          </cell>
          <cell r="N872">
            <v>1682.9599999999991</v>
          </cell>
          <cell r="O872">
            <v>0</v>
          </cell>
          <cell r="Q872">
            <v>1879.9599999999991</v>
          </cell>
          <cell r="R872">
            <v>0</v>
          </cell>
          <cell r="T872">
            <v>67.040000000000873</v>
          </cell>
          <cell r="U872">
            <v>0</v>
          </cell>
          <cell r="W872">
            <v>1156</v>
          </cell>
          <cell r="X872">
            <v>0</v>
          </cell>
          <cell r="Z872">
            <v>1050</v>
          </cell>
          <cell r="AA872">
            <v>0</v>
          </cell>
          <cell r="AC872">
            <v>850</v>
          </cell>
          <cell r="AD872">
            <v>0</v>
          </cell>
          <cell r="AF872">
            <v>1400</v>
          </cell>
          <cell r="AG872">
            <v>0</v>
          </cell>
          <cell r="AI872">
            <v>1350</v>
          </cell>
          <cell r="AJ872">
            <v>0</v>
          </cell>
          <cell r="AL872">
            <v>1250</v>
          </cell>
          <cell r="AM872">
            <v>0</v>
          </cell>
          <cell r="AO872">
            <v>2462.2200000000012</v>
          </cell>
          <cell r="AP872">
            <v>0</v>
          </cell>
          <cell r="AR872">
            <v>11155.350000000006</v>
          </cell>
          <cell r="AS872">
            <v>0</v>
          </cell>
          <cell r="BF872" t="str">
            <v>4800</v>
          </cell>
          <cell r="BG872" t="str">
            <v>D101</v>
          </cell>
          <cell r="BH872" t="str">
            <v>GFS</v>
          </cell>
        </row>
        <row r="873">
          <cell r="K873">
            <v>166</v>
          </cell>
          <cell r="L873">
            <v>0</v>
          </cell>
          <cell r="N873">
            <v>101</v>
          </cell>
          <cell r="O873">
            <v>0</v>
          </cell>
          <cell r="Q873">
            <v>67</v>
          </cell>
          <cell r="R873">
            <v>0</v>
          </cell>
          <cell r="T873">
            <v>265</v>
          </cell>
          <cell r="U873">
            <v>0</v>
          </cell>
          <cell r="W873">
            <v>329</v>
          </cell>
          <cell r="X873">
            <v>0</v>
          </cell>
          <cell r="Z873">
            <v>247</v>
          </cell>
          <cell r="AA873">
            <v>0</v>
          </cell>
          <cell r="AC873">
            <v>259</v>
          </cell>
          <cell r="AD873">
            <v>0</v>
          </cell>
          <cell r="AF873">
            <v>44</v>
          </cell>
          <cell r="AG873">
            <v>0</v>
          </cell>
          <cell r="AI873">
            <v>66</v>
          </cell>
          <cell r="AJ873">
            <v>0</v>
          </cell>
          <cell r="AL873">
            <v>160</v>
          </cell>
          <cell r="AM873">
            <v>0</v>
          </cell>
          <cell r="AO873">
            <v>72</v>
          </cell>
          <cell r="AP873">
            <v>0</v>
          </cell>
          <cell r="AR873">
            <v>277</v>
          </cell>
          <cell r="AS873">
            <v>0</v>
          </cell>
          <cell r="BF873" t="str">
            <v>4800</v>
          </cell>
          <cell r="BG873" t="str">
            <v>D102</v>
          </cell>
          <cell r="BH873" t="str">
            <v>GFS</v>
          </cell>
        </row>
        <row r="874">
          <cell r="K874">
            <v>522</v>
          </cell>
          <cell r="L874">
            <v>0</v>
          </cell>
          <cell r="N874">
            <v>600</v>
          </cell>
          <cell r="O874">
            <v>0</v>
          </cell>
          <cell r="Q874">
            <v>473</v>
          </cell>
          <cell r="R874">
            <v>0</v>
          </cell>
          <cell r="T874">
            <v>722</v>
          </cell>
          <cell r="U874">
            <v>0</v>
          </cell>
          <cell r="W874">
            <v>991</v>
          </cell>
          <cell r="X874">
            <v>0</v>
          </cell>
          <cell r="Z874">
            <v>777.3799999999992</v>
          </cell>
          <cell r="AA874">
            <v>0</v>
          </cell>
          <cell r="AC874">
            <v>791.3799999999992</v>
          </cell>
          <cell r="AD874">
            <v>0</v>
          </cell>
          <cell r="AF874">
            <v>902.3799999999992</v>
          </cell>
          <cell r="AG874">
            <v>0</v>
          </cell>
          <cell r="AI874">
            <v>866.3799999999992</v>
          </cell>
          <cell r="AJ874">
            <v>0</v>
          </cell>
          <cell r="AL874">
            <v>995.3799999999992</v>
          </cell>
          <cell r="AM874">
            <v>0</v>
          </cell>
          <cell r="AO874">
            <v>1027.0699999999979</v>
          </cell>
          <cell r="AP874">
            <v>0</v>
          </cell>
          <cell r="AR874">
            <v>1028.3799999999992</v>
          </cell>
          <cell r="AS874">
            <v>0</v>
          </cell>
          <cell r="BF874" t="str">
            <v>4800</v>
          </cell>
          <cell r="BG874" t="str">
            <v>D103</v>
          </cell>
          <cell r="BH874" t="str">
            <v>GFS</v>
          </cell>
        </row>
        <row r="875">
          <cell r="K875">
            <v>0</v>
          </cell>
          <cell r="L875">
            <v>0</v>
          </cell>
          <cell r="N875">
            <v>0</v>
          </cell>
          <cell r="O875">
            <v>0</v>
          </cell>
          <cell r="Q875">
            <v>0</v>
          </cell>
          <cell r="R875">
            <v>0</v>
          </cell>
          <cell r="T875">
            <v>0</v>
          </cell>
          <cell r="U875">
            <v>0</v>
          </cell>
          <cell r="W875">
            <v>0</v>
          </cell>
          <cell r="X875">
            <v>0</v>
          </cell>
          <cell r="Z875">
            <v>0</v>
          </cell>
          <cell r="AA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I875">
            <v>0</v>
          </cell>
          <cell r="AJ875">
            <v>0</v>
          </cell>
          <cell r="AL875">
            <v>0</v>
          </cell>
          <cell r="AM875">
            <v>0</v>
          </cell>
          <cell r="AO875">
            <v>0</v>
          </cell>
          <cell r="AP875">
            <v>0</v>
          </cell>
          <cell r="AR875">
            <v>0</v>
          </cell>
          <cell r="AS875">
            <v>0</v>
          </cell>
          <cell r="BF875" t="str">
            <v>4800</v>
          </cell>
          <cell r="BG875" t="str">
            <v>D104</v>
          </cell>
          <cell r="BH875" t="str">
            <v>GFS</v>
          </cell>
        </row>
        <row r="876">
          <cell r="K876">
            <v>0</v>
          </cell>
          <cell r="L876">
            <v>0</v>
          </cell>
          <cell r="N876">
            <v>0</v>
          </cell>
          <cell r="O876">
            <v>0</v>
          </cell>
          <cell r="Q876">
            <v>0</v>
          </cell>
          <cell r="R876">
            <v>0</v>
          </cell>
          <cell r="T876">
            <v>0</v>
          </cell>
          <cell r="U876">
            <v>0</v>
          </cell>
          <cell r="W876">
            <v>0</v>
          </cell>
          <cell r="X876">
            <v>0</v>
          </cell>
          <cell r="Z876">
            <v>0</v>
          </cell>
          <cell r="AA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I876">
            <v>0</v>
          </cell>
          <cell r="AJ876">
            <v>0</v>
          </cell>
          <cell r="AL876">
            <v>0</v>
          </cell>
          <cell r="AM876">
            <v>0</v>
          </cell>
          <cell r="AO876">
            <v>0</v>
          </cell>
          <cell r="AP876">
            <v>0</v>
          </cell>
          <cell r="AR876">
            <v>0</v>
          </cell>
          <cell r="AS876">
            <v>0</v>
          </cell>
          <cell r="BF876" t="str">
            <v>4820</v>
          </cell>
          <cell r="BG876" t="str">
            <v>Z000</v>
          </cell>
          <cell r="BH876" t="str">
            <v>GFS</v>
          </cell>
        </row>
        <row r="877">
          <cell r="K877">
            <v>346</v>
          </cell>
          <cell r="L877">
            <v>0</v>
          </cell>
          <cell r="N877">
            <v>0</v>
          </cell>
          <cell r="O877">
            <v>0</v>
          </cell>
          <cell r="Q877">
            <v>63</v>
          </cell>
          <cell r="R877">
            <v>0</v>
          </cell>
          <cell r="T877">
            <v>751</v>
          </cell>
          <cell r="U877">
            <v>0</v>
          </cell>
          <cell r="W877">
            <v>465</v>
          </cell>
          <cell r="X877">
            <v>0</v>
          </cell>
          <cell r="Z877">
            <v>369</v>
          </cell>
          <cell r="AA877">
            <v>0</v>
          </cell>
          <cell r="AC877">
            <v>263</v>
          </cell>
          <cell r="AD877">
            <v>0</v>
          </cell>
          <cell r="AF877">
            <v>439</v>
          </cell>
          <cell r="AG877">
            <v>0</v>
          </cell>
          <cell r="AI877">
            <v>1289</v>
          </cell>
          <cell r="AJ877">
            <v>0</v>
          </cell>
          <cell r="AL877">
            <v>580</v>
          </cell>
          <cell r="AM877">
            <v>0</v>
          </cell>
          <cell r="AO877">
            <v>906</v>
          </cell>
          <cell r="AP877">
            <v>0</v>
          </cell>
          <cell r="AR877">
            <v>626</v>
          </cell>
          <cell r="AS877">
            <v>0</v>
          </cell>
          <cell r="BF877" t="str">
            <v>4830</v>
          </cell>
          <cell r="BG877" t="str">
            <v>D111</v>
          </cell>
          <cell r="BH877" t="str">
            <v>GFS</v>
          </cell>
        </row>
        <row r="878">
          <cell r="K878">
            <v>0</v>
          </cell>
          <cell r="L878">
            <v>0</v>
          </cell>
          <cell r="N878">
            <v>0</v>
          </cell>
          <cell r="O878">
            <v>0</v>
          </cell>
          <cell r="Q878">
            <v>0</v>
          </cell>
          <cell r="R878">
            <v>0</v>
          </cell>
          <cell r="T878">
            <v>596</v>
          </cell>
          <cell r="U878">
            <v>0</v>
          </cell>
          <cell r="W878">
            <v>700</v>
          </cell>
          <cell r="X878">
            <v>0</v>
          </cell>
          <cell r="Z878">
            <v>965.00000000000091</v>
          </cell>
          <cell r="AA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I878">
            <v>0</v>
          </cell>
          <cell r="AJ878">
            <v>0</v>
          </cell>
          <cell r="AL878">
            <v>413</v>
          </cell>
          <cell r="AM878">
            <v>0</v>
          </cell>
          <cell r="AO878">
            <v>0</v>
          </cell>
          <cell r="AP878">
            <v>0</v>
          </cell>
          <cell r="AR878">
            <v>474</v>
          </cell>
          <cell r="AS878">
            <v>0</v>
          </cell>
          <cell r="BF878" t="str">
            <v>4830</v>
          </cell>
          <cell r="BG878" t="str">
            <v>D112</v>
          </cell>
          <cell r="BH878" t="str">
            <v>GFS</v>
          </cell>
        </row>
        <row r="879">
          <cell r="K879">
            <v>0</v>
          </cell>
          <cell r="L879">
            <v>0</v>
          </cell>
          <cell r="N879">
            <v>0</v>
          </cell>
          <cell r="O879">
            <v>0</v>
          </cell>
          <cell r="Q879">
            <v>0</v>
          </cell>
          <cell r="R879">
            <v>0</v>
          </cell>
          <cell r="T879">
            <v>0</v>
          </cell>
          <cell r="U879">
            <v>0</v>
          </cell>
          <cell r="W879">
            <v>0</v>
          </cell>
          <cell r="X879">
            <v>0</v>
          </cell>
          <cell r="Z879">
            <v>0</v>
          </cell>
          <cell r="AA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I879">
            <v>0</v>
          </cell>
          <cell r="AJ879">
            <v>0</v>
          </cell>
          <cell r="AL879">
            <v>0</v>
          </cell>
          <cell r="AM879">
            <v>0</v>
          </cell>
          <cell r="AO879">
            <v>0</v>
          </cell>
          <cell r="AP879">
            <v>0</v>
          </cell>
          <cell r="AR879">
            <v>0</v>
          </cell>
          <cell r="AS879">
            <v>0</v>
          </cell>
          <cell r="BF879" t="str">
            <v>4840</v>
          </cell>
          <cell r="BG879" t="str">
            <v>Z000</v>
          </cell>
          <cell r="BH879" t="str">
            <v>GFS</v>
          </cell>
        </row>
        <row r="880">
          <cell r="K880">
            <v>0</v>
          </cell>
          <cell r="L880">
            <v>0</v>
          </cell>
          <cell r="N880">
            <v>0</v>
          </cell>
          <cell r="O880">
            <v>0</v>
          </cell>
          <cell r="Q880">
            <v>0</v>
          </cell>
          <cell r="R880">
            <v>0</v>
          </cell>
          <cell r="T880">
            <v>0</v>
          </cell>
          <cell r="U880">
            <v>0</v>
          </cell>
          <cell r="W880">
            <v>0</v>
          </cell>
          <cell r="X880">
            <v>0</v>
          </cell>
          <cell r="Z880">
            <v>0</v>
          </cell>
          <cell r="AA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I880">
            <v>0</v>
          </cell>
          <cell r="AJ880">
            <v>0</v>
          </cell>
          <cell r="AL880">
            <v>0</v>
          </cell>
          <cell r="AM880">
            <v>0</v>
          </cell>
          <cell r="AO880">
            <v>0</v>
          </cell>
          <cell r="AP880">
            <v>0</v>
          </cell>
          <cell r="AR880">
            <v>0</v>
          </cell>
          <cell r="AS880">
            <v>0</v>
          </cell>
          <cell r="BF880" t="str">
            <v>4870</v>
          </cell>
          <cell r="BG880" t="str">
            <v>Z000</v>
          </cell>
          <cell r="BH880" t="str">
            <v>GFS</v>
          </cell>
        </row>
        <row r="881">
          <cell r="K881">
            <v>0</v>
          </cell>
          <cell r="L881">
            <v>0</v>
          </cell>
          <cell r="N881">
            <v>0</v>
          </cell>
          <cell r="O881">
            <v>0</v>
          </cell>
          <cell r="Q881">
            <v>0</v>
          </cell>
          <cell r="R881">
            <v>0</v>
          </cell>
          <cell r="T881">
            <v>0</v>
          </cell>
          <cell r="U881">
            <v>0</v>
          </cell>
          <cell r="W881">
            <v>0</v>
          </cell>
          <cell r="X881">
            <v>0</v>
          </cell>
          <cell r="Z881">
            <v>0</v>
          </cell>
          <cell r="AA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I881">
            <v>0</v>
          </cell>
          <cell r="AJ881">
            <v>0</v>
          </cell>
          <cell r="AL881">
            <v>0</v>
          </cell>
          <cell r="AM881">
            <v>0</v>
          </cell>
          <cell r="AO881">
            <v>0</v>
          </cell>
          <cell r="AP881">
            <v>0</v>
          </cell>
          <cell r="AR881">
            <v>0</v>
          </cell>
          <cell r="AS881">
            <v>0</v>
          </cell>
          <cell r="BF881" t="str">
            <v>4880</v>
          </cell>
          <cell r="BG881" t="str">
            <v>Z000</v>
          </cell>
          <cell r="BH881" t="str">
            <v>GFS</v>
          </cell>
        </row>
        <row r="882">
          <cell r="K882">
            <v>0</v>
          </cell>
          <cell r="L882">
            <v>0</v>
          </cell>
          <cell r="N882">
            <v>0</v>
          </cell>
          <cell r="O882">
            <v>0</v>
          </cell>
          <cell r="Q882">
            <v>0</v>
          </cell>
          <cell r="R882">
            <v>0</v>
          </cell>
          <cell r="T882">
            <v>0</v>
          </cell>
          <cell r="U882">
            <v>0</v>
          </cell>
          <cell r="W882">
            <v>0</v>
          </cell>
          <cell r="X882">
            <v>0</v>
          </cell>
          <cell r="Z882">
            <v>0</v>
          </cell>
          <cell r="AA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I882">
            <v>0</v>
          </cell>
          <cell r="AJ882">
            <v>0</v>
          </cell>
          <cell r="AL882">
            <v>0</v>
          </cell>
          <cell r="AM882">
            <v>0</v>
          </cell>
          <cell r="AO882">
            <v>0</v>
          </cell>
          <cell r="AP882">
            <v>0</v>
          </cell>
          <cell r="AR882">
            <v>0</v>
          </cell>
          <cell r="AS882">
            <v>0</v>
          </cell>
          <cell r="BF882" t="str">
            <v>4890</v>
          </cell>
          <cell r="BG882" t="str">
            <v>Z000</v>
          </cell>
          <cell r="BH882" t="str">
            <v>GFS</v>
          </cell>
        </row>
        <row r="883">
          <cell r="K883">
            <v>0</v>
          </cell>
          <cell r="L883">
            <v>0</v>
          </cell>
          <cell r="N883">
            <v>0</v>
          </cell>
          <cell r="O883">
            <v>0</v>
          </cell>
          <cell r="Q883">
            <v>0</v>
          </cell>
          <cell r="R883">
            <v>0</v>
          </cell>
          <cell r="T883">
            <v>0</v>
          </cell>
          <cell r="U883">
            <v>0</v>
          </cell>
          <cell r="W883">
            <v>0</v>
          </cell>
          <cell r="X883">
            <v>0</v>
          </cell>
          <cell r="Z883">
            <v>0</v>
          </cell>
          <cell r="AA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I883">
            <v>0</v>
          </cell>
          <cell r="AJ883">
            <v>0</v>
          </cell>
          <cell r="AL883">
            <v>0</v>
          </cell>
          <cell r="AM883">
            <v>0</v>
          </cell>
          <cell r="AO883">
            <v>0</v>
          </cell>
          <cell r="AP883">
            <v>0</v>
          </cell>
          <cell r="AR883">
            <v>0</v>
          </cell>
          <cell r="AS883">
            <v>0</v>
          </cell>
          <cell r="BF883" t="str">
            <v>4900</v>
          </cell>
          <cell r="BG883" t="str">
            <v>Z000</v>
          </cell>
          <cell r="BH883" t="str">
            <v>GFS</v>
          </cell>
        </row>
        <row r="884">
          <cell r="K884">
            <v>0</v>
          </cell>
          <cell r="L884">
            <v>0</v>
          </cell>
          <cell r="N884">
            <v>0</v>
          </cell>
          <cell r="O884">
            <v>0</v>
          </cell>
          <cell r="Q884">
            <v>0</v>
          </cell>
          <cell r="R884">
            <v>0</v>
          </cell>
          <cell r="T884">
            <v>0</v>
          </cell>
          <cell r="U884">
            <v>0</v>
          </cell>
          <cell r="W884">
            <v>0</v>
          </cell>
          <cell r="X884">
            <v>0</v>
          </cell>
          <cell r="Z884">
            <v>0</v>
          </cell>
          <cell r="AA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I884">
            <v>0</v>
          </cell>
          <cell r="AJ884">
            <v>0</v>
          </cell>
          <cell r="AL884">
            <v>0</v>
          </cell>
          <cell r="AM884">
            <v>0</v>
          </cell>
          <cell r="AO884">
            <v>0</v>
          </cell>
          <cell r="AP884">
            <v>0</v>
          </cell>
          <cell r="AR884">
            <v>0</v>
          </cell>
          <cell r="AS884">
            <v>0</v>
          </cell>
          <cell r="BF884" t="str">
            <v>4910</v>
          </cell>
          <cell r="BG884" t="str">
            <v>Z000</v>
          </cell>
          <cell r="BH884" t="str">
            <v>GFS</v>
          </cell>
        </row>
        <row r="885">
          <cell r="K885">
            <v>0</v>
          </cell>
          <cell r="L885">
            <v>0</v>
          </cell>
          <cell r="N885">
            <v>0</v>
          </cell>
          <cell r="O885">
            <v>0</v>
          </cell>
          <cell r="Q885">
            <v>0</v>
          </cell>
          <cell r="R885">
            <v>0</v>
          </cell>
          <cell r="T885">
            <v>0</v>
          </cell>
          <cell r="U885">
            <v>0</v>
          </cell>
          <cell r="W885">
            <v>0</v>
          </cell>
          <cell r="X885">
            <v>0</v>
          </cell>
          <cell r="Z885">
            <v>0</v>
          </cell>
          <cell r="AA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I885">
            <v>0</v>
          </cell>
          <cell r="AJ885">
            <v>0</v>
          </cell>
          <cell r="AL885">
            <v>0</v>
          </cell>
          <cell r="AM885">
            <v>0</v>
          </cell>
          <cell r="AO885">
            <v>0</v>
          </cell>
          <cell r="AP885">
            <v>0</v>
          </cell>
          <cell r="AR885">
            <v>0</v>
          </cell>
          <cell r="AS885">
            <v>0</v>
          </cell>
          <cell r="BF885" t="str">
            <v>4940</v>
          </cell>
          <cell r="BG885" t="str">
            <v>Z000</v>
          </cell>
          <cell r="BH885" t="str">
            <v>GFS</v>
          </cell>
        </row>
        <row r="886">
          <cell r="K886">
            <v>0</v>
          </cell>
          <cell r="L886">
            <v>0</v>
          </cell>
          <cell r="N886">
            <v>0</v>
          </cell>
          <cell r="O886">
            <v>0</v>
          </cell>
          <cell r="Q886">
            <v>0</v>
          </cell>
          <cell r="R886">
            <v>0</v>
          </cell>
          <cell r="T886">
            <v>0</v>
          </cell>
          <cell r="U886">
            <v>0</v>
          </cell>
          <cell r="W886">
            <v>0</v>
          </cell>
          <cell r="X886">
            <v>0</v>
          </cell>
          <cell r="Z886">
            <v>0</v>
          </cell>
          <cell r="AA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I886">
            <v>0</v>
          </cell>
          <cell r="AJ886">
            <v>0</v>
          </cell>
          <cell r="AL886">
            <v>0</v>
          </cell>
          <cell r="AM886">
            <v>0</v>
          </cell>
          <cell r="AO886">
            <v>0</v>
          </cell>
          <cell r="AP886">
            <v>0</v>
          </cell>
          <cell r="AR886">
            <v>0</v>
          </cell>
          <cell r="AS886">
            <v>0</v>
          </cell>
          <cell r="BF886" t="str">
            <v>4941</v>
          </cell>
          <cell r="BG886" t="str">
            <v>Z000</v>
          </cell>
          <cell r="BH886" t="str">
            <v>GFS</v>
          </cell>
        </row>
        <row r="887">
          <cell r="K887">
            <v>0</v>
          </cell>
          <cell r="L887">
            <v>0</v>
          </cell>
          <cell r="N887">
            <v>0</v>
          </cell>
          <cell r="O887">
            <v>0</v>
          </cell>
          <cell r="Q887">
            <v>0</v>
          </cell>
          <cell r="R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  <cell r="Z887">
            <v>0</v>
          </cell>
          <cell r="AA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I887">
            <v>0</v>
          </cell>
          <cell r="AJ887">
            <v>0</v>
          </cell>
          <cell r="AL887">
            <v>0</v>
          </cell>
          <cell r="AM887">
            <v>0</v>
          </cell>
          <cell r="AO887">
            <v>0</v>
          </cell>
          <cell r="AP887">
            <v>0</v>
          </cell>
          <cell r="AR887">
            <v>0</v>
          </cell>
          <cell r="AS887">
            <v>0</v>
          </cell>
          <cell r="BF887" t="str">
            <v>4942</v>
          </cell>
          <cell r="BG887" t="str">
            <v>Z000</v>
          </cell>
          <cell r="BH887" t="str">
            <v>GFS</v>
          </cell>
        </row>
        <row r="888">
          <cell r="K888">
            <v>0</v>
          </cell>
          <cell r="L888">
            <v>0</v>
          </cell>
          <cell r="N888">
            <v>0</v>
          </cell>
          <cell r="O888">
            <v>0</v>
          </cell>
          <cell r="Q888">
            <v>0</v>
          </cell>
          <cell r="R888">
            <v>0</v>
          </cell>
          <cell r="T888">
            <v>0</v>
          </cell>
          <cell r="U888">
            <v>0</v>
          </cell>
          <cell r="W888">
            <v>0</v>
          </cell>
          <cell r="X888">
            <v>0</v>
          </cell>
          <cell r="Z888">
            <v>0</v>
          </cell>
          <cell r="AA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I888">
            <v>0</v>
          </cell>
          <cell r="AJ888">
            <v>0</v>
          </cell>
          <cell r="AL888">
            <v>0</v>
          </cell>
          <cell r="AM888">
            <v>0</v>
          </cell>
          <cell r="AO888">
            <v>0</v>
          </cell>
          <cell r="AP888">
            <v>0</v>
          </cell>
          <cell r="AR888">
            <v>8.8817841970012523E-16</v>
          </cell>
          <cell r="AS888">
            <v>0</v>
          </cell>
          <cell r="BF888" t="str">
            <v>4950</v>
          </cell>
          <cell r="BG888" t="str">
            <v>Z000</v>
          </cell>
          <cell r="BH888" t="str">
            <v>GFS</v>
          </cell>
        </row>
        <row r="889">
          <cell r="K889">
            <v>0</v>
          </cell>
          <cell r="L889">
            <v>0</v>
          </cell>
          <cell r="N889">
            <v>0</v>
          </cell>
          <cell r="O889">
            <v>0</v>
          </cell>
          <cell r="Q889">
            <v>0</v>
          </cell>
          <cell r="R889">
            <v>0</v>
          </cell>
          <cell r="T889">
            <v>0</v>
          </cell>
          <cell r="U889">
            <v>0</v>
          </cell>
          <cell r="W889">
            <v>0</v>
          </cell>
          <cell r="X889">
            <v>0</v>
          </cell>
          <cell r="Z889">
            <v>0</v>
          </cell>
          <cell r="AA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I889">
            <v>0</v>
          </cell>
          <cell r="AJ889">
            <v>0</v>
          </cell>
          <cell r="AL889">
            <v>0</v>
          </cell>
          <cell r="AM889">
            <v>0</v>
          </cell>
          <cell r="AO889">
            <v>0</v>
          </cell>
          <cell r="AP889">
            <v>0</v>
          </cell>
          <cell r="AR889">
            <v>0</v>
          </cell>
          <cell r="AS889">
            <v>0</v>
          </cell>
          <cell r="BF889" t="str">
            <v>5100</v>
          </cell>
          <cell r="BG889" t="str">
            <v>E001</v>
          </cell>
          <cell r="BH889" t="str">
            <v>GFS</v>
          </cell>
        </row>
        <row r="890">
          <cell r="K890">
            <v>0</v>
          </cell>
          <cell r="L890">
            <v>0</v>
          </cell>
          <cell r="N890">
            <v>0</v>
          </cell>
          <cell r="O890">
            <v>0</v>
          </cell>
          <cell r="Q890">
            <v>0</v>
          </cell>
          <cell r="R890">
            <v>0</v>
          </cell>
          <cell r="T890">
            <v>0</v>
          </cell>
          <cell r="U890">
            <v>0</v>
          </cell>
          <cell r="W890">
            <v>0</v>
          </cell>
          <cell r="X890">
            <v>0</v>
          </cell>
          <cell r="Z890">
            <v>0</v>
          </cell>
          <cell r="AA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I890">
            <v>0</v>
          </cell>
          <cell r="AJ890">
            <v>0</v>
          </cell>
          <cell r="AL890">
            <v>0</v>
          </cell>
          <cell r="AM890">
            <v>0</v>
          </cell>
          <cell r="AO890">
            <v>0</v>
          </cell>
          <cell r="AP890">
            <v>0</v>
          </cell>
          <cell r="AR890">
            <v>0</v>
          </cell>
          <cell r="AS890">
            <v>0</v>
          </cell>
          <cell r="BF890" t="str">
            <v>5100</v>
          </cell>
          <cell r="BG890" t="str">
            <v>E002</v>
          </cell>
          <cell r="BH890" t="str">
            <v>GFS</v>
          </cell>
        </row>
        <row r="891">
          <cell r="K891">
            <v>0</v>
          </cell>
          <cell r="L891">
            <v>0</v>
          </cell>
          <cell r="N891">
            <v>0</v>
          </cell>
          <cell r="O891">
            <v>0</v>
          </cell>
          <cell r="Q891">
            <v>0</v>
          </cell>
          <cell r="R891">
            <v>0</v>
          </cell>
          <cell r="T891">
            <v>0</v>
          </cell>
          <cell r="U891">
            <v>0</v>
          </cell>
          <cell r="W891">
            <v>0</v>
          </cell>
          <cell r="X891">
            <v>0</v>
          </cell>
          <cell r="Z891">
            <v>0</v>
          </cell>
          <cell r="AA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I891">
            <v>0</v>
          </cell>
          <cell r="AJ891">
            <v>0</v>
          </cell>
          <cell r="AL891">
            <v>0</v>
          </cell>
          <cell r="AM891">
            <v>0</v>
          </cell>
          <cell r="AO891">
            <v>0</v>
          </cell>
          <cell r="AP891">
            <v>0</v>
          </cell>
          <cell r="AR891">
            <v>0</v>
          </cell>
          <cell r="AS891">
            <v>0</v>
          </cell>
          <cell r="BF891" t="str">
            <v>5200</v>
          </cell>
          <cell r="BG891" t="str">
            <v>Z000</v>
          </cell>
          <cell r="BH891" t="str">
            <v>GFS</v>
          </cell>
        </row>
        <row r="892">
          <cell r="K892">
            <v>0</v>
          </cell>
          <cell r="L892">
            <v>0</v>
          </cell>
          <cell r="N892">
            <v>0</v>
          </cell>
          <cell r="O892">
            <v>0</v>
          </cell>
          <cell r="Q892">
            <v>0</v>
          </cell>
          <cell r="R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  <cell r="Z892">
            <v>0</v>
          </cell>
          <cell r="AA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I892">
            <v>0</v>
          </cell>
          <cell r="AJ892">
            <v>0</v>
          </cell>
          <cell r="AL892">
            <v>0</v>
          </cell>
          <cell r="AM892">
            <v>0</v>
          </cell>
          <cell r="AO892">
            <v>0</v>
          </cell>
          <cell r="AP892">
            <v>0</v>
          </cell>
          <cell r="AR892">
            <v>0</v>
          </cell>
          <cell r="AS892">
            <v>0</v>
          </cell>
          <cell r="BF892" t="str">
            <v>5400</v>
          </cell>
          <cell r="BG892" t="str">
            <v>F001</v>
          </cell>
          <cell r="BH892" t="str">
            <v>GFS</v>
          </cell>
        </row>
        <row r="893">
          <cell r="K893">
            <v>0</v>
          </cell>
          <cell r="L893">
            <v>0</v>
          </cell>
          <cell r="N893">
            <v>0</v>
          </cell>
          <cell r="O893">
            <v>0</v>
          </cell>
          <cell r="Q893">
            <v>0</v>
          </cell>
          <cell r="R893">
            <v>0</v>
          </cell>
          <cell r="T893">
            <v>0</v>
          </cell>
          <cell r="U893">
            <v>0</v>
          </cell>
          <cell r="W893">
            <v>0</v>
          </cell>
          <cell r="X893">
            <v>0</v>
          </cell>
          <cell r="Z893">
            <v>0</v>
          </cell>
          <cell r="AA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I893">
            <v>0</v>
          </cell>
          <cell r="AJ893">
            <v>0</v>
          </cell>
          <cell r="AL893">
            <v>0</v>
          </cell>
          <cell r="AM893">
            <v>0</v>
          </cell>
          <cell r="AO893">
            <v>0</v>
          </cell>
          <cell r="AP893">
            <v>0</v>
          </cell>
          <cell r="AR893">
            <v>0</v>
          </cell>
          <cell r="AS893">
            <v>0</v>
          </cell>
          <cell r="BF893" t="str">
            <v>5400</v>
          </cell>
          <cell r="BG893" t="str">
            <v>F002</v>
          </cell>
          <cell r="BH893" t="str">
            <v>GFS</v>
          </cell>
        </row>
        <row r="894">
          <cell r="K894">
            <v>0</v>
          </cell>
          <cell r="L894">
            <v>0</v>
          </cell>
          <cell r="N894">
            <v>0</v>
          </cell>
          <cell r="O894">
            <v>0</v>
          </cell>
          <cell r="Q894">
            <v>0</v>
          </cell>
          <cell r="R894">
            <v>0</v>
          </cell>
          <cell r="T894">
            <v>0</v>
          </cell>
          <cell r="U894">
            <v>0</v>
          </cell>
          <cell r="W894">
            <v>0</v>
          </cell>
          <cell r="X894">
            <v>0</v>
          </cell>
          <cell r="Z894">
            <v>0</v>
          </cell>
          <cell r="AA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I894">
            <v>0</v>
          </cell>
          <cell r="AJ894">
            <v>0</v>
          </cell>
          <cell r="AL894">
            <v>0</v>
          </cell>
          <cell r="AM894">
            <v>0</v>
          </cell>
          <cell r="AO894">
            <v>0</v>
          </cell>
          <cell r="AP894">
            <v>0</v>
          </cell>
          <cell r="AR894">
            <v>0</v>
          </cell>
          <cell r="AS894">
            <v>0</v>
          </cell>
          <cell r="BF894" t="str">
            <v>5400</v>
          </cell>
          <cell r="BG894" t="str">
            <v>F003</v>
          </cell>
          <cell r="BH894" t="str">
            <v>GFS</v>
          </cell>
        </row>
        <row r="895">
          <cell r="K895">
            <v>0</v>
          </cell>
          <cell r="L895">
            <v>0</v>
          </cell>
          <cell r="N895">
            <v>0</v>
          </cell>
          <cell r="O895">
            <v>0</v>
          </cell>
          <cell r="Q895">
            <v>0</v>
          </cell>
          <cell r="R895">
            <v>0</v>
          </cell>
          <cell r="T895">
            <v>0</v>
          </cell>
          <cell r="U895">
            <v>0</v>
          </cell>
          <cell r="W895">
            <v>0</v>
          </cell>
          <cell r="X895">
            <v>0</v>
          </cell>
          <cell r="Z895">
            <v>0</v>
          </cell>
          <cell r="AA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I895">
            <v>0</v>
          </cell>
          <cell r="AJ895">
            <v>0</v>
          </cell>
          <cell r="AL895">
            <v>0</v>
          </cell>
          <cell r="AM895">
            <v>0</v>
          </cell>
          <cell r="AO895">
            <v>0</v>
          </cell>
          <cell r="AP895">
            <v>0</v>
          </cell>
          <cell r="AR895">
            <v>0</v>
          </cell>
          <cell r="AS895">
            <v>0</v>
          </cell>
          <cell r="BF895" t="str">
            <v>5400</v>
          </cell>
          <cell r="BG895" t="str">
            <v>F004</v>
          </cell>
          <cell r="BH895" t="str">
            <v>GFS</v>
          </cell>
        </row>
        <row r="896">
          <cell r="K896">
            <v>0</v>
          </cell>
          <cell r="L896">
            <v>0</v>
          </cell>
          <cell r="N896">
            <v>0</v>
          </cell>
          <cell r="O896">
            <v>0</v>
          </cell>
          <cell r="Q896">
            <v>0</v>
          </cell>
          <cell r="R896">
            <v>0</v>
          </cell>
          <cell r="T896">
            <v>0</v>
          </cell>
          <cell r="U896">
            <v>0</v>
          </cell>
          <cell r="W896">
            <v>0</v>
          </cell>
          <cell r="X896">
            <v>0</v>
          </cell>
          <cell r="Z896">
            <v>0</v>
          </cell>
          <cell r="AA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I896">
            <v>0</v>
          </cell>
          <cell r="AJ896">
            <v>0</v>
          </cell>
          <cell r="AL896">
            <v>0</v>
          </cell>
          <cell r="AM896">
            <v>0</v>
          </cell>
          <cell r="AO896">
            <v>0</v>
          </cell>
          <cell r="AP896">
            <v>0</v>
          </cell>
          <cell r="AR896">
            <v>0</v>
          </cell>
          <cell r="AS896">
            <v>0</v>
          </cell>
          <cell r="BF896" t="str">
            <v>5400</v>
          </cell>
          <cell r="BG896" t="str">
            <v>F005</v>
          </cell>
          <cell r="BH896" t="str">
            <v>GFS</v>
          </cell>
        </row>
        <row r="897">
          <cell r="K897">
            <v>0</v>
          </cell>
          <cell r="L897">
            <v>0</v>
          </cell>
          <cell r="N897">
            <v>0</v>
          </cell>
          <cell r="O897">
            <v>0</v>
          </cell>
          <cell r="Q897">
            <v>0</v>
          </cell>
          <cell r="R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  <cell r="Z897">
            <v>0</v>
          </cell>
          <cell r="AA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I897">
            <v>0</v>
          </cell>
          <cell r="AJ897">
            <v>0</v>
          </cell>
          <cell r="AL897">
            <v>0</v>
          </cell>
          <cell r="AM897">
            <v>0</v>
          </cell>
          <cell r="AO897">
            <v>0</v>
          </cell>
          <cell r="AP897">
            <v>0</v>
          </cell>
          <cell r="AR897">
            <v>0</v>
          </cell>
          <cell r="AS897">
            <v>0</v>
          </cell>
          <cell r="BF897" t="str">
            <v>5400</v>
          </cell>
          <cell r="BG897" t="str">
            <v>F006</v>
          </cell>
          <cell r="BH897" t="str">
            <v>GFS</v>
          </cell>
        </row>
        <row r="898">
          <cell r="K898">
            <v>0</v>
          </cell>
          <cell r="L898">
            <v>0</v>
          </cell>
          <cell r="N898">
            <v>0</v>
          </cell>
          <cell r="O898">
            <v>0</v>
          </cell>
          <cell r="Q898">
            <v>0</v>
          </cell>
          <cell r="R898">
            <v>0</v>
          </cell>
          <cell r="T898">
            <v>0</v>
          </cell>
          <cell r="U898">
            <v>0</v>
          </cell>
          <cell r="W898">
            <v>0</v>
          </cell>
          <cell r="X898">
            <v>0</v>
          </cell>
          <cell r="Z898">
            <v>0</v>
          </cell>
          <cell r="AA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I898">
            <v>0</v>
          </cell>
          <cell r="AJ898">
            <v>0</v>
          </cell>
          <cell r="AL898">
            <v>0</v>
          </cell>
          <cell r="AM898">
            <v>0</v>
          </cell>
          <cell r="AO898">
            <v>0</v>
          </cell>
          <cell r="AP898">
            <v>0</v>
          </cell>
          <cell r="AR898">
            <v>0</v>
          </cell>
          <cell r="AS898">
            <v>0</v>
          </cell>
          <cell r="BF898" t="str">
            <v>5400</v>
          </cell>
          <cell r="BG898" t="str">
            <v>F007</v>
          </cell>
          <cell r="BH898" t="str">
            <v>GFS</v>
          </cell>
        </row>
        <row r="899">
          <cell r="K899">
            <v>0</v>
          </cell>
          <cell r="L899">
            <v>0</v>
          </cell>
          <cell r="N899">
            <v>0</v>
          </cell>
          <cell r="O899">
            <v>0</v>
          </cell>
          <cell r="Q899">
            <v>0</v>
          </cell>
          <cell r="R899">
            <v>0</v>
          </cell>
          <cell r="T899">
            <v>0</v>
          </cell>
          <cell r="U899">
            <v>0</v>
          </cell>
          <cell r="W899">
            <v>0</v>
          </cell>
          <cell r="X899">
            <v>0</v>
          </cell>
          <cell r="Z899">
            <v>0</v>
          </cell>
          <cell r="AA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I899">
            <v>0</v>
          </cell>
          <cell r="AJ899">
            <v>0</v>
          </cell>
          <cell r="AL899">
            <v>0</v>
          </cell>
          <cell r="AM899">
            <v>0</v>
          </cell>
          <cell r="AO899">
            <v>0</v>
          </cell>
          <cell r="AP899">
            <v>0</v>
          </cell>
          <cell r="AR899">
            <v>0</v>
          </cell>
          <cell r="AS899">
            <v>0</v>
          </cell>
          <cell r="BF899" t="str">
            <v>5400</v>
          </cell>
          <cell r="BG899" t="str">
            <v>F008</v>
          </cell>
          <cell r="BH899" t="str">
            <v>GFS</v>
          </cell>
        </row>
        <row r="900">
          <cell r="K900">
            <v>0</v>
          </cell>
          <cell r="L900">
            <v>0</v>
          </cell>
          <cell r="N900">
            <v>0</v>
          </cell>
          <cell r="O900">
            <v>0</v>
          </cell>
          <cell r="Q900">
            <v>0</v>
          </cell>
          <cell r="R900">
            <v>0</v>
          </cell>
          <cell r="T900">
            <v>0</v>
          </cell>
          <cell r="U900">
            <v>0</v>
          </cell>
          <cell r="W900">
            <v>0</v>
          </cell>
          <cell r="X900">
            <v>0</v>
          </cell>
          <cell r="Z900">
            <v>0</v>
          </cell>
          <cell r="AA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I900">
            <v>0</v>
          </cell>
          <cell r="AJ900">
            <v>0</v>
          </cell>
          <cell r="AL900">
            <v>0</v>
          </cell>
          <cell r="AM900">
            <v>0</v>
          </cell>
          <cell r="AO900">
            <v>0</v>
          </cell>
          <cell r="AP900">
            <v>0</v>
          </cell>
          <cell r="AR900">
            <v>0</v>
          </cell>
          <cell r="AS900">
            <v>0</v>
          </cell>
          <cell r="BF900" t="str">
            <v>5400</v>
          </cell>
          <cell r="BG900" t="str">
            <v>F009</v>
          </cell>
          <cell r="BH900" t="str">
            <v>GFS</v>
          </cell>
        </row>
        <row r="901">
          <cell r="K901">
            <v>0</v>
          </cell>
          <cell r="L901">
            <v>0</v>
          </cell>
          <cell r="N901">
            <v>0</v>
          </cell>
          <cell r="O901">
            <v>0</v>
          </cell>
          <cell r="Q901">
            <v>0</v>
          </cell>
          <cell r="R901">
            <v>0</v>
          </cell>
          <cell r="T901">
            <v>0</v>
          </cell>
          <cell r="U901">
            <v>0</v>
          </cell>
          <cell r="W901">
            <v>0</v>
          </cell>
          <cell r="X901">
            <v>0</v>
          </cell>
          <cell r="Z901">
            <v>0</v>
          </cell>
          <cell r="AA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I901">
            <v>0</v>
          </cell>
          <cell r="AJ901">
            <v>0</v>
          </cell>
          <cell r="AL901">
            <v>0</v>
          </cell>
          <cell r="AM901">
            <v>0</v>
          </cell>
          <cell r="AO901">
            <v>0</v>
          </cell>
          <cell r="AP901">
            <v>0</v>
          </cell>
          <cell r="AR901">
            <v>0</v>
          </cell>
          <cell r="AS901">
            <v>0</v>
          </cell>
          <cell r="BF901" t="str">
            <v>5400</v>
          </cell>
          <cell r="BG901" t="str">
            <v>F010</v>
          </cell>
          <cell r="BH901" t="str">
            <v>GFS</v>
          </cell>
        </row>
        <row r="902">
          <cell r="K902">
            <v>0</v>
          </cell>
          <cell r="L902">
            <v>0</v>
          </cell>
          <cell r="N902">
            <v>0</v>
          </cell>
          <cell r="O902">
            <v>0</v>
          </cell>
          <cell r="Q902">
            <v>0</v>
          </cell>
          <cell r="R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  <cell r="Z902">
            <v>0</v>
          </cell>
          <cell r="AA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I902">
            <v>0</v>
          </cell>
          <cell r="AJ902">
            <v>0</v>
          </cell>
          <cell r="AL902">
            <v>0</v>
          </cell>
          <cell r="AM902">
            <v>0</v>
          </cell>
          <cell r="AO902">
            <v>0</v>
          </cell>
          <cell r="AP902">
            <v>0</v>
          </cell>
          <cell r="AR902">
            <v>0</v>
          </cell>
          <cell r="AS902">
            <v>0</v>
          </cell>
          <cell r="BF902" t="str">
            <v>5400</v>
          </cell>
          <cell r="BG902" t="str">
            <v>F011</v>
          </cell>
          <cell r="BH902" t="str">
            <v>GFS</v>
          </cell>
        </row>
        <row r="903">
          <cell r="K903">
            <v>0</v>
          </cell>
          <cell r="L903">
            <v>0</v>
          </cell>
          <cell r="N903">
            <v>0</v>
          </cell>
          <cell r="O903">
            <v>0</v>
          </cell>
          <cell r="Q903">
            <v>0</v>
          </cell>
          <cell r="R903">
            <v>0</v>
          </cell>
          <cell r="T903">
            <v>0</v>
          </cell>
          <cell r="U903">
            <v>0</v>
          </cell>
          <cell r="W903">
            <v>0</v>
          </cell>
          <cell r="X903">
            <v>0</v>
          </cell>
          <cell r="Z903">
            <v>0</v>
          </cell>
          <cell r="AA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I903">
            <v>0</v>
          </cell>
          <cell r="AJ903">
            <v>0</v>
          </cell>
          <cell r="AL903">
            <v>0</v>
          </cell>
          <cell r="AM903">
            <v>0</v>
          </cell>
          <cell r="AO903">
            <v>0</v>
          </cell>
          <cell r="AP903">
            <v>0</v>
          </cell>
          <cell r="AR903">
            <v>0</v>
          </cell>
          <cell r="AS903">
            <v>0</v>
          </cell>
          <cell r="BF903" t="str">
            <v>5400</v>
          </cell>
          <cell r="BG903" t="str">
            <v>F012</v>
          </cell>
          <cell r="BH903" t="str">
            <v>GFS</v>
          </cell>
        </row>
        <row r="904">
          <cell r="K904">
            <v>0</v>
          </cell>
          <cell r="L904">
            <v>0</v>
          </cell>
          <cell r="N904">
            <v>0</v>
          </cell>
          <cell r="O904">
            <v>0</v>
          </cell>
          <cell r="Q904">
            <v>0</v>
          </cell>
          <cell r="R904">
            <v>0</v>
          </cell>
          <cell r="T904">
            <v>0</v>
          </cell>
          <cell r="U904">
            <v>0</v>
          </cell>
          <cell r="W904">
            <v>0</v>
          </cell>
          <cell r="X904">
            <v>0</v>
          </cell>
          <cell r="Z904">
            <v>0</v>
          </cell>
          <cell r="AA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I904">
            <v>0</v>
          </cell>
          <cell r="AJ904">
            <v>0</v>
          </cell>
          <cell r="AL904">
            <v>0</v>
          </cell>
          <cell r="AM904">
            <v>0</v>
          </cell>
          <cell r="AO904">
            <v>0</v>
          </cell>
          <cell r="AP904">
            <v>0</v>
          </cell>
          <cell r="AR904">
            <v>0</v>
          </cell>
          <cell r="AS904">
            <v>0</v>
          </cell>
          <cell r="BF904" t="str">
            <v>5400</v>
          </cell>
          <cell r="BG904" t="str">
            <v>F013</v>
          </cell>
          <cell r="BH904" t="str">
            <v>GFS</v>
          </cell>
        </row>
        <row r="905">
          <cell r="K905">
            <v>0</v>
          </cell>
          <cell r="L905">
            <v>0</v>
          </cell>
          <cell r="N905">
            <v>0</v>
          </cell>
          <cell r="O905">
            <v>0</v>
          </cell>
          <cell r="Q905">
            <v>0</v>
          </cell>
          <cell r="R905">
            <v>0</v>
          </cell>
          <cell r="T905">
            <v>0</v>
          </cell>
          <cell r="U905">
            <v>0</v>
          </cell>
          <cell r="W905">
            <v>0</v>
          </cell>
          <cell r="X905">
            <v>0</v>
          </cell>
          <cell r="Z905">
            <v>0</v>
          </cell>
          <cell r="AA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I905">
            <v>0</v>
          </cell>
          <cell r="AJ905">
            <v>0</v>
          </cell>
          <cell r="AL905">
            <v>0</v>
          </cell>
          <cell r="AM905">
            <v>0</v>
          </cell>
          <cell r="AO905">
            <v>0</v>
          </cell>
          <cell r="AP905">
            <v>0</v>
          </cell>
          <cell r="AR905">
            <v>0</v>
          </cell>
          <cell r="AS905">
            <v>0</v>
          </cell>
          <cell r="BF905" t="str">
            <v>5400</v>
          </cell>
          <cell r="BG905" t="str">
            <v>F014</v>
          </cell>
          <cell r="BH905" t="str">
            <v>GFS</v>
          </cell>
        </row>
        <row r="906">
          <cell r="K906">
            <v>0</v>
          </cell>
          <cell r="L906">
            <v>0</v>
          </cell>
          <cell r="N906">
            <v>0</v>
          </cell>
          <cell r="O906">
            <v>0</v>
          </cell>
          <cell r="Q906">
            <v>0</v>
          </cell>
          <cell r="R906">
            <v>0</v>
          </cell>
          <cell r="T906">
            <v>0</v>
          </cell>
          <cell r="U906">
            <v>0</v>
          </cell>
          <cell r="W906">
            <v>0</v>
          </cell>
          <cell r="X906">
            <v>0</v>
          </cell>
          <cell r="Z906">
            <v>0</v>
          </cell>
          <cell r="AA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I906">
            <v>47038.91</v>
          </cell>
          <cell r="AJ906">
            <v>0</v>
          </cell>
          <cell r="AL906">
            <v>-4206.6399999999994</v>
          </cell>
          <cell r="AM906">
            <v>0</v>
          </cell>
          <cell r="AO906">
            <v>-3232.1299999999974</v>
          </cell>
          <cell r="AP906">
            <v>0</v>
          </cell>
          <cell r="AR906">
            <v>-4592.4899999999834</v>
          </cell>
          <cell r="AS906">
            <v>0</v>
          </cell>
          <cell r="BF906" t="str">
            <v>5400</v>
          </cell>
          <cell r="BG906" t="str">
            <v>F015</v>
          </cell>
          <cell r="BH906" t="str">
            <v>GFS</v>
          </cell>
        </row>
        <row r="907">
          <cell r="K907">
            <v>305971.44</v>
          </cell>
          <cell r="L907">
            <v>0</v>
          </cell>
          <cell r="N907">
            <v>101039.91999999998</v>
          </cell>
          <cell r="O907">
            <v>0</v>
          </cell>
          <cell r="Q907">
            <v>206843.69000000018</v>
          </cell>
          <cell r="R907">
            <v>0</v>
          </cell>
          <cell r="T907">
            <v>-219260.66000000003</v>
          </cell>
          <cell r="U907">
            <v>0</v>
          </cell>
          <cell r="W907">
            <v>-399864.33000000019</v>
          </cell>
          <cell r="X907">
            <v>0</v>
          </cell>
          <cell r="Z907">
            <v>-100000</v>
          </cell>
          <cell r="AA907">
            <v>0</v>
          </cell>
          <cell r="AC907">
            <v>-100000.00000000023</v>
          </cell>
          <cell r="AD907">
            <v>0</v>
          </cell>
          <cell r="AF907">
            <v>-151047.94999999995</v>
          </cell>
          <cell r="AG907">
            <v>0</v>
          </cell>
          <cell r="AI907">
            <v>-3821.9199999999255</v>
          </cell>
          <cell r="AJ907">
            <v>0</v>
          </cell>
          <cell r="AL907">
            <v>344883.99</v>
          </cell>
          <cell r="AM907">
            <v>0</v>
          </cell>
          <cell r="AO907">
            <v>-195039.72999999998</v>
          </cell>
          <cell r="AP907">
            <v>0</v>
          </cell>
          <cell r="AR907">
            <v>-304750</v>
          </cell>
          <cell r="AS907">
            <v>0</v>
          </cell>
          <cell r="BF907" t="str">
            <v>5400</v>
          </cell>
          <cell r="BG907" t="str">
            <v>F016</v>
          </cell>
          <cell r="BH907" t="str">
            <v>GFS</v>
          </cell>
        </row>
        <row r="908">
          <cell r="K908">
            <v>0</v>
          </cell>
          <cell r="L908">
            <v>0</v>
          </cell>
          <cell r="N908">
            <v>0</v>
          </cell>
          <cell r="O908">
            <v>0</v>
          </cell>
          <cell r="Q908">
            <v>0</v>
          </cell>
          <cell r="R908">
            <v>0</v>
          </cell>
          <cell r="T908">
            <v>0</v>
          </cell>
          <cell r="U908">
            <v>0</v>
          </cell>
          <cell r="W908">
            <v>0</v>
          </cell>
          <cell r="X908">
            <v>0</v>
          </cell>
          <cell r="Z908">
            <v>0</v>
          </cell>
          <cell r="AA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I908">
            <v>0</v>
          </cell>
          <cell r="AJ908">
            <v>0</v>
          </cell>
          <cell r="AL908">
            <v>0</v>
          </cell>
          <cell r="AM908">
            <v>0</v>
          </cell>
          <cell r="AO908">
            <v>0</v>
          </cell>
          <cell r="AP908">
            <v>0</v>
          </cell>
          <cell r="AR908">
            <v>0</v>
          </cell>
          <cell r="AS908">
            <v>0</v>
          </cell>
          <cell r="BF908" t="str">
            <v>5400</v>
          </cell>
          <cell r="BG908" t="str">
            <v>F017</v>
          </cell>
          <cell r="BH908" t="str">
            <v>GFS</v>
          </cell>
        </row>
        <row r="909">
          <cell r="K909">
            <v>0</v>
          </cell>
          <cell r="L909">
            <v>0</v>
          </cell>
          <cell r="N909">
            <v>0</v>
          </cell>
          <cell r="O909">
            <v>0</v>
          </cell>
          <cell r="Q909">
            <v>0</v>
          </cell>
          <cell r="R909">
            <v>0</v>
          </cell>
          <cell r="T909">
            <v>0</v>
          </cell>
          <cell r="U909">
            <v>0</v>
          </cell>
          <cell r="W909">
            <v>0</v>
          </cell>
          <cell r="X909">
            <v>0</v>
          </cell>
          <cell r="Z909">
            <v>0</v>
          </cell>
          <cell r="AA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I909">
            <v>0</v>
          </cell>
          <cell r="AJ909">
            <v>0</v>
          </cell>
          <cell r="AL909">
            <v>0</v>
          </cell>
          <cell r="AM909">
            <v>0</v>
          </cell>
          <cell r="AO909">
            <v>0</v>
          </cell>
          <cell r="AP909">
            <v>0</v>
          </cell>
          <cell r="AR909">
            <v>0</v>
          </cell>
          <cell r="AS909">
            <v>0</v>
          </cell>
          <cell r="BF909" t="str">
            <v>5400</v>
          </cell>
          <cell r="BG909" t="str">
            <v>F018</v>
          </cell>
          <cell r="BH909" t="str">
            <v>GFS</v>
          </cell>
        </row>
        <row r="910">
          <cell r="K910">
            <v>0</v>
          </cell>
          <cell r="L910">
            <v>0</v>
          </cell>
          <cell r="N910">
            <v>0</v>
          </cell>
          <cell r="O910">
            <v>0</v>
          </cell>
          <cell r="Q910">
            <v>0</v>
          </cell>
          <cell r="R910">
            <v>0</v>
          </cell>
          <cell r="T910">
            <v>0</v>
          </cell>
          <cell r="U910">
            <v>0</v>
          </cell>
          <cell r="W910">
            <v>0</v>
          </cell>
          <cell r="X910">
            <v>0</v>
          </cell>
          <cell r="Z910">
            <v>0</v>
          </cell>
          <cell r="AA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I910">
            <v>0</v>
          </cell>
          <cell r="AJ910">
            <v>0</v>
          </cell>
          <cell r="AL910">
            <v>0</v>
          </cell>
          <cell r="AM910">
            <v>0</v>
          </cell>
          <cell r="AO910">
            <v>0</v>
          </cell>
          <cell r="AP910">
            <v>0</v>
          </cell>
          <cell r="AR910">
            <v>0</v>
          </cell>
          <cell r="AS910">
            <v>0</v>
          </cell>
          <cell r="BF910" t="str">
            <v>5400</v>
          </cell>
          <cell r="BG910" t="str">
            <v>F019</v>
          </cell>
          <cell r="BH910" t="str">
            <v>GFS</v>
          </cell>
        </row>
        <row r="911">
          <cell r="K911">
            <v>0</v>
          </cell>
          <cell r="L911">
            <v>0</v>
          </cell>
          <cell r="N911">
            <v>0</v>
          </cell>
          <cell r="O911">
            <v>0</v>
          </cell>
          <cell r="Q911">
            <v>0</v>
          </cell>
          <cell r="R911">
            <v>0</v>
          </cell>
          <cell r="T911">
            <v>0</v>
          </cell>
          <cell r="U911">
            <v>0</v>
          </cell>
          <cell r="W911">
            <v>0</v>
          </cell>
          <cell r="X911">
            <v>0</v>
          </cell>
          <cell r="Z911">
            <v>0</v>
          </cell>
          <cell r="AA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I911">
            <v>0</v>
          </cell>
          <cell r="AJ911">
            <v>0</v>
          </cell>
          <cell r="AL911">
            <v>0</v>
          </cell>
          <cell r="AM911">
            <v>0</v>
          </cell>
          <cell r="AO911">
            <v>0</v>
          </cell>
          <cell r="AP911">
            <v>0</v>
          </cell>
          <cell r="AR911">
            <v>0</v>
          </cell>
          <cell r="AS911">
            <v>0</v>
          </cell>
          <cell r="BF911" t="str">
            <v>5400</v>
          </cell>
          <cell r="BG911" t="str">
            <v>F020</v>
          </cell>
          <cell r="BH911" t="str">
            <v>GFS</v>
          </cell>
        </row>
        <row r="912">
          <cell r="K912">
            <v>0</v>
          </cell>
          <cell r="L912">
            <v>0</v>
          </cell>
          <cell r="N912">
            <v>0</v>
          </cell>
          <cell r="O912">
            <v>0</v>
          </cell>
          <cell r="Q912">
            <v>316796.07999999996</v>
          </cell>
          <cell r="R912">
            <v>0</v>
          </cell>
          <cell r="T912">
            <v>1190771.5</v>
          </cell>
          <cell r="U912">
            <v>0</v>
          </cell>
          <cell r="W912">
            <v>179926.67000000016</v>
          </cell>
          <cell r="X912">
            <v>0</v>
          </cell>
          <cell r="Z912">
            <v>63194.15000000014</v>
          </cell>
          <cell r="AA912">
            <v>0</v>
          </cell>
          <cell r="AC912">
            <v>-752.72000000020489</v>
          </cell>
          <cell r="AD912">
            <v>0</v>
          </cell>
          <cell r="AF912">
            <v>-530.28999999980442</v>
          </cell>
          <cell r="AG912">
            <v>0</v>
          </cell>
          <cell r="AI912">
            <v>-87635.550000000047</v>
          </cell>
          <cell r="AJ912">
            <v>0</v>
          </cell>
          <cell r="AL912">
            <v>641850.7799999998</v>
          </cell>
          <cell r="AM912">
            <v>0</v>
          </cell>
          <cell r="AO912">
            <v>952896.72000000114</v>
          </cell>
          <cell r="AP912">
            <v>0</v>
          </cell>
          <cell r="AR912">
            <v>1131851.8699999996</v>
          </cell>
          <cell r="AS912">
            <v>0</v>
          </cell>
          <cell r="BF912" t="str">
            <v>5400</v>
          </cell>
          <cell r="BG912" t="str">
            <v>F022</v>
          </cell>
          <cell r="BH912" t="str">
            <v>GFS</v>
          </cell>
        </row>
        <row r="913">
          <cell r="K913">
            <v>0</v>
          </cell>
          <cell r="L913">
            <v>0</v>
          </cell>
          <cell r="N913">
            <v>0</v>
          </cell>
          <cell r="O913">
            <v>0</v>
          </cell>
          <cell r="Q913">
            <v>0</v>
          </cell>
          <cell r="R913">
            <v>0</v>
          </cell>
          <cell r="T913">
            <v>0</v>
          </cell>
          <cell r="U913">
            <v>0</v>
          </cell>
          <cell r="W913">
            <v>0</v>
          </cell>
          <cell r="X913">
            <v>0</v>
          </cell>
          <cell r="Z913">
            <v>0</v>
          </cell>
          <cell r="AA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I913">
            <v>0</v>
          </cell>
          <cell r="AJ913">
            <v>0</v>
          </cell>
          <cell r="AL913">
            <v>0</v>
          </cell>
          <cell r="AM913">
            <v>0</v>
          </cell>
          <cell r="AO913">
            <v>0</v>
          </cell>
          <cell r="AP913">
            <v>0</v>
          </cell>
          <cell r="AR913">
            <v>0</v>
          </cell>
          <cell r="AS913">
            <v>0</v>
          </cell>
          <cell r="BF913" t="str">
            <v>5500</v>
          </cell>
          <cell r="BG913" t="str">
            <v>G001</v>
          </cell>
          <cell r="BH913" t="str">
            <v>GFS</v>
          </cell>
        </row>
        <row r="914">
          <cell r="K914">
            <v>1358.3700000001118</v>
          </cell>
          <cell r="L914">
            <v>0</v>
          </cell>
          <cell r="N914">
            <v>201505.08999999985</v>
          </cell>
          <cell r="O914">
            <v>0</v>
          </cell>
          <cell r="Q914">
            <v>62024.229999999981</v>
          </cell>
          <cell r="R914">
            <v>0</v>
          </cell>
          <cell r="T914">
            <v>-638591.05528700002</v>
          </cell>
          <cell r="U914">
            <v>0</v>
          </cell>
          <cell r="W914">
            <v>-12867.040000000037</v>
          </cell>
          <cell r="X914">
            <v>0</v>
          </cell>
          <cell r="Z914">
            <v>7567.2800000000279</v>
          </cell>
          <cell r="AA914">
            <v>0</v>
          </cell>
          <cell r="AC914">
            <v>414136.55000000028</v>
          </cell>
          <cell r="AD914">
            <v>0</v>
          </cell>
          <cell r="AF914">
            <v>805544.23</v>
          </cell>
          <cell r="AG914">
            <v>0</v>
          </cell>
          <cell r="AI914">
            <v>4214.3700000001118</v>
          </cell>
          <cell r="AJ914">
            <v>0</v>
          </cell>
          <cell r="AL914">
            <v>-285532.93000000017</v>
          </cell>
          <cell r="AM914">
            <v>0</v>
          </cell>
          <cell r="AO914">
            <v>-562305.73</v>
          </cell>
          <cell r="AP914">
            <v>0</v>
          </cell>
          <cell r="AR914">
            <v>-448941.70999999996</v>
          </cell>
          <cell r="AS914">
            <v>0</v>
          </cell>
          <cell r="BF914" t="str">
            <v>5500</v>
          </cell>
          <cell r="BG914" t="str">
            <v>G002</v>
          </cell>
          <cell r="BH914" t="str">
            <v>GFS</v>
          </cell>
        </row>
        <row r="915">
          <cell r="K915">
            <v>0</v>
          </cell>
          <cell r="L915">
            <v>0</v>
          </cell>
          <cell r="N915">
            <v>0</v>
          </cell>
          <cell r="O915">
            <v>0</v>
          </cell>
          <cell r="Q915">
            <v>0</v>
          </cell>
          <cell r="R915">
            <v>0</v>
          </cell>
          <cell r="T915">
            <v>0</v>
          </cell>
          <cell r="U915">
            <v>0</v>
          </cell>
          <cell r="W915">
            <v>0</v>
          </cell>
          <cell r="X915">
            <v>0</v>
          </cell>
          <cell r="Z915">
            <v>0</v>
          </cell>
          <cell r="AA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I915">
            <v>0</v>
          </cell>
          <cell r="AJ915">
            <v>0</v>
          </cell>
          <cell r="AL915">
            <v>0</v>
          </cell>
          <cell r="AM915">
            <v>0</v>
          </cell>
          <cell r="AO915">
            <v>0</v>
          </cell>
          <cell r="AP915">
            <v>0</v>
          </cell>
          <cell r="AR915">
            <v>0</v>
          </cell>
          <cell r="AS915">
            <v>0</v>
          </cell>
          <cell r="BF915" t="str">
            <v>5500</v>
          </cell>
          <cell r="BG915" t="str">
            <v>G003</v>
          </cell>
          <cell r="BH915" t="str">
            <v>GFS</v>
          </cell>
        </row>
        <row r="916">
          <cell r="K916">
            <v>0</v>
          </cell>
          <cell r="L916">
            <v>0</v>
          </cell>
          <cell r="N916">
            <v>0</v>
          </cell>
          <cell r="O916">
            <v>0</v>
          </cell>
          <cell r="Q916">
            <v>0</v>
          </cell>
          <cell r="R916">
            <v>0</v>
          </cell>
          <cell r="T916">
            <v>0</v>
          </cell>
          <cell r="U916">
            <v>0</v>
          </cell>
          <cell r="W916">
            <v>0</v>
          </cell>
          <cell r="X916">
            <v>0</v>
          </cell>
          <cell r="Z916">
            <v>0</v>
          </cell>
          <cell r="AA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I916">
            <v>0</v>
          </cell>
          <cell r="AJ916">
            <v>0</v>
          </cell>
          <cell r="AL916">
            <v>0</v>
          </cell>
          <cell r="AM916">
            <v>0</v>
          </cell>
          <cell r="AO916">
            <v>0</v>
          </cell>
          <cell r="AP916">
            <v>0</v>
          </cell>
          <cell r="AR916">
            <v>0</v>
          </cell>
          <cell r="AS916">
            <v>0</v>
          </cell>
          <cell r="BF916" t="str">
            <v>5500</v>
          </cell>
          <cell r="BG916" t="str">
            <v>G004</v>
          </cell>
          <cell r="BH916" t="str">
            <v>GFS</v>
          </cell>
        </row>
        <row r="917">
          <cell r="K917">
            <v>0</v>
          </cell>
          <cell r="L917">
            <v>0</v>
          </cell>
          <cell r="N917">
            <v>0</v>
          </cell>
          <cell r="O917">
            <v>0</v>
          </cell>
          <cell r="Q917">
            <v>0</v>
          </cell>
          <cell r="R917">
            <v>0</v>
          </cell>
          <cell r="T917">
            <v>0</v>
          </cell>
          <cell r="U917">
            <v>0</v>
          </cell>
          <cell r="W917">
            <v>0</v>
          </cell>
          <cell r="X917">
            <v>0</v>
          </cell>
          <cell r="Z917">
            <v>0</v>
          </cell>
          <cell r="AA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I917">
            <v>0</v>
          </cell>
          <cell r="AJ917">
            <v>0</v>
          </cell>
          <cell r="AL917">
            <v>0</v>
          </cell>
          <cell r="AM917">
            <v>0</v>
          </cell>
          <cell r="AO917">
            <v>0</v>
          </cell>
          <cell r="AP917">
            <v>0</v>
          </cell>
          <cell r="AR917">
            <v>0</v>
          </cell>
          <cell r="AS917">
            <v>0</v>
          </cell>
          <cell r="BF917" t="str">
            <v>5500</v>
          </cell>
          <cell r="BG917" t="str">
            <v>G005</v>
          </cell>
          <cell r="BH917" t="str">
            <v>GFS</v>
          </cell>
        </row>
        <row r="918">
          <cell r="K918">
            <v>0</v>
          </cell>
          <cell r="L918">
            <v>0</v>
          </cell>
          <cell r="N918">
            <v>0</v>
          </cell>
          <cell r="O918">
            <v>0</v>
          </cell>
          <cell r="Q918">
            <v>0</v>
          </cell>
          <cell r="R918">
            <v>0</v>
          </cell>
          <cell r="T918">
            <v>0</v>
          </cell>
          <cell r="U918">
            <v>0</v>
          </cell>
          <cell r="W918">
            <v>0</v>
          </cell>
          <cell r="X918">
            <v>0</v>
          </cell>
          <cell r="Z918">
            <v>0</v>
          </cell>
          <cell r="AA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I918">
            <v>0</v>
          </cell>
          <cell r="AJ918">
            <v>0</v>
          </cell>
          <cell r="AL918">
            <v>0</v>
          </cell>
          <cell r="AM918">
            <v>0</v>
          </cell>
          <cell r="AO918">
            <v>0</v>
          </cell>
          <cell r="AP918">
            <v>0</v>
          </cell>
          <cell r="AR918">
            <v>0</v>
          </cell>
          <cell r="AS918">
            <v>0</v>
          </cell>
          <cell r="BF918" t="str">
            <v>5500</v>
          </cell>
          <cell r="BG918" t="str">
            <v>G006</v>
          </cell>
          <cell r="BH918" t="str">
            <v>GFS</v>
          </cell>
        </row>
        <row r="919">
          <cell r="K919">
            <v>0</v>
          </cell>
          <cell r="L919">
            <v>0</v>
          </cell>
          <cell r="N919">
            <v>0</v>
          </cell>
          <cell r="O919">
            <v>0</v>
          </cell>
          <cell r="Q919">
            <v>0</v>
          </cell>
          <cell r="R919">
            <v>0</v>
          </cell>
          <cell r="T919">
            <v>0</v>
          </cell>
          <cell r="U919">
            <v>0</v>
          </cell>
          <cell r="W919">
            <v>0</v>
          </cell>
          <cell r="X919">
            <v>0</v>
          </cell>
          <cell r="Z919">
            <v>0</v>
          </cell>
          <cell r="AA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I919">
            <v>0</v>
          </cell>
          <cell r="AJ919">
            <v>0</v>
          </cell>
          <cell r="AL919">
            <v>0</v>
          </cell>
          <cell r="AM919">
            <v>0</v>
          </cell>
          <cell r="AO919">
            <v>0</v>
          </cell>
          <cell r="AP919">
            <v>0</v>
          </cell>
          <cell r="AR919">
            <v>0</v>
          </cell>
          <cell r="AS919">
            <v>0</v>
          </cell>
          <cell r="BF919" t="str">
            <v>5500</v>
          </cell>
          <cell r="BG919" t="str">
            <v>G007</v>
          </cell>
          <cell r="BH919" t="str">
            <v>GFS</v>
          </cell>
        </row>
        <row r="920">
          <cell r="K920">
            <v>0</v>
          </cell>
          <cell r="L920">
            <v>0</v>
          </cell>
          <cell r="N920">
            <v>0</v>
          </cell>
          <cell r="O920">
            <v>0</v>
          </cell>
          <cell r="Q920">
            <v>0</v>
          </cell>
          <cell r="R920">
            <v>0</v>
          </cell>
          <cell r="T920">
            <v>0</v>
          </cell>
          <cell r="U920">
            <v>0</v>
          </cell>
          <cell r="W920">
            <v>0</v>
          </cell>
          <cell r="X920">
            <v>0</v>
          </cell>
          <cell r="Z920">
            <v>0</v>
          </cell>
          <cell r="AA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I920">
            <v>0</v>
          </cell>
          <cell r="AJ920">
            <v>0</v>
          </cell>
          <cell r="AL920">
            <v>0</v>
          </cell>
          <cell r="AM920">
            <v>0</v>
          </cell>
          <cell r="AO920">
            <v>0</v>
          </cell>
          <cell r="AP920">
            <v>0</v>
          </cell>
          <cell r="AR920">
            <v>0</v>
          </cell>
          <cell r="AS920">
            <v>0</v>
          </cell>
          <cell r="BF920" t="str">
            <v>5500</v>
          </cell>
          <cell r="BG920" t="str">
            <v>G008</v>
          </cell>
          <cell r="BH920" t="str">
            <v>GFS</v>
          </cell>
        </row>
        <row r="921">
          <cell r="K921">
            <v>0</v>
          </cell>
          <cell r="L921">
            <v>0</v>
          </cell>
          <cell r="N921">
            <v>0</v>
          </cell>
          <cell r="O921">
            <v>0</v>
          </cell>
          <cell r="Q921">
            <v>0</v>
          </cell>
          <cell r="R921">
            <v>0</v>
          </cell>
          <cell r="T921">
            <v>0</v>
          </cell>
          <cell r="U921">
            <v>0</v>
          </cell>
          <cell r="W921">
            <v>0</v>
          </cell>
          <cell r="X921">
            <v>0</v>
          </cell>
          <cell r="Z921">
            <v>0</v>
          </cell>
          <cell r="AA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I921">
            <v>0</v>
          </cell>
          <cell r="AJ921">
            <v>0</v>
          </cell>
          <cell r="AL921">
            <v>0</v>
          </cell>
          <cell r="AM921">
            <v>0</v>
          </cell>
          <cell r="AO921">
            <v>0</v>
          </cell>
          <cell r="AP921">
            <v>0</v>
          </cell>
          <cell r="AR921">
            <v>0</v>
          </cell>
          <cell r="AS921">
            <v>0</v>
          </cell>
          <cell r="BF921" t="str">
            <v>5500</v>
          </cell>
          <cell r="BG921" t="str">
            <v>G009</v>
          </cell>
          <cell r="BH921" t="str">
            <v>GFS</v>
          </cell>
        </row>
        <row r="922">
          <cell r="K922">
            <v>4.6100000000005821</v>
          </cell>
          <cell r="L922">
            <v>0</v>
          </cell>
          <cell r="N922">
            <v>-41.040000000000873</v>
          </cell>
          <cell r="O922">
            <v>0</v>
          </cell>
          <cell r="Q922">
            <v>-973.20000000000073</v>
          </cell>
          <cell r="R922">
            <v>0</v>
          </cell>
          <cell r="T922">
            <v>0</v>
          </cell>
          <cell r="U922">
            <v>0</v>
          </cell>
          <cell r="W922">
            <v>0</v>
          </cell>
          <cell r="X922">
            <v>0</v>
          </cell>
          <cell r="Z922">
            <v>0</v>
          </cell>
          <cell r="AA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I922">
            <v>0</v>
          </cell>
          <cell r="AJ922">
            <v>0</v>
          </cell>
          <cell r="AL922">
            <v>0</v>
          </cell>
          <cell r="AM922">
            <v>0</v>
          </cell>
          <cell r="AO922">
            <v>0</v>
          </cell>
          <cell r="AP922">
            <v>0</v>
          </cell>
          <cell r="AR922">
            <v>0</v>
          </cell>
          <cell r="AS922">
            <v>0</v>
          </cell>
          <cell r="BF922" t="str">
            <v>5500</v>
          </cell>
          <cell r="BG922" t="str">
            <v>G010</v>
          </cell>
          <cell r="BH922" t="str">
            <v>GFS</v>
          </cell>
        </row>
        <row r="923">
          <cell r="K923">
            <v>0</v>
          </cell>
          <cell r="L923">
            <v>0</v>
          </cell>
          <cell r="N923">
            <v>0</v>
          </cell>
          <cell r="O923">
            <v>0</v>
          </cell>
          <cell r="Q923">
            <v>0</v>
          </cell>
          <cell r="R923">
            <v>0</v>
          </cell>
          <cell r="T923">
            <v>0</v>
          </cell>
          <cell r="U923">
            <v>0</v>
          </cell>
          <cell r="W923">
            <v>0</v>
          </cell>
          <cell r="X923">
            <v>0</v>
          </cell>
          <cell r="Z923">
            <v>0</v>
          </cell>
          <cell r="AA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I923">
            <v>0</v>
          </cell>
          <cell r="AJ923">
            <v>0</v>
          </cell>
          <cell r="AL923">
            <v>0</v>
          </cell>
          <cell r="AM923">
            <v>0</v>
          </cell>
          <cell r="AO923">
            <v>0</v>
          </cell>
          <cell r="AP923">
            <v>0</v>
          </cell>
          <cell r="AR923">
            <v>0</v>
          </cell>
          <cell r="AS923">
            <v>0</v>
          </cell>
          <cell r="BF923" t="str">
            <v>5500</v>
          </cell>
          <cell r="BG923" t="str">
            <v>G011</v>
          </cell>
          <cell r="BH923" t="str">
            <v>GFS</v>
          </cell>
        </row>
        <row r="924">
          <cell r="K924">
            <v>0</v>
          </cell>
          <cell r="L924">
            <v>0</v>
          </cell>
          <cell r="N924">
            <v>0</v>
          </cell>
          <cell r="O924">
            <v>0</v>
          </cell>
          <cell r="Q924">
            <v>0</v>
          </cell>
          <cell r="R924">
            <v>0</v>
          </cell>
          <cell r="T924">
            <v>0</v>
          </cell>
          <cell r="U924">
            <v>0</v>
          </cell>
          <cell r="W924">
            <v>0</v>
          </cell>
          <cell r="X924">
            <v>0</v>
          </cell>
          <cell r="Z924">
            <v>0</v>
          </cell>
          <cell r="AA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I924">
            <v>0</v>
          </cell>
          <cell r="AJ924">
            <v>0</v>
          </cell>
          <cell r="AL924">
            <v>0</v>
          </cell>
          <cell r="AM924">
            <v>0</v>
          </cell>
          <cell r="AO924">
            <v>0</v>
          </cell>
          <cell r="AP924">
            <v>0</v>
          </cell>
          <cell r="AR924">
            <v>0</v>
          </cell>
          <cell r="AS924">
            <v>0</v>
          </cell>
          <cell r="BF924" t="str">
            <v>5500</v>
          </cell>
          <cell r="BG924" t="str">
            <v>G012</v>
          </cell>
          <cell r="BH924" t="str">
            <v>GFS</v>
          </cell>
        </row>
        <row r="925">
          <cell r="K925">
            <v>0</v>
          </cell>
          <cell r="L925">
            <v>0</v>
          </cell>
          <cell r="N925">
            <v>0</v>
          </cell>
          <cell r="O925">
            <v>0</v>
          </cell>
          <cell r="Q925">
            <v>0</v>
          </cell>
          <cell r="R925">
            <v>0</v>
          </cell>
          <cell r="T925">
            <v>0</v>
          </cell>
          <cell r="U925">
            <v>0</v>
          </cell>
          <cell r="W925">
            <v>0</v>
          </cell>
          <cell r="X925">
            <v>0</v>
          </cell>
          <cell r="Z925">
            <v>0</v>
          </cell>
          <cell r="AA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I925">
            <v>0</v>
          </cell>
          <cell r="AJ925">
            <v>0</v>
          </cell>
          <cell r="AL925">
            <v>0</v>
          </cell>
          <cell r="AM925">
            <v>0</v>
          </cell>
          <cell r="AO925">
            <v>0</v>
          </cell>
          <cell r="AP925">
            <v>0</v>
          </cell>
          <cell r="AR925">
            <v>0</v>
          </cell>
          <cell r="AS925">
            <v>0</v>
          </cell>
          <cell r="BF925" t="str">
            <v>5600</v>
          </cell>
          <cell r="BG925" t="str">
            <v>H001</v>
          </cell>
          <cell r="BH925" t="str">
            <v>GFS</v>
          </cell>
        </row>
        <row r="926">
          <cell r="K926">
            <v>0</v>
          </cell>
          <cell r="L926">
            <v>0</v>
          </cell>
          <cell r="N926">
            <v>0</v>
          </cell>
          <cell r="O926">
            <v>0</v>
          </cell>
          <cell r="Q926">
            <v>0</v>
          </cell>
          <cell r="R926">
            <v>0</v>
          </cell>
          <cell r="T926">
            <v>0</v>
          </cell>
          <cell r="U926">
            <v>0</v>
          </cell>
          <cell r="W926">
            <v>0</v>
          </cell>
          <cell r="X926">
            <v>0</v>
          </cell>
          <cell r="Z926">
            <v>0</v>
          </cell>
          <cell r="AA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I926">
            <v>0</v>
          </cell>
          <cell r="AJ926">
            <v>0</v>
          </cell>
          <cell r="AL926">
            <v>0</v>
          </cell>
          <cell r="AM926">
            <v>0</v>
          </cell>
          <cell r="AO926">
            <v>0</v>
          </cell>
          <cell r="AP926">
            <v>0</v>
          </cell>
          <cell r="AR926">
            <v>0</v>
          </cell>
          <cell r="AS926">
            <v>0</v>
          </cell>
          <cell r="BF926" t="str">
            <v>5600</v>
          </cell>
          <cell r="BG926" t="str">
            <v>H002</v>
          </cell>
          <cell r="BH926" t="str">
            <v>GFS</v>
          </cell>
        </row>
        <row r="927">
          <cell r="K927">
            <v>0</v>
          </cell>
          <cell r="L927">
            <v>0</v>
          </cell>
          <cell r="N927">
            <v>0</v>
          </cell>
          <cell r="O927">
            <v>0</v>
          </cell>
          <cell r="Q927">
            <v>0</v>
          </cell>
          <cell r="R927">
            <v>0</v>
          </cell>
          <cell r="T927">
            <v>0</v>
          </cell>
          <cell r="U927">
            <v>0</v>
          </cell>
          <cell r="W927">
            <v>0</v>
          </cell>
          <cell r="X927">
            <v>0</v>
          </cell>
          <cell r="Z927">
            <v>0</v>
          </cell>
          <cell r="AA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I927">
            <v>0</v>
          </cell>
          <cell r="AJ927">
            <v>0</v>
          </cell>
          <cell r="AL927">
            <v>0</v>
          </cell>
          <cell r="AM927">
            <v>0</v>
          </cell>
          <cell r="AO927">
            <v>0</v>
          </cell>
          <cell r="AP927">
            <v>0</v>
          </cell>
          <cell r="AR927">
            <v>0</v>
          </cell>
          <cell r="AS927">
            <v>0</v>
          </cell>
          <cell r="BF927" t="str">
            <v>5600</v>
          </cell>
          <cell r="BG927" t="str">
            <v>H003</v>
          </cell>
          <cell r="BH927" t="str">
            <v>GFS</v>
          </cell>
        </row>
        <row r="928">
          <cell r="K928">
            <v>0</v>
          </cell>
          <cell r="L928">
            <v>0</v>
          </cell>
          <cell r="N928">
            <v>0</v>
          </cell>
          <cell r="O928">
            <v>0</v>
          </cell>
          <cell r="Q928">
            <v>0</v>
          </cell>
          <cell r="R928">
            <v>0</v>
          </cell>
          <cell r="T928">
            <v>0</v>
          </cell>
          <cell r="U928">
            <v>0</v>
          </cell>
          <cell r="W928">
            <v>0</v>
          </cell>
          <cell r="X928">
            <v>0</v>
          </cell>
          <cell r="Z928">
            <v>0</v>
          </cell>
          <cell r="AA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I928">
            <v>0</v>
          </cell>
          <cell r="AJ928">
            <v>0</v>
          </cell>
          <cell r="AL928">
            <v>0</v>
          </cell>
          <cell r="AM928">
            <v>0</v>
          </cell>
          <cell r="AO928">
            <v>0</v>
          </cell>
          <cell r="AP928">
            <v>0</v>
          </cell>
          <cell r="AR928">
            <v>0</v>
          </cell>
          <cell r="AS928">
            <v>0</v>
          </cell>
          <cell r="BF928" t="str">
            <v>5600</v>
          </cell>
          <cell r="BG928" t="str">
            <v>H004</v>
          </cell>
          <cell r="BH928" t="str">
            <v>GFS</v>
          </cell>
        </row>
        <row r="929">
          <cell r="K929">
            <v>0</v>
          </cell>
          <cell r="L929">
            <v>0</v>
          </cell>
          <cell r="N929">
            <v>0</v>
          </cell>
          <cell r="O929">
            <v>0</v>
          </cell>
          <cell r="Q929">
            <v>0</v>
          </cell>
          <cell r="R929">
            <v>0</v>
          </cell>
          <cell r="T929">
            <v>0</v>
          </cell>
          <cell r="U929">
            <v>0</v>
          </cell>
          <cell r="W929">
            <v>0</v>
          </cell>
          <cell r="X929">
            <v>0</v>
          </cell>
          <cell r="Z929">
            <v>0</v>
          </cell>
          <cell r="AA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I929">
            <v>0</v>
          </cell>
          <cell r="AJ929">
            <v>0</v>
          </cell>
          <cell r="AL929">
            <v>0</v>
          </cell>
          <cell r="AM929">
            <v>0</v>
          </cell>
          <cell r="AO929">
            <v>0</v>
          </cell>
          <cell r="AP929">
            <v>0</v>
          </cell>
          <cell r="AR929">
            <v>0</v>
          </cell>
          <cell r="AS929">
            <v>0</v>
          </cell>
          <cell r="BF929" t="str">
            <v>5600</v>
          </cell>
          <cell r="BG929" t="str">
            <v>H005</v>
          </cell>
          <cell r="BH929" t="str">
            <v>GFS</v>
          </cell>
        </row>
        <row r="930">
          <cell r="K930">
            <v>0</v>
          </cell>
          <cell r="L930">
            <v>0</v>
          </cell>
          <cell r="N930">
            <v>0</v>
          </cell>
          <cell r="O930">
            <v>0</v>
          </cell>
          <cell r="Q930">
            <v>0</v>
          </cell>
          <cell r="R930">
            <v>0</v>
          </cell>
          <cell r="T930">
            <v>0</v>
          </cell>
          <cell r="U930">
            <v>0</v>
          </cell>
          <cell r="W930">
            <v>0</v>
          </cell>
          <cell r="X930">
            <v>0</v>
          </cell>
          <cell r="Z930">
            <v>0</v>
          </cell>
          <cell r="AA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I930">
            <v>0</v>
          </cell>
          <cell r="AJ930">
            <v>0</v>
          </cell>
          <cell r="AL930">
            <v>0</v>
          </cell>
          <cell r="AM930">
            <v>0</v>
          </cell>
          <cell r="AO930">
            <v>0</v>
          </cell>
          <cell r="AP930">
            <v>0</v>
          </cell>
          <cell r="AR930">
            <v>0</v>
          </cell>
          <cell r="AS930">
            <v>0</v>
          </cell>
          <cell r="BF930" t="str">
            <v>5600</v>
          </cell>
          <cell r="BG930" t="str">
            <v>H006</v>
          </cell>
          <cell r="BH930" t="str">
            <v>GFS</v>
          </cell>
        </row>
        <row r="931">
          <cell r="K931">
            <v>0</v>
          </cell>
          <cell r="L931">
            <v>0</v>
          </cell>
          <cell r="N931">
            <v>0</v>
          </cell>
          <cell r="O931">
            <v>0</v>
          </cell>
          <cell r="Q931">
            <v>0</v>
          </cell>
          <cell r="R931">
            <v>0</v>
          </cell>
          <cell r="T931">
            <v>0</v>
          </cell>
          <cell r="U931">
            <v>0</v>
          </cell>
          <cell r="W931">
            <v>0</v>
          </cell>
          <cell r="X931">
            <v>0</v>
          </cell>
          <cell r="Z931">
            <v>0</v>
          </cell>
          <cell r="AA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I931">
            <v>0</v>
          </cell>
          <cell r="AJ931">
            <v>0</v>
          </cell>
          <cell r="AL931">
            <v>0</v>
          </cell>
          <cell r="AM931">
            <v>0</v>
          </cell>
          <cell r="AO931">
            <v>0</v>
          </cell>
          <cell r="AP931">
            <v>0</v>
          </cell>
          <cell r="AR931">
            <v>0</v>
          </cell>
          <cell r="AS931">
            <v>0</v>
          </cell>
          <cell r="BF931" t="str">
            <v>5600</v>
          </cell>
          <cell r="BG931" t="str">
            <v>H007</v>
          </cell>
          <cell r="BH931" t="str">
            <v>GFS</v>
          </cell>
        </row>
        <row r="932">
          <cell r="K932">
            <v>0</v>
          </cell>
          <cell r="L932">
            <v>0</v>
          </cell>
          <cell r="N932">
            <v>0</v>
          </cell>
          <cell r="O932">
            <v>0</v>
          </cell>
          <cell r="Q932">
            <v>0</v>
          </cell>
          <cell r="R932">
            <v>0</v>
          </cell>
          <cell r="T932">
            <v>0</v>
          </cell>
          <cell r="U932">
            <v>0</v>
          </cell>
          <cell r="W932">
            <v>0</v>
          </cell>
          <cell r="X932">
            <v>0</v>
          </cell>
          <cell r="Z932">
            <v>0</v>
          </cell>
          <cell r="AA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I932">
            <v>0</v>
          </cell>
          <cell r="AJ932">
            <v>0</v>
          </cell>
          <cell r="AL932">
            <v>0</v>
          </cell>
          <cell r="AM932">
            <v>0</v>
          </cell>
          <cell r="AO932">
            <v>0</v>
          </cell>
          <cell r="AP932">
            <v>0</v>
          </cell>
          <cell r="AR932">
            <v>0</v>
          </cell>
          <cell r="AS932">
            <v>0</v>
          </cell>
          <cell r="BF932" t="str">
            <v>5600</v>
          </cell>
          <cell r="BG932" t="str">
            <v>H008</v>
          </cell>
          <cell r="BH932" t="str">
            <v>GFS</v>
          </cell>
        </row>
        <row r="933">
          <cell r="K933">
            <v>0</v>
          </cell>
          <cell r="L933">
            <v>0</v>
          </cell>
          <cell r="N933">
            <v>0</v>
          </cell>
          <cell r="O933">
            <v>0</v>
          </cell>
          <cell r="Q933">
            <v>0</v>
          </cell>
          <cell r="R933">
            <v>0</v>
          </cell>
          <cell r="T933">
            <v>0</v>
          </cell>
          <cell r="U933">
            <v>0</v>
          </cell>
          <cell r="W933">
            <v>0</v>
          </cell>
          <cell r="X933">
            <v>0</v>
          </cell>
          <cell r="Z933">
            <v>0</v>
          </cell>
          <cell r="AA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I933">
            <v>0</v>
          </cell>
          <cell r="AJ933">
            <v>0</v>
          </cell>
          <cell r="AL933">
            <v>0</v>
          </cell>
          <cell r="AM933">
            <v>0</v>
          </cell>
          <cell r="AO933">
            <v>0</v>
          </cell>
          <cell r="AP933">
            <v>0</v>
          </cell>
          <cell r="AR933">
            <v>0</v>
          </cell>
          <cell r="AS933">
            <v>0</v>
          </cell>
          <cell r="BF933" t="str">
            <v>5700</v>
          </cell>
          <cell r="BG933" t="str">
            <v>I001</v>
          </cell>
          <cell r="BH933" t="str">
            <v>GFS</v>
          </cell>
        </row>
        <row r="934">
          <cell r="K934">
            <v>0</v>
          </cell>
          <cell r="L934">
            <v>0</v>
          </cell>
          <cell r="N934">
            <v>0</v>
          </cell>
          <cell r="O934">
            <v>0</v>
          </cell>
          <cell r="Q934">
            <v>0</v>
          </cell>
          <cell r="R934">
            <v>0</v>
          </cell>
          <cell r="T934">
            <v>0</v>
          </cell>
          <cell r="U934">
            <v>0</v>
          </cell>
          <cell r="W934">
            <v>0</v>
          </cell>
          <cell r="X934">
            <v>0</v>
          </cell>
          <cell r="Z934">
            <v>0</v>
          </cell>
          <cell r="AA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I934">
            <v>0</v>
          </cell>
          <cell r="AJ934">
            <v>0</v>
          </cell>
          <cell r="AL934">
            <v>0</v>
          </cell>
          <cell r="AM934">
            <v>0</v>
          </cell>
          <cell r="AO934">
            <v>0</v>
          </cell>
          <cell r="AP934">
            <v>0</v>
          </cell>
          <cell r="AR934">
            <v>0</v>
          </cell>
          <cell r="AS934">
            <v>0</v>
          </cell>
          <cell r="BF934" t="str">
            <v>5700</v>
          </cell>
          <cell r="BG934" t="str">
            <v>I002</v>
          </cell>
          <cell r="BH934" t="str">
            <v>GFS</v>
          </cell>
        </row>
        <row r="935">
          <cell r="K935">
            <v>0</v>
          </cell>
          <cell r="L935">
            <v>0</v>
          </cell>
          <cell r="N935">
            <v>0</v>
          </cell>
          <cell r="O935">
            <v>0</v>
          </cell>
          <cell r="Q935">
            <v>0</v>
          </cell>
          <cell r="R935">
            <v>0</v>
          </cell>
          <cell r="T935">
            <v>0</v>
          </cell>
          <cell r="U935">
            <v>0</v>
          </cell>
          <cell r="W935">
            <v>0</v>
          </cell>
          <cell r="X935">
            <v>0</v>
          </cell>
          <cell r="Z935">
            <v>0</v>
          </cell>
          <cell r="AA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I935">
            <v>0</v>
          </cell>
          <cell r="AJ935">
            <v>0</v>
          </cell>
          <cell r="AL935">
            <v>0</v>
          </cell>
          <cell r="AM935">
            <v>0</v>
          </cell>
          <cell r="AO935">
            <v>0</v>
          </cell>
          <cell r="AP935">
            <v>0</v>
          </cell>
          <cell r="AR935">
            <v>0</v>
          </cell>
          <cell r="AS935">
            <v>0</v>
          </cell>
          <cell r="BF935" t="str">
            <v>5700</v>
          </cell>
          <cell r="BG935" t="str">
            <v>I003</v>
          </cell>
          <cell r="BH935" t="str">
            <v>GFS</v>
          </cell>
        </row>
        <row r="936">
          <cell r="K936">
            <v>0</v>
          </cell>
          <cell r="L936">
            <v>0</v>
          </cell>
          <cell r="N936">
            <v>0</v>
          </cell>
          <cell r="O936">
            <v>0</v>
          </cell>
          <cell r="Q936">
            <v>0</v>
          </cell>
          <cell r="R936">
            <v>0</v>
          </cell>
          <cell r="T936">
            <v>0</v>
          </cell>
          <cell r="U936">
            <v>0</v>
          </cell>
          <cell r="W936">
            <v>0</v>
          </cell>
          <cell r="X936">
            <v>0</v>
          </cell>
          <cell r="Z936">
            <v>0</v>
          </cell>
          <cell r="AA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I936">
            <v>0</v>
          </cell>
          <cell r="AJ936">
            <v>0</v>
          </cell>
          <cell r="AL936">
            <v>0</v>
          </cell>
          <cell r="AM936">
            <v>0</v>
          </cell>
          <cell r="AO936">
            <v>0</v>
          </cell>
          <cell r="AP936">
            <v>0</v>
          </cell>
          <cell r="AR936">
            <v>0</v>
          </cell>
          <cell r="AS936">
            <v>0</v>
          </cell>
          <cell r="BF936" t="str">
            <v>5700</v>
          </cell>
          <cell r="BG936" t="str">
            <v>I004</v>
          </cell>
          <cell r="BH936" t="str">
            <v>GFS</v>
          </cell>
        </row>
        <row r="937">
          <cell r="K937">
            <v>0</v>
          </cell>
          <cell r="L937">
            <v>0</v>
          </cell>
          <cell r="N937">
            <v>0</v>
          </cell>
          <cell r="O937">
            <v>0</v>
          </cell>
          <cell r="Q937">
            <v>0</v>
          </cell>
          <cell r="R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  <cell r="Z937">
            <v>0</v>
          </cell>
          <cell r="AA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I937">
            <v>0</v>
          </cell>
          <cell r="AJ937">
            <v>0</v>
          </cell>
          <cell r="AL937">
            <v>0</v>
          </cell>
          <cell r="AM937">
            <v>0</v>
          </cell>
          <cell r="AO937">
            <v>0</v>
          </cell>
          <cell r="AP937">
            <v>0</v>
          </cell>
          <cell r="AR937">
            <v>0</v>
          </cell>
          <cell r="AS937">
            <v>0</v>
          </cell>
          <cell r="BF937" t="str">
            <v>5700</v>
          </cell>
          <cell r="BG937" t="str">
            <v>I005</v>
          </cell>
          <cell r="BH937" t="str">
            <v>GFS</v>
          </cell>
        </row>
        <row r="938">
          <cell r="K938">
            <v>0</v>
          </cell>
          <cell r="L938">
            <v>0</v>
          </cell>
          <cell r="N938">
            <v>0</v>
          </cell>
          <cell r="O938">
            <v>0</v>
          </cell>
          <cell r="Q938">
            <v>0</v>
          </cell>
          <cell r="R938">
            <v>0</v>
          </cell>
          <cell r="T938">
            <v>0</v>
          </cell>
          <cell r="U938">
            <v>0</v>
          </cell>
          <cell r="W938">
            <v>0</v>
          </cell>
          <cell r="X938">
            <v>0</v>
          </cell>
          <cell r="Z938">
            <v>0</v>
          </cell>
          <cell r="AA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I938">
            <v>0</v>
          </cell>
          <cell r="AJ938">
            <v>0</v>
          </cell>
          <cell r="AL938">
            <v>0</v>
          </cell>
          <cell r="AM938">
            <v>0</v>
          </cell>
          <cell r="AO938">
            <v>0</v>
          </cell>
          <cell r="AP938">
            <v>0</v>
          </cell>
          <cell r="AR938">
            <v>0</v>
          </cell>
          <cell r="AS938">
            <v>0</v>
          </cell>
          <cell r="BF938" t="str">
            <v>5700</v>
          </cell>
          <cell r="BG938" t="str">
            <v>I006</v>
          </cell>
          <cell r="BH938" t="str">
            <v>GFS</v>
          </cell>
        </row>
        <row r="939">
          <cell r="K939">
            <v>0</v>
          </cell>
          <cell r="L939">
            <v>0</v>
          </cell>
          <cell r="N939">
            <v>0</v>
          </cell>
          <cell r="O939">
            <v>0</v>
          </cell>
          <cell r="Q939">
            <v>0</v>
          </cell>
          <cell r="R939">
            <v>0</v>
          </cell>
          <cell r="T939">
            <v>0</v>
          </cell>
          <cell r="U939">
            <v>0</v>
          </cell>
          <cell r="W939">
            <v>0</v>
          </cell>
          <cell r="X939">
            <v>0</v>
          </cell>
          <cell r="Z939">
            <v>0</v>
          </cell>
          <cell r="AA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I939">
            <v>0</v>
          </cell>
          <cell r="AJ939">
            <v>0</v>
          </cell>
          <cell r="AL939">
            <v>0</v>
          </cell>
          <cell r="AM939">
            <v>0</v>
          </cell>
          <cell r="AO939">
            <v>0</v>
          </cell>
          <cell r="AP939">
            <v>0</v>
          </cell>
          <cell r="AR939">
            <v>0</v>
          </cell>
          <cell r="AS939">
            <v>0</v>
          </cell>
          <cell r="BF939" t="str">
            <v>5700</v>
          </cell>
          <cell r="BG939" t="str">
            <v>I007</v>
          </cell>
          <cell r="BH939" t="str">
            <v>GFS</v>
          </cell>
        </row>
        <row r="940">
          <cell r="K940">
            <v>0</v>
          </cell>
          <cell r="L940">
            <v>0</v>
          </cell>
          <cell r="N940">
            <v>0</v>
          </cell>
          <cell r="O940">
            <v>0</v>
          </cell>
          <cell r="Q940">
            <v>0</v>
          </cell>
          <cell r="R940">
            <v>0</v>
          </cell>
          <cell r="T940">
            <v>0</v>
          </cell>
          <cell r="U940">
            <v>0</v>
          </cell>
          <cell r="W940">
            <v>0</v>
          </cell>
          <cell r="X940">
            <v>0</v>
          </cell>
          <cell r="Z940">
            <v>0</v>
          </cell>
          <cell r="AA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I940">
            <v>0</v>
          </cell>
          <cell r="AJ940">
            <v>0</v>
          </cell>
          <cell r="AL940">
            <v>0</v>
          </cell>
          <cell r="AM940">
            <v>0</v>
          </cell>
          <cell r="AO940">
            <v>0</v>
          </cell>
          <cell r="AP940">
            <v>0</v>
          </cell>
          <cell r="AR940">
            <v>0</v>
          </cell>
          <cell r="AS940">
            <v>0</v>
          </cell>
          <cell r="BF940" t="str">
            <v>5700</v>
          </cell>
          <cell r="BG940" t="str">
            <v>I008</v>
          </cell>
          <cell r="BH940" t="str">
            <v>GFS</v>
          </cell>
        </row>
        <row r="941">
          <cell r="K941">
            <v>0</v>
          </cell>
          <cell r="L941">
            <v>0</v>
          </cell>
          <cell r="N941">
            <v>0</v>
          </cell>
          <cell r="O941">
            <v>0</v>
          </cell>
          <cell r="Q941">
            <v>0</v>
          </cell>
          <cell r="R941">
            <v>0</v>
          </cell>
          <cell r="T941">
            <v>0</v>
          </cell>
          <cell r="U941">
            <v>0</v>
          </cell>
          <cell r="W941">
            <v>0</v>
          </cell>
          <cell r="X941">
            <v>0</v>
          </cell>
          <cell r="Z941">
            <v>0</v>
          </cell>
          <cell r="AA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I941">
            <v>0</v>
          </cell>
          <cell r="AJ941">
            <v>0</v>
          </cell>
          <cell r="AL941">
            <v>0</v>
          </cell>
          <cell r="AM941">
            <v>0</v>
          </cell>
          <cell r="AO941">
            <v>0</v>
          </cell>
          <cell r="AP941">
            <v>0</v>
          </cell>
          <cell r="AR941">
            <v>0</v>
          </cell>
          <cell r="AS941">
            <v>0</v>
          </cell>
          <cell r="BF941" t="str">
            <v>5700</v>
          </cell>
          <cell r="BG941" t="str">
            <v>I009</v>
          </cell>
          <cell r="BH941" t="str">
            <v>GFS</v>
          </cell>
        </row>
        <row r="942">
          <cell r="K942">
            <v>0</v>
          </cell>
          <cell r="L942">
            <v>0</v>
          </cell>
          <cell r="N942">
            <v>0</v>
          </cell>
          <cell r="O942">
            <v>0</v>
          </cell>
          <cell r="Q942">
            <v>0</v>
          </cell>
          <cell r="R942">
            <v>0</v>
          </cell>
          <cell r="T942">
            <v>0</v>
          </cell>
          <cell r="U942">
            <v>0</v>
          </cell>
          <cell r="W942">
            <v>0</v>
          </cell>
          <cell r="X942">
            <v>0</v>
          </cell>
          <cell r="Z942">
            <v>0</v>
          </cell>
          <cell r="AA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I942">
            <v>0</v>
          </cell>
          <cell r="AJ942">
            <v>0</v>
          </cell>
          <cell r="AL942">
            <v>0</v>
          </cell>
          <cell r="AM942">
            <v>0</v>
          </cell>
          <cell r="AO942">
            <v>0</v>
          </cell>
          <cell r="AP942">
            <v>0</v>
          </cell>
          <cell r="AR942">
            <v>0</v>
          </cell>
          <cell r="AS942">
            <v>0</v>
          </cell>
          <cell r="BF942" t="str">
            <v>5700</v>
          </cell>
          <cell r="BG942" t="str">
            <v>I010</v>
          </cell>
          <cell r="BH942" t="str">
            <v>GFS</v>
          </cell>
        </row>
        <row r="943">
          <cell r="K943">
            <v>0</v>
          </cell>
          <cell r="L943">
            <v>0</v>
          </cell>
          <cell r="N943">
            <v>0</v>
          </cell>
          <cell r="O943">
            <v>0</v>
          </cell>
          <cell r="Q943">
            <v>0</v>
          </cell>
          <cell r="R943">
            <v>0</v>
          </cell>
          <cell r="T943">
            <v>0</v>
          </cell>
          <cell r="U943">
            <v>0</v>
          </cell>
          <cell r="W943">
            <v>0</v>
          </cell>
          <cell r="X943">
            <v>0</v>
          </cell>
          <cell r="Z943">
            <v>0</v>
          </cell>
          <cell r="AA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I943">
            <v>0</v>
          </cell>
          <cell r="AJ943">
            <v>0</v>
          </cell>
          <cell r="AL943">
            <v>0</v>
          </cell>
          <cell r="AM943">
            <v>0</v>
          </cell>
          <cell r="AO943">
            <v>0</v>
          </cell>
          <cell r="AP943">
            <v>0</v>
          </cell>
          <cell r="AR943">
            <v>0</v>
          </cell>
          <cell r="AS943">
            <v>0</v>
          </cell>
          <cell r="BF943" t="str">
            <v>5700</v>
          </cell>
          <cell r="BG943" t="str">
            <v>I011</v>
          </cell>
          <cell r="BH943" t="str">
            <v>GFS</v>
          </cell>
        </row>
        <row r="944">
          <cell r="K944">
            <v>0</v>
          </cell>
          <cell r="L944">
            <v>0</v>
          </cell>
          <cell r="N944">
            <v>0</v>
          </cell>
          <cell r="O944">
            <v>0</v>
          </cell>
          <cell r="Q944">
            <v>0</v>
          </cell>
          <cell r="R944">
            <v>0</v>
          </cell>
          <cell r="T944">
            <v>0</v>
          </cell>
          <cell r="U944">
            <v>0</v>
          </cell>
          <cell r="W944">
            <v>0</v>
          </cell>
          <cell r="X944">
            <v>0</v>
          </cell>
          <cell r="Z944">
            <v>0</v>
          </cell>
          <cell r="AA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I944">
            <v>0</v>
          </cell>
          <cell r="AJ944">
            <v>0</v>
          </cell>
          <cell r="AL944">
            <v>0</v>
          </cell>
          <cell r="AM944">
            <v>0</v>
          </cell>
          <cell r="AO944">
            <v>0</v>
          </cell>
          <cell r="AP944">
            <v>0</v>
          </cell>
          <cell r="AR944">
            <v>0</v>
          </cell>
          <cell r="AS944">
            <v>0</v>
          </cell>
          <cell r="BF944" t="str">
            <v>5700</v>
          </cell>
          <cell r="BG944" t="str">
            <v>I012</v>
          </cell>
          <cell r="BH944" t="str">
            <v>GFS</v>
          </cell>
        </row>
        <row r="945">
          <cell r="K945">
            <v>0</v>
          </cell>
          <cell r="L945">
            <v>0</v>
          </cell>
          <cell r="N945">
            <v>0</v>
          </cell>
          <cell r="O945">
            <v>0</v>
          </cell>
          <cell r="Q945">
            <v>0</v>
          </cell>
          <cell r="R945">
            <v>0</v>
          </cell>
          <cell r="T945">
            <v>0</v>
          </cell>
          <cell r="U945">
            <v>0</v>
          </cell>
          <cell r="W945">
            <v>0</v>
          </cell>
          <cell r="X945">
            <v>0</v>
          </cell>
          <cell r="Z945">
            <v>0</v>
          </cell>
          <cell r="AA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I945">
            <v>0</v>
          </cell>
          <cell r="AJ945">
            <v>0</v>
          </cell>
          <cell r="AL945">
            <v>0</v>
          </cell>
          <cell r="AM945">
            <v>0</v>
          </cell>
          <cell r="AO945">
            <v>0</v>
          </cell>
          <cell r="AP945">
            <v>0</v>
          </cell>
          <cell r="AR945">
            <v>0</v>
          </cell>
          <cell r="AS945">
            <v>0</v>
          </cell>
          <cell r="BF945" t="str">
            <v>5800</v>
          </cell>
          <cell r="BG945" t="str">
            <v>J001</v>
          </cell>
          <cell r="BH945" t="str">
            <v>GFS</v>
          </cell>
        </row>
        <row r="946">
          <cell r="K946">
            <v>0</v>
          </cell>
          <cell r="L946">
            <v>0</v>
          </cell>
          <cell r="N946">
            <v>0</v>
          </cell>
          <cell r="O946">
            <v>0</v>
          </cell>
          <cell r="Q946">
            <v>0</v>
          </cell>
          <cell r="R946">
            <v>0</v>
          </cell>
          <cell r="T946">
            <v>0</v>
          </cell>
          <cell r="U946">
            <v>0</v>
          </cell>
          <cell r="W946">
            <v>0</v>
          </cell>
          <cell r="X946">
            <v>0</v>
          </cell>
          <cell r="Z946">
            <v>0</v>
          </cell>
          <cell r="AA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I946">
            <v>0</v>
          </cell>
          <cell r="AJ946">
            <v>0</v>
          </cell>
          <cell r="AL946">
            <v>0</v>
          </cell>
          <cell r="AM946">
            <v>0</v>
          </cell>
          <cell r="AO946">
            <v>0</v>
          </cell>
          <cell r="AP946">
            <v>0</v>
          </cell>
          <cell r="AR946">
            <v>0</v>
          </cell>
          <cell r="AS946">
            <v>0</v>
          </cell>
          <cell r="BF946" t="str">
            <v>5800</v>
          </cell>
          <cell r="BG946" t="str">
            <v>J002</v>
          </cell>
          <cell r="BH946" t="str">
            <v>GFS</v>
          </cell>
        </row>
        <row r="947">
          <cell r="K947">
            <v>0</v>
          </cell>
          <cell r="L947">
            <v>0</v>
          </cell>
          <cell r="N947">
            <v>0</v>
          </cell>
          <cell r="O947">
            <v>0</v>
          </cell>
          <cell r="Q947">
            <v>0</v>
          </cell>
          <cell r="R947">
            <v>0</v>
          </cell>
          <cell r="T947">
            <v>0</v>
          </cell>
          <cell r="U947">
            <v>0</v>
          </cell>
          <cell r="W947">
            <v>0</v>
          </cell>
          <cell r="X947">
            <v>0</v>
          </cell>
          <cell r="Z947">
            <v>0</v>
          </cell>
          <cell r="AA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I947">
            <v>0</v>
          </cell>
          <cell r="AJ947">
            <v>0</v>
          </cell>
          <cell r="AL947">
            <v>0</v>
          </cell>
          <cell r="AM947">
            <v>0</v>
          </cell>
          <cell r="AO947">
            <v>0</v>
          </cell>
          <cell r="AP947">
            <v>0</v>
          </cell>
          <cell r="AR947">
            <v>0</v>
          </cell>
          <cell r="AS947">
            <v>0</v>
          </cell>
          <cell r="BF947" t="str">
            <v>5800</v>
          </cell>
          <cell r="BG947" t="str">
            <v>J003</v>
          </cell>
          <cell r="BH947" t="str">
            <v>GFS</v>
          </cell>
        </row>
        <row r="948">
          <cell r="K948">
            <v>0</v>
          </cell>
          <cell r="L948">
            <v>0</v>
          </cell>
          <cell r="N948">
            <v>0</v>
          </cell>
          <cell r="O948">
            <v>0</v>
          </cell>
          <cell r="Q948">
            <v>0</v>
          </cell>
          <cell r="R948">
            <v>0</v>
          </cell>
          <cell r="T948">
            <v>0</v>
          </cell>
          <cell r="U948">
            <v>0</v>
          </cell>
          <cell r="W948">
            <v>0</v>
          </cell>
          <cell r="X948">
            <v>0</v>
          </cell>
          <cell r="Z948">
            <v>0</v>
          </cell>
          <cell r="AA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I948">
            <v>0</v>
          </cell>
          <cell r="AJ948">
            <v>0</v>
          </cell>
          <cell r="AL948">
            <v>0</v>
          </cell>
          <cell r="AM948">
            <v>0</v>
          </cell>
          <cell r="AO948">
            <v>0</v>
          </cell>
          <cell r="AP948">
            <v>0</v>
          </cell>
          <cell r="AR948">
            <v>0</v>
          </cell>
          <cell r="AS948">
            <v>0</v>
          </cell>
          <cell r="BF948" t="str">
            <v>5800</v>
          </cell>
          <cell r="BG948" t="str">
            <v>J004</v>
          </cell>
          <cell r="BH948" t="str">
            <v>GFS</v>
          </cell>
        </row>
        <row r="949">
          <cell r="K949">
            <v>0</v>
          </cell>
          <cell r="L949">
            <v>0</v>
          </cell>
          <cell r="N949">
            <v>0</v>
          </cell>
          <cell r="O949">
            <v>0</v>
          </cell>
          <cell r="Q949">
            <v>0</v>
          </cell>
          <cell r="R949">
            <v>0</v>
          </cell>
          <cell r="T949">
            <v>0</v>
          </cell>
          <cell r="U949">
            <v>0</v>
          </cell>
          <cell r="W949">
            <v>0</v>
          </cell>
          <cell r="X949">
            <v>0</v>
          </cell>
          <cell r="Z949">
            <v>0</v>
          </cell>
          <cell r="AA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I949">
            <v>0</v>
          </cell>
          <cell r="AJ949">
            <v>0</v>
          </cell>
          <cell r="AL949">
            <v>0</v>
          </cell>
          <cell r="AM949">
            <v>0</v>
          </cell>
          <cell r="AO949">
            <v>0</v>
          </cell>
          <cell r="AP949">
            <v>0</v>
          </cell>
          <cell r="AR949">
            <v>0</v>
          </cell>
          <cell r="AS949">
            <v>0</v>
          </cell>
          <cell r="BF949" t="str">
            <v>5800</v>
          </cell>
          <cell r="BG949" t="str">
            <v>J005</v>
          </cell>
          <cell r="BH949" t="str">
            <v>GFS</v>
          </cell>
        </row>
        <row r="950">
          <cell r="K950">
            <v>0</v>
          </cell>
          <cell r="L950">
            <v>0</v>
          </cell>
          <cell r="N950">
            <v>0</v>
          </cell>
          <cell r="O950">
            <v>0</v>
          </cell>
          <cell r="Q950">
            <v>0</v>
          </cell>
          <cell r="R950">
            <v>0</v>
          </cell>
          <cell r="T950">
            <v>0</v>
          </cell>
          <cell r="U950">
            <v>0</v>
          </cell>
          <cell r="W950">
            <v>0</v>
          </cell>
          <cell r="X950">
            <v>0</v>
          </cell>
          <cell r="Z950">
            <v>0</v>
          </cell>
          <cell r="AA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I950">
            <v>0</v>
          </cell>
          <cell r="AJ950">
            <v>0</v>
          </cell>
          <cell r="AL950">
            <v>0</v>
          </cell>
          <cell r="AM950">
            <v>0</v>
          </cell>
          <cell r="AO950">
            <v>0</v>
          </cell>
          <cell r="AP950">
            <v>0</v>
          </cell>
          <cell r="AR950">
            <v>0</v>
          </cell>
          <cell r="AS950">
            <v>0</v>
          </cell>
          <cell r="BF950" t="str">
            <v>5800</v>
          </cell>
          <cell r="BG950" t="str">
            <v>J006</v>
          </cell>
          <cell r="BH950" t="str">
            <v>GFS</v>
          </cell>
        </row>
        <row r="951">
          <cell r="K951">
            <v>0</v>
          </cell>
          <cell r="L951">
            <v>0</v>
          </cell>
          <cell r="N951">
            <v>0</v>
          </cell>
          <cell r="O951">
            <v>0</v>
          </cell>
          <cell r="Q951">
            <v>0</v>
          </cell>
          <cell r="R951">
            <v>0</v>
          </cell>
          <cell r="T951">
            <v>0</v>
          </cell>
          <cell r="U951">
            <v>0</v>
          </cell>
          <cell r="W951">
            <v>0</v>
          </cell>
          <cell r="X951">
            <v>0</v>
          </cell>
          <cell r="Z951">
            <v>0</v>
          </cell>
          <cell r="AA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I951">
            <v>0</v>
          </cell>
          <cell r="AJ951">
            <v>0</v>
          </cell>
          <cell r="AL951">
            <v>0</v>
          </cell>
          <cell r="AM951">
            <v>0</v>
          </cell>
          <cell r="AO951">
            <v>0</v>
          </cell>
          <cell r="AP951">
            <v>0</v>
          </cell>
          <cell r="AR951">
            <v>0</v>
          </cell>
          <cell r="AS951">
            <v>0</v>
          </cell>
          <cell r="BF951" t="str">
            <v>5800</v>
          </cell>
          <cell r="BG951" t="str">
            <v>J007</v>
          </cell>
          <cell r="BH951" t="str">
            <v>GFS</v>
          </cell>
        </row>
        <row r="952">
          <cell r="K952">
            <v>0</v>
          </cell>
          <cell r="L952">
            <v>0</v>
          </cell>
          <cell r="N952">
            <v>0</v>
          </cell>
          <cell r="O952">
            <v>0</v>
          </cell>
          <cell r="Q952">
            <v>0</v>
          </cell>
          <cell r="R952">
            <v>0</v>
          </cell>
          <cell r="T952">
            <v>0</v>
          </cell>
          <cell r="U952">
            <v>0</v>
          </cell>
          <cell r="W952">
            <v>0</v>
          </cell>
          <cell r="X952">
            <v>0</v>
          </cell>
          <cell r="Z952">
            <v>0</v>
          </cell>
          <cell r="AA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I952">
            <v>0</v>
          </cell>
          <cell r="AJ952">
            <v>0</v>
          </cell>
          <cell r="AL952">
            <v>0</v>
          </cell>
          <cell r="AM952">
            <v>0</v>
          </cell>
          <cell r="AO952">
            <v>0</v>
          </cell>
          <cell r="AP952">
            <v>0</v>
          </cell>
          <cell r="AR952">
            <v>0</v>
          </cell>
          <cell r="AS952">
            <v>0</v>
          </cell>
          <cell r="BF952" t="str">
            <v>5801</v>
          </cell>
          <cell r="BG952" t="str">
            <v>J008</v>
          </cell>
          <cell r="BH952" t="str">
            <v>GFS</v>
          </cell>
        </row>
        <row r="953">
          <cell r="K953">
            <v>0</v>
          </cell>
          <cell r="L953">
            <v>0</v>
          </cell>
          <cell r="N953">
            <v>0</v>
          </cell>
          <cell r="O953">
            <v>0</v>
          </cell>
          <cell r="Q953">
            <v>0</v>
          </cell>
          <cell r="R953">
            <v>0</v>
          </cell>
          <cell r="T953">
            <v>0</v>
          </cell>
          <cell r="U953">
            <v>0</v>
          </cell>
          <cell r="W953">
            <v>0</v>
          </cell>
          <cell r="X953">
            <v>0</v>
          </cell>
          <cell r="Z953">
            <v>0</v>
          </cell>
          <cell r="AA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I953">
            <v>0</v>
          </cell>
          <cell r="AJ953">
            <v>0</v>
          </cell>
          <cell r="AL953">
            <v>0</v>
          </cell>
          <cell r="AM953">
            <v>0</v>
          </cell>
          <cell r="AO953">
            <v>0</v>
          </cell>
          <cell r="AP953">
            <v>0</v>
          </cell>
          <cell r="AR953">
            <v>0</v>
          </cell>
          <cell r="AS953">
            <v>0</v>
          </cell>
          <cell r="BF953" t="str">
            <v>5801</v>
          </cell>
          <cell r="BG953" t="str">
            <v>J009</v>
          </cell>
          <cell r="BH953" t="str">
            <v>GFS</v>
          </cell>
        </row>
        <row r="954">
          <cell r="K954">
            <v>0</v>
          </cell>
          <cell r="L954">
            <v>0</v>
          </cell>
          <cell r="N954">
            <v>0</v>
          </cell>
          <cell r="O954">
            <v>0</v>
          </cell>
          <cell r="Q954">
            <v>0</v>
          </cell>
          <cell r="R954">
            <v>0</v>
          </cell>
          <cell r="T954">
            <v>0</v>
          </cell>
          <cell r="U954">
            <v>0</v>
          </cell>
          <cell r="W954">
            <v>0</v>
          </cell>
          <cell r="X954">
            <v>0</v>
          </cell>
          <cell r="Z954">
            <v>0</v>
          </cell>
          <cell r="AA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I954">
            <v>0</v>
          </cell>
          <cell r="AJ954">
            <v>0</v>
          </cell>
          <cell r="AL954">
            <v>0</v>
          </cell>
          <cell r="AM954">
            <v>0</v>
          </cell>
          <cell r="AO954">
            <v>0</v>
          </cell>
          <cell r="AP954">
            <v>0</v>
          </cell>
          <cell r="AR954">
            <v>0</v>
          </cell>
          <cell r="AS954">
            <v>0</v>
          </cell>
          <cell r="BF954" t="str">
            <v>6000</v>
          </cell>
          <cell r="BG954" t="str">
            <v>K001</v>
          </cell>
          <cell r="BH954" t="str">
            <v>GFS</v>
          </cell>
        </row>
        <row r="955">
          <cell r="K955">
            <v>0</v>
          </cell>
          <cell r="L955">
            <v>0</v>
          </cell>
          <cell r="N955">
            <v>0</v>
          </cell>
          <cell r="O955">
            <v>0</v>
          </cell>
          <cell r="Q955">
            <v>0</v>
          </cell>
          <cell r="R955">
            <v>0</v>
          </cell>
          <cell r="T955">
            <v>0</v>
          </cell>
          <cell r="U955">
            <v>0</v>
          </cell>
          <cell r="W955">
            <v>0</v>
          </cell>
          <cell r="X955">
            <v>0</v>
          </cell>
          <cell r="Z955">
            <v>0</v>
          </cell>
          <cell r="AA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I955">
            <v>0</v>
          </cell>
          <cell r="AJ955">
            <v>0</v>
          </cell>
          <cell r="AL955">
            <v>0</v>
          </cell>
          <cell r="AM955">
            <v>0</v>
          </cell>
          <cell r="AO955">
            <v>0</v>
          </cell>
          <cell r="AP955">
            <v>0</v>
          </cell>
          <cell r="AR955">
            <v>0</v>
          </cell>
          <cell r="AS955">
            <v>0</v>
          </cell>
          <cell r="BF955" t="str">
            <v>6000</v>
          </cell>
          <cell r="BG955" t="str">
            <v>K002</v>
          </cell>
          <cell r="BH955" t="str">
            <v>GFS</v>
          </cell>
        </row>
        <row r="956">
          <cell r="K956">
            <v>0</v>
          </cell>
          <cell r="L956">
            <v>0</v>
          </cell>
          <cell r="N956">
            <v>0</v>
          </cell>
          <cell r="O956">
            <v>0</v>
          </cell>
          <cell r="Q956">
            <v>0</v>
          </cell>
          <cell r="R956">
            <v>0</v>
          </cell>
          <cell r="T956">
            <v>0</v>
          </cell>
          <cell r="U956">
            <v>0</v>
          </cell>
          <cell r="W956">
            <v>0</v>
          </cell>
          <cell r="X956">
            <v>0</v>
          </cell>
          <cell r="Z956">
            <v>0</v>
          </cell>
          <cell r="AA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I956">
            <v>1895</v>
          </cell>
          <cell r="AJ956">
            <v>0</v>
          </cell>
          <cell r="AL956">
            <v>0</v>
          </cell>
          <cell r="AM956">
            <v>0</v>
          </cell>
          <cell r="AO956">
            <v>0</v>
          </cell>
          <cell r="AP956">
            <v>0</v>
          </cell>
          <cell r="AR956">
            <v>0</v>
          </cell>
          <cell r="AS956">
            <v>0</v>
          </cell>
          <cell r="BF956" t="str">
            <v>6100</v>
          </cell>
          <cell r="BG956" t="str">
            <v>K001</v>
          </cell>
          <cell r="BH956" t="str">
            <v>GFS</v>
          </cell>
        </row>
        <row r="957">
          <cell r="K957">
            <v>-612.59000000000015</v>
          </cell>
          <cell r="L957">
            <v>0</v>
          </cell>
          <cell r="N957">
            <v>-612.57999999999993</v>
          </cell>
          <cell r="O957">
            <v>0</v>
          </cell>
          <cell r="Q957">
            <v>-592.82999999999993</v>
          </cell>
          <cell r="R957">
            <v>0</v>
          </cell>
          <cell r="T957">
            <v>-612.57999999999993</v>
          </cell>
          <cell r="U957">
            <v>0</v>
          </cell>
          <cell r="W957">
            <v>-586.96</v>
          </cell>
          <cell r="X957">
            <v>0</v>
          </cell>
          <cell r="Z957">
            <v>-606.53000000000065</v>
          </cell>
          <cell r="AA957">
            <v>0</v>
          </cell>
          <cell r="AC957">
            <v>-606.53000000000065</v>
          </cell>
          <cell r="AD957">
            <v>0</v>
          </cell>
          <cell r="AF957">
            <v>-547.81999999999971</v>
          </cell>
          <cell r="AG957">
            <v>0</v>
          </cell>
          <cell r="AI957">
            <v>-606.53000000000065</v>
          </cell>
          <cell r="AJ957">
            <v>0</v>
          </cell>
          <cell r="AL957">
            <v>-638.36000000000058</v>
          </cell>
          <cell r="AM957">
            <v>0</v>
          </cell>
          <cell r="AO957">
            <v>-659.64999999999964</v>
          </cell>
          <cell r="AP957">
            <v>0</v>
          </cell>
          <cell r="AR957">
            <v>-638.36000000000058</v>
          </cell>
          <cell r="AS957">
            <v>0</v>
          </cell>
          <cell r="BF957" t="str">
            <v>6100</v>
          </cell>
          <cell r="BG957" t="str">
            <v>K002</v>
          </cell>
          <cell r="BH957" t="str">
            <v>GFS</v>
          </cell>
        </row>
        <row r="958">
          <cell r="K958">
            <v>101</v>
          </cell>
          <cell r="L958">
            <v>0</v>
          </cell>
          <cell r="N958">
            <v>0</v>
          </cell>
          <cell r="O958">
            <v>0</v>
          </cell>
          <cell r="Q958">
            <v>0</v>
          </cell>
          <cell r="R958">
            <v>0</v>
          </cell>
          <cell r="T958">
            <v>0</v>
          </cell>
          <cell r="U958">
            <v>0</v>
          </cell>
          <cell r="W958">
            <v>0</v>
          </cell>
          <cell r="X958">
            <v>0</v>
          </cell>
          <cell r="Z958">
            <v>0</v>
          </cell>
          <cell r="AA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I958">
            <v>0</v>
          </cell>
          <cell r="AJ958">
            <v>0</v>
          </cell>
          <cell r="AL958">
            <v>0</v>
          </cell>
          <cell r="AM958">
            <v>0</v>
          </cell>
          <cell r="AO958">
            <v>0</v>
          </cell>
          <cell r="AP958">
            <v>0</v>
          </cell>
          <cell r="AR958">
            <v>0</v>
          </cell>
          <cell r="AS958">
            <v>0</v>
          </cell>
          <cell r="BF958" t="str">
            <v>6200</v>
          </cell>
          <cell r="BG958" t="str">
            <v>K001</v>
          </cell>
          <cell r="BH958" t="str">
            <v>GFS</v>
          </cell>
        </row>
        <row r="959">
          <cell r="K959">
            <v>-688.56999999999971</v>
          </cell>
          <cell r="L959">
            <v>0</v>
          </cell>
          <cell r="N959">
            <v>-689.11999999999989</v>
          </cell>
          <cell r="O959">
            <v>0</v>
          </cell>
          <cell r="Q959">
            <v>-666.89999999999964</v>
          </cell>
          <cell r="R959">
            <v>0</v>
          </cell>
          <cell r="T959">
            <v>-689.11000000000058</v>
          </cell>
          <cell r="U959">
            <v>0</v>
          </cell>
          <cell r="W959">
            <v>-667.01000000000022</v>
          </cell>
          <cell r="X959">
            <v>0</v>
          </cell>
          <cell r="Z959">
            <v>-689.1299999999992</v>
          </cell>
          <cell r="AA959">
            <v>0</v>
          </cell>
          <cell r="AC959">
            <v>-689.1299999999992</v>
          </cell>
          <cell r="AD959">
            <v>0</v>
          </cell>
          <cell r="AF959">
            <v>-622.44000000000051</v>
          </cell>
          <cell r="AG959">
            <v>0</v>
          </cell>
          <cell r="AI959">
            <v>-689.1299999999992</v>
          </cell>
          <cell r="AJ959">
            <v>0</v>
          </cell>
          <cell r="AL959">
            <v>-666.89999999999964</v>
          </cell>
          <cell r="AM959">
            <v>0</v>
          </cell>
          <cell r="AO959">
            <v>-689.1299999999992</v>
          </cell>
          <cell r="AP959">
            <v>0</v>
          </cell>
          <cell r="AR959">
            <v>-666.89999999999964</v>
          </cell>
          <cell r="AS959">
            <v>0</v>
          </cell>
          <cell r="BF959" t="str">
            <v>6200</v>
          </cell>
          <cell r="BG959" t="str">
            <v>K002</v>
          </cell>
          <cell r="BH959" t="str">
            <v>GFS</v>
          </cell>
        </row>
        <row r="960">
          <cell r="K960">
            <v>0</v>
          </cell>
          <cell r="L960">
            <v>0</v>
          </cell>
          <cell r="N960">
            <v>0</v>
          </cell>
          <cell r="O960">
            <v>0</v>
          </cell>
          <cell r="Q960">
            <v>30000</v>
          </cell>
          <cell r="R960">
            <v>0</v>
          </cell>
          <cell r="T960">
            <v>10000</v>
          </cell>
          <cell r="U960">
            <v>0</v>
          </cell>
          <cell r="W960">
            <v>0</v>
          </cell>
          <cell r="X960">
            <v>0</v>
          </cell>
          <cell r="Z960">
            <v>0</v>
          </cell>
          <cell r="AA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I960">
            <v>56207</v>
          </cell>
          <cell r="AJ960">
            <v>0</v>
          </cell>
          <cell r="AL960">
            <v>0</v>
          </cell>
          <cell r="AM960">
            <v>0</v>
          </cell>
          <cell r="AO960">
            <v>0</v>
          </cell>
          <cell r="AP960">
            <v>0</v>
          </cell>
          <cell r="AR960">
            <v>0</v>
          </cell>
          <cell r="AS960">
            <v>0</v>
          </cell>
          <cell r="BF960" t="str">
            <v>6300</v>
          </cell>
          <cell r="BG960" t="str">
            <v>K001</v>
          </cell>
          <cell r="BH960" t="str">
            <v>GFS</v>
          </cell>
        </row>
        <row r="961">
          <cell r="K961">
            <v>0</v>
          </cell>
          <cell r="L961">
            <v>0</v>
          </cell>
          <cell r="N961">
            <v>0</v>
          </cell>
          <cell r="O961">
            <v>0</v>
          </cell>
          <cell r="Q961">
            <v>0</v>
          </cell>
          <cell r="R961">
            <v>0</v>
          </cell>
          <cell r="T961">
            <v>-673.97</v>
          </cell>
          <cell r="U961">
            <v>0</v>
          </cell>
          <cell r="W961">
            <v>-657.53</v>
          </cell>
          <cell r="X961">
            <v>0</v>
          </cell>
          <cell r="Z961">
            <v>-679.45</v>
          </cell>
          <cell r="AA961">
            <v>0</v>
          </cell>
          <cell r="AC961">
            <v>-679.45</v>
          </cell>
          <cell r="AD961">
            <v>0</v>
          </cell>
          <cell r="AF961">
            <v>-613.69000000000005</v>
          </cell>
          <cell r="AG961">
            <v>0</v>
          </cell>
          <cell r="AI961">
            <v>-2311.7600000000002</v>
          </cell>
          <cell r="AJ961">
            <v>0</v>
          </cell>
          <cell r="AL961">
            <v>-1581.4799999999996</v>
          </cell>
          <cell r="AM961">
            <v>0</v>
          </cell>
          <cell r="AO961">
            <v>-1634.2000000000007</v>
          </cell>
          <cell r="AP961">
            <v>0</v>
          </cell>
          <cell r="AR961">
            <v>-1581.4799999999996</v>
          </cell>
          <cell r="AS961">
            <v>0</v>
          </cell>
          <cell r="BF961" t="str">
            <v>6300</v>
          </cell>
          <cell r="BG961" t="str">
            <v>K002</v>
          </cell>
          <cell r="BH961" t="str">
            <v>GFS</v>
          </cell>
        </row>
        <row r="962">
          <cell r="K962">
            <v>0</v>
          </cell>
          <cell r="L962">
            <v>0</v>
          </cell>
          <cell r="N962">
            <v>0</v>
          </cell>
          <cell r="O962">
            <v>0</v>
          </cell>
          <cell r="Q962">
            <v>0</v>
          </cell>
          <cell r="R962">
            <v>0</v>
          </cell>
          <cell r="T962">
            <v>0</v>
          </cell>
          <cell r="U962">
            <v>0</v>
          </cell>
          <cell r="W962">
            <v>0</v>
          </cell>
          <cell r="X962">
            <v>0</v>
          </cell>
          <cell r="Z962">
            <v>0</v>
          </cell>
          <cell r="AA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I962">
            <v>0</v>
          </cell>
          <cell r="AJ962">
            <v>0</v>
          </cell>
          <cell r="AL962">
            <v>0</v>
          </cell>
          <cell r="AM962">
            <v>0</v>
          </cell>
          <cell r="AO962">
            <v>1304</v>
          </cell>
          <cell r="AP962">
            <v>0</v>
          </cell>
          <cell r="AR962">
            <v>0</v>
          </cell>
          <cell r="AS962">
            <v>0</v>
          </cell>
          <cell r="BF962" t="str">
            <v>6400</v>
          </cell>
          <cell r="BG962" t="str">
            <v>K001</v>
          </cell>
          <cell r="BH962" t="str">
            <v>GFS</v>
          </cell>
        </row>
        <row r="963">
          <cell r="K963">
            <v>-207.6400000000001</v>
          </cell>
          <cell r="L963">
            <v>0</v>
          </cell>
          <cell r="N963">
            <v>-87.25</v>
          </cell>
          <cell r="O963">
            <v>0</v>
          </cell>
          <cell r="Q963">
            <v>-135.5</v>
          </cell>
          <cell r="R963">
            <v>0</v>
          </cell>
          <cell r="T963">
            <v>-147.29999999999995</v>
          </cell>
          <cell r="U963">
            <v>0</v>
          </cell>
          <cell r="W963">
            <v>-142.58000000000015</v>
          </cell>
          <cell r="X963">
            <v>0</v>
          </cell>
          <cell r="Z963">
            <v>-147.30000000000018</v>
          </cell>
          <cell r="AA963">
            <v>0</v>
          </cell>
          <cell r="AC963">
            <v>-147.30000000000041</v>
          </cell>
          <cell r="AD963">
            <v>0</v>
          </cell>
          <cell r="AF963">
            <v>-133.07999999999993</v>
          </cell>
          <cell r="AG963">
            <v>0</v>
          </cell>
          <cell r="AI963">
            <v>-147.30000000000018</v>
          </cell>
          <cell r="AJ963">
            <v>0</v>
          </cell>
          <cell r="AL963">
            <v>-142.57999999999993</v>
          </cell>
          <cell r="AM963">
            <v>0</v>
          </cell>
          <cell r="AO963">
            <v>-148.73000000000002</v>
          </cell>
          <cell r="AP963">
            <v>0</v>
          </cell>
          <cell r="AR963">
            <v>-164.00999999999976</v>
          </cell>
          <cell r="AS963">
            <v>0</v>
          </cell>
          <cell r="BF963" t="str">
            <v>6400</v>
          </cell>
          <cell r="BG963" t="str">
            <v>K002</v>
          </cell>
          <cell r="BH963" t="str">
            <v>GFS</v>
          </cell>
        </row>
        <row r="964">
          <cell r="K964">
            <v>0</v>
          </cell>
          <cell r="L964">
            <v>0</v>
          </cell>
          <cell r="N964">
            <v>0</v>
          </cell>
          <cell r="O964">
            <v>0</v>
          </cell>
          <cell r="Q964">
            <v>0</v>
          </cell>
          <cell r="R964">
            <v>0</v>
          </cell>
          <cell r="T964">
            <v>0</v>
          </cell>
          <cell r="U964">
            <v>0</v>
          </cell>
          <cell r="W964">
            <v>0</v>
          </cell>
          <cell r="X964">
            <v>0</v>
          </cell>
          <cell r="Z964">
            <v>0</v>
          </cell>
          <cell r="AA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I964">
            <v>0</v>
          </cell>
          <cell r="AJ964">
            <v>0</v>
          </cell>
          <cell r="AL964">
            <v>0</v>
          </cell>
          <cell r="AM964">
            <v>0</v>
          </cell>
          <cell r="AO964">
            <v>0</v>
          </cell>
          <cell r="AP964">
            <v>0</v>
          </cell>
          <cell r="AR964">
            <v>0</v>
          </cell>
          <cell r="AS964">
            <v>0</v>
          </cell>
          <cell r="BF964" t="str">
            <v>6500</v>
          </cell>
          <cell r="BG964" t="str">
            <v>K001</v>
          </cell>
          <cell r="BH964" t="str">
            <v>GFS</v>
          </cell>
        </row>
        <row r="965">
          <cell r="K965">
            <v>-300.45000000000005</v>
          </cell>
          <cell r="L965">
            <v>0</v>
          </cell>
          <cell r="N965">
            <v>97.970000000000027</v>
          </cell>
          <cell r="O965">
            <v>0</v>
          </cell>
          <cell r="Q965">
            <v>-97.970000000000027</v>
          </cell>
          <cell r="R965">
            <v>0</v>
          </cell>
          <cell r="T965">
            <v>-199.21000000000004</v>
          </cell>
          <cell r="U965">
            <v>0</v>
          </cell>
          <cell r="W965">
            <v>0</v>
          </cell>
          <cell r="X965">
            <v>0</v>
          </cell>
          <cell r="Z965">
            <v>-101.24000000000001</v>
          </cell>
          <cell r="AA965">
            <v>0</v>
          </cell>
          <cell r="AC965">
            <v>-101.24000000000001</v>
          </cell>
          <cell r="AD965">
            <v>0</v>
          </cell>
          <cell r="AF965">
            <v>-91.440000000000055</v>
          </cell>
          <cell r="AG965">
            <v>0</v>
          </cell>
          <cell r="AI965">
            <v>-101.23999999999978</v>
          </cell>
          <cell r="AJ965">
            <v>0</v>
          </cell>
          <cell r="AL965">
            <v>-97.9699999999998</v>
          </cell>
          <cell r="AM965">
            <v>0</v>
          </cell>
          <cell r="AO965">
            <v>-101.23999999999978</v>
          </cell>
          <cell r="AP965">
            <v>0</v>
          </cell>
          <cell r="AR965">
            <v>-97.9699999999998</v>
          </cell>
          <cell r="AS965">
            <v>0</v>
          </cell>
          <cell r="BF965" t="str">
            <v>6500</v>
          </cell>
          <cell r="BG965" t="str">
            <v>K002</v>
          </cell>
          <cell r="BH965" t="str">
            <v>GFS</v>
          </cell>
        </row>
        <row r="966">
          <cell r="K966">
            <v>0</v>
          </cell>
          <cell r="L966">
            <v>0</v>
          </cell>
          <cell r="N966">
            <v>0</v>
          </cell>
          <cell r="O966">
            <v>0</v>
          </cell>
          <cell r="Q966">
            <v>0</v>
          </cell>
          <cell r="R966">
            <v>0</v>
          </cell>
          <cell r="T966">
            <v>0</v>
          </cell>
          <cell r="U966">
            <v>0</v>
          </cell>
          <cell r="W966">
            <v>0</v>
          </cell>
          <cell r="X966">
            <v>0</v>
          </cell>
          <cell r="Z966">
            <v>0</v>
          </cell>
          <cell r="AA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I966">
            <v>0</v>
          </cell>
          <cell r="AJ966">
            <v>0</v>
          </cell>
          <cell r="AL966">
            <v>0</v>
          </cell>
          <cell r="AM966">
            <v>0</v>
          </cell>
          <cell r="AO966">
            <v>0</v>
          </cell>
          <cell r="AP966">
            <v>0</v>
          </cell>
          <cell r="AR966">
            <v>0</v>
          </cell>
          <cell r="AS966">
            <v>0</v>
          </cell>
          <cell r="BF966" t="str">
            <v>6600</v>
          </cell>
          <cell r="BG966" t="str">
            <v>K001</v>
          </cell>
          <cell r="BH966" t="str">
            <v>GFS</v>
          </cell>
        </row>
        <row r="967">
          <cell r="K967">
            <v>0</v>
          </cell>
          <cell r="L967">
            <v>0</v>
          </cell>
          <cell r="N967">
            <v>0</v>
          </cell>
          <cell r="O967">
            <v>0</v>
          </cell>
          <cell r="Q967">
            <v>0</v>
          </cell>
          <cell r="R967">
            <v>0</v>
          </cell>
          <cell r="T967">
            <v>0</v>
          </cell>
          <cell r="U967">
            <v>0</v>
          </cell>
          <cell r="W967">
            <v>0</v>
          </cell>
          <cell r="X967">
            <v>0</v>
          </cell>
          <cell r="Z967">
            <v>0</v>
          </cell>
          <cell r="AA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I967">
            <v>0</v>
          </cell>
          <cell r="AJ967">
            <v>0</v>
          </cell>
          <cell r="AL967">
            <v>0</v>
          </cell>
          <cell r="AM967">
            <v>0</v>
          </cell>
          <cell r="AO967">
            <v>0</v>
          </cell>
          <cell r="AP967">
            <v>0</v>
          </cell>
          <cell r="AR967">
            <v>0</v>
          </cell>
          <cell r="AS967">
            <v>0</v>
          </cell>
          <cell r="BF967" t="str">
            <v>6600</v>
          </cell>
          <cell r="BG967" t="str">
            <v>K002</v>
          </cell>
          <cell r="BH967" t="str">
            <v>GFS</v>
          </cell>
        </row>
        <row r="968">
          <cell r="K968">
            <v>1790.3600000001024</v>
          </cell>
          <cell r="L968">
            <v>0</v>
          </cell>
          <cell r="N968">
            <v>-1661.6399999998976</v>
          </cell>
          <cell r="O968">
            <v>0</v>
          </cell>
          <cell r="Q968">
            <v>-1220.1899999997113</v>
          </cell>
          <cell r="R968">
            <v>0</v>
          </cell>
          <cell r="T968">
            <v>-410.71999999973923</v>
          </cell>
          <cell r="U968">
            <v>0</v>
          </cell>
          <cell r="W968">
            <v>606.1300000003539</v>
          </cell>
          <cell r="X968">
            <v>0</v>
          </cell>
          <cell r="Z968">
            <v>12034.960000000196</v>
          </cell>
          <cell r="AA968">
            <v>0</v>
          </cell>
          <cell r="AC968">
            <v>1821.2800000000279</v>
          </cell>
          <cell r="AD968">
            <v>0</v>
          </cell>
          <cell r="AF968">
            <v>-4904.429999999702</v>
          </cell>
          <cell r="AG968">
            <v>0</v>
          </cell>
          <cell r="AI968">
            <v>-3185.059999999823</v>
          </cell>
          <cell r="AJ968">
            <v>0</v>
          </cell>
          <cell r="AL968">
            <v>-854.37999999988824</v>
          </cell>
          <cell r="AM968">
            <v>0</v>
          </cell>
          <cell r="AO968">
            <v>-1416.3199999998324</v>
          </cell>
          <cell r="AP968">
            <v>0</v>
          </cell>
          <cell r="AR968">
            <v>14402.210000000196</v>
          </cell>
          <cell r="AS968">
            <v>0</v>
          </cell>
          <cell r="BF968" t="str">
            <v>7000</v>
          </cell>
          <cell r="BG968" t="str">
            <v>Z000</v>
          </cell>
          <cell r="BH968" t="str">
            <v>GFS</v>
          </cell>
        </row>
        <row r="969">
          <cell r="K969">
            <v>0</v>
          </cell>
          <cell r="L969">
            <v>0</v>
          </cell>
          <cell r="N969">
            <v>0</v>
          </cell>
          <cell r="O969">
            <v>0</v>
          </cell>
          <cell r="Q969">
            <v>0</v>
          </cell>
          <cell r="R969">
            <v>0</v>
          </cell>
          <cell r="T969">
            <v>0</v>
          </cell>
          <cell r="U969">
            <v>0</v>
          </cell>
          <cell r="W969">
            <v>0</v>
          </cell>
          <cell r="X969">
            <v>0</v>
          </cell>
          <cell r="Z969">
            <v>0</v>
          </cell>
          <cell r="AA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I969">
            <v>0</v>
          </cell>
          <cell r="AJ969">
            <v>0</v>
          </cell>
          <cell r="AL969">
            <v>0</v>
          </cell>
          <cell r="AM969">
            <v>0</v>
          </cell>
          <cell r="AO969">
            <v>0</v>
          </cell>
          <cell r="AP969">
            <v>0</v>
          </cell>
          <cell r="AR969">
            <v>0</v>
          </cell>
          <cell r="AS969">
            <v>0</v>
          </cell>
          <cell r="BF969" t="str">
            <v>7100</v>
          </cell>
          <cell r="BG969" t="str">
            <v>Z000</v>
          </cell>
          <cell r="BH969" t="str">
            <v>GFS</v>
          </cell>
        </row>
        <row r="970">
          <cell r="K970">
            <v>-809.67000000000007</v>
          </cell>
          <cell r="L970">
            <v>0</v>
          </cell>
          <cell r="N970">
            <v>-809.66999999999916</v>
          </cell>
          <cell r="O970">
            <v>0</v>
          </cell>
          <cell r="Q970">
            <v>-614.65999999999985</v>
          </cell>
          <cell r="R970">
            <v>0</v>
          </cell>
          <cell r="T970">
            <v>1962.04</v>
          </cell>
          <cell r="U970">
            <v>0</v>
          </cell>
          <cell r="W970">
            <v>-309.65999999999985</v>
          </cell>
          <cell r="X970">
            <v>0</v>
          </cell>
          <cell r="Z970">
            <v>0</v>
          </cell>
          <cell r="AA970">
            <v>0</v>
          </cell>
          <cell r="AC970">
            <v>-2522.0100000000002</v>
          </cell>
          <cell r="AD970">
            <v>0</v>
          </cell>
          <cell r="AF970">
            <v>-1.8189894035458565E-12</v>
          </cell>
          <cell r="AG970">
            <v>0</v>
          </cell>
          <cell r="AI970">
            <v>0</v>
          </cell>
          <cell r="AJ970">
            <v>0</v>
          </cell>
          <cell r="AL970">
            <v>0</v>
          </cell>
          <cell r="AM970">
            <v>0</v>
          </cell>
          <cell r="AO970">
            <v>0</v>
          </cell>
          <cell r="AP970">
            <v>0</v>
          </cell>
          <cell r="AR970">
            <v>0</v>
          </cell>
          <cell r="AS970">
            <v>0</v>
          </cell>
          <cell r="BF970" t="str">
            <v>7300</v>
          </cell>
          <cell r="BG970" t="str">
            <v>Z000</v>
          </cell>
          <cell r="BH970" t="str">
            <v>GFS</v>
          </cell>
        </row>
        <row r="971">
          <cell r="K971">
            <v>280</v>
          </cell>
          <cell r="L971">
            <v>0</v>
          </cell>
          <cell r="N971">
            <v>350</v>
          </cell>
          <cell r="O971">
            <v>0</v>
          </cell>
          <cell r="Q971">
            <v>0</v>
          </cell>
          <cell r="R971">
            <v>0</v>
          </cell>
          <cell r="T971">
            <v>0</v>
          </cell>
          <cell r="U971">
            <v>0</v>
          </cell>
          <cell r="W971">
            <v>0</v>
          </cell>
          <cell r="X971">
            <v>0</v>
          </cell>
          <cell r="Z971">
            <v>0</v>
          </cell>
          <cell r="AA971">
            <v>0</v>
          </cell>
          <cell r="AC971">
            <v>1156</v>
          </cell>
          <cell r="AD971">
            <v>0</v>
          </cell>
          <cell r="AF971">
            <v>10736</v>
          </cell>
          <cell r="AG971">
            <v>0</v>
          </cell>
          <cell r="AI971">
            <v>-10380</v>
          </cell>
          <cell r="AJ971">
            <v>0</v>
          </cell>
          <cell r="AL971">
            <v>178</v>
          </cell>
          <cell r="AM971">
            <v>0</v>
          </cell>
          <cell r="AO971">
            <v>178</v>
          </cell>
          <cell r="AP971">
            <v>0</v>
          </cell>
          <cell r="AR971">
            <v>248</v>
          </cell>
          <cell r="AS971">
            <v>0</v>
          </cell>
          <cell r="BF971" t="str">
            <v>7350</v>
          </cell>
          <cell r="BG971" t="str">
            <v>Z000</v>
          </cell>
          <cell r="BH971" t="str">
            <v>GFS</v>
          </cell>
        </row>
        <row r="972">
          <cell r="K972">
            <v>0</v>
          </cell>
          <cell r="L972">
            <v>0</v>
          </cell>
          <cell r="N972">
            <v>0</v>
          </cell>
          <cell r="O972">
            <v>0</v>
          </cell>
          <cell r="Q972">
            <v>0</v>
          </cell>
          <cell r="R972">
            <v>0</v>
          </cell>
          <cell r="T972">
            <v>0</v>
          </cell>
          <cell r="U972">
            <v>0</v>
          </cell>
          <cell r="W972">
            <v>0</v>
          </cell>
          <cell r="X972">
            <v>0</v>
          </cell>
          <cell r="Z972">
            <v>0</v>
          </cell>
          <cell r="AA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I972">
            <v>0</v>
          </cell>
          <cell r="AJ972">
            <v>0</v>
          </cell>
          <cell r="AL972">
            <v>0</v>
          </cell>
          <cell r="AM972">
            <v>0</v>
          </cell>
          <cell r="AO972">
            <v>0</v>
          </cell>
          <cell r="AP972">
            <v>0</v>
          </cell>
          <cell r="AR972">
            <v>0</v>
          </cell>
          <cell r="AS972">
            <v>0</v>
          </cell>
          <cell r="BF972" t="str">
            <v>7400</v>
          </cell>
          <cell r="BG972" t="str">
            <v>Z000</v>
          </cell>
          <cell r="BH972" t="str">
            <v>GFS</v>
          </cell>
        </row>
        <row r="973">
          <cell r="K973">
            <v>0</v>
          </cell>
          <cell r="L973">
            <v>0</v>
          </cell>
          <cell r="N973">
            <v>0</v>
          </cell>
          <cell r="O973">
            <v>0</v>
          </cell>
          <cell r="Q973">
            <v>0</v>
          </cell>
          <cell r="R973">
            <v>0</v>
          </cell>
          <cell r="T973">
            <v>0</v>
          </cell>
          <cell r="U973">
            <v>0</v>
          </cell>
          <cell r="W973">
            <v>0</v>
          </cell>
          <cell r="X973">
            <v>0</v>
          </cell>
          <cell r="Z973">
            <v>0</v>
          </cell>
          <cell r="AA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I973">
            <v>0</v>
          </cell>
          <cell r="AJ973">
            <v>0</v>
          </cell>
          <cell r="AL973">
            <v>0</v>
          </cell>
          <cell r="AM973">
            <v>0</v>
          </cell>
          <cell r="AO973">
            <v>0</v>
          </cell>
          <cell r="AP973">
            <v>0</v>
          </cell>
          <cell r="AR973">
            <v>0</v>
          </cell>
          <cell r="AS973">
            <v>0</v>
          </cell>
          <cell r="BF973" t="str">
            <v>7500</v>
          </cell>
          <cell r="BG973" t="str">
            <v>Z000</v>
          </cell>
          <cell r="BH973" t="str">
            <v>GFS</v>
          </cell>
        </row>
        <row r="974">
          <cell r="K974">
            <v>0</v>
          </cell>
          <cell r="L974">
            <v>0</v>
          </cell>
          <cell r="N974">
            <v>0</v>
          </cell>
          <cell r="O974">
            <v>0</v>
          </cell>
          <cell r="Q974">
            <v>0</v>
          </cell>
          <cell r="R974">
            <v>0</v>
          </cell>
          <cell r="T974">
            <v>0</v>
          </cell>
          <cell r="U974">
            <v>0</v>
          </cell>
          <cell r="W974">
            <v>0</v>
          </cell>
          <cell r="X974">
            <v>0</v>
          </cell>
          <cell r="Z974">
            <v>0</v>
          </cell>
          <cell r="AA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I974">
            <v>0</v>
          </cell>
          <cell r="AJ974">
            <v>0</v>
          </cell>
          <cell r="AL974">
            <v>0</v>
          </cell>
          <cell r="AM974">
            <v>0</v>
          </cell>
          <cell r="AO974">
            <v>0</v>
          </cell>
          <cell r="AP974">
            <v>0</v>
          </cell>
          <cell r="AR974">
            <v>0</v>
          </cell>
          <cell r="AS974">
            <v>0</v>
          </cell>
          <cell r="BF974" t="str">
            <v>7600</v>
          </cell>
          <cell r="BG974" t="str">
            <v>Z000</v>
          </cell>
          <cell r="BH974" t="str">
            <v>GFS</v>
          </cell>
        </row>
        <row r="975">
          <cell r="K975">
            <v>0</v>
          </cell>
          <cell r="L975">
            <v>0</v>
          </cell>
          <cell r="N975">
            <v>0</v>
          </cell>
          <cell r="O975">
            <v>0</v>
          </cell>
          <cell r="Q975">
            <v>0</v>
          </cell>
          <cell r="R975">
            <v>0</v>
          </cell>
          <cell r="T975">
            <v>0</v>
          </cell>
          <cell r="U975">
            <v>0</v>
          </cell>
          <cell r="W975">
            <v>0</v>
          </cell>
          <cell r="X975">
            <v>0</v>
          </cell>
          <cell r="Z975">
            <v>0</v>
          </cell>
          <cell r="AA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I975">
            <v>0</v>
          </cell>
          <cell r="AJ975">
            <v>0</v>
          </cell>
          <cell r="AL975">
            <v>0</v>
          </cell>
          <cell r="AM975">
            <v>0</v>
          </cell>
          <cell r="AO975">
            <v>0</v>
          </cell>
          <cell r="AP975">
            <v>0</v>
          </cell>
          <cell r="AR975">
            <v>0</v>
          </cell>
          <cell r="AS975">
            <v>0</v>
          </cell>
          <cell r="BF975" t="str">
            <v>7700</v>
          </cell>
          <cell r="BG975" t="str">
            <v>Z000</v>
          </cell>
          <cell r="BH975" t="str">
            <v>GFS</v>
          </cell>
        </row>
        <row r="976">
          <cell r="K976">
            <v>9548.5299999995623</v>
          </cell>
          <cell r="L976">
            <v>0</v>
          </cell>
          <cell r="N976">
            <v>4217.8500000000931</v>
          </cell>
          <cell r="O976">
            <v>0</v>
          </cell>
          <cell r="Q976">
            <v>7240.470000001369</v>
          </cell>
          <cell r="R976">
            <v>0</v>
          </cell>
          <cell r="T976">
            <v>-10495.869999997551</v>
          </cell>
          <cell r="U976">
            <v>0</v>
          </cell>
          <cell r="W976">
            <v>17082.620000012219</v>
          </cell>
          <cell r="X976">
            <v>0</v>
          </cell>
          <cell r="Z976">
            <v>-14042.179999989457</v>
          </cell>
          <cell r="AA976">
            <v>0</v>
          </cell>
          <cell r="AC976">
            <v>-5840.1399999833666</v>
          </cell>
          <cell r="AD976">
            <v>0</v>
          </cell>
          <cell r="AF976">
            <v>18102.360000013839</v>
          </cell>
          <cell r="AG976">
            <v>0</v>
          </cell>
          <cell r="AI976">
            <v>-13797.590000011027</v>
          </cell>
          <cell r="AJ976">
            <v>0</v>
          </cell>
          <cell r="AL976">
            <v>609096.81999998726</v>
          </cell>
          <cell r="AM976">
            <v>0</v>
          </cell>
          <cell r="AO976">
            <v>82986.129999998957</v>
          </cell>
          <cell r="AP976">
            <v>0</v>
          </cell>
          <cell r="AR976">
            <v>-694715.15000001062</v>
          </cell>
          <cell r="AS976">
            <v>0</v>
          </cell>
          <cell r="BF976" t="str">
            <v>8002</v>
          </cell>
          <cell r="BG976" t="str">
            <v>Z000</v>
          </cell>
          <cell r="BH976" t="str">
            <v>GFS</v>
          </cell>
        </row>
        <row r="977">
          <cell r="K977">
            <v>0</v>
          </cell>
          <cell r="L977">
            <v>0</v>
          </cell>
          <cell r="N977">
            <v>0</v>
          </cell>
          <cell r="O977">
            <v>0</v>
          </cell>
          <cell r="Q977">
            <v>0</v>
          </cell>
          <cell r="R977">
            <v>0</v>
          </cell>
          <cell r="T977">
            <v>0</v>
          </cell>
          <cell r="U977">
            <v>0</v>
          </cell>
          <cell r="W977">
            <v>0</v>
          </cell>
          <cell r="X977">
            <v>0</v>
          </cell>
          <cell r="Z977">
            <v>0</v>
          </cell>
          <cell r="AA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I977">
            <v>0</v>
          </cell>
          <cell r="AJ977">
            <v>0</v>
          </cell>
          <cell r="AL977">
            <v>0</v>
          </cell>
          <cell r="AM977">
            <v>0</v>
          </cell>
          <cell r="AO977">
            <v>0</v>
          </cell>
          <cell r="AP977">
            <v>0</v>
          </cell>
          <cell r="AR977">
            <v>0</v>
          </cell>
          <cell r="AS977">
            <v>0</v>
          </cell>
          <cell r="BF977" t="str">
            <v>8003</v>
          </cell>
          <cell r="BG977" t="str">
            <v>Z000</v>
          </cell>
          <cell r="BH977" t="str">
            <v>GFS</v>
          </cell>
        </row>
        <row r="978">
          <cell r="K978">
            <v>379961.19999999972</v>
          </cell>
          <cell r="L978">
            <v>0</v>
          </cell>
          <cell r="N978">
            <v>379791.90000000037</v>
          </cell>
          <cell r="O978">
            <v>0</v>
          </cell>
          <cell r="Q978">
            <v>384328.31999998027</v>
          </cell>
          <cell r="R978">
            <v>0</v>
          </cell>
          <cell r="T978">
            <v>530830.6699999813</v>
          </cell>
          <cell r="U978">
            <v>0</v>
          </cell>
          <cell r="W978">
            <v>423622.71999998996</v>
          </cell>
          <cell r="X978">
            <v>0</v>
          </cell>
          <cell r="Z978">
            <v>90977.56999999145</v>
          </cell>
          <cell r="AA978">
            <v>0</v>
          </cell>
          <cell r="AC978">
            <v>372682.88999998569</v>
          </cell>
          <cell r="AD978">
            <v>0</v>
          </cell>
          <cell r="AF978">
            <v>405406.54999998957</v>
          </cell>
          <cell r="AG978">
            <v>0</v>
          </cell>
          <cell r="AI978">
            <v>427857.63000002224</v>
          </cell>
          <cell r="AJ978">
            <v>0</v>
          </cell>
          <cell r="AL978">
            <v>755054.74000001699</v>
          </cell>
          <cell r="AM978">
            <v>0</v>
          </cell>
          <cell r="AO978">
            <v>413913.11000000499</v>
          </cell>
          <cell r="AP978">
            <v>0</v>
          </cell>
          <cell r="AR978">
            <v>558378.9700000342</v>
          </cell>
          <cell r="AS978">
            <v>0</v>
          </cell>
          <cell r="BF978" t="str">
            <v>8200</v>
          </cell>
          <cell r="BG978" t="str">
            <v>Z000</v>
          </cell>
          <cell r="BH978" t="str">
            <v>GFS</v>
          </cell>
        </row>
        <row r="979">
          <cell r="K979">
            <v>-29667</v>
          </cell>
          <cell r="L979">
            <v>0</v>
          </cell>
          <cell r="N979">
            <v>-30832.750000000029</v>
          </cell>
          <cell r="O979">
            <v>0</v>
          </cell>
          <cell r="Q979">
            <v>-31110.820000000007</v>
          </cell>
          <cell r="R979">
            <v>0</v>
          </cell>
          <cell r="T979">
            <v>-40006.826000000001</v>
          </cell>
          <cell r="U979">
            <v>0</v>
          </cell>
          <cell r="W979">
            <v>-31779.569999999978</v>
          </cell>
          <cell r="X979">
            <v>0</v>
          </cell>
          <cell r="Z979">
            <v>-4141.9400000000023</v>
          </cell>
          <cell r="AA979">
            <v>0</v>
          </cell>
          <cell r="AC979">
            <v>-26315.039999999979</v>
          </cell>
          <cell r="AD979">
            <v>0</v>
          </cell>
          <cell r="AF979">
            <v>-26686.710000000021</v>
          </cell>
          <cell r="AG979">
            <v>0</v>
          </cell>
          <cell r="AI979">
            <v>-33145.440000000002</v>
          </cell>
          <cell r="AJ979">
            <v>0</v>
          </cell>
          <cell r="AL979">
            <v>-55802.859999999986</v>
          </cell>
          <cell r="AM979">
            <v>0</v>
          </cell>
          <cell r="AO979">
            <v>-33314.5</v>
          </cell>
          <cell r="AP979">
            <v>0</v>
          </cell>
          <cell r="AR979">
            <v>-41041.929999999993</v>
          </cell>
          <cell r="AS979">
            <v>0</v>
          </cell>
          <cell r="BF979" t="str">
            <v>8201</v>
          </cell>
          <cell r="BG979" t="str">
            <v>Z000</v>
          </cell>
          <cell r="BH979" t="str">
            <v>GFS</v>
          </cell>
        </row>
        <row r="980">
          <cell r="K980">
            <v>21467.75</v>
          </cell>
          <cell r="L980">
            <v>0</v>
          </cell>
          <cell r="N980">
            <v>3590.4600000000064</v>
          </cell>
          <cell r="O980">
            <v>0</v>
          </cell>
          <cell r="Q980">
            <v>19536.619999999995</v>
          </cell>
          <cell r="R980">
            <v>0</v>
          </cell>
          <cell r="T980">
            <v>-1184</v>
          </cell>
          <cell r="U980">
            <v>0</v>
          </cell>
          <cell r="W980">
            <v>20557</v>
          </cell>
          <cell r="X980">
            <v>0</v>
          </cell>
          <cell r="Z980">
            <v>13508.380000000005</v>
          </cell>
          <cell r="AA980">
            <v>0</v>
          </cell>
          <cell r="AC980">
            <v>12265.14999999998</v>
          </cell>
          <cell r="AD980">
            <v>0</v>
          </cell>
          <cell r="AF980">
            <v>28937.559999999983</v>
          </cell>
          <cell r="AG980">
            <v>0</v>
          </cell>
          <cell r="AI980">
            <v>28918.359999999986</v>
          </cell>
          <cell r="AJ980">
            <v>0</v>
          </cell>
          <cell r="AL980">
            <v>37860.200000000012</v>
          </cell>
          <cell r="AM980">
            <v>0</v>
          </cell>
          <cell r="AO980">
            <v>-12202</v>
          </cell>
          <cell r="AP980">
            <v>0</v>
          </cell>
          <cell r="AR980">
            <v>-52276.709999999963</v>
          </cell>
          <cell r="AS980">
            <v>0</v>
          </cell>
          <cell r="BF980" t="str">
            <v>8300</v>
          </cell>
          <cell r="BG980" t="str">
            <v>Z000</v>
          </cell>
          <cell r="BH980" t="str">
            <v>GFS</v>
          </cell>
        </row>
        <row r="981">
          <cell r="K981">
            <v>-7122.7899999995716</v>
          </cell>
          <cell r="L981">
            <v>0</v>
          </cell>
          <cell r="N981">
            <v>28592.240000000224</v>
          </cell>
          <cell r="O981">
            <v>0</v>
          </cell>
          <cell r="Q981">
            <v>336097.56000000425</v>
          </cell>
          <cell r="R981">
            <v>0</v>
          </cell>
          <cell r="T981">
            <v>318416.87000000197</v>
          </cell>
          <cell r="U981">
            <v>0</v>
          </cell>
          <cell r="W981">
            <v>-427002.15000000224</v>
          </cell>
          <cell r="X981">
            <v>0</v>
          </cell>
          <cell r="Z981">
            <v>66535.289999998175</v>
          </cell>
          <cell r="AA981">
            <v>0</v>
          </cell>
          <cell r="AC981">
            <v>-309334.18999999855</v>
          </cell>
          <cell r="AD981">
            <v>0</v>
          </cell>
          <cell r="AF981">
            <v>385098.05999999959</v>
          </cell>
          <cell r="AG981">
            <v>0</v>
          </cell>
          <cell r="AI981">
            <v>-9397.1800000052899</v>
          </cell>
          <cell r="AJ981">
            <v>0</v>
          </cell>
          <cell r="AL981">
            <v>-193577.3300000038</v>
          </cell>
          <cell r="AM981">
            <v>0</v>
          </cell>
          <cell r="AO981">
            <v>-145720.75000000931</v>
          </cell>
          <cell r="AP981">
            <v>0</v>
          </cell>
          <cell r="AR981">
            <v>495647.36000001803</v>
          </cell>
          <cell r="AS981">
            <v>0</v>
          </cell>
          <cell r="BF981" t="str">
            <v>8400</v>
          </cell>
          <cell r="BG981" t="str">
            <v>N001</v>
          </cell>
          <cell r="BH981" t="str">
            <v>GFS</v>
          </cell>
        </row>
        <row r="982">
          <cell r="K982">
            <v>-16865</v>
          </cell>
          <cell r="L982">
            <v>0</v>
          </cell>
          <cell r="N982">
            <v>45405</v>
          </cell>
          <cell r="O982">
            <v>0</v>
          </cell>
          <cell r="Q982">
            <v>-16875.030000000028</v>
          </cell>
          <cell r="R982">
            <v>0</v>
          </cell>
          <cell r="T982">
            <v>61962.120000000112</v>
          </cell>
          <cell r="U982">
            <v>0</v>
          </cell>
          <cell r="W982">
            <v>-46786.209999999031</v>
          </cell>
          <cell r="X982">
            <v>0</v>
          </cell>
          <cell r="Z982">
            <v>-33343.509999999776</v>
          </cell>
          <cell r="AA982">
            <v>0</v>
          </cell>
          <cell r="AC982">
            <v>-33317.480000001378</v>
          </cell>
          <cell r="AD982">
            <v>0</v>
          </cell>
          <cell r="AF982">
            <v>191626.34000000358</v>
          </cell>
          <cell r="AG982">
            <v>0</v>
          </cell>
          <cell r="AI982">
            <v>-168388.56999999937</v>
          </cell>
          <cell r="AJ982">
            <v>0</v>
          </cell>
          <cell r="AL982">
            <v>64852.650000002235</v>
          </cell>
          <cell r="AM982">
            <v>0</v>
          </cell>
          <cell r="AO982">
            <v>4730.2000000001863</v>
          </cell>
          <cell r="AP982">
            <v>0</v>
          </cell>
          <cell r="AR982">
            <v>-13852.420000001788</v>
          </cell>
          <cell r="AS982">
            <v>0</v>
          </cell>
          <cell r="BF982" t="str">
            <v>8400</v>
          </cell>
          <cell r="BG982" t="str">
            <v>N002</v>
          </cell>
          <cell r="BH982" t="str">
            <v>GFS</v>
          </cell>
        </row>
        <row r="983">
          <cell r="K983">
            <v>-15</v>
          </cell>
          <cell r="L983">
            <v>0</v>
          </cell>
          <cell r="N983">
            <v>-115.09999999997672</v>
          </cell>
          <cell r="O983">
            <v>0</v>
          </cell>
          <cell r="Q983">
            <v>-40.400000000023283</v>
          </cell>
          <cell r="R983">
            <v>0</v>
          </cell>
          <cell r="T983">
            <v>-15.10999999998603</v>
          </cell>
          <cell r="U983">
            <v>0</v>
          </cell>
          <cell r="W983">
            <v>-15.510000000009313</v>
          </cell>
          <cell r="X983">
            <v>0</v>
          </cell>
          <cell r="Z983">
            <v>-15.959999999962747</v>
          </cell>
          <cell r="AA983">
            <v>0</v>
          </cell>
          <cell r="AC983">
            <v>199983.74</v>
          </cell>
          <cell r="AD983">
            <v>0</v>
          </cell>
          <cell r="AF983">
            <v>-199916.99999999977</v>
          </cell>
          <cell r="AG983">
            <v>0</v>
          </cell>
          <cell r="AI983">
            <v>-15</v>
          </cell>
          <cell r="AJ983">
            <v>0</v>
          </cell>
          <cell r="AL983">
            <v>-15</v>
          </cell>
          <cell r="AM983">
            <v>0</v>
          </cell>
          <cell r="AO983">
            <v>0</v>
          </cell>
          <cell r="AP983">
            <v>0</v>
          </cell>
          <cell r="AR983">
            <v>0</v>
          </cell>
          <cell r="AS983">
            <v>0</v>
          </cell>
          <cell r="BF983" t="str">
            <v>8400</v>
          </cell>
          <cell r="BG983" t="str">
            <v>N003</v>
          </cell>
          <cell r="BH983" t="str">
            <v>GFS</v>
          </cell>
        </row>
        <row r="984">
          <cell r="K984">
            <v>5637.700000000008</v>
          </cell>
          <cell r="L984">
            <v>0</v>
          </cell>
          <cell r="N984">
            <v>-4029.9199999999983</v>
          </cell>
          <cell r="O984">
            <v>0</v>
          </cell>
          <cell r="Q984">
            <v>2829.349999999984</v>
          </cell>
          <cell r="R984">
            <v>0</v>
          </cell>
          <cell r="T984">
            <v>6344.3299999999872</v>
          </cell>
          <cell r="U984">
            <v>0</v>
          </cell>
          <cell r="W984">
            <v>2217.9500000000771</v>
          </cell>
          <cell r="X984">
            <v>0</v>
          </cell>
          <cell r="Z984">
            <v>3960.8599999999569</v>
          </cell>
          <cell r="AA984">
            <v>0</v>
          </cell>
          <cell r="AC984">
            <v>-16455.199999999997</v>
          </cell>
          <cell r="AD984">
            <v>0</v>
          </cell>
          <cell r="AF984">
            <v>1967.039999999979</v>
          </cell>
          <cell r="AG984">
            <v>0</v>
          </cell>
          <cell r="AI984">
            <v>3033.8000000000029</v>
          </cell>
          <cell r="AJ984">
            <v>0</v>
          </cell>
          <cell r="AL984">
            <v>-1263.7900000000518</v>
          </cell>
          <cell r="AM984">
            <v>0</v>
          </cell>
          <cell r="AO984">
            <v>7291.3299999999435</v>
          </cell>
          <cell r="AP984">
            <v>0</v>
          </cell>
          <cell r="AR984">
            <v>-5018.960000000021</v>
          </cell>
          <cell r="AS984">
            <v>0</v>
          </cell>
          <cell r="BF984" t="str">
            <v>8400</v>
          </cell>
          <cell r="BG984" t="str">
            <v>N004</v>
          </cell>
          <cell r="BH984" t="str">
            <v>GFS</v>
          </cell>
        </row>
        <row r="985">
          <cell r="K985">
            <v>22182.120000004797</v>
          </cell>
          <cell r="L985">
            <v>0</v>
          </cell>
          <cell r="N985">
            <v>-42837.909999995114</v>
          </cell>
          <cell r="O985">
            <v>0</v>
          </cell>
          <cell r="Q985">
            <v>7221.3999999983353</v>
          </cell>
          <cell r="R985">
            <v>0</v>
          </cell>
          <cell r="T985">
            <v>59739.45000000007</v>
          </cell>
          <cell r="U985">
            <v>0</v>
          </cell>
          <cell r="W985">
            <v>-55928.020000000019</v>
          </cell>
          <cell r="X985">
            <v>0</v>
          </cell>
          <cell r="Z985">
            <v>1908.4200000000419</v>
          </cell>
          <cell r="AA985">
            <v>0</v>
          </cell>
          <cell r="AC985">
            <v>-3170.4000000000233</v>
          </cell>
          <cell r="AD985">
            <v>0</v>
          </cell>
          <cell r="AF985">
            <v>3111.7199999999721</v>
          </cell>
          <cell r="AG985">
            <v>0</v>
          </cell>
          <cell r="AI985">
            <v>13268.229999999865</v>
          </cell>
          <cell r="AJ985">
            <v>0</v>
          </cell>
          <cell r="AL985">
            <v>4724.6199999999953</v>
          </cell>
          <cell r="AM985">
            <v>0</v>
          </cell>
          <cell r="AO985">
            <v>879.32999999995809</v>
          </cell>
          <cell r="AP985">
            <v>0</v>
          </cell>
          <cell r="AR985">
            <v>-10475.260000000126</v>
          </cell>
          <cell r="AS985">
            <v>0</v>
          </cell>
          <cell r="BF985" t="str">
            <v>8400</v>
          </cell>
          <cell r="BG985" t="str">
            <v>N005</v>
          </cell>
          <cell r="BH985" t="str">
            <v>GFS</v>
          </cell>
        </row>
        <row r="986">
          <cell r="K986">
            <v>0</v>
          </cell>
          <cell r="L986">
            <v>0</v>
          </cell>
          <cell r="N986">
            <v>0</v>
          </cell>
          <cell r="O986">
            <v>0</v>
          </cell>
          <cell r="Q986">
            <v>22200.55</v>
          </cell>
          <cell r="R986">
            <v>0</v>
          </cell>
          <cell r="T986">
            <v>-16529.27</v>
          </cell>
          <cell r="U986">
            <v>0</v>
          </cell>
          <cell r="W986">
            <v>-5969.6400000000285</v>
          </cell>
          <cell r="X986">
            <v>0</v>
          </cell>
          <cell r="Z986">
            <v>-1646.1600000000035</v>
          </cell>
          <cell r="AA986">
            <v>0</v>
          </cell>
          <cell r="AC986">
            <v>29973.600000000049</v>
          </cell>
          <cell r="AD986">
            <v>0</v>
          </cell>
          <cell r="AF986">
            <v>-41449.100000000122</v>
          </cell>
          <cell r="AG986">
            <v>0</v>
          </cell>
          <cell r="AI986">
            <v>28841.610000000132</v>
          </cell>
          <cell r="AJ986">
            <v>0</v>
          </cell>
          <cell r="AL986">
            <v>-11979.380000000005</v>
          </cell>
          <cell r="AM986">
            <v>0</v>
          </cell>
          <cell r="AO986">
            <v>27352.90000000014</v>
          </cell>
          <cell r="AP986">
            <v>0</v>
          </cell>
          <cell r="AR986">
            <v>-29582.440000000061</v>
          </cell>
          <cell r="AS986">
            <v>0</v>
          </cell>
          <cell r="BF986" t="str">
            <v>8400</v>
          </cell>
          <cell r="BG986" t="str">
            <v>N006</v>
          </cell>
          <cell r="BH986" t="str">
            <v>GFS</v>
          </cell>
        </row>
        <row r="987">
          <cell r="K987">
            <v>198.57999999999998</v>
          </cell>
          <cell r="L987">
            <v>0</v>
          </cell>
          <cell r="N987">
            <v>1031.04</v>
          </cell>
          <cell r="O987">
            <v>0</v>
          </cell>
          <cell r="Q987">
            <v>-1095.3999999999999</v>
          </cell>
          <cell r="R987">
            <v>0</v>
          </cell>
          <cell r="T987">
            <v>-16.5</v>
          </cell>
          <cell r="U987">
            <v>0</v>
          </cell>
          <cell r="W987">
            <v>243</v>
          </cell>
          <cell r="X987">
            <v>0</v>
          </cell>
          <cell r="Z987">
            <v>518.51</v>
          </cell>
          <cell r="AA987">
            <v>0</v>
          </cell>
          <cell r="AC987">
            <v>493.11999999999989</v>
          </cell>
          <cell r="AD987">
            <v>0</v>
          </cell>
          <cell r="AF987">
            <v>241</v>
          </cell>
          <cell r="AG987">
            <v>0</v>
          </cell>
          <cell r="AI987">
            <v>336.5</v>
          </cell>
          <cell r="AJ987">
            <v>0</v>
          </cell>
          <cell r="AL987">
            <v>487.5</v>
          </cell>
          <cell r="AM987">
            <v>0</v>
          </cell>
          <cell r="AO987">
            <v>0</v>
          </cell>
          <cell r="AP987">
            <v>0</v>
          </cell>
          <cell r="AR987">
            <v>0</v>
          </cell>
          <cell r="AS987">
            <v>0</v>
          </cell>
          <cell r="BF987" t="str">
            <v>8400</v>
          </cell>
          <cell r="BG987" t="str">
            <v>N007</v>
          </cell>
          <cell r="BH987" t="str">
            <v>GFS</v>
          </cell>
        </row>
        <row r="988">
          <cell r="K988">
            <v>0</v>
          </cell>
          <cell r="L988">
            <v>0</v>
          </cell>
          <cell r="N988">
            <v>-15000</v>
          </cell>
          <cell r="O988">
            <v>0</v>
          </cell>
          <cell r="Q988">
            <v>15000</v>
          </cell>
          <cell r="R988">
            <v>0</v>
          </cell>
          <cell r="T988">
            <v>0</v>
          </cell>
          <cell r="U988">
            <v>0</v>
          </cell>
          <cell r="W988">
            <v>100000</v>
          </cell>
          <cell r="X988">
            <v>0</v>
          </cell>
          <cell r="Z988">
            <v>91228</v>
          </cell>
          <cell r="AA988">
            <v>0</v>
          </cell>
          <cell r="AC988">
            <v>8772</v>
          </cell>
          <cell r="AD988">
            <v>0</v>
          </cell>
          <cell r="AF988">
            <v>-150000</v>
          </cell>
          <cell r="AG988">
            <v>0</v>
          </cell>
          <cell r="AI988">
            <v>-50176.370000000112</v>
          </cell>
          <cell r="AJ988">
            <v>0</v>
          </cell>
          <cell r="AL988">
            <v>-50000.000000000931</v>
          </cell>
          <cell r="AM988">
            <v>0</v>
          </cell>
          <cell r="AO988">
            <v>50000</v>
          </cell>
          <cell r="AP988">
            <v>0</v>
          </cell>
          <cell r="AR988">
            <v>0</v>
          </cell>
          <cell r="AS988">
            <v>0</v>
          </cell>
          <cell r="BF988" t="str">
            <v>8400</v>
          </cell>
          <cell r="BG988" t="str">
            <v>N999</v>
          </cell>
          <cell r="BH988" t="str">
            <v>GFS</v>
          </cell>
        </row>
        <row r="989">
          <cell r="K989">
            <v>0</v>
          </cell>
          <cell r="L989">
            <v>0</v>
          </cell>
          <cell r="N989">
            <v>0</v>
          </cell>
          <cell r="O989">
            <v>0</v>
          </cell>
          <cell r="Q989">
            <v>0</v>
          </cell>
          <cell r="R989">
            <v>0</v>
          </cell>
          <cell r="T989">
            <v>0</v>
          </cell>
          <cell r="U989">
            <v>0</v>
          </cell>
          <cell r="W989">
            <v>0</v>
          </cell>
          <cell r="X989">
            <v>0</v>
          </cell>
          <cell r="Z989">
            <v>0</v>
          </cell>
          <cell r="AA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I989">
            <v>0</v>
          </cell>
          <cell r="AJ989">
            <v>0</v>
          </cell>
          <cell r="AL989">
            <v>0</v>
          </cell>
          <cell r="AM989">
            <v>0</v>
          </cell>
          <cell r="AO989">
            <v>0</v>
          </cell>
          <cell r="AP989">
            <v>0</v>
          </cell>
          <cell r="AR989">
            <v>0</v>
          </cell>
          <cell r="AS989">
            <v>0</v>
          </cell>
          <cell r="BF989" t="str">
            <v>8420</v>
          </cell>
          <cell r="BG989" t="str">
            <v>Z000</v>
          </cell>
          <cell r="BH989" t="str">
            <v>GFS</v>
          </cell>
        </row>
        <row r="990">
          <cell r="K990">
            <v>547.70000000018626</v>
          </cell>
          <cell r="L990">
            <v>0</v>
          </cell>
          <cell r="N990">
            <v>9887.2700000000186</v>
          </cell>
          <cell r="O990">
            <v>0</v>
          </cell>
          <cell r="Q990">
            <v>3244.9100000010803</v>
          </cell>
          <cell r="R990">
            <v>0</v>
          </cell>
          <cell r="T990">
            <v>-15514.649999998976</v>
          </cell>
          <cell r="U990">
            <v>0</v>
          </cell>
          <cell r="W990">
            <v>10173.000000001397</v>
          </cell>
          <cell r="X990">
            <v>0</v>
          </cell>
          <cell r="Z990">
            <v>-1131.000000002794</v>
          </cell>
          <cell r="AA990">
            <v>0</v>
          </cell>
          <cell r="AC990">
            <v>-1240.9000000003725</v>
          </cell>
          <cell r="AD990">
            <v>0</v>
          </cell>
          <cell r="AF990">
            <v>30303.999999995343</v>
          </cell>
          <cell r="AG990">
            <v>0</v>
          </cell>
          <cell r="AI990">
            <v>-16107.960000004619</v>
          </cell>
          <cell r="AJ990">
            <v>0</v>
          </cell>
          <cell r="AL990">
            <v>-7954.4000000013039</v>
          </cell>
          <cell r="AM990">
            <v>0</v>
          </cell>
          <cell r="AO990">
            <v>12110.219999999739</v>
          </cell>
          <cell r="AP990">
            <v>0</v>
          </cell>
          <cell r="AR990">
            <v>-21506.350000003353</v>
          </cell>
          <cell r="AS990">
            <v>0</v>
          </cell>
          <cell r="BF990" t="str">
            <v>8500</v>
          </cell>
          <cell r="BG990" t="str">
            <v>O101</v>
          </cell>
          <cell r="BH990" t="str">
            <v>GFS</v>
          </cell>
        </row>
        <row r="991">
          <cell r="K991">
            <v>0</v>
          </cell>
          <cell r="L991">
            <v>0</v>
          </cell>
          <cell r="N991">
            <v>50</v>
          </cell>
          <cell r="O991">
            <v>0</v>
          </cell>
          <cell r="Q991">
            <v>-50</v>
          </cell>
          <cell r="R991">
            <v>0</v>
          </cell>
          <cell r="T991">
            <v>0</v>
          </cell>
          <cell r="U991">
            <v>0</v>
          </cell>
          <cell r="W991">
            <v>0</v>
          </cell>
          <cell r="X991">
            <v>0</v>
          </cell>
          <cell r="Z991">
            <v>0</v>
          </cell>
          <cell r="AA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I991">
            <v>0</v>
          </cell>
          <cell r="AJ991">
            <v>0</v>
          </cell>
          <cell r="AL991">
            <v>0</v>
          </cell>
          <cell r="AM991">
            <v>0</v>
          </cell>
          <cell r="AO991">
            <v>-1200</v>
          </cell>
          <cell r="AP991">
            <v>0</v>
          </cell>
          <cell r="AR991">
            <v>-600</v>
          </cell>
          <cell r="AS991">
            <v>0</v>
          </cell>
          <cell r="BF991" t="str">
            <v>8500</v>
          </cell>
          <cell r="BG991" t="str">
            <v>O102</v>
          </cell>
          <cell r="BH991" t="str">
            <v>GFS</v>
          </cell>
        </row>
        <row r="992">
          <cell r="K992">
            <v>0</v>
          </cell>
          <cell r="L992">
            <v>0</v>
          </cell>
          <cell r="N992">
            <v>-450</v>
          </cell>
          <cell r="O992">
            <v>0</v>
          </cell>
          <cell r="Q992">
            <v>-850</v>
          </cell>
          <cell r="R992">
            <v>0</v>
          </cell>
          <cell r="T992">
            <v>1300</v>
          </cell>
          <cell r="U992">
            <v>0</v>
          </cell>
          <cell r="W992">
            <v>0</v>
          </cell>
          <cell r="X992">
            <v>0</v>
          </cell>
          <cell r="Z992">
            <v>0</v>
          </cell>
          <cell r="AA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I992">
            <v>0</v>
          </cell>
          <cell r="AJ992">
            <v>0</v>
          </cell>
          <cell r="AL992">
            <v>0</v>
          </cell>
          <cell r="AM992">
            <v>0</v>
          </cell>
          <cell r="AO992">
            <v>0</v>
          </cell>
          <cell r="AP992">
            <v>0</v>
          </cell>
          <cell r="AR992">
            <v>27</v>
          </cell>
          <cell r="AS992">
            <v>0</v>
          </cell>
          <cell r="BF992" t="str">
            <v>8500</v>
          </cell>
          <cell r="BG992" t="str">
            <v>O103</v>
          </cell>
          <cell r="BH992" t="str">
            <v>GFS</v>
          </cell>
        </row>
        <row r="993">
          <cell r="K993">
            <v>0</v>
          </cell>
          <cell r="L993">
            <v>0</v>
          </cell>
          <cell r="N993">
            <v>70</v>
          </cell>
          <cell r="O993">
            <v>0</v>
          </cell>
          <cell r="Q993">
            <v>-70</v>
          </cell>
          <cell r="R993">
            <v>0</v>
          </cell>
          <cell r="T993">
            <v>0</v>
          </cell>
          <cell r="U993">
            <v>0</v>
          </cell>
          <cell r="W993">
            <v>0</v>
          </cell>
          <cell r="X993">
            <v>0</v>
          </cell>
          <cell r="Z993">
            <v>0</v>
          </cell>
          <cell r="AA993">
            <v>0</v>
          </cell>
          <cell r="AC993">
            <v>50</v>
          </cell>
          <cell r="AD993">
            <v>0</v>
          </cell>
          <cell r="AF993">
            <v>-50</v>
          </cell>
          <cell r="AG993">
            <v>0</v>
          </cell>
          <cell r="AI993">
            <v>0</v>
          </cell>
          <cell r="AJ993">
            <v>0</v>
          </cell>
          <cell r="AL993">
            <v>0</v>
          </cell>
          <cell r="AM993">
            <v>0</v>
          </cell>
          <cell r="AO993">
            <v>0</v>
          </cell>
          <cell r="AP993">
            <v>0</v>
          </cell>
          <cell r="AR993">
            <v>0</v>
          </cell>
          <cell r="AS993">
            <v>0</v>
          </cell>
          <cell r="BF993" t="str">
            <v>8500</v>
          </cell>
          <cell r="BG993" t="str">
            <v>O104</v>
          </cell>
          <cell r="BH993" t="str">
            <v>GFS</v>
          </cell>
        </row>
        <row r="994">
          <cell r="K994">
            <v>400</v>
          </cell>
          <cell r="L994">
            <v>0</v>
          </cell>
          <cell r="N994">
            <v>-400</v>
          </cell>
          <cell r="O994">
            <v>0</v>
          </cell>
          <cell r="Q994">
            <v>0</v>
          </cell>
          <cell r="R994">
            <v>0</v>
          </cell>
          <cell r="T994">
            <v>0</v>
          </cell>
          <cell r="U994">
            <v>0</v>
          </cell>
          <cell r="W994">
            <v>0</v>
          </cell>
          <cell r="X994">
            <v>0</v>
          </cell>
          <cell r="Z994">
            <v>0</v>
          </cell>
          <cell r="AA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I994">
            <v>0</v>
          </cell>
          <cell r="AJ994">
            <v>0</v>
          </cell>
          <cell r="AL994">
            <v>0</v>
          </cell>
          <cell r="AM994">
            <v>0</v>
          </cell>
          <cell r="AO994">
            <v>0</v>
          </cell>
          <cell r="AP994">
            <v>0</v>
          </cell>
          <cell r="AR994">
            <v>0</v>
          </cell>
          <cell r="AS994">
            <v>0</v>
          </cell>
          <cell r="BF994" t="str">
            <v>8500</v>
          </cell>
          <cell r="BG994" t="str">
            <v>O105</v>
          </cell>
          <cell r="BH994" t="str">
            <v>GFS</v>
          </cell>
        </row>
        <row r="995">
          <cell r="K995">
            <v>0</v>
          </cell>
          <cell r="L995">
            <v>0</v>
          </cell>
          <cell r="N995">
            <v>-70</v>
          </cell>
          <cell r="O995">
            <v>0</v>
          </cell>
          <cell r="Q995">
            <v>70</v>
          </cell>
          <cell r="R995">
            <v>0</v>
          </cell>
          <cell r="T995">
            <v>0</v>
          </cell>
          <cell r="U995">
            <v>0</v>
          </cell>
          <cell r="W995">
            <v>0</v>
          </cell>
          <cell r="X995">
            <v>0</v>
          </cell>
          <cell r="Z995">
            <v>0</v>
          </cell>
          <cell r="AA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I995">
            <v>0</v>
          </cell>
          <cell r="AJ995">
            <v>0</v>
          </cell>
          <cell r="AL995">
            <v>0</v>
          </cell>
          <cell r="AM995">
            <v>0</v>
          </cell>
          <cell r="AO995">
            <v>0</v>
          </cell>
          <cell r="AP995">
            <v>0</v>
          </cell>
          <cell r="AR995">
            <v>0</v>
          </cell>
          <cell r="AS995">
            <v>0</v>
          </cell>
          <cell r="BF995" t="str">
            <v>8500</v>
          </cell>
          <cell r="BG995" t="str">
            <v>O106</v>
          </cell>
          <cell r="BH995" t="str">
            <v>GFS</v>
          </cell>
        </row>
        <row r="996">
          <cell r="K996">
            <v>0</v>
          </cell>
          <cell r="L996">
            <v>0</v>
          </cell>
          <cell r="N996">
            <v>0</v>
          </cell>
          <cell r="O996">
            <v>0</v>
          </cell>
          <cell r="Q996">
            <v>-450</v>
          </cell>
          <cell r="R996">
            <v>0</v>
          </cell>
          <cell r="T996">
            <v>450</v>
          </cell>
          <cell r="U996">
            <v>0</v>
          </cell>
          <cell r="W996">
            <v>0</v>
          </cell>
          <cell r="X996">
            <v>0</v>
          </cell>
          <cell r="Z996">
            <v>0</v>
          </cell>
          <cell r="AA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I996">
            <v>0</v>
          </cell>
          <cell r="AJ996">
            <v>0</v>
          </cell>
          <cell r="AL996">
            <v>0</v>
          </cell>
          <cell r="AM996">
            <v>0</v>
          </cell>
          <cell r="AO996">
            <v>0</v>
          </cell>
          <cell r="AP996">
            <v>0</v>
          </cell>
          <cell r="AR996">
            <v>0</v>
          </cell>
          <cell r="AS996">
            <v>0</v>
          </cell>
          <cell r="BF996" t="str">
            <v>8500</v>
          </cell>
          <cell r="BG996" t="str">
            <v>O107</v>
          </cell>
          <cell r="BH996" t="str">
            <v>GFS</v>
          </cell>
        </row>
        <row r="997">
          <cell r="K997">
            <v>0</v>
          </cell>
          <cell r="L997">
            <v>0</v>
          </cell>
          <cell r="N997">
            <v>0</v>
          </cell>
          <cell r="O997">
            <v>0</v>
          </cell>
          <cell r="Q997">
            <v>0</v>
          </cell>
          <cell r="R997">
            <v>0</v>
          </cell>
          <cell r="T997">
            <v>0</v>
          </cell>
          <cell r="U997">
            <v>0</v>
          </cell>
          <cell r="W997">
            <v>0</v>
          </cell>
          <cell r="X997">
            <v>0</v>
          </cell>
          <cell r="Z997">
            <v>0</v>
          </cell>
          <cell r="AA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I997">
            <v>0</v>
          </cell>
          <cell r="AJ997">
            <v>0</v>
          </cell>
          <cell r="AL997">
            <v>0</v>
          </cell>
          <cell r="AM997">
            <v>0</v>
          </cell>
          <cell r="AO997">
            <v>0</v>
          </cell>
          <cell r="AP997">
            <v>0</v>
          </cell>
          <cell r="AR997">
            <v>0</v>
          </cell>
          <cell r="AS997">
            <v>0</v>
          </cell>
          <cell r="BF997" t="str">
            <v>8500</v>
          </cell>
          <cell r="BG997" t="str">
            <v>O108</v>
          </cell>
          <cell r="BH997" t="str">
            <v>GFS</v>
          </cell>
        </row>
        <row r="998">
          <cell r="K998">
            <v>0</v>
          </cell>
          <cell r="L998">
            <v>0</v>
          </cell>
          <cell r="N998">
            <v>0</v>
          </cell>
          <cell r="O998">
            <v>0</v>
          </cell>
          <cell r="Q998">
            <v>0</v>
          </cell>
          <cell r="R998">
            <v>0</v>
          </cell>
          <cell r="T998">
            <v>0</v>
          </cell>
          <cell r="U998">
            <v>0</v>
          </cell>
          <cell r="W998">
            <v>0</v>
          </cell>
          <cell r="X998">
            <v>0</v>
          </cell>
          <cell r="Z998">
            <v>0</v>
          </cell>
          <cell r="AA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I998">
            <v>350</v>
          </cell>
          <cell r="AJ998">
            <v>0</v>
          </cell>
          <cell r="AL998">
            <v>0</v>
          </cell>
          <cell r="AM998">
            <v>0</v>
          </cell>
          <cell r="AO998">
            <v>-350</v>
          </cell>
          <cell r="AP998">
            <v>0</v>
          </cell>
          <cell r="AR998">
            <v>0</v>
          </cell>
          <cell r="AS998">
            <v>0</v>
          </cell>
          <cell r="BF998" t="str">
            <v>8500</v>
          </cell>
          <cell r="BG998" t="str">
            <v>O109</v>
          </cell>
          <cell r="BH998" t="str">
            <v>GFS</v>
          </cell>
        </row>
        <row r="999">
          <cell r="K999">
            <v>0</v>
          </cell>
          <cell r="L999">
            <v>0</v>
          </cell>
          <cell r="N999">
            <v>0</v>
          </cell>
          <cell r="O999">
            <v>0</v>
          </cell>
          <cell r="Q999">
            <v>0</v>
          </cell>
          <cell r="R999">
            <v>0</v>
          </cell>
          <cell r="T999">
            <v>0</v>
          </cell>
          <cell r="U999">
            <v>0</v>
          </cell>
          <cell r="W999">
            <v>0</v>
          </cell>
          <cell r="X999">
            <v>0</v>
          </cell>
          <cell r="Z999">
            <v>0</v>
          </cell>
          <cell r="AA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I999">
            <v>0</v>
          </cell>
          <cell r="AJ999">
            <v>0</v>
          </cell>
          <cell r="AL999">
            <v>0</v>
          </cell>
          <cell r="AM999">
            <v>0</v>
          </cell>
          <cell r="AO999">
            <v>0</v>
          </cell>
          <cell r="AP999">
            <v>0</v>
          </cell>
          <cell r="AR999">
            <v>-350</v>
          </cell>
          <cell r="AS999">
            <v>0</v>
          </cell>
          <cell r="BF999" t="str">
            <v>8500</v>
          </cell>
          <cell r="BG999" t="str">
            <v>O110</v>
          </cell>
          <cell r="BH999" t="str">
            <v>GFS</v>
          </cell>
        </row>
        <row r="1000">
          <cell r="K1000">
            <v>0</v>
          </cell>
          <cell r="L1000">
            <v>0</v>
          </cell>
          <cell r="N1000">
            <v>0</v>
          </cell>
          <cell r="O1000">
            <v>0</v>
          </cell>
          <cell r="Q1000">
            <v>-450</v>
          </cell>
          <cell r="R1000">
            <v>0</v>
          </cell>
          <cell r="T1000">
            <v>450</v>
          </cell>
          <cell r="U1000">
            <v>0</v>
          </cell>
          <cell r="W1000">
            <v>0</v>
          </cell>
          <cell r="X1000">
            <v>0</v>
          </cell>
          <cell r="Z1000">
            <v>0</v>
          </cell>
          <cell r="AA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I1000">
            <v>0</v>
          </cell>
          <cell r="AJ1000">
            <v>0</v>
          </cell>
          <cell r="AL1000">
            <v>0</v>
          </cell>
          <cell r="AM1000">
            <v>0</v>
          </cell>
          <cell r="AO1000">
            <v>0</v>
          </cell>
          <cell r="AP1000">
            <v>0</v>
          </cell>
          <cell r="AR1000">
            <v>0</v>
          </cell>
          <cell r="AS1000">
            <v>0</v>
          </cell>
          <cell r="BF1000" t="str">
            <v>8500</v>
          </cell>
          <cell r="BG1000" t="str">
            <v>O111</v>
          </cell>
          <cell r="BH1000" t="str">
            <v>GFS</v>
          </cell>
        </row>
        <row r="1001">
          <cell r="K1001">
            <v>2.000000000003638</v>
          </cell>
          <cell r="L1001">
            <v>0</v>
          </cell>
          <cell r="N1001">
            <v>15.000000000003638</v>
          </cell>
          <cell r="O1001">
            <v>0</v>
          </cell>
          <cell r="Q1001">
            <v>-13</v>
          </cell>
          <cell r="R1001">
            <v>0</v>
          </cell>
          <cell r="T1001">
            <v>-10.999999999978172</v>
          </cell>
          <cell r="U1001">
            <v>0</v>
          </cell>
          <cell r="W1001">
            <v>35.999999999992724</v>
          </cell>
          <cell r="X1001">
            <v>0</v>
          </cell>
          <cell r="Z1001">
            <v>-25.999999999992724</v>
          </cell>
          <cell r="AA1001">
            <v>0</v>
          </cell>
          <cell r="AC1001">
            <v>-7</v>
          </cell>
          <cell r="AD1001">
            <v>0</v>
          </cell>
          <cell r="AF1001">
            <v>19</v>
          </cell>
          <cell r="AG1001">
            <v>0</v>
          </cell>
          <cell r="AI1001">
            <v>91.000000000014552</v>
          </cell>
          <cell r="AJ1001">
            <v>0</v>
          </cell>
          <cell r="AL1001">
            <v>197</v>
          </cell>
          <cell r="AM1001">
            <v>0</v>
          </cell>
          <cell r="AO1001">
            <v>212</v>
          </cell>
          <cell r="AP1001">
            <v>0</v>
          </cell>
          <cell r="AR1001">
            <v>-515</v>
          </cell>
          <cell r="AS1001">
            <v>0</v>
          </cell>
          <cell r="BF1001" t="str">
            <v>8600</v>
          </cell>
          <cell r="BG1001" t="str">
            <v>P201</v>
          </cell>
          <cell r="BH1001" t="str">
            <v>GFS</v>
          </cell>
        </row>
        <row r="1002">
          <cell r="K1002">
            <v>236</v>
          </cell>
          <cell r="L1002">
            <v>0</v>
          </cell>
          <cell r="N1002">
            <v>-114</v>
          </cell>
          <cell r="O1002">
            <v>0</v>
          </cell>
          <cell r="Q1002">
            <v>418</v>
          </cell>
          <cell r="R1002">
            <v>0</v>
          </cell>
          <cell r="T1002">
            <v>-374</v>
          </cell>
          <cell r="U1002">
            <v>0</v>
          </cell>
          <cell r="W1002">
            <v>95</v>
          </cell>
          <cell r="X1002">
            <v>0</v>
          </cell>
          <cell r="Z1002">
            <v>183</v>
          </cell>
          <cell r="AA1002">
            <v>0</v>
          </cell>
          <cell r="AC1002">
            <v>167</v>
          </cell>
          <cell r="AD1002">
            <v>0</v>
          </cell>
          <cell r="AF1002">
            <v>147</v>
          </cell>
          <cell r="AG1002">
            <v>0</v>
          </cell>
          <cell r="AI1002">
            <v>-48</v>
          </cell>
          <cell r="AJ1002">
            <v>0</v>
          </cell>
          <cell r="AL1002">
            <v>-133</v>
          </cell>
          <cell r="AM1002">
            <v>0</v>
          </cell>
          <cell r="AO1002">
            <v>403</v>
          </cell>
          <cell r="AP1002">
            <v>0</v>
          </cell>
          <cell r="AR1002">
            <v>-403</v>
          </cell>
          <cell r="AS1002">
            <v>0</v>
          </cell>
          <cell r="BF1002" t="str">
            <v>8600</v>
          </cell>
          <cell r="BG1002" t="str">
            <v>P202</v>
          </cell>
          <cell r="BH1002" t="str">
            <v>GFS</v>
          </cell>
        </row>
        <row r="1003">
          <cell r="K1003">
            <v>478</v>
          </cell>
          <cell r="L1003">
            <v>0</v>
          </cell>
          <cell r="N1003">
            <v>93</v>
          </cell>
          <cell r="O1003">
            <v>0</v>
          </cell>
          <cell r="Q1003">
            <v>-38</v>
          </cell>
          <cell r="R1003">
            <v>0</v>
          </cell>
          <cell r="T1003">
            <v>-457</v>
          </cell>
          <cell r="U1003">
            <v>0</v>
          </cell>
          <cell r="W1003">
            <v>-10</v>
          </cell>
          <cell r="X1003">
            <v>0</v>
          </cell>
          <cell r="Z1003">
            <v>-66</v>
          </cell>
          <cell r="AA1003">
            <v>0</v>
          </cell>
          <cell r="AC1003">
            <v>72</v>
          </cell>
          <cell r="AD1003">
            <v>0</v>
          </cell>
          <cell r="AF1003">
            <v>164</v>
          </cell>
          <cell r="AG1003">
            <v>0</v>
          </cell>
          <cell r="AI1003">
            <v>0</v>
          </cell>
          <cell r="AJ1003">
            <v>0</v>
          </cell>
          <cell r="AL1003">
            <v>152</v>
          </cell>
          <cell r="AM1003">
            <v>0</v>
          </cell>
          <cell r="AO1003">
            <v>-202</v>
          </cell>
          <cell r="AP1003">
            <v>0</v>
          </cell>
          <cell r="AR1003">
            <v>-186</v>
          </cell>
          <cell r="AS1003">
            <v>0</v>
          </cell>
          <cell r="BF1003" t="str">
            <v>8600</v>
          </cell>
          <cell r="BG1003" t="str">
            <v>P203</v>
          </cell>
          <cell r="BH1003" t="str">
            <v>GFS</v>
          </cell>
        </row>
        <row r="1004">
          <cell r="K1004">
            <v>0</v>
          </cell>
          <cell r="L1004">
            <v>0</v>
          </cell>
          <cell r="N1004">
            <v>43</v>
          </cell>
          <cell r="O1004">
            <v>0</v>
          </cell>
          <cell r="Q1004">
            <v>3</v>
          </cell>
          <cell r="R1004">
            <v>0</v>
          </cell>
          <cell r="T1004">
            <v>96</v>
          </cell>
          <cell r="U1004">
            <v>0</v>
          </cell>
          <cell r="W1004">
            <v>-142</v>
          </cell>
          <cell r="X1004">
            <v>0</v>
          </cell>
          <cell r="Z1004">
            <v>60</v>
          </cell>
          <cell r="AA1004">
            <v>0</v>
          </cell>
          <cell r="AC1004">
            <v>49</v>
          </cell>
          <cell r="AD1004">
            <v>0</v>
          </cell>
          <cell r="AF1004">
            <v>-43</v>
          </cell>
          <cell r="AG1004">
            <v>0</v>
          </cell>
          <cell r="AI1004">
            <v>-63</v>
          </cell>
          <cell r="AJ1004">
            <v>0</v>
          </cell>
          <cell r="AL1004">
            <v>135</v>
          </cell>
          <cell r="AM1004">
            <v>0</v>
          </cell>
          <cell r="AO1004">
            <v>-40</v>
          </cell>
          <cell r="AP1004">
            <v>0</v>
          </cell>
          <cell r="AR1004">
            <v>-98</v>
          </cell>
          <cell r="AS1004">
            <v>0</v>
          </cell>
          <cell r="BF1004" t="str">
            <v>8600</v>
          </cell>
          <cell r="BG1004" t="str">
            <v>P204</v>
          </cell>
          <cell r="BH1004" t="str">
            <v>GFS</v>
          </cell>
        </row>
        <row r="1005">
          <cell r="K1005">
            <v>0</v>
          </cell>
          <cell r="L1005">
            <v>0</v>
          </cell>
          <cell r="N1005">
            <v>0</v>
          </cell>
          <cell r="O1005">
            <v>0</v>
          </cell>
          <cell r="Q1005">
            <v>28</v>
          </cell>
          <cell r="R1005">
            <v>0</v>
          </cell>
          <cell r="T1005">
            <v>24</v>
          </cell>
          <cell r="U1005">
            <v>0</v>
          </cell>
          <cell r="W1005">
            <v>0</v>
          </cell>
          <cell r="X1005">
            <v>0</v>
          </cell>
          <cell r="Z1005">
            <v>-45.999999999998181</v>
          </cell>
          <cell r="AA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I1005">
            <v>0</v>
          </cell>
          <cell r="AJ1005">
            <v>0</v>
          </cell>
          <cell r="AL1005">
            <v>0</v>
          </cell>
          <cell r="AM1005">
            <v>0</v>
          </cell>
          <cell r="AO1005">
            <v>0</v>
          </cell>
          <cell r="AP1005">
            <v>0</v>
          </cell>
          <cell r="AR1005">
            <v>-5.999999999998181</v>
          </cell>
          <cell r="AS1005">
            <v>0</v>
          </cell>
          <cell r="BF1005" t="str">
            <v>8600</v>
          </cell>
          <cell r="BG1005" t="str">
            <v>P205</v>
          </cell>
          <cell r="BH1005" t="str">
            <v>GFS</v>
          </cell>
        </row>
        <row r="1006">
          <cell r="K1006">
            <v>275</v>
          </cell>
          <cell r="L1006">
            <v>0</v>
          </cell>
          <cell r="N1006">
            <v>-275</v>
          </cell>
          <cell r="O1006">
            <v>0</v>
          </cell>
          <cell r="Q1006">
            <v>29</v>
          </cell>
          <cell r="R1006">
            <v>0</v>
          </cell>
          <cell r="T1006">
            <v>0</v>
          </cell>
          <cell r="U1006">
            <v>0</v>
          </cell>
          <cell r="W1006">
            <v>62</v>
          </cell>
          <cell r="X1006">
            <v>0</v>
          </cell>
          <cell r="Z1006">
            <v>-32</v>
          </cell>
          <cell r="AA1006">
            <v>0</v>
          </cell>
          <cell r="AC1006">
            <v>-23</v>
          </cell>
          <cell r="AD1006">
            <v>0</v>
          </cell>
          <cell r="AF1006">
            <v>96</v>
          </cell>
          <cell r="AG1006">
            <v>0</v>
          </cell>
          <cell r="AI1006">
            <v>-88</v>
          </cell>
          <cell r="AJ1006">
            <v>0</v>
          </cell>
          <cell r="AL1006">
            <v>15</v>
          </cell>
          <cell r="AM1006">
            <v>0</v>
          </cell>
          <cell r="AO1006">
            <v>-3</v>
          </cell>
          <cell r="AP1006">
            <v>0</v>
          </cell>
          <cell r="AR1006">
            <v>-406.00000000000364</v>
          </cell>
          <cell r="AS1006">
            <v>0</v>
          </cell>
          <cell r="BF1006" t="str">
            <v>8600</v>
          </cell>
          <cell r="BG1006" t="str">
            <v>P206</v>
          </cell>
          <cell r="BH1006" t="str">
            <v>GFS</v>
          </cell>
        </row>
        <row r="1007">
          <cell r="K1007">
            <v>97</v>
          </cell>
          <cell r="L1007">
            <v>0</v>
          </cell>
          <cell r="N1007">
            <v>-97</v>
          </cell>
          <cell r="O1007">
            <v>0</v>
          </cell>
          <cell r="Q1007">
            <v>170</v>
          </cell>
          <cell r="R1007">
            <v>0</v>
          </cell>
          <cell r="T1007">
            <v>-167</v>
          </cell>
          <cell r="U1007">
            <v>0</v>
          </cell>
          <cell r="W1007">
            <v>10</v>
          </cell>
          <cell r="X1007">
            <v>0</v>
          </cell>
          <cell r="Z1007">
            <v>-61</v>
          </cell>
          <cell r="AA1007">
            <v>0</v>
          </cell>
          <cell r="AC1007">
            <v>-388</v>
          </cell>
          <cell r="AD1007">
            <v>0</v>
          </cell>
          <cell r="AF1007">
            <v>22</v>
          </cell>
          <cell r="AG1007">
            <v>0</v>
          </cell>
          <cell r="AI1007">
            <v>-35</v>
          </cell>
          <cell r="AJ1007">
            <v>0</v>
          </cell>
          <cell r="AL1007">
            <v>121</v>
          </cell>
          <cell r="AM1007">
            <v>0</v>
          </cell>
          <cell r="AO1007">
            <v>189</v>
          </cell>
          <cell r="AP1007">
            <v>0</v>
          </cell>
          <cell r="AR1007">
            <v>-124</v>
          </cell>
          <cell r="AS1007">
            <v>0</v>
          </cell>
          <cell r="BF1007" t="str">
            <v>8600</v>
          </cell>
          <cell r="BG1007" t="str">
            <v>P207</v>
          </cell>
          <cell r="BH1007" t="str">
            <v>GFS</v>
          </cell>
        </row>
        <row r="1008">
          <cell r="K1008">
            <v>0</v>
          </cell>
          <cell r="L1008">
            <v>0</v>
          </cell>
          <cell r="N1008">
            <v>7</v>
          </cell>
          <cell r="O1008">
            <v>0</v>
          </cell>
          <cell r="Q1008">
            <v>0</v>
          </cell>
          <cell r="R1008">
            <v>0</v>
          </cell>
          <cell r="T1008">
            <v>0</v>
          </cell>
          <cell r="U1008">
            <v>0</v>
          </cell>
          <cell r="W1008">
            <v>0</v>
          </cell>
          <cell r="X1008">
            <v>0</v>
          </cell>
          <cell r="Z1008">
            <v>0</v>
          </cell>
          <cell r="AA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I1008">
            <v>0</v>
          </cell>
          <cell r="AJ1008">
            <v>0</v>
          </cell>
          <cell r="AL1008">
            <v>0</v>
          </cell>
          <cell r="AM1008">
            <v>0</v>
          </cell>
          <cell r="AO1008">
            <v>0</v>
          </cell>
          <cell r="AP1008">
            <v>0</v>
          </cell>
          <cell r="AR1008">
            <v>0</v>
          </cell>
          <cell r="AS1008">
            <v>0</v>
          </cell>
          <cell r="BF1008" t="str">
            <v>8600</v>
          </cell>
          <cell r="BG1008" t="str">
            <v>P208</v>
          </cell>
          <cell r="BH1008" t="str">
            <v>GFS</v>
          </cell>
        </row>
        <row r="1009">
          <cell r="K1009">
            <v>325</v>
          </cell>
          <cell r="L1009">
            <v>0</v>
          </cell>
          <cell r="N1009">
            <v>-205</v>
          </cell>
          <cell r="O1009">
            <v>0</v>
          </cell>
          <cell r="Q1009">
            <v>260</v>
          </cell>
          <cell r="R1009">
            <v>0</v>
          </cell>
          <cell r="T1009">
            <v>-380</v>
          </cell>
          <cell r="U1009">
            <v>0</v>
          </cell>
          <cell r="W1009">
            <v>6</v>
          </cell>
          <cell r="X1009">
            <v>0</v>
          </cell>
          <cell r="Z1009">
            <v>-6</v>
          </cell>
          <cell r="AA1009">
            <v>0</v>
          </cell>
          <cell r="AC1009">
            <v>15.300000000000182</v>
          </cell>
          <cell r="AD1009">
            <v>0</v>
          </cell>
          <cell r="AF1009">
            <v>0</v>
          </cell>
          <cell r="AG1009">
            <v>0</v>
          </cell>
          <cell r="AI1009">
            <v>29</v>
          </cell>
          <cell r="AJ1009">
            <v>0</v>
          </cell>
          <cell r="AL1009">
            <v>-181.00000000000091</v>
          </cell>
          <cell r="AM1009">
            <v>0</v>
          </cell>
          <cell r="AO1009">
            <v>223</v>
          </cell>
          <cell r="AP1009">
            <v>0</v>
          </cell>
          <cell r="AR1009">
            <v>-86.299999999999272</v>
          </cell>
          <cell r="AS1009">
            <v>0</v>
          </cell>
          <cell r="BF1009" t="str">
            <v>8600</v>
          </cell>
          <cell r="BG1009" t="str">
            <v>P209</v>
          </cell>
          <cell r="BH1009" t="str">
            <v>GFS</v>
          </cell>
        </row>
        <row r="1010">
          <cell r="K1010">
            <v>290</v>
          </cell>
          <cell r="L1010">
            <v>0</v>
          </cell>
          <cell r="N1010">
            <v>-240</v>
          </cell>
          <cell r="O1010">
            <v>0</v>
          </cell>
          <cell r="Q1010">
            <v>41</v>
          </cell>
          <cell r="R1010">
            <v>0</v>
          </cell>
          <cell r="T1010">
            <v>-64</v>
          </cell>
          <cell r="U1010">
            <v>0</v>
          </cell>
          <cell r="W1010">
            <v>22</v>
          </cell>
          <cell r="X1010">
            <v>0</v>
          </cell>
          <cell r="Z1010">
            <v>43</v>
          </cell>
          <cell r="AA1010">
            <v>0</v>
          </cell>
          <cell r="AC1010">
            <v>80</v>
          </cell>
          <cell r="AD1010">
            <v>0</v>
          </cell>
          <cell r="AF1010">
            <v>149</v>
          </cell>
          <cell r="AG1010">
            <v>0</v>
          </cell>
          <cell r="AI1010">
            <v>-185</v>
          </cell>
          <cell r="AJ1010">
            <v>0</v>
          </cell>
          <cell r="AL1010">
            <v>10</v>
          </cell>
          <cell r="AM1010">
            <v>0</v>
          </cell>
          <cell r="AO1010">
            <v>-54</v>
          </cell>
          <cell r="AP1010">
            <v>0</v>
          </cell>
          <cell r="AR1010">
            <v>-92</v>
          </cell>
          <cell r="AS1010">
            <v>0</v>
          </cell>
          <cell r="BF1010" t="str">
            <v>8600</v>
          </cell>
          <cell r="BG1010" t="str">
            <v>P210</v>
          </cell>
          <cell r="BH1010" t="str">
            <v>GFS</v>
          </cell>
        </row>
        <row r="1011">
          <cell r="K1011">
            <v>170</v>
          </cell>
          <cell r="L1011">
            <v>0</v>
          </cell>
          <cell r="N1011">
            <v>-97</v>
          </cell>
          <cell r="O1011">
            <v>0</v>
          </cell>
          <cell r="Q1011">
            <v>0</v>
          </cell>
          <cell r="R1011">
            <v>0</v>
          </cell>
          <cell r="T1011">
            <v>54</v>
          </cell>
          <cell r="U1011">
            <v>0</v>
          </cell>
          <cell r="W1011">
            <v>-105</v>
          </cell>
          <cell r="X1011">
            <v>0</v>
          </cell>
          <cell r="Z1011">
            <v>207</v>
          </cell>
          <cell r="AA1011">
            <v>0</v>
          </cell>
          <cell r="AC1011">
            <v>-22</v>
          </cell>
          <cell r="AD1011">
            <v>0</v>
          </cell>
          <cell r="AF1011">
            <v>73</v>
          </cell>
          <cell r="AG1011">
            <v>0</v>
          </cell>
          <cell r="AI1011">
            <v>-241</v>
          </cell>
          <cell r="AJ1011">
            <v>0</v>
          </cell>
          <cell r="AL1011">
            <v>6</v>
          </cell>
          <cell r="AM1011">
            <v>0</v>
          </cell>
          <cell r="AO1011">
            <v>-5</v>
          </cell>
          <cell r="AP1011">
            <v>0</v>
          </cell>
          <cell r="AR1011">
            <v>-40</v>
          </cell>
          <cell r="AS1011">
            <v>0</v>
          </cell>
          <cell r="BF1011" t="str">
            <v>8600</v>
          </cell>
          <cell r="BG1011" t="str">
            <v>P211</v>
          </cell>
          <cell r="BH1011" t="str">
            <v>GFS</v>
          </cell>
        </row>
        <row r="1012">
          <cell r="K1012">
            <v>1000.0000000000073</v>
          </cell>
          <cell r="L1012">
            <v>0</v>
          </cell>
          <cell r="N1012">
            <v>3049.6699999999983</v>
          </cell>
          <cell r="O1012">
            <v>0</v>
          </cell>
          <cell r="Q1012">
            <v>2405.7800000000207</v>
          </cell>
          <cell r="R1012">
            <v>0</v>
          </cell>
          <cell r="T1012">
            <v>326.36999999999534</v>
          </cell>
          <cell r="U1012">
            <v>0</v>
          </cell>
          <cell r="W1012">
            <v>17244.5</v>
          </cell>
          <cell r="X1012">
            <v>0</v>
          </cell>
          <cell r="Z1012">
            <v>77180.899999999907</v>
          </cell>
          <cell r="AA1012">
            <v>0</v>
          </cell>
          <cell r="AC1012">
            <v>-93027.96000000005</v>
          </cell>
          <cell r="AD1012">
            <v>0</v>
          </cell>
          <cell r="AF1012">
            <v>-3223.5800000000163</v>
          </cell>
          <cell r="AG1012">
            <v>0</v>
          </cell>
          <cell r="AI1012">
            <v>5661.6699999999837</v>
          </cell>
          <cell r="AJ1012">
            <v>0</v>
          </cell>
          <cell r="AL1012">
            <v>31276.869999999995</v>
          </cell>
          <cell r="AM1012">
            <v>0</v>
          </cell>
          <cell r="AO1012">
            <v>33577.709999999963</v>
          </cell>
          <cell r="AP1012">
            <v>0</v>
          </cell>
          <cell r="AR1012">
            <v>-7162.5700000000652</v>
          </cell>
          <cell r="AS1012">
            <v>0</v>
          </cell>
          <cell r="BF1012" t="str">
            <v>9000</v>
          </cell>
          <cell r="BG1012" t="str">
            <v>Z000</v>
          </cell>
          <cell r="BH1012" t="str">
            <v>GFS</v>
          </cell>
        </row>
        <row r="1013">
          <cell r="K1013">
            <v>1398.5199999999995</v>
          </cell>
          <cell r="L1013">
            <v>0</v>
          </cell>
          <cell r="N1013">
            <v>0</v>
          </cell>
          <cell r="O1013">
            <v>0</v>
          </cell>
          <cell r="Q1013">
            <v>3182.2099999999946</v>
          </cell>
          <cell r="R1013">
            <v>0</v>
          </cell>
          <cell r="T1013">
            <v>1002.3599999999969</v>
          </cell>
          <cell r="U1013">
            <v>0</v>
          </cell>
          <cell r="W1013">
            <v>670.28999999999905</v>
          </cell>
          <cell r="X1013">
            <v>0</v>
          </cell>
          <cell r="Z1013">
            <v>1241.130000000001</v>
          </cell>
          <cell r="AA1013">
            <v>0</v>
          </cell>
          <cell r="AC1013">
            <v>-746.20999999999913</v>
          </cell>
          <cell r="AD1013">
            <v>0</v>
          </cell>
          <cell r="AF1013">
            <v>0</v>
          </cell>
          <cell r="AG1013">
            <v>0</v>
          </cell>
          <cell r="AI1013">
            <v>700</v>
          </cell>
          <cell r="AJ1013">
            <v>0</v>
          </cell>
          <cell r="AL1013">
            <v>200</v>
          </cell>
          <cell r="AM1013">
            <v>0</v>
          </cell>
          <cell r="AO1013">
            <v>-69.679999999998472</v>
          </cell>
          <cell r="AP1013">
            <v>0</v>
          </cell>
          <cell r="AR1013">
            <v>-2335.269999999995</v>
          </cell>
          <cell r="AS1013">
            <v>0</v>
          </cell>
          <cell r="BF1013" t="str">
            <v>9050</v>
          </cell>
          <cell r="BG1013" t="str">
            <v>Z000</v>
          </cell>
          <cell r="BH1013" t="str">
            <v>GFS</v>
          </cell>
        </row>
        <row r="1014">
          <cell r="K1014">
            <v>-17149.460000000028</v>
          </cell>
          <cell r="L1014">
            <v>0</v>
          </cell>
          <cell r="N1014">
            <v>-15827.749999999942</v>
          </cell>
          <cell r="O1014">
            <v>0</v>
          </cell>
          <cell r="Q1014">
            <v>37113.040000000154</v>
          </cell>
          <cell r="R1014">
            <v>0</v>
          </cell>
          <cell r="T1014">
            <v>-63440.650000000256</v>
          </cell>
          <cell r="U1014">
            <v>0</v>
          </cell>
          <cell r="W1014">
            <v>35177.840000000084</v>
          </cell>
          <cell r="X1014">
            <v>0</v>
          </cell>
          <cell r="Z1014">
            <v>-5004.3199999998324</v>
          </cell>
          <cell r="AA1014">
            <v>0</v>
          </cell>
          <cell r="AC1014">
            <v>5599.6399999996647</v>
          </cell>
          <cell r="AD1014">
            <v>0</v>
          </cell>
          <cell r="AF1014">
            <v>42119.359999999404</v>
          </cell>
          <cell r="AG1014">
            <v>0</v>
          </cell>
          <cell r="AI1014">
            <v>-11660.649999999208</v>
          </cell>
          <cell r="AJ1014">
            <v>0</v>
          </cell>
          <cell r="AL1014">
            <v>23554.290000000037</v>
          </cell>
          <cell r="AM1014">
            <v>0</v>
          </cell>
          <cell r="AO1014">
            <v>-9924.9599999999627</v>
          </cell>
          <cell r="AP1014">
            <v>0</v>
          </cell>
          <cell r="AR1014">
            <v>24747.180000000168</v>
          </cell>
          <cell r="AS1014">
            <v>0</v>
          </cell>
          <cell r="BF1014" t="str">
            <v>9051</v>
          </cell>
          <cell r="BG1014" t="str">
            <v>Z000</v>
          </cell>
          <cell r="BH1014" t="str">
            <v>GFS</v>
          </cell>
        </row>
        <row r="1015">
          <cell r="K1015">
            <v>0</v>
          </cell>
          <cell r="L1015">
            <v>0</v>
          </cell>
          <cell r="N1015">
            <v>0</v>
          </cell>
          <cell r="O1015">
            <v>0</v>
          </cell>
          <cell r="Q1015">
            <v>0</v>
          </cell>
          <cell r="R1015">
            <v>0</v>
          </cell>
          <cell r="T1015">
            <v>0</v>
          </cell>
          <cell r="U1015">
            <v>0</v>
          </cell>
          <cell r="W1015">
            <v>0</v>
          </cell>
          <cell r="X1015">
            <v>0</v>
          </cell>
          <cell r="Z1015">
            <v>0</v>
          </cell>
          <cell r="AA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I1015">
            <v>0</v>
          </cell>
          <cell r="AJ1015">
            <v>0</v>
          </cell>
          <cell r="AL1015">
            <v>0</v>
          </cell>
          <cell r="AM1015">
            <v>0</v>
          </cell>
          <cell r="AO1015">
            <v>0</v>
          </cell>
          <cell r="AP1015">
            <v>0</v>
          </cell>
          <cell r="AR1015">
            <v>0</v>
          </cell>
          <cell r="AS1015">
            <v>0</v>
          </cell>
          <cell r="BF1015" t="str">
            <v>9100</v>
          </cell>
          <cell r="BG1015" t="str">
            <v>Z000</v>
          </cell>
          <cell r="BH1015" t="str">
            <v>GFS</v>
          </cell>
        </row>
        <row r="1016">
          <cell r="K1016">
            <v>201.90000000000146</v>
          </cell>
          <cell r="L1016">
            <v>0</v>
          </cell>
          <cell r="N1016">
            <v>115.41000000000349</v>
          </cell>
          <cell r="O1016">
            <v>0</v>
          </cell>
          <cell r="Q1016">
            <v>507.80999999999767</v>
          </cell>
          <cell r="R1016">
            <v>0</v>
          </cell>
          <cell r="T1016">
            <v>183.99000000001251</v>
          </cell>
          <cell r="U1016">
            <v>0</v>
          </cell>
          <cell r="W1016">
            <v>285.41000000000349</v>
          </cell>
          <cell r="X1016">
            <v>0</v>
          </cell>
          <cell r="Z1016">
            <v>2551.9499999999971</v>
          </cell>
          <cell r="AA1016">
            <v>0</v>
          </cell>
          <cell r="AC1016">
            <v>-2158.8099999999977</v>
          </cell>
          <cell r="AD1016">
            <v>0</v>
          </cell>
          <cell r="AF1016">
            <v>-136.27000000000407</v>
          </cell>
          <cell r="AG1016">
            <v>0</v>
          </cell>
          <cell r="AI1016">
            <v>414.59000000002561</v>
          </cell>
          <cell r="AJ1016">
            <v>0</v>
          </cell>
          <cell r="AL1016">
            <v>494.86999999999534</v>
          </cell>
          <cell r="AM1016">
            <v>0</v>
          </cell>
          <cell r="AO1016">
            <v>609.06999999999243</v>
          </cell>
          <cell r="AP1016">
            <v>0</v>
          </cell>
          <cell r="AR1016">
            <v>-1504.0699999999779</v>
          </cell>
          <cell r="AS1016">
            <v>0</v>
          </cell>
          <cell r="BF1016" t="str">
            <v>9200</v>
          </cell>
          <cell r="BG1016" t="str">
            <v>Q001</v>
          </cell>
          <cell r="BH1016" t="str">
            <v>GFS</v>
          </cell>
        </row>
        <row r="1017">
          <cell r="K1017">
            <v>-82</v>
          </cell>
          <cell r="L1017">
            <v>0</v>
          </cell>
          <cell r="N1017">
            <v>14</v>
          </cell>
          <cell r="O1017">
            <v>0</v>
          </cell>
          <cell r="Q1017">
            <v>0</v>
          </cell>
          <cell r="R1017">
            <v>0</v>
          </cell>
          <cell r="T1017">
            <v>0</v>
          </cell>
          <cell r="U1017">
            <v>0</v>
          </cell>
          <cell r="W1017">
            <v>0</v>
          </cell>
          <cell r="X1017">
            <v>0</v>
          </cell>
          <cell r="Z1017">
            <v>49</v>
          </cell>
          <cell r="AA1017">
            <v>0</v>
          </cell>
          <cell r="AC1017">
            <v>-28</v>
          </cell>
          <cell r="AD1017">
            <v>0</v>
          </cell>
          <cell r="AF1017">
            <v>0</v>
          </cell>
          <cell r="AG1017">
            <v>0</v>
          </cell>
          <cell r="AI1017">
            <v>28</v>
          </cell>
          <cell r="AJ1017">
            <v>0</v>
          </cell>
          <cell r="AL1017">
            <v>28</v>
          </cell>
          <cell r="AM1017">
            <v>0</v>
          </cell>
          <cell r="AO1017">
            <v>-49</v>
          </cell>
          <cell r="AP1017">
            <v>0</v>
          </cell>
          <cell r="AR1017">
            <v>37.479999999999563</v>
          </cell>
          <cell r="AS1017">
            <v>0</v>
          </cell>
          <cell r="BF1017" t="str">
            <v>9200</v>
          </cell>
          <cell r="BG1017" t="str">
            <v>Q002</v>
          </cell>
          <cell r="BH1017" t="str">
            <v>GFS</v>
          </cell>
        </row>
        <row r="1018">
          <cell r="K1018">
            <v>0</v>
          </cell>
          <cell r="L1018">
            <v>0</v>
          </cell>
          <cell r="N1018">
            <v>0</v>
          </cell>
          <cell r="O1018">
            <v>0</v>
          </cell>
          <cell r="Q1018">
            <v>-254</v>
          </cell>
          <cell r="R1018">
            <v>0</v>
          </cell>
          <cell r="T1018">
            <v>0</v>
          </cell>
          <cell r="U1018">
            <v>0</v>
          </cell>
          <cell r="W1018">
            <v>253.99999999994179</v>
          </cell>
          <cell r="X1018">
            <v>0</v>
          </cell>
          <cell r="Z1018">
            <v>-59.949999999953434</v>
          </cell>
          <cell r="AA1018">
            <v>0</v>
          </cell>
          <cell r="AC1018">
            <v>23.010000000009313</v>
          </cell>
          <cell r="AD1018">
            <v>0</v>
          </cell>
          <cell r="AF1018">
            <v>0</v>
          </cell>
          <cell r="AG1018">
            <v>0</v>
          </cell>
          <cell r="AI1018">
            <v>0</v>
          </cell>
          <cell r="AJ1018">
            <v>0</v>
          </cell>
          <cell r="AL1018">
            <v>-150</v>
          </cell>
          <cell r="AM1018">
            <v>0</v>
          </cell>
          <cell r="AO1018">
            <v>449.99000000004889</v>
          </cell>
          <cell r="AP1018">
            <v>0</v>
          </cell>
          <cell r="AR1018">
            <v>-213.01000000000931</v>
          </cell>
          <cell r="AS1018">
            <v>0</v>
          </cell>
          <cell r="BF1018" t="str">
            <v>9200</v>
          </cell>
          <cell r="BG1018" t="str">
            <v>Q003</v>
          </cell>
          <cell r="BH1018" t="str">
            <v>GFS</v>
          </cell>
        </row>
        <row r="1019">
          <cell r="K1019">
            <v>6.0599999999999454</v>
          </cell>
          <cell r="L1019">
            <v>0</v>
          </cell>
          <cell r="N1019">
            <v>3.4700000000002547</v>
          </cell>
          <cell r="O1019">
            <v>0</v>
          </cell>
          <cell r="Q1019">
            <v>15.210000000000036</v>
          </cell>
          <cell r="R1019">
            <v>0</v>
          </cell>
          <cell r="T1019">
            <v>5.5100000000002183</v>
          </cell>
          <cell r="U1019">
            <v>0</v>
          </cell>
          <cell r="W1019">
            <v>8.5399999999995089</v>
          </cell>
          <cell r="X1019">
            <v>0</v>
          </cell>
          <cell r="Z1019">
            <v>76.550000000000182</v>
          </cell>
          <cell r="AA1019">
            <v>0</v>
          </cell>
          <cell r="AC1019">
            <v>-73.359999999999673</v>
          </cell>
          <cell r="AD1019">
            <v>0</v>
          </cell>
          <cell r="AF1019">
            <v>-2.9200000000000728</v>
          </cell>
          <cell r="AG1019">
            <v>0</v>
          </cell>
          <cell r="AI1019">
            <v>12.670000000000073</v>
          </cell>
          <cell r="AJ1019">
            <v>0</v>
          </cell>
          <cell r="AL1019">
            <v>3.3099999999994907</v>
          </cell>
          <cell r="AM1019">
            <v>0</v>
          </cell>
          <cell r="AO1019">
            <v>17.619999999999891</v>
          </cell>
          <cell r="AP1019">
            <v>0</v>
          </cell>
          <cell r="AR1019">
            <v>-29.579999999999927</v>
          </cell>
          <cell r="AS1019">
            <v>0</v>
          </cell>
          <cell r="BF1019" t="str">
            <v>9200</v>
          </cell>
          <cell r="BG1019" t="str">
            <v>Q004</v>
          </cell>
          <cell r="BH1019" t="str">
            <v>GFS</v>
          </cell>
        </row>
        <row r="1020">
          <cell r="K1020">
            <v>0</v>
          </cell>
          <cell r="L1020">
            <v>0</v>
          </cell>
          <cell r="N1020">
            <v>0</v>
          </cell>
          <cell r="O1020">
            <v>0</v>
          </cell>
          <cell r="Q1020">
            <v>1151</v>
          </cell>
          <cell r="R1020">
            <v>0</v>
          </cell>
          <cell r="T1020">
            <v>-1151</v>
          </cell>
          <cell r="U1020">
            <v>0</v>
          </cell>
          <cell r="W1020">
            <v>0</v>
          </cell>
          <cell r="X1020">
            <v>0</v>
          </cell>
          <cell r="Z1020">
            <v>1151</v>
          </cell>
          <cell r="AA1020">
            <v>0</v>
          </cell>
          <cell r="AC1020">
            <v>-1151</v>
          </cell>
          <cell r="AD1020">
            <v>0</v>
          </cell>
          <cell r="AF1020">
            <v>1151</v>
          </cell>
          <cell r="AG1020">
            <v>0</v>
          </cell>
          <cell r="AI1020">
            <v>0</v>
          </cell>
          <cell r="AJ1020">
            <v>0</v>
          </cell>
          <cell r="AL1020">
            <v>0</v>
          </cell>
          <cell r="AM1020">
            <v>0</v>
          </cell>
          <cell r="AO1020">
            <v>-145</v>
          </cell>
          <cell r="AP1020">
            <v>0</v>
          </cell>
          <cell r="AR1020">
            <v>0</v>
          </cell>
          <cell r="AS1020">
            <v>0</v>
          </cell>
          <cell r="BF1020" t="str">
            <v>9200</v>
          </cell>
          <cell r="BG1020" t="str">
            <v>Q005</v>
          </cell>
          <cell r="BH1020" t="str">
            <v>GFS</v>
          </cell>
        </row>
        <row r="1021">
          <cell r="K1021">
            <v>3.3799999999998818</v>
          </cell>
          <cell r="L1021">
            <v>0</v>
          </cell>
          <cell r="N1021">
            <v>19.509999999999764</v>
          </cell>
          <cell r="O1021">
            <v>0</v>
          </cell>
          <cell r="Q1021">
            <v>15.510000000000218</v>
          </cell>
          <cell r="R1021">
            <v>0</v>
          </cell>
          <cell r="T1021">
            <v>6.7799999999997453</v>
          </cell>
          <cell r="U1021">
            <v>0</v>
          </cell>
          <cell r="W1021">
            <v>10.849999999999909</v>
          </cell>
          <cell r="X1021">
            <v>0</v>
          </cell>
          <cell r="Z1021">
            <v>260.53000000000065</v>
          </cell>
          <cell r="AA1021">
            <v>0</v>
          </cell>
          <cell r="AC1021">
            <v>-259.0900000000006</v>
          </cell>
          <cell r="AD1021">
            <v>0</v>
          </cell>
          <cell r="AF1021">
            <v>6.3500000000003638</v>
          </cell>
          <cell r="AG1021">
            <v>0</v>
          </cell>
          <cell r="AI1021">
            <v>19.659999999999854</v>
          </cell>
          <cell r="AJ1021">
            <v>0</v>
          </cell>
          <cell r="AL1021">
            <v>23.329999999999927</v>
          </cell>
          <cell r="AM1021">
            <v>0</v>
          </cell>
          <cell r="AO1021">
            <v>3.0399999999999636</v>
          </cell>
          <cell r="AP1021">
            <v>0</v>
          </cell>
          <cell r="AR1021">
            <v>-30.920000000000073</v>
          </cell>
          <cell r="AS1021">
            <v>0</v>
          </cell>
          <cell r="BF1021" t="str">
            <v>9200</v>
          </cell>
          <cell r="BG1021" t="str">
            <v>Q006</v>
          </cell>
          <cell r="BH1021" t="str">
            <v>GFS</v>
          </cell>
        </row>
        <row r="1022">
          <cell r="K1022">
            <v>156</v>
          </cell>
          <cell r="L1022">
            <v>0</v>
          </cell>
          <cell r="N1022">
            <v>0</v>
          </cell>
          <cell r="O1022">
            <v>0</v>
          </cell>
          <cell r="Q1022">
            <v>48</v>
          </cell>
          <cell r="R1022">
            <v>0</v>
          </cell>
          <cell r="T1022">
            <v>24</v>
          </cell>
          <cell r="U1022">
            <v>0</v>
          </cell>
          <cell r="W1022">
            <v>0</v>
          </cell>
          <cell r="X1022">
            <v>0</v>
          </cell>
          <cell r="Z1022">
            <v>0</v>
          </cell>
          <cell r="AA1022">
            <v>0</v>
          </cell>
          <cell r="AC1022">
            <v>-48</v>
          </cell>
          <cell r="AD1022">
            <v>0</v>
          </cell>
          <cell r="AF1022">
            <v>0</v>
          </cell>
          <cell r="AG1022">
            <v>0</v>
          </cell>
          <cell r="AI1022">
            <v>48</v>
          </cell>
          <cell r="AJ1022">
            <v>0</v>
          </cell>
          <cell r="AL1022">
            <v>0</v>
          </cell>
          <cell r="AM1022">
            <v>0</v>
          </cell>
          <cell r="AO1022">
            <v>-120</v>
          </cell>
          <cell r="AP1022">
            <v>0</v>
          </cell>
          <cell r="AR1022">
            <v>48</v>
          </cell>
          <cell r="AS1022">
            <v>0</v>
          </cell>
          <cell r="BF1022" t="str">
            <v>9200</v>
          </cell>
          <cell r="BG1022" t="str">
            <v>Q007</v>
          </cell>
          <cell r="BH1022" t="str">
            <v>GFS</v>
          </cell>
        </row>
        <row r="1023">
          <cell r="K1023">
            <v>1.2299999999999045</v>
          </cell>
          <cell r="L1023">
            <v>0</v>
          </cell>
          <cell r="N1023">
            <v>10.139999999999873</v>
          </cell>
          <cell r="O1023">
            <v>0</v>
          </cell>
          <cell r="Q1023">
            <v>7.3699999999998909</v>
          </cell>
          <cell r="R1023">
            <v>0</v>
          </cell>
          <cell r="T1023">
            <v>3.7599999999999909</v>
          </cell>
          <cell r="U1023">
            <v>0</v>
          </cell>
          <cell r="W1023">
            <v>5.0599999999999454</v>
          </cell>
          <cell r="X1023">
            <v>0</v>
          </cell>
          <cell r="Z1023">
            <v>130.27000000000021</v>
          </cell>
          <cell r="AA1023">
            <v>0</v>
          </cell>
          <cell r="AC1023">
            <v>-128.4200000000003</v>
          </cell>
          <cell r="AD1023">
            <v>0</v>
          </cell>
          <cell r="AF1023">
            <v>-3.6700000000000728</v>
          </cell>
          <cell r="AG1023">
            <v>0</v>
          </cell>
          <cell r="AI1023">
            <v>9.8299999999999272</v>
          </cell>
          <cell r="AJ1023">
            <v>0</v>
          </cell>
          <cell r="AL1023">
            <v>11.679999999999836</v>
          </cell>
          <cell r="AM1023">
            <v>0</v>
          </cell>
          <cell r="AO1023">
            <v>1.4800000000000182</v>
          </cell>
          <cell r="AP1023">
            <v>0</v>
          </cell>
          <cell r="AR1023">
            <v>-14.860000000000127</v>
          </cell>
          <cell r="AS1023">
            <v>0</v>
          </cell>
          <cell r="BF1023" t="str">
            <v>9200</v>
          </cell>
          <cell r="BG1023" t="str">
            <v>Q008</v>
          </cell>
          <cell r="BH1023" t="str">
            <v>GFS</v>
          </cell>
        </row>
        <row r="1024">
          <cell r="K1024">
            <v>11.120000000000118</v>
          </cell>
          <cell r="L1024">
            <v>0</v>
          </cell>
          <cell r="N1024">
            <v>2.7799999999999727</v>
          </cell>
          <cell r="O1024">
            <v>0</v>
          </cell>
          <cell r="Q1024">
            <v>0</v>
          </cell>
          <cell r="R1024">
            <v>0</v>
          </cell>
          <cell r="T1024">
            <v>0</v>
          </cell>
          <cell r="U1024">
            <v>0</v>
          </cell>
          <cell r="W1024">
            <v>0</v>
          </cell>
          <cell r="X1024">
            <v>0</v>
          </cell>
          <cell r="Z1024">
            <v>13.900000000000091</v>
          </cell>
          <cell r="AA1024">
            <v>0</v>
          </cell>
          <cell r="AC1024">
            <v>-5.5599999999999454</v>
          </cell>
          <cell r="AD1024">
            <v>0</v>
          </cell>
          <cell r="AF1024">
            <v>-17.079999999999927</v>
          </cell>
          <cell r="AG1024">
            <v>0</v>
          </cell>
          <cell r="AI1024">
            <v>5</v>
          </cell>
          <cell r="AJ1024">
            <v>0</v>
          </cell>
          <cell r="AL1024">
            <v>5</v>
          </cell>
          <cell r="AM1024">
            <v>0</v>
          </cell>
          <cell r="AO1024">
            <v>-12.5</v>
          </cell>
          <cell r="AP1024">
            <v>0</v>
          </cell>
          <cell r="AR1024">
            <v>6.6899999999995998</v>
          </cell>
          <cell r="AS1024">
            <v>0</v>
          </cell>
          <cell r="BF1024" t="str">
            <v>9200</v>
          </cell>
          <cell r="BG1024" t="str">
            <v>Q009</v>
          </cell>
          <cell r="BH1024" t="str">
            <v>GFS</v>
          </cell>
        </row>
        <row r="1025">
          <cell r="K1025">
            <v>3702</v>
          </cell>
          <cell r="L1025">
            <v>0</v>
          </cell>
          <cell r="N1025">
            <v>-7251</v>
          </cell>
          <cell r="O1025">
            <v>0</v>
          </cell>
          <cell r="Q1025">
            <v>15811.950000000004</v>
          </cell>
          <cell r="R1025">
            <v>0</v>
          </cell>
          <cell r="T1025">
            <v>-12530</v>
          </cell>
          <cell r="U1025">
            <v>0</v>
          </cell>
          <cell r="W1025">
            <v>457.54999999996653</v>
          </cell>
          <cell r="X1025">
            <v>0</v>
          </cell>
          <cell r="Z1025">
            <v>0</v>
          </cell>
          <cell r="AA1025">
            <v>0</v>
          </cell>
          <cell r="AC1025">
            <v>11571.39</v>
          </cell>
          <cell r="AD1025">
            <v>0</v>
          </cell>
          <cell r="AF1025">
            <v>-3609.3399999999965</v>
          </cell>
          <cell r="AG1025">
            <v>0</v>
          </cell>
          <cell r="AI1025">
            <v>3600.5400000000081</v>
          </cell>
          <cell r="AJ1025">
            <v>0</v>
          </cell>
          <cell r="AL1025">
            <v>3763.9900000000198</v>
          </cell>
          <cell r="AM1025">
            <v>0</v>
          </cell>
          <cell r="AO1025">
            <v>-15433.580000000016</v>
          </cell>
          <cell r="AP1025">
            <v>0</v>
          </cell>
          <cell r="AR1025">
            <v>313</v>
          </cell>
          <cell r="AS1025">
            <v>0</v>
          </cell>
          <cell r="BF1025" t="str">
            <v>9200</v>
          </cell>
          <cell r="BG1025" t="str">
            <v>Q010</v>
          </cell>
          <cell r="BH1025" t="str">
            <v>GFS</v>
          </cell>
        </row>
        <row r="1026">
          <cell r="K1026">
            <v>0</v>
          </cell>
          <cell r="L1026">
            <v>0</v>
          </cell>
          <cell r="N1026">
            <v>0</v>
          </cell>
          <cell r="O1026">
            <v>0</v>
          </cell>
          <cell r="Q1026">
            <v>0</v>
          </cell>
          <cell r="R1026">
            <v>0</v>
          </cell>
          <cell r="T1026">
            <v>0</v>
          </cell>
          <cell r="U1026">
            <v>0</v>
          </cell>
          <cell r="W1026">
            <v>0</v>
          </cell>
          <cell r="X1026">
            <v>0</v>
          </cell>
          <cell r="Z1026">
            <v>0</v>
          </cell>
          <cell r="AA1026">
            <v>0</v>
          </cell>
          <cell r="AC1026">
            <v>0</v>
          </cell>
          <cell r="AD1026">
            <v>0</v>
          </cell>
          <cell r="AF1026">
            <v>0</v>
          </cell>
          <cell r="AG1026">
            <v>0</v>
          </cell>
          <cell r="AI1026">
            <v>0</v>
          </cell>
          <cell r="AJ1026">
            <v>0</v>
          </cell>
          <cell r="AL1026">
            <v>0</v>
          </cell>
          <cell r="AM1026">
            <v>0</v>
          </cell>
          <cell r="AO1026">
            <v>0</v>
          </cell>
          <cell r="AP1026">
            <v>0</v>
          </cell>
          <cell r="AR1026">
            <v>0</v>
          </cell>
          <cell r="AS1026">
            <v>0</v>
          </cell>
          <cell r="BF1026" t="str">
            <v>9300</v>
          </cell>
          <cell r="BG1026" t="str">
            <v>Z000</v>
          </cell>
          <cell r="BH1026" t="str">
            <v>GFS</v>
          </cell>
        </row>
        <row r="1027">
          <cell r="K1027">
            <v>0</v>
          </cell>
          <cell r="L1027">
            <v>0</v>
          </cell>
          <cell r="N1027">
            <v>0</v>
          </cell>
          <cell r="O1027">
            <v>0</v>
          </cell>
          <cell r="Q1027">
            <v>0</v>
          </cell>
          <cell r="R1027">
            <v>0</v>
          </cell>
          <cell r="T1027">
            <v>0</v>
          </cell>
          <cell r="U1027">
            <v>0</v>
          </cell>
          <cell r="W1027">
            <v>0</v>
          </cell>
          <cell r="X1027">
            <v>0</v>
          </cell>
          <cell r="Z1027">
            <v>0</v>
          </cell>
          <cell r="AA1027">
            <v>0</v>
          </cell>
          <cell r="AC1027">
            <v>0</v>
          </cell>
          <cell r="AD1027">
            <v>0</v>
          </cell>
          <cell r="AF1027">
            <v>0</v>
          </cell>
          <cell r="AG1027">
            <v>0</v>
          </cell>
          <cell r="AI1027">
            <v>0</v>
          </cell>
          <cell r="AJ1027">
            <v>0</v>
          </cell>
          <cell r="AL1027">
            <v>0</v>
          </cell>
          <cell r="AM1027">
            <v>0</v>
          </cell>
          <cell r="AO1027">
            <v>0</v>
          </cell>
          <cell r="AP1027">
            <v>0</v>
          </cell>
          <cell r="AR1027">
            <v>0</v>
          </cell>
          <cell r="AS1027">
            <v>0</v>
          </cell>
          <cell r="BF1027" t="str">
            <v>9400</v>
          </cell>
          <cell r="BG1027" t="str">
            <v>Z000</v>
          </cell>
          <cell r="BH1027" t="str">
            <v>GFS</v>
          </cell>
        </row>
        <row r="1028">
          <cell r="K1028">
            <v>0</v>
          </cell>
          <cell r="L1028">
            <v>0</v>
          </cell>
          <cell r="N1028">
            <v>0</v>
          </cell>
          <cell r="O1028">
            <v>0</v>
          </cell>
          <cell r="Q1028">
            <v>0</v>
          </cell>
          <cell r="R1028">
            <v>0</v>
          </cell>
          <cell r="T1028">
            <v>0</v>
          </cell>
          <cell r="U1028">
            <v>0</v>
          </cell>
          <cell r="W1028">
            <v>0</v>
          </cell>
          <cell r="X1028">
            <v>0</v>
          </cell>
          <cell r="Z1028">
            <v>0</v>
          </cell>
          <cell r="AA1028">
            <v>0</v>
          </cell>
          <cell r="AC1028">
            <v>-1721.4099999999889</v>
          </cell>
          <cell r="AD1028">
            <v>0</v>
          </cell>
          <cell r="AF1028">
            <v>841</v>
          </cell>
          <cell r="AG1028">
            <v>0</v>
          </cell>
          <cell r="AI1028">
            <v>401.83000000000175</v>
          </cell>
          <cell r="AJ1028">
            <v>0</v>
          </cell>
          <cell r="AL1028">
            <v>-10823.029999999999</v>
          </cell>
          <cell r="AM1028">
            <v>0</v>
          </cell>
          <cell r="AO1028">
            <v>10814.199999999983</v>
          </cell>
          <cell r="AP1028">
            <v>0</v>
          </cell>
          <cell r="AR1028">
            <v>487.41999999999825</v>
          </cell>
          <cell r="AS1028">
            <v>0</v>
          </cell>
          <cell r="BF1028" t="str">
            <v>9500</v>
          </cell>
          <cell r="BG1028" t="str">
            <v>Z000</v>
          </cell>
          <cell r="BH1028" t="str">
            <v>GFS</v>
          </cell>
        </row>
        <row r="1029">
          <cell r="K1029">
            <v>0</v>
          </cell>
          <cell r="L1029">
            <v>0</v>
          </cell>
          <cell r="N1029">
            <v>0</v>
          </cell>
          <cell r="O1029">
            <v>0</v>
          </cell>
          <cell r="Q1029">
            <v>0</v>
          </cell>
          <cell r="R1029">
            <v>0</v>
          </cell>
          <cell r="T1029">
            <v>0</v>
          </cell>
          <cell r="U1029">
            <v>0</v>
          </cell>
          <cell r="W1029">
            <v>0</v>
          </cell>
          <cell r="X1029">
            <v>0</v>
          </cell>
          <cell r="Z1029">
            <v>0</v>
          </cell>
          <cell r="AA1029">
            <v>0</v>
          </cell>
          <cell r="AC1029">
            <v>0</v>
          </cell>
          <cell r="AD1029">
            <v>0</v>
          </cell>
          <cell r="AF1029">
            <v>0</v>
          </cell>
          <cell r="AG1029">
            <v>0</v>
          </cell>
          <cell r="AI1029">
            <v>0</v>
          </cell>
          <cell r="AJ1029">
            <v>0</v>
          </cell>
          <cell r="AL1029">
            <v>0</v>
          </cell>
          <cell r="AM1029">
            <v>0</v>
          </cell>
          <cell r="AO1029">
            <v>0</v>
          </cell>
          <cell r="AP1029">
            <v>0</v>
          </cell>
          <cell r="AR1029">
            <v>0</v>
          </cell>
          <cell r="AS1029">
            <v>0</v>
          </cell>
          <cell r="BF1029" t="str">
            <v>9550</v>
          </cell>
          <cell r="BG1029" t="str">
            <v>Z000</v>
          </cell>
          <cell r="BH1029" t="str">
            <v>GFS</v>
          </cell>
        </row>
        <row r="1030">
          <cell r="K1030">
            <v>0</v>
          </cell>
          <cell r="L1030">
            <v>0</v>
          </cell>
          <cell r="N1030">
            <v>0</v>
          </cell>
          <cell r="O1030">
            <v>0</v>
          </cell>
          <cell r="Q1030">
            <v>0</v>
          </cell>
          <cell r="R1030">
            <v>0</v>
          </cell>
          <cell r="T1030">
            <v>0</v>
          </cell>
          <cell r="U1030">
            <v>0</v>
          </cell>
          <cell r="W1030">
            <v>0</v>
          </cell>
          <cell r="X1030">
            <v>0</v>
          </cell>
          <cell r="Z1030">
            <v>0</v>
          </cell>
          <cell r="AA1030">
            <v>0</v>
          </cell>
          <cell r="AC1030">
            <v>0</v>
          </cell>
          <cell r="AD1030">
            <v>0</v>
          </cell>
          <cell r="AF1030">
            <v>0</v>
          </cell>
          <cell r="AG1030">
            <v>0</v>
          </cell>
          <cell r="AI1030">
            <v>0</v>
          </cell>
          <cell r="AJ1030">
            <v>0</v>
          </cell>
          <cell r="AL1030">
            <v>0</v>
          </cell>
          <cell r="AM1030">
            <v>0</v>
          </cell>
          <cell r="AO1030">
            <v>0</v>
          </cell>
          <cell r="AP1030">
            <v>0</v>
          </cell>
          <cell r="AR1030">
            <v>0</v>
          </cell>
          <cell r="AS1030">
            <v>0</v>
          </cell>
          <cell r="BF1030" t="str">
            <v>9600</v>
          </cell>
          <cell r="BG1030" t="str">
            <v>Z000</v>
          </cell>
          <cell r="BH1030" t="str">
            <v>GFS</v>
          </cell>
        </row>
        <row r="1031">
          <cell r="K1031">
            <v>-2437.5</v>
          </cell>
          <cell r="L1031">
            <v>0</v>
          </cell>
          <cell r="N1031">
            <v>0</v>
          </cell>
          <cell r="O1031">
            <v>0</v>
          </cell>
          <cell r="Q1031">
            <v>2632.5</v>
          </cell>
          <cell r="R1031">
            <v>0</v>
          </cell>
          <cell r="T1031">
            <v>-18889.089999999997</v>
          </cell>
          <cell r="U1031">
            <v>0</v>
          </cell>
          <cell r="W1031">
            <v>19399.759999999995</v>
          </cell>
          <cell r="X1031">
            <v>0</v>
          </cell>
          <cell r="Z1031">
            <v>245.39999999999418</v>
          </cell>
          <cell r="AA1031">
            <v>0</v>
          </cell>
          <cell r="AC1031">
            <v>-6244.1700000000055</v>
          </cell>
          <cell r="AD1031">
            <v>0</v>
          </cell>
          <cell r="AF1031">
            <v>3530.2899999999936</v>
          </cell>
          <cell r="AG1031">
            <v>0</v>
          </cell>
          <cell r="AI1031">
            <v>62.519999999996799</v>
          </cell>
          <cell r="AJ1031">
            <v>0</v>
          </cell>
          <cell r="AL1031">
            <v>4520.5499999999956</v>
          </cell>
          <cell r="AM1031">
            <v>0</v>
          </cell>
          <cell r="AO1031">
            <v>0</v>
          </cell>
          <cell r="AP1031">
            <v>0</v>
          </cell>
          <cell r="AR1031">
            <v>7.2759576141834259E-12</v>
          </cell>
          <cell r="AS1031">
            <v>0</v>
          </cell>
          <cell r="BF1031" t="str">
            <v>9700</v>
          </cell>
          <cell r="BG1031" t="str">
            <v>Z000</v>
          </cell>
          <cell r="BH1031" t="str">
            <v>GFS</v>
          </cell>
        </row>
        <row r="1032">
          <cell r="K1032">
            <v>3846395.3299999996</v>
          </cell>
          <cell r="L1032">
            <v>0</v>
          </cell>
          <cell r="N1032">
            <v>5707895.3099999987</v>
          </cell>
          <cell r="O1032">
            <v>0</v>
          </cell>
          <cell r="Q1032">
            <v>12042880.469999999</v>
          </cell>
          <cell r="R1032">
            <v>0</v>
          </cell>
          <cell r="T1032">
            <v>15033379.820000004</v>
          </cell>
          <cell r="U1032">
            <v>0</v>
          </cell>
          <cell r="W1032">
            <v>19165663.359999999</v>
          </cell>
          <cell r="X1032">
            <v>0</v>
          </cell>
          <cell r="Z1032">
            <v>27666504.989999995</v>
          </cell>
          <cell r="AA1032">
            <v>0</v>
          </cell>
          <cell r="AC1032">
            <v>35528724.390000001</v>
          </cell>
          <cell r="AD1032">
            <v>0</v>
          </cell>
          <cell r="AF1032">
            <v>41971489.449999973</v>
          </cell>
          <cell r="AG1032">
            <v>0</v>
          </cell>
          <cell r="AI1032">
            <v>56858569.680000007</v>
          </cell>
          <cell r="AJ1032">
            <v>0</v>
          </cell>
          <cell r="AL1032">
            <v>58226385.800000012</v>
          </cell>
          <cell r="AM1032">
            <v>0</v>
          </cell>
          <cell r="AO1032">
            <v>63731168.439999998</v>
          </cell>
          <cell r="AP1032">
            <v>0</v>
          </cell>
          <cell r="AR1032">
            <v>67863547.230000019</v>
          </cell>
          <cell r="AS1032">
            <v>0</v>
          </cell>
          <cell r="BF1032" t="str">
            <v>1000</v>
          </cell>
          <cell r="BG1032" t="str">
            <v>A001</v>
          </cell>
          <cell r="BH1032" t="str">
            <v>GML</v>
          </cell>
        </row>
        <row r="1033">
          <cell r="K1033">
            <v>344233.39999999991</v>
          </cell>
          <cell r="L1033">
            <v>0</v>
          </cell>
          <cell r="N1033">
            <v>423862.65999999968</v>
          </cell>
          <cell r="O1033">
            <v>0</v>
          </cell>
          <cell r="Q1033">
            <v>1189749.9799999995</v>
          </cell>
          <cell r="R1033">
            <v>0</v>
          </cell>
          <cell r="T1033">
            <v>1215766.79</v>
          </cell>
          <cell r="U1033">
            <v>0</v>
          </cell>
          <cell r="W1033">
            <v>1573729.0899999999</v>
          </cell>
          <cell r="X1033">
            <v>0</v>
          </cell>
          <cell r="Z1033">
            <v>2302183.3600000003</v>
          </cell>
          <cell r="AA1033">
            <v>0</v>
          </cell>
          <cell r="AC1033">
            <v>2984983.3100000005</v>
          </cell>
          <cell r="AD1033">
            <v>0</v>
          </cell>
          <cell r="AF1033">
            <v>3359633.0000000037</v>
          </cell>
          <cell r="AG1033">
            <v>0</v>
          </cell>
          <cell r="AI1033">
            <v>3939666.3299999982</v>
          </cell>
          <cell r="AJ1033">
            <v>0</v>
          </cell>
          <cell r="AL1033">
            <v>4873827</v>
          </cell>
          <cell r="AM1033">
            <v>0</v>
          </cell>
          <cell r="AO1033">
            <v>5203819</v>
          </cell>
          <cell r="AP1033">
            <v>0</v>
          </cell>
          <cell r="AR1033">
            <v>5462542.5699999928</v>
          </cell>
          <cell r="AS1033">
            <v>0</v>
          </cell>
          <cell r="BF1033" t="str">
            <v>1000</v>
          </cell>
          <cell r="BG1033" t="str">
            <v>A002</v>
          </cell>
          <cell r="BH1033" t="str">
            <v>GML</v>
          </cell>
        </row>
        <row r="1034">
          <cell r="K1034">
            <v>491812.5</v>
          </cell>
          <cell r="L1034">
            <v>0</v>
          </cell>
          <cell r="N1034">
            <v>742500</v>
          </cell>
          <cell r="O1034">
            <v>0</v>
          </cell>
          <cell r="Q1034">
            <v>1509750</v>
          </cell>
          <cell r="R1034">
            <v>0</v>
          </cell>
          <cell r="T1034">
            <v>1866749.9999999991</v>
          </cell>
          <cell r="U1034">
            <v>0</v>
          </cell>
          <cell r="W1034">
            <v>2413687.5</v>
          </cell>
          <cell r="X1034">
            <v>0</v>
          </cell>
          <cell r="Z1034">
            <v>3309000.0000000009</v>
          </cell>
          <cell r="AA1034">
            <v>0</v>
          </cell>
          <cell r="AC1034">
            <v>4211437.5</v>
          </cell>
          <cell r="AD1034">
            <v>0</v>
          </cell>
          <cell r="AF1034">
            <v>5010187.5</v>
          </cell>
          <cell r="AG1034">
            <v>0</v>
          </cell>
          <cell r="AI1034">
            <v>6634312.5</v>
          </cell>
          <cell r="AJ1034">
            <v>0</v>
          </cell>
          <cell r="AL1034">
            <v>6901125</v>
          </cell>
          <cell r="AM1034">
            <v>0</v>
          </cell>
          <cell r="AO1034">
            <v>7442203.2199999988</v>
          </cell>
          <cell r="AP1034">
            <v>0</v>
          </cell>
          <cell r="AR1034">
            <v>8138637</v>
          </cell>
          <cell r="AS1034">
            <v>0</v>
          </cell>
          <cell r="BF1034" t="str">
            <v>1000</v>
          </cell>
          <cell r="BG1034" t="str">
            <v>A003</v>
          </cell>
          <cell r="BH1034" t="str">
            <v>GML</v>
          </cell>
        </row>
        <row r="1035">
          <cell r="K1035">
            <v>5929568.0800000001</v>
          </cell>
          <cell r="L1035">
            <v>0</v>
          </cell>
          <cell r="N1035">
            <v>9084006.410000002</v>
          </cell>
          <cell r="O1035">
            <v>0</v>
          </cell>
          <cell r="Q1035">
            <v>11434241.039999995</v>
          </cell>
          <cell r="R1035">
            <v>0</v>
          </cell>
          <cell r="T1035">
            <v>5465256.9699999988</v>
          </cell>
          <cell r="U1035">
            <v>0</v>
          </cell>
          <cell r="W1035">
            <v>22348828.629999995</v>
          </cell>
          <cell r="X1035">
            <v>0</v>
          </cell>
          <cell r="Z1035">
            <v>15923921.359999992</v>
          </cell>
          <cell r="AA1035">
            <v>0</v>
          </cell>
          <cell r="AC1035">
            <v>16733334.109999999</v>
          </cell>
          <cell r="AD1035">
            <v>0</v>
          </cell>
          <cell r="AF1035">
            <v>13941770.219999999</v>
          </cell>
          <cell r="AG1035">
            <v>0</v>
          </cell>
          <cell r="AI1035">
            <v>16587139.489999995</v>
          </cell>
          <cell r="AJ1035">
            <v>0</v>
          </cell>
          <cell r="AL1035">
            <v>12719465.510000005</v>
          </cell>
          <cell r="AM1035">
            <v>0</v>
          </cell>
          <cell r="AO1035">
            <v>10582492.569999993</v>
          </cell>
          <cell r="AP1035">
            <v>0</v>
          </cell>
          <cell r="AR1035">
            <v>10524872.879999995</v>
          </cell>
          <cell r="AS1035">
            <v>0</v>
          </cell>
          <cell r="BF1035" t="str">
            <v>1000</v>
          </cell>
          <cell r="BG1035" t="str">
            <v>A004</v>
          </cell>
          <cell r="BH1035" t="str">
            <v>GML</v>
          </cell>
        </row>
        <row r="1036">
          <cell r="K1036">
            <v>0</v>
          </cell>
          <cell r="L1036">
            <v>0</v>
          </cell>
          <cell r="N1036">
            <v>0</v>
          </cell>
          <cell r="O1036">
            <v>0</v>
          </cell>
          <cell r="Q1036">
            <v>0</v>
          </cell>
          <cell r="R1036">
            <v>0</v>
          </cell>
          <cell r="T1036">
            <v>0</v>
          </cell>
          <cell r="U1036">
            <v>0</v>
          </cell>
          <cell r="W1036">
            <v>0</v>
          </cell>
          <cell r="X1036">
            <v>0</v>
          </cell>
          <cell r="Z1036">
            <v>0</v>
          </cell>
          <cell r="AA1036">
            <v>0</v>
          </cell>
          <cell r="AC1036">
            <v>0</v>
          </cell>
          <cell r="AD1036">
            <v>0</v>
          </cell>
          <cell r="AF1036">
            <v>0</v>
          </cell>
          <cell r="AG1036">
            <v>0</v>
          </cell>
          <cell r="AI1036">
            <v>0</v>
          </cell>
          <cell r="AJ1036">
            <v>0</v>
          </cell>
          <cell r="AL1036">
            <v>0</v>
          </cell>
          <cell r="AM1036">
            <v>0</v>
          </cell>
          <cell r="AO1036">
            <v>0</v>
          </cell>
          <cell r="AP1036">
            <v>0</v>
          </cell>
          <cell r="AR1036">
            <v>6</v>
          </cell>
          <cell r="AS1036">
            <v>0</v>
          </cell>
          <cell r="BF1036" t="str">
            <v>1000</v>
          </cell>
          <cell r="BG1036" t="str">
            <v>A005</v>
          </cell>
          <cell r="BH1036" t="str">
            <v>GML</v>
          </cell>
        </row>
        <row r="1037">
          <cell r="K1037">
            <v>0</v>
          </cell>
          <cell r="L1037">
            <v>0</v>
          </cell>
          <cell r="N1037">
            <v>0</v>
          </cell>
          <cell r="O1037">
            <v>0</v>
          </cell>
          <cell r="Q1037">
            <v>0</v>
          </cell>
          <cell r="R1037">
            <v>0</v>
          </cell>
          <cell r="T1037">
            <v>0</v>
          </cell>
          <cell r="U1037">
            <v>0</v>
          </cell>
          <cell r="W1037">
            <v>0</v>
          </cell>
          <cell r="X1037">
            <v>0</v>
          </cell>
          <cell r="Z1037">
            <v>0</v>
          </cell>
          <cell r="AA1037">
            <v>0</v>
          </cell>
          <cell r="AC1037">
            <v>0</v>
          </cell>
          <cell r="AD1037">
            <v>0</v>
          </cell>
          <cell r="AF1037">
            <v>0</v>
          </cell>
          <cell r="AG1037">
            <v>0</v>
          </cell>
          <cell r="AI1037">
            <v>0</v>
          </cell>
          <cell r="AJ1037">
            <v>0</v>
          </cell>
          <cell r="AL1037">
            <v>0</v>
          </cell>
          <cell r="AM1037">
            <v>0</v>
          </cell>
          <cell r="AO1037">
            <v>0</v>
          </cell>
          <cell r="AP1037">
            <v>0</v>
          </cell>
          <cell r="AR1037">
            <v>0</v>
          </cell>
          <cell r="AS1037">
            <v>0</v>
          </cell>
          <cell r="BF1037" t="str">
            <v>1000</v>
          </cell>
          <cell r="BG1037" t="str">
            <v>A006</v>
          </cell>
          <cell r="BH1037" t="str">
            <v>GML</v>
          </cell>
        </row>
        <row r="1038">
          <cell r="K1038">
            <v>0</v>
          </cell>
          <cell r="L1038">
            <v>0</v>
          </cell>
          <cell r="N1038">
            <v>0</v>
          </cell>
          <cell r="O1038">
            <v>0</v>
          </cell>
          <cell r="Q1038">
            <v>0</v>
          </cell>
          <cell r="R1038">
            <v>0</v>
          </cell>
          <cell r="T1038">
            <v>0</v>
          </cell>
          <cell r="U1038">
            <v>0</v>
          </cell>
          <cell r="W1038">
            <v>0</v>
          </cell>
          <cell r="X1038">
            <v>0</v>
          </cell>
          <cell r="Z1038">
            <v>0</v>
          </cell>
          <cell r="AA1038">
            <v>0</v>
          </cell>
          <cell r="AC1038">
            <v>0</v>
          </cell>
          <cell r="AD1038">
            <v>0</v>
          </cell>
          <cell r="AF1038">
            <v>0</v>
          </cell>
          <cell r="AG1038">
            <v>0</v>
          </cell>
          <cell r="AI1038">
            <v>0</v>
          </cell>
          <cell r="AJ1038">
            <v>0</v>
          </cell>
          <cell r="AL1038">
            <v>0</v>
          </cell>
          <cell r="AM1038">
            <v>0</v>
          </cell>
          <cell r="AO1038">
            <v>0</v>
          </cell>
          <cell r="AP1038">
            <v>0</v>
          </cell>
          <cell r="AR1038">
            <v>0</v>
          </cell>
          <cell r="AS1038">
            <v>0</v>
          </cell>
          <cell r="BF1038" t="str">
            <v>1000</v>
          </cell>
          <cell r="BG1038" t="str">
            <v>A007</v>
          </cell>
          <cell r="BH1038" t="str">
            <v>GML</v>
          </cell>
        </row>
        <row r="1039">
          <cell r="K1039">
            <v>0</v>
          </cell>
          <cell r="L1039">
            <v>0</v>
          </cell>
          <cell r="N1039">
            <v>0</v>
          </cell>
          <cell r="O1039">
            <v>0</v>
          </cell>
          <cell r="Q1039">
            <v>0</v>
          </cell>
          <cell r="R1039">
            <v>0</v>
          </cell>
          <cell r="T1039">
            <v>0</v>
          </cell>
          <cell r="U1039">
            <v>0</v>
          </cell>
          <cell r="W1039">
            <v>0</v>
          </cell>
          <cell r="X1039">
            <v>0</v>
          </cell>
          <cell r="Z1039">
            <v>0</v>
          </cell>
          <cell r="AA1039">
            <v>0</v>
          </cell>
          <cell r="AC1039">
            <v>0</v>
          </cell>
          <cell r="AD1039">
            <v>0</v>
          </cell>
          <cell r="AF1039">
            <v>0</v>
          </cell>
          <cell r="AG1039">
            <v>0</v>
          </cell>
          <cell r="AI1039">
            <v>0</v>
          </cell>
          <cell r="AJ1039">
            <v>0</v>
          </cell>
          <cell r="AL1039">
            <v>0</v>
          </cell>
          <cell r="AM1039">
            <v>0</v>
          </cell>
          <cell r="AO1039">
            <v>0</v>
          </cell>
          <cell r="AP1039">
            <v>0</v>
          </cell>
          <cell r="AR1039">
            <v>-148480</v>
          </cell>
          <cell r="AS1039">
            <v>0</v>
          </cell>
          <cell r="BF1039" t="str">
            <v>1000</v>
          </cell>
          <cell r="BG1039" t="str">
            <v>A008</v>
          </cell>
          <cell r="BH1039" t="str">
            <v>GML</v>
          </cell>
        </row>
        <row r="1040">
          <cell r="K1040">
            <v>0</v>
          </cell>
          <cell r="L1040">
            <v>0</v>
          </cell>
          <cell r="N1040">
            <v>0</v>
          </cell>
          <cell r="O1040">
            <v>0</v>
          </cell>
          <cell r="Q1040">
            <v>0</v>
          </cell>
          <cell r="R1040">
            <v>0</v>
          </cell>
          <cell r="T1040">
            <v>0</v>
          </cell>
          <cell r="U1040">
            <v>0</v>
          </cell>
          <cell r="W1040">
            <v>0</v>
          </cell>
          <cell r="X1040">
            <v>0</v>
          </cell>
          <cell r="Z1040">
            <v>0</v>
          </cell>
          <cell r="AA1040">
            <v>0</v>
          </cell>
          <cell r="AC1040">
            <v>0</v>
          </cell>
          <cell r="AD1040">
            <v>0</v>
          </cell>
          <cell r="AF1040">
            <v>0</v>
          </cell>
          <cell r="AG1040">
            <v>0</v>
          </cell>
          <cell r="AI1040">
            <v>0</v>
          </cell>
          <cell r="AJ1040">
            <v>0</v>
          </cell>
          <cell r="AL1040">
            <v>0</v>
          </cell>
          <cell r="AM1040">
            <v>0</v>
          </cell>
          <cell r="AO1040">
            <v>0</v>
          </cell>
          <cell r="AP1040">
            <v>0</v>
          </cell>
          <cell r="AR1040">
            <v>0</v>
          </cell>
          <cell r="AS1040">
            <v>0</v>
          </cell>
          <cell r="BF1040" t="str">
            <v>1000</v>
          </cell>
          <cell r="BG1040" t="str">
            <v>A009</v>
          </cell>
          <cell r="BH1040" t="str">
            <v>GML</v>
          </cell>
        </row>
        <row r="1041">
          <cell r="K1041">
            <v>0</v>
          </cell>
          <cell r="L1041">
            <v>0</v>
          </cell>
          <cell r="N1041">
            <v>0</v>
          </cell>
          <cell r="O1041">
            <v>0</v>
          </cell>
          <cell r="Q1041">
            <v>0</v>
          </cell>
          <cell r="R1041">
            <v>0</v>
          </cell>
          <cell r="T1041">
            <v>0</v>
          </cell>
          <cell r="U1041">
            <v>0</v>
          </cell>
          <cell r="W1041">
            <v>0</v>
          </cell>
          <cell r="X1041">
            <v>0</v>
          </cell>
          <cell r="Z1041">
            <v>0</v>
          </cell>
          <cell r="AA1041">
            <v>0</v>
          </cell>
          <cell r="AC1041">
            <v>0</v>
          </cell>
          <cell r="AD1041">
            <v>0</v>
          </cell>
          <cell r="AF1041">
            <v>0</v>
          </cell>
          <cell r="AG1041">
            <v>0</v>
          </cell>
          <cell r="AI1041">
            <v>0</v>
          </cell>
          <cell r="AJ1041">
            <v>0</v>
          </cell>
          <cell r="AL1041">
            <v>0</v>
          </cell>
          <cell r="AM1041">
            <v>0</v>
          </cell>
          <cell r="AO1041">
            <v>0</v>
          </cell>
          <cell r="AP1041">
            <v>0</v>
          </cell>
          <cell r="AR1041">
            <v>0</v>
          </cell>
          <cell r="AS1041">
            <v>0</v>
          </cell>
          <cell r="BF1041" t="str">
            <v>1000</v>
          </cell>
          <cell r="BG1041" t="str">
            <v>A010</v>
          </cell>
          <cell r="BH1041" t="str">
            <v>GML</v>
          </cell>
        </row>
        <row r="1042">
          <cell r="K1042">
            <v>0</v>
          </cell>
          <cell r="L1042">
            <v>0</v>
          </cell>
          <cell r="N1042">
            <v>0</v>
          </cell>
          <cell r="O1042">
            <v>0</v>
          </cell>
          <cell r="Q1042">
            <v>0</v>
          </cell>
          <cell r="R1042">
            <v>0</v>
          </cell>
          <cell r="T1042">
            <v>0</v>
          </cell>
          <cell r="U1042">
            <v>0</v>
          </cell>
          <cell r="W1042">
            <v>0</v>
          </cell>
          <cell r="X1042">
            <v>0</v>
          </cell>
          <cell r="Z1042">
            <v>0</v>
          </cell>
          <cell r="AA1042">
            <v>0</v>
          </cell>
          <cell r="AC1042">
            <v>0</v>
          </cell>
          <cell r="AD1042">
            <v>0</v>
          </cell>
          <cell r="AF1042">
            <v>0</v>
          </cell>
          <cell r="AG1042">
            <v>0</v>
          </cell>
          <cell r="AI1042">
            <v>0</v>
          </cell>
          <cell r="AJ1042">
            <v>0</v>
          </cell>
          <cell r="AL1042">
            <v>0</v>
          </cell>
          <cell r="AM1042">
            <v>0</v>
          </cell>
          <cell r="AO1042">
            <v>0</v>
          </cell>
          <cell r="AP1042">
            <v>0</v>
          </cell>
          <cell r="AR1042">
            <v>0</v>
          </cell>
          <cell r="AS1042">
            <v>0</v>
          </cell>
          <cell r="BF1042" t="str">
            <v>1005</v>
          </cell>
          <cell r="BG1042" t="str">
            <v>A081</v>
          </cell>
          <cell r="BH1042" t="str">
            <v>GML</v>
          </cell>
        </row>
        <row r="1043">
          <cell r="K1043">
            <v>0</v>
          </cell>
          <cell r="L1043">
            <v>0</v>
          </cell>
          <cell r="N1043">
            <v>0</v>
          </cell>
          <cell r="O1043">
            <v>0</v>
          </cell>
          <cell r="Q1043">
            <v>0</v>
          </cell>
          <cell r="R1043">
            <v>0</v>
          </cell>
          <cell r="T1043">
            <v>0</v>
          </cell>
          <cell r="U1043">
            <v>0</v>
          </cell>
          <cell r="W1043">
            <v>0</v>
          </cell>
          <cell r="X1043">
            <v>0</v>
          </cell>
          <cell r="Z1043">
            <v>0</v>
          </cell>
          <cell r="AA1043">
            <v>0</v>
          </cell>
          <cell r="AC1043">
            <v>0</v>
          </cell>
          <cell r="AD1043">
            <v>0</v>
          </cell>
          <cell r="AF1043">
            <v>0</v>
          </cell>
          <cell r="AG1043">
            <v>0</v>
          </cell>
          <cell r="AI1043">
            <v>0</v>
          </cell>
          <cell r="AJ1043">
            <v>0</v>
          </cell>
          <cell r="AL1043">
            <v>0</v>
          </cell>
          <cell r="AM1043">
            <v>0</v>
          </cell>
          <cell r="AO1043">
            <v>0</v>
          </cell>
          <cell r="AP1043">
            <v>0</v>
          </cell>
          <cell r="AR1043">
            <v>0</v>
          </cell>
          <cell r="AS1043">
            <v>0</v>
          </cell>
          <cell r="BF1043" t="str">
            <v>1005</v>
          </cell>
          <cell r="BG1043" t="str">
            <v>A082</v>
          </cell>
          <cell r="BH1043" t="str">
            <v>GML</v>
          </cell>
        </row>
        <row r="1044">
          <cell r="K1044">
            <v>0</v>
          </cell>
          <cell r="L1044">
            <v>0</v>
          </cell>
          <cell r="N1044">
            <v>0</v>
          </cell>
          <cell r="O1044">
            <v>0</v>
          </cell>
          <cell r="Q1044">
            <v>0</v>
          </cell>
          <cell r="R1044">
            <v>0</v>
          </cell>
          <cell r="T1044">
            <v>0</v>
          </cell>
          <cell r="U1044">
            <v>0</v>
          </cell>
          <cell r="W1044">
            <v>0</v>
          </cell>
          <cell r="X1044">
            <v>0</v>
          </cell>
          <cell r="Z1044">
            <v>0</v>
          </cell>
          <cell r="AA1044">
            <v>0</v>
          </cell>
          <cell r="AC1044">
            <v>0</v>
          </cell>
          <cell r="AD1044">
            <v>0</v>
          </cell>
          <cell r="AF1044">
            <v>0</v>
          </cell>
          <cell r="AG1044">
            <v>0</v>
          </cell>
          <cell r="AI1044">
            <v>0</v>
          </cell>
          <cell r="AJ1044">
            <v>0</v>
          </cell>
          <cell r="AL1044">
            <v>0</v>
          </cell>
          <cell r="AM1044">
            <v>0</v>
          </cell>
          <cell r="AO1044">
            <v>0</v>
          </cell>
          <cell r="AP1044">
            <v>0</v>
          </cell>
          <cell r="AR1044">
            <v>0</v>
          </cell>
          <cell r="AS1044">
            <v>0</v>
          </cell>
          <cell r="BF1044" t="str">
            <v>1005</v>
          </cell>
          <cell r="BG1044" t="str">
            <v>A083</v>
          </cell>
          <cell r="BH1044" t="str">
            <v>GML</v>
          </cell>
        </row>
        <row r="1045">
          <cell r="K1045">
            <v>4001.58</v>
          </cell>
          <cell r="L1045">
            <v>0</v>
          </cell>
          <cell r="N1045">
            <v>7256.7199999999993</v>
          </cell>
          <cell r="O1045">
            <v>0</v>
          </cell>
          <cell r="Q1045">
            <v>12410.220000000001</v>
          </cell>
          <cell r="R1045">
            <v>0</v>
          </cell>
          <cell r="T1045">
            <v>7238.0699999999961</v>
          </cell>
          <cell r="U1045">
            <v>0</v>
          </cell>
          <cell r="W1045">
            <v>11211.230000000003</v>
          </cell>
          <cell r="X1045">
            <v>0</v>
          </cell>
          <cell r="Z1045">
            <v>14838.29</v>
          </cell>
          <cell r="AA1045">
            <v>0</v>
          </cell>
          <cell r="AC1045">
            <v>43161.5</v>
          </cell>
          <cell r="AD1045">
            <v>0</v>
          </cell>
          <cell r="AF1045">
            <v>35226.199999999997</v>
          </cell>
          <cell r="AG1045">
            <v>0</v>
          </cell>
          <cell r="AI1045">
            <v>38603.700000000012</v>
          </cell>
          <cell r="AJ1045">
            <v>0</v>
          </cell>
          <cell r="AL1045">
            <v>41759.889999999927</v>
          </cell>
          <cell r="AM1045">
            <v>0</v>
          </cell>
          <cell r="AO1045">
            <v>72783.199999999924</v>
          </cell>
          <cell r="AP1045">
            <v>0</v>
          </cell>
          <cell r="AR1045">
            <v>25655.320000000007</v>
          </cell>
          <cell r="AS1045">
            <v>0</v>
          </cell>
          <cell r="BF1045" t="str">
            <v>1005</v>
          </cell>
          <cell r="BG1045" t="str">
            <v>A084</v>
          </cell>
          <cell r="BH1045" t="str">
            <v>GML</v>
          </cell>
        </row>
        <row r="1046">
          <cell r="K1046">
            <v>0</v>
          </cell>
          <cell r="L1046">
            <v>0</v>
          </cell>
          <cell r="N1046">
            <v>0</v>
          </cell>
          <cell r="O1046">
            <v>0</v>
          </cell>
          <cell r="Q1046">
            <v>0</v>
          </cell>
          <cell r="R1046">
            <v>0</v>
          </cell>
          <cell r="T1046">
            <v>0</v>
          </cell>
          <cell r="U1046">
            <v>0</v>
          </cell>
          <cell r="W1046">
            <v>0</v>
          </cell>
          <cell r="X1046">
            <v>0</v>
          </cell>
          <cell r="Z1046">
            <v>0</v>
          </cell>
          <cell r="AA1046">
            <v>0</v>
          </cell>
          <cell r="AC1046">
            <v>0</v>
          </cell>
          <cell r="AD1046">
            <v>0</v>
          </cell>
          <cell r="AF1046">
            <v>0</v>
          </cell>
          <cell r="AG1046">
            <v>0</v>
          </cell>
          <cell r="AI1046">
            <v>0</v>
          </cell>
          <cell r="AJ1046">
            <v>0</v>
          </cell>
          <cell r="AL1046">
            <v>0</v>
          </cell>
          <cell r="AM1046">
            <v>0</v>
          </cell>
          <cell r="AO1046">
            <v>0</v>
          </cell>
          <cell r="AP1046">
            <v>0</v>
          </cell>
          <cell r="AR1046">
            <v>0</v>
          </cell>
          <cell r="AS1046">
            <v>0</v>
          </cell>
          <cell r="BF1046" t="str">
            <v>1005</v>
          </cell>
          <cell r="BG1046" t="str">
            <v>A085</v>
          </cell>
          <cell r="BH1046" t="str">
            <v>GML</v>
          </cell>
        </row>
        <row r="1047">
          <cell r="K1047">
            <v>0</v>
          </cell>
          <cell r="L1047">
            <v>0</v>
          </cell>
          <cell r="N1047">
            <v>0</v>
          </cell>
          <cell r="O1047">
            <v>0</v>
          </cell>
          <cell r="Q1047">
            <v>0</v>
          </cell>
          <cell r="R1047">
            <v>0</v>
          </cell>
          <cell r="T1047">
            <v>0</v>
          </cell>
          <cell r="U1047">
            <v>0</v>
          </cell>
          <cell r="W1047">
            <v>0</v>
          </cell>
          <cell r="X1047">
            <v>0</v>
          </cell>
          <cell r="Z1047">
            <v>0</v>
          </cell>
          <cell r="AA1047">
            <v>0</v>
          </cell>
          <cell r="AC1047">
            <v>0</v>
          </cell>
          <cell r="AD1047">
            <v>0</v>
          </cell>
          <cell r="AF1047">
            <v>0</v>
          </cell>
          <cell r="AG1047">
            <v>0</v>
          </cell>
          <cell r="AI1047">
            <v>0</v>
          </cell>
          <cell r="AJ1047">
            <v>0</v>
          </cell>
          <cell r="AL1047">
            <v>0</v>
          </cell>
          <cell r="AM1047">
            <v>0</v>
          </cell>
          <cell r="AO1047">
            <v>0</v>
          </cell>
          <cell r="AP1047">
            <v>0</v>
          </cell>
          <cell r="AR1047">
            <v>0</v>
          </cell>
          <cell r="AS1047">
            <v>0</v>
          </cell>
          <cell r="BF1047" t="str">
            <v>1005</v>
          </cell>
          <cell r="BG1047" t="str">
            <v>A086</v>
          </cell>
          <cell r="BH1047" t="str">
            <v>GML</v>
          </cell>
        </row>
        <row r="1048">
          <cell r="K1048">
            <v>0</v>
          </cell>
          <cell r="L1048">
            <v>0</v>
          </cell>
          <cell r="N1048">
            <v>0</v>
          </cell>
          <cell r="O1048">
            <v>0</v>
          </cell>
          <cell r="Q1048">
            <v>0</v>
          </cell>
          <cell r="R1048">
            <v>0</v>
          </cell>
          <cell r="T1048">
            <v>0</v>
          </cell>
          <cell r="U1048">
            <v>0</v>
          </cell>
          <cell r="W1048">
            <v>0</v>
          </cell>
          <cell r="X1048">
            <v>0</v>
          </cell>
          <cell r="Z1048">
            <v>0</v>
          </cell>
          <cell r="AA1048">
            <v>0</v>
          </cell>
          <cell r="AC1048">
            <v>0</v>
          </cell>
          <cell r="AD1048">
            <v>0</v>
          </cell>
          <cell r="AF1048">
            <v>0</v>
          </cell>
          <cell r="AG1048">
            <v>0</v>
          </cell>
          <cell r="AI1048">
            <v>0</v>
          </cell>
          <cell r="AJ1048">
            <v>0</v>
          </cell>
          <cell r="AL1048">
            <v>0</v>
          </cell>
          <cell r="AM1048">
            <v>0</v>
          </cell>
          <cell r="AO1048">
            <v>0</v>
          </cell>
          <cell r="AP1048">
            <v>0</v>
          </cell>
          <cell r="AR1048">
            <v>0</v>
          </cell>
          <cell r="AS1048">
            <v>0</v>
          </cell>
          <cell r="BF1048" t="str">
            <v>1008</v>
          </cell>
          <cell r="BG1048" t="str">
            <v>A041</v>
          </cell>
          <cell r="BH1048" t="str">
            <v>GML</v>
          </cell>
        </row>
        <row r="1049">
          <cell r="K1049">
            <v>0</v>
          </cell>
          <cell r="L1049">
            <v>0</v>
          </cell>
          <cell r="N1049">
            <v>0</v>
          </cell>
          <cell r="O1049">
            <v>0</v>
          </cell>
          <cell r="Q1049">
            <v>0</v>
          </cell>
          <cell r="R1049">
            <v>0</v>
          </cell>
          <cell r="T1049">
            <v>0</v>
          </cell>
          <cell r="U1049">
            <v>0</v>
          </cell>
          <cell r="W1049">
            <v>0</v>
          </cell>
          <cell r="X1049">
            <v>0</v>
          </cell>
          <cell r="Z1049">
            <v>0</v>
          </cell>
          <cell r="AA1049">
            <v>0</v>
          </cell>
          <cell r="AC1049">
            <v>0</v>
          </cell>
          <cell r="AD1049">
            <v>0</v>
          </cell>
          <cell r="AF1049">
            <v>0</v>
          </cell>
          <cell r="AG1049">
            <v>0</v>
          </cell>
          <cell r="AI1049">
            <v>0</v>
          </cell>
          <cell r="AJ1049">
            <v>0</v>
          </cell>
          <cell r="AL1049">
            <v>0</v>
          </cell>
          <cell r="AM1049">
            <v>0</v>
          </cell>
          <cell r="AO1049">
            <v>0</v>
          </cell>
          <cell r="AP1049">
            <v>0</v>
          </cell>
          <cell r="AR1049">
            <v>0</v>
          </cell>
          <cell r="AS1049">
            <v>0</v>
          </cell>
          <cell r="BF1049" t="str">
            <v>1008</v>
          </cell>
          <cell r="BG1049" t="str">
            <v>A042</v>
          </cell>
          <cell r="BH1049" t="str">
            <v>GML</v>
          </cell>
        </row>
        <row r="1050">
          <cell r="K1050">
            <v>0</v>
          </cell>
          <cell r="L1050">
            <v>0</v>
          </cell>
          <cell r="N1050">
            <v>0</v>
          </cell>
          <cell r="O1050">
            <v>0</v>
          </cell>
          <cell r="Q1050">
            <v>0</v>
          </cell>
          <cell r="R1050">
            <v>0</v>
          </cell>
          <cell r="T1050">
            <v>0</v>
          </cell>
          <cell r="U1050">
            <v>0</v>
          </cell>
          <cell r="W1050">
            <v>0</v>
          </cell>
          <cell r="X1050">
            <v>0</v>
          </cell>
          <cell r="Z1050">
            <v>0</v>
          </cell>
          <cell r="AA1050">
            <v>0</v>
          </cell>
          <cell r="AC1050">
            <v>0</v>
          </cell>
          <cell r="AD1050">
            <v>0</v>
          </cell>
          <cell r="AF1050">
            <v>0</v>
          </cell>
          <cell r="AG1050">
            <v>0</v>
          </cell>
          <cell r="AI1050">
            <v>0</v>
          </cell>
          <cell r="AJ1050">
            <v>0</v>
          </cell>
          <cell r="AL1050">
            <v>0</v>
          </cell>
          <cell r="AM1050">
            <v>0</v>
          </cell>
          <cell r="AO1050">
            <v>0</v>
          </cell>
          <cell r="AP1050">
            <v>0</v>
          </cell>
          <cell r="AR1050">
            <v>0</v>
          </cell>
          <cell r="AS1050">
            <v>0</v>
          </cell>
          <cell r="BF1050" t="str">
            <v>1008</v>
          </cell>
          <cell r="BG1050" t="str">
            <v>A043</v>
          </cell>
          <cell r="BH1050" t="str">
            <v>GML</v>
          </cell>
        </row>
        <row r="1051">
          <cell r="K1051">
            <v>0</v>
          </cell>
          <cell r="L1051">
            <v>0</v>
          </cell>
          <cell r="N1051">
            <v>0</v>
          </cell>
          <cell r="O1051">
            <v>0</v>
          </cell>
          <cell r="Q1051">
            <v>0</v>
          </cell>
          <cell r="R1051">
            <v>0</v>
          </cell>
          <cell r="T1051">
            <v>0</v>
          </cell>
          <cell r="U1051">
            <v>0</v>
          </cell>
          <cell r="W1051">
            <v>0</v>
          </cell>
          <cell r="X1051">
            <v>0</v>
          </cell>
          <cell r="Z1051">
            <v>0</v>
          </cell>
          <cell r="AA1051">
            <v>0</v>
          </cell>
          <cell r="AC1051">
            <v>0</v>
          </cell>
          <cell r="AD1051">
            <v>0</v>
          </cell>
          <cell r="AF1051">
            <v>0</v>
          </cell>
          <cell r="AG1051">
            <v>0</v>
          </cell>
          <cell r="AI1051">
            <v>0</v>
          </cell>
          <cell r="AJ1051">
            <v>0</v>
          </cell>
          <cell r="AL1051">
            <v>0</v>
          </cell>
          <cell r="AM1051">
            <v>0</v>
          </cell>
          <cell r="AO1051">
            <v>0</v>
          </cell>
          <cell r="AP1051">
            <v>0</v>
          </cell>
          <cell r="AR1051">
            <v>0</v>
          </cell>
          <cell r="AS1051">
            <v>0</v>
          </cell>
          <cell r="BF1051" t="str">
            <v>1008</v>
          </cell>
          <cell r="BG1051" t="str">
            <v>A044</v>
          </cell>
          <cell r="BH1051" t="str">
            <v>GML</v>
          </cell>
        </row>
        <row r="1052">
          <cell r="K1052">
            <v>0</v>
          </cell>
          <cell r="L1052">
            <v>0</v>
          </cell>
          <cell r="N1052">
            <v>0</v>
          </cell>
          <cell r="O1052">
            <v>0</v>
          </cell>
          <cell r="Q1052">
            <v>0</v>
          </cell>
          <cell r="R1052">
            <v>0</v>
          </cell>
          <cell r="T1052">
            <v>0</v>
          </cell>
          <cell r="U1052">
            <v>0</v>
          </cell>
          <cell r="W1052">
            <v>0</v>
          </cell>
          <cell r="X1052">
            <v>0</v>
          </cell>
          <cell r="Z1052">
            <v>0</v>
          </cell>
          <cell r="AA1052">
            <v>0</v>
          </cell>
          <cell r="AC1052">
            <v>0</v>
          </cell>
          <cell r="AD1052">
            <v>0</v>
          </cell>
          <cell r="AF1052">
            <v>0</v>
          </cell>
          <cell r="AG1052">
            <v>0</v>
          </cell>
          <cell r="AI1052">
            <v>0</v>
          </cell>
          <cell r="AJ1052">
            <v>0</v>
          </cell>
          <cell r="AL1052">
            <v>0</v>
          </cell>
          <cell r="AM1052">
            <v>0</v>
          </cell>
          <cell r="AO1052">
            <v>0</v>
          </cell>
          <cell r="AP1052">
            <v>0</v>
          </cell>
          <cell r="AR1052">
            <v>0</v>
          </cell>
          <cell r="AS1052">
            <v>0</v>
          </cell>
          <cell r="BF1052" t="str">
            <v>1009</v>
          </cell>
          <cell r="BG1052" t="str">
            <v>A061</v>
          </cell>
          <cell r="BH1052" t="str">
            <v>GML</v>
          </cell>
        </row>
        <row r="1053">
          <cell r="K1053">
            <v>0</v>
          </cell>
          <cell r="L1053">
            <v>0</v>
          </cell>
          <cell r="N1053">
            <v>0</v>
          </cell>
          <cell r="O1053">
            <v>0</v>
          </cell>
          <cell r="Q1053">
            <v>0</v>
          </cell>
          <cell r="R1053">
            <v>0</v>
          </cell>
          <cell r="T1053">
            <v>0</v>
          </cell>
          <cell r="U1053">
            <v>0</v>
          </cell>
          <cell r="W1053">
            <v>0</v>
          </cell>
          <cell r="X1053">
            <v>0</v>
          </cell>
          <cell r="Z1053">
            <v>0</v>
          </cell>
          <cell r="AA1053">
            <v>0</v>
          </cell>
          <cell r="AC1053">
            <v>0</v>
          </cell>
          <cell r="AD1053">
            <v>0</v>
          </cell>
          <cell r="AF1053">
            <v>0</v>
          </cell>
          <cell r="AG1053">
            <v>0</v>
          </cell>
          <cell r="AI1053">
            <v>0</v>
          </cell>
          <cell r="AJ1053">
            <v>0</v>
          </cell>
          <cell r="AL1053">
            <v>0</v>
          </cell>
          <cell r="AM1053">
            <v>0</v>
          </cell>
          <cell r="AO1053">
            <v>0</v>
          </cell>
          <cell r="AP1053">
            <v>0</v>
          </cell>
          <cell r="AR1053">
            <v>0</v>
          </cell>
          <cell r="AS1053">
            <v>0</v>
          </cell>
          <cell r="BF1053" t="str">
            <v>1009</v>
          </cell>
          <cell r="BG1053" t="str">
            <v>A062</v>
          </cell>
          <cell r="BH1053" t="str">
            <v>GML</v>
          </cell>
        </row>
        <row r="1054">
          <cell r="K1054">
            <v>0</v>
          </cell>
          <cell r="L1054">
            <v>0</v>
          </cell>
          <cell r="N1054">
            <v>0</v>
          </cell>
          <cell r="O1054">
            <v>0</v>
          </cell>
          <cell r="Q1054">
            <v>0</v>
          </cell>
          <cell r="R1054">
            <v>0</v>
          </cell>
          <cell r="T1054">
            <v>0</v>
          </cell>
          <cell r="U1054">
            <v>0</v>
          </cell>
          <cell r="W1054">
            <v>0</v>
          </cell>
          <cell r="X1054">
            <v>0</v>
          </cell>
          <cell r="Z1054">
            <v>0</v>
          </cell>
          <cell r="AA1054">
            <v>0</v>
          </cell>
          <cell r="AC1054">
            <v>0</v>
          </cell>
          <cell r="AD1054">
            <v>0</v>
          </cell>
          <cell r="AF1054">
            <v>0</v>
          </cell>
          <cell r="AG1054">
            <v>0</v>
          </cell>
          <cell r="AI1054">
            <v>0</v>
          </cell>
          <cell r="AJ1054">
            <v>0</v>
          </cell>
          <cell r="AL1054">
            <v>0</v>
          </cell>
          <cell r="AM1054">
            <v>0</v>
          </cell>
          <cell r="AO1054">
            <v>0</v>
          </cell>
          <cell r="AP1054">
            <v>0</v>
          </cell>
          <cell r="AR1054">
            <v>0</v>
          </cell>
          <cell r="AS1054">
            <v>0</v>
          </cell>
          <cell r="BF1054" t="str">
            <v>1009</v>
          </cell>
          <cell r="BG1054" t="str">
            <v>A063</v>
          </cell>
          <cell r="BH1054" t="str">
            <v>GML</v>
          </cell>
        </row>
        <row r="1055">
          <cell r="K1055">
            <v>0</v>
          </cell>
          <cell r="L1055">
            <v>0</v>
          </cell>
          <cell r="N1055">
            <v>0</v>
          </cell>
          <cell r="O1055">
            <v>0</v>
          </cell>
          <cell r="Q1055">
            <v>0</v>
          </cell>
          <cell r="R1055">
            <v>0</v>
          </cell>
          <cell r="T1055">
            <v>0</v>
          </cell>
          <cell r="U1055">
            <v>0</v>
          </cell>
          <cell r="W1055">
            <v>0</v>
          </cell>
          <cell r="X1055">
            <v>0</v>
          </cell>
          <cell r="Z1055">
            <v>0</v>
          </cell>
          <cell r="AA1055">
            <v>0</v>
          </cell>
          <cell r="AC1055">
            <v>0</v>
          </cell>
          <cell r="AD1055">
            <v>0</v>
          </cell>
          <cell r="AF1055">
            <v>0</v>
          </cell>
          <cell r="AG1055">
            <v>0</v>
          </cell>
          <cell r="AI1055">
            <v>0</v>
          </cell>
          <cell r="AJ1055">
            <v>0</v>
          </cell>
          <cell r="AL1055">
            <v>0</v>
          </cell>
          <cell r="AM1055">
            <v>0</v>
          </cell>
          <cell r="AO1055">
            <v>0</v>
          </cell>
          <cell r="AP1055">
            <v>0</v>
          </cell>
          <cell r="AR1055">
            <v>0</v>
          </cell>
          <cell r="AS1055">
            <v>0</v>
          </cell>
          <cell r="BF1055" t="str">
            <v>1009</v>
          </cell>
          <cell r="BG1055" t="str">
            <v>A064</v>
          </cell>
          <cell r="BH1055" t="str">
            <v>GML</v>
          </cell>
        </row>
        <row r="1056">
          <cell r="K1056">
            <v>0</v>
          </cell>
          <cell r="L1056">
            <v>0</v>
          </cell>
          <cell r="N1056">
            <v>0</v>
          </cell>
          <cell r="O1056">
            <v>0</v>
          </cell>
          <cell r="Q1056">
            <v>0</v>
          </cell>
          <cell r="R1056">
            <v>0</v>
          </cell>
          <cell r="T1056">
            <v>0</v>
          </cell>
          <cell r="U1056">
            <v>0</v>
          </cell>
          <cell r="W1056">
            <v>0</v>
          </cell>
          <cell r="X1056">
            <v>0</v>
          </cell>
          <cell r="Z1056">
            <v>0</v>
          </cell>
          <cell r="AA1056">
            <v>0</v>
          </cell>
          <cell r="AC1056">
            <v>0</v>
          </cell>
          <cell r="AD1056">
            <v>0</v>
          </cell>
          <cell r="AF1056">
            <v>0</v>
          </cell>
          <cell r="AG1056">
            <v>0</v>
          </cell>
          <cell r="AI1056">
            <v>0</v>
          </cell>
          <cell r="AJ1056">
            <v>0</v>
          </cell>
          <cell r="AL1056">
            <v>0</v>
          </cell>
          <cell r="AM1056">
            <v>0</v>
          </cell>
          <cell r="AO1056">
            <v>0</v>
          </cell>
          <cell r="AP1056">
            <v>0</v>
          </cell>
          <cell r="AR1056">
            <v>0</v>
          </cell>
          <cell r="AS1056">
            <v>0</v>
          </cell>
          <cell r="BF1056" t="str">
            <v>1009</v>
          </cell>
          <cell r="BG1056" t="str">
            <v>A065</v>
          </cell>
          <cell r="BH1056" t="str">
            <v>GML</v>
          </cell>
        </row>
        <row r="1057">
          <cell r="K1057">
            <v>0</v>
          </cell>
          <cell r="L1057">
            <v>0</v>
          </cell>
          <cell r="N1057">
            <v>0</v>
          </cell>
          <cell r="O1057">
            <v>0</v>
          </cell>
          <cell r="Q1057">
            <v>0</v>
          </cell>
          <cell r="R1057">
            <v>0</v>
          </cell>
          <cell r="T1057">
            <v>0</v>
          </cell>
          <cell r="U1057">
            <v>0</v>
          </cell>
          <cell r="W1057">
            <v>0</v>
          </cell>
          <cell r="X1057">
            <v>0</v>
          </cell>
          <cell r="Z1057">
            <v>0</v>
          </cell>
          <cell r="AA1057">
            <v>0</v>
          </cell>
          <cell r="AC1057">
            <v>0</v>
          </cell>
          <cell r="AD1057">
            <v>0</v>
          </cell>
          <cell r="AF1057">
            <v>0</v>
          </cell>
          <cell r="AG1057">
            <v>0</v>
          </cell>
          <cell r="AI1057">
            <v>0</v>
          </cell>
          <cell r="AJ1057">
            <v>0</v>
          </cell>
          <cell r="AL1057">
            <v>0</v>
          </cell>
          <cell r="AM1057">
            <v>0</v>
          </cell>
          <cell r="AO1057">
            <v>0</v>
          </cell>
          <cell r="AP1057">
            <v>0</v>
          </cell>
          <cell r="AR1057">
            <v>0</v>
          </cell>
          <cell r="AS1057">
            <v>0</v>
          </cell>
          <cell r="BF1057" t="str">
            <v>2001</v>
          </cell>
          <cell r="BG1057" t="str">
            <v>B001</v>
          </cell>
          <cell r="BH1057" t="str">
            <v>GML</v>
          </cell>
        </row>
        <row r="1058">
          <cell r="K1058">
            <v>3792903.94</v>
          </cell>
          <cell r="L1058">
            <v>0</v>
          </cell>
          <cell r="N1058">
            <v>5342204.5600000005</v>
          </cell>
          <cell r="O1058">
            <v>0</v>
          </cell>
          <cell r="Q1058">
            <v>7272747.2799999993</v>
          </cell>
          <cell r="R1058">
            <v>0</v>
          </cell>
          <cell r="T1058">
            <v>9327968.8600000013</v>
          </cell>
          <cell r="U1058">
            <v>0</v>
          </cell>
          <cell r="W1058">
            <v>10881242.460000001</v>
          </cell>
          <cell r="X1058">
            <v>0</v>
          </cell>
          <cell r="Z1058">
            <v>12244189.539999999</v>
          </cell>
          <cell r="AA1058">
            <v>0</v>
          </cell>
          <cell r="AC1058">
            <v>13033524.139999993</v>
          </cell>
          <cell r="AD1058">
            <v>0</v>
          </cell>
          <cell r="AF1058">
            <v>11981027.18999999</v>
          </cell>
          <cell r="AG1058">
            <v>0</v>
          </cell>
          <cell r="AI1058">
            <v>12821424.930000007</v>
          </cell>
          <cell r="AJ1058">
            <v>0</v>
          </cell>
          <cell r="AL1058">
            <v>13508724.689999998</v>
          </cell>
          <cell r="AM1058">
            <v>0</v>
          </cell>
          <cell r="AO1058">
            <v>13959015.510000005</v>
          </cell>
          <cell r="AP1058">
            <v>0</v>
          </cell>
          <cell r="AR1058">
            <v>13498670.700000003</v>
          </cell>
          <cell r="AS1058">
            <v>0</v>
          </cell>
          <cell r="BF1058" t="str">
            <v>2001</v>
          </cell>
          <cell r="BG1058" t="str">
            <v>B002</v>
          </cell>
          <cell r="BH1058" t="str">
            <v>GML</v>
          </cell>
        </row>
        <row r="1059">
          <cell r="K1059">
            <v>0</v>
          </cell>
          <cell r="L1059">
            <v>0</v>
          </cell>
          <cell r="N1059">
            <v>0</v>
          </cell>
          <cell r="O1059">
            <v>0</v>
          </cell>
          <cell r="Q1059">
            <v>0</v>
          </cell>
          <cell r="R1059">
            <v>0</v>
          </cell>
          <cell r="T1059">
            <v>0</v>
          </cell>
          <cell r="U1059">
            <v>0</v>
          </cell>
          <cell r="W1059">
            <v>0</v>
          </cell>
          <cell r="X1059">
            <v>0</v>
          </cell>
          <cell r="Z1059">
            <v>0</v>
          </cell>
          <cell r="AA1059">
            <v>0</v>
          </cell>
          <cell r="AC1059">
            <v>0</v>
          </cell>
          <cell r="AD1059">
            <v>0</v>
          </cell>
          <cell r="AF1059">
            <v>0</v>
          </cell>
          <cell r="AG1059">
            <v>0</v>
          </cell>
          <cell r="AI1059">
            <v>0</v>
          </cell>
          <cell r="AJ1059">
            <v>0</v>
          </cell>
          <cell r="AL1059">
            <v>0</v>
          </cell>
          <cell r="AM1059">
            <v>0</v>
          </cell>
          <cell r="AO1059">
            <v>0</v>
          </cell>
          <cell r="AP1059">
            <v>0</v>
          </cell>
          <cell r="AR1059">
            <v>0</v>
          </cell>
          <cell r="AS1059">
            <v>0</v>
          </cell>
          <cell r="BF1059" t="str">
            <v>2001</v>
          </cell>
          <cell r="BG1059" t="str">
            <v>B003</v>
          </cell>
          <cell r="BH1059" t="str">
            <v>GML</v>
          </cell>
        </row>
        <row r="1060">
          <cell r="K1060">
            <v>3918.6699999999946</v>
          </cell>
          <cell r="L1060">
            <v>0</v>
          </cell>
          <cell r="N1060">
            <v>0</v>
          </cell>
          <cell r="O1060">
            <v>0</v>
          </cell>
          <cell r="Q1060">
            <v>0</v>
          </cell>
          <cell r="R1060">
            <v>0</v>
          </cell>
          <cell r="T1060">
            <v>4895.969999999983</v>
          </cell>
          <cell r="U1060">
            <v>0</v>
          </cell>
          <cell r="W1060">
            <v>33.120000000009895</v>
          </cell>
          <cell r="X1060">
            <v>0</v>
          </cell>
          <cell r="Z1060">
            <v>1668491.27</v>
          </cell>
          <cell r="AA1060">
            <v>0</v>
          </cell>
          <cell r="AC1060">
            <v>2482531.04</v>
          </cell>
          <cell r="AD1060">
            <v>0</v>
          </cell>
          <cell r="AF1060">
            <v>2162875.64</v>
          </cell>
          <cell r="AG1060">
            <v>0</v>
          </cell>
          <cell r="AI1060">
            <v>14370356.469999995</v>
          </cell>
          <cell r="AJ1060">
            <v>0</v>
          </cell>
          <cell r="AL1060">
            <v>20734905.970000006</v>
          </cell>
          <cell r="AM1060">
            <v>0</v>
          </cell>
          <cell r="AO1060">
            <v>15536155.740000002</v>
          </cell>
          <cell r="AP1060">
            <v>0</v>
          </cell>
          <cell r="AR1060">
            <v>14884011.140000015</v>
          </cell>
          <cell r="AS1060">
            <v>0</v>
          </cell>
          <cell r="BF1060" t="str">
            <v>2001</v>
          </cell>
          <cell r="BG1060" t="str">
            <v>B004</v>
          </cell>
          <cell r="BH1060" t="str">
            <v>GML</v>
          </cell>
        </row>
        <row r="1061">
          <cell r="K1061">
            <v>0</v>
          </cell>
          <cell r="L1061">
            <v>0</v>
          </cell>
          <cell r="N1061">
            <v>0</v>
          </cell>
          <cell r="O1061">
            <v>0</v>
          </cell>
          <cell r="Q1061">
            <v>0</v>
          </cell>
          <cell r="R1061">
            <v>0</v>
          </cell>
          <cell r="T1061">
            <v>0</v>
          </cell>
          <cell r="U1061">
            <v>0</v>
          </cell>
          <cell r="W1061">
            <v>0</v>
          </cell>
          <cell r="X1061">
            <v>0</v>
          </cell>
          <cell r="Z1061">
            <v>0</v>
          </cell>
          <cell r="AA1061">
            <v>0</v>
          </cell>
          <cell r="AC1061">
            <v>0</v>
          </cell>
          <cell r="AD1061">
            <v>0</v>
          </cell>
          <cell r="AF1061">
            <v>0</v>
          </cell>
          <cell r="AG1061">
            <v>0</v>
          </cell>
          <cell r="AI1061">
            <v>0</v>
          </cell>
          <cell r="AJ1061">
            <v>0</v>
          </cell>
          <cell r="AL1061">
            <v>0</v>
          </cell>
          <cell r="AM1061">
            <v>0</v>
          </cell>
          <cell r="AO1061">
            <v>0</v>
          </cell>
          <cell r="AP1061">
            <v>0</v>
          </cell>
          <cell r="AR1061">
            <v>0</v>
          </cell>
          <cell r="AS1061">
            <v>0</v>
          </cell>
          <cell r="BF1061" t="str">
            <v>2001</v>
          </cell>
          <cell r="BG1061" t="str">
            <v>B005</v>
          </cell>
          <cell r="BH1061" t="str">
            <v>GML</v>
          </cell>
        </row>
        <row r="1062">
          <cell r="K1062">
            <v>-2.9103830456733704E-11</v>
          </cell>
          <cell r="L1062">
            <v>0</v>
          </cell>
          <cell r="N1062">
            <v>0</v>
          </cell>
          <cell r="O1062">
            <v>0</v>
          </cell>
          <cell r="Q1062">
            <v>0</v>
          </cell>
          <cell r="R1062">
            <v>0</v>
          </cell>
          <cell r="T1062">
            <v>0</v>
          </cell>
          <cell r="U1062">
            <v>0</v>
          </cell>
          <cell r="W1062">
            <v>0</v>
          </cell>
          <cell r="X1062">
            <v>0</v>
          </cell>
          <cell r="Z1062">
            <v>0</v>
          </cell>
          <cell r="AA1062">
            <v>0</v>
          </cell>
          <cell r="AC1062">
            <v>0</v>
          </cell>
          <cell r="AD1062">
            <v>0</v>
          </cell>
          <cell r="AF1062">
            <v>0</v>
          </cell>
          <cell r="AG1062">
            <v>0</v>
          </cell>
          <cell r="AI1062">
            <v>0</v>
          </cell>
          <cell r="AJ1062">
            <v>0</v>
          </cell>
          <cell r="AL1062">
            <v>0</v>
          </cell>
          <cell r="AM1062">
            <v>0</v>
          </cell>
          <cell r="AO1062">
            <v>0</v>
          </cell>
          <cell r="AP1062">
            <v>0</v>
          </cell>
          <cell r="AR1062">
            <v>5.9999999999708962</v>
          </cell>
          <cell r="AS1062">
            <v>0</v>
          </cell>
          <cell r="BF1062" t="str">
            <v>2001</v>
          </cell>
          <cell r="BG1062" t="str">
            <v>B006</v>
          </cell>
          <cell r="BH1062" t="str">
            <v>GML</v>
          </cell>
        </row>
        <row r="1063">
          <cell r="K1063">
            <v>-248614.78999996558</v>
          </cell>
          <cell r="L1063">
            <v>0</v>
          </cell>
          <cell r="N1063">
            <v>-3180627.869999975</v>
          </cell>
          <cell r="O1063">
            <v>0</v>
          </cell>
          <cell r="Q1063">
            <v>-5731490.099999994</v>
          </cell>
          <cell r="R1063">
            <v>0</v>
          </cell>
          <cell r="T1063">
            <v>-2470935.8200000226</v>
          </cell>
          <cell r="U1063">
            <v>0</v>
          </cell>
          <cell r="W1063">
            <v>-6849435.8300000131</v>
          </cell>
          <cell r="X1063">
            <v>0</v>
          </cell>
          <cell r="Z1063">
            <v>1237495.7400000095</v>
          </cell>
          <cell r="AA1063">
            <v>0</v>
          </cell>
          <cell r="AC1063">
            <v>-202555.29999998212</v>
          </cell>
          <cell r="AD1063">
            <v>0</v>
          </cell>
          <cell r="AF1063">
            <v>-68414.909999996424</v>
          </cell>
          <cell r="AG1063">
            <v>0</v>
          </cell>
          <cell r="AI1063">
            <v>-688887.71999999881</v>
          </cell>
          <cell r="AJ1063">
            <v>0</v>
          </cell>
          <cell r="AL1063">
            <v>-302326.72000002861</v>
          </cell>
          <cell r="AM1063">
            <v>0</v>
          </cell>
          <cell r="AO1063">
            <v>-49847.219999969006</v>
          </cell>
          <cell r="AP1063">
            <v>0</v>
          </cell>
          <cell r="AR1063">
            <v>-4211806.2099999785</v>
          </cell>
          <cell r="AS1063">
            <v>0</v>
          </cell>
          <cell r="BF1063" t="str">
            <v>2008</v>
          </cell>
          <cell r="BG1063" t="str">
            <v>Z000</v>
          </cell>
          <cell r="BH1063" t="str">
            <v>GML</v>
          </cell>
        </row>
        <row r="1064">
          <cell r="K1064">
            <v>596048.69999999995</v>
          </cell>
          <cell r="L1064">
            <v>0</v>
          </cell>
          <cell r="N1064">
            <v>3889254.58</v>
          </cell>
          <cell r="O1064">
            <v>0</v>
          </cell>
          <cell r="Q1064">
            <v>214972.46999999974</v>
          </cell>
          <cell r="R1064">
            <v>0</v>
          </cell>
          <cell r="T1064">
            <v>1458.3700000010431</v>
          </cell>
          <cell r="U1064">
            <v>0</v>
          </cell>
          <cell r="W1064">
            <v>3638682.6300000027</v>
          </cell>
          <cell r="X1064">
            <v>0</v>
          </cell>
          <cell r="Z1064">
            <v>2600686</v>
          </cell>
          <cell r="AA1064">
            <v>0</v>
          </cell>
          <cell r="AC1064">
            <v>2327489.4299999997</v>
          </cell>
          <cell r="AD1064">
            <v>0</v>
          </cell>
          <cell r="AF1064">
            <v>2397874.2099999972</v>
          </cell>
          <cell r="AG1064">
            <v>0</v>
          </cell>
          <cell r="AI1064">
            <v>3067441.3500000015</v>
          </cell>
          <cell r="AJ1064">
            <v>0</v>
          </cell>
          <cell r="AL1064">
            <v>742333.49000000209</v>
          </cell>
          <cell r="AM1064">
            <v>0</v>
          </cell>
          <cell r="AO1064">
            <v>-2868621.9999999963</v>
          </cell>
          <cell r="AP1064">
            <v>0</v>
          </cell>
          <cell r="AR1064">
            <v>3997574.200000003</v>
          </cell>
          <cell r="AS1064">
            <v>0</v>
          </cell>
          <cell r="BF1064" t="str">
            <v>2010</v>
          </cell>
          <cell r="BG1064" t="str">
            <v>B021</v>
          </cell>
          <cell r="BH1064" t="str">
            <v>GML</v>
          </cell>
        </row>
        <row r="1065">
          <cell r="K1065">
            <v>0</v>
          </cell>
          <cell r="L1065">
            <v>0</v>
          </cell>
          <cell r="N1065">
            <v>0</v>
          </cell>
          <cell r="O1065">
            <v>0</v>
          </cell>
          <cell r="Q1065">
            <v>0</v>
          </cell>
          <cell r="R1065">
            <v>0</v>
          </cell>
          <cell r="T1065">
            <v>0</v>
          </cell>
          <cell r="U1065">
            <v>0</v>
          </cell>
          <cell r="W1065">
            <v>0</v>
          </cell>
          <cell r="X1065">
            <v>0</v>
          </cell>
          <cell r="Z1065">
            <v>0</v>
          </cell>
          <cell r="AA1065">
            <v>0</v>
          </cell>
          <cell r="AC1065">
            <v>0</v>
          </cell>
          <cell r="AD1065">
            <v>0</v>
          </cell>
          <cell r="AF1065">
            <v>0</v>
          </cell>
          <cell r="AG1065">
            <v>0</v>
          </cell>
          <cell r="AI1065">
            <v>0</v>
          </cell>
          <cell r="AJ1065">
            <v>0</v>
          </cell>
          <cell r="AL1065">
            <v>0</v>
          </cell>
          <cell r="AM1065">
            <v>0</v>
          </cell>
          <cell r="AO1065">
            <v>4247871.71</v>
          </cell>
          <cell r="AP1065">
            <v>0</v>
          </cell>
          <cell r="AR1065">
            <v>0</v>
          </cell>
          <cell r="AS1065">
            <v>0</v>
          </cell>
          <cell r="BF1065" t="str">
            <v>2010</v>
          </cell>
          <cell r="BG1065" t="str">
            <v>B022</v>
          </cell>
          <cell r="BH1065" t="str">
            <v>GML</v>
          </cell>
        </row>
        <row r="1066">
          <cell r="K1066">
            <v>0</v>
          </cell>
          <cell r="L1066">
            <v>0</v>
          </cell>
          <cell r="N1066">
            <v>0</v>
          </cell>
          <cell r="O1066">
            <v>0</v>
          </cell>
          <cell r="Q1066">
            <v>0</v>
          </cell>
          <cell r="R1066">
            <v>0</v>
          </cell>
          <cell r="T1066">
            <v>0</v>
          </cell>
          <cell r="U1066">
            <v>0</v>
          </cell>
          <cell r="W1066">
            <v>0</v>
          </cell>
          <cell r="X1066">
            <v>0</v>
          </cell>
          <cell r="Z1066">
            <v>0</v>
          </cell>
          <cell r="AA1066">
            <v>0</v>
          </cell>
          <cell r="AC1066">
            <v>0</v>
          </cell>
          <cell r="AD1066">
            <v>0</v>
          </cell>
          <cell r="AF1066">
            <v>0</v>
          </cell>
          <cell r="AG1066">
            <v>0</v>
          </cell>
          <cell r="AI1066">
            <v>989699</v>
          </cell>
          <cell r="AJ1066">
            <v>0</v>
          </cell>
          <cell r="AL1066">
            <v>0</v>
          </cell>
          <cell r="AM1066">
            <v>0</v>
          </cell>
          <cell r="AO1066">
            <v>0</v>
          </cell>
          <cell r="AP1066">
            <v>0</v>
          </cell>
          <cell r="AR1066">
            <v>0</v>
          </cell>
          <cell r="AS1066">
            <v>0</v>
          </cell>
          <cell r="BF1066" t="str">
            <v>2010</v>
          </cell>
          <cell r="BG1066" t="str">
            <v>B023</v>
          </cell>
          <cell r="BH1066" t="str">
            <v>GML</v>
          </cell>
        </row>
        <row r="1067">
          <cell r="K1067">
            <v>0</v>
          </cell>
          <cell r="L1067">
            <v>0</v>
          </cell>
          <cell r="N1067">
            <v>0</v>
          </cell>
          <cell r="O1067">
            <v>0</v>
          </cell>
          <cell r="Q1067">
            <v>0</v>
          </cell>
          <cell r="R1067">
            <v>0</v>
          </cell>
          <cell r="T1067">
            <v>0</v>
          </cell>
          <cell r="U1067">
            <v>0</v>
          </cell>
          <cell r="W1067">
            <v>0</v>
          </cell>
          <cell r="X1067">
            <v>0</v>
          </cell>
          <cell r="Z1067">
            <v>0</v>
          </cell>
          <cell r="AA1067">
            <v>0</v>
          </cell>
          <cell r="AC1067">
            <v>0</v>
          </cell>
          <cell r="AD1067">
            <v>0</v>
          </cell>
          <cell r="AF1067">
            <v>0</v>
          </cell>
          <cell r="AG1067">
            <v>0</v>
          </cell>
          <cell r="AI1067">
            <v>0</v>
          </cell>
          <cell r="AJ1067">
            <v>0</v>
          </cell>
          <cell r="AL1067">
            <v>0</v>
          </cell>
          <cell r="AM1067">
            <v>0</v>
          </cell>
          <cell r="AO1067">
            <v>0</v>
          </cell>
          <cell r="AP1067">
            <v>0</v>
          </cell>
          <cell r="AR1067">
            <v>-2021634.2</v>
          </cell>
          <cell r="AS1067">
            <v>0</v>
          </cell>
          <cell r="BF1067" t="str">
            <v>2010</v>
          </cell>
          <cell r="BG1067" t="str">
            <v>B024</v>
          </cell>
          <cell r="BH1067" t="str">
            <v>GML</v>
          </cell>
        </row>
        <row r="1068">
          <cell r="K1068">
            <v>0</v>
          </cell>
          <cell r="L1068">
            <v>0</v>
          </cell>
          <cell r="N1068">
            <v>0</v>
          </cell>
          <cell r="O1068">
            <v>0</v>
          </cell>
          <cell r="Q1068">
            <v>0</v>
          </cell>
          <cell r="R1068">
            <v>0</v>
          </cell>
          <cell r="T1068">
            <v>0</v>
          </cell>
          <cell r="U1068">
            <v>0</v>
          </cell>
          <cell r="W1068">
            <v>0</v>
          </cell>
          <cell r="X1068">
            <v>0</v>
          </cell>
          <cell r="Z1068">
            <v>0</v>
          </cell>
          <cell r="AA1068">
            <v>0</v>
          </cell>
          <cell r="AC1068">
            <v>0</v>
          </cell>
          <cell r="AD1068">
            <v>0</v>
          </cell>
          <cell r="AF1068">
            <v>0</v>
          </cell>
          <cell r="AG1068">
            <v>0</v>
          </cell>
          <cell r="AI1068">
            <v>0</v>
          </cell>
          <cell r="AJ1068">
            <v>0</v>
          </cell>
          <cell r="AL1068">
            <v>0</v>
          </cell>
          <cell r="AM1068">
            <v>0</v>
          </cell>
          <cell r="AO1068">
            <v>0</v>
          </cell>
          <cell r="AP1068">
            <v>0</v>
          </cell>
          <cell r="AR1068">
            <v>0</v>
          </cell>
          <cell r="AS1068">
            <v>0</v>
          </cell>
          <cell r="BF1068" t="str">
            <v>2015</v>
          </cell>
          <cell r="BG1068" t="str">
            <v>B201</v>
          </cell>
          <cell r="BH1068" t="str">
            <v>GML</v>
          </cell>
        </row>
        <row r="1069">
          <cell r="K1069">
            <v>0</v>
          </cell>
          <cell r="L1069">
            <v>0</v>
          </cell>
          <cell r="N1069">
            <v>0</v>
          </cell>
          <cell r="O1069">
            <v>0</v>
          </cell>
          <cell r="Q1069">
            <v>0</v>
          </cell>
          <cell r="R1069">
            <v>0</v>
          </cell>
          <cell r="T1069">
            <v>0</v>
          </cell>
          <cell r="U1069">
            <v>0</v>
          </cell>
          <cell r="W1069">
            <v>0</v>
          </cell>
          <cell r="X1069">
            <v>0</v>
          </cell>
          <cell r="Z1069">
            <v>0</v>
          </cell>
          <cell r="AA1069">
            <v>0</v>
          </cell>
          <cell r="AC1069">
            <v>0</v>
          </cell>
          <cell r="AD1069">
            <v>0</v>
          </cell>
          <cell r="AF1069">
            <v>0</v>
          </cell>
          <cell r="AG1069">
            <v>0</v>
          </cell>
          <cell r="AI1069">
            <v>0</v>
          </cell>
          <cell r="AJ1069">
            <v>0</v>
          </cell>
          <cell r="AL1069">
            <v>0</v>
          </cell>
          <cell r="AM1069">
            <v>0</v>
          </cell>
          <cell r="AO1069">
            <v>0</v>
          </cell>
          <cell r="AP1069">
            <v>0</v>
          </cell>
          <cell r="AR1069">
            <v>0</v>
          </cell>
          <cell r="AS1069">
            <v>0</v>
          </cell>
          <cell r="BF1069" t="str">
            <v>2015</v>
          </cell>
          <cell r="BG1069" t="str">
            <v>B202</v>
          </cell>
          <cell r="BH1069" t="str">
            <v>GML</v>
          </cell>
        </row>
        <row r="1070">
          <cell r="K1070">
            <v>0</v>
          </cell>
          <cell r="L1070">
            <v>0</v>
          </cell>
          <cell r="N1070">
            <v>0</v>
          </cell>
          <cell r="O1070">
            <v>0</v>
          </cell>
          <cell r="Q1070">
            <v>0</v>
          </cell>
          <cell r="R1070">
            <v>0</v>
          </cell>
          <cell r="T1070">
            <v>0</v>
          </cell>
          <cell r="U1070">
            <v>0</v>
          </cell>
          <cell r="W1070">
            <v>0</v>
          </cell>
          <cell r="X1070">
            <v>0</v>
          </cell>
          <cell r="Z1070">
            <v>0</v>
          </cell>
          <cell r="AA1070">
            <v>0</v>
          </cell>
          <cell r="AC1070">
            <v>0</v>
          </cell>
          <cell r="AD1070">
            <v>0</v>
          </cell>
          <cell r="AF1070">
            <v>0</v>
          </cell>
          <cell r="AG1070">
            <v>0</v>
          </cell>
          <cell r="AI1070">
            <v>0</v>
          </cell>
          <cell r="AJ1070">
            <v>0</v>
          </cell>
          <cell r="AL1070">
            <v>0</v>
          </cell>
          <cell r="AM1070">
            <v>0</v>
          </cell>
          <cell r="AO1070">
            <v>0</v>
          </cell>
          <cell r="AP1070">
            <v>0</v>
          </cell>
          <cell r="AR1070">
            <v>0</v>
          </cell>
          <cell r="AS1070">
            <v>0</v>
          </cell>
          <cell r="BF1070" t="str">
            <v>2015</v>
          </cell>
          <cell r="BG1070" t="str">
            <v>B203</v>
          </cell>
          <cell r="BH1070" t="str">
            <v>GML</v>
          </cell>
        </row>
        <row r="1071">
          <cell r="K1071">
            <v>0</v>
          </cell>
          <cell r="L1071">
            <v>0</v>
          </cell>
          <cell r="N1071">
            <v>0</v>
          </cell>
          <cell r="O1071">
            <v>0</v>
          </cell>
          <cell r="Q1071">
            <v>0</v>
          </cell>
          <cell r="R1071">
            <v>0</v>
          </cell>
          <cell r="T1071">
            <v>12000</v>
          </cell>
          <cell r="U1071">
            <v>0</v>
          </cell>
          <cell r="W1071">
            <v>0</v>
          </cell>
          <cell r="X1071">
            <v>0</v>
          </cell>
          <cell r="Z1071">
            <v>0</v>
          </cell>
          <cell r="AA1071">
            <v>0</v>
          </cell>
          <cell r="AC1071">
            <v>12000</v>
          </cell>
          <cell r="AD1071">
            <v>0</v>
          </cell>
          <cell r="AF1071">
            <v>0</v>
          </cell>
          <cell r="AG1071">
            <v>0</v>
          </cell>
          <cell r="AI1071">
            <v>0</v>
          </cell>
          <cell r="AJ1071">
            <v>0</v>
          </cell>
          <cell r="AL1071">
            <v>0</v>
          </cell>
          <cell r="AM1071">
            <v>0</v>
          </cell>
          <cell r="AO1071">
            <v>0</v>
          </cell>
          <cell r="AP1071">
            <v>0</v>
          </cell>
          <cell r="AR1071">
            <v>0</v>
          </cell>
          <cell r="AS1071">
            <v>0</v>
          </cell>
          <cell r="BF1071" t="str">
            <v>2015</v>
          </cell>
          <cell r="BG1071" t="str">
            <v>B204</v>
          </cell>
          <cell r="BH1071" t="str">
            <v>GML</v>
          </cell>
        </row>
        <row r="1072">
          <cell r="K1072">
            <v>1546200</v>
          </cell>
          <cell r="L1072">
            <v>0</v>
          </cell>
          <cell r="N1072">
            <v>2159650.66</v>
          </cell>
          <cell r="O1072">
            <v>0</v>
          </cell>
          <cell r="Q1072">
            <v>4158200</v>
          </cell>
          <cell r="R1072">
            <v>0</v>
          </cell>
          <cell r="T1072">
            <v>1368300</v>
          </cell>
          <cell r="U1072">
            <v>0</v>
          </cell>
          <cell r="W1072">
            <v>5072050</v>
          </cell>
          <cell r="X1072">
            <v>0</v>
          </cell>
          <cell r="Z1072">
            <v>4509650</v>
          </cell>
          <cell r="AA1072">
            <v>0</v>
          </cell>
          <cell r="AC1072">
            <v>5813949.9499999993</v>
          </cell>
          <cell r="AD1072">
            <v>0</v>
          </cell>
          <cell r="AF1072">
            <v>5276700</v>
          </cell>
          <cell r="AG1072">
            <v>0</v>
          </cell>
          <cell r="AI1072">
            <v>6110859.9299999997</v>
          </cell>
          <cell r="AJ1072">
            <v>0</v>
          </cell>
          <cell r="AL1072">
            <v>4961720</v>
          </cell>
          <cell r="AM1072">
            <v>0</v>
          </cell>
          <cell r="AO1072">
            <v>3958710</v>
          </cell>
          <cell r="AP1072">
            <v>0</v>
          </cell>
          <cell r="AR1072">
            <v>4121390</v>
          </cell>
          <cell r="AS1072">
            <v>0</v>
          </cell>
          <cell r="BF1072" t="str">
            <v>2015</v>
          </cell>
          <cell r="BG1072" t="str">
            <v>B205</v>
          </cell>
          <cell r="BH1072" t="str">
            <v>GML</v>
          </cell>
        </row>
        <row r="1073">
          <cell r="K1073">
            <v>0</v>
          </cell>
          <cell r="L1073">
            <v>0</v>
          </cell>
          <cell r="N1073">
            <v>0</v>
          </cell>
          <cell r="O1073">
            <v>0</v>
          </cell>
          <cell r="Q1073">
            <v>100000</v>
          </cell>
          <cell r="R1073">
            <v>0</v>
          </cell>
          <cell r="T1073">
            <v>0</v>
          </cell>
          <cell r="U1073">
            <v>0</v>
          </cell>
          <cell r="W1073">
            <v>257725</v>
          </cell>
          <cell r="X1073">
            <v>0</v>
          </cell>
          <cell r="Z1073">
            <v>1909875</v>
          </cell>
          <cell r="AA1073">
            <v>0</v>
          </cell>
          <cell r="AC1073">
            <v>0</v>
          </cell>
          <cell r="AD1073">
            <v>0</v>
          </cell>
          <cell r="AF1073">
            <v>1632075</v>
          </cell>
          <cell r="AG1073">
            <v>0</v>
          </cell>
          <cell r="AI1073">
            <v>0</v>
          </cell>
          <cell r="AJ1073">
            <v>0</v>
          </cell>
          <cell r="AL1073">
            <v>0</v>
          </cell>
          <cell r="AM1073">
            <v>0</v>
          </cell>
          <cell r="AO1073">
            <v>0</v>
          </cell>
          <cell r="AP1073">
            <v>0</v>
          </cell>
          <cell r="AR1073">
            <v>0</v>
          </cell>
          <cell r="AS1073">
            <v>0</v>
          </cell>
          <cell r="BF1073" t="str">
            <v>2015</v>
          </cell>
          <cell r="BG1073" t="str">
            <v>B206</v>
          </cell>
          <cell r="BH1073" t="str">
            <v>GML</v>
          </cell>
        </row>
        <row r="1074">
          <cell r="K1074">
            <v>0</v>
          </cell>
          <cell r="L1074">
            <v>0</v>
          </cell>
          <cell r="N1074">
            <v>0</v>
          </cell>
          <cell r="O1074">
            <v>0</v>
          </cell>
          <cell r="Q1074">
            <v>0</v>
          </cell>
          <cell r="R1074">
            <v>0</v>
          </cell>
          <cell r="T1074">
            <v>0</v>
          </cell>
          <cell r="U1074">
            <v>0</v>
          </cell>
          <cell r="W1074">
            <v>0</v>
          </cell>
          <cell r="X1074">
            <v>0</v>
          </cell>
          <cell r="Z1074">
            <v>0</v>
          </cell>
          <cell r="AA1074">
            <v>0</v>
          </cell>
          <cell r="AC1074">
            <v>0</v>
          </cell>
          <cell r="AD1074">
            <v>0</v>
          </cell>
          <cell r="AF1074">
            <v>0</v>
          </cell>
          <cell r="AG1074">
            <v>0</v>
          </cell>
          <cell r="AI1074">
            <v>0</v>
          </cell>
          <cell r="AJ1074">
            <v>0</v>
          </cell>
          <cell r="AL1074">
            <v>0</v>
          </cell>
          <cell r="AM1074">
            <v>0</v>
          </cell>
          <cell r="AO1074">
            <v>0</v>
          </cell>
          <cell r="AP1074">
            <v>0</v>
          </cell>
          <cell r="AR1074">
            <v>0</v>
          </cell>
          <cell r="AS1074">
            <v>0</v>
          </cell>
          <cell r="BF1074" t="str">
            <v>2015</v>
          </cell>
          <cell r="BG1074" t="str">
            <v>B207</v>
          </cell>
          <cell r="BH1074" t="str">
            <v>GML</v>
          </cell>
        </row>
        <row r="1075">
          <cell r="K1075">
            <v>0</v>
          </cell>
          <cell r="L1075">
            <v>0</v>
          </cell>
          <cell r="N1075">
            <v>0</v>
          </cell>
          <cell r="O1075">
            <v>0</v>
          </cell>
          <cell r="Q1075">
            <v>0</v>
          </cell>
          <cell r="R1075">
            <v>0</v>
          </cell>
          <cell r="T1075">
            <v>0</v>
          </cell>
          <cell r="U1075">
            <v>0</v>
          </cell>
          <cell r="W1075">
            <v>0</v>
          </cell>
          <cell r="X1075">
            <v>0</v>
          </cell>
          <cell r="Z1075">
            <v>0</v>
          </cell>
          <cell r="AA1075">
            <v>0</v>
          </cell>
          <cell r="AC1075">
            <v>0</v>
          </cell>
          <cell r="AD1075">
            <v>0</v>
          </cell>
          <cell r="AF1075">
            <v>0</v>
          </cell>
          <cell r="AG1075">
            <v>0</v>
          </cell>
          <cell r="AI1075">
            <v>0</v>
          </cell>
          <cell r="AJ1075">
            <v>0</v>
          </cell>
          <cell r="AL1075">
            <v>0</v>
          </cell>
          <cell r="AM1075">
            <v>0</v>
          </cell>
          <cell r="AO1075">
            <v>0</v>
          </cell>
          <cell r="AP1075">
            <v>0</v>
          </cell>
          <cell r="AR1075">
            <v>0</v>
          </cell>
          <cell r="AS1075">
            <v>0</v>
          </cell>
          <cell r="BF1075" t="str">
            <v>2015</v>
          </cell>
          <cell r="BG1075" t="str">
            <v>B208</v>
          </cell>
          <cell r="BH1075" t="str">
            <v>GML</v>
          </cell>
        </row>
        <row r="1076">
          <cell r="K1076">
            <v>0</v>
          </cell>
          <cell r="L1076">
            <v>0</v>
          </cell>
          <cell r="N1076">
            <v>0</v>
          </cell>
          <cell r="O1076">
            <v>0</v>
          </cell>
          <cell r="Q1076">
            <v>0</v>
          </cell>
          <cell r="R1076">
            <v>0</v>
          </cell>
          <cell r="T1076">
            <v>0</v>
          </cell>
          <cell r="U1076">
            <v>0</v>
          </cell>
          <cell r="W1076">
            <v>0</v>
          </cell>
          <cell r="X1076">
            <v>0</v>
          </cell>
          <cell r="Z1076">
            <v>0</v>
          </cell>
          <cell r="AA1076">
            <v>0</v>
          </cell>
          <cell r="AC1076">
            <v>0</v>
          </cell>
          <cell r="AD1076">
            <v>0</v>
          </cell>
          <cell r="AF1076">
            <v>0</v>
          </cell>
          <cell r="AG1076">
            <v>0</v>
          </cell>
          <cell r="AI1076">
            <v>0</v>
          </cell>
          <cell r="AJ1076">
            <v>0</v>
          </cell>
          <cell r="AL1076">
            <v>0</v>
          </cell>
          <cell r="AM1076">
            <v>0</v>
          </cell>
          <cell r="AO1076">
            <v>0</v>
          </cell>
          <cell r="AP1076">
            <v>0</v>
          </cell>
          <cell r="AR1076">
            <v>0</v>
          </cell>
          <cell r="AS1076">
            <v>0</v>
          </cell>
          <cell r="BF1076" t="str">
            <v>2015</v>
          </cell>
          <cell r="BG1076" t="str">
            <v>B209</v>
          </cell>
          <cell r="BH1076" t="str">
            <v>GML</v>
          </cell>
        </row>
        <row r="1077">
          <cell r="K1077">
            <v>0</v>
          </cell>
          <cell r="L1077">
            <v>0</v>
          </cell>
          <cell r="N1077">
            <v>0</v>
          </cell>
          <cell r="O1077">
            <v>0</v>
          </cell>
          <cell r="Q1077">
            <v>0</v>
          </cell>
          <cell r="R1077">
            <v>0</v>
          </cell>
          <cell r="T1077">
            <v>0</v>
          </cell>
          <cell r="U1077">
            <v>0</v>
          </cell>
          <cell r="W1077">
            <v>0</v>
          </cell>
          <cell r="X1077">
            <v>0</v>
          </cell>
          <cell r="Z1077">
            <v>0</v>
          </cell>
          <cell r="AA1077">
            <v>0</v>
          </cell>
          <cell r="AC1077">
            <v>0</v>
          </cell>
          <cell r="AD1077">
            <v>0</v>
          </cell>
          <cell r="AF1077">
            <v>0</v>
          </cell>
          <cell r="AG1077">
            <v>0</v>
          </cell>
          <cell r="AI1077">
            <v>0</v>
          </cell>
          <cell r="AJ1077">
            <v>0</v>
          </cell>
          <cell r="AL1077">
            <v>0</v>
          </cell>
          <cell r="AM1077">
            <v>0</v>
          </cell>
          <cell r="AO1077">
            <v>0</v>
          </cell>
          <cell r="AP1077">
            <v>0</v>
          </cell>
          <cell r="AR1077">
            <v>0</v>
          </cell>
          <cell r="AS1077">
            <v>0</v>
          </cell>
          <cell r="BF1077" t="str">
            <v>2015</v>
          </cell>
          <cell r="BG1077" t="str">
            <v>B210</v>
          </cell>
          <cell r="BH1077" t="str">
            <v>GML</v>
          </cell>
        </row>
        <row r="1078">
          <cell r="K1078">
            <v>0</v>
          </cell>
          <cell r="L1078">
            <v>0</v>
          </cell>
          <cell r="N1078">
            <v>0</v>
          </cell>
          <cell r="O1078">
            <v>0</v>
          </cell>
          <cell r="Q1078">
            <v>0</v>
          </cell>
          <cell r="R1078">
            <v>0</v>
          </cell>
          <cell r="T1078">
            <v>0</v>
          </cell>
          <cell r="U1078">
            <v>0</v>
          </cell>
          <cell r="W1078">
            <v>0</v>
          </cell>
          <cell r="X1078">
            <v>0</v>
          </cell>
          <cell r="Z1078">
            <v>0</v>
          </cell>
          <cell r="AA1078">
            <v>0</v>
          </cell>
          <cell r="AC1078">
            <v>0</v>
          </cell>
          <cell r="AD1078">
            <v>0</v>
          </cell>
          <cell r="AF1078">
            <v>0</v>
          </cell>
          <cell r="AG1078">
            <v>0</v>
          </cell>
          <cell r="AI1078">
            <v>0</v>
          </cell>
          <cell r="AJ1078">
            <v>0</v>
          </cell>
          <cell r="AL1078">
            <v>0</v>
          </cell>
          <cell r="AM1078">
            <v>0</v>
          </cell>
          <cell r="AO1078">
            <v>0</v>
          </cell>
          <cell r="AP1078">
            <v>0</v>
          </cell>
          <cell r="AR1078">
            <v>0</v>
          </cell>
          <cell r="AS1078">
            <v>0</v>
          </cell>
          <cell r="BF1078" t="str">
            <v>2016</v>
          </cell>
          <cell r="BG1078" t="str">
            <v>B301</v>
          </cell>
          <cell r="BH1078" t="str">
            <v>GML</v>
          </cell>
        </row>
        <row r="1079">
          <cell r="K1079">
            <v>0</v>
          </cell>
          <cell r="L1079">
            <v>0</v>
          </cell>
          <cell r="N1079">
            <v>0</v>
          </cell>
          <cell r="O1079">
            <v>0</v>
          </cell>
          <cell r="Q1079">
            <v>0</v>
          </cell>
          <cell r="R1079">
            <v>0</v>
          </cell>
          <cell r="T1079">
            <v>0</v>
          </cell>
          <cell r="U1079">
            <v>0</v>
          </cell>
          <cell r="W1079">
            <v>0</v>
          </cell>
          <cell r="X1079">
            <v>0</v>
          </cell>
          <cell r="Z1079">
            <v>0</v>
          </cell>
          <cell r="AA1079">
            <v>0</v>
          </cell>
          <cell r="AC1079">
            <v>0</v>
          </cell>
          <cell r="AD1079">
            <v>0</v>
          </cell>
          <cell r="AF1079">
            <v>0</v>
          </cell>
          <cell r="AG1079">
            <v>0</v>
          </cell>
          <cell r="AI1079">
            <v>0</v>
          </cell>
          <cell r="AJ1079">
            <v>0</v>
          </cell>
          <cell r="AL1079">
            <v>0</v>
          </cell>
          <cell r="AM1079">
            <v>0</v>
          </cell>
          <cell r="AO1079">
            <v>0</v>
          </cell>
          <cell r="AP1079">
            <v>0</v>
          </cell>
          <cell r="AR1079">
            <v>0</v>
          </cell>
          <cell r="AS1079">
            <v>0</v>
          </cell>
          <cell r="BF1079" t="str">
            <v>2016</v>
          </cell>
          <cell r="BG1079" t="str">
            <v>B302</v>
          </cell>
          <cell r="BH1079" t="str">
            <v>GML</v>
          </cell>
        </row>
        <row r="1080">
          <cell r="K1080">
            <v>0</v>
          </cell>
          <cell r="L1080">
            <v>0</v>
          </cell>
          <cell r="N1080">
            <v>0</v>
          </cell>
          <cell r="O1080">
            <v>0</v>
          </cell>
          <cell r="Q1080">
            <v>0</v>
          </cell>
          <cell r="R1080">
            <v>0</v>
          </cell>
          <cell r="T1080">
            <v>0</v>
          </cell>
          <cell r="U1080">
            <v>0</v>
          </cell>
          <cell r="W1080">
            <v>0</v>
          </cell>
          <cell r="X1080">
            <v>0</v>
          </cell>
          <cell r="Z1080">
            <v>0</v>
          </cell>
          <cell r="AA1080">
            <v>0</v>
          </cell>
          <cell r="AC1080">
            <v>0</v>
          </cell>
          <cell r="AD1080">
            <v>0</v>
          </cell>
          <cell r="AF1080">
            <v>0</v>
          </cell>
          <cell r="AG1080">
            <v>0</v>
          </cell>
          <cell r="AI1080">
            <v>0</v>
          </cell>
          <cell r="AJ1080">
            <v>0</v>
          </cell>
          <cell r="AL1080">
            <v>0</v>
          </cell>
          <cell r="AM1080">
            <v>0</v>
          </cell>
          <cell r="AO1080">
            <v>0</v>
          </cell>
          <cell r="AP1080">
            <v>0</v>
          </cell>
          <cell r="AR1080">
            <v>0</v>
          </cell>
          <cell r="AS1080">
            <v>0</v>
          </cell>
          <cell r="BF1080" t="str">
            <v>2016</v>
          </cell>
          <cell r="BG1080" t="str">
            <v>B303</v>
          </cell>
          <cell r="BH1080" t="str">
            <v>GML</v>
          </cell>
        </row>
        <row r="1081">
          <cell r="K1081">
            <v>0</v>
          </cell>
          <cell r="L1081">
            <v>0</v>
          </cell>
          <cell r="N1081">
            <v>0</v>
          </cell>
          <cell r="O1081">
            <v>0</v>
          </cell>
          <cell r="Q1081">
            <v>0</v>
          </cell>
          <cell r="R1081">
            <v>0</v>
          </cell>
          <cell r="T1081">
            <v>0</v>
          </cell>
          <cell r="U1081">
            <v>0</v>
          </cell>
          <cell r="W1081">
            <v>0</v>
          </cell>
          <cell r="X1081">
            <v>0</v>
          </cell>
          <cell r="Z1081">
            <v>0</v>
          </cell>
          <cell r="AA1081">
            <v>0</v>
          </cell>
          <cell r="AC1081">
            <v>0</v>
          </cell>
          <cell r="AD1081">
            <v>0</v>
          </cell>
          <cell r="AF1081">
            <v>0</v>
          </cell>
          <cell r="AG1081">
            <v>0</v>
          </cell>
          <cell r="AI1081">
            <v>0</v>
          </cell>
          <cell r="AJ1081">
            <v>0</v>
          </cell>
          <cell r="AL1081">
            <v>0</v>
          </cell>
          <cell r="AM1081">
            <v>0</v>
          </cell>
          <cell r="AO1081">
            <v>0</v>
          </cell>
          <cell r="AP1081">
            <v>0</v>
          </cell>
          <cell r="AR1081">
            <v>0</v>
          </cell>
          <cell r="AS1081">
            <v>0</v>
          </cell>
          <cell r="BF1081" t="str">
            <v>2017</v>
          </cell>
          <cell r="BG1081" t="str">
            <v>B401</v>
          </cell>
          <cell r="BH1081" t="str">
            <v>GML</v>
          </cell>
        </row>
        <row r="1082">
          <cell r="K1082">
            <v>0</v>
          </cell>
          <cell r="L1082">
            <v>0</v>
          </cell>
          <cell r="N1082">
            <v>0</v>
          </cell>
          <cell r="O1082">
            <v>0</v>
          </cell>
          <cell r="Q1082">
            <v>0</v>
          </cell>
          <cell r="R1082">
            <v>0</v>
          </cell>
          <cell r="T1082">
            <v>0</v>
          </cell>
          <cell r="U1082">
            <v>0</v>
          </cell>
          <cell r="W1082">
            <v>0</v>
          </cell>
          <cell r="X1082">
            <v>0</v>
          </cell>
          <cell r="Z1082">
            <v>0</v>
          </cell>
          <cell r="AA1082">
            <v>0</v>
          </cell>
          <cell r="AC1082">
            <v>0</v>
          </cell>
          <cell r="AD1082">
            <v>0</v>
          </cell>
          <cell r="AF1082">
            <v>0</v>
          </cell>
          <cell r="AG1082">
            <v>0</v>
          </cell>
          <cell r="AI1082">
            <v>0</v>
          </cell>
          <cell r="AJ1082">
            <v>0</v>
          </cell>
          <cell r="AL1082">
            <v>0</v>
          </cell>
          <cell r="AM1082">
            <v>0</v>
          </cell>
          <cell r="AO1082">
            <v>0</v>
          </cell>
          <cell r="AP1082">
            <v>0</v>
          </cell>
          <cell r="AR1082">
            <v>0</v>
          </cell>
          <cell r="AS1082">
            <v>0</v>
          </cell>
          <cell r="BF1082" t="str">
            <v>2017</v>
          </cell>
          <cell r="BG1082" t="str">
            <v>B402</v>
          </cell>
          <cell r="BH1082" t="str">
            <v>GML</v>
          </cell>
        </row>
        <row r="1083">
          <cell r="K1083">
            <v>198477.8</v>
          </cell>
          <cell r="L1083">
            <v>0</v>
          </cell>
          <cell r="N1083">
            <v>314558.45</v>
          </cell>
          <cell r="O1083">
            <v>0</v>
          </cell>
          <cell r="Q1083">
            <v>545280.32000000007</v>
          </cell>
          <cell r="R1083">
            <v>0</v>
          </cell>
          <cell r="T1083">
            <v>770000</v>
          </cell>
          <cell r="U1083">
            <v>0</v>
          </cell>
          <cell r="W1083">
            <v>1078942.19</v>
          </cell>
          <cell r="X1083">
            <v>0</v>
          </cell>
          <cell r="Z1083">
            <v>1537535.6099999999</v>
          </cell>
          <cell r="AA1083">
            <v>0</v>
          </cell>
          <cell r="AC1083">
            <v>1637615.54</v>
          </cell>
          <cell r="AD1083">
            <v>0</v>
          </cell>
          <cell r="AF1083">
            <v>2097120.6500000004</v>
          </cell>
          <cell r="AG1083">
            <v>0</v>
          </cell>
          <cell r="AI1083">
            <v>2493753.7599999998</v>
          </cell>
          <cell r="AJ1083">
            <v>0</v>
          </cell>
          <cell r="AL1083">
            <v>3224539.790000001</v>
          </cell>
          <cell r="AM1083">
            <v>0</v>
          </cell>
          <cell r="AO1083">
            <v>2784075.8900000006</v>
          </cell>
          <cell r="AP1083">
            <v>0</v>
          </cell>
          <cell r="AR1083">
            <v>3500000</v>
          </cell>
          <cell r="AS1083">
            <v>0</v>
          </cell>
          <cell r="BF1083" t="str">
            <v>2017</v>
          </cell>
          <cell r="BG1083" t="str">
            <v>B403</v>
          </cell>
          <cell r="BH1083" t="str">
            <v>GML</v>
          </cell>
        </row>
        <row r="1084">
          <cell r="K1084">
            <v>0</v>
          </cell>
          <cell r="L1084">
            <v>0</v>
          </cell>
          <cell r="N1084">
            <v>0</v>
          </cell>
          <cell r="O1084">
            <v>0</v>
          </cell>
          <cell r="Q1084">
            <v>0</v>
          </cell>
          <cell r="R1084">
            <v>0</v>
          </cell>
          <cell r="T1084">
            <v>0</v>
          </cell>
          <cell r="U1084">
            <v>0</v>
          </cell>
          <cell r="W1084">
            <v>0</v>
          </cell>
          <cell r="X1084">
            <v>0</v>
          </cell>
          <cell r="Z1084">
            <v>0</v>
          </cell>
          <cell r="AA1084">
            <v>0</v>
          </cell>
          <cell r="AC1084">
            <v>0</v>
          </cell>
          <cell r="AD1084">
            <v>0</v>
          </cell>
          <cell r="AF1084">
            <v>0</v>
          </cell>
          <cell r="AG1084">
            <v>0</v>
          </cell>
          <cell r="AI1084">
            <v>0</v>
          </cell>
          <cell r="AJ1084">
            <v>0</v>
          </cell>
          <cell r="AL1084">
            <v>0</v>
          </cell>
          <cell r="AM1084">
            <v>0</v>
          </cell>
          <cell r="AO1084">
            <v>0</v>
          </cell>
          <cell r="AP1084">
            <v>0</v>
          </cell>
          <cell r="AR1084">
            <v>0</v>
          </cell>
          <cell r="AS1084">
            <v>0</v>
          </cell>
          <cell r="BF1084" t="str">
            <v>3100</v>
          </cell>
          <cell r="BG1084" t="str">
            <v>C002</v>
          </cell>
          <cell r="BH1084" t="str">
            <v>GML</v>
          </cell>
        </row>
        <row r="1085">
          <cell r="K1085">
            <v>0</v>
          </cell>
          <cell r="L1085">
            <v>0</v>
          </cell>
          <cell r="N1085">
            <v>0</v>
          </cell>
          <cell r="O1085">
            <v>0</v>
          </cell>
          <cell r="Q1085">
            <v>0</v>
          </cell>
          <cell r="R1085">
            <v>0</v>
          </cell>
          <cell r="T1085">
            <v>0</v>
          </cell>
          <cell r="U1085">
            <v>0</v>
          </cell>
          <cell r="W1085">
            <v>0</v>
          </cell>
          <cell r="X1085">
            <v>0</v>
          </cell>
          <cell r="Z1085">
            <v>0</v>
          </cell>
          <cell r="AA1085">
            <v>0</v>
          </cell>
          <cell r="AC1085">
            <v>0</v>
          </cell>
          <cell r="AD1085">
            <v>0</v>
          </cell>
          <cell r="AF1085">
            <v>0</v>
          </cell>
          <cell r="AG1085">
            <v>0</v>
          </cell>
          <cell r="AI1085">
            <v>0</v>
          </cell>
          <cell r="AJ1085">
            <v>0</v>
          </cell>
          <cell r="AL1085">
            <v>0</v>
          </cell>
          <cell r="AM1085">
            <v>0</v>
          </cell>
          <cell r="AO1085">
            <v>0</v>
          </cell>
          <cell r="AP1085">
            <v>0</v>
          </cell>
          <cell r="AR1085">
            <v>0</v>
          </cell>
          <cell r="AS1085">
            <v>0</v>
          </cell>
          <cell r="BF1085" t="str">
            <v>3100</v>
          </cell>
          <cell r="BG1085" t="str">
            <v>C003</v>
          </cell>
          <cell r="BH1085" t="str">
            <v>GML</v>
          </cell>
        </row>
        <row r="1086">
          <cell r="K1086">
            <v>0</v>
          </cell>
          <cell r="L1086">
            <v>0</v>
          </cell>
          <cell r="N1086">
            <v>0</v>
          </cell>
          <cell r="O1086">
            <v>0</v>
          </cell>
          <cell r="Q1086">
            <v>0</v>
          </cell>
          <cell r="R1086">
            <v>0</v>
          </cell>
          <cell r="T1086">
            <v>0</v>
          </cell>
          <cell r="U1086">
            <v>0</v>
          </cell>
          <cell r="W1086">
            <v>0</v>
          </cell>
          <cell r="X1086">
            <v>0</v>
          </cell>
          <cell r="Z1086">
            <v>0</v>
          </cell>
          <cell r="AA1086">
            <v>0</v>
          </cell>
          <cell r="AC1086">
            <v>0</v>
          </cell>
          <cell r="AD1086">
            <v>0</v>
          </cell>
          <cell r="AF1086">
            <v>0</v>
          </cell>
          <cell r="AG1086">
            <v>0</v>
          </cell>
          <cell r="AI1086">
            <v>0</v>
          </cell>
          <cell r="AJ1086">
            <v>0</v>
          </cell>
          <cell r="AL1086">
            <v>0</v>
          </cell>
          <cell r="AM1086">
            <v>0</v>
          </cell>
          <cell r="AO1086">
            <v>0</v>
          </cell>
          <cell r="AP1086">
            <v>0</v>
          </cell>
          <cell r="AR1086">
            <v>0</v>
          </cell>
          <cell r="AS1086">
            <v>0</v>
          </cell>
          <cell r="BF1086" t="str">
            <v>3100</v>
          </cell>
          <cell r="BG1086" t="str">
            <v>C004</v>
          </cell>
          <cell r="BH1086" t="str">
            <v>GML</v>
          </cell>
        </row>
        <row r="1087">
          <cell r="K1087">
            <v>0</v>
          </cell>
          <cell r="L1087">
            <v>0</v>
          </cell>
          <cell r="N1087">
            <v>0</v>
          </cell>
          <cell r="O1087">
            <v>0</v>
          </cell>
          <cell r="Q1087">
            <v>0</v>
          </cell>
          <cell r="R1087">
            <v>0</v>
          </cell>
          <cell r="T1087">
            <v>0</v>
          </cell>
          <cell r="U1087">
            <v>0</v>
          </cell>
          <cell r="W1087">
            <v>0</v>
          </cell>
          <cell r="X1087">
            <v>0</v>
          </cell>
          <cell r="Z1087">
            <v>0</v>
          </cell>
          <cell r="AA1087">
            <v>0</v>
          </cell>
          <cell r="AC1087">
            <v>0</v>
          </cell>
          <cell r="AD1087">
            <v>0</v>
          </cell>
          <cell r="AF1087">
            <v>0</v>
          </cell>
          <cell r="AG1087">
            <v>0</v>
          </cell>
          <cell r="AI1087">
            <v>0</v>
          </cell>
          <cell r="AJ1087">
            <v>0</v>
          </cell>
          <cell r="AL1087">
            <v>0</v>
          </cell>
          <cell r="AM1087">
            <v>0</v>
          </cell>
          <cell r="AO1087">
            <v>0</v>
          </cell>
          <cell r="AP1087">
            <v>0</v>
          </cell>
          <cell r="AR1087">
            <v>0</v>
          </cell>
          <cell r="AS1087">
            <v>0</v>
          </cell>
          <cell r="BF1087" t="str">
            <v>3100</v>
          </cell>
          <cell r="BG1087" t="str">
            <v>C005</v>
          </cell>
          <cell r="BH1087" t="str">
            <v>GML</v>
          </cell>
        </row>
        <row r="1088">
          <cell r="K1088">
            <v>0</v>
          </cell>
          <cell r="L1088">
            <v>0</v>
          </cell>
          <cell r="N1088">
            <v>0</v>
          </cell>
          <cell r="O1088">
            <v>0</v>
          </cell>
          <cell r="Q1088">
            <v>0</v>
          </cell>
          <cell r="R1088">
            <v>0</v>
          </cell>
          <cell r="T1088">
            <v>0</v>
          </cell>
          <cell r="U1088">
            <v>0</v>
          </cell>
          <cell r="W1088">
            <v>0</v>
          </cell>
          <cell r="X1088">
            <v>0</v>
          </cell>
          <cell r="Z1088">
            <v>0</v>
          </cell>
          <cell r="AA1088">
            <v>0</v>
          </cell>
          <cell r="AC1088">
            <v>0</v>
          </cell>
          <cell r="AD1088">
            <v>0</v>
          </cell>
          <cell r="AF1088">
            <v>0</v>
          </cell>
          <cell r="AG1088">
            <v>0</v>
          </cell>
          <cell r="AI1088">
            <v>0</v>
          </cell>
          <cell r="AJ1088">
            <v>0</v>
          </cell>
          <cell r="AL1088">
            <v>0</v>
          </cell>
          <cell r="AM1088">
            <v>0</v>
          </cell>
          <cell r="AO1088">
            <v>0</v>
          </cell>
          <cell r="AP1088">
            <v>0</v>
          </cell>
          <cell r="AR1088">
            <v>0</v>
          </cell>
          <cell r="AS1088">
            <v>0</v>
          </cell>
          <cell r="BF1088" t="str">
            <v>3100</v>
          </cell>
          <cell r="BG1088" t="str">
            <v>C006</v>
          </cell>
          <cell r="BH1088" t="str">
            <v>GML</v>
          </cell>
        </row>
        <row r="1089">
          <cell r="K1089">
            <v>0</v>
          </cell>
          <cell r="L1089">
            <v>0</v>
          </cell>
          <cell r="N1089">
            <v>0</v>
          </cell>
          <cell r="O1089">
            <v>0</v>
          </cell>
          <cell r="Q1089">
            <v>0</v>
          </cell>
          <cell r="R1089">
            <v>0</v>
          </cell>
          <cell r="T1089">
            <v>0</v>
          </cell>
          <cell r="U1089">
            <v>0</v>
          </cell>
          <cell r="W1089">
            <v>0</v>
          </cell>
          <cell r="X1089">
            <v>0</v>
          </cell>
          <cell r="Z1089">
            <v>0</v>
          </cell>
          <cell r="AA1089">
            <v>0</v>
          </cell>
          <cell r="AC1089">
            <v>0</v>
          </cell>
          <cell r="AD1089">
            <v>0</v>
          </cell>
          <cell r="AF1089">
            <v>0</v>
          </cell>
          <cell r="AG1089">
            <v>0</v>
          </cell>
          <cell r="AI1089">
            <v>0</v>
          </cell>
          <cell r="AJ1089">
            <v>0</v>
          </cell>
          <cell r="AL1089">
            <v>0</v>
          </cell>
          <cell r="AM1089">
            <v>0</v>
          </cell>
          <cell r="AO1089">
            <v>0</v>
          </cell>
          <cell r="AP1089">
            <v>0</v>
          </cell>
          <cell r="AR1089">
            <v>0</v>
          </cell>
          <cell r="AS1089">
            <v>0</v>
          </cell>
          <cell r="BF1089" t="str">
            <v>3150</v>
          </cell>
          <cell r="BG1089" t="str">
            <v>Z000</v>
          </cell>
          <cell r="BH1089" t="str">
            <v>GML</v>
          </cell>
        </row>
        <row r="1090">
          <cell r="K1090">
            <v>261478.41999999993</v>
          </cell>
          <cell r="L1090">
            <v>0</v>
          </cell>
          <cell r="N1090">
            <v>261478.41999999993</v>
          </cell>
          <cell r="O1090">
            <v>0</v>
          </cell>
          <cell r="Q1090">
            <v>261478.41999999946</v>
          </cell>
          <cell r="R1090">
            <v>0</v>
          </cell>
          <cell r="T1090">
            <v>261478.41999999993</v>
          </cell>
          <cell r="U1090">
            <v>0</v>
          </cell>
          <cell r="W1090">
            <v>261478.41999999993</v>
          </cell>
          <cell r="X1090">
            <v>0</v>
          </cell>
          <cell r="Z1090">
            <v>261478.41999999993</v>
          </cell>
          <cell r="AA1090">
            <v>0</v>
          </cell>
          <cell r="AC1090">
            <v>2777384.36</v>
          </cell>
          <cell r="AD1090">
            <v>0</v>
          </cell>
          <cell r="AF1090">
            <v>2777384.8599999994</v>
          </cell>
          <cell r="AG1090">
            <v>0</v>
          </cell>
          <cell r="AI1090">
            <v>2777384.3599999994</v>
          </cell>
          <cell r="AJ1090">
            <v>0</v>
          </cell>
          <cell r="AL1090">
            <v>2777384.3600000031</v>
          </cell>
          <cell r="AM1090">
            <v>0</v>
          </cell>
          <cell r="AO1090">
            <v>2777384.3600000031</v>
          </cell>
          <cell r="AP1090">
            <v>0</v>
          </cell>
          <cell r="AR1090">
            <v>2777384.3600000031</v>
          </cell>
          <cell r="AS1090">
            <v>0</v>
          </cell>
          <cell r="BF1090" t="str">
            <v>4000</v>
          </cell>
          <cell r="BG1090" t="str">
            <v>D001</v>
          </cell>
          <cell r="BH1090" t="str">
            <v>GML</v>
          </cell>
        </row>
        <row r="1091">
          <cell r="K1091">
            <v>0</v>
          </cell>
          <cell r="L1091">
            <v>0</v>
          </cell>
          <cell r="N1091">
            <v>0</v>
          </cell>
          <cell r="O1091">
            <v>0</v>
          </cell>
          <cell r="Q1091">
            <v>0</v>
          </cell>
          <cell r="R1091">
            <v>0</v>
          </cell>
          <cell r="T1091">
            <v>0</v>
          </cell>
          <cell r="U1091">
            <v>0</v>
          </cell>
          <cell r="W1091">
            <v>0</v>
          </cell>
          <cell r="X1091">
            <v>0</v>
          </cell>
          <cell r="Z1091">
            <v>0</v>
          </cell>
          <cell r="AA1091">
            <v>0</v>
          </cell>
          <cell r="AC1091">
            <v>0</v>
          </cell>
          <cell r="AD1091">
            <v>0</v>
          </cell>
          <cell r="AF1091">
            <v>7640.85</v>
          </cell>
          <cell r="AG1091">
            <v>0</v>
          </cell>
          <cell r="AI1091">
            <v>0</v>
          </cell>
          <cell r="AJ1091">
            <v>0</v>
          </cell>
          <cell r="AL1091">
            <v>0</v>
          </cell>
          <cell r="AM1091">
            <v>0</v>
          </cell>
          <cell r="AO1091">
            <v>0</v>
          </cell>
          <cell r="AP1091">
            <v>0</v>
          </cell>
          <cell r="AR1091">
            <v>533213.74</v>
          </cell>
          <cell r="AS1091">
            <v>0</v>
          </cell>
          <cell r="BF1091" t="str">
            <v>4000</v>
          </cell>
          <cell r="BG1091" t="str">
            <v>D002</v>
          </cell>
          <cell r="BH1091" t="str">
            <v>GML</v>
          </cell>
        </row>
        <row r="1092">
          <cell r="K1092">
            <v>2714863.716</v>
          </cell>
          <cell r="L1092">
            <v>0</v>
          </cell>
          <cell r="N1092">
            <v>1239766.5500000007</v>
          </cell>
          <cell r="O1092">
            <v>0</v>
          </cell>
          <cell r="Q1092">
            <v>1362631.1900000013</v>
          </cell>
          <cell r="R1092">
            <v>0</v>
          </cell>
          <cell r="T1092">
            <v>1506151.2899999991</v>
          </cell>
          <cell r="U1092">
            <v>0</v>
          </cell>
          <cell r="W1092">
            <v>1183509.6499999985</v>
          </cell>
          <cell r="X1092">
            <v>0</v>
          </cell>
          <cell r="Z1092">
            <v>1611895.8599999994</v>
          </cell>
          <cell r="AA1092">
            <v>0</v>
          </cell>
          <cell r="AC1092">
            <v>1781641.75</v>
          </cell>
          <cell r="AD1092">
            <v>0</v>
          </cell>
          <cell r="AF1092">
            <v>1603040</v>
          </cell>
          <cell r="AG1092">
            <v>0</v>
          </cell>
          <cell r="AI1092">
            <v>1614942.3399999999</v>
          </cell>
          <cell r="AJ1092">
            <v>0</v>
          </cell>
          <cell r="AL1092">
            <v>1057469.8300000019</v>
          </cell>
          <cell r="AM1092">
            <v>0</v>
          </cell>
          <cell r="AO1092">
            <v>1507503.3800000027</v>
          </cell>
          <cell r="AP1092">
            <v>0</v>
          </cell>
          <cell r="AR1092">
            <v>1507549.4200000018</v>
          </cell>
          <cell r="AS1092">
            <v>0</v>
          </cell>
          <cell r="BF1092" t="str">
            <v>4010</v>
          </cell>
          <cell r="BG1092" t="str">
            <v>Z000</v>
          </cell>
          <cell r="BH1092" t="str">
            <v>GML</v>
          </cell>
        </row>
        <row r="1093">
          <cell r="K1093">
            <v>105342.08000000002</v>
          </cell>
          <cell r="L1093">
            <v>0</v>
          </cell>
          <cell r="N1093">
            <v>77342</v>
          </cell>
          <cell r="O1093">
            <v>0</v>
          </cell>
          <cell r="Q1093">
            <v>44448.839999999967</v>
          </cell>
          <cell r="R1093">
            <v>0</v>
          </cell>
          <cell r="T1093">
            <v>110597.97999999986</v>
          </cell>
          <cell r="U1093">
            <v>0</v>
          </cell>
          <cell r="W1093">
            <v>145948.5</v>
          </cell>
          <cell r="X1093">
            <v>0</v>
          </cell>
          <cell r="Z1093">
            <v>200200</v>
          </cell>
          <cell r="AA1093">
            <v>0</v>
          </cell>
          <cell r="AC1093">
            <v>178178.40999999992</v>
          </cell>
          <cell r="AD1093">
            <v>0</v>
          </cell>
          <cell r="AF1093">
            <v>318950.00000000047</v>
          </cell>
          <cell r="AG1093">
            <v>0</v>
          </cell>
          <cell r="AI1093">
            <v>188292.91000000015</v>
          </cell>
          <cell r="AJ1093">
            <v>0</v>
          </cell>
          <cell r="AL1093">
            <v>216650</v>
          </cell>
          <cell r="AM1093">
            <v>0</v>
          </cell>
          <cell r="AO1093">
            <v>304948.58000000007</v>
          </cell>
          <cell r="AP1093">
            <v>0</v>
          </cell>
          <cell r="AR1093">
            <v>254550</v>
          </cell>
          <cell r="AS1093">
            <v>0</v>
          </cell>
          <cell r="BF1093" t="str">
            <v>4150</v>
          </cell>
          <cell r="BG1093" t="str">
            <v>Z000</v>
          </cell>
          <cell r="BH1093" t="str">
            <v>GML</v>
          </cell>
        </row>
        <row r="1094">
          <cell r="K1094">
            <v>0</v>
          </cell>
          <cell r="L1094">
            <v>0</v>
          </cell>
          <cell r="N1094">
            <v>0</v>
          </cell>
          <cell r="O1094">
            <v>0</v>
          </cell>
          <cell r="Q1094">
            <v>-1793.0599999999977</v>
          </cell>
          <cell r="R1094">
            <v>0</v>
          </cell>
          <cell r="T1094">
            <v>-10.779999999998836</v>
          </cell>
          <cell r="U1094">
            <v>0</v>
          </cell>
          <cell r="W1094">
            <v>6448.6699999999837</v>
          </cell>
          <cell r="X1094">
            <v>0</v>
          </cell>
          <cell r="Z1094">
            <v>-54.029999999998836</v>
          </cell>
          <cell r="AA1094">
            <v>0</v>
          </cell>
          <cell r="AC1094">
            <v>-2500</v>
          </cell>
          <cell r="AD1094">
            <v>0</v>
          </cell>
          <cell r="AF1094">
            <v>-52520.000000000029</v>
          </cell>
          <cell r="AG1094">
            <v>0</v>
          </cell>
          <cell r="AI1094">
            <v>0</v>
          </cell>
          <cell r="AJ1094">
            <v>0</v>
          </cell>
          <cell r="AL1094">
            <v>51999.999999999971</v>
          </cell>
          <cell r="AM1094">
            <v>0</v>
          </cell>
          <cell r="AO1094">
            <v>0</v>
          </cell>
          <cell r="AP1094">
            <v>0</v>
          </cell>
          <cell r="AR1094">
            <v>0</v>
          </cell>
          <cell r="AS1094">
            <v>0</v>
          </cell>
          <cell r="BF1094" t="str">
            <v>4200</v>
          </cell>
          <cell r="BG1094" t="str">
            <v>Z000</v>
          </cell>
          <cell r="BH1094" t="str">
            <v>GML</v>
          </cell>
        </row>
        <row r="1095">
          <cell r="K1095">
            <v>0</v>
          </cell>
          <cell r="L1095">
            <v>0</v>
          </cell>
          <cell r="N1095">
            <v>0</v>
          </cell>
          <cell r="O1095">
            <v>0</v>
          </cell>
          <cell r="Q1095">
            <v>0</v>
          </cell>
          <cell r="R1095">
            <v>0</v>
          </cell>
          <cell r="T1095">
            <v>0</v>
          </cell>
          <cell r="U1095">
            <v>0</v>
          </cell>
          <cell r="W1095">
            <v>0</v>
          </cell>
          <cell r="X1095">
            <v>0</v>
          </cell>
          <cell r="Z1095">
            <v>71333.33</v>
          </cell>
          <cell r="AA1095">
            <v>0</v>
          </cell>
          <cell r="AC1095">
            <v>181633.08999999997</v>
          </cell>
          <cell r="AD1095">
            <v>0</v>
          </cell>
          <cell r="AF1095">
            <v>324256.64000000007</v>
          </cell>
          <cell r="AG1095">
            <v>0</v>
          </cell>
          <cell r="AI1095">
            <v>462610.45999999996</v>
          </cell>
          <cell r="AJ1095">
            <v>0</v>
          </cell>
          <cell r="AL1095">
            <v>462610.68000000017</v>
          </cell>
          <cell r="AM1095">
            <v>0</v>
          </cell>
          <cell r="AO1095">
            <v>529276.79</v>
          </cell>
          <cell r="AP1095">
            <v>0</v>
          </cell>
          <cell r="AR1095">
            <v>529276.79</v>
          </cell>
          <cell r="AS1095">
            <v>0</v>
          </cell>
          <cell r="BF1095" t="str">
            <v>4215</v>
          </cell>
          <cell r="BG1095" t="str">
            <v>Z000</v>
          </cell>
          <cell r="BH1095" t="str">
            <v>GML</v>
          </cell>
        </row>
        <row r="1096">
          <cell r="K1096">
            <v>0</v>
          </cell>
          <cell r="L1096">
            <v>0</v>
          </cell>
          <cell r="N1096">
            <v>0</v>
          </cell>
          <cell r="O1096">
            <v>0</v>
          </cell>
          <cell r="Q1096">
            <v>312778.04000000004</v>
          </cell>
          <cell r="R1096">
            <v>0</v>
          </cell>
          <cell r="T1096">
            <v>0</v>
          </cell>
          <cell r="U1096">
            <v>0</v>
          </cell>
          <cell r="W1096">
            <v>-161823.24</v>
          </cell>
          <cell r="X1096">
            <v>0</v>
          </cell>
          <cell r="Z1096">
            <v>0</v>
          </cell>
          <cell r="AA1096">
            <v>0</v>
          </cell>
          <cell r="AC1096">
            <v>0</v>
          </cell>
          <cell r="AD1096">
            <v>0</v>
          </cell>
          <cell r="AF1096">
            <v>0</v>
          </cell>
          <cell r="AG1096">
            <v>0</v>
          </cell>
          <cell r="AI1096">
            <v>0</v>
          </cell>
          <cell r="AJ1096">
            <v>0</v>
          </cell>
          <cell r="AL1096">
            <v>6000</v>
          </cell>
          <cell r="AM1096">
            <v>0</v>
          </cell>
          <cell r="AO1096">
            <v>0</v>
          </cell>
          <cell r="AP1096">
            <v>0</v>
          </cell>
          <cell r="AR1096">
            <v>2650123.9999999991</v>
          </cell>
          <cell r="AS1096">
            <v>0</v>
          </cell>
          <cell r="BF1096" t="str">
            <v>4230</v>
          </cell>
          <cell r="BG1096" t="str">
            <v>Z000</v>
          </cell>
          <cell r="BH1096" t="str">
            <v>GML</v>
          </cell>
        </row>
        <row r="1097">
          <cell r="K1097">
            <v>0</v>
          </cell>
          <cell r="L1097">
            <v>0</v>
          </cell>
          <cell r="N1097">
            <v>0</v>
          </cell>
          <cell r="O1097">
            <v>0</v>
          </cell>
          <cell r="Q1097">
            <v>0</v>
          </cell>
          <cell r="R1097">
            <v>0</v>
          </cell>
          <cell r="T1097">
            <v>0</v>
          </cell>
          <cell r="U1097">
            <v>0</v>
          </cell>
          <cell r="W1097">
            <v>250000</v>
          </cell>
          <cell r="X1097">
            <v>0</v>
          </cell>
          <cell r="Z1097">
            <v>0</v>
          </cell>
          <cell r="AA1097">
            <v>0</v>
          </cell>
          <cell r="AC1097">
            <v>0</v>
          </cell>
          <cell r="AD1097">
            <v>0</v>
          </cell>
          <cell r="AF1097">
            <v>0</v>
          </cell>
          <cell r="AG1097">
            <v>0</v>
          </cell>
          <cell r="AI1097">
            <v>0</v>
          </cell>
          <cell r="AJ1097">
            <v>0</v>
          </cell>
          <cell r="AL1097">
            <v>0</v>
          </cell>
          <cell r="AM1097">
            <v>0</v>
          </cell>
          <cell r="AO1097">
            <v>0</v>
          </cell>
          <cell r="AP1097">
            <v>0</v>
          </cell>
          <cell r="AR1097">
            <v>0</v>
          </cell>
          <cell r="AS1097">
            <v>0</v>
          </cell>
          <cell r="BF1097" t="str">
            <v>4240</v>
          </cell>
          <cell r="BG1097" t="str">
            <v>Z000</v>
          </cell>
          <cell r="BH1097" t="str">
            <v>GML</v>
          </cell>
        </row>
        <row r="1098">
          <cell r="K1098">
            <v>3060</v>
          </cell>
          <cell r="L1098">
            <v>0</v>
          </cell>
          <cell r="N1098">
            <v>0</v>
          </cell>
          <cell r="O1098">
            <v>0</v>
          </cell>
          <cell r="Q1098">
            <v>19600</v>
          </cell>
          <cell r="R1098">
            <v>0</v>
          </cell>
          <cell r="T1098">
            <v>42149.999999999942</v>
          </cell>
          <cell r="U1098">
            <v>0</v>
          </cell>
          <cell r="W1098">
            <v>0</v>
          </cell>
          <cell r="X1098">
            <v>0</v>
          </cell>
          <cell r="Z1098">
            <v>0</v>
          </cell>
          <cell r="AA1098">
            <v>0</v>
          </cell>
          <cell r="AC1098">
            <v>0</v>
          </cell>
          <cell r="AD1098">
            <v>0</v>
          </cell>
          <cell r="AF1098">
            <v>0</v>
          </cell>
          <cell r="AG1098">
            <v>0</v>
          </cell>
          <cell r="AI1098">
            <v>0</v>
          </cell>
          <cell r="AJ1098">
            <v>0</v>
          </cell>
          <cell r="AL1098">
            <v>0</v>
          </cell>
          <cell r="AM1098">
            <v>0</v>
          </cell>
          <cell r="AO1098">
            <v>142630.00000000006</v>
          </cell>
          <cell r="AP1098">
            <v>0</v>
          </cell>
          <cell r="AR1098">
            <v>4950</v>
          </cell>
          <cell r="AS1098">
            <v>0</v>
          </cell>
          <cell r="BF1098" t="str">
            <v>4250</v>
          </cell>
          <cell r="BG1098" t="str">
            <v>Z000</v>
          </cell>
          <cell r="BH1098" t="str">
            <v>GML</v>
          </cell>
        </row>
        <row r="1099">
          <cell r="K1099">
            <v>12295.330000000002</v>
          </cell>
          <cell r="L1099">
            <v>0</v>
          </cell>
          <cell r="N1099">
            <v>24400</v>
          </cell>
          <cell r="O1099">
            <v>0</v>
          </cell>
          <cell r="Q1099">
            <v>117478.00000000001</v>
          </cell>
          <cell r="R1099">
            <v>0</v>
          </cell>
          <cell r="T1099">
            <v>161995.33000000002</v>
          </cell>
          <cell r="U1099">
            <v>0</v>
          </cell>
          <cell r="W1099">
            <v>173633.32999999996</v>
          </cell>
          <cell r="X1099">
            <v>0</v>
          </cell>
          <cell r="Z1099">
            <v>127449.32999999996</v>
          </cell>
          <cell r="AA1099">
            <v>0</v>
          </cell>
          <cell r="AC1099">
            <v>360896.32999999996</v>
          </cell>
          <cell r="AD1099">
            <v>0</v>
          </cell>
          <cell r="AF1099">
            <v>231306.33000000007</v>
          </cell>
          <cell r="AG1099">
            <v>0</v>
          </cell>
          <cell r="AI1099">
            <v>235868.33000000007</v>
          </cell>
          <cell r="AJ1099">
            <v>0</v>
          </cell>
          <cell r="AL1099">
            <v>127412.42000000039</v>
          </cell>
          <cell r="AM1099">
            <v>0</v>
          </cell>
          <cell r="AO1099">
            <v>421864.53000000026</v>
          </cell>
          <cell r="AP1099">
            <v>0</v>
          </cell>
          <cell r="AR1099">
            <v>72090.129999999888</v>
          </cell>
          <cell r="AS1099">
            <v>0</v>
          </cell>
          <cell r="BF1099" t="str">
            <v>4275</v>
          </cell>
          <cell r="BG1099" t="str">
            <v>Z000</v>
          </cell>
          <cell r="BH1099" t="str">
            <v>GML</v>
          </cell>
        </row>
        <row r="1100">
          <cell r="K1100">
            <v>1244588.4900000002</v>
          </cell>
          <cell r="L1100">
            <v>0</v>
          </cell>
          <cell r="N1100">
            <v>1404944.6799999997</v>
          </cell>
          <cell r="O1100">
            <v>0</v>
          </cell>
          <cell r="Q1100">
            <v>1377780.0999999996</v>
          </cell>
          <cell r="R1100">
            <v>0</v>
          </cell>
          <cell r="T1100">
            <v>1438797.2700000014</v>
          </cell>
          <cell r="U1100">
            <v>0</v>
          </cell>
          <cell r="W1100">
            <v>1400554.4499999993</v>
          </cell>
          <cell r="X1100">
            <v>0</v>
          </cell>
          <cell r="Z1100">
            <v>1449048.3100000005</v>
          </cell>
          <cell r="AA1100">
            <v>0</v>
          </cell>
          <cell r="AC1100">
            <v>1449048.3100000005</v>
          </cell>
          <cell r="AD1100">
            <v>0</v>
          </cell>
          <cell r="AF1100">
            <v>1321627.25</v>
          </cell>
          <cell r="AG1100">
            <v>0</v>
          </cell>
          <cell r="AI1100">
            <v>1481431.2299999986</v>
          </cell>
          <cell r="AJ1100">
            <v>0</v>
          </cell>
          <cell r="AL1100">
            <v>1564290.5400000028</v>
          </cell>
          <cell r="AM1100">
            <v>0</v>
          </cell>
          <cell r="AO1100">
            <v>1682524</v>
          </cell>
          <cell r="AP1100">
            <v>0</v>
          </cell>
          <cell r="AR1100">
            <v>1777280.9600000009</v>
          </cell>
          <cell r="AS1100">
            <v>0</v>
          </cell>
          <cell r="BF1100" t="str">
            <v>4300</v>
          </cell>
          <cell r="BG1100" t="str">
            <v>Z000</v>
          </cell>
          <cell r="BH1100" t="str">
            <v>GML</v>
          </cell>
        </row>
        <row r="1101">
          <cell r="K1101">
            <v>0</v>
          </cell>
          <cell r="L1101">
            <v>0</v>
          </cell>
          <cell r="N1101">
            <v>0</v>
          </cell>
          <cell r="O1101">
            <v>0</v>
          </cell>
          <cell r="Q1101">
            <v>0</v>
          </cell>
          <cell r="R1101">
            <v>0</v>
          </cell>
          <cell r="T1101">
            <v>0</v>
          </cell>
          <cell r="U1101">
            <v>0</v>
          </cell>
          <cell r="W1101">
            <v>0</v>
          </cell>
          <cell r="X1101">
            <v>0</v>
          </cell>
          <cell r="Z1101">
            <v>0</v>
          </cell>
          <cell r="AA1101">
            <v>0</v>
          </cell>
          <cell r="AC1101">
            <v>0</v>
          </cell>
          <cell r="AD1101">
            <v>0</v>
          </cell>
          <cell r="AF1101">
            <v>0</v>
          </cell>
          <cell r="AG1101">
            <v>0</v>
          </cell>
          <cell r="AI1101">
            <v>0</v>
          </cell>
          <cell r="AJ1101">
            <v>0</v>
          </cell>
          <cell r="AL1101">
            <v>0</v>
          </cell>
          <cell r="AM1101">
            <v>0</v>
          </cell>
          <cell r="AO1101">
            <v>0</v>
          </cell>
          <cell r="AP1101">
            <v>0</v>
          </cell>
          <cell r="AR1101">
            <v>0</v>
          </cell>
          <cell r="AS1101">
            <v>0</v>
          </cell>
          <cell r="BF1101" t="str">
            <v>4320</v>
          </cell>
          <cell r="BG1101" t="str">
            <v>Z000</v>
          </cell>
          <cell r="BH1101" t="str">
            <v>GML</v>
          </cell>
        </row>
        <row r="1102">
          <cell r="K1102">
            <v>0</v>
          </cell>
          <cell r="L1102">
            <v>0</v>
          </cell>
          <cell r="N1102">
            <v>0</v>
          </cell>
          <cell r="O1102">
            <v>0</v>
          </cell>
          <cell r="Q1102">
            <v>0</v>
          </cell>
          <cell r="R1102">
            <v>0</v>
          </cell>
          <cell r="T1102">
            <v>0</v>
          </cell>
          <cell r="U1102">
            <v>0</v>
          </cell>
          <cell r="W1102">
            <v>0</v>
          </cell>
          <cell r="X1102">
            <v>0</v>
          </cell>
          <cell r="Z1102">
            <v>0</v>
          </cell>
          <cell r="AA1102">
            <v>0</v>
          </cell>
          <cell r="AC1102">
            <v>0</v>
          </cell>
          <cell r="AD1102">
            <v>0</v>
          </cell>
          <cell r="AF1102">
            <v>0</v>
          </cell>
          <cell r="AG1102">
            <v>0</v>
          </cell>
          <cell r="AI1102">
            <v>0</v>
          </cell>
          <cell r="AJ1102">
            <v>0</v>
          </cell>
          <cell r="AL1102">
            <v>0</v>
          </cell>
          <cell r="AM1102">
            <v>0</v>
          </cell>
          <cell r="AO1102">
            <v>0</v>
          </cell>
          <cell r="AP1102">
            <v>0</v>
          </cell>
          <cell r="AR1102">
            <v>0</v>
          </cell>
          <cell r="AS1102">
            <v>0</v>
          </cell>
          <cell r="BF1102" t="str">
            <v>4330</v>
          </cell>
          <cell r="BG1102" t="str">
            <v>Z000</v>
          </cell>
          <cell r="BH1102" t="str">
            <v>GML</v>
          </cell>
        </row>
        <row r="1103">
          <cell r="K1103">
            <v>0</v>
          </cell>
          <cell r="L1103">
            <v>0</v>
          </cell>
          <cell r="N1103">
            <v>0</v>
          </cell>
          <cell r="O1103">
            <v>0</v>
          </cell>
          <cell r="Q1103">
            <v>0</v>
          </cell>
          <cell r="R1103">
            <v>0</v>
          </cell>
          <cell r="T1103">
            <v>0</v>
          </cell>
          <cell r="U1103">
            <v>0</v>
          </cell>
          <cell r="W1103">
            <v>0</v>
          </cell>
          <cell r="X1103">
            <v>0</v>
          </cell>
          <cell r="Z1103">
            <v>0</v>
          </cell>
          <cell r="AA1103">
            <v>0</v>
          </cell>
          <cell r="AC1103">
            <v>80000</v>
          </cell>
          <cell r="AD1103">
            <v>0</v>
          </cell>
          <cell r="AF1103">
            <v>0</v>
          </cell>
          <cell r="AG1103">
            <v>0</v>
          </cell>
          <cell r="AI1103">
            <v>111000</v>
          </cell>
          <cell r="AJ1103">
            <v>0</v>
          </cell>
          <cell r="AL1103">
            <v>8000</v>
          </cell>
          <cell r="AM1103">
            <v>0</v>
          </cell>
          <cell r="AO1103">
            <v>168000</v>
          </cell>
          <cell r="AP1103">
            <v>0</v>
          </cell>
          <cell r="AR1103">
            <v>8000</v>
          </cell>
          <cell r="AS1103">
            <v>0</v>
          </cell>
          <cell r="BF1103" t="str">
            <v>4340</v>
          </cell>
          <cell r="BG1103" t="str">
            <v>D006</v>
          </cell>
          <cell r="BH1103" t="str">
            <v>GML</v>
          </cell>
        </row>
        <row r="1104">
          <cell r="K1104">
            <v>0</v>
          </cell>
          <cell r="L1104">
            <v>0</v>
          </cell>
          <cell r="N1104">
            <v>0</v>
          </cell>
          <cell r="O1104">
            <v>0</v>
          </cell>
          <cell r="Q1104">
            <v>0</v>
          </cell>
          <cell r="R1104">
            <v>0</v>
          </cell>
          <cell r="T1104">
            <v>0</v>
          </cell>
          <cell r="U1104">
            <v>0</v>
          </cell>
          <cell r="W1104">
            <v>0</v>
          </cell>
          <cell r="X1104">
            <v>0</v>
          </cell>
          <cell r="Z1104">
            <v>0</v>
          </cell>
          <cell r="AA1104">
            <v>0</v>
          </cell>
          <cell r="AC1104">
            <v>0</v>
          </cell>
          <cell r="AD1104">
            <v>0</v>
          </cell>
          <cell r="AF1104">
            <v>0</v>
          </cell>
          <cell r="AG1104">
            <v>0</v>
          </cell>
          <cell r="AI1104">
            <v>0</v>
          </cell>
          <cell r="AJ1104">
            <v>0</v>
          </cell>
          <cell r="AL1104">
            <v>0</v>
          </cell>
          <cell r="AM1104">
            <v>0</v>
          </cell>
          <cell r="AO1104">
            <v>0</v>
          </cell>
          <cell r="AP1104">
            <v>0</v>
          </cell>
          <cell r="AR1104">
            <v>0</v>
          </cell>
          <cell r="AS1104">
            <v>0</v>
          </cell>
          <cell r="BF1104" t="str">
            <v>4340</v>
          </cell>
          <cell r="BG1104" t="str">
            <v>D007</v>
          </cell>
          <cell r="BH1104" t="str">
            <v>GML</v>
          </cell>
        </row>
        <row r="1105">
          <cell r="K1105">
            <v>0</v>
          </cell>
          <cell r="L1105">
            <v>0</v>
          </cell>
          <cell r="N1105">
            <v>0</v>
          </cell>
          <cell r="O1105">
            <v>0</v>
          </cell>
          <cell r="Q1105">
            <v>42500</v>
          </cell>
          <cell r="R1105">
            <v>0</v>
          </cell>
          <cell r="T1105">
            <v>0</v>
          </cell>
          <cell r="U1105">
            <v>0</v>
          </cell>
          <cell r="W1105">
            <v>0</v>
          </cell>
          <cell r="X1105">
            <v>0</v>
          </cell>
          <cell r="Z1105">
            <v>0</v>
          </cell>
          <cell r="AA1105">
            <v>0</v>
          </cell>
          <cell r="AC1105">
            <v>0</v>
          </cell>
          <cell r="AD1105">
            <v>0</v>
          </cell>
          <cell r="AF1105">
            <v>0</v>
          </cell>
          <cell r="AG1105">
            <v>0</v>
          </cell>
          <cell r="AI1105">
            <v>0</v>
          </cell>
          <cell r="AJ1105">
            <v>0</v>
          </cell>
          <cell r="AL1105">
            <v>0</v>
          </cell>
          <cell r="AM1105">
            <v>0</v>
          </cell>
          <cell r="AO1105">
            <v>0</v>
          </cell>
          <cell r="AP1105">
            <v>0</v>
          </cell>
          <cell r="AR1105">
            <v>0</v>
          </cell>
          <cell r="AS1105">
            <v>0</v>
          </cell>
          <cell r="BF1105" t="str">
            <v>4340</v>
          </cell>
          <cell r="BG1105" t="str">
            <v>D008</v>
          </cell>
          <cell r="BH1105" t="str">
            <v>GML</v>
          </cell>
        </row>
        <row r="1106">
          <cell r="K1106">
            <v>150000</v>
          </cell>
          <cell r="L1106">
            <v>0</v>
          </cell>
          <cell r="N1106">
            <v>311589.46999999997</v>
          </cell>
          <cell r="O1106">
            <v>0</v>
          </cell>
          <cell r="Q1106">
            <v>225648.63000000012</v>
          </cell>
          <cell r="R1106">
            <v>0</v>
          </cell>
          <cell r="T1106">
            <v>239546.79000000004</v>
          </cell>
          <cell r="U1106">
            <v>0</v>
          </cell>
          <cell r="W1106">
            <v>638236.84000000032</v>
          </cell>
          <cell r="X1106">
            <v>0</v>
          </cell>
          <cell r="Z1106">
            <v>478894.89999999991</v>
          </cell>
          <cell r="AA1106">
            <v>0</v>
          </cell>
          <cell r="AC1106">
            <v>316240.81000000006</v>
          </cell>
          <cell r="AD1106">
            <v>0</v>
          </cell>
          <cell r="AF1106">
            <v>346636.74000000022</v>
          </cell>
          <cell r="AG1106">
            <v>0</v>
          </cell>
          <cell r="AI1106">
            <v>312895.44000000041</v>
          </cell>
          <cell r="AJ1106">
            <v>0</v>
          </cell>
          <cell r="AL1106">
            <v>247620.67000000039</v>
          </cell>
          <cell r="AM1106">
            <v>0</v>
          </cell>
          <cell r="AO1106">
            <v>490729.12000000011</v>
          </cell>
          <cell r="AP1106">
            <v>0</v>
          </cell>
          <cell r="AR1106">
            <v>295065.29999999981</v>
          </cell>
          <cell r="AS1106">
            <v>0</v>
          </cell>
          <cell r="BF1106" t="str">
            <v>4360</v>
          </cell>
          <cell r="BG1106" t="str">
            <v>Z000</v>
          </cell>
          <cell r="BH1106" t="str">
            <v>GML</v>
          </cell>
        </row>
        <row r="1107">
          <cell r="K1107">
            <v>106609.67999999993</v>
          </cell>
          <cell r="L1107">
            <v>0</v>
          </cell>
          <cell r="N1107">
            <v>35295.530000000028</v>
          </cell>
          <cell r="O1107">
            <v>0</v>
          </cell>
          <cell r="Q1107">
            <v>36107.339999999967</v>
          </cell>
          <cell r="R1107">
            <v>0</v>
          </cell>
          <cell r="T1107">
            <v>68215.670000000042</v>
          </cell>
          <cell r="U1107">
            <v>0</v>
          </cell>
          <cell r="W1107">
            <v>32215.670000000042</v>
          </cell>
          <cell r="X1107">
            <v>0</v>
          </cell>
          <cell r="Z1107">
            <v>412215.66999999981</v>
          </cell>
          <cell r="AA1107">
            <v>0</v>
          </cell>
          <cell r="AC1107">
            <v>32215.669999999925</v>
          </cell>
          <cell r="AD1107">
            <v>0</v>
          </cell>
          <cell r="AF1107">
            <v>82700</v>
          </cell>
          <cell r="AG1107">
            <v>0</v>
          </cell>
          <cell r="AI1107">
            <v>81600</v>
          </cell>
          <cell r="AJ1107">
            <v>0</v>
          </cell>
          <cell r="AL1107">
            <v>181470</v>
          </cell>
          <cell r="AM1107">
            <v>0</v>
          </cell>
          <cell r="AO1107">
            <v>81470</v>
          </cell>
          <cell r="AP1107">
            <v>0</v>
          </cell>
          <cell r="AR1107">
            <v>81470</v>
          </cell>
          <cell r="AS1107">
            <v>0</v>
          </cell>
          <cell r="BF1107" t="str">
            <v>4380</v>
          </cell>
          <cell r="BG1107" t="str">
            <v>Z000</v>
          </cell>
          <cell r="BH1107" t="str">
            <v>GML</v>
          </cell>
        </row>
        <row r="1108">
          <cell r="K1108">
            <v>256300</v>
          </cell>
          <cell r="L1108">
            <v>0</v>
          </cell>
          <cell r="N1108">
            <v>176148</v>
          </cell>
          <cell r="O1108">
            <v>0</v>
          </cell>
          <cell r="Q1108">
            <v>80052</v>
          </cell>
          <cell r="R1108">
            <v>0</v>
          </cell>
          <cell r="T1108">
            <v>255098.99</v>
          </cell>
          <cell r="U1108">
            <v>0</v>
          </cell>
          <cell r="W1108">
            <v>214476.5</v>
          </cell>
          <cell r="X1108">
            <v>0</v>
          </cell>
          <cell r="Z1108">
            <v>298007</v>
          </cell>
          <cell r="AA1108">
            <v>0</v>
          </cell>
          <cell r="AC1108">
            <v>307478.44999999995</v>
          </cell>
          <cell r="AD1108">
            <v>0</v>
          </cell>
          <cell r="AF1108">
            <v>241015.20000000019</v>
          </cell>
          <cell r="AG1108">
            <v>0</v>
          </cell>
          <cell r="AI1108">
            <v>294733.35000000009</v>
          </cell>
          <cell r="AJ1108">
            <v>0</v>
          </cell>
          <cell r="AL1108">
            <v>420215.5</v>
          </cell>
          <cell r="AM1108">
            <v>0</v>
          </cell>
          <cell r="AO1108">
            <v>400687.45000000019</v>
          </cell>
          <cell r="AP1108">
            <v>0</v>
          </cell>
          <cell r="AR1108">
            <v>366543.95000000019</v>
          </cell>
          <cell r="AS1108">
            <v>0</v>
          </cell>
          <cell r="BF1108" t="str">
            <v>4400</v>
          </cell>
          <cell r="BG1108" t="str">
            <v>Z000</v>
          </cell>
          <cell r="BH1108" t="str">
            <v>GML</v>
          </cell>
        </row>
        <row r="1109">
          <cell r="K1109">
            <v>2640</v>
          </cell>
          <cell r="L1109">
            <v>0</v>
          </cell>
          <cell r="N1109">
            <v>0</v>
          </cell>
          <cell r="O1109">
            <v>0</v>
          </cell>
          <cell r="Q1109">
            <v>0</v>
          </cell>
          <cell r="R1109">
            <v>0</v>
          </cell>
          <cell r="T1109">
            <v>0</v>
          </cell>
          <cell r="U1109">
            <v>0</v>
          </cell>
          <cell r="W1109">
            <v>0</v>
          </cell>
          <cell r="X1109">
            <v>0</v>
          </cell>
          <cell r="Z1109">
            <v>0</v>
          </cell>
          <cell r="AA1109">
            <v>0</v>
          </cell>
          <cell r="AC1109">
            <v>0</v>
          </cell>
          <cell r="AD1109">
            <v>0</v>
          </cell>
          <cell r="AF1109">
            <v>0</v>
          </cell>
          <cell r="AG1109">
            <v>0</v>
          </cell>
          <cell r="AI1109">
            <v>0</v>
          </cell>
          <cell r="AJ1109">
            <v>0</v>
          </cell>
          <cell r="AL1109">
            <v>0</v>
          </cell>
          <cell r="AM1109">
            <v>0</v>
          </cell>
          <cell r="AO1109">
            <v>0</v>
          </cell>
          <cell r="AP1109">
            <v>0</v>
          </cell>
          <cell r="AR1109">
            <v>199999.99999999994</v>
          </cell>
          <cell r="AS1109">
            <v>0</v>
          </cell>
          <cell r="BF1109" t="str">
            <v>4480</v>
          </cell>
          <cell r="BG1109" t="str">
            <v>Z000</v>
          </cell>
          <cell r="BH1109" t="str">
            <v>GML</v>
          </cell>
        </row>
        <row r="1110">
          <cell r="K1110">
            <v>0</v>
          </cell>
          <cell r="L1110">
            <v>0</v>
          </cell>
          <cell r="N1110">
            <v>0</v>
          </cell>
          <cell r="O1110">
            <v>0</v>
          </cell>
          <cell r="Q1110">
            <v>37876.410000000033</v>
          </cell>
          <cell r="R1110">
            <v>0</v>
          </cell>
          <cell r="T1110">
            <v>37876.410000000033</v>
          </cell>
          <cell r="U1110">
            <v>0</v>
          </cell>
          <cell r="W1110">
            <v>37876.410000000033</v>
          </cell>
          <cell r="X1110">
            <v>0</v>
          </cell>
          <cell r="Z1110">
            <v>42536.410000000033</v>
          </cell>
          <cell r="AA1110">
            <v>0</v>
          </cell>
          <cell r="AC1110">
            <v>42536.410000000033</v>
          </cell>
          <cell r="AD1110">
            <v>0</v>
          </cell>
          <cell r="AF1110">
            <v>42536.410000000033</v>
          </cell>
          <cell r="AG1110">
            <v>0</v>
          </cell>
          <cell r="AI1110">
            <v>42536.410000000033</v>
          </cell>
          <cell r="AJ1110">
            <v>0</v>
          </cell>
          <cell r="AL1110">
            <v>42536.410000000033</v>
          </cell>
          <cell r="AM1110">
            <v>0</v>
          </cell>
          <cell r="AO1110">
            <v>42536.389999999781</v>
          </cell>
          <cell r="AP1110">
            <v>0</v>
          </cell>
          <cell r="AR1110">
            <v>520745.93000000017</v>
          </cell>
          <cell r="AS1110">
            <v>0</v>
          </cell>
          <cell r="BF1110" t="str">
            <v>4500</v>
          </cell>
          <cell r="BG1110" t="str">
            <v>Z000</v>
          </cell>
          <cell r="BH1110" t="str">
            <v>GML</v>
          </cell>
        </row>
        <row r="1111">
          <cell r="K1111">
            <v>0</v>
          </cell>
          <cell r="L1111">
            <v>0</v>
          </cell>
          <cell r="N1111">
            <v>0</v>
          </cell>
          <cell r="O1111">
            <v>0</v>
          </cell>
          <cell r="Q1111">
            <v>0</v>
          </cell>
          <cell r="R1111">
            <v>0</v>
          </cell>
          <cell r="T1111">
            <v>0</v>
          </cell>
          <cell r="U1111">
            <v>0</v>
          </cell>
          <cell r="W1111">
            <v>0</v>
          </cell>
          <cell r="X1111">
            <v>0</v>
          </cell>
          <cell r="Z1111">
            <v>0</v>
          </cell>
          <cell r="AA1111">
            <v>0</v>
          </cell>
          <cell r="AC1111">
            <v>0</v>
          </cell>
          <cell r="AD1111">
            <v>0</v>
          </cell>
          <cell r="AF1111">
            <v>0</v>
          </cell>
          <cell r="AG1111">
            <v>0</v>
          </cell>
          <cell r="AI1111">
            <v>0</v>
          </cell>
          <cell r="AJ1111">
            <v>0</v>
          </cell>
          <cell r="AL1111">
            <v>0</v>
          </cell>
          <cell r="AM1111">
            <v>0</v>
          </cell>
          <cell r="AO1111">
            <v>0</v>
          </cell>
          <cell r="AP1111">
            <v>0</v>
          </cell>
          <cell r="AR1111">
            <v>0</v>
          </cell>
          <cell r="AS1111">
            <v>0</v>
          </cell>
          <cell r="BF1111" t="str">
            <v>4520</v>
          </cell>
          <cell r="BG1111" t="str">
            <v>D011</v>
          </cell>
          <cell r="BH1111" t="str">
            <v>GML</v>
          </cell>
        </row>
        <row r="1112">
          <cell r="K1112">
            <v>0</v>
          </cell>
          <cell r="L1112">
            <v>0</v>
          </cell>
          <cell r="N1112">
            <v>0</v>
          </cell>
          <cell r="O1112">
            <v>0</v>
          </cell>
          <cell r="Q1112">
            <v>0</v>
          </cell>
          <cell r="R1112">
            <v>0</v>
          </cell>
          <cell r="T1112">
            <v>0</v>
          </cell>
          <cell r="U1112">
            <v>0</v>
          </cell>
          <cell r="W1112">
            <v>0</v>
          </cell>
          <cell r="X1112">
            <v>0</v>
          </cell>
          <cell r="Z1112">
            <v>0</v>
          </cell>
          <cell r="AA1112">
            <v>0</v>
          </cell>
          <cell r="AC1112">
            <v>0</v>
          </cell>
          <cell r="AD1112">
            <v>0</v>
          </cell>
          <cell r="AF1112">
            <v>0</v>
          </cell>
          <cell r="AG1112">
            <v>0</v>
          </cell>
          <cell r="AI1112">
            <v>0</v>
          </cell>
          <cell r="AJ1112">
            <v>0</v>
          </cell>
          <cell r="AL1112">
            <v>0</v>
          </cell>
          <cell r="AM1112">
            <v>0</v>
          </cell>
          <cell r="AO1112">
            <v>0</v>
          </cell>
          <cell r="AP1112">
            <v>0</v>
          </cell>
          <cell r="AR1112">
            <v>0</v>
          </cell>
          <cell r="AS1112">
            <v>0</v>
          </cell>
          <cell r="BF1112" t="str">
            <v>4520</v>
          </cell>
          <cell r="BG1112" t="str">
            <v>D012</v>
          </cell>
          <cell r="BH1112" t="str">
            <v>GML</v>
          </cell>
        </row>
        <row r="1113">
          <cell r="K1113">
            <v>0</v>
          </cell>
          <cell r="L1113">
            <v>0</v>
          </cell>
          <cell r="N1113">
            <v>0</v>
          </cell>
          <cell r="O1113">
            <v>0</v>
          </cell>
          <cell r="Q1113">
            <v>0</v>
          </cell>
          <cell r="R1113">
            <v>0</v>
          </cell>
          <cell r="T1113">
            <v>0</v>
          </cell>
          <cell r="U1113">
            <v>0</v>
          </cell>
          <cell r="W1113">
            <v>0</v>
          </cell>
          <cell r="X1113">
            <v>0</v>
          </cell>
          <cell r="Z1113">
            <v>0</v>
          </cell>
          <cell r="AA1113">
            <v>0</v>
          </cell>
          <cell r="AC1113">
            <v>0</v>
          </cell>
          <cell r="AD1113">
            <v>0</v>
          </cell>
          <cell r="AF1113">
            <v>0</v>
          </cell>
          <cell r="AG1113">
            <v>0</v>
          </cell>
          <cell r="AI1113">
            <v>0</v>
          </cell>
          <cell r="AJ1113">
            <v>0</v>
          </cell>
          <cell r="AL1113">
            <v>0</v>
          </cell>
          <cell r="AM1113">
            <v>0</v>
          </cell>
          <cell r="AO1113">
            <v>0</v>
          </cell>
          <cell r="AP1113">
            <v>0</v>
          </cell>
          <cell r="AR1113">
            <v>0</v>
          </cell>
          <cell r="AS1113">
            <v>0</v>
          </cell>
          <cell r="BF1113" t="str">
            <v>4520</v>
          </cell>
          <cell r="BG1113" t="str">
            <v>D013</v>
          </cell>
          <cell r="BH1113" t="str">
            <v>GML</v>
          </cell>
        </row>
        <row r="1114">
          <cell r="K1114">
            <v>0</v>
          </cell>
          <cell r="L1114">
            <v>0</v>
          </cell>
          <cell r="N1114">
            <v>0</v>
          </cell>
          <cell r="O1114">
            <v>0</v>
          </cell>
          <cell r="Q1114">
            <v>0</v>
          </cell>
          <cell r="R1114">
            <v>0</v>
          </cell>
          <cell r="T1114">
            <v>0</v>
          </cell>
          <cell r="U1114">
            <v>0</v>
          </cell>
          <cell r="W1114">
            <v>0</v>
          </cell>
          <cell r="X1114">
            <v>0</v>
          </cell>
          <cell r="Z1114">
            <v>0</v>
          </cell>
          <cell r="AA1114">
            <v>0</v>
          </cell>
          <cell r="AC1114">
            <v>0</v>
          </cell>
          <cell r="AD1114">
            <v>0</v>
          </cell>
          <cell r="AF1114">
            <v>0</v>
          </cell>
          <cell r="AG1114">
            <v>0</v>
          </cell>
          <cell r="AI1114">
            <v>0</v>
          </cell>
          <cell r="AJ1114">
            <v>0</v>
          </cell>
          <cell r="AL1114">
            <v>0</v>
          </cell>
          <cell r="AM1114">
            <v>0</v>
          </cell>
          <cell r="AO1114">
            <v>0</v>
          </cell>
          <cell r="AP1114">
            <v>0</v>
          </cell>
          <cell r="AR1114">
            <v>0</v>
          </cell>
          <cell r="AS1114">
            <v>0</v>
          </cell>
          <cell r="BF1114" t="str">
            <v>4520</v>
          </cell>
          <cell r="BG1114" t="str">
            <v>D014</v>
          </cell>
          <cell r="BH1114" t="str">
            <v>GML</v>
          </cell>
        </row>
        <row r="1115">
          <cell r="K1115">
            <v>0</v>
          </cell>
          <cell r="L1115">
            <v>0</v>
          </cell>
          <cell r="N1115">
            <v>0</v>
          </cell>
          <cell r="O1115">
            <v>0</v>
          </cell>
          <cell r="Q1115">
            <v>0</v>
          </cell>
          <cell r="R1115">
            <v>0</v>
          </cell>
          <cell r="T1115">
            <v>0</v>
          </cell>
          <cell r="U1115">
            <v>0</v>
          </cell>
          <cell r="W1115">
            <v>0</v>
          </cell>
          <cell r="X1115">
            <v>0</v>
          </cell>
          <cell r="Z1115">
            <v>0</v>
          </cell>
          <cell r="AA1115">
            <v>0</v>
          </cell>
          <cell r="AC1115">
            <v>0</v>
          </cell>
          <cell r="AD1115">
            <v>0</v>
          </cell>
          <cell r="AF1115">
            <v>0</v>
          </cell>
          <cell r="AG1115">
            <v>0</v>
          </cell>
          <cell r="AI1115">
            <v>0</v>
          </cell>
          <cell r="AJ1115">
            <v>0</v>
          </cell>
          <cell r="AL1115">
            <v>0</v>
          </cell>
          <cell r="AM1115">
            <v>0</v>
          </cell>
          <cell r="AO1115">
            <v>0</v>
          </cell>
          <cell r="AP1115">
            <v>0</v>
          </cell>
          <cell r="AR1115">
            <v>0</v>
          </cell>
          <cell r="AS1115">
            <v>0</v>
          </cell>
          <cell r="BF1115" t="str">
            <v>4520</v>
          </cell>
          <cell r="BG1115" t="str">
            <v>D015</v>
          </cell>
          <cell r="BH1115" t="str">
            <v>GML</v>
          </cell>
        </row>
        <row r="1116">
          <cell r="K1116">
            <v>0</v>
          </cell>
          <cell r="L1116">
            <v>0</v>
          </cell>
          <cell r="N1116">
            <v>0</v>
          </cell>
          <cell r="O1116">
            <v>0</v>
          </cell>
          <cell r="Q1116">
            <v>0</v>
          </cell>
          <cell r="R1116">
            <v>0</v>
          </cell>
          <cell r="T1116">
            <v>0</v>
          </cell>
          <cell r="U1116">
            <v>0</v>
          </cell>
          <cell r="W1116">
            <v>0</v>
          </cell>
          <cell r="X1116">
            <v>0</v>
          </cell>
          <cell r="Z1116">
            <v>0</v>
          </cell>
          <cell r="AA1116">
            <v>0</v>
          </cell>
          <cell r="AC1116">
            <v>0</v>
          </cell>
          <cell r="AD1116">
            <v>0</v>
          </cell>
          <cell r="AF1116">
            <v>0</v>
          </cell>
          <cell r="AG1116">
            <v>0</v>
          </cell>
          <cell r="AI1116">
            <v>0</v>
          </cell>
          <cell r="AJ1116">
            <v>0</v>
          </cell>
          <cell r="AL1116">
            <v>0</v>
          </cell>
          <cell r="AM1116">
            <v>0</v>
          </cell>
          <cell r="AO1116">
            <v>0</v>
          </cell>
          <cell r="AP1116">
            <v>0</v>
          </cell>
          <cell r="AR1116">
            <v>0</v>
          </cell>
          <cell r="AS1116">
            <v>0</v>
          </cell>
          <cell r="BF1116" t="str">
            <v>4520</v>
          </cell>
          <cell r="BG1116" t="str">
            <v>D016</v>
          </cell>
          <cell r="BH1116" t="str">
            <v>GML</v>
          </cell>
        </row>
        <row r="1117">
          <cell r="K1117">
            <v>0</v>
          </cell>
          <cell r="L1117">
            <v>0</v>
          </cell>
          <cell r="N1117">
            <v>0</v>
          </cell>
          <cell r="O1117">
            <v>0</v>
          </cell>
          <cell r="Q1117">
            <v>0</v>
          </cell>
          <cell r="R1117">
            <v>0</v>
          </cell>
          <cell r="T1117">
            <v>0</v>
          </cell>
          <cell r="U1117">
            <v>0</v>
          </cell>
          <cell r="W1117">
            <v>0</v>
          </cell>
          <cell r="X1117">
            <v>0</v>
          </cell>
          <cell r="Z1117">
            <v>0</v>
          </cell>
          <cell r="AA1117">
            <v>0</v>
          </cell>
          <cell r="AC1117">
            <v>0</v>
          </cell>
          <cell r="AD1117">
            <v>0</v>
          </cell>
          <cell r="AF1117">
            <v>0</v>
          </cell>
          <cell r="AG1117">
            <v>0</v>
          </cell>
          <cell r="AI1117">
            <v>0</v>
          </cell>
          <cell r="AJ1117">
            <v>0</v>
          </cell>
          <cell r="AL1117">
            <v>0</v>
          </cell>
          <cell r="AM1117">
            <v>0</v>
          </cell>
          <cell r="AO1117">
            <v>0</v>
          </cell>
          <cell r="AP1117">
            <v>0</v>
          </cell>
          <cell r="AR1117">
            <v>0</v>
          </cell>
          <cell r="AS1117">
            <v>0</v>
          </cell>
          <cell r="BF1117" t="str">
            <v>4560</v>
          </cell>
          <cell r="BG1117" t="str">
            <v>Z000</v>
          </cell>
          <cell r="BH1117" t="str">
            <v>GML</v>
          </cell>
        </row>
        <row r="1118">
          <cell r="K1118">
            <v>22010</v>
          </cell>
          <cell r="L1118">
            <v>0</v>
          </cell>
          <cell r="N1118">
            <v>22010</v>
          </cell>
          <cell r="O1118">
            <v>0</v>
          </cell>
          <cell r="Q1118">
            <v>22010</v>
          </cell>
          <cell r="R1118">
            <v>0</v>
          </cell>
          <cell r="T1118">
            <v>22010</v>
          </cell>
          <cell r="U1118">
            <v>0</v>
          </cell>
          <cell r="W1118">
            <v>22010</v>
          </cell>
          <cell r="X1118">
            <v>0</v>
          </cell>
          <cell r="Z1118">
            <v>22009.999999999884</v>
          </cell>
          <cell r="AA1118">
            <v>0</v>
          </cell>
          <cell r="AC1118">
            <v>54510</v>
          </cell>
          <cell r="AD1118">
            <v>0</v>
          </cell>
          <cell r="AF1118">
            <v>39409.239999999991</v>
          </cell>
          <cell r="AG1118">
            <v>0</v>
          </cell>
          <cell r="AI1118">
            <v>67782.239999999991</v>
          </cell>
          <cell r="AJ1118">
            <v>0</v>
          </cell>
          <cell r="AL1118">
            <v>67782.239999999991</v>
          </cell>
          <cell r="AM1118">
            <v>0</v>
          </cell>
          <cell r="AO1118">
            <v>67782.239999999991</v>
          </cell>
          <cell r="AP1118">
            <v>0</v>
          </cell>
          <cell r="AR1118">
            <v>302978.85000000009</v>
          </cell>
          <cell r="AS1118">
            <v>0</v>
          </cell>
          <cell r="BF1118" t="str">
            <v>4580</v>
          </cell>
          <cell r="BG1118" t="str">
            <v>Z000</v>
          </cell>
          <cell r="BH1118" t="str">
            <v>GML</v>
          </cell>
        </row>
        <row r="1119">
          <cell r="K1119">
            <v>0</v>
          </cell>
          <cell r="L1119">
            <v>0</v>
          </cell>
          <cell r="N1119">
            <v>0</v>
          </cell>
          <cell r="O1119">
            <v>0</v>
          </cell>
          <cell r="Q1119">
            <v>0</v>
          </cell>
          <cell r="R1119">
            <v>0</v>
          </cell>
          <cell r="T1119">
            <v>0</v>
          </cell>
          <cell r="U1119">
            <v>0</v>
          </cell>
          <cell r="W1119">
            <v>0</v>
          </cell>
          <cell r="X1119">
            <v>0</v>
          </cell>
          <cell r="Z1119">
            <v>0</v>
          </cell>
          <cell r="AA1119">
            <v>0</v>
          </cell>
          <cell r="AC1119">
            <v>0</v>
          </cell>
          <cell r="AD1119">
            <v>0</v>
          </cell>
          <cell r="AF1119">
            <v>0</v>
          </cell>
          <cell r="AG1119">
            <v>0</v>
          </cell>
          <cell r="AI1119">
            <v>0</v>
          </cell>
          <cell r="AJ1119">
            <v>0</v>
          </cell>
          <cell r="AL1119">
            <v>0</v>
          </cell>
          <cell r="AM1119">
            <v>0</v>
          </cell>
          <cell r="AO1119">
            <v>0</v>
          </cell>
          <cell r="AP1119">
            <v>0</v>
          </cell>
          <cell r="AR1119">
            <v>0</v>
          </cell>
          <cell r="AS1119">
            <v>0</v>
          </cell>
          <cell r="BF1119" t="str">
            <v>4585</v>
          </cell>
          <cell r="BG1119" t="str">
            <v>D021</v>
          </cell>
          <cell r="BH1119" t="str">
            <v>GML</v>
          </cell>
        </row>
        <row r="1120">
          <cell r="K1120">
            <v>4222998.7799999993</v>
          </cell>
          <cell r="L1120">
            <v>0</v>
          </cell>
          <cell r="N1120">
            <v>0</v>
          </cell>
          <cell r="O1120">
            <v>0</v>
          </cell>
          <cell r="Q1120">
            <v>0</v>
          </cell>
          <cell r="R1120">
            <v>0</v>
          </cell>
          <cell r="T1120">
            <v>0</v>
          </cell>
          <cell r="U1120">
            <v>0</v>
          </cell>
          <cell r="W1120">
            <v>0</v>
          </cell>
          <cell r="X1120">
            <v>0</v>
          </cell>
          <cell r="Z1120">
            <v>0</v>
          </cell>
          <cell r="AA1120">
            <v>0</v>
          </cell>
          <cell r="AC1120">
            <v>0</v>
          </cell>
          <cell r="AD1120">
            <v>0</v>
          </cell>
          <cell r="AF1120">
            <v>0</v>
          </cell>
          <cell r="AG1120">
            <v>0</v>
          </cell>
          <cell r="AI1120">
            <v>0</v>
          </cell>
          <cell r="AJ1120">
            <v>0</v>
          </cell>
          <cell r="AL1120">
            <v>0</v>
          </cell>
          <cell r="AM1120">
            <v>0</v>
          </cell>
          <cell r="AO1120">
            <v>0</v>
          </cell>
          <cell r="AP1120">
            <v>0</v>
          </cell>
          <cell r="AR1120">
            <v>4530500</v>
          </cell>
          <cell r="AS1120">
            <v>0</v>
          </cell>
          <cell r="BF1120" t="str">
            <v>4585</v>
          </cell>
          <cell r="BG1120" t="str">
            <v>D022</v>
          </cell>
          <cell r="BH1120" t="str">
            <v>GML</v>
          </cell>
        </row>
        <row r="1121">
          <cell r="K1121">
            <v>0</v>
          </cell>
          <cell r="L1121">
            <v>0</v>
          </cell>
          <cell r="N1121">
            <v>0</v>
          </cell>
          <cell r="O1121">
            <v>0</v>
          </cell>
          <cell r="Q1121">
            <v>0</v>
          </cell>
          <cell r="R1121">
            <v>0</v>
          </cell>
          <cell r="T1121">
            <v>0</v>
          </cell>
          <cell r="U1121">
            <v>0</v>
          </cell>
          <cell r="W1121">
            <v>0</v>
          </cell>
          <cell r="X1121">
            <v>0</v>
          </cell>
          <cell r="Z1121">
            <v>0</v>
          </cell>
          <cell r="AA1121">
            <v>0</v>
          </cell>
          <cell r="AC1121">
            <v>0</v>
          </cell>
          <cell r="AD1121">
            <v>0</v>
          </cell>
          <cell r="AF1121">
            <v>0</v>
          </cell>
          <cell r="AG1121">
            <v>0</v>
          </cell>
          <cell r="AI1121">
            <v>0</v>
          </cell>
          <cell r="AJ1121">
            <v>0</v>
          </cell>
          <cell r="AL1121">
            <v>0</v>
          </cell>
          <cell r="AM1121">
            <v>0</v>
          </cell>
          <cell r="AO1121">
            <v>0</v>
          </cell>
          <cell r="AP1121">
            <v>0</v>
          </cell>
          <cell r="AR1121">
            <v>0</v>
          </cell>
          <cell r="AS1121">
            <v>0</v>
          </cell>
          <cell r="BF1121" t="str">
            <v>4585</v>
          </cell>
          <cell r="BG1121" t="str">
            <v>D023</v>
          </cell>
          <cell r="BH1121" t="str">
            <v>GML</v>
          </cell>
        </row>
        <row r="1122">
          <cell r="K1122">
            <v>0</v>
          </cell>
          <cell r="L1122">
            <v>0</v>
          </cell>
          <cell r="N1122">
            <v>0</v>
          </cell>
          <cell r="O1122">
            <v>0</v>
          </cell>
          <cell r="Q1122">
            <v>0</v>
          </cell>
          <cell r="R1122">
            <v>0</v>
          </cell>
          <cell r="T1122">
            <v>0</v>
          </cell>
          <cell r="U1122">
            <v>0</v>
          </cell>
          <cell r="W1122">
            <v>0</v>
          </cell>
          <cell r="X1122">
            <v>0</v>
          </cell>
          <cell r="Z1122">
            <v>0</v>
          </cell>
          <cell r="AA1122">
            <v>0</v>
          </cell>
          <cell r="AC1122">
            <v>0</v>
          </cell>
          <cell r="AD1122">
            <v>0</v>
          </cell>
          <cell r="AF1122">
            <v>0</v>
          </cell>
          <cell r="AG1122">
            <v>0</v>
          </cell>
          <cell r="AI1122">
            <v>0</v>
          </cell>
          <cell r="AJ1122">
            <v>0</v>
          </cell>
          <cell r="AL1122">
            <v>0</v>
          </cell>
          <cell r="AM1122">
            <v>0</v>
          </cell>
          <cell r="AO1122">
            <v>0</v>
          </cell>
          <cell r="AP1122">
            <v>0</v>
          </cell>
          <cell r="AR1122">
            <v>0</v>
          </cell>
          <cell r="AS1122">
            <v>0</v>
          </cell>
          <cell r="BF1122" t="str">
            <v>4585</v>
          </cell>
          <cell r="BG1122" t="str">
            <v>D024</v>
          </cell>
          <cell r="BH1122" t="str">
            <v>GML</v>
          </cell>
        </row>
        <row r="1123">
          <cell r="K1123">
            <v>2751552.6239999998</v>
          </cell>
          <cell r="L1123">
            <v>0</v>
          </cell>
          <cell r="N1123">
            <v>0</v>
          </cell>
          <cell r="O1123">
            <v>0</v>
          </cell>
          <cell r="Q1123">
            <v>0</v>
          </cell>
          <cell r="R1123">
            <v>0</v>
          </cell>
          <cell r="T1123">
            <v>281261.27000000142</v>
          </cell>
          <cell r="U1123">
            <v>0</v>
          </cell>
          <cell r="W1123">
            <v>2425772.4399999939</v>
          </cell>
          <cell r="X1123">
            <v>0</v>
          </cell>
          <cell r="Z1123">
            <v>912677.20999999717</v>
          </cell>
          <cell r="AA1123">
            <v>0</v>
          </cell>
          <cell r="AC1123">
            <v>4297391.6999999993</v>
          </cell>
          <cell r="AD1123">
            <v>0</v>
          </cell>
          <cell r="AF1123">
            <v>1200941.0999999978</v>
          </cell>
          <cell r="AG1123">
            <v>0</v>
          </cell>
          <cell r="AI1123">
            <v>2657762.6299999952</v>
          </cell>
          <cell r="AJ1123">
            <v>0</v>
          </cell>
          <cell r="AL1123">
            <v>1072865.3799999952</v>
          </cell>
          <cell r="AM1123">
            <v>0</v>
          </cell>
          <cell r="AO1123">
            <v>3405749.6500000022</v>
          </cell>
          <cell r="AP1123">
            <v>0</v>
          </cell>
          <cell r="AR1123">
            <v>2134089.5</v>
          </cell>
          <cell r="AS1123">
            <v>0</v>
          </cell>
          <cell r="BF1123" t="str">
            <v>4590</v>
          </cell>
          <cell r="BG1123" t="str">
            <v>Z000</v>
          </cell>
          <cell r="BH1123" t="str">
            <v>GML</v>
          </cell>
        </row>
        <row r="1124">
          <cell r="K1124">
            <v>850072.32299999986</v>
          </cell>
          <cell r="L1124">
            <v>0</v>
          </cell>
          <cell r="N1124">
            <v>493180.58000000007</v>
          </cell>
          <cell r="O1124">
            <v>0</v>
          </cell>
          <cell r="Q1124">
            <v>772908.75</v>
          </cell>
          <cell r="R1124">
            <v>0</v>
          </cell>
          <cell r="T1124">
            <v>496171.78000000026</v>
          </cell>
          <cell r="U1124">
            <v>0</v>
          </cell>
          <cell r="W1124">
            <v>332000</v>
          </cell>
          <cell r="X1124">
            <v>0</v>
          </cell>
          <cell r="Z1124">
            <v>1072261.8300000019</v>
          </cell>
          <cell r="AA1124">
            <v>0</v>
          </cell>
          <cell r="AC1124">
            <v>926331.90000000037</v>
          </cell>
          <cell r="AD1124">
            <v>0</v>
          </cell>
          <cell r="AF1124">
            <v>1160140.0099999998</v>
          </cell>
          <cell r="AG1124">
            <v>0</v>
          </cell>
          <cell r="AI1124">
            <v>471827.32999999821</v>
          </cell>
          <cell r="AJ1124">
            <v>0</v>
          </cell>
          <cell r="AL1124">
            <v>1042359.5500000007</v>
          </cell>
          <cell r="AM1124">
            <v>0</v>
          </cell>
          <cell r="AO1124">
            <v>383319.27999999933</v>
          </cell>
          <cell r="AP1124">
            <v>0</v>
          </cell>
          <cell r="AR1124">
            <v>943199.50000000186</v>
          </cell>
          <cell r="AS1124">
            <v>0</v>
          </cell>
          <cell r="BF1124" t="str">
            <v>4600</v>
          </cell>
          <cell r="BG1124" t="str">
            <v>Z000</v>
          </cell>
          <cell r="BH1124" t="str">
            <v>GML</v>
          </cell>
        </row>
        <row r="1125">
          <cell r="K1125">
            <v>29114.048499999801</v>
          </cell>
          <cell r="L1125">
            <v>0</v>
          </cell>
          <cell r="N1125">
            <v>12179.989999999991</v>
          </cell>
          <cell r="O1125">
            <v>0</v>
          </cell>
          <cell r="Q1125">
            <v>33813.960000000196</v>
          </cell>
          <cell r="R1125">
            <v>0</v>
          </cell>
          <cell r="T1125">
            <v>27614.089999999851</v>
          </cell>
          <cell r="U1125">
            <v>0</v>
          </cell>
          <cell r="W1125">
            <v>180816</v>
          </cell>
          <cell r="X1125">
            <v>0</v>
          </cell>
          <cell r="Z1125">
            <v>89500</v>
          </cell>
          <cell r="AA1125">
            <v>0</v>
          </cell>
          <cell r="AC1125">
            <v>32660</v>
          </cell>
          <cell r="AD1125">
            <v>0</v>
          </cell>
          <cell r="AF1125">
            <v>19650</v>
          </cell>
          <cell r="AG1125">
            <v>0</v>
          </cell>
          <cell r="AI1125">
            <v>23872.999999999767</v>
          </cell>
          <cell r="AJ1125">
            <v>0</v>
          </cell>
          <cell r="AL1125">
            <v>225234</v>
          </cell>
          <cell r="AM1125">
            <v>0</v>
          </cell>
          <cell r="AO1125">
            <v>294390.95999999996</v>
          </cell>
          <cell r="AP1125">
            <v>0</v>
          </cell>
          <cell r="AR1125">
            <v>216728.80000000005</v>
          </cell>
          <cell r="AS1125">
            <v>0</v>
          </cell>
          <cell r="BF1125" t="str">
            <v>4620</v>
          </cell>
          <cell r="BG1125" t="str">
            <v>Z000</v>
          </cell>
          <cell r="BH1125" t="str">
            <v>GML</v>
          </cell>
        </row>
        <row r="1126">
          <cell r="K1126">
            <v>306389.26400000043</v>
          </cell>
          <cell r="L1126">
            <v>0</v>
          </cell>
          <cell r="N1126">
            <v>181130.90000000037</v>
          </cell>
          <cell r="O1126">
            <v>0</v>
          </cell>
          <cell r="Q1126">
            <v>453489.09999999963</v>
          </cell>
          <cell r="R1126">
            <v>0</v>
          </cell>
          <cell r="T1126">
            <v>-199986.91000000015</v>
          </cell>
          <cell r="U1126">
            <v>0</v>
          </cell>
          <cell r="W1126">
            <v>221980.33000000007</v>
          </cell>
          <cell r="X1126">
            <v>0</v>
          </cell>
          <cell r="Z1126">
            <v>69999.089999999851</v>
          </cell>
          <cell r="AA1126">
            <v>0</v>
          </cell>
          <cell r="AC1126">
            <v>95680.120000001043</v>
          </cell>
          <cell r="AD1126">
            <v>0</v>
          </cell>
          <cell r="AF1126">
            <v>127600.59999999963</v>
          </cell>
          <cell r="AG1126">
            <v>0</v>
          </cell>
          <cell r="AI1126">
            <v>265760.49999999814</v>
          </cell>
          <cell r="AJ1126">
            <v>0</v>
          </cell>
          <cell r="AL1126">
            <v>95514.940000001341</v>
          </cell>
          <cell r="AM1126">
            <v>0</v>
          </cell>
          <cell r="AO1126">
            <v>65569.910000000149</v>
          </cell>
          <cell r="AP1126">
            <v>0</v>
          </cell>
          <cell r="AR1126">
            <v>3338.109999999404</v>
          </cell>
          <cell r="AS1126">
            <v>0</v>
          </cell>
          <cell r="BF1126" t="str">
            <v>4630</v>
          </cell>
          <cell r="BG1126" t="str">
            <v>Z000</v>
          </cell>
          <cell r="BH1126" t="str">
            <v>GML</v>
          </cell>
        </row>
        <row r="1127">
          <cell r="K1127">
            <v>623542.5</v>
          </cell>
          <cell r="L1127">
            <v>0</v>
          </cell>
          <cell r="N1127">
            <v>461041.54999999981</v>
          </cell>
          <cell r="O1127">
            <v>0</v>
          </cell>
          <cell r="Q1127">
            <v>564609.44000000041</v>
          </cell>
          <cell r="R1127">
            <v>0</v>
          </cell>
          <cell r="T1127">
            <v>838150.40999999922</v>
          </cell>
          <cell r="U1127">
            <v>0</v>
          </cell>
          <cell r="W1127">
            <v>960796.69000000041</v>
          </cell>
          <cell r="X1127">
            <v>0</v>
          </cell>
          <cell r="Z1127">
            <v>761746.25999999978</v>
          </cell>
          <cell r="AA1127">
            <v>0</v>
          </cell>
          <cell r="AC1127">
            <v>841202</v>
          </cell>
          <cell r="AD1127">
            <v>0</v>
          </cell>
          <cell r="AF1127">
            <v>467493.8200000003</v>
          </cell>
          <cell r="AG1127">
            <v>0</v>
          </cell>
          <cell r="AI1127">
            <v>939384.51999999955</v>
          </cell>
          <cell r="AJ1127">
            <v>0</v>
          </cell>
          <cell r="AL1127">
            <v>720601.96999999881</v>
          </cell>
          <cell r="AM1127">
            <v>0</v>
          </cell>
          <cell r="AO1127">
            <v>775191.66000000015</v>
          </cell>
          <cell r="AP1127">
            <v>0</v>
          </cell>
          <cell r="AR1127">
            <v>212210</v>
          </cell>
          <cell r="AS1127">
            <v>0</v>
          </cell>
          <cell r="BF1127" t="str">
            <v>4660</v>
          </cell>
          <cell r="BG1127" t="str">
            <v>Z000</v>
          </cell>
          <cell r="BH1127" t="str">
            <v>GML</v>
          </cell>
        </row>
        <row r="1128">
          <cell r="K1128">
            <v>0</v>
          </cell>
          <cell r="L1128">
            <v>0</v>
          </cell>
          <cell r="N1128">
            <v>0</v>
          </cell>
          <cell r="O1128">
            <v>0</v>
          </cell>
          <cell r="Q1128">
            <v>0</v>
          </cell>
          <cell r="R1128">
            <v>0</v>
          </cell>
          <cell r="T1128">
            <v>0</v>
          </cell>
          <cell r="U1128">
            <v>0</v>
          </cell>
          <cell r="W1128">
            <v>0</v>
          </cell>
          <cell r="X1128">
            <v>0</v>
          </cell>
          <cell r="Z1128">
            <v>0</v>
          </cell>
          <cell r="AA1128">
            <v>0</v>
          </cell>
          <cell r="AC1128">
            <v>0</v>
          </cell>
          <cell r="AD1128">
            <v>0</v>
          </cell>
          <cell r="AF1128">
            <v>0</v>
          </cell>
          <cell r="AG1128">
            <v>0</v>
          </cell>
          <cell r="AI1128">
            <v>0</v>
          </cell>
          <cell r="AJ1128">
            <v>0</v>
          </cell>
          <cell r="AL1128">
            <v>0</v>
          </cell>
          <cell r="AM1128">
            <v>0</v>
          </cell>
          <cell r="AO1128">
            <v>0</v>
          </cell>
          <cell r="AP1128">
            <v>0</v>
          </cell>
          <cell r="AR1128">
            <v>0</v>
          </cell>
          <cell r="AS1128">
            <v>0</v>
          </cell>
          <cell r="BF1128" t="str">
            <v>4670</v>
          </cell>
          <cell r="BG1128" t="str">
            <v>Z000</v>
          </cell>
          <cell r="BH1128" t="str">
            <v>GML</v>
          </cell>
        </row>
        <row r="1129">
          <cell r="K1129">
            <v>55806</v>
          </cell>
          <cell r="L1129">
            <v>0</v>
          </cell>
          <cell r="N1129">
            <v>142889.64999999997</v>
          </cell>
          <cell r="O1129">
            <v>0</v>
          </cell>
          <cell r="Q1129">
            <v>30249.940000000002</v>
          </cell>
          <cell r="R1129">
            <v>0</v>
          </cell>
          <cell r="T1129">
            <v>90949.000000000058</v>
          </cell>
          <cell r="U1129">
            <v>0</v>
          </cell>
          <cell r="W1129">
            <v>268859.99</v>
          </cell>
          <cell r="X1129">
            <v>0</v>
          </cell>
          <cell r="Z1129">
            <v>47994.919999999925</v>
          </cell>
          <cell r="AA1129">
            <v>0</v>
          </cell>
          <cell r="AC1129">
            <v>164009.89999999991</v>
          </cell>
          <cell r="AD1129">
            <v>0</v>
          </cell>
          <cell r="AF1129">
            <v>109670</v>
          </cell>
          <cell r="AG1129">
            <v>0</v>
          </cell>
          <cell r="AI1129">
            <v>117561</v>
          </cell>
          <cell r="AJ1129">
            <v>0</v>
          </cell>
          <cell r="AL1129">
            <v>61737</v>
          </cell>
          <cell r="AM1129">
            <v>0</v>
          </cell>
          <cell r="AO1129">
            <v>38113.979999999981</v>
          </cell>
          <cell r="AP1129">
            <v>0</v>
          </cell>
          <cell r="AR1129">
            <v>48371</v>
          </cell>
          <cell r="AS1129">
            <v>0</v>
          </cell>
          <cell r="BF1129" t="str">
            <v>4690</v>
          </cell>
          <cell r="BG1129" t="str">
            <v>Z000</v>
          </cell>
          <cell r="BH1129" t="str">
            <v>GML</v>
          </cell>
        </row>
        <row r="1130">
          <cell r="K1130">
            <v>2632774.1100000022</v>
          </cell>
          <cell r="L1130">
            <v>0</v>
          </cell>
          <cell r="N1130">
            <v>2584075.8200000003</v>
          </cell>
          <cell r="O1130">
            <v>0</v>
          </cell>
          <cell r="Q1130">
            <v>2401435.8999999985</v>
          </cell>
          <cell r="R1130">
            <v>0</v>
          </cell>
          <cell r="T1130">
            <v>2678124.0500000007</v>
          </cell>
          <cell r="U1130">
            <v>0</v>
          </cell>
          <cell r="W1130">
            <v>2890562.379999999</v>
          </cell>
          <cell r="X1130">
            <v>0</v>
          </cell>
          <cell r="Z1130">
            <v>3017127.5</v>
          </cell>
          <cell r="AA1130">
            <v>0</v>
          </cell>
          <cell r="AC1130">
            <v>3118758.1199999936</v>
          </cell>
          <cell r="AD1130">
            <v>0</v>
          </cell>
          <cell r="AF1130">
            <v>3024930.1799999997</v>
          </cell>
          <cell r="AG1130">
            <v>0</v>
          </cell>
          <cell r="AI1130">
            <v>3235229.7100000009</v>
          </cell>
          <cell r="AJ1130">
            <v>0</v>
          </cell>
          <cell r="AL1130">
            <v>3581191.7500000112</v>
          </cell>
          <cell r="AM1130">
            <v>0</v>
          </cell>
          <cell r="AO1130">
            <v>3505392.950000003</v>
          </cell>
          <cell r="AP1130">
            <v>0</v>
          </cell>
          <cell r="AR1130">
            <v>3517646.8699999973</v>
          </cell>
          <cell r="AS1130">
            <v>0</v>
          </cell>
          <cell r="BF1130" t="str">
            <v>4700</v>
          </cell>
          <cell r="BG1130" t="str">
            <v>D031</v>
          </cell>
          <cell r="BH1130" t="str">
            <v>GML</v>
          </cell>
        </row>
        <row r="1131">
          <cell r="K1131">
            <v>0</v>
          </cell>
          <cell r="L1131">
            <v>0</v>
          </cell>
          <cell r="N1131">
            <v>0</v>
          </cell>
          <cell r="O1131">
            <v>0</v>
          </cell>
          <cell r="Q1131">
            <v>0</v>
          </cell>
          <cell r="R1131">
            <v>0</v>
          </cell>
          <cell r="T1131">
            <v>0</v>
          </cell>
          <cell r="U1131">
            <v>0</v>
          </cell>
          <cell r="W1131">
            <v>0</v>
          </cell>
          <cell r="X1131">
            <v>0</v>
          </cell>
          <cell r="Z1131">
            <v>0</v>
          </cell>
          <cell r="AA1131">
            <v>0</v>
          </cell>
          <cell r="AC1131">
            <v>0</v>
          </cell>
          <cell r="AD1131">
            <v>0</v>
          </cell>
          <cell r="AF1131">
            <v>0</v>
          </cell>
          <cell r="AG1131">
            <v>0</v>
          </cell>
          <cell r="AI1131">
            <v>0</v>
          </cell>
          <cell r="AJ1131">
            <v>0</v>
          </cell>
          <cell r="AL1131">
            <v>0</v>
          </cell>
          <cell r="AM1131">
            <v>0</v>
          </cell>
          <cell r="AO1131">
            <v>0</v>
          </cell>
          <cell r="AP1131">
            <v>0</v>
          </cell>
          <cell r="AR1131">
            <v>0</v>
          </cell>
          <cell r="AS1131">
            <v>0</v>
          </cell>
          <cell r="BF1131" t="str">
            <v>4700</v>
          </cell>
          <cell r="BG1131" t="str">
            <v>D032</v>
          </cell>
          <cell r="BH1131" t="str">
            <v>GML</v>
          </cell>
        </row>
        <row r="1132">
          <cell r="K1132">
            <v>9018889.5</v>
          </cell>
          <cell r="L1132">
            <v>0</v>
          </cell>
          <cell r="N1132">
            <v>9463195.9199999943</v>
          </cell>
          <cell r="O1132">
            <v>0</v>
          </cell>
          <cell r="Q1132">
            <v>8630560</v>
          </cell>
          <cell r="R1132">
            <v>0</v>
          </cell>
          <cell r="T1132">
            <v>9181938.2000000179</v>
          </cell>
          <cell r="U1132">
            <v>0</v>
          </cell>
          <cell r="W1132">
            <v>10129257.650000006</v>
          </cell>
          <cell r="X1132">
            <v>0</v>
          </cell>
          <cell r="Z1132">
            <v>10167327.650000006</v>
          </cell>
          <cell r="AA1132">
            <v>0</v>
          </cell>
          <cell r="AC1132">
            <v>10447256.650000006</v>
          </cell>
          <cell r="AD1132">
            <v>0</v>
          </cell>
          <cell r="AF1132">
            <v>10253713.030000001</v>
          </cell>
          <cell r="AG1132">
            <v>0</v>
          </cell>
          <cell r="AI1132">
            <v>10198388.930000007</v>
          </cell>
          <cell r="AJ1132">
            <v>0</v>
          </cell>
          <cell r="AL1132">
            <v>10016602.229999989</v>
          </cell>
          <cell r="AM1132">
            <v>0</v>
          </cell>
          <cell r="AO1132">
            <v>9884212</v>
          </cell>
          <cell r="AP1132">
            <v>0</v>
          </cell>
          <cell r="AR1132">
            <v>12277874.25</v>
          </cell>
          <cell r="AS1132">
            <v>0</v>
          </cell>
          <cell r="BF1132" t="str">
            <v>4740</v>
          </cell>
          <cell r="BG1132" t="str">
            <v>D041</v>
          </cell>
          <cell r="BH1132" t="str">
            <v>GML</v>
          </cell>
        </row>
        <row r="1133">
          <cell r="K1133">
            <v>0</v>
          </cell>
          <cell r="L1133">
            <v>0</v>
          </cell>
          <cell r="N1133">
            <v>0</v>
          </cell>
          <cell r="O1133">
            <v>0</v>
          </cell>
          <cell r="Q1133">
            <v>495671.37</v>
          </cell>
          <cell r="R1133">
            <v>0</v>
          </cell>
          <cell r="T1133">
            <v>260480</v>
          </cell>
          <cell r="U1133">
            <v>0</v>
          </cell>
          <cell r="W1133">
            <v>0</v>
          </cell>
          <cell r="X1133">
            <v>0</v>
          </cell>
          <cell r="Z1133">
            <v>0</v>
          </cell>
          <cell r="AA1133">
            <v>0</v>
          </cell>
          <cell r="AC1133">
            <v>0</v>
          </cell>
          <cell r="AD1133">
            <v>0</v>
          </cell>
          <cell r="AF1133">
            <v>0</v>
          </cell>
          <cell r="AG1133">
            <v>0</v>
          </cell>
          <cell r="AI1133">
            <v>29120</v>
          </cell>
          <cell r="AJ1133">
            <v>0</v>
          </cell>
          <cell r="AL1133">
            <v>0</v>
          </cell>
          <cell r="AM1133">
            <v>0</v>
          </cell>
          <cell r="AO1133">
            <v>81410</v>
          </cell>
          <cell r="AP1133">
            <v>0</v>
          </cell>
          <cell r="AR1133">
            <v>70000</v>
          </cell>
          <cell r="AS1133">
            <v>0</v>
          </cell>
          <cell r="BF1133" t="str">
            <v>4740</v>
          </cell>
          <cell r="BG1133" t="str">
            <v>D042</v>
          </cell>
          <cell r="BH1133" t="str">
            <v>GML</v>
          </cell>
        </row>
        <row r="1134">
          <cell r="K1134">
            <v>0</v>
          </cell>
          <cell r="L1134">
            <v>0</v>
          </cell>
          <cell r="N1134">
            <v>0</v>
          </cell>
          <cell r="O1134">
            <v>0</v>
          </cell>
          <cell r="Q1134">
            <v>370199.73</v>
          </cell>
          <cell r="R1134">
            <v>0</v>
          </cell>
          <cell r="T1134">
            <v>939065.75</v>
          </cell>
          <cell r="U1134">
            <v>0</v>
          </cell>
          <cell r="W1134">
            <v>955393.87000000011</v>
          </cell>
          <cell r="X1134">
            <v>0</v>
          </cell>
          <cell r="Z1134">
            <v>720808.43000000017</v>
          </cell>
          <cell r="AA1134">
            <v>0</v>
          </cell>
          <cell r="AC1134">
            <v>742664.56999999983</v>
          </cell>
          <cell r="AD1134">
            <v>0</v>
          </cell>
          <cell r="AF1134">
            <v>717909.11999999965</v>
          </cell>
          <cell r="AG1134">
            <v>0</v>
          </cell>
          <cell r="AI1134">
            <v>699755.04</v>
          </cell>
          <cell r="AJ1134">
            <v>0</v>
          </cell>
          <cell r="AL1134">
            <v>678300.33999999985</v>
          </cell>
          <cell r="AM1134">
            <v>0</v>
          </cell>
          <cell r="AO1134">
            <v>678976.55000000075</v>
          </cell>
          <cell r="AP1134">
            <v>0</v>
          </cell>
          <cell r="AR1134">
            <v>678976.54999999888</v>
          </cell>
          <cell r="AS1134">
            <v>0</v>
          </cell>
          <cell r="BF1134" t="str">
            <v>4740</v>
          </cell>
          <cell r="BG1134" t="str">
            <v>D043</v>
          </cell>
          <cell r="BH1134" t="str">
            <v>GML</v>
          </cell>
        </row>
        <row r="1135">
          <cell r="K1135">
            <v>0</v>
          </cell>
          <cell r="L1135">
            <v>0</v>
          </cell>
          <cell r="N1135">
            <v>0</v>
          </cell>
          <cell r="O1135">
            <v>0</v>
          </cell>
          <cell r="Q1135">
            <v>713796.67</v>
          </cell>
          <cell r="R1135">
            <v>0</v>
          </cell>
          <cell r="T1135">
            <v>1090050.2000000002</v>
          </cell>
          <cell r="U1135">
            <v>0</v>
          </cell>
          <cell r="W1135">
            <v>1183873.33</v>
          </cell>
          <cell r="X1135">
            <v>0</v>
          </cell>
          <cell r="Z1135">
            <v>-2000000</v>
          </cell>
          <cell r="AA1135">
            <v>0</v>
          </cell>
          <cell r="AC1135">
            <v>307634.16999999993</v>
          </cell>
          <cell r="AD1135">
            <v>0</v>
          </cell>
          <cell r="AF1135">
            <v>840187.5</v>
          </cell>
          <cell r="AG1135">
            <v>0</v>
          </cell>
          <cell r="AI1135">
            <v>840187.5</v>
          </cell>
          <cell r="AJ1135">
            <v>0</v>
          </cell>
          <cell r="AL1135">
            <v>840187.5</v>
          </cell>
          <cell r="AM1135">
            <v>0</v>
          </cell>
          <cell r="AO1135">
            <v>836812.5</v>
          </cell>
          <cell r="AP1135">
            <v>0</v>
          </cell>
          <cell r="AR1135">
            <v>836812.5</v>
          </cell>
          <cell r="AS1135">
            <v>0</v>
          </cell>
          <cell r="BF1135" t="str">
            <v>4740</v>
          </cell>
          <cell r="BG1135" t="str">
            <v>D044</v>
          </cell>
          <cell r="BH1135" t="str">
            <v>GML</v>
          </cell>
        </row>
        <row r="1136">
          <cell r="K1136">
            <v>0</v>
          </cell>
          <cell r="L1136">
            <v>0</v>
          </cell>
          <cell r="N1136">
            <v>0</v>
          </cell>
          <cell r="O1136">
            <v>0</v>
          </cell>
          <cell r="Q1136">
            <v>0</v>
          </cell>
          <cell r="R1136">
            <v>0</v>
          </cell>
          <cell r="T1136">
            <v>62400</v>
          </cell>
          <cell r="U1136">
            <v>0</v>
          </cell>
          <cell r="W1136">
            <v>33800</v>
          </cell>
          <cell r="X1136">
            <v>0</v>
          </cell>
          <cell r="Z1136">
            <v>96120</v>
          </cell>
          <cell r="AA1136">
            <v>0</v>
          </cell>
          <cell r="AC1136">
            <v>57200</v>
          </cell>
          <cell r="AD1136">
            <v>0</v>
          </cell>
          <cell r="AF1136">
            <v>50400</v>
          </cell>
          <cell r="AG1136">
            <v>0</v>
          </cell>
          <cell r="AI1136">
            <v>50000</v>
          </cell>
          <cell r="AJ1136">
            <v>0</v>
          </cell>
          <cell r="AL1136">
            <v>0</v>
          </cell>
          <cell r="AM1136">
            <v>0</v>
          </cell>
          <cell r="AO1136">
            <v>0</v>
          </cell>
          <cell r="AP1136">
            <v>0</v>
          </cell>
          <cell r="AR1136">
            <v>0</v>
          </cell>
          <cell r="AS1136">
            <v>0</v>
          </cell>
          <cell r="BF1136" t="str">
            <v>4740</v>
          </cell>
          <cell r="BG1136" t="str">
            <v>D045</v>
          </cell>
          <cell r="BH1136" t="str">
            <v>GML</v>
          </cell>
        </row>
        <row r="1137">
          <cell r="K1137">
            <v>216120</v>
          </cell>
          <cell r="L1137">
            <v>0</v>
          </cell>
          <cell r="N1137">
            <v>258723.49999999977</v>
          </cell>
          <cell r="O1137">
            <v>0</v>
          </cell>
          <cell r="Q1137">
            <v>894101.62000000011</v>
          </cell>
          <cell r="R1137">
            <v>0</v>
          </cell>
          <cell r="T1137">
            <v>325035</v>
          </cell>
          <cell r="U1137">
            <v>0</v>
          </cell>
          <cell r="W1137">
            <v>-198248.74000000022</v>
          </cell>
          <cell r="X1137">
            <v>0</v>
          </cell>
          <cell r="Z1137">
            <v>354475.12999999989</v>
          </cell>
          <cell r="AA1137">
            <v>0</v>
          </cell>
          <cell r="AC1137">
            <v>532987.5</v>
          </cell>
          <cell r="AD1137">
            <v>0</v>
          </cell>
          <cell r="AF1137">
            <v>338898.5</v>
          </cell>
          <cell r="AG1137">
            <v>0</v>
          </cell>
          <cell r="AI1137">
            <v>325035</v>
          </cell>
          <cell r="AJ1137">
            <v>0</v>
          </cell>
          <cell r="AL1137">
            <v>-28261.540000000037</v>
          </cell>
          <cell r="AM1137">
            <v>0</v>
          </cell>
          <cell r="AO1137">
            <v>296753.45999999996</v>
          </cell>
          <cell r="AP1137">
            <v>0</v>
          </cell>
          <cell r="AR1137">
            <v>296753.45999999996</v>
          </cell>
          <cell r="AS1137">
            <v>0</v>
          </cell>
          <cell r="BF1137" t="str">
            <v>4760</v>
          </cell>
          <cell r="BG1137" t="str">
            <v>Z000</v>
          </cell>
          <cell r="BH1137" t="str">
            <v>GML</v>
          </cell>
        </row>
        <row r="1138">
          <cell r="K1138">
            <v>304169.44000000018</v>
          </cell>
          <cell r="L1138">
            <v>0</v>
          </cell>
          <cell r="N1138">
            <v>467626.5</v>
          </cell>
          <cell r="O1138">
            <v>0</v>
          </cell>
          <cell r="Q1138">
            <v>292052.19999999995</v>
          </cell>
          <cell r="R1138">
            <v>0</v>
          </cell>
          <cell r="T1138">
            <v>235195.1399999999</v>
          </cell>
          <cell r="U1138">
            <v>0</v>
          </cell>
          <cell r="W1138">
            <v>247995.70999999996</v>
          </cell>
          <cell r="X1138">
            <v>0</v>
          </cell>
          <cell r="Z1138">
            <v>199206.4700000002</v>
          </cell>
          <cell r="AA1138">
            <v>0</v>
          </cell>
          <cell r="AC1138">
            <v>232652.25999999978</v>
          </cell>
          <cell r="AD1138">
            <v>0</v>
          </cell>
          <cell r="AF1138">
            <v>232852.25999999978</v>
          </cell>
          <cell r="AG1138">
            <v>0</v>
          </cell>
          <cell r="AI1138">
            <v>243650.85000000009</v>
          </cell>
          <cell r="AJ1138">
            <v>0</v>
          </cell>
          <cell r="AL1138">
            <v>65897.370000000112</v>
          </cell>
          <cell r="AM1138">
            <v>0</v>
          </cell>
          <cell r="AO1138">
            <v>322528.03000000026</v>
          </cell>
          <cell r="AP1138">
            <v>0</v>
          </cell>
          <cell r="AR1138">
            <v>564877.48000000045</v>
          </cell>
          <cell r="AS1138">
            <v>0</v>
          </cell>
          <cell r="BF1138" t="str">
            <v>4800</v>
          </cell>
          <cell r="BG1138" t="str">
            <v>D101</v>
          </cell>
          <cell r="BH1138" t="str">
            <v>GML</v>
          </cell>
        </row>
        <row r="1139">
          <cell r="K1139">
            <v>11000</v>
          </cell>
          <cell r="L1139">
            <v>0</v>
          </cell>
          <cell r="N1139">
            <v>1500</v>
          </cell>
          <cell r="O1139">
            <v>0</v>
          </cell>
          <cell r="Q1139">
            <v>59069.060000000056</v>
          </cell>
          <cell r="R1139">
            <v>0</v>
          </cell>
          <cell r="T1139">
            <v>93373.319999999949</v>
          </cell>
          <cell r="U1139">
            <v>0</v>
          </cell>
          <cell r="W1139">
            <v>25364.560000000056</v>
          </cell>
          <cell r="X1139">
            <v>0</v>
          </cell>
          <cell r="Z1139">
            <v>0</v>
          </cell>
          <cell r="AA1139">
            <v>0</v>
          </cell>
          <cell r="AC1139">
            <v>181792.06999999995</v>
          </cell>
          <cell r="AD1139">
            <v>0</v>
          </cell>
          <cell r="AF1139">
            <v>182000.00000000023</v>
          </cell>
          <cell r="AG1139">
            <v>0</v>
          </cell>
          <cell r="AI1139">
            <v>265900</v>
          </cell>
          <cell r="AJ1139">
            <v>0</v>
          </cell>
          <cell r="AL1139">
            <v>190000</v>
          </cell>
          <cell r="AM1139">
            <v>0</v>
          </cell>
          <cell r="AO1139">
            <v>185000</v>
          </cell>
          <cell r="AP1139">
            <v>0</v>
          </cell>
          <cell r="AR1139">
            <v>1031137.6799999997</v>
          </cell>
          <cell r="AS1139">
            <v>0</v>
          </cell>
          <cell r="BF1139" t="str">
            <v>4800</v>
          </cell>
          <cell r="BG1139" t="str">
            <v>D102</v>
          </cell>
          <cell r="BH1139" t="str">
            <v>GML</v>
          </cell>
        </row>
        <row r="1140">
          <cell r="K1140">
            <v>719920.79999999981</v>
          </cell>
          <cell r="L1140">
            <v>0</v>
          </cell>
          <cell r="N1140">
            <v>727206.80000000075</v>
          </cell>
          <cell r="O1140">
            <v>0</v>
          </cell>
          <cell r="Q1140">
            <v>769751.80999999959</v>
          </cell>
          <cell r="R1140">
            <v>0</v>
          </cell>
          <cell r="T1140">
            <v>835909.5</v>
          </cell>
          <cell r="U1140">
            <v>0</v>
          </cell>
          <cell r="W1140">
            <v>821717.59999999963</v>
          </cell>
          <cell r="X1140">
            <v>0</v>
          </cell>
          <cell r="Z1140">
            <v>982519.20000000019</v>
          </cell>
          <cell r="AA1140">
            <v>0</v>
          </cell>
          <cell r="AC1140">
            <v>1039403.5099999998</v>
          </cell>
          <cell r="AD1140">
            <v>0</v>
          </cell>
          <cell r="AF1140">
            <v>971059.99999999907</v>
          </cell>
          <cell r="AG1140">
            <v>0</v>
          </cell>
          <cell r="AI1140">
            <v>923398.09999999963</v>
          </cell>
          <cell r="AJ1140">
            <v>0</v>
          </cell>
          <cell r="AL1140">
            <v>1061447.290000001</v>
          </cell>
          <cell r="AM1140">
            <v>0</v>
          </cell>
          <cell r="AO1140">
            <v>1124937.2599999998</v>
          </cell>
          <cell r="AP1140">
            <v>0</v>
          </cell>
          <cell r="AR1140">
            <v>1098695.1999999974</v>
          </cell>
          <cell r="AS1140">
            <v>0</v>
          </cell>
          <cell r="BF1140" t="str">
            <v>4800</v>
          </cell>
          <cell r="BG1140" t="str">
            <v>D103</v>
          </cell>
          <cell r="BH1140" t="str">
            <v>GML</v>
          </cell>
        </row>
        <row r="1141">
          <cell r="K1141">
            <v>0</v>
          </cell>
          <cell r="L1141">
            <v>0</v>
          </cell>
          <cell r="N1141">
            <v>0</v>
          </cell>
          <cell r="O1141">
            <v>0</v>
          </cell>
          <cell r="Q1141">
            <v>0</v>
          </cell>
          <cell r="R1141">
            <v>0</v>
          </cell>
          <cell r="T1141">
            <v>0</v>
          </cell>
          <cell r="U1141">
            <v>0</v>
          </cell>
          <cell r="W1141">
            <v>0</v>
          </cell>
          <cell r="X1141">
            <v>0</v>
          </cell>
          <cell r="Z1141">
            <v>0</v>
          </cell>
          <cell r="AA1141">
            <v>0</v>
          </cell>
          <cell r="AC1141">
            <v>0</v>
          </cell>
          <cell r="AD1141">
            <v>0</v>
          </cell>
          <cell r="AF1141">
            <v>0</v>
          </cell>
          <cell r="AG1141">
            <v>0</v>
          </cell>
          <cell r="AI1141">
            <v>0</v>
          </cell>
          <cell r="AJ1141">
            <v>0</v>
          </cell>
          <cell r="AL1141">
            <v>0</v>
          </cell>
          <cell r="AM1141">
            <v>0</v>
          </cell>
          <cell r="AO1141">
            <v>0</v>
          </cell>
          <cell r="AP1141">
            <v>0</v>
          </cell>
          <cell r="AR1141">
            <v>0</v>
          </cell>
          <cell r="AS1141">
            <v>0</v>
          </cell>
          <cell r="BF1141" t="str">
            <v>4800</v>
          </cell>
          <cell r="BG1141" t="str">
            <v>D104</v>
          </cell>
          <cell r="BH1141" t="str">
            <v>GML</v>
          </cell>
        </row>
        <row r="1142">
          <cell r="K1142">
            <v>0</v>
          </cell>
          <cell r="L1142">
            <v>0</v>
          </cell>
          <cell r="N1142">
            <v>0</v>
          </cell>
          <cell r="O1142">
            <v>0</v>
          </cell>
          <cell r="Q1142">
            <v>0</v>
          </cell>
          <cell r="R1142">
            <v>0</v>
          </cell>
          <cell r="T1142">
            <v>0</v>
          </cell>
          <cell r="U1142">
            <v>0</v>
          </cell>
          <cell r="W1142">
            <v>0</v>
          </cell>
          <cell r="X1142">
            <v>0</v>
          </cell>
          <cell r="Z1142">
            <v>0</v>
          </cell>
          <cell r="AA1142">
            <v>0</v>
          </cell>
          <cell r="AC1142">
            <v>0</v>
          </cell>
          <cell r="AD1142">
            <v>0</v>
          </cell>
          <cell r="AF1142">
            <v>0</v>
          </cell>
          <cell r="AG1142">
            <v>0</v>
          </cell>
          <cell r="AI1142">
            <v>0</v>
          </cell>
          <cell r="AJ1142">
            <v>0</v>
          </cell>
          <cell r="AL1142">
            <v>0</v>
          </cell>
          <cell r="AM1142">
            <v>0</v>
          </cell>
          <cell r="AO1142">
            <v>0</v>
          </cell>
          <cell r="AP1142">
            <v>0</v>
          </cell>
          <cell r="AR1142">
            <v>0</v>
          </cell>
          <cell r="AS1142">
            <v>0</v>
          </cell>
          <cell r="BF1142" t="str">
            <v>4820</v>
          </cell>
          <cell r="BG1142" t="str">
            <v>Z000</v>
          </cell>
          <cell r="BH1142" t="str">
            <v>GML</v>
          </cell>
        </row>
        <row r="1143">
          <cell r="K1143">
            <v>543686</v>
          </cell>
          <cell r="L1143">
            <v>0</v>
          </cell>
          <cell r="N1143">
            <v>286550</v>
          </cell>
          <cell r="O1143">
            <v>0</v>
          </cell>
          <cell r="Q1143">
            <v>289324</v>
          </cell>
          <cell r="R1143">
            <v>0</v>
          </cell>
          <cell r="T1143">
            <v>5600</v>
          </cell>
          <cell r="U1143">
            <v>0</v>
          </cell>
          <cell r="W1143">
            <v>229500</v>
          </cell>
          <cell r="X1143">
            <v>0</v>
          </cell>
          <cell r="Z1143">
            <v>41100</v>
          </cell>
          <cell r="AA1143">
            <v>0</v>
          </cell>
          <cell r="AC1143">
            <v>214700</v>
          </cell>
          <cell r="AD1143">
            <v>0</v>
          </cell>
          <cell r="AF1143">
            <v>29950</v>
          </cell>
          <cell r="AG1143">
            <v>0</v>
          </cell>
          <cell r="AI1143">
            <v>1138642.17</v>
          </cell>
          <cell r="AJ1143">
            <v>0</v>
          </cell>
          <cell r="AL1143">
            <v>1100504.9799999995</v>
          </cell>
          <cell r="AM1143">
            <v>0</v>
          </cell>
          <cell r="AO1143">
            <v>786553.08000000007</v>
          </cell>
          <cell r="AP1143">
            <v>0</v>
          </cell>
          <cell r="AR1143">
            <v>859277.40000000037</v>
          </cell>
          <cell r="AS1143">
            <v>0</v>
          </cell>
          <cell r="BF1143" t="str">
            <v>4830</v>
          </cell>
          <cell r="BG1143" t="str">
            <v>D111</v>
          </cell>
          <cell r="BH1143" t="str">
            <v>GML</v>
          </cell>
        </row>
        <row r="1144">
          <cell r="K1144">
            <v>5000</v>
          </cell>
          <cell r="L1144">
            <v>0</v>
          </cell>
          <cell r="N1144">
            <v>3527.0000000000018</v>
          </cell>
          <cell r="O1144">
            <v>0</v>
          </cell>
          <cell r="Q1144">
            <v>0</v>
          </cell>
          <cell r="R1144">
            <v>0</v>
          </cell>
          <cell r="T1144">
            <v>200300</v>
          </cell>
          <cell r="U1144">
            <v>0</v>
          </cell>
          <cell r="W1144">
            <v>500000</v>
          </cell>
          <cell r="X1144">
            <v>0</v>
          </cell>
          <cell r="Z1144">
            <v>680606</v>
          </cell>
          <cell r="AA1144">
            <v>0</v>
          </cell>
          <cell r="AC1144">
            <v>0</v>
          </cell>
          <cell r="AD1144">
            <v>0</v>
          </cell>
          <cell r="AF1144">
            <v>0</v>
          </cell>
          <cell r="AG1144">
            <v>0</v>
          </cell>
          <cell r="AI1144">
            <v>0</v>
          </cell>
          <cell r="AJ1144">
            <v>0</v>
          </cell>
          <cell r="AL1144">
            <v>0</v>
          </cell>
          <cell r="AM1144">
            <v>0</v>
          </cell>
          <cell r="AO1144">
            <v>788580.79999999981</v>
          </cell>
          <cell r="AP1144">
            <v>0</v>
          </cell>
          <cell r="AR1144">
            <v>338658</v>
          </cell>
          <cell r="AS1144">
            <v>0</v>
          </cell>
          <cell r="BF1144" t="str">
            <v>4830</v>
          </cell>
          <cell r="BG1144" t="str">
            <v>D112</v>
          </cell>
          <cell r="BH1144" t="str">
            <v>GML</v>
          </cell>
        </row>
        <row r="1145">
          <cell r="K1145">
            <v>0</v>
          </cell>
          <cell r="L1145">
            <v>0</v>
          </cell>
          <cell r="N1145">
            <v>0</v>
          </cell>
          <cell r="O1145">
            <v>0</v>
          </cell>
          <cell r="Q1145">
            <v>0</v>
          </cell>
          <cell r="R1145">
            <v>0</v>
          </cell>
          <cell r="T1145">
            <v>0</v>
          </cell>
          <cell r="U1145">
            <v>0</v>
          </cell>
          <cell r="W1145">
            <v>285800</v>
          </cell>
          <cell r="X1145">
            <v>0</v>
          </cell>
          <cell r="Z1145">
            <v>0</v>
          </cell>
          <cell r="AA1145">
            <v>0</v>
          </cell>
          <cell r="AC1145">
            <v>0</v>
          </cell>
          <cell r="AD1145">
            <v>0</v>
          </cell>
          <cell r="AF1145">
            <v>0</v>
          </cell>
          <cell r="AG1145">
            <v>0</v>
          </cell>
          <cell r="AI1145">
            <v>0</v>
          </cell>
          <cell r="AJ1145">
            <v>0</v>
          </cell>
          <cell r="AL1145">
            <v>581449.99999999988</v>
          </cell>
          <cell r="AM1145">
            <v>0</v>
          </cell>
          <cell r="AO1145">
            <v>416600</v>
          </cell>
          <cell r="AP1145">
            <v>0</v>
          </cell>
          <cell r="AR1145">
            <v>33800</v>
          </cell>
          <cell r="AS1145">
            <v>0</v>
          </cell>
          <cell r="BF1145" t="str">
            <v>4840</v>
          </cell>
          <cell r="BG1145" t="str">
            <v>Z000</v>
          </cell>
          <cell r="BH1145" t="str">
            <v>GML</v>
          </cell>
        </row>
        <row r="1146">
          <cell r="K1146">
            <v>0</v>
          </cell>
          <cell r="L1146">
            <v>0</v>
          </cell>
          <cell r="N1146">
            <v>0</v>
          </cell>
          <cell r="O1146">
            <v>0</v>
          </cell>
          <cell r="Q1146">
            <v>0</v>
          </cell>
          <cell r="R1146">
            <v>0</v>
          </cell>
          <cell r="T1146">
            <v>0</v>
          </cell>
          <cell r="U1146">
            <v>0</v>
          </cell>
          <cell r="W1146">
            <v>0</v>
          </cell>
          <cell r="X1146">
            <v>0</v>
          </cell>
          <cell r="Z1146">
            <v>0</v>
          </cell>
          <cell r="AA1146">
            <v>0</v>
          </cell>
          <cell r="AC1146">
            <v>0</v>
          </cell>
          <cell r="AD1146">
            <v>0</v>
          </cell>
          <cell r="AF1146">
            <v>0</v>
          </cell>
          <cell r="AG1146">
            <v>0</v>
          </cell>
          <cell r="AI1146">
            <v>0</v>
          </cell>
          <cell r="AJ1146">
            <v>0</v>
          </cell>
          <cell r="AL1146">
            <v>0</v>
          </cell>
          <cell r="AM1146">
            <v>0</v>
          </cell>
          <cell r="AO1146">
            <v>0</v>
          </cell>
          <cell r="AP1146">
            <v>0</v>
          </cell>
          <cell r="AR1146">
            <v>0</v>
          </cell>
          <cell r="AS1146">
            <v>0</v>
          </cell>
          <cell r="BF1146" t="str">
            <v>4870</v>
          </cell>
          <cell r="BG1146" t="str">
            <v>Z000</v>
          </cell>
          <cell r="BH1146" t="str">
            <v>GML</v>
          </cell>
        </row>
        <row r="1147">
          <cell r="K1147">
            <v>0</v>
          </cell>
          <cell r="L1147">
            <v>0</v>
          </cell>
          <cell r="N1147">
            <v>0</v>
          </cell>
          <cell r="O1147">
            <v>0</v>
          </cell>
          <cell r="Q1147">
            <v>0</v>
          </cell>
          <cell r="R1147">
            <v>0</v>
          </cell>
          <cell r="T1147">
            <v>0</v>
          </cell>
          <cell r="U1147">
            <v>0</v>
          </cell>
          <cell r="W1147">
            <v>0</v>
          </cell>
          <cell r="X1147">
            <v>0</v>
          </cell>
          <cell r="Z1147">
            <v>0</v>
          </cell>
          <cell r="AA1147">
            <v>0</v>
          </cell>
          <cell r="AC1147">
            <v>0</v>
          </cell>
          <cell r="AD1147">
            <v>0</v>
          </cell>
          <cell r="AF1147">
            <v>0</v>
          </cell>
          <cell r="AG1147">
            <v>0</v>
          </cell>
          <cell r="AI1147">
            <v>0</v>
          </cell>
          <cell r="AJ1147">
            <v>0</v>
          </cell>
          <cell r="AL1147">
            <v>0</v>
          </cell>
          <cell r="AM1147">
            <v>0</v>
          </cell>
          <cell r="AO1147">
            <v>0</v>
          </cell>
          <cell r="AP1147">
            <v>0</v>
          </cell>
          <cell r="AR1147">
            <v>0</v>
          </cell>
          <cell r="AS1147">
            <v>0</v>
          </cell>
          <cell r="BF1147" t="str">
            <v>4880</v>
          </cell>
          <cell r="BG1147" t="str">
            <v>Z000</v>
          </cell>
          <cell r="BH1147" t="str">
            <v>GML</v>
          </cell>
        </row>
        <row r="1148">
          <cell r="K1148">
            <v>0</v>
          </cell>
          <cell r="L1148">
            <v>0</v>
          </cell>
          <cell r="N1148">
            <v>0</v>
          </cell>
          <cell r="O1148">
            <v>0</v>
          </cell>
          <cell r="Q1148">
            <v>0</v>
          </cell>
          <cell r="R1148">
            <v>0</v>
          </cell>
          <cell r="T1148">
            <v>0</v>
          </cell>
          <cell r="U1148">
            <v>0</v>
          </cell>
          <cell r="W1148">
            <v>0</v>
          </cell>
          <cell r="X1148">
            <v>0</v>
          </cell>
          <cell r="Z1148">
            <v>0</v>
          </cell>
          <cell r="AA1148">
            <v>0</v>
          </cell>
          <cell r="AC1148">
            <v>0</v>
          </cell>
          <cell r="AD1148">
            <v>0</v>
          </cell>
          <cell r="AF1148">
            <v>0</v>
          </cell>
          <cell r="AG1148">
            <v>0</v>
          </cell>
          <cell r="AI1148">
            <v>0</v>
          </cell>
          <cell r="AJ1148">
            <v>0</v>
          </cell>
          <cell r="AL1148">
            <v>0</v>
          </cell>
          <cell r="AM1148">
            <v>0</v>
          </cell>
          <cell r="AO1148">
            <v>0</v>
          </cell>
          <cell r="AP1148">
            <v>0</v>
          </cell>
          <cell r="AR1148">
            <v>0</v>
          </cell>
          <cell r="AS1148">
            <v>0</v>
          </cell>
          <cell r="BF1148" t="str">
            <v>4890</v>
          </cell>
          <cell r="BG1148" t="str">
            <v>Z000</v>
          </cell>
          <cell r="BH1148" t="str">
            <v>GML</v>
          </cell>
        </row>
        <row r="1149">
          <cell r="K1149">
            <v>0</v>
          </cell>
          <cell r="L1149">
            <v>0</v>
          </cell>
          <cell r="N1149">
            <v>0</v>
          </cell>
          <cell r="O1149">
            <v>0</v>
          </cell>
          <cell r="Q1149">
            <v>0</v>
          </cell>
          <cell r="R1149">
            <v>0</v>
          </cell>
          <cell r="T1149">
            <v>0</v>
          </cell>
          <cell r="U1149">
            <v>0</v>
          </cell>
          <cell r="W1149">
            <v>0</v>
          </cell>
          <cell r="X1149">
            <v>0</v>
          </cell>
          <cell r="Z1149">
            <v>0</v>
          </cell>
          <cell r="AA1149">
            <v>0</v>
          </cell>
          <cell r="AC1149">
            <v>0</v>
          </cell>
          <cell r="AD1149">
            <v>0</v>
          </cell>
          <cell r="AF1149">
            <v>0</v>
          </cell>
          <cell r="AG1149">
            <v>0</v>
          </cell>
          <cell r="AI1149">
            <v>0</v>
          </cell>
          <cell r="AJ1149">
            <v>0</v>
          </cell>
          <cell r="AL1149">
            <v>0</v>
          </cell>
          <cell r="AM1149">
            <v>0</v>
          </cell>
          <cell r="AO1149">
            <v>0</v>
          </cell>
          <cell r="AP1149">
            <v>0</v>
          </cell>
          <cell r="AR1149">
            <v>0</v>
          </cell>
          <cell r="AS1149">
            <v>0</v>
          </cell>
          <cell r="BF1149" t="str">
            <v>4900</v>
          </cell>
          <cell r="BG1149" t="str">
            <v>Z000</v>
          </cell>
          <cell r="BH1149" t="str">
            <v>GML</v>
          </cell>
        </row>
        <row r="1150">
          <cell r="K1150">
            <v>0</v>
          </cell>
          <cell r="L1150">
            <v>0</v>
          </cell>
          <cell r="N1150">
            <v>0</v>
          </cell>
          <cell r="O1150">
            <v>0</v>
          </cell>
          <cell r="Q1150">
            <v>0</v>
          </cell>
          <cell r="R1150">
            <v>0</v>
          </cell>
          <cell r="T1150">
            <v>0</v>
          </cell>
          <cell r="U1150">
            <v>0</v>
          </cell>
          <cell r="W1150">
            <v>0</v>
          </cell>
          <cell r="X1150">
            <v>0</v>
          </cell>
          <cell r="Z1150">
            <v>0</v>
          </cell>
          <cell r="AA1150">
            <v>0</v>
          </cell>
          <cell r="AC1150">
            <v>0</v>
          </cell>
          <cell r="AD1150">
            <v>0</v>
          </cell>
          <cell r="AF1150">
            <v>0</v>
          </cell>
          <cell r="AG1150">
            <v>0</v>
          </cell>
          <cell r="AI1150">
            <v>0</v>
          </cell>
          <cell r="AJ1150">
            <v>0</v>
          </cell>
          <cell r="AL1150">
            <v>0</v>
          </cell>
          <cell r="AM1150">
            <v>0</v>
          </cell>
          <cell r="AO1150">
            <v>0</v>
          </cell>
          <cell r="AP1150">
            <v>0</v>
          </cell>
          <cell r="AR1150">
            <v>0</v>
          </cell>
          <cell r="AS1150">
            <v>0</v>
          </cell>
          <cell r="BF1150" t="str">
            <v>4910</v>
          </cell>
          <cell r="BG1150" t="str">
            <v>Z000</v>
          </cell>
          <cell r="BH1150" t="str">
            <v>GML</v>
          </cell>
        </row>
        <row r="1151">
          <cell r="K1151">
            <v>0</v>
          </cell>
          <cell r="L1151">
            <v>0</v>
          </cell>
          <cell r="N1151">
            <v>0</v>
          </cell>
          <cell r="O1151">
            <v>0</v>
          </cell>
          <cell r="Q1151">
            <v>0</v>
          </cell>
          <cell r="R1151">
            <v>0</v>
          </cell>
          <cell r="T1151">
            <v>0</v>
          </cell>
          <cell r="U1151">
            <v>0</v>
          </cell>
          <cell r="W1151">
            <v>0</v>
          </cell>
          <cell r="X1151">
            <v>0</v>
          </cell>
          <cell r="Z1151">
            <v>0</v>
          </cell>
          <cell r="AA1151">
            <v>0</v>
          </cell>
          <cell r="AC1151">
            <v>0</v>
          </cell>
          <cell r="AD1151">
            <v>0</v>
          </cell>
          <cell r="AF1151">
            <v>0</v>
          </cell>
          <cell r="AG1151">
            <v>0</v>
          </cell>
          <cell r="AI1151">
            <v>0</v>
          </cell>
          <cell r="AJ1151">
            <v>0</v>
          </cell>
          <cell r="AL1151">
            <v>0</v>
          </cell>
          <cell r="AM1151">
            <v>0</v>
          </cell>
          <cell r="AO1151">
            <v>0</v>
          </cell>
          <cell r="AP1151">
            <v>0</v>
          </cell>
          <cell r="AR1151">
            <v>0</v>
          </cell>
          <cell r="AS1151">
            <v>0</v>
          </cell>
          <cell r="BF1151" t="str">
            <v>4940</v>
          </cell>
          <cell r="BG1151" t="str">
            <v>Z000</v>
          </cell>
          <cell r="BH1151" t="str">
            <v>GML</v>
          </cell>
        </row>
        <row r="1152">
          <cell r="K1152">
            <v>0</v>
          </cell>
          <cell r="L1152">
            <v>0</v>
          </cell>
          <cell r="N1152">
            <v>0</v>
          </cell>
          <cell r="O1152">
            <v>0</v>
          </cell>
          <cell r="Q1152">
            <v>0</v>
          </cell>
          <cell r="R1152">
            <v>0</v>
          </cell>
          <cell r="T1152">
            <v>0</v>
          </cell>
          <cell r="U1152">
            <v>0</v>
          </cell>
          <cell r="W1152">
            <v>0</v>
          </cell>
          <cell r="X1152">
            <v>0</v>
          </cell>
          <cell r="Z1152">
            <v>0</v>
          </cell>
          <cell r="AA1152">
            <v>0</v>
          </cell>
          <cell r="AC1152">
            <v>0</v>
          </cell>
          <cell r="AD1152">
            <v>0</v>
          </cell>
          <cell r="AF1152">
            <v>0</v>
          </cell>
          <cell r="AG1152">
            <v>0</v>
          </cell>
          <cell r="AI1152">
            <v>0</v>
          </cell>
          <cell r="AJ1152">
            <v>0</v>
          </cell>
          <cell r="AL1152">
            <v>0</v>
          </cell>
          <cell r="AM1152">
            <v>0</v>
          </cell>
          <cell r="AO1152">
            <v>0</v>
          </cell>
          <cell r="AP1152">
            <v>0</v>
          </cell>
          <cell r="AR1152">
            <v>0</v>
          </cell>
          <cell r="AS1152">
            <v>0</v>
          </cell>
          <cell r="BF1152" t="str">
            <v>4941</v>
          </cell>
          <cell r="BG1152" t="str">
            <v>Z000</v>
          </cell>
          <cell r="BH1152" t="str">
            <v>GML</v>
          </cell>
        </row>
        <row r="1153">
          <cell r="K1153">
            <v>0</v>
          </cell>
          <cell r="L1153">
            <v>0</v>
          </cell>
          <cell r="N1153">
            <v>0</v>
          </cell>
          <cell r="O1153">
            <v>0</v>
          </cell>
          <cell r="Q1153">
            <v>0</v>
          </cell>
          <cell r="R1153">
            <v>0</v>
          </cell>
          <cell r="T1153">
            <v>0</v>
          </cell>
          <cell r="U1153">
            <v>0</v>
          </cell>
          <cell r="W1153">
            <v>0</v>
          </cell>
          <cell r="X1153">
            <v>0</v>
          </cell>
          <cell r="Z1153">
            <v>0</v>
          </cell>
          <cell r="AA1153">
            <v>0</v>
          </cell>
          <cell r="AC1153">
            <v>0</v>
          </cell>
          <cell r="AD1153">
            <v>0</v>
          </cell>
          <cell r="AF1153">
            <v>0</v>
          </cell>
          <cell r="AG1153">
            <v>0</v>
          </cell>
          <cell r="AI1153">
            <v>0</v>
          </cell>
          <cell r="AJ1153">
            <v>0</v>
          </cell>
          <cell r="AL1153">
            <v>0</v>
          </cell>
          <cell r="AM1153">
            <v>0</v>
          </cell>
          <cell r="AO1153">
            <v>0</v>
          </cell>
          <cell r="AP1153">
            <v>0</v>
          </cell>
          <cell r="AR1153">
            <v>0</v>
          </cell>
          <cell r="AS1153">
            <v>0</v>
          </cell>
          <cell r="BF1153" t="str">
            <v>4942</v>
          </cell>
          <cell r="BG1153" t="str">
            <v>Z000</v>
          </cell>
          <cell r="BH1153" t="str">
            <v>GML</v>
          </cell>
        </row>
        <row r="1154">
          <cell r="K1154">
            <v>0</v>
          </cell>
          <cell r="L1154">
            <v>0</v>
          </cell>
          <cell r="N1154">
            <v>0</v>
          </cell>
          <cell r="O1154">
            <v>0</v>
          </cell>
          <cell r="Q1154">
            <v>0</v>
          </cell>
          <cell r="R1154">
            <v>0</v>
          </cell>
          <cell r="T1154">
            <v>0</v>
          </cell>
          <cell r="U1154">
            <v>0</v>
          </cell>
          <cell r="W1154">
            <v>0</v>
          </cell>
          <cell r="X1154">
            <v>0</v>
          </cell>
          <cell r="Z1154">
            <v>0</v>
          </cell>
          <cell r="AA1154">
            <v>0</v>
          </cell>
          <cell r="AC1154">
            <v>0</v>
          </cell>
          <cell r="AD1154">
            <v>0</v>
          </cell>
          <cell r="AF1154">
            <v>0</v>
          </cell>
          <cell r="AG1154">
            <v>0</v>
          </cell>
          <cell r="AI1154">
            <v>0</v>
          </cell>
          <cell r="AJ1154">
            <v>0</v>
          </cell>
          <cell r="AL1154">
            <v>0</v>
          </cell>
          <cell r="AM1154">
            <v>0</v>
          </cell>
          <cell r="AO1154">
            <v>0</v>
          </cell>
          <cell r="AP1154">
            <v>0</v>
          </cell>
          <cell r="AR1154">
            <v>0</v>
          </cell>
          <cell r="AS1154">
            <v>0</v>
          </cell>
          <cell r="BF1154" t="str">
            <v>4950</v>
          </cell>
          <cell r="BG1154" t="str">
            <v>Z000</v>
          </cell>
          <cell r="BH1154" t="str">
            <v>GML</v>
          </cell>
        </row>
        <row r="1155">
          <cell r="K1155">
            <v>0</v>
          </cell>
          <cell r="L1155">
            <v>0</v>
          </cell>
          <cell r="N1155">
            <v>0</v>
          </cell>
          <cell r="O1155">
            <v>0</v>
          </cell>
          <cell r="Q1155">
            <v>0</v>
          </cell>
          <cell r="R1155">
            <v>0</v>
          </cell>
          <cell r="T1155">
            <v>0</v>
          </cell>
          <cell r="U1155">
            <v>0</v>
          </cell>
          <cell r="W1155">
            <v>0</v>
          </cell>
          <cell r="X1155">
            <v>0</v>
          </cell>
          <cell r="Z1155">
            <v>0</v>
          </cell>
          <cell r="AA1155">
            <v>0</v>
          </cell>
          <cell r="AC1155">
            <v>0</v>
          </cell>
          <cell r="AD1155">
            <v>0</v>
          </cell>
          <cell r="AF1155">
            <v>0</v>
          </cell>
          <cell r="AG1155">
            <v>0</v>
          </cell>
          <cell r="AI1155">
            <v>0</v>
          </cell>
          <cell r="AJ1155">
            <v>0</v>
          </cell>
          <cell r="AL1155">
            <v>0</v>
          </cell>
          <cell r="AM1155">
            <v>0</v>
          </cell>
          <cell r="AO1155">
            <v>0</v>
          </cell>
          <cell r="AP1155">
            <v>0</v>
          </cell>
          <cell r="AR1155">
            <v>0</v>
          </cell>
          <cell r="AS1155">
            <v>0</v>
          </cell>
          <cell r="BF1155" t="str">
            <v>5100</v>
          </cell>
          <cell r="BG1155" t="str">
            <v>E001</v>
          </cell>
          <cell r="BH1155" t="str">
            <v>GML</v>
          </cell>
        </row>
        <row r="1156">
          <cell r="K1156">
            <v>0</v>
          </cell>
          <cell r="L1156">
            <v>0</v>
          </cell>
          <cell r="N1156">
            <v>0</v>
          </cell>
          <cell r="O1156">
            <v>0</v>
          </cell>
          <cell r="Q1156">
            <v>0</v>
          </cell>
          <cell r="R1156">
            <v>0</v>
          </cell>
          <cell r="T1156">
            <v>0</v>
          </cell>
          <cell r="U1156">
            <v>0</v>
          </cell>
          <cell r="W1156">
            <v>0</v>
          </cell>
          <cell r="X1156">
            <v>0</v>
          </cell>
          <cell r="Z1156">
            <v>0</v>
          </cell>
          <cell r="AA1156">
            <v>0</v>
          </cell>
          <cell r="AC1156">
            <v>0</v>
          </cell>
          <cell r="AD1156">
            <v>0</v>
          </cell>
          <cell r="AF1156">
            <v>0</v>
          </cell>
          <cell r="AG1156">
            <v>0</v>
          </cell>
          <cell r="AI1156">
            <v>0</v>
          </cell>
          <cell r="AJ1156">
            <v>0</v>
          </cell>
          <cell r="AL1156">
            <v>0</v>
          </cell>
          <cell r="AM1156">
            <v>0</v>
          </cell>
          <cell r="AO1156">
            <v>0</v>
          </cell>
          <cell r="AP1156">
            <v>0</v>
          </cell>
          <cell r="AR1156">
            <v>0</v>
          </cell>
          <cell r="AS1156">
            <v>0</v>
          </cell>
          <cell r="BF1156" t="str">
            <v>5100</v>
          </cell>
          <cell r="BG1156" t="str">
            <v>E002</v>
          </cell>
          <cell r="BH1156" t="str">
            <v>GML</v>
          </cell>
        </row>
        <row r="1157">
          <cell r="K1157">
            <v>0</v>
          </cell>
          <cell r="L1157">
            <v>0</v>
          </cell>
          <cell r="N1157">
            <v>0</v>
          </cell>
          <cell r="O1157">
            <v>0</v>
          </cell>
          <cell r="Q1157">
            <v>0</v>
          </cell>
          <cell r="R1157">
            <v>0</v>
          </cell>
          <cell r="T1157">
            <v>0</v>
          </cell>
          <cell r="U1157">
            <v>0</v>
          </cell>
          <cell r="W1157">
            <v>0</v>
          </cell>
          <cell r="X1157">
            <v>0</v>
          </cell>
          <cell r="Z1157">
            <v>0</v>
          </cell>
          <cell r="AA1157">
            <v>0</v>
          </cell>
          <cell r="AC1157">
            <v>0</v>
          </cell>
          <cell r="AD1157">
            <v>0</v>
          </cell>
          <cell r="AF1157">
            <v>0</v>
          </cell>
          <cell r="AG1157">
            <v>0</v>
          </cell>
          <cell r="AI1157">
            <v>0</v>
          </cell>
          <cell r="AJ1157">
            <v>0</v>
          </cell>
          <cell r="AL1157">
            <v>0</v>
          </cell>
          <cell r="AM1157">
            <v>0</v>
          </cell>
          <cell r="AO1157">
            <v>0</v>
          </cell>
          <cell r="AP1157">
            <v>0</v>
          </cell>
          <cell r="AR1157">
            <v>0</v>
          </cell>
          <cell r="AS1157">
            <v>0</v>
          </cell>
          <cell r="BF1157" t="str">
            <v>5200</v>
          </cell>
          <cell r="BG1157" t="str">
            <v>Z000</v>
          </cell>
          <cell r="BH1157" t="str">
            <v>GML</v>
          </cell>
        </row>
        <row r="1158">
          <cell r="K1158">
            <v>0</v>
          </cell>
          <cell r="L1158">
            <v>0</v>
          </cell>
          <cell r="N1158">
            <v>0</v>
          </cell>
          <cell r="O1158">
            <v>0</v>
          </cell>
          <cell r="Q1158">
            <v>0</v>
          </cell>
          <cell r="R1158">
            <v>0</v>
          </cell>
          <cell r="T1158">
            <v>0</v>
          </cell>
          <cell r="U1158">
            <v>0</v>
          </cell>
          <cell r="W1158">
            <v>0</v>
          </cell>
          <cell r="X1158">
            <v>0</v>
          </cell>
          <cell r="Z1158">
            <v>0</v>
          </cell>
          <cell r="AA1158">
            <v>0</v>
          </cell>
          <cell r="AC1158">
            <v>0</v>
          </cell>
          <cell r="AD1158">
            <v>0</v>
          </cell>
          <cell r="AF1158">
            <v>0</v>
          </cell>
          <cell r="AG1158">
            <v>0</v>
          </cell>
          <cell r="AI1158">
            <v>0</v>
          </cell>
          <cell r="AJ1158">
            <v>0</v>
          </cell>
          <cell r="AL1158">
            <v>0</v>
          </cell>
          <cell r="AM1158">
            <v>0</v>
          </cell>
          <cell r="AO1158">
            <v>0</v>
          </cell>
          <cell r="AP1158">
            <v>0</v>
          </cell>
          <cell r="AR1158">
            <v>0</v>
          </cell>
          <cell r="AS1158">
            <v>0</v>
          </cell>
          <cell r="BF1158" t="str">
            <v>5400</v>
          </cell>
          <cell r="BG1158" t="str">
            <v>F001</v>
          </cell>
          <cell r="BH1158" t="str">
            <v>GML</v>
          </cell>
        </row>
        <row r="1159">
          <cell r="K1159">
            <v>0</v>
          </cell>
          <cell r="L1159">
            <v>0</v>
          </cell>
          <cell r="N1159">
            <v>0</v>
          </cell>
          <cell r="O1159">
            <v>0</v>
          </cell>
          <cell r="Q1159">
            <v>0</v>
          </cell>
          <cell r="R1159">
            <v>0</v>
          </cell>
          <cell r="T1159">
            <v>0</v>
          </cell>
          <cell r="U1159">
            <v>0</v>
          </cell>
          <cell r="W1159">
            <v>0</v>
          </cell>
          <cell r="X1159">
            <v>0</v>
          </cell>
          <cell r="Z1159">
            <v>0</v>
          </cell>
          <cell r="AA1159">
            <v>0</v>
          </cell>
          <cell r="AC1159">
            <v>0</v>
          </cell>
          <cell r="AD1159">
            <v>0</v>
          </cell>
          <cell r="AF1159">
            <v>0</v>
          </cell>
          <cell r="AG1159">
            <v>0</v>
          </cell>
          <cell r="AI1159">
            <v>0</v>
          </cell>
          <cell r="AJ1159">
            <v>0</v>
          </cell>
          <cell r="AL1159">
            <v>0</v>
          </cell>
          <cell r="AM1159">
            <v>0</v>
          </cell>
          <cell r="AO1159">
            <v>0</v>
          </cell>
          <cell r="AP1159">
            <v>0</v>
          </cell>
          <cell r="AR1159">
            <v>0</v>
          </cell>
          <cell r="AS1159">
            <v>0</v>
          </cell>
          <cell r="BF1159" t="str">
            <v>5400</v>
          </cell>
          <cell r="BG1159" t="str">
            <v>F002</v>
          </cell>
          <cell r="BH1159" t="str">
            <v>GML</v>
          </cell>
        </row>
        <row r="1160">
          <cell r="K1160">
            <v>0</v>
          </cell>
          <cell r="L1160">
            <v>0</v>
          </cell>
          <cell r="N1160">
            <v>0</v>
          </cell>
          <cell r="O1160">
            <v>0</v>
          </cell>
          <cell r="Q1160">
            <v>0</v>
          </cell>
          <cell r="R1160">
            <v>0</v>
          </cell>
          <cell r="T1160">
            <v>0</v>
          </cell>
          <cell r="U1160">
            <v>0</v>
          </cell>
          <cell r="W1160">
            <v>0</v>
          </cell>
          <cell r="X1160">
            <v>0</v>
          </cell>
          <cell r="Z1160">
            <v>0</v>
          </cell>
          <cell r="AA1160">
            <v>0</v>
          </cell>
          <cell r="AC1160">
            <v>0</v>
          </cell>
          <cell r="AD1160">
            <v>0</v>
          </cell>
          <cell r="AF1160">
            <v>0</v>
          </cell>
          <cell r="AG1160">
            <v>0</v>
          </cell>
          <cell r="AI1160">
            <v>0</v>
          </cell>
          <cell r="AJ1160">
            <v>0</v>
          </cell>
          <cell r="AL1160">
            <v>0</v>
          </cell>
          <cell r="AM1160">
            <v>0</v>
          </cell>
          <cell r="AO1160">
            <v>0</v>
          </cell>
          <cell r="AP1160">
            <v>0</v>
          </cell>
          <cell r="AR1160">
            <v>0</v>
          </cell>
          <cell r="AS1160">
            <v>0</v>
          </cell>
          <cell r="BF1160" t="str">
            <v>5400</v>
          </cell>
          <cell r="BG1160" t="str">
            <v>F003</v>
          </cell>
          <cell r="BH1160" t="str">
            <v>GML</v>
          </cell>
        </row>
        <row r="1161">
          <cell r="K1161">
            <v>0</v>
          </cell>
          <cell r="L1161">
            <v>0</v>
          </cell>
          <cell r="N1161">
            <v>0</v>
          </cell>
          <cell r="O1161">
            <v>0</v>
          </cell>
          <cell r="Q1161">
            <v>0</v>
          </cell>
          <cell r="R1161">
            <v>0</v>
          </cell>
          <cell r="T1161">
            <v>0</v>
          </cell>
          <cell r="U1161">
            <v>0</v>
          </cell>
          <cell r="W1161">
            <v>0</v>
          </cell>
          <cell r="X1161">
            <v>0</v>
          </cell>
          <cell r="Z1161">
            <v>0</v>
          </cell>
          <cell r="AA1161">
            <v>0</v>
          </cell>
          <cell r="AC1161">
            <v>0</v>
          </cell>
          <cell r="AD1161">
            <v>0</v>
          </cell>
          <cell r="AF1161">
            <v>0</v>
          </cell>
          <cell r="AG1161">
            <v>0</v>
          </cell>
          <cell r="AI1161">
            <v>0</v>
          </cell>
          <cell r="AJ1161">
            <v>0</v>
          </cell>
          <cell r="AL1161">
            <v>0</v>
          </cell>
          <cell r="AM1161">
            <v>0</v>
          </cell>
          <cell r="AO1161">
            <v>0</v>
          </cell>
          <cell r="AP1161">
            <v>0</v>
          </cell>
          <cell r="AR1161">
            <v>0</v>
          </cell>
          <cell r="AS1161">
            <v>0</v>
          </cell>
          <cell r="BF1161" t="str">
            <v>5400</v>
          </cell>
          <cell r="BG1161" t="str">
            <v>F004</v>
          </cell>
          <cell r="BH1161" t="str">
            <v>GML</v>
          </cell>
        </row>
        <row r="1162">
          <cell r="K1162">
            <v>0</v>
          </cell>
          <cell r="L1162">
            <v>0</v>
          </cell>
          <cell r="N1162">
            <v>0</v>
          </cell>
          <cell r="O1162">
            <v>0</v>
          </cell>
          <cell r="Q1162">
            <v>0</v>
          </cell>
          <cell r="R1162">
            <v>0</v>
          </cell>
          <cell r="T1162">
            <v>0</v>
          </cell>
          <cell r="U1162">
            <v>0</v>
          </cell>
          <cell r="W1162">
            <v>0</v>
          </cell>
          <cell r="X1162">
            <v>0</v>
          </cell>
          <cell r="Z1162">
            <v>0</v>
          </cell>
          <cell r="AA1162">
            <v>0</v>
          </cell>
          <cell r="AC1162">
            <v>0</v>
          </cell>
          <cell r="AD1162">
            <v>0</v>
          </cell>
          <cell r="AF1162">
            <v>0</v>
          </cell>
          <cell r="AG1162">
            <v>0</v>
          </cell>
          <cell r="AI1162">
            <v>0</v>
          </cell>
          <cell r="AJ1162">
            <v>0</v>
          </cell>
          <cell r="AL1162">
            <v>0</v>
          </cell>
          <cell r="AM1162">
            <v>0</v>
          </cell>
          <cell r="AO1162">
            <v>0</v>
          </cell>
          <cell r="AP1162">
            <v>0</v>
          </cell>
          <cell r="AR1162">
            <v>0</v>
          </cell>
          <cell r="AS1162">
            <v>0</v>
          </cell>
          <cell r="BF1162" t="str">
            <v>5400</v>
          </cell>
          <cell r="BG1162" t="str">
            <v>F005</v>
          </cell>
          <cell r="BH1162" t="str">
            <v>GML</v>
          </cell>
        </row>
        <row r="1163">
          <cell r="K1163">
            <v>0</v>
          </cell>
          <cell r="L1163">
            <v>0</v>
          </cell>
          <cell r="N1163">
            <v>0</v>
          </cell>
          <cell r="O1163">
            <v>0</v>
          </cell>
          <cell r="Q1163">
            <v>0</v>
          </cell>
          <cell r="R1163">
            <v>0</v>
          </cell>
          <cell r="T1163">
            <v>0</v>
          </cell>
          <cell r="U1163">
            <v>0</v>
          </cell>
          <cell r="W1163">
            <v>0</v>
          </cell>
          <cell r="X1163">
            <v>0</v>
          </cell>
          <cell r="Z1163">
            <v>0</v>
          </cell>
          <cell r="AA1163">
            <v>0</v>
          </cell>
          <cell r="AC1163">
            <v>0</v>
          </cell>
          <cell r="AD1163">
            <v>0</v>
          </cell>
          <cell r="AF1163">
            <v>0</v>
          </cell>
          <cell r="AG1163">
            <v>0</v>
          </cell>
          <cell r="AI1163">
            <v>0</v>
          </cell>
          <cell r="AJ1163">
            <v>0</v>
          </cell>
          <cell r="AL1163">
            <v>0</v>
          </cell>
          <cell r="AM1163">
            <v>0</v>
          </cell>
          <cell r="AO1163">
            <v>0</v>
          </cell>
          <cell r="AP1163">
            <v>0</v>
          </cell>
          <cell r="AR1163">
            <v>0</v>
          </cell>
          <cell r="AS1163">
            <v>0</v>
          </cell>
          <cell r="BF1163" t="str">
            <v>5400</v>
          </cell>
          <cell r="BG1163" t="str">
            <v>F006</v>
          </cell>
          <cell r="BH1163" t="str">
            <v>GML</v>
          </cell>
        </row>
        <row r="1164">
          <cell r="K1164">
            <v>0</v>
          </cell>
          <cell r="L1164">
            <v>0</v>
          </cell>
          <cell r="N1164">
            <v>0</v>
          </cell>
          <cell r="O1164">
            <v>0</v>
          </cell>
          <cell r="Q1164">
            <v>0</v>
          </cell>
          <cell r="R1164">
            <v>0</v>
          </cell>
          <cell r="T1164">
            <v>0</v>
          </cell>
          <cell r="U1164">
            <v>0</v>
          </cell>
          <cell r="W1164">
            <v>0</v>
          </cell>
          <cell r="X1164">
            <v>0</v>
          </cell>
          <cell r="Z1164">
            <v>0</v>
          </cell>
          <cell r="AA1164">
            <v>0</v>
          </cell>
          <cell r="AC1164">
            <v>0</v>
          </cell>
          <cell r="AD1164">
            <v>0</v>
          </cell>
          <cell r="AF1164">
            <v>0</v>
          </cell>
          <cell r="AG1164">
            <v>0</v>
          </cell>
          <cell r="AI1164">
            <v>0</v>
          </cell>
          <cell r="AJ1164">
            <v>0</v>
          </cell>
          <cell r="AL1164">
            <v>0</v>
          </cell>
          <cell r="AM1164">
            <v>0</v>
          </cell>
          <cell r="AO1164">
            <v>0</v>
          </cell>
          <cell r="AP1164">
            <v>0</v>
          </cell>
          <cell r="AR1164">
            <v>0</v>
          </cell>
          <cell r="AS1164">
            <v>0</v>
          </cell>
          <cell r="BF1164" t="str">
            <v>5400</v>
          </cell>
          <cell r="BG1164" t="str">
            <v>F007</v>
          </cell>
          <cell r="BH1164" t="str">
            <v>GML</v>
          </cell>
        </row>
        <row r="1165">
          <cell r="K1165">
            <v>0</v>
          </cell>
          <cell r="L1165">
            <v>0</v>
          </cell>
          <cell r="N1165">
            <v>0</v>
          </cell>
          <cell r="O1165">
            <v>0</v>
          </cell>
          <cell r="Q1165">
            <v>0</v>
          </cell>
          <cell r="R1165">
            <v>0</v>
          </cell>
          <cell r="T1165">
            <v>0</v>
          </cell>
          <cell r="U1165">
            <v>0</v>
          </cell>
          <cell r="W1165">
            <v>0</v>
          </cell>
          <cell r="X1165">
            <v>0</v>
          </cell>
          <cell r="Z1165">
            <v>0</v>
          </cell>
          <cell r="AA1165">
            <v>0</v>
          </cell>
          <cell r="AC1165">
            <v>0</v>
          </cell>
          <cell r="AD1165">
            <v>0</v>
          </cell>
          <cell r="AF1165">
            <v>0</v>
          </cell>
          <cell r="AG1165">
            <v>0</v>
          </cell>
          <cell r="AI1165">
            <v>0</v>
          </cell>
          <cell r="AJ1165">
            <v>0</v>
          </cell>
          <cell r="AL1165">
            <v>0</v>
          </cell>
          <cell r="AM1165">
            <v>0</v>
          </cell>
          <cell r="AO1165">
            <v>0</v>
          </cell>
          <cell r="AP1165">
            <v>0</v>
          </cell>
          <cell r="AR1165">
            <v>0</v>
          </cell>
          <cell r="AS1165">
            <v>0</v>
          </cell>
          <cell r="BF1165" t="str">
            <v>5400</v>
          </cell>
          <cell r="BG1165" t="str">
            <v>F008</v>
          </cell>
          <cell r="BH1165" t="str">
            <v>GML</v>
          </cell>
        </row>
        <row r="1166">
          <cell r="K1166">
            <v>0</v>
          </cell>
          <cell r="L1166">
            <v>0</v>
          </cell>
          <cell r="N1166">
            <v>0</v>
          </cell>
          <cell r="O1166">
            <v>0</v>
          </cell>
          <cell r="Q1166">
            <v>0</v>
          </cell>
          <cell r="R1166">
            <v>0</v>
          </cell>
          <cell r="T1166">
            <v>0</v>
          </cell>
          <cell r="U1166">
            <v>0</v>
          </cell>
          <cell r="W1166">
            <v>0</v>
          </cell>
          <cell r="X1166">
            <v>0</v>
          </cell>
          <cell r="Z1166">
            <v>0</v>
          </cell>
          <cell r="AA1166">
            <v>0</v>
          </cell>
          <cell r="AC1166">
            <v>0</v>
          </cell>
          <cell r="AD1166">
            <v>0</v>
          </cell>
          <cell r="AF1166">
            <v>0</v>
          </cell>
          <cell r="AG1166">
            <v>0</v>
          </cell>
          <cell r="AI1166">
            <v>0</v>
          </cell>
          <cell r="AJ1166">
            <v>0</v>
          </cell>
          <cell r="AL1166">
            <v>0</v>
          </cell>
          <cell r="AM1166">
            <v>0</v>
          </cell>
          <cell r="AO1166">
            <v>0</v>
          </cell>
          <cell r="AP1166">
            <v>0</v>
          </cell>
          <cell r="AR1166">
            <v>0</v>
          </cell>
          <cell r="AS1166">
            <v>0</v>
          </cell>
          <cell r="BF1166" t="str">
            <v>5400</v>
          </cell>
          <cell r="BG1166" t="str">
            <v>F009</v>
          </cell>
          <cell r="BH1166" t="str">
            <v>GML</v>
          </cell>
        </row>
        <row r="1167">
          <cell r="K1167">
            <v>0</v>
          </cell>
          <cell r="L1167">
            <v>0</v>
          </cell>
          <cell r="N1167">
            <v>0</v>
          </cell>
          <cell r="O1167">
            <v>0</v>
          </cell>
          <cell r="Q1167">
            <v>0</v>
          </cell>
          <cell r="R1167">
            <v>0</v>
          </cell>
          <cell r="T1167">
            <v>0</v>
          </cell>
          <cell r="U1167">
            <v>0</v>
          </cell>
          <cell r="W1167">
            <v>0</v>
          </cell>
          <cell r="X1167">
            <v>0</v>
          </cell>
          <cell r="Z1167">
            <v>0</v>
          </cell>
          <cell r="AA1167">
            <v>0</v>
          </cell>
          <cell r="AC1167">
            <v>0</v>
          </cell>
          <cell r="AD1167">
            <v>0</v>
          </cell>
          <cell r="AF1167">
            <v>0</v>
          </cell>
          <cell r="AG1167">
            <v>0</v>
          </cell>
          <cell r="AI1167">
            <v>0</v>
          </cell>
          <cell r="AJ1167">
            <v>0</v>
          </cell>
          <cell r="AL1167">
            <v>0</v>
          </cell>
          <cell r="AM1167">
            <v>0</v>
          </cell>
          <cell r="AO1167">
            <v>0</v>
          </cell>
          <cell r="AP1167">
            <v>0</v>
          </cell>
          <cell r="AR1167">
            <v>0</v>
          </cell>
          <cell r="AS1167">
            <v>0</v>
          </cell>
          <cell r="BF1167" t="str">
            <v>5400</v>
          </cell>
          <cell r="BG1167" t="str">
            <v>F010</v>
          </cell>
          <cell r="BH1167" t="str">
            <v>GML</v>
          </cell>
        </row>
        <row r="1168">
          <cell r="K1168">
            <v>0</v>
          </cell>
          <cell r="L1168">
            <v>0</v>
          </cell>
          <cell r="N1168">
            <v>0</v>
          </cell>
          <cell r="O1168">
            <v>0</v>
          </cell>
          <cell r="Q1168">
            <v>0</v>
          </cell>
          <cell r="R1168">
            <v>0</v>
          </cell>
          <cell r="T1168">
            <v>0</v>
          </cell>
          <cell r="U1168">
            <v>0</v>
          </cell>
          <cell r="W1168">
            <v>0</v>
          </cell>
          <cell r="X1168">
            <v>0</v>
          </cell>
          <cell r="Z1168">
            <v>0</v>
          </cell>
          <cell r="AA1168">
            <v>0</v>
          </cell>
          <cell r="AC1168">
            <v>0</v>
          </cell>
          <cell r="AD1168">
            <v>0</v>
          </cell>
          <cell r="AF1168">
            <v>0</v>
          </cell>
          <cell r="AG1168">
            <v>0</v>
          </cell>
          <cell r="AI1168">
            <v>0</v>
          </cell>
          <cell r="AJ1168">
            <v>0</v>
          </cell>
          <cell r="AL1168">
            <v>0</v>
          </cell>
          <cell r="AM1168">
            <v>0</v>
          </cell>
          <cell r="AO1168">
            <v>0</v>
          </cell>
          <cell r="AP1168">
            <v>0</v>
          </cell>
          <cell r="AR1168">
            <v>0</v>
          </cell>
          <cell r="AS1168">
            <v>0</v>
          </cell>
          <cell r="BF1168" t="str">
            <v>5400</v>
          </cell>
          <cell r="BG1168" t="str">
            <v>F011</v>
          </cell>
          <cell r="BH1168" t="str">
            <v>GML</v>
          </cell>
        </row>
        <row r="1169">
          <cell r="K1169">
            <v>0</v>
          </cell>
          <cell r="L1169">
            <v>0</v>
          </cell>
          <cell r="N1169">
            <v>0</v>
          </cell>
          <cell r="O1169">
            <v>0</v>
          </cell>
          <cell r="Q1169">
            <v>0</v>
          </cell>
          <cell r="R1169">
            <v>0</v>
          </cell>
          <cell r="T1169">
            <v>0</v>
          </cell>
          <cell r="U1169">
            <v>0</v>
          </cell>
          <cell r="W1169">
            <v>0</v>
          </cell>
          <cell r="X1169">
            <v>0</v>
          </cell>
          <cell r="Z1169">
            <v>0</v>
          </cell>
          <cell r="AA1169">
            <v>0</v>
          </cell>
          <cell r="AC1169">
            <v>0</v>
          </cell>
          <cell r="AD1169">
            <v>0</v>
          </cell>
          <cell r="AF1169">
            <v>0</v>
          </cell>
          <cell r="AG1169">
            <v>0</v>
          </cell>
          <cell r="AI1169">
            <v>0</v>
          </cell>
          <cell r="AJ1169">
            <v>0</v>
          </cell>
          <cell r="AL1169">
            <v>0</v>
          </cell>
          <cell r="AM1169">
            <v>0</v>
          </cell>
          <cell r="AO1169">
            <v>0</v>
          </cell>
          <cell r="AP1169">
            <v>0</v>
          </cell>
          <cell r="AR1169">
            <v>0</v>
          </cell>
          <cell r="AS1169">
            <v>0</v>
          </cell>
          <cell r="BF1169" t="str">
            <v>5400</v>
          </cell>
          <cell r="BG1169" t="str">
            <v>F012</v>
          </cell>
          <cell r="BH1169" t="str">
            <v>GML</v>
          </cell>
        </row>
        <row r="1170">
          <cell r="K1170">
            <v>0</v>
          </cell>
          <cell r="L1170">
            <v>0</v>
          </cell>
          <cell r="N1170">
            <v>0</v>
          </cell>
          <cell r="O1170">
            <v>0</v>
          </cell>
          <cell r="Q1170">
            <v>0</v>
          </cell>
          <cell r="R1170">
            <v>0</v>
          </cell>
          <cell r="T1170">
            <v>0</v>
          </cell>
          <cell r="U1170">
            <v>0</v>
          </cell>
          <cell r="W1170">
            <v>0</v>
          </cell>
          <cell r="X1170">
            <v>0</v>
          </cell>
          <cell r="Z1170">
            <v>0</v>
          </cell>
          <cell r="AA1170">
            <v>0</v>
          </cell>
          <cell r="AC1170">
            <v>0</v>
          </cell>
          <cell r="AD1170">
            <v>0</v>
          </cell>
          <cell r="AF1170">
            <v>0</v>
          </cell>
          <cell r="AG1170">
            <v>0</v>
          </cell>
          <cell r="AI1170">
            <v>0</v>
          </cell>
          <cell r="AJ1170">
            <v>0</v>
          </cell>
          <cell r="AL1170">
            <v>0</v>
          </cell>
          <cell r="AM1170">
            <v>0</v>
          </cell>
          <cell r="AO1170">
            <v>0</v>
          </cell>
          <cell r="AP1170">
            <v>0</v>
          </cell>
          <cell r="AR1170">
            <v>0</v>
          </cell>
          <cell r="AS1170">
            <v>0</v>
          </cell>
          <cell r="BF1170" t="str">
            <v>5400</v>
          </cell>
          <cell r="BG1170" t="str">
            <v>F013</v>
          </cell>
          <cell r="BH1170" t="str">
            <v>GML</v>
          </cell>
        </row>
        <row r="1171">
          <cell r="K1171">
            <v>0</v>
          </cell>
          <cell r="L1171">
            <v>0</v>
          </cell>
          <cell r="N1171">
            <v>0</v>
          </cell>
          <cell r="O1171">
            <v>0</v>
          </cell>
          <cell r="Q1171">
            <v>0</v>
          </cell>
          <cell r="R1171">
            <v>0</v>
          </cell>
          <cell r="T1171">
            <v>0</v>
          </cell>
          <cell r="U1171">
            <v>0</v>
          </cell>
          <cell r="W1171">
            <v>0</v>
          </cell>
          <cell r="X1171">
            <v>0</v>
          </cell>
          <cell r="Z1171">
            <v>0</v>
          </cell>
          <cell r="AA1171">
            <v>0</v>
          </cell>
          <cell r="AC1171">
            <v>0</v>
          </cell>
          <cell r="AD1171">
            <v>0</v>
          </cell>
          <cell r="AF1171">
            <v>0</v>
          </cell>
          <cell r="AG1171">
            <v>0</v>
          </cell>
          <cell r="AI1171">
            <v>0</v>
          </cell>
          <cell r="AJ1171">
            <v>0</v>
          </cell>
          <cell r="AL1171">
            <v>0</v>
          </cell>
          <cell r="AM1171">
            <v>0</v>
          </cell>
          <cell r="AO1171">
            <v>0</v>
          </cell>
          <cell r="AP1171">
            <v>0</v>
          </cell>
          <cell r="AR1171">
            <v>0</v>
          </cell>
          <cell r="AS1171">
            <v>0</v>
          </cell>
          <cell r="BF1171" t="str">
            <v>5400</v>
          </cell>
          <cell r="BG1171" t="str">
            <v>F014</v>
          </cell>
          <cell r="BH1171" t="str">
            <v>GML</v>
          </cell>
        </row>
        <row r="1172">
          <cell r="K1172">
            <v>0</v>
          </cell>
          <cell r="L1172">
            <v>0</v>
          </cell>
          <cell r="N1172">
            <v>0</v>
          </cell>
          <cell r="O1172">
            <v>0</v>
          </cell>
          <cell r="Q1172">
            <v>0</v>
          </cell>
          <cell r="R1172">
            <v>0</v>
          </cell>
          <cell r="T1172">
            <v>0</v>
          </cell>
          <cell r="U1172">
            <v>0</v>
          </cell>
          <cell r="W1172">
            <v>0</v>
          </cell>
          <cell r="X1172">
            <v>0</v>
          </cell>
          <cell r="Z1172">
            <v>0</v>
          </cell>
          <cell r="AA1172">
            <v>0</v>
          </cell>
          <cell r="AC1172">
            <v>0</v>
          </cell>
          <cell r="AD1172">
            <v>0</v>
          </cell>
          <cell r="AF1172">
            <v>0</v>
          </cell>
          <cell r="AG1172">
            <v>0</v>
          </cell>
          <cell r="AI1172">
            <v>0</v>
          </cell>
          <cell r="AJ1172">
            <v>0</v>
          </cell>
          <cell r="AL1172">
            <v>0</v>
          </cell>
          <cell r="AM1172">
            <v>0</v>
          </cell>
          <cell r="AO1172">
            <v>0</v>
          </cell>
          <cell r="AP1172">
            <v>0</v>
          </cell>
          <cell r="AR1172">
            <v>0</v>
          </cell>
          <cell r="AS1172">
            <v>0</v>
          </cell>
          <cell r="BF1172" t="str">
            <v>5400</v>
          </cell>
          <cell r="BG1172" t="str">
            <v>F015</v>
          </cell>
          <cell r="BH1172" t="str">
            <v>GML</v>
          </cell>
        </row>
        <row r="1173">
          <cell r="K1173">
            <v>0</v>
          </cell>
          <cell r="L1173">
            <v>0</v>
          </cell>
          <cell r="N1173">
            <v>0</v>
          </cell>
          <cell r="O1173">
            <v>0</v>
          </cell>
          <cell r="Q1173">
            <v>0</v>
          </cell>
          <cell r="R1173">
            <v>0</v>
          </cell>
          <cell r="T1173">
            <v>0</v>
          </cell>
          <cell r="U1173">
            <v>0</v>
          </cell>
          <cell r="W1173">
            <v>0</v>
          </cell>
          <cell r="X1173">
            <v>0</v>
          </cell>
          <cell r="Z1173">
            <v>0</v>
          </cell>
          <cell r="AA1173">
            <v>0</v>
          </cell>
          <cell r="AC1173">
            <v>0</v>
          </cell>
          <cell r="AD1173">
            <v>0</v>
          </cell>
          <cell r="AF1173">
            <v>0</v>
          </cell>
          <cell r="AG1173">
            <v>0</v>
          </cell>
          <cell r="AI1173">
            <v>0</v>
          </cell>
          <cell r="AJ1173">
            <v>0</v>
          </cell>
          <cell r="AL1173">
            <v>0</v>
          </cell>
          <cell r="AM1173">
            <v>0</v>
          </cell>
          <cell r="AO1173">
            <v>0</v>
          </cell>
          <cell r="AP1173">
            <v>0</v>
          </cell>
          <cell r="AR1173">
            <v>0</v>
          </cell>
          <cell r="AS1173">
            <v>0</v>
          </cell>
          <cell r="BF1173" t="str">
            <v>5400</v>
          </cell>
          <cell r="BG1173" t="str">
            <v>F016</v>
          </cell>
          <cell r="BH1173" t="str">
            <v>GML</v>
          </cell>
        </row>
        <row r="1174">
          <cell r="K1174">
            <v>0</v>
          </cell>
          <cell r="L1174">
            <v>0</v>
          </cell>
          <cell r="N1174">
            <v>0</v>
          </cell>
          <cell r="O1174">
            <v>0</v>
          </cell>
          <cell r="Q1174">
            <v>0</v>
          </cell>
          <cell r="R1174">
            <v>0</v>
          </cell>
          <cell r="T1174">
            <v>0</v>
          </cell>
          <cell r="U1174">
            <v>0</v>
          </cell>
          <cell r="W1174">
            <v>0</v>
          </cell>
          <cell r="X1174">
            <v>0</v>
          </cell>
          <cell r="Z1174">
            <v>0</v>
          </cell>
          <cell r="AA1174">
            <v>0</v>
          </cell>
          <cell r="AC1174">
            <v>0</v>
          </cell>
          <cell r="AD1174">
            <v>0</v>
          </cell>
          <cell r="AF1174">
            <v>0</v>
          </cell>
          <cell r="AG1174">
            <v>0</v>
          </cell>
          <cell r="AI1174">
            <v>0</v>
          </cell>
          <cell r="AJ1174">
            <v>0</v>
          </cell>
          <cell r="AL1174">
            <v>0</v>
          </cell>
          <cell r="AM1174">
            <v>0</v>
          </cell>
          <cell r="AO1174">
            <v>0</v>
          </cell>
          <cell r="AP1174">
            <v>0</v>
          </cell>
          <cell r="AR1174">
            <v>0</v>
          </cell>
          <cell r="AS1174">
            <v>0</v>
          </cell>
          <cell r="BF1174" t="str">
            <v>5400</v>
          </cell>
          <cell r="BG1174" t="str">
            <v>F017</v>
          </cell>
          <cell r="BH1174" t="str">
            <v>GML</v>
          </cell>
        </row>
        <row r="1175">
          <cell r="K1175">
            <v>0</v>
          </cell>
          <cell r="L1175">
            <v>0</v>
          </cell>
          <cell r="N1175">
            <v>0</v>
          </cell>
          <cell r="O1175">
            <v>0</v>
          </cell>
          <cell r="Q1175">
            <v>0</v>
          </cell>
          <cell r="R1175">
            <v>0</v>
          </cell>
          <cell r="T1175">
            <v>0</v>
          </cell>
          <cell r="U1175">
            <v>0</v>
          </cell>
          <cell r="W1175">
            <v>0</v>
          </cell>
          <cell r="X1175">
            <v>0</v>
          </cell>
          <cell r="Z1175">
            <v>0</v>
          </cell>
          <cell r="AA1175">
            <v>0</v>
          </cell>
          <cell r="AC1175">
            <v>0</v>
          </cell>
          <cell r="AD1175">
            <v>0</v>
          </cell>
          <cell r="AF1175">
            <v>0</v>
          </cell>
          <cell r="AG1175">
            <v>0</v>
          </cell>
          <cell r="AI1175">
            <v>0</v>
          </cell>
          <cell r="AJ1175">
            <v>0</v>
          </cell>
          <cell r="AL1175">
            <v>0</v>
          </cell>
          <cell r="AM1175">
            <v>0</v>
          </cell>
          <cell r="AO1175">
            <v>0</v>
          </cell>
          <cell r="AP1175">
            <v>0</v>
          </cell>
          <cell r="AR1175">
            <v>0</v>
          </cell>
          <cell r="AS1175">
            <v>0</v>
          </cell>
          <cell r="BF1175" t="str">
            <v>5400</v>
          </cell>
          <cell r="BG1175" t="str">
            <v>F018</v>
          </cell>
          <cell r="BH1175" t="str">
            <v>GML</v>
          </cell>
        </row>
        <row r="1176">
          <cell r="K1176">
            <v>0</v>
          </cell>
          <cell r="L1176">
            <v>0</v>
          </cell>
          <cell r="N1176">
            <v>0</v>
          </cell>
          <cell r="O1176">
            <v>0</v>
          </cell>
          <cell r="Q1176">
            <v>0</v>
          </cell>
          <cell r="R1176">
            <v>0</v>
          </cell>
          <cell r="T1176">
            <v>0</v>
          </cell>
          <cell r="U1176">
            <v>0</v>
          </cell>
          <cell r="W1176">
            <v>0</v>
          </cell>
          <cell r="X1176">
            <v>0</v>
          </cell>
          <cell r="Z1176">
            <v>0</v>
          </cell>
          <cell r="AA1176">
            <v>0</v>
          </cell>
          <cell r="AC1176">
            <v>0</v>
          </cell>
          <cell r="AD1176">
            <v>0</v>
          </cell>
          <cell r="AF1176">
            <v>0</v>
          </cell>
          <cell r="AG1176">
            <v>0</v>
          </cell>
          <cell r="AI1176">
            <v>0</v>
          </cell>
          <cell r="AJ1176">
            <v>0</v>
          </cell>
          <cell r="AL1176">
            <v>0</v>
          </cell>
          <cell r="AM1176">
            <v>0</v>
          </cell>
          <cell r="AO1176">
            <v>0</v>
          </cell>
          <cell r="AP1176">
            <v>0</v>
          </cell>
          <cell r="AR1176">
            <v>0</v>
          </cell>
          <cell r="AS1176">
            <v>0</v>
          </cell>
          <cell r="BF1176" t="str">
            <v>5400</v>
          </cell>
          <cell r="BG1176" t="str">
            <v>F019</v>
          </cell>
          <cell r="BH1176" t="str">
            <v>GML</v>
          </cell>
        </row>
        <row r="1177">
          <cell r="K1177">
            <v>0</v>
          </cell>
          <cell r="L1177">
            <v>0</v>
          </cell>
          <cell r="N1177">
            <v>0</v>
          </cell>
          <cell r="O1177">
            <v>0</v>
          </cell>
          <cell r="Q1177">
            <v>0</v>
          </cell>
          <cell r="R1177">
            <v>0</v>
          </cell>
          <cell r="T1177">
            <v>0</v>
          </cell>
          <cell r="U1177">
            <v>0</v>
          </cell>
          <cell r="W1177">
            <v>0</v>
          </cell>
          <cell r="X1177">
            <v>0</v>
          </cell>
          <cell r="Z1177">
            <v>0</v>
          </cell>
          <cell r="AA1177">
            <v>0</v>
          </cell>
          <cell r="AC1177">
            <v>0</v>
          </cell>
          <cell r="AD1177">
            <v>0</v>
          </cell>
          <cell r="AF1177">
            <v>0</v>
          </cell>
          <cell r="AG1177">
            <v>0</v>
          </cell>
          <cell r="AI1177">
            <v>0</v>
          </cell>
          <cell r="AJ1177">
            <v>0</v>
          </cell>
          <cell r="AL1177">
            <v>0</v>
          </cell>
          <cell r="AM1177">
            <v>0</v>
          </cell>
          <cell r="AO1177">
            <v>0</v>
          </cell>
          <cell r="AP1177">
            <v>0</v>
          </cell>
          <cell r="AR1177">
            <v>0</v>
          </cell>
          <cell r="AS1177">
            <v>0</v>
          </cell>
          <cell r="BF1177" t="str">
            <v>5400</v>
          </cell>
          <cell r="BG1177" t="str">
            <v>F020</v>
          </cell>
          <cell r="BH1177" t="str">
            <v>GML</v>
          </cell>
        </row>
        <row r="1178">
          <cell r="K1178">
            <v>72224085.170000032</v>
          </cell>
          <cell r="L1178">
            <v>0</v>
          </cell>
          <cell r="N1178">
            <v>90743835.840000033</v>
          </cell>
          <cell r="O1178">
            <v>0</v>
          </cell>
          <cell r="Q1178">
            <v>89351040.080000043</v>
          </cell>
          <cell r="R1178">
            <v>0</v>
          </cell>
          <cell r="T1178">
            <v>49675717.670000076</v>
          </cell>
          <cell r="U1178">
            <v>0</v>
          </cell>
          <cell r="W1178">
            <v>118142808.88999999</v>
          </cell>
          <cell r="X1178">
            <v>0</v>
          </cell>
          <cell r="Z1178">
            <v>12244189.539999962</v>
          </cell>
          <cell r="AA1178">
            <v>0</v>
          </cell>
          <cell r="AC1178">
            <v>12049524.139999986</v>
          </cell>
          <cell r="AD1178">
            <v>0</v>
          </cell>
          <cell r="AF1178">
            <v>17455994.090000033</v>
          </cell>
          <cell r="AG1178">
            <v>0</v>
          </cell>
          <cell r="AI1178">
            <v>12821424.929999948</v>
          </cell>
          <cell r="AJ1178">
            <v>0</v>
          </cell>
          <cell r="AL1178">
            <v>13508724.690000057</v>
          </cell>
          <cell r="AM1178">
            <v>0</v>
          </cell>
          <cell r="AO1178">
            <v>13959015.50999999</v>
          </cell>
          <cell r="AP1178">
            <v>0</v>
          </cell>
          <cell r="AR1178">
            <v>8968170.7000000477</v>
          </cell>
          <cell r="AS1178">
            <v>0</v>
          </cell>
          <cell r="BF1178" t="str">
            <v>5500</v>
          </cell>
          <cell r="BG1178" t="str">
            <v>G001</v>
          </cell>
          <cell r="BH1178" t="str">
            <v>GML</v>
          </cell>
        </row>
        <row r="1179">
          <cell r="K1179">
            <v>0</v>
          </cell>
          <cell r="L1179">
            <v>0</v>
          </cell>
          <cell r="N1179">
            <v>0</v>
          </cell>
          <cell r="O1179">
            <v>0</v>
          </cell>
          <cell r="Q1179">
            <v>0</v>
          </cell>
          <cell r="R1179">
            <v>0</v>
          </cell>
          <cell r="T1179">
            <v>0</v>
          </cell>
          <cell r="U1179">
            <v>0</v>
          </cell>
          <cell r="W1179">
            <v>0</v>
          </cell>
          <cell r="X1179">
            <v>0</v>
          </cell>
          <cell r="Z1179">
            <v>0</v>
          </cell>
          <cell r="AA1179">
            <v>0</v>
          </cell>
          <cell r="AC1179">
            <v>0</v>
          </cell>
          <cell r="AD1179">
            <v>0</v>
          </cell>
          <cell r="AF1179">
            <v>0</v>
          </cell>
          <cell r="AG1179">
            <v>0</v>
          </cell>
          <cell r="AI1179">
            <v>0</v>
          </cell>
          <cell r="AJ1179">
            <v>0</v>
          </cell>
          <cell r="AL1179">
            <v>0</v>
          </cell>
          <cell r="AM1179">
            <v>0</v>
          </cell>
          <cell r="AO1179">
            <v>0</v>
          </cell>
          <cell r="AP1179">
            <v>0</v>
          </cell>
          <cell r="AR1179">
            <v>0</v>
          </cell>
          <cell r="AS1179">
            <v>0</v>
          </cell>
          <cell r="BF1179" t="str">
            <v>5500</v>
          </cell>
          <cell r="BG1179" t="str">
            <v>G002</v>
          </cell>
          <cell r="BH1179" t="str">
            <v>GML</v>
          </cell>
        </row>
        <row r="1180">
          <cell r="K1180">
            <v>0</v>
          </cell>
          <cell r="L1180">
            <v>0</v>
          </cell>
          <cell r="N1180">
            <v>0</v>
          </cell>
          <cell r="O1180">
            <v>0</v>
          </cell>
          <cell r="Q1180">
            <v>0</v>
          </cell>
          <cell r="R1180">
            <v>0</v>
          </cell>
          <cell r="T1180">
            <v>0</v>
          </cell>
          <cell r="U1180">
            <v>0</v>
          </cell>
          <cell r="W1180">
            <v>0</v>
          </cell>
          <cell r="X1180">
            <v>0</v>
          </cell>
          <cell r="Z1180">
            <v>0</v>
          </cell>
          <cell r="AA1180">
            <v>0</v>
          </cell>
          <cell r="AC1180">
            <v>0</v>
          </cell>
          <cell r="AD1180">
            <v>0</v>
          </cell>
          <cell r="AF1180">
            <v>0</v>
          </cell>
          <cell r="AG1180">
            <v>0</v>
          </cell>
          <cell r="AI1180">
            <v>0</v>
          </cell>
          <cell r="AJ1180">
            <v>0</v>
          </cell>
          <cell r="AL1180">
            <v>0</v>
          </cell>
          <cell r="AM1180">
            <v>0</v>
          </cell>
          <cell r="AO1180">
            <v>0</v>
          </cell>
          <cell r="AP1180">
            <v>0</v>
          </cell>
          <cell r="AR1180">
            <v>0</v>
          </cell>
          <cell r="AS1180">
            <v>0</v>
          </cell>
          <cell r="BF1180" t="str">
            <v>5500</v>
          </cell>
          <cell r="BG1180" t="str">
            <v>G003</v>
          </cell>
          <cell r="BH1180" t="str">
            <v>GML</v>
          </cell>
        </row>
        <row r="1181">
          <cell r="K1181">
            <v>0</v>
          </cell>
          <cell r="L1181">
            <v>0</v>
          </cell>
          <cell r="N1181">
            <v>0</v>
          </cell>
          <cell r="O1181">
            <v>0</v>
          </cell>
          <cell r="Q1181">
            <v>0</v>
          </cell>
          <cell r="R1181">
            <v>0</v>
          </cell>
          <cell r="T1181">
            <v>0</v>
          </cell>
          <cell r="U1181">
            <v>0</v>
          </cell>
          <cell r="W1181">
            <v>0</v>
          </cell>
          <cell r="X1181">
            <v>0</v>
          </cell>
          <cell r="Z1181">
            <v>0</v>
          </cell>
          <cell r="AA1181">
            <v>0</v>
          </cell>
          <cell r="AC1181">
            <v>0</v>
          </cell>
          <cell r="AD1181">
            <v>0</v>
          </cell>
          <cell r="AF1181">
            <v>0</v>
          </cell>
          <cell r="AG1181">
            <v>0</v>
          </cell>
          <cell r="AI1181">
            <v>0</v>
          </cell>
          <cell r="AJ1181">
            <v>0</v>
          </cell>
          <cell r="AL1181">
            <v>0</v>
          </cell>
          <cell r="AM1181">
            <v>0</v>
          </cell>
          <cell r="AO1181">
            <v>0</v>
          </cell>
          <cell r="AP1181">
            <v>0</v>
          </cell>
          <cell r="AR1181">
            <v>0</v>
          </cell>
          <cell r="AS1181">
            <v>0</v>
          </cell>
          <cell r="BF1181" t="str">
            <v>5500</v>
          </cell>
          <cell r="BG1181" t="str">
            <v>G004</v>
          </cell>
          <cell r="BH1181" t="str">
            <v>GML</v>
          </cell>
        </row>
        <row r="1182">
          <cell r="K1182">
            <v>0</v>
          </cell>
          <cell r="L1182">
            <v>0</v>
          </cell>
          <cell r="N1182">
            <v>0</v>
          </cell>
          <cell r="O1182">
            <v>0</v>
          </cell>
          <cell r="Q1182">
            <v>0</v>
          </cell>
          <cell r="R1182">
            <v>0</v>
          </cell>
          <cell r="T1182">
            <v>0</v>
          </cell>
          <cell r="U1182">
            <v>0</v>
          </cell>
          <cell r="W1182">
            <v>0</v>
          </cell>
          <cell r="X1182">
            <v>0</v>
          </cell>
          <cell r="Z1182">
            <v>0</v>
          </cell>
          <cell r="AA1182">
            <v>0</v>
          </cell>
          <cell r="AC1182">
            <v>0</v>
          </cell>
          <cell r="AD1182">
            <v>0</v>
          </cell>
          <cell r="AF1182">
            <v>0</v>
          </cell>
          <cell r="AG1182">
            <v>0</v>
          </cell>
          <cell r="AI1182">
            <v>0</v>
          </cell>
          <cell r="AJ1182">
            <v>0</v>
          </cell>
          <cell r="AL1182">
            <v>0</v>
          </cell>
          <cell r="AM1182">
            <v>0</v>
          </cell>
          <cell r="AO1182">
            <v>0</v>
          </cell>
          <cell r="AP1182">
            <v>0</v>
          </cell>
          <cell r="AR1182">
            <v>0</v>
          </cell>
          <cell r="AS1182">
            <v>0</v>
          </cell>
          <cell r="BF1182" t="str">
            <v>5500</v>
          </cell>
          <cell r="BG1182" t="str">
            <v>G005</v>
          </cell>
          <cell r="BH1182" t="str">
            <v>GML</v>
          </cell>
        </row>
        <row r="1183">
          <cell r="K1183">
            <v>0</v>
          </cell>
          <cell r="L1183">
            <v>0</v>
          </cell>
          <cell r="N1183">
            <v>0</v>
          </cell>
          <cell r="O1183">
            <v>0</v>
          </cell>
          <cell r="Q1183">
            <v>0</v>
          </cell>
          <cell r="R1183">
            <v>0</v>
          </cell>
          <cell r="T1183">
            <v>0</v>
          </cell>
          <cell r="U1183">
            <v>0</v>
          </cell>
          <cell r="W1183">
            <v>0</v>
          </cell>
          <cell r="X1183">
            <v>0</v>
          </cell>
          <cell r="Z1183">
            <v>0</v>
          </cell>
          <cell r="AA1183">
            <v>0</v>
          </cell>
          <cell r="AC1183">
            <v>0</v>
          </cell>
          <cell r="AD1183">
            <v>0</v>
          </cell>
          <cell r="AF1183">
            <v>0</v>
          </cell>
          <cell r="AG1183">
            <v>0</v>
          </cell>
          <cell r="AI1183">
            <v>0</v>
          </cell>
          <cell r="AJ1183">
            <v>0</v>
          </cell>
          <cell r="AL1183">
            <v>0</v>
          </cell>
          <cell r="AM1183">
            <v>0</v>
          </cell>
          <cell r="AO1183">
            <v>0</v>
          </cell>
          <cell r="AP1183">
            <v>0</v>
          </cell>
          <cell r="AR1183">
            <v>0</v>
          </cell>
          <cell r="AS1183">
            <v>0</v>
          </cell>
          <cell r="BF1183" t="str">
            <v>5500</v>
          </cell>
          <cell r="BG1183" t="str">
            <v>G006</v>
          </cell>
          <cell r="BH1183" t="str">
            <v>GML</v>
          </cell>
        </row>
        <row r="1184">
          <cell r="K1184">
            <v>0</v>
          </cell>
          <cell r="L1184">
            <v>0</v>
          </cell>
          <cell r="N1184">
            <v>0</v>
          </cell>
          <cell r="O1184">
            <v>0</v>
          </cell>
          <cell r="Q1184">
            <v>0</v>
          </cell>
          <cell r="R1184">
            <v>0</v>
          </cell>
          <cell r="T1184">
            <v>0</v>
          </cell>
          <cell r="U1184">
            <v>0</v>
          </cell>
          <cell r="W1184">
            <v>0</v>
          </cell>
          <cell r="X1184">
            <v>0</v>
          </cell>
          <cell r="Z1184">
            <v>0</v>
          </cell>
          <cell r="AA1184">
            <v>0</v>
          </cell>
          <cell r="AC1184">
            <v>0</v>
          </cell>
          <cell r="AD1184">
            <v>0</v>
          </cell>
          <cell r="AF1184">
            <v>0</v>
          </cell>
          <cell r="AG1184">
            <v>0</v>
          </cell>
          <cell r="AI1184">
            <v>0</v>
          </cell>
          <cell r="AJ1184">
            <v>0</v>
          </cell>
          <cell r="AL1184">
            <v>0</v>
          </cell>
          <cell r="AM1184">
            <v>0</v>
          </cell>
          <cell r="AO1184">
            <v>0</v>
          </cell>
          <cell r="AP1184">
            <v>0</v>
          </cell>
          <cell r="AR1184">
            <v>0</v>
          </cell>
          <cell r="AS1184">
            <v>0</v>
          </cell>
          <cell r="BF1184" t="str">
            <v>5500</v>
          </cell>
          <cell r="BG1184" t="str">
            <v>G007</v>
          </cell>
          <cell r="BH1184" t="str">
            <v>GML</v>
          </cell>
        </row>
        <row r="1185">
          <cell r="K1185">
            <v>0</v>
          </cell>
          <cell r="L1185">
            <v>0</v>
          </cell>
          <cell r="N1185">
            <v>0</v>
          </cell>
          <cell r="O1185">
            <v>0</v>
          </cell>
          <cell r="Q1185">
            <v>0</v>
          </cell>
          <cell r="R1185">
            <v>0</v>
          </cell>
          <cell r="T1185">
            <v>0</v>
          </cell>
          <cell r="U1185">
            <v>0</v>
          </cell>
          <cell r="W1185">
            <v>0</v>
          </cell>
          <cell r="X1185">
            <v>0</v>
          </cell>
          <cell r="Z1185">
            <v>0</v>
          </cell>
          <cell r="AA1185">
            <v>0</v>
          </cell>
          <cell r="AC1185">
            <v>0</v>
          </cell>
          <cell r="AD1185">
            <v>0</v>
          </cell>
          <cell r="AF1185">
            <v>0</v>
          </cell>
          <cell r="AG1185">
            <v>0</v>
          </cell>
          <cell r="AI1185">
            <v>0</v>
          </cell>
          <cell r="AJ1185">
            <v>0</v>
          </cell>
          <cell r="AL1185">
            <v>0</v>
          </cell>
          <cell r="AM1185">
            <v>0</v>
          </cell>
          <cell r="AO1185">
            <v>0</v>
          </cell>
          <cell r="AP1185">
            <v>0</v>
          </cell>
          <cell r="AR1185">
            <v>0</v>
          </cell>
          <cell r="AS1185">
            <v>0</v>
          </cell>
          <cell r="BF1185" t="str">
            <v>5500</v>
          </cell>
          <cell r="BG1185" t="str">
            <v>G008</v>
          </cell>
          <cell r="BH1185" t="str">
            <v>GML</v>
          </cell>
        </row>
        <row r="1186">
          <cell r="K1186">
            <v>0</v>
          </cell>
          <cell r="L1186">
            <v>0</v>
          </cell>
          <cell r="N1186">
            <v>0</v>
          </cell>
          <cell r="O1186">
            <v>0</v>
          </cell>
          <cell r="Q1186">
            <v>0</v>
          </cell>
          <cell r="R1186">
            <v>0</v>
          </cell>
          <cell r="T1186">
            <v>0</v>
          </cell>
          <cell r="U1186">
            <v>0</v>
          </cell>
          <cell r="W1186">
            <v>0</v>
          </cell>
          <cell r="X1186">
            <v>0</v>
          </cell>
          <cell r="Z1186">
            <v>0</v>
          </cell>
          <cell r="AA1186">
            <v>0</v>
          </cell>
          <cell r="AC1186">
            <v>0</v>
          </cell>
          <cell r="AD1186">
            <v>0</v>
          </cell>
          <cell r="AF1186">
            <v>0</v>
          </cell>
          <cell r="AG1186">
            <v>0</v>
          </cell>
          <cell r="AI1186">
            <v>0</v>
          </cell>
          <cell r="AJ1186">
            <v>0</v>
          </cell>
          <cell r="AL1186">
            <v>0</v>
          </cell>
          <cell r="AM1186">
            <v>0</v>
          </cell>
          <cell r="AO1186">
            <v>0</v>
          </cell>
          <cell r="AP1186">
            <v>0</v>
          </cell>
          <cell r="AR1186">
            <v>0</v>
          </cell>
          <cell r="AS1186">
            <v>0</v>
          </cell>
          <cell r="BF1186" t="str">
            <v>5500</v>
          </cell>
          <cell r="BG1186" t="str">
            <v>G009</v>
          </cell>
          <cell r="BH1186" t="str">
            <v>GML</v>
          </cell>
        </row>
        <row r="1187">
          <cell r="K1187">
            <v>0</v>
          </cell>
          <cell r="L1187">
            <v>0</v>
          </cell>
          <cell r="N1187">
            <v>0</v>
          </cell>
          <cell r="O1187">
            <v>0</v>
          </cell>
          <cell r="Q1187">
            <v>0</v>
          </cell>
          <cell r="R1187">
            <v>0</v>
          </cell>
          <cell r="T1187">
            <v>0</v>
          </cell>
          <cell r="U1187">
            <v>0</v>
          </cell>
          <cell r="W1187">
            <v>0</v>
          </cell>
          <cell r="X1187">
            <v>0</v>
          </cell>
          <cell r="Z1187">
            <v>0</v>
          </cell>
          <cell r="AA1187">
            <v>0</v>
          </cell>
          <cell r="AC1187">
            <v>0</v>
          </cell>
          <cell r="AD1187">
            <v>0</v>
          </cell>
          <cell r="AF1187">
            <v>0</v>
          </cell>
          <cell r="AG1187">
            <v>0</v>
          </cell>
          <cell r="AI1187">
            <v>0</v>
          </cell>
          <cell r="AJ1187">
            <v>0</v>
          </cell>
          <cell r="AL1187">
            <v>0</v>
          </cell>
          <cell r="AM1187">
            <v>0</v>
          </cell>
          <cell r="AO1187">
            <v>0</v>
          </cell>
          <cell r="AP1187">
            <v>0</v>
          </cell>
          <cell r="AR1187">
            <v>0</v>
          </cell>
          <cell r="AS1187">
            <v>0</v>
          </cell>
          <cell r="BF1187" t="str">
            <v>5500</v>
          </cell>
          <cell r="BG1187" t="str">
            <v>G010</v>
          </cell>
          <cell r="BH1187" t="str">
            <v>GML</v>
          </cell>
        </row>
        <row r="1188">
          <cell r="K1188">
            <v>3347051.08</v>
          </cell>
          <cell r="L1188">
            <v>0</v>
          </cell>
          <cell r="N1188">
            <v>-3721135.0700000003</v>
          </cell>
          <cell r="O1188">
            <v>0</v>
          </cell>
          <cell r="Q1188">
            <v>1184291.5399999991</v>
          </cell>
          <cell r="R1188">
            <v>0</v>
          </cell>
          <cell r="T1188">
            <v>1174267.6400000006</v>
          </cell>
          <cell r="U1188">
            <v>0</v>
          </cell>
          <cell r="W1188">
            <v>299084.92000000179</v>
          </cell>
          <cell r="X1188">
            <v>0</v>
          </cell>
          <cell r="Z1188">
            <v>1240414.1799999997</v>
          </cell>
          <cell r="AA1188">
            <v>0</v>
          </cell>
          <cell r="AC1188">
            <v>-203469.3200000003</v>
          </cell>
          <cell r="AD1188">
            <v>0</v>
          </cell>
          <cell r="AF1188">
            <v>-61489.089999999851</v>
          </cell>
          <cell r="AG1188">
            <v>0</v>
          </cell>
          <cell r="AI1188">
            <v>-691587.3900000006</v>
          </cell>
          <cell r="AJ1188">
            <v>0</v>
          </cell>
          <cell r="AL1188">
            <v>-303690.22000000067</v>
          </cell>
          <cell r="AM1188">
            <v>0</v>
          </cell>
          <cell r="AO1188">
            <v>-50072.029999999329</v>
          </cell>
          <cell r="AP1188">
            <v>0</v>
          </cell>
          <cell r="AR1188">
            <v>-113662.73000000045</v>
          </cell>
          <cell r="AS1188">
            <v>0</v>
          </cell>
          <cell r="BF1188" t="str">
            <v>5500</v>
          </cell>
          <cell r="BG1188" t="str">
            <v>G011</v>
          </cell>
          <cell r="BH1188" t="str">
            <v>GML</v>
          </cell>
        </row>
        <row r="1189">
          <cell r="K1189">
            <v>0</v>
          </cell>
          <cell r="L1189">
            <v>0</v>
          </cell>
          <cell r="N1189">
            <v>0</v>
          </cell>
          <cell r="O1189">
            <v>0</v>
          </cell>
          <cell r="Q1189">
            <v>0</v>
          </cell>
          <cell r="R1189">
            <v>0</v>
          </cell>
          <cell r="T1189">
            <v>0</v>
          </cell>
          <cell r="U1189">
            <v>0</v>
          </cell>
          <cell r="W1189">
            <v>0</v>
          </cell>
          <cell r="X1189">
            <v>0</v>
          </cell>
          <cell r="Z1189">
            <v>0</v>
          </cell>
          <cell r="AA1189">
            <v>0</v>
          </cell>
          <cell r="AC1189">
            <v>0</v>
          </cell>
          <cell r="AD1189">
            <v>0</v>
          </cell>
          <cell r="AF1189">
            <v>0</v>
          </cell>
          <cell r="AG1189">
            <v>0</v>
          </cell>
          <cell r="AI1189">
            <v>0</v>
          </cell>
          <cell r="AJ1189">
            <v>0</v>
          </cell>
          <cell r="AL1189">
            <v>0</v>
          </cell>
          <cell r="AM1189">
            <v>0</v>
          </cell>
          <cell r="AO1189">
            <v>0</v>
          </cell>
          <cell r="AP1189">
            <v>0</v>
          </cell>
          <cell r="AR1189">
            <v>0</v>
          </cell>
          <cell r="AS1189">
            <v>0</v>
          </cell>
          <cell r="BF1189" t="str">
            <v>5500</v>
          </cell>
          <cell r="BG1189" t="str">
            <v>G012</v>
          </cell>
          <cell r="BH1189" t="str">
            <v>GML</v>
          </cell>
        </row>
        <row r="1190">
          <cell r="K1190">
            <v>0</v>
          </cell>
          <cell r="L1190">
            <v>0</v>
          </cell>
          <cell r="N1190">
            <v>0</v>
          </cell>
          <cell r="O1190">
            <v>0</v>
          </cell>
          <cell r="Q1190">
            <v>0</v>
          </cell>
          <cell r="R1190">
            <v>0</v>
          </cell>
          <cell r="T1190">
            <v>0</v>
          </cell>
          <cell r="U1190">
            <v>0</v>
          </cell>
          <cell r="W1190">
            <v>0</v>
          </cell>
          <cell r="X1190">
            <v>0</v>
          </cell>
          <cell r="Z1190">
            <v>0</v>
          </cell>
          <cell r="AA1190">
            <v>0</v>
          </cell>
          <cell r="AC1190">
            <v>0</v>
          </cell>
          <cell r="AD1190">
            <v>0</v>
          </cell>
          <cell r="AF1190">
            <v>0</v>
          </cell>
          <cell r="AG1190">
            <v>0</v>
          </cell>
          <cell r="AI1190">
            <v>0</v>
          </cell>
          <cell r="AJ1190">
            <v>0</v>
          </cell>
          <cell r="AL1190">
            <v>0</v>
          </cell>
          <cell r="AM1190">
            <v>0</v>
          </cell>
          <cell r="AO1190">
            <v>0</v>
          </cell>
          <cell r="AP1190">
            <v>0</v>
          </cell>
          <cell r="AR1190">
            <v>0</v>
          </cell>
          <cell r="AS1190">
            <v>0</v>
          </cell>
          <cell r="BF1190" t="str">
            <v>5600</v>
          </cell>
          <cell r="BG1190" t="str">
            <v>H001</v>
          </cell>
          <cell r="BH1190" t="str">
            <v>GML</v>
          </cell>
        </row>
        <row r="1191">
          <cell r="K1191">
            <v>0</v>
          </cell>
          <cell r="L1191">
            <v>0</v>
          </cell>
          <cell r="N1191">
            <v>0</v>
          </cell>
          <cell r="O1191">
            <v>0</v>
          </cell>
          <cell r="Q1191">
            <v>0</v>
          </cell>
          <cell r="R1191">
            <v>0</v>
          </cell>
          <cell r="T1191">
            <v>0</v>
          </cell>
          <cell r="U1191">
            <v>0</v>
          </cell>
          <cell r="W1191">
            <v>0</v>
          </cell>
          <cell r="X1191">
            <v>0</v>
          </cell>
          <cell r="Z1191">
            <v>0</v>
          </cell>
          <cell r="AA1191">
            <v>0</v>
          </cell>
          <cell r="AC1191">
            <v>0</v>
          </cell>
          <cell r="AD1191">
            <v>0</v>
          </cell>
          <cell r="AF1191">
            <v>0</v>
          </cell>
          <cell r="AG1191">
            <v>0</v>
          </cell>
          <cell r="AI1191">
            <v>0</v>
          </cell>
          <cell r="AJ1191">
            <v>0</v>
          </cell>
          <cell r="AL1191">
            <v>0</v>
          </cell>
          <cell r="AM1191">
            <v>0</v>
          </cell>
          <cell r="AO1191">
            <v>0</v>
          </cell>
          <cell r="AP1191">
            <v>0</v>
          </cell>
          <cell r="AR1191">
            <v>-432842.36</v>
          </cell>
          <cell r="AS1191">
            <v>0</v>
          </cell>
          <cell r="BF1191" t="str">
            <v>5600</v>
          </cell>
          <cell r="BG1191" t="str">
            <v>H002</v>
          </cell>
          <cell r="BH1191" t="str">
            <v>GML</v>
          </cell>
        </row>
        <row r="1192">
          <cell r="K1192">
            <v>0</v>
          </cell>
          <cell r="L1192">
            <v>0</v>
          </cell>
          <cell r="N1192">
            <v>0</v>
          </cell>
          <cell r="O1192">
            <v>0</v>
          </cell>
          <cell r="Q1192">
            <v>0</v>
          </cell>
          <cell r="R1192">
            <v>0</v>
          </cell>
          <cell r="T1192">
            <v>0</v>
          </cell>
          <cell r="U1192">
            <v>0</v>
          </cell>
          <cell r="W1192">
            <v>0</v>
          </cell>
          <cell r="X1192">
            <v>0</v>
          </cell>
          <cell r="Z1192">
            <v>0</v>
          </cell>
          <cell r="AA1192">
            <v>0</v>
          </cell>
          <cell r="AC1192">
            <v>0</v>
          </cell>
          <cell r="AD1192">
            <v>0</v>
          </cell>
          <cell r="AF1192">
            <v>0</v>
          </cell>
          <cell r="AG1192">
            <v>0</v>
          </cell>
          <cell r="AI1192">
            <v>0</v>
          </cell>
          <cell r="AJ1192">
            <v>0</v>
          </cell>
          <cell r="AL1192">
            <v>0</v>
          </cell>
          <cell r="AM1192">
            <v>0</v>
          </cell>
          <cell r="AO1192">
            <v>0</v>
          </cell>
          <cell r="AP1192">
            <v>0</v>
          </cell>
          <cell r="AR1192">
            <v>0</v>
          </cell>
          <cell r="AS1192">
            <v>0</v>
          </cell>
          <cell r="BF1192" t="str">
            <v>5600</v>
          </cell>
          <cell r="BG1192" t="str">
            <v>H003</v>
          </cell>
          <cell r="BH1192" t="str">
            <v>GML</v>
          </cell>
        </row>
        <row r="1193">
          <cell r="K1193">
            <v>0</v>
          </cell>
          <cell r="L1193">
            <v>0</v>
          </cell>
          <cell r="N1193">
            <v>0</v>
          </cell>
          <cell r="O1193">
            <v>0</v>
          </cell>
          <cell r="Q1193">
            <v>0</v>
          </cell>
          <cell r="R1193">
            <v>0</v>
          </cell>
          <cell r="T1193">
            <v>0</v>
          </cell>
          <cell r="U1193">
            <v>0</v>
          </cell>
          <cell r="W1193">
            <v>0</v>
          </cell>
          <cell r="X1193">
            <v>0</v>
          </cell>
          <cell r="Z1193">
            <v>0</v>
          </cell>
          <cell r="AA1193">
            <v>0</v>
          </cell>
          <cell r="AC1193">
            <v>0</v>
          </cell>
          <cell r="AD1193">
            <v>0</v>
          </cell>
          <cell r="AF1193">
            <v>0</v>
          </cell>
          <cell r="AG1193">
            <v>0</v>
          </cell>
          <cell r="AI1193">
            <v>0</v>
          </cell>
          <cell r="AJ1193">
            <v>0</v>
          </cell>
          <cell r="AL1193">
            <v>0</v>
          </cell>
          <cell r="AM1193">
            <v>0</v>
          </cell>
          <cell r="AO1193">
            <v>0</v>
          </cell>
          <cell r="AP1193">
            <v>0</v>
          </cell>
          <cell r="AR1193">
            <v>0</v>
          </cell>
          <cell r="AS1193">
            <v>0</v>
          </cell>
          <cell r="BF1193" t="str">
            <v>5600</v>
          </cell>
          <cell r="BG1193" t="str">
            <v>H004</v>
          </cell>
          <cell r="BH1193" t="str">
            <v>GML</v>
          </cell>
        </row>
        <row r="1194">
          <cell r="K1194">
            <v>0</v>
          </cell>
          <cell r="L1194">
            <v>0</v>
          </cell>
          <cell r="N1194">
            <v>0</v>
          </cell>
          <cell r="O1194">
            <v>0</v>
          </cell>
          <cell r="Q1194">
            <v>0</v>
          </cell>
          <cell r="R1194">
            <v>0</v>
          </cell>
          <cell r="T1194">
            <v>0</v>
          </cell>
          <cell r="U1194">
            <v>0</v>
          </cell>
          <cell r="W1194">
            <v>0</v>
          </cell>
          <cell r="X1194">
            <v>0</v>
          </cell>
          <cell r="Z1194">
            <v>0</v>
          </cell>
          <cell r="AA1194">
            <v>0</v>
          </cell>
          <cell r="AC1194">
            <v>0</v>
          </cell>
          <cell r="AD1194">
            <v>0</v>
          </cell>
          <cell r="AF1194">
            <v>0</v>
          </cell>
          <cell r="AG1194">
            <v>0</v>
          </cell>
          <cell r="AI1194">
            <v>0</v>
          </cell>
          <cell r="AJ1194">
            <v>0</v>
          </cell>
          <cell r="AL1194">
            <v>0</v>
          </cell>
          <cell r="AM1194">
            <v>0</v>
          </cell>
          <cell r="AO1194">
            <v>0</v>
          </cell>
          <cell r="AP1194">
            <v>0</v>
          </cell>
          <cell r="AR1194">
            <v>0</v>
          </cell>
          <cell r="AS1194">
            <v>0</v>
          </cell>
          <cell r="BF1194" t="str">
            <v>5600</v>
          </cell>
          <cell r="BG1194" t="str">
            <v>H005</v>
          </cell>
          <cell r="BH1194" t="str">
            <v>GML</v>
          </cell>
        </row>
        <row r="1195">
          <cell r="K1195">
            <v>0</v>
          </cell>
          <cell r="L1195">
            <v>0</v>
          </cell>
          <cell r="N1195">
            <v>0</v>
          </cell>
          <cell r="O1195">
            <v>0</v>
          </cell>
          <cell r="Q1195">
            <v>0</v>
          </cell>
          <cell r="R1195">
            <v>0</v>
          </cell>
          <cell r="T1195">
            <v>0</v>
          </cell>
          <cell r="U1195">
            <v>0</v>
          </cell>
          <cell r="W1195">
            <v>0</v>
          </cell>
          <cell r="X1195">
            <v>0</v>
          </cell>
          <cell r="Z1195">
            <v>0</v>
          </cell>
          <cell r="AA1195">
            <v>0</v>
          </cell>
          <cell r="AC1195">
            <v>0</v>
          </cell>
          <cell r="AD1195">
            <v>0</v>
          </cell>
          <cell r="AF1195">
            <v>0</v>
          </cell>
          <cell r="AG1195">
            <v>0</v>
          </cell>
          <cell r="AI1195">
            <v>0</v>
          </cell>
          <cell r="AJ1195">
            <v>0</v>
          </cell>
          <cell r="AL1195">
            <v>0</v>
          </cell>
          <cell r="AM1195">
            <v>0</v>
          </cell>
          <cell r="AO1195">
            <v>0</v>
          </cell>
          <cell r="AP1195">
            <v>0</v>
          </cell>
          <cell r="AR1195">
            <v>0</v>
          </cell>
          <cell r="AS1195">
            <v>0</v>
          </cell>
          <cell r="BF1195" t="str">
            <v>5600</v>
          </cell>
          <cell r="BG1195" t="str">
            <v>H006</v>
          </cell>
          <cell r="BH1195" t="str">
            <v>GML</v>
          </cell>
        </row>
        <row r="1196">
          <cell r="K1196">
            <v>0</v>
          </cell>
          <cell r="L1196">
            <v>0</v>
          </cell>
          <cell r="N1196">
            <v>0</v>
          </cell>
          <cell r="O1196">
            <v>0</v>
          </cell>
          <cell r="Q1196">
            <v>0</v>
          </cell>
          <cell r="R1196">
            <v>0</v>
          </cell>
          <cell r="T1196">
            <v>0</v>
          </cell>
          <cell r="U1196">
            <v>0</v>
          </cell>
          <cell r="W1196">
            <v>0</v>
          </cell>
          <cell r="X1196">
            <v>0</v>
          </cell>
          <cell r="Z1196">
            <v>0</v>
          </cell>
          <cell r="AA1196">
            <v>0</v>
          </cell>
          <cell r="AC1196">
            <v>0</v>
          </cell>
          <cell r="AD1196">
            <v>0</v>
          </cell>
          <cell r="AF1196">
            <v>0</v>
          </cell>
          <cell r="AG1196">
            <v>0</v>
          </cell>
          <cell r="AI1196">
            <v>0</v>
          </cell>
          <cell r="AJ1196">
            <v>0</v>
          </cell>
          <cell r="AL1196">
            <v>0</v>
          </cell>
          <cell r="AM1196">
            <v>0</v>
          </cell>
          <cell r="AO1196">
            <v>0</v>
          </cell>
          <cell r="AP1196">
            <v>0</v>
          </cell>
          <cell r="AR1196">
            <v>0</v>
          </cell>
          <cell r="AS1196">
            <v>0</v>
          </cell>
          <cell r="BF1196" t="str">
            <v>5600</v>
          </cell>
          <cell r="BG1196" t="str">
            <v>H007</v>
          </cell>
          <cell r="BH1196" t="str">
            <v>GML</v>
          </cell>
        </row>
        <row r="1197">
          <cell r="K1197">
            <v>0</v>
          </cell>
          <cell r="L1197">
            <v>0</v>
          </cell>
          <cell r="N1197">
            <v>0</v>
          </cell>
          <cell r="O1197">
            <v>0</v>
          </cell>
          <cell r="Q1197">
            <v>0</v>
          </cell>
          <cell r="R1197">
            <v>0</v>
          </cell>
          <cell r="T1197">
            <v>0</v>
          </cell>
          <cell r="U1197">
            <v>0</v>
          </cell>
          <cell r="W1197">
            <v>0</v>
          </cell>
          <cell r="X1197">
            <v>0</v>
          </cell>
          <cell r="Z1197">
            <v>0</v>
          </cell>
          <cell r="AA1197">
            <v>0</v>
          </cell>
          <cell r="AC1197">
            <v>0</v>
          </cell>
          <cell r="AD1197">
            <v>0</v>
          </cell>
          <cell r="AF1197">
            <v>0</v>
          </cell>
          <cell r="AG1197">
            <v>0</v>
          </cell>
          <cell r="AI1197">
            <v>0</v>
          </cell>
          <cell r="AJ1197">
            <v>0</v>
          </cell>
          <cell r="AL1197">
            <v>0</v>
          </cell>
          <cell r="AM1197">
            <v>0</v>
          </cell>
          <cell r="AO1197">
            <v>0</v>
          </cell>
          <cell r="AP1197">
            <v>0</v>
          </cell>
          <cell r="AR1197">
            <v>0</v>
          </cell>
          <cell r="AS1197">
            <v>0</v>
          </cell>
          <cell r="BF1197" t="str">
            <v>5600</v>
          </cell>
          <cell r="BG1197" t="str">
            <v>H008</v>
          </cell>
          <cell r="BH1197" t="str">
            <v>GML</v>
          </cell>
        </row>
        <row r="1198">
          <cell r="K1198">
            <v>0</v>
          </cell>
          <cell r="L1198">
            <v>0</v>
          </cell>
          <cell r="N1198">
            <v>0</v>
          </cell>
          <cell r="O1198">
            <v>0</v>
          </cell>
          <cell r="Q1198">
            <v>0</v>
          </cell>
          <cell r="R1198">
            <v>0</v>
          </cell>
          <cell r="T1198">
            <v>0</v>
          </cell>
          <cell r="U1198">
            <v>0</v>
          </cell>
          <cell r="W1198">
            <v>0</v>
          </cell>
          <cell r="X1198">
            <v>0</v>
          </cell>
          <cell r="Z1198">
            <v>0</v>
          </cell>
          <cell r="AA1198">
            <v>0</v>
          </cell>
          <cell r="AC1198">
            <v>0</v>
          </cell>
          <cell r="AD1198">
            <v>0</v>
          </cell>
          <cell r="AF1198">
            <v>0</v>
          </cell>
          <cell r="AG1198">
            <v>0</v>
          </cell>
          <cell r="AI1198">
            <v>0</v>
          </cell>
          <cell r="AJ1198">
            <v>0</v>
          </cell>
          <cell r="AL1198">
            <v>0</v>
          </cell>
          <cell r="AM1198">
            <v>0</v>
          </cell>
          <cell r="AO1198">
            <v>0</v>
          </cell>
          <cell r="AP1198">
            <v>0</v>
          </cell>
          <cell r="AR1198">
            <v>0</v>
          </cell>
          <cell r="AS1198">
            <v>0</v>
          </cell>
          <cell r="BF1198" t="str">
            <v>5700</v>
          </cell>
          <cell r="BG1198" t="str">
            <v>I001</v>
          </cell>
          <cell r="BH1198" t="str">
            <v>GML</v>
          </cell>
        </row>
        <row r="1199">
          <cell r="K1199">
            <v>0</v>
          </cell>
          <cell r="L1199">
            <v>0</v>
          </cell>
          <cell r="N1199">
            <v>0</v>
          </cell>
          <cell r="O1199">
            <v>0</v>
          </cell>
          <cell r="Q1199">
            <v>0</v>
          </cell>
          <cell r="R1199">
            <v>0</v>
          </cell>
          <cell r="T1199">
            <v>0</v>
          </cell>
          <cell r="U1199">
            <v>0</v>
          </cell>
          <cell r="W1199">
            <v>0</v>
          </cell>
          <cell r="X1199">
            <v>0</v>
          </cell>
          <cell r="Z1199">
            <v>0</v>
          </cell>
          <cell r="AA1199">
            <v>0</v>
          </cell>
          <cell r="AC1199">
            <v>0</v>
          </cell>
          <cell r="AD1199">
            <v>0</v>
          </cell>
          <cell r="AF1199">
            <v>0</v>
          </cell>
          <cell r="AG1199">
            <v>0</v>
          </cell>
          <cell r="AI1199">
            <v>0</v>
          </cell>
          <cell r="AJ1199">
            <v>0</v>
          </cell>
          <cell r="AL1199">
            <v>0</v>
          </cell>
          <cell r="AM1199">
            <v>0</v>
          </cell>
          <cell r="AO1199">
            <v>0</v>
          </cell>
          <cell r="AP1199">
            <v>0</v>
          </cell>
          <cell r="AR1199">
            <v>0</v>
          </cell>
          <cell r="AS1199">
            <v>0</v>
          </cell>
          <cell r="BF1199" t="str">
            <v>5700</v>
          </cell>
          <cell r="BG1199" t="str">
            <v>I002</v>
          </cell>
          <cell r="BH1199" t="str">
            <v>GML</v>
          </cell>
        </row>
        <row r="1200">
          <cell r="K1200">
            <v>0</v>
          </cell>
          <cell r="L1200">
            <v>0</v>
          </cell>
          <cell r="N1200">
            <v>0</v>
          </cell>
          <cell r="O1200">
            <v>0</v>
          </cell>
          <cell r="Q1200">
            <v>0</v>
          </cell>
          <cell r="R1200">
            <v>0</v>
          </cell>
          <cell r="T1200">
            <v>0</v>
          </cell>
          <cell r="U1200">
            <v>0</v>
          </cell>
          <cell r="W1200">
            <v>0</v>
          </cell>
          <cell r="X1200">
            <v>0</v>
          </cell>
          <cell r="Z1200">
            <v>0</v>
          </cell>
          <cell r="AA1200">
            <v>0</v>
          </cell>
          <cell r="AC1200">
            <v>0</v>
          </cell>
          <cell r="AD1200">
            <v>0</v>
          </cell>
          <cell r="AF1200">
            <v>0</v>
          </cell>
          <cell r="AG1200">
            <v>0</v>
          </cell>
          <cell r="AI1200">
            <v>0</v>
          </cell>
          <cell r="AJ1200">
            <v>0</v>
          </cell>
          <cell r="AL1200">
            <v>0</v>
          </cell>
          <cell r="AM1200">
            <v>0</v>
          </cell>
          <cell r="AO1200">
            <v>0</v>
          </cell>
          <cell r="AP1200">
            <v>0</v>
          </cell>
          <cell r="AR1200">
            <v>0</v>
          </cell>
          <cell r="AS1200">
            <v>0</v>
          </cell>
          <cell r="BF1200" t="str">
            <v>5700</v>
          </cell>
          <cell r="BG1200" t="str">
            <v>I003</v>
          </cell>
          <cell r="BH1200" t="str">
            <v>GML</v>
          </cell>
        </row>
        <row r="1201">
          <cell r="K1201">
            <v>0</v>
          </cell>
          <cell r="L1201">
            <v>0</v>
          </cell>
          <cell r="N1201">
            <v>0</v>
          </cell>
          <cell r="O1201">
            <v>0</v>
          </cell>
          <cell r="Q1201">
            <v>0</v>
          </cell>
          <cell r="R1201">
            <v>0</v>
          </cell>
          <cell r="T1201">
            <v>0</v>
          </cell>
          <cell r="U1201">
            <v>0</v>
          </cell>
          <cell r="W1201">
            <v>0</v>
          </cell>
          <cell r="X1201">
            <v>0</v>
          </cell>
          <cell r="Z1201">
            <v>0</v>
          </cell>
          <cell r="AA1201">
            <v>0</v>
          </cell>
          <cell r="AC1201">
            <v>0</v>
          </cell>
          <cell r="AD1201">
            <v>0</v>
          </cell>
          <cell r="AF1201">
            <v>0</v>
          </cell>
          <cell r="AG1201">
            <v>0</v>
          </cell>
          <cell r="AI1201">
            <v>0</v>
          </cell>
          <cell r="AJ1201">
            <v>0</v>
          </cell>
          <cell r="AL1201">
            <v>0</v>
          </cell>
          <cell r="AM1201">
            <v>0</v>
          </cell>
          <cell r="AO1201">
            <v>0</v>
          </cell>
          <cell r="AP1201">
            <v>0</v>
          </cell>
          <cell r="AR1201">
            <v>0</v>
          </cell>
          <cell r="AS1201">
            <v>0</v>
          </cell>
          <cell r="BF1201" t="str">
            <v>5700</v>
          </cell>
          <cell r="BG1201" t="str">
            <v>I004</v>
          </cell>
          <cell r="BH1201" t="str">
            <v>GML</v>
          </cell>
        </row>
        <row r="1202">
          <cell r="K1202">
            <v>0</v>
          </cell>
          <cell r="L1202">
            <v>0</v>
          </cell>
          <cell r="N1202">
            <v>0</v>
          </cell>
          <cell r="O1202">
            <v>0</v>
          </cell>
          <cell r="Q1202">
            <v>0</v>
          </cell>
          <cell r="R1202">
            <v>0</v>
          </cell>
          <cell r="T1202">
            <v>0</v>
          </cell>
          <cell r="U1202">
            <v>0</v>
          </cell>
          <cell r="W1202">
            <v>0</v>
          </cell>
          <cell r="X1202">
            <v>0</v>
          </cell>
          <cell r="Z1202">
            <v>0</v>
          </cell>
          <cell r="AA1202">
            <v>0</v>
          </cell>
          <cell r="AC1202">
            <v>0</v>
          </cell>
          <cell r="AD1202">
            <v>0</v>
          </cell>
          <cell r="AF1202">
            <v>0</v>
          </cell>
          <cell r="AG1202">
            <v>0</v>
          </cell>
          <cell r="AI1202">
            <v>0</v>
          </cell>
          <cell r="AJ1202">
            <v>0</v>
          </cell>
          <cell r="AL1202">
            <v>0</v>
          </cell>
          <cell r="AM1202">
            <v>0</v>
          </cell>
          <cell r="AO1202">
            <v>0</v>
          </cell>
          <cell r="AP1202">
            <v>0</v>
          </cell>
          <cell r="AR1202">
            <v>0</v>
          </cell>
          <cell r="AS1202">
            <v>0</v>
          </cell>
          <cell r="BF1202" t="str">
            <v>5700</v>
          </cell>
          <cell r="BG1202" t="str">
            <v>I005</v>
          </cell>
          <cell r="BH1202" t="str">
            <v>GML</v>
          </cell>
        </row>
        <row r="1203">
          <cell r="K1203">
            <v>0</v>
          </cell>
          <cell r="L1203">
            <v>0</v>
          </cell>
          <cell r="N1203">
            <v>0</v>
          </cell>
          <cell r="O1203">
            <v>0</v>
          </cell>
          <cell r="Q1203">
            <v>0</v>
          </cell>
          <cell r="R1203">
            <v>0</v>
          </cell>
          <cell r="T1203">
            <v>0</v>
          </cell>
          <cell r="U1203">
            <v>0</v>
          </cell>
          <cell r="W1203">
            <v>0</v>
          </cell>
          <cell r="X1203">
            <v>0</v>
          </cell>
          <cell r="Z1203">
            <v>0</v>
          </cell>
          <cell r="AA1203">
            <v>0</v>
          </cell>
          <cell r="AC1203">
            <v>0</v>
          </cell>
          <cell r="AD1203">
            <v>0</v>
          </cell>
          <cell r="AF1203">
            <v>0</v>
          </cell>
          <cell r="AG1203">
            <v>0</v>
          </cell>
          <cell r="AI1203">
            <v>0</v>
          </cell>
          <cell r="AJ1203">
            <v>0</v>
          </cell>
          <cell r="AL1203">
            <v>0</v>
          </cell>
          <cell r="AM1203">
            <v>0</v>
          </cell>
          <cell r="AO1203">
            <v>0</v>
          </cell>
          <cell r="AP1203">
            <v>0</v>
          </cell>
          <cell r="AR1203">
            <v>0</v>
          </cell>
          <cell r="AS1203">
            <v>0</v>
          </cell>
          <cell r="BF1203" t="str">
            <v>5700</v>
          </cell>
          <cell r="BG1203" t="str">
            <v>I006</v>
          </cell>
          <cell r="BH1203" t="str">
            <v>GML</v>
          </cell>
        </row>
        <row r="1204">
          <cell r="K1204">
            <v>0</v>
          </cell>
          <cell r="L1204">
            <v>0</v>
          </cell>
          <cell r="N1204">
            <v>0</v>
          </cell>
          <cell r="O1204">
            <v>0</v>
          </cell>
          <cell r="Q1204">
            <v>0</v>
          </cell>
          <cell r="R1204">
            <v>0</v>
          </cell>
          <cell r="T1204">
            <v>0</v>
          </cell>
          <cell r="U1204">
            <v>0</v>
          </cell>
          <cell r="W1204">
            <v>0</v>
          </cell>
          <cell r="X1204">
            <v>0</v>
          </cell>
          <cell r="Z1204">
            <v>0</v>
          </cell>
          <cell r="AA1204">
            <v>0</v>
          </cell>
          <cell r="AC1204">
            <v>0</v>
          </cell>
          <cell r="AD1204">
            <v>0</v>
          </cell>
          <cell r="AF1204">
            <v>0</v>
          </cell>
          <cell r="AG1204">
            <v>0</v>
          </cell>
          <cell r="AI1204">
            <v>0</v>
          </cell>
          <cell r="AJ1204">
            <v>0</v>
          </cell>
          <cell r="AL1204">
            <v>0</v>
          </cell>
          <cell r="AM1204">
            <v>0</v>
          </cell>
          <cell r="AO1204">
            <v>0</v>
          </cell>
          <cell r="AP1204">
            <v>0</v>
          </cell>
          <cell r="AR1204">
            <v>0</v>
          </cell>
          <cell r="AS1204">
            <v>0</v>
          </cell>
          <cell r="BF1204" t="str">
            <v>5700</v>
          </cell>
          <cell r="BG1204" t="str">
            <v>I007</v>
          </cell>
          <cell r="BH1204" t="str">
            <v>GML</v>
          </cell>
        </row>
        <row r="1205">
          <cell r="K1205">
            <v>0</v>
          </cell>
          <cell r="L1205">
            <v>0</v>
          </cell>
          <cell r="N1205">
            <v>0</v>
          </cell>
          <cell r="O1205">
            <v>0</v>
          </cell>
          <cell r="Q1205">
            <v>0</v>
          </cell>
          <cell r="R1205">
            <v>0</v>
          </cell>
          <cell r="T1205">
            <v>0</v>
          </cell>
          <cell r="U1205">
            <v>0</v>
          </cell>
          <cell r="W1205">
            <v>0</v>
          </cell>
          <cell r="X1205">
            <v>0</v>
          </cell>
          <cell r="Z1205">
            <v>0</v>
          </cell>
          <cell r="AA1205">
            <v>0</v>
          </cell>
          <cell r="AC1205">
            <v>0</v>
          </cell>
          <cell r="AD1205">
            <v>0</v>
          </cell>
          <cell r="AF1205">
            <v>0</v>
          </cell>
          <cell r="AG1205">
            <v>0</v>
          </cell>
          <cell r="AI1205">
            <v>0</v>
          </cell>
          <cell r="AJ1205">
            <v>0</v>
          </cell>
          <cell r="AL1205">
            <v>0</v>
          </cell>
          <cell r="AM1205">
            <v>0</v>
          </cell>
          <cell r="AO1205">
            <v>0</v>
          </cell>
          <cell r="AP1205">
            <v>0</v>
          </cell>
          <cell r="AR1205">
            <v>0</v>
          </cell>
          <cell r="AS1205">
            <v>0</v>
          </cell>
          <cell r="BF1205" t="str">
            <v>5700</v>
          </cell>
          <cell r="BG1205" t="str">
            <v>I008</v>
          </cell>
          <cell r="BH1205" t="str">
            <v>GML</v>
          </cell>
        </row>
        <row r="1206">
          <cell r="K1206">
            <v>0</v>
          </cell>
          <cell r="L1206">
            <v>0</v>
          </cell>
          <cell r="N1206">
            <v>0</v>
          </cell>
          <cell r="O1206">
            <v>0</v>
          </cell>
          <cell r="Q1206">
            <v>0</v>
          </cell>
          <cell r="R1206">
            <v>0</v>
          </cell>
          <cell r="T1206">
            <v>0</v>
          </cell>
          <cell r="U1206">
            <v>0</v>
          </cell>
          <cell r="W1206">
            <v>0</v>
          </cell>
          <cell r="X1206">
            <v>0</v>
          </cell>
          <cell r="Z1206">
            <v>0</v>
          </cell>
          <cell r="AA1206">
            <v>0</v>
          </cell>
          <cell r="AC1206">
            <v>0</v>
          </cell>
          <cell r="AD1206">
            <v>0</v>
          </cell>
          <cell r="AF1206">
            <v>0</v>
          </cell>
          <cell r="AG1206">
            <v>0</v>
          </cell>
          <cell r="AI1206">
            <v>0</v>
          </cell>
          <cell r="AJ1206">
            <v>0</v>
          </cell>
          <cell r="AL1206">
            <v>0</v>
          </cell>
          <cell r="AM1206">
            <v>0</v>
          </cell>
          <cell r="AO1206">
            <v>0</v>
          </cell>
          <cell r="AP1206">
            <v>0</v>
          </cell>
          <cell r="AR1206">
            <v>0</v>
          </cell>
          <cell r="AS1206">
            <v>0</v>
          </cell>
          <cell r="BF1206" t="str">
            <v>5700</v>
          </cell>
          <cell r="BG1206" t="str">
            <v>I009</v>
          </cell>
          <cell r="BH1206" t="str">
            <v>GML</v>
          </cell>
        </row>
        <row r="1207">
          <cell r="K1207">
            <v>0</v>
          </cell>
          <cell r="L1207">
            <v>0</v>
          </cell>
          <cell r="N1207">
            <v>0</v>
          </cell>
          <cell r="O1207">
            <v>0</v>
          </cell>
          <cell r="Q1207">
            <v>0</v>
          </cell>
          <cell r="R1207">
            <v>0</v>
          </cell>
          <cell r="T1207">
            <v>0</v>
          </cell>
          <cell r="U1207">
            <v>0</v>
          </cell>
          <cell r="W1207">
            <v>0</v>
          </cell>
          <cell r="X1207">
            <v>0</v>
          </cell>
          <cell r="Z1207">
            <v>0</v>
          </cell>
          <cell r="AA1207">
            <v>0</v>
          </cell>
          <cell r="AC1207">
            <v>0</v>
          </cell>
          <cell r="AD1207">
            <v>0</v>
          </cell>
          <cell r="AF1207">
            <v>0</v>
          </cell>
          <cell r="AG1207">
            <v>0</v>
          </cell>
          <cell r="AI1207">
            <v>0</v>
          </cell>
          <cell r="AJ1207">
            <v>0</v>
          </cell>
          <cell r="AL1207">
            <v>0</v>
          </cell>
          <cell r="AM1207">
            <v>0</v>
          </cell>
          <cell r="AO1207">
            <v>0</v>
          </cell>
          <cell r="AP1207">
            <v>0</v>
          </cell>
          <cell r="AR1207">
            <v>0</v>
          </cell>
          <cell r="AS1207">
            <v>0</v>
          </cell>
          <cell r="BF1207" t="str">
            <v>5700</v>
          </cell>
          <cell r="BG1207" t="str">
            <v>I010</v>
          </cell>
          <cell r="BH1207" t="str">
            <v>GML</v>
          </cell>
        </row>
        <row r="1208">
          <cell r="K1208">
            <v>0</v>
          </cell>
          <cell r="L1208">
            <v>0</v>
          </cell>
          <cell r="N1208">
            <v>0</v>
          </cell>
          <cell r="O1208">
            <v>0</v>
          </cell>
          <cell r="Q1208">
            <v>0</v>
          </cell>
          <cell r="R1208">
            <v>0</v>
          </cell>
          <cell r="T1208">
            <v>0</v>
          </cell>
          <cell r="U1208">
            <v>0</v>
          </cell>
          <cell r="W1208">
            <v>0</v>
          </cell>
          <cell r="X1208">
            <v>0</v>
          </cell>
          <cell r="Z1208">
            <v>0</v>
          </cell>
          <cell r="AA1208">
            <v>0</v>
          </cell>
          <cell r="AC1208">
            <v>0</v>
          </cell>
          <cell r="AD1208">
            <v>0</v>
          </cell>
          <cell r="AF1208">
            <v>0</v>
          </cell>
          <cell r="AG1208">
            <v>0</v>
          </cell>
          <cell r="AI1208">
            <v>0</v>
          </cell>
          <cell r="AJ1208">
            <v>0</v>
          </cell>
          <cell r="AL1208">
            <v>0</v>
          </cell>
          <cell r="AM1208">
            <v>0</v>
          </cell>
          <cell r="AO1208">
            <v>0</v>
          </cell>
          <cell r="AP1208">
            <v>0</v>
          </cell>
          <cell r="AR1208">
            <v>0</v>
          </cell>
          <cell r="AS1208">
            <v>0</v>
          </cell>
          <cell r="BF1208" t="str">
            <v>5700</v>
          </cell>
          <cell r="BG1208" t="str">
            <v>I011</v>
          </cell>
          <cell r="BH1208" t="str">
            <v>GML</v>
          </cell>
        </row>
        <row r="1209">
          <cell r="K1209">
            <v>0</v>
          </cell>
          <cell r="L1209">
            <v>0</v>
          </cell>
          <cell r="N1209">
            <v>0</v>
          </cell>
          <cell r="O1209">
            <v>0</v>
          </cell>
          <cell r="Q1209">
            <v>0</v>
          </cell>
          <cell r="R1209">
            <v>0</v>
          </cell>
          <cell r="T1209">
            <v>0</v>
          </cell>
          <cell r="U1209">
            <v>0</v>
          </cell>
          <cell r="W1209">
            <v>0</v>
          </cell>
          <cell r="X1209">
            <v>0</v>
          </cell>
          <cell r="Z1209">
            <v>0</v>
          </cell>
          <cell r="AA1209">
            <v>0</v>
          </cell>
          <cell r="AC1209">
            <v>0</v>
          </cell>
          <cell r="AD1209">
            <v>0</v>
          </cell>
          <cell r="AF1209">
            <v>0</v>
          </cell>
          <cell r="AG1209">
            <v>0</v>
          </cell>
          <cell r="AI1209">
            <v>0</v>
          </cell>
          <cell r="AJ1209">
            <v>0</v>
          </cell>
          <cell r="AL1209">
            <v>0</v>
          </cell>
          <cell r="AM1209">
            <v>0</v>
          </cell>
          <cell r="AO1209">
            <v>0</v>
          </cell>
          <cell r="AP1209">
            <v>0</v>
          </cell>
          <cell r="AR1209">
            <v>0</v>
          </cell>
          <cell r="AS1209">
            <v>0</v>
          </cell>
          <cell r="BF1209" t="str">
            <v>5700</v>
          </cell>
          <cell r="BG1209" t="str">
            <v>I012</v>
          </cell>
          <cell r="BH1209" t="str">
            <v>GML</v>
          </cell>
        </row>
        <row r="1210">
          <cell r="K1210">
            <v>0</v>
          </cell>
          <cell r="L1210">
            <v>0</v>
          </cell>
          <cell r="N1210">
            <v>0</v>
          </cell>
          <cell r="O1210">
            <v>0</v>
          </cell>
          <cell r="Q1210">
            <v>0</v>
          </cell>
          <cell r="R1210">
            <v>0</v>
          </cell>
          <cell r="T1210">
            <v>0</v>
          </cell>
          <cell r="U1210">
            <v>0</v>
          </cell>
          <cell r="W1210">
            <v>0</v>
          </cell>
          <cell r="X1210">
            <v>0</v>
          </cell>
          <cell r="Z1210">
            <v>0</v>
          </cell>
          <cell r="AA1210">
            <v>0</v>
          </cell>
          <cell r="AC1210">
            <v>0</v>
          </cell>
          <cell r="AD1210">
            <v>0</v>
          </cell>
          <cell r="AF1210">
            <v>0</v>
          </cell>
          <cell r="AG1210">
            <v>0</v>
          </cell>
          <cell r="AI1210">
            <v>0</v>
          </cell>
          <cell r="AJ1210">
            <v>0</v>
          </cell>
          <cell r="AL1210">
            <v>0</v>
          </cell>
          <cell r="AM1210">
            <v>0</v>
          </cell>
          <cell r="AO1210">
            <v>0</v>
          </cell>
          <cell r="AP1210">
            <v>0</v>
          </cell>
          <cell r="AR1210">
            <v>0</v>
          </cell>
          <cell r="AS1210">
            <v>0</v>
          </cell>
          <cell r="BF1210" t="str">
            <v>5800</v>
          </cell>
          <cell r="BG1210" t="str">
            <v>J001</v>
          </cell>
          <cell r="BH1210" t="str">
            <v>GML</v>
          </cell>
        </row>
        <row r="1211">
          <cell r="K1211">
            <v>0</v>
          </cell>
          <cell r="L1211">
            <v>0</v>
          </cell>
          <cell r="N1211">
            <v>0</v>
          </cell>
          <cell r="O1211">
            <v>0</v>
          </cell>
          <cell r="Q1211">
            <v>0</v>
          </cell>
          <cell r="R1211">
            <v>0</v>
          </cell>
          <cell r="T1211">
            <v>0</v>
          </cell>
          <cell r="U1211">
            <v>0</v>
          </cell>
          <cell r="W1211">
            <v>0</v>
          </cell>
          <cell r="X1211">
            <v>0</v>
          </cell>
          <cell r="Z1211">
            <v>0</v>
          </cell>
          <cell r="AA1211">
            <v>0</v>
          </cell>
          <cell r="AC1211">
            <v>0</v>
          </cell>
          <cell r="AD1211">
            <v>0</v>
          </cell>
          <cell r="AF1211">
            <v>0</v>
          </cell>
          <cell r="AG1211">
            <v>0</v>
          </cell>
          <cell r="AI1211">
            <v>0</v>
          </cell>
          <cell r="AJ1211">
            <v>0</v>
          </cell>
          <cell r="AL1211">
            <v>0</v>
          </cell>
          <cell r="AM1211">
            <v>0</v>
          </cell>
          <cell r="AO1211">
            <v>0</v>
          </cell>
          <cell r="AP1211">
            <v>0</v>
          </cell>
          <cell r="AR1211">
            <v>0</v>
          </cell>
          <cell r="AS1211">
            <v>0</v>
          </cell>
          <cell r="BF1211" t="str">
            <v>5800</v>
          </cell>
          <cell r="BG1211" t="str">
            <v>J002</v>
          </cell>
          <cell r="BH1211" t="str">
            <v>GML</v>
          </cell>
        </row>
        <row r="1212">
          <cell r="K1212">
            <v>0</v>
          </cell>
          <cell r="L1212">
            <v>0</v>
          </cell>
          <cell r="N1212">
            <v>0</v>
          </cell>
          <cell r="O1212">
            <v>0</v>
          </cell>
          <cell r="Q1212">
            <v>0</v>
          </cell>
          <cell r="R1212">
            <v>0</v>
          </cell>
          <cell r="T1212">
            <v>0</v>
          </cell>
          <cell r="U1212">
            <v>0</v>
          </cell>
          <cell r="W1212">
            <v>0</v>
          </cell>
          <cell r="X1212">
            <v>0</v>
          </cell>
          <cell r="Z1212">
            <v>0</v>
          </cell>
          <cell r="AA1212">
            <v>0</v>
          </cell>
          <cell r="AC1212">
            <v>0</v>
          </cell>
          <cell r="AD1212">
            <v>0</v>
          </cell>
          <cell r="AF1212">
            <v>0</v>
          </cell>
          <cell r="AG1212">
            <v>0</v>
          </cell>
          <cell r="AI1212">
            <v>0</v>
          </cell>
          <cell r="AJ1212">
            <v>0</v>
          </cell>
          <cell r="AL1212">
            <v>0</v>
          </cell>
          <cell r="AM1212">
            <v>0</v>
          </cell>
          <cell r="AO1212">
            <v>0</v>
          </cell>
          <cell r="AP1212">
            <v>0</v>
          </cell>
          <cell r="AR1212">
            <v>0</v>
          </cell>
          <cell r="AS1212">
            <v>0</v>
          </cell>
          <cell r="BF1212" t="str">
            <v>5800</v>
          </cell>
          <cell r="BG1212" t="str">
            <v>J003</v>
          </cell>
          <cell r="BH1212" t="str">
            <v>GML</v>
          </cell>
        </row>
        <row r="1213">
          <cell r="K1213">
            <v>0</v>
          </cell>
          <cell r="L1213">
            <v>0</v>
          </cell>
          <cell r="N1213">
            <v>0</v>
          </cell>
          <cell r="O1213">
            <v>0</v>
          </cell>
          <cell r="Q1213">
            <v>0</v>
          </cell>
          <cell r="R1213">
            <v>0</v>
          </cell>
          <cell r="T1213">
            <v>0</v>
          </cell>
          <cell r="U1213">
            <v>0</v>
          </cell>
          <cell r="W1213">
            <v>0</v>
          </cell>
          <cell r="X1213">
            <v>0</v>
          </cell>
          <cell r="Z1213">
            <v>0</v>
          </cell>
          <cell r="AA1213">
            <v>0</v>
          </cell>
          <cell r="AC1213">
            <v>0</v>
          </cell>
          <cell r="AD1213">
            <v>0</v>
          </cell>
          <cell r="AF1213">
            <v>0</v>
          </cell>
          <cell r="AG1213">
            <v>0</v>
          </cell>
          <cell r="AI1213">
            <v>0</v>
          </cell>
          <cell r="AJ1213">
            <v>0</v>
          </cell>
          <cell r="AL1213">
            <v>0</v>
          </cell>
          <cell r="AM1213">
            <v>0</v>
          </cell>
          <cell r="AO1213">
            <v>0</v>
          </cell>
          <cell r="AP1213">
            <v>0</v>
          </cell>
          <cell r="AR1213">
            <v>0</v>
          </cell>
          <cell r="AS1213">
            <v>0</v>
          </cell>
          <cell r="BF1213" t="str">
            <v>5800</v>
          </cell>
          <cell r="BG1213" t="str">
            <v>J004</v>
          </cell>
          <cell r="BH1213" t="str">
            <v>GML</v>
          </cell>
        </row>
        <row r="1214">
          <cell r="K1214">
            <v>0</v>
          </cell>
          <cell r="L1214">
            <v>0</v>
          </cell>
          <cell r="N1214">
            <v>0</v>
          </cell>
          <cell r="O1214">
            <v>0</v>
          </cell>
          <cell r="Q1214">
            <v>0</v>
          </cell>
          <cell r="R1214">
            <v>0</v>
          </cell>
          <cell r="T1214">
            <v>0</v>
          </cell>
          <cell r="U1214">
            <v>0</v>
          </cell>
          <cell r="W1214">
            <v>0</v>
          </cell>
          <cell r="X1214">
            <v>0</v>
          </cell>
          <cell r="Z1214">
            <v>0</v>
          </cell>
          <cell r="AA1214">
            <v>0</v>
          </cell>
          <cell r="AC1214">
            <v>0</v>
          </cell>
          <cell r="AD1214">
            <v>0</v>
          </cell>
          <cell r="AF1214">
            <v>0</v>
          </cell>
          <cell r="AG1214">
            <v>0</v>
          </cell>
          <cell r="AI1214">
            <v>0</v>
          </cell>
          <cell r="AJ1214">
            <v>0</v>
          </cell>
          <cell r="AL1214">
            <v>0</v>
          </cell>
          <cell r="AM1214">
            <v>0</v>
          </cell>
          <cell r="AO1214">
            <v>0</v>
          </cell>
          <cell r="AP1214">
            <v>0</v>
          </cell>
          <cell r="AR1214">
            <v>0</v>
          </cell>
          <cell r="AS1214">
            <v>0</v>
          </cell>
          <cell r="BF1214" t="str">
            <v>5800</v>
          </cell>
          <cell r="BG1214" t="str">
            <v>J005</v>
          </cell>
          <cell r="BH1214" t="str">
            <v>GML</v>
          </cell>
        </row>
        <row r="1215">
          <cell r="K1215">
            <v>0</v>
          </cell>
          <cell r="L1215">
            <v>0</v>
          </cell>
          <cell r="N1215">
            <v>0</v>
          </cell>
          <cell r="O1215">
            <v>0</v>
          </cell>
          <cell r="Q1215">
            <v>0</v>
          </cell>
          <cell r="R1215">
            <v>0</v>
          </cell>
          <cell r="T1215">
            <v>0</v>
          </cell>
          <cell r="U1215">
            <v>0</v>
          </cell>
          <cell r="W1215">
            <v>0</v>
          </cell>
          <cell r="X1215">
            <v>0</v>
          </cell>
          <cell r="Z1215">
            <v>0</v>
          </cell>
          <cell r="AA1215">
            <v>0</v>
          </cell>
          <cell r="AC1215">
            <v>0</v>
          </cell>
          <cell r="AD1215">
            <v>0</v>
          </cell>
          <cell r="AF1215">
            <v>0</v>
          </cell>
          <cell r="AG1215">
            <v>0</v>
          </cell>
          <cell r="AI1215">
            <v>0</v>
          </cell>
          <cell r="AJ1215">
            <v>0</v>
          </cell>
          <cell r="AL1215">
            <v>0</v>
          </cell>
          <cell r="AM1215">
            <v>0</v>
          </cell>
          <cell r="AO1215">
            <v>0</v>
          </cell>
          <cell r="AP1215">
            <v>0</v>
          </cell>
          <cell r="AR1215">
            <v>0</v>
          </cell>
          <cell r="AS1215">
            <v>0</v>
          </cell>
          <cell r="BF1215" t="str">
            <v>5800</v>
          </cell>
          <cell r="BG1215" t="str">
            <v>J006</v>
          </cell>
          <cell r="BH1215" t="str">
            <v>GML</v>
          </cell>
        </row>
        <row r="1216">
          <cell r="K1216">
            <v>0</v>
          </cell>
          <cell r="L1216">
            <v>0</v>
          </cell>
          <cell r="N1216">
            <v>0</v>
          </cell>
          <cell r="O1216">
            <v>0</v>
          </cell>
          <cell r="Q1216">
            <v>0</v>
          </cell>
          <cell r="R1216">
            <v>0</v>
          </cell>
          <cell r="T1216">
            <v>0</v>
          </cell>
          <cell r="U1216">
            <v>0</v>
          </cell>
          <cell r="W1216">
            <v>0</v>
          </cell>
          <cell r="X1216">
            <v>0</v>
          </cell>
          <cell r="Z1216">
            <v>0</v>
          </cell>
          <cell r="AA1216">
            <v>0</v>
          </cell>
          <cell r="AC1216">
            <v>0</v>
          </cell>
          <cell r="AD1216">
            <v>0</v>
          </cell>
          <cell r="AF1216">
            <v>0</v>
          </cell>
          <cell r="AG1216">
            <v>0</v>
          </cell>
          <cell r="AI1216">
            <v>0</v>
          </cell>
          <cell r="AJ1216">
            <v>0</v>
          </cell>
          <cell r="AL1216">
            <v>0</v>
          </cell>
          <cell r="AM1216">
            <v>0</v>
          </cell>
          <cell r="AO1216">
            <v>0</v>
          </cell>
          <cell r="AP1216">
            <v>0</v>
          </cell>
          <cell r="AR1216">
            <v>0</v>
          </cell>
          <cell r="AS1216">
            <v>0</v>
          </cell>
          <cell r="BF1216" t="str">
            <v>5800</v>
          </cell>
          <cell r="BG1216" t="str">
            <v>J007</v>
          </cell>
          <cell r="BH1216" t="str">
            <v>GML</v>
          </cell>
        </row>
        <row r="1217">
          <cell r="K1217">
            <v>0</v>
          </cell>
          <cell r="L1217">
            <v>0</v>
          </cell>
          <cell r="N1217">
            <v>0</v>
          </cell>
          <cell r="O1217">
            <v>0</v>
          </cell>
          <cell r="Q1217">
            <v>0</v>
          </cell>
          <cell r="R1217">
            <v>0</v>
          </cell>
          <cell r="T1217">
            <v>0</v>
          </cell>
          <cell r="U1217">
            <v>0</v>
          </cell>
          <cell r="W1217">
            <v>0</v>
          </cell>
          <cell r="X1217">
            <v>0</v>
          </cell>
          <cell r="Z1217">
            <v>0</v>
          </cell>
          <cell r="AA1217">
            <v>0</v>
          </cell>
          <cell r="AC1217">
            <v>0</v>
          </cell>
          <cell r="AD1217">
            <v>0</v>
          </cell>
          <cell r="AF1217">
            <v>0</v>
          </cell>
          <cell r="AG1217">
            <v>0</v>
          </cell>
          <cell r="AI1217">
            <v>0</v>
          </cell>
          <cell r="AJ1217">
            <v>0</v>
          </cell>
          <cell r="AL1217">
            <v>0</v>
          </cell>
          <cell r="AM1217">
            <v>0</v>
          </cell>
          <cell r="AO1217">
            <v>0</v>
          </cell>
          <cell r="AP1217">
            <v>0</v>
          </cell>
          <cell r="AR1217">
            <v>0</v>
          </cell>
          <cell r="AS1217">
            <v>0</v>
          </cell>
          <cell r="BF1217" t="str">
            <v>5801</v>
          </cell>
          <cell r="BG1217" t="str">
            <v>J008</v>
          </cell>
          <cell r="BH1217" t="str">
            <v>GML</v>
          </cell>
        </row>
        <row r="1218">
          <cell r="K1218">
            <v>0</v>
          </cell>
          <cell r="L1218">
            <v>0</v>
          </cell>
          <cell r="N1218">
            <v>0</v>
          </cell>
          <cell r="O1218">
            <v>0</v>
          </cell>
          <cell r="Q1218">
            <v>0</v>
          </cell>
          <cell r="R1218">
            <v>0</v>
          </cell>
          <cell r="T1218">
            <v>0</v>
          </cell>
          <cell r="U1218">
            <v>0</v>
          </cell>
          <cell r="W1218">
            <v>0</v>
          </cell>
          <cell r="X1218">
            <v>0</v>
          </cell>
          <cell r="Z1218">
            <v>0</v>
          </cell>
          <cell r="AA1218">
            <v>0</v>
          </cell>
          <cell r="AC1218">
            <v>0</v>
          </cell>
          <cell r="AD1218">
            <v>0</v>
          </cell>
          <cell r="AF1218">
            <v>0</v>
          </cell>
          <cell r="AG1218">
            <v>0</v>
          </cell>
          <cell r="AI1218">
            <v>0</v>
          </cell>
          <cell r="AJ1218">
            <v>0</v>
          </cell>
          <cell r="AL1218">
            <v>0</v>
          </cell>
          <cell r="AM1218">
            <v>0</v>
          </cell>
          <cell r="AO1218">
            <v>0</v>
          </cell>
          <cell r="AP1218">
            <v>0</v>
          </cell>
          <cell r="AR1218">
            <v>0</v>
          </cell>
          <cell r="AS1218">
            <v>0</v>
          </cell>
          <cell r="BF1218" t="str">
            <v>5801</v>
          </cell>
          <cell r="BG1218" t="str">
            <v>J009</v>
          </cell>
          <cell r="BH1218" t="str">
            <v>GML</v>
          </cell>
        </row>
        <row r="1219">
          <cell r="K1219">
            <v>0</v>
          </cell>
          <cell r="L1219">
            <v>0</v>
          </cell>
          <cell r="N1219">
            <v>0</v>
          </cell>
          <cell r="O1219">
            <v>0</v>
          </cell>
          <cell r="Q1219">
            <v>0</v>
          </cell>
          <cell r="R1219">
            <v>0</v>
          </cell>
          <cell r="T1219">
            <v>0</v>
          </cell>
          <cell r="U1219">
            <v>0</v>
          </cell>
          <cell r="W1219">
            <v>0</v>
          </cell>
          <cell r="X1219">
            <v>0</v>
          </cell>
          <cell r="Z1219">
            <v>0</v>
          </cell>
          <cell r="AA1219">
            <v>0</v>
          </cell>
          <cell r="AC1219">
            <v>0</v>
          </cell>
          <cell r="AD1219">
            <v>0</v>
          </cell>
          <cell r="AF1219">
            <v>0</v>
          </cell>
          <cell r="AG1219">
            <v>0</v>
          </cell>
          <cell r="AI1219">
            <v>0</v>
          </cell>
          <cell r="AJ1219">
            <v>0</v>
          </cell>
          <cell r="AL1219">
            <v>0</v>
          </cell>
          <cell r="AM1219">
            <v>0</v>
          </cell>
          <cell r="AO1219">
            <v>0</v>
          </cell>
          <cell r="AP1219">
            <v>0</v>
          </cell>
          <cell r="AR1219">
            <v>0</v>
          </cell>
          <cell r="AS1219">
            <v>0</v>
          </cell>
          <cell r="BF1219" t="str">
            <v>6000</v>
          </cell>
          <cell r="BG1219" t="str">
            <v>K001</v>
          </cell>
          <cell r="BH1219" t="str">
            <v>GML</v>
          </cell>
        </row>
        <row r="1220">
          <cell r="K1220">
            <v>0</v>
          </cell>
          <cell r="L1220">
            <v>0</v>
          </cell>
          <cell r="N1220">
            <v>0</v>
          </cell>
          <cell r="O1220">
            <v>0</v>
          </cell>
          <cell r="Q1220">
            <v>0</v>
          </cell>
          <cell r="R1220">
            <v>0</v>
          </cell>
          <cell r="T1220">
            <v>0</v>
          </cell>
          <cell r="U1220">
            <v>0</v>
          </cell>
          <cell r="W1220">
            <v>0</v>
          </cell>
          <cell r="X1220">
            <v>0</v>
          </cell>
          <cell r="Z1220">
            <v>0</v>
          </cell>
          <cell r="AA1220">
            <v>0</v>
          </cell>
          <cell r="AC1220">
            <v>0</v>
          </cell>
          <cell r="AD1220">
            <v>0</v>
          </cell>
          <cell r="AF1220">
            <v>0</v>
          </cell>
          <cell r="AG1220">
            <v>0</v>
          </cell>
          <cell r="AI1220">
            <v>0</v>
          </cell>
          <cell r="AJ1220">
            <v>0</v>
          </cell>
          <cell r="AL1220">
            <v>0</v>
          </cell>
          <cell r="AM1220">
            <v>0</v>
          </cell>
          <cell r="AO1220">
            <v>0</v>
          </cell>
          <cell r="AP1220">
            <v>0</v>
          </cell>
          <cell r="AR1220">
            <v>0</v>
          </cell>
          <cell r="AS1220">
            <v>0</v>
          </cell>
          <cell r="BF1220" t="str">
            <v>6000</v>
          </cell>
          <cell r="BG1220" t="str">
            <v>K002</v>
          </cell>
          <cell r="BH1220" t="str">
            <v>GML</v>
          </cell>
        </row>
        <row r="1221">
          <cell r="K1221">
            <v>1250860.5000000009</v>
          </cell>
          <cell r="L1221">
            <v>0</v>
          </cell>
          <cell r="N1221">
            <v>0</v>
          </cell>
          <cell r="O1221">
            <v>0</v>
          </cell>
          <cell r="Q1221">
            <v>0</v>
          </cell>
          <cell r="R1221">
            <v>0</v>
          </cell>
          <cell r="T1221">
            <v>311257.4299999997</v>
          </cell>
          <cell r="U1221">
            <v>0</v>
          </cell>
          <cell r="W1221">
            <v>0</v>
          </cell>
          <cell r="X1221">
            <v>0</v>
          </cell>
          <cell r="Z1221">
            <v>0</v>
          </cell>
          <cell r="AA1221">
            <v>0</v>
          </cell>
          <cell r="AC1221">
            <v>0</v>
          </cell>
          <cell r="AD1221">
            <v>0</v>
          </cell>
          <cell r="AF1221">
            <v>506000</v>
          </cell>
          <cell r="AG1221">
            <v>0</v>
          </cell>
          <cell r="AI1221">
            <v>479000</v>
          </cell>
          <cell r="AJ1221">
            <v>0</v>
          </cell>
          <cell r="AL1221">
            <v>1123382.0600000024</v>
          </cell>
          <cell r="AM1221">
            <v>0</v>
          </cell>
          <cell r="AO1221">
            <v>4403420.7599999979</v>
          </cell>
          <cell r="AP1221">
            <v>0</v>
          </cell>
          <cell r="AR1221">
            <v>0</v>
          </cell>
          <cell r="AS1221">
            <v>0</v>
          </cell>
          <cell r="BF1221" t="str">
            <v>6100</v>
          </cell>
          <cell r="BG1221" t="str">
            <v>K001</v>
          </cell>
          <cell r="BH1221" t="str">
            <v>GML</v>
          </cell>
        </row>
        <row r="1222">
          <cell r="K1222">
            <v>-226637.70000000007</v>
          </cell>
          <cell r="L1222">
            <v>0</v>
          </cell>
          <cell r="N1222">
            <v>-261696.06000000006</v>
          </cell>
          <cell r="O1222">
            <v>0</v>
          </cell>
          <cell r="Q1222">
            <v>-253254.26</v>
          </cell>
          <cell r="R1222">
            <v>0</v>
          </cell>
          <cell r="T1222">
            <v>-261977.47999999975</v>
          </cell>
          <cell r="U1222">
            <v>0</v>
          </cell>
          <cell r="W1222">
            <v>-261696.57999999984</v>
          </cell>
          <cell r="X1222">
            <v>0</v>
          </cell>
          <cell r="Z1222">
            <v>-270419.79999999981</v>
          </cell>
          <cell r="AA1222">
            <v>0</v>
          </cell>
          <cell r="AC1222">
            <v>-270419.79999999981</v>
          </cell>
          <cell r="AD1222">
            <v>0</v>
          </cell>
          <cell r="AF1222">
            <v>-257059.56999999983</v>
          </cell>
          <cell r="AG1222">
            <v>0</v>
          </cell>
          <cell r="AI1222">
            <v>-285900.95999999996</v>
          </cell>
          <cell r="AJ1222">
            <v>0</v>
          </cell>
          <cell r="AL1222">
            <v>-294506.87999999989</v>
          </cell>
          <cell r="AM1222">
            <v>0</v>
          </cell>
          <cell r="AO1222">
            <v>-341452.87000000011</v>
          </cell>
          <cell r="AP1222">
            <v>0</v>
          </cell>
          <cell r="AR1222">
            <v>-438318.0700000003</v>
          </cell>
          <cell r="AS1222">
            <v>0</v>
          </cell>
          <cell r="BF1222" t="str">
            <v>6100</v>
          </cell>
          <cell r="BG1222" t="str">
            <v>K002</v>
          </cell>
          <cell r="BH1222" t="str">
            <v>GML</v>
          </cell>
        </row>
        <row r="1223">
          <cell r="K1223">
            <v>480861.69999999925</v>
          </cell>
          <cell r="L1223">
            <v>0</v>
          </cell>
          <cell r="N1223">
            <v>0</v>
          </cell>
          <cell r="O1223">
            <v>0</v>
          </cell>
          <cell r="Q1223">
            <v>532013.4299999997</v>
          </cell>
          <cell r="R1223">
            <v>0</v>
          </cell>
          <cell r="T1223">
            <v>0</v>
          </cell>
          <cell r="U1223">
            <v>0</v>
          </cell>
          <cell r="W1223">
            <v>0</v>
          </cell>
          <cell r="X1223">
            <v>0</v>
          </cell>
          <cell r="Z1223">
            <v>0</v>
          </cell>
          <cell r="AA1223">
            <v>0</v>
          </cell>
          <cell r="AC1223">
            <v>0</v>
          </cell>
          <cell r="AD1223">
            <v>0</v>
          </cell>
          <cell r="AF1223">
            <v>0</v>
          </cell>
          <cell r="AG1223">
            <v>0</v>
          </cell>
          <cell r="AI1223">
            <v>8724199.7299999986</v>
          </cell>
          <cell r="AJ1223">
            <v>0</v>
          </cell>
          <cell r="AL1223">
            <v>349604.85000000335</v>
          </cell>
          <cell r="AM1223">
            <v>0</v>
          </cell>
          <cell r="AO1223">
            <v>349604.85000000149</v>
          </cell>
          <cell r="AP1223">
            <v>0</v>
          </cell>
          <cell r="AR1223">
            <v>407889.79999999702</v>
          </cell>
          <cell r="AS1223">
            <v>0</v>
          </cell>
          <cell r="BF1223" t="str">
            <v>6200</v>
          </cell>
          <cell r="BG1223" t="str">
            <v>K001</v>
          </cell>
          <cell r="BH1223" t="str">
            <v>GML</v>
          </cell>
        </row>
        <row r="1224">
          <cell r="K1224">
            <v>-109344.50000000001</v>
          </cell>
          <cell r="L1224">
            <v>0</v>
          </cell>
          <cell r="N1224">
            <v>-105518.23999999999</v>
          </cell>
          <cell r="O1224">
            <v>0</v>
          </cell>
          <cell r="Q1224">
            <v>-108674.79999999999</v>
          </cell>
          <cell r="R1224">
            <v>0</v>
          </cell>
          <cell r="T1224">
            <v>-113050.52999999991</v>
          </cell>
          <cell r="U1224">
            <v>0</v>
          </cell>
          <cell r="W1224">
            <v>-109403.73999999999</v>
          </cell>
          <cell r="X1224">
            <v>0</v>
          </cell>
          <cell r="Z1224">
            <v>-113050.53000000003</v>
          </cell>
          <cell r="AA1224">
            <v>0</v>
          </cell>
          <cell r="AC1224">
            <v>-113050.53000000003</v>
          </cell>
          <cell r="AD1224">
            <v>0</v>
          </cell>
          <cell r="AF1224">
            <v>-102110.15999999992</v>
          </cell>
          <cell r="AG1224">
            <v>0</v>
          </cell>
          <cell r="AI1224">
            <v>-128960.91999999993</v>
          </cell>
          <cell r="AJ1224">
            <v>0</v>
          </cell>
          <cell r="AL1224">
            <v>-229735.57000000007</v>
          </cell>
          <cell r="AM1224">
            <v>0</v>
          </cell>
          <cell r="AO1224">
            <v>-246467.92999999993</v>
          </cell>
          <cell r="AP1224">
            <v>0</v>
          </cell>
          <cell r="AR1224">
            <v>-244106.01</v>
          </cell>
          <cell r="AS1224">
            <v>0</v>
          </cell>
          <cell r="BF1224" t="str">
            <v>6200</v>
          </cell>
          <cell r="BG1224" t="str">
            <v>K002</v>
          </cell>
          <cell r="BH1224" t="str">
            <v>GML</v>
          </cell>
        </row>
        <row r="1225">
          <cell r="K1225">
            <v>0</v>
          </cell>
          <cell r="L1225">
            <v>0</v>
          </cell>
          <cell r="N1225">
            <v>0</v>
          </cell>
          <cell r="O1225">
            <v>0</v>
          </cell>
          <cell r="Q1225">
            <v>0</v>
          </cell>
          <cell r="R1225">
            <v>0</v>
          </cell>
          <cell r="T1225">
            <v>0</v>
          </cell>
          <cell r="U1225">
            <v>0</v>
          </cell>
          <cell r="W1225">
            <v>0</v>
          </cell>
          <cell r="X1225">
            <v>0</v>
          </cell>
          <cell r="Z1225">
            <v>0</v>
          </cell>
          <cell r="AA1225">
            <v>0</v>
          </cell>
          <cell r="AC1225">
            <v>0</v>
          </cell>
          <cell r="AD1225">
            <v>0</v>
          </cell>
          <cell r="AF1225">
            <v>0</v>
          </cell>
          <cell r="AG1225">
            <v>0</v>
          </cell>
          <cell r="AI1225">
            <v>0</v>
          </cell>
          <cell r="AJ1225">
            <v>0</v>
          </cell>
          <cell r="AL1225">
            <v>0</v>
          </cell>
          <cell r="AM1225">
            <v>0</v>
          </cell>
          <cell r="AO1225">
            <v>0</v>
          </cell>
          <cell r="AP1225">
            <v>0</v>
          </cell>
          <cell r="AR1225">
            <v>0</v>
          </cell>
          <cell r="AS1225">
            <v>0</v>
          </cell>
          <cell r="BF1225" t="str">
            <v>6300</v>
          </cell>
          <cell r="BG1225" t="str">
            <v>K001</v>
          </cell>
          <cell r="BH1225" t="str">
            <v>GML</v>
          </cell>
        </row>
        <row r="1226">
          <cell r="K1226">
            <v>-197547.37999999989</v>
          </cell>
          <cell r="L1226">
            <v>0</v>
          </cell>
          <cell r="N1226">
            <v>-197547.35999999987</v>
          </cell>
          <cell r="O1226">
            <v>0</v>
          </cell>
          <cell r="Q1226">
            <v>-191174.87000000011</v>
          </cell>
          <cell r="R1226">
            <v>0</v>
          </cell>
          <cell r="T1226">
            <v>-197547.37000000011</v>
          </cell>
          <cell r="U1226">
            <v>0</v>
          </cell>
          <cell r="W1226">
            <v>-191174.87000000011</v>
          </cell>
          <cell r="X1226">
            <v>0</v>
          </cell>
          <cell r="Z1226">
            <v>-197547.35999999987</v>
          </cell>
          <cell r="AA1226">
            <v>0</v>
          </cell>
          <cell r="AC1226">
            <v>-197547.35999999987</v>
          </cell>
          <cell r="AD1226">
            <v>0</v>
          </cell>
          <cell r="AF1226">
            <v>-178429.85999999987</v>
          </cell>
          <cell r="AG1226">
            <v>0</v>
          </cell>
          <cell r="AI1226">
            <v>-197547.37999999989</v>
          </cell>
          <cell r="AJ1226">
            <v>0</v>
          </cell>
          <cell r="AL1226">
            <v>-191174.87000000011</v>
          </cell>
          <cell r="AM1226">
            <v>0</v>
          </cell>
          <cell r="AO1226">
            <v>-197547.35999999987</v>
          </cell>
          <cell r="AP1226">
            <v>0</v>
          </cell>
          <cell r="AR1226">
            <v>-191174.86999999965</v>
          </cell>
          <cell r="AS1226">
            <v>0</v>
          </cell>
          <cell r="BF1226" t="str">
            <v>6300</v>
          </cell>
          <cell r="BG1226" t="str">
            <v>K002</v>
          </cell>
          <cell r="BH1226" t="str">
            <v>GML</v>
          </cell>
        </row>
        <row r="1227">
          <cell r="K1227">
            <v>47262</v>
          </cell>
          <cell r="L1227">
            <v>0</v>
          </cell>
          <cell r="N1227">
            <v>3300</v>
          </cell>
          <cell r="O1227">
            <v>0</v>
          </cell>
          <cell r="Q1227">
            <v>0</v>
          </cell>
          <cell r="R1227">
            <v>0</v>
          </cell>
          <cell r="T1227">
            <v>0</v>
          </cell>
          <cell r="U1227">
            <v>0</v>
          </cell>
          <cell r="W1227">
            <v>106481</v>
          </cell>
          <cell r="X1227">
            <v>0</v>
          </cell>
          <cell r="Z1227">
            <v>0</v>
          </cell>
          <cell r="AA1227">
            <v>0</v>
          </cell>
          <cell r="AC1227">
            <v>0</v>
          </cell>
          <cell r="AD1227">
            <v>0</v>
          </cell>
          <cell r="AF1227">
            <v>0</v>
          </cell>
          <cell r="AG1227">
            <v>0</v>
          </cell>
          <cell r="AI1227">
            <v>452300</v>
          </cell>
          <cell r="AJ1227">
            <v>0</v>
          </cell>
          <cell r="AL1227">
            <v>96000</v>
          </cell>
          <cell r="AM1227">
            <v>0</v>
          </cell>
          <cell r="AO1227">
            <v>445530</v>
          </cell>
          <cell r="AP1227">
            <v>0</v>
          </cell>
          <cell r="AR1227">
            <v>297225</v>
          </cell>
          <cell r="AS1227">
            <v>0</v>
          </cell>
          <cell r="BF1227" t="str">
            <v>6400</v>
          </cell>
          <cell r="BG1227" t="str">
            <v>K001</v>
          </cell>
          <cell r="BH1227" t="str">
            <v>GML</v>
          </cell>
        </row>
        <row r="1228">
          <cell r="K1228">
            <v>-212894.92999999993</v>
          </cell>
          <cell r="L1228">
            <v>0</v>
          </cell>
          <cell r="N1228">
            <v>-217939.21999999997</v>
          </cell>
          <cell r="O1228">
            <v>0</v>
          </cell>
          <cell r="Q1228">
            <v>-208910.83000000007</v>
          </cell>
          <cell r="R1228">
            <v>0</v>
          </cell>
          <cell r="T1228">
            <v>-215874.53000000026</v>
          </cell>
          <cell r="U1228">
            <v>0</v>
          </cell>
          <cell r="W1228">
            <v>-208910.83999999985</v>
          </cell>
          <cell r="X1228">
            <v>0</v>
          </cell>
          <cell r="Z1228">
            <v>-217683.25</v>
          </cell>
          <cell r="AA1228">
            <v>0</v>
          </cell>
          <cell r="AC1228">
            <v>-217683.25</v>
          </cell>
          <cell r="AD1228">
            <v>0</v>
          </cell>
          <cell r="AF1228">
            <v>-196617.12999999989</v>
          </cell>
          <cell r="AG1228">
            <v>0</v>
          </cell>
          <cell r="AI1228">
            <v>-218674.58999999985</v>
          </cell>
          <cell r="AJ1228">
            <v>0</v>
          </cell>
          <cell r="AL1228">
            <v>-218359.29000000004</v>
          </cell>
          <cell r="AM1228">
            <v>0</v>
          </cell>
          <cell r="AO1228">
            <v>-234699.25999999978</v>
          </cell>
          <cell r="AP1228">
            <v>0</v>
          </cell>
          <cell r="AR1228">
            <v>-231884.0299999998</v>
          </cell>
          <cell r="AS1228">
            <v>0</v>
          </cell>
          <cell r="BF1228" t="str">
            <v>6400</v>
          </cell>
          <cell r="BG1228" t="str">
            <v>K002</v>
          </cell>
          <cell r="BH1228" t="str">
            <v>GML</v>
          </cell>
        </row>
        <row r="1229">
          <cell r="K1229">
            <v>315423.75</v>
          </cell>
          <cell r="L1229">
            <v>0</v>
          </cell>
          <cell r="N1229">
            <v>0</v>
          </cell>
          <cell r="O1229">
            <v>0</v>
          </cell>
          <cell r="Q1229">
            <v>0</v>
          </cell>
          <cell r="R1229">
            <v>0</v>
          </cell>
          <cell r="T1229">
            <v>0</v>
          </cell>
          <cell r="U1229">
            <v>0</v>
          </cell>
          <cell r="W1229">
            <v>0</v>
          </cell>
          <cell r="X1229">
            <v>0</v>
          </cell>
          <cell r="Z1229">
            <v>0</v>
          </cell>
          <cell r="AA1229">
            <v>0</v>
          </cell>
          <cell r="AC1229">
            <v>0</v>
          </cell>
          <cell r="AD1229">
            <v>0</v>
          </cell>
          <cell r="AF1229">
            <v>0</v>
          </cell>
          <cell r="AG1229">
            <v>0</v>
          </cell>
          <cell r="AI1229">
            <v>0</v>
          </cell>
          <cell r="AJ1229">
            <v>0</v>
          </cell>
          <cell r="AL1229">
            <v>0</v>
          </cell>
          <cell r="AM1229">
            <v>0</v>
          </cell>
          <cell r="AO1229">
            <v>0</v>
          </cell>
          <cell r="AP1229">
            <v>0</v>
          </cell>
          <cell r="AR1229">
            <v>0</v>
          </cell>
          <cell r="AS1229">
            <v>0</v>
          </cell>
          <cell r="BF1229" t="str">
            <v>6500</v>
          </cell>
          <cell r="BG1229" t="str">
            <v>K001</v>
          </cell>
          <cell r="BH1229" t="str">
            <v>GML</v>
          </cell>
        </row>
        <row r="1230">
          <cell r="K1230">
            <v>-34894.800000000003</v>
          </cell>
          <cell r="L1230">
            <v>0</v>
          </cell>
          <cell r="N1230">
            <v>-41554.130000000005</v>
          </cell>
          <cell r="O1230">
            <v>0</v>
          </cell>
          <cell r="Q1230">
            <v>-40213.679999999993</v>
          </cell>
          <cell r="R1230">
            <v>0</v>
          </cell>
          <cell r="T1230">
            <v>-41554.130000000005</v>
          </cell>
          <cell r="U1230">
            <v>0</v>
          </cell>
          <cell r="W1230">
            <v>-40213.679999999993</v>
          </cell>
          <cell r="X1230">
            <v>0</v>
          </cell>
          <cell r="Z1230">
            <v>-41554.130000000005</v>
          </cell>
          <cell r="AA1230">
            <v>0</v>
          </cell>
          <cell r="AC1230">
            <v>-41554.130000000005</v>
          </cell>
          <cell r="AD1230">
            <v>0</v>
          </cell>
          <cell r="AF1230">
            <v>-37532.760000000009</v>
          </cell>
          <cell r="AG1230">
            <v>0</v>
          </cell>
          <cell r="AI1230">
            <v>-41554.140000000014</v>
          </cell>
          <cell r="AJ1230">
            <v>0</v>
          </cell>
          <cell r="AL1230">
            <v>-40213.669999999984</v>
          </cell>
          <cell r="AM1230">
            <v>0</v>
          </cell>
          <cell r="AO1230">
            <v>-41554.130000000005</v>
          </cell>
          <cell r="AP1230">
            <v>0</v>
          </cell>
          <cell r="AR1230">
            <v>-40213.679999999935</v>
          </cell>
          <cell r="AS1230">
            <v>0</v>
          </cell>
          <cell r="BF1230" t="str">
            <v>6500</v>
          </cell>
          <cell r="BG1230" t="str">
            <v>K002</v>
          </cell>
          <cell r="BH1230" t="str">
            <v>GML</v>
          </cell>
        </row>
        <row r="1231">
          <cell r="K1231">
            <v>7279595.1099999994</v>
          </cell>
          <cell r="L1231">
            <v>0</v>
          </cell>
          <cell r="N1231">
            <v>922355.52000000328</v>
          </cell>
          <cell r="O1231">
            <v>0</v>
          </cell>
          <cell r="Q1231">
            <v>0</v>
          </cell>
          <cell r="R1231">
            <v>0</v>
          </cell>
          <cell r="T1231">
            <v>0</v>
          </cell>
          <cell r="U1231">
            <v>0</v>
          </cell>
          <cell r="W1231">
            <v>0</v>
          </cell>
          <cell r="X1231">
            <v>0</v>
          </cell>
          <cell r="Z1231">
            <v>0</v>
          </cell>
          <cell r="AA1231">
            <v>0</v>
          </cell>
          <cell r="AC1231">
            <v>0</v>
          </cell>
          <cell r="AD1231">
            <v>0</v>
          </cell>
          <cell r="AF1231">
            <v>0</v>
          </cell>
          <cell r="AG1231">
            <v>0</v>
          </cell>
          <cell r="AI1231">
            <v>0</v>
          </cell>
          <cell r="AJ1231">
            <v>0</v>
          </cell>
          <cell r="AL1231">
            <v>392225.8200000003</v>
          </cell>
          <cell r="AM1231">
            <v>0</v>
          </cell>
          <cell r="AO1231">
            <v>314768.3599999994</v>
          </cell>
          <cell r="AP1231">
            <v>0</v>
          </cell>
          <cell r="AR1231">
            <v>1874137.0599999949</v>
          </cell>
          <cell r="AS1231">
            <v>0</v>
          </cell>
          <cell r="BF1231" t="str">
            <v>6600</v>
          </cell>
          <cell r="BG1231" t="str">
            <v>K001</v>
          </cell>
          <cell r="BH1231" t="str">
            <v>GML</v>
          </cell>
        </row>
        <row r="1232">
          <cell r="K1232">
            <v>-463269.1800000004</v>
          </cell>
          <cell r="L1232">
            <v>0</v>
          </cell>
          <cell r="N1232">
            <v>-580689.66999999993</v>
          </cell>
          <cell r="O1232">
            <v>0</v>
          </cell>
          <cell r="Q1232">
            <v>-575551.66000000015</v>
          </cell>
          <cell r="R1232">
            <v>0</v>
          </cell>
          <cell r="T1232">
            <v>-608793.22999999952</v>
          </cell>
          <cell r="U1232">
            <v>0</v>
          </cell>
          <cell r="W1232">
            <v>-589154.74000000022</v>
          </cell>
          <cell r="X1232">
            <v>0</v>
          </cell>
          <cell r="Z1232">
            <v>-608793.24000000022</v>
          </cell>
          <cell r="AA1232">
            <v>0</v>
          </cell>
          <cell r="AC1232">
            <v>-608793.24000000022</v>
          </cell>
          <cell r="AD1232">
            <v>0</v>
          </cell>
          <cell r="AF1232">
            <v>-549877.75999999978</v>
          </cell>
          <cell r="AG1232">
            <v>0</v>
          </cell>
          <cell r="AI1232">
            <v>-608793.23999999929</v>
          </cell>
          <cell r="AJ1232">
            <v>0</v>
          </cell>
          <cell r="AL1232">
            <v>-590300.25999999978</v>
          </cell>
          <cell r="AM1232">
            <v>0</v>
          </cell>
          <cell r="AO1232">
            <v>-620802.44999999925</v>
          </cell>
          <cell r="AP1232">
            <v>0</v>
          </cell>
          <cell r="AR1232">
            <v>-631584.29999999888</v>
          </cell>
          <cell r="AS1232">
            <v>0</v>
          </cell>
          <cell r="BF1232" t="str">
            <v>6600</v>
          </cell>
          <cell r="BG1232" t="str">
            <v>K002</v>
          </cell>
          <cell r="BH1232" t="str">
            <v>GML</v>
          </cell>
        </row>
        <row r="1233">
          <cell r="K1233">
            <v>475340</v>
          </cell>
          <cell r="L1233">
            <v>0</v>
          </cell>
          <cell r="N1233">
            <v>-309331.16000000015</v>
          </cell>
          <cell r="O1233">
            <v>0</v>
          </cell>
          <cell r="Q1233">
            <v>767981.4299999997</v>
          </cell>
          <cell r="R1233">
            <v>0</v>
          </cell>
          <cell r="T1233">
            <v>511414.58999999985</v>
          </cell>
          <cell r="U1233">
            <v>0</v>
          </cell>
          <cell r="W1233">
            <v>-381610.41000000015</v>
          </cell>
          <cell r="X1233">
            <v>0</v>
          </cell>
          <cell r="Z1233">
            <v>537131.25999999978</v>
          </cell>
          <cell r="AA1233">
            <v>0</v>
          </cell>
          <cell r="AC1233">
            <v>1773953.5</v>
          </cell>
          <cell r="AD1233">
            <v>0</v>
          </cell>
          <cell r="AF1233">
            <v>1387768.2199999997</v>
          </cell>
          <cell r="AG1233">
            <v>0</v>
          </cell>
          <cell r="AI1233">
            <v>2138039.79</v>
          </cell>
          <cell r="AJ1233">
            <v>0</v>
          </cell>
          <cell r="AL1233">
            <v>-915157.12000000477</v>
          </cell>
          <cell r="AM1233">
            <v>0</v>
          </cell>
          <cell r="AO1233">
            <v>-181823.75</v>
          </cell>
          <cell r="AP1233">
            <v>0</v>
          </cell>
          <cell r="AR1233">
            <v>-177823.76999999583</v>
          </cell>
          <cell r="AS1233">
            <v>0</v>
          </cell>
          <cell r="BF1233" t="str">
            <v>7000</v>
          </cell>
          <cell r="BG1233" t="str">
            <v>Z000</v>
          </cell>
          <cell r="BH1233" t="str">
            <v>GML</v>
          </cell>
        </row>
        <row r="1234">
          <cell r="K1234">
            <v>0</v>
          </cell>
          <cell r="L1234">
            <v>0</v>
          </cell>
          <cell r="N1234">
            <v>-989699</v>
          </cell>
          <cell r="O1234">
            <v>0</v>
          </cell>
          <cell r="Q1234">
            <v>0</v>
          </cell>
          <cell r="R1234">
            <v>0</v>
          </cell>
          <cell r="T1234">
            <v>0</v>
          </cell>
          <cell r="U1234">
            <v>0</v>
          </cell>
          <cell r="W1234">
            <v>0</v>
          </cell>
          <cell r="X1234">
            <v>0</v>
          </cell>
          <cell r="Z1234">
            <v>0</v>
          </cell>
          <cell r="AA1234">
            <v>0</v>
          </cell>
          <cell r="AC1234">
            <v>0</v>
          </cell>
          <cell r="AD1234">
            <v>0</v>
          </cell>
          <cell r="AF1234">
            <v>0</v>
          </cell>
          <cell r="AG1234">
            <v>0</v>
          </cell>
          <cell r="AI1234">
            <v>0</v>
          </cell>
          <cell r="AJ1234">
            <v>0</v>
          </cell>
          <cell r="AL1234">
            <v>0</v>
          </cell>
          <cell r="AM1234">
            <v>0</v>
          </cell>
          <cell r="AO1234">
            <v>0</v>
          </cell>
          <cell r="AP1234">
            <v>0</v>
          </cell>
          <cell r="AR1234">
            <v>0</v>
          </cell>
          <cell r="AS1234">
            <v>0</v>
          </cell>
          <cell r="BF1234" t="str">
            <v>7100</v>
          </cell>
          <cell r="BG1234" t="str">
            <v>Z000</v>
          </cell>
          <cell r="BH1234" t="str">
            <v>GML</v>
          </cell>
        </row>
        <row r="1235">
          <cell r="K1235">
            <v>0</v>
          </cell>
          <cell r="L1235">
            <v>0</v>
          </cell>
          <cell r="N1235">
            <v>78000</v>
          </cell>
          <cell r="O1235">
            <v>0</v>
          </cell>
          <cell r="Q1235">
            <v>0</v>
          </cell>
          <cell r="R1235">
            <v>0</v>
          </cell>
          <cell r="T1235">
            <v>0</v>
          </cell>
          <cell r="U1235">
            <v>0</v>
          </cell>
          <cell r="W1235">
            <v>-78000</v>
          </cell>
          <cell r="X1235">
            <v>0</v>
          </cell>
          <cell r="Z1235">
            <v>0</v>
          </cell>
          <cell r="AA1235">
            <v>0</v>
          </cell>
          <cell r="AC1235">
            <v>0</v>
          </cell>
          <cell r="AD1235">
            <v>0</v>
          </cell>
          <cell r="AF1235">
            <v>0</v>
          </cell>
          <cell r="AG1235">
            <v>0</v>
          </cell>
          <cell r="AI1235">
            <v>0</v>
          </cell>
          <cell r="AJ1235">
            <v>0</v>
          </cell>
          <cell r="AL1235">
            <v>0</v>
          </cell>
          <cell r="AM1235">
            <v>0</v>
          </cell>
          <cell r="AO1235">
            <v>0</v>
          </cell>
          <cell r="AP1235">
            <v>0</v>
          </cell>
          <cell r="AR1235">
            <v>0</v>
          </cell>
          <cell r="AS1235">
            <v>0</v>
          </cell>
          <cell r="BF1235" t="str">
            <v>7300</v>
          </cell>
          <cell r="BG1235" t="str">
            <v>Z000</v>
          </cell>
          <cell r="BH1235" t="str">
            <v>GML</v>
          </cell>
        </row>
        <row r="1236">
          <cell r="K1236">
            <v>0</v>
          </cell>
          <cell r="L1236">
            <v>0</v>
          </cell>
          <cell r="N1236">
            <v>0</v>
          </cell>
          <cell r="O1236">
            <v>0</v>
          </cell>
          <cell r="Q1236">
            <v>0</v>
          </cell>
          <cell r="R1236">
            <v>0</v>
          </cell>
          <cell r="T1236">
            <v>0</v>
          </cell>
          <cell r="U1236">
            <v>0</v>
          </cell>
          <cell r="W1236">
            <v>0</v>
          </cell>
          <cell r="X1236">
            <v>0</v>
          </cell>
          <cell r="Z1236">
            <v>0</v>
          </cell>
          <cell r="AA1236">
            <v>0</v>
          </cell>
          <cell r="AC1236">
            <v>0</v>
          </cell>
          <cell r="AD1236">
            <v>0</v>
          </cell>
          <cell r="AF1236">
            <v>0</v>
          </cell>
          <cell r="AG1236">
            <v>0</v>
          </cell>
          <cell r="AI1236">
            <v>0</v>
          </cell>
          <cell r="AJ1236">
            <v>0</v>
          </cell>
          <cell r="AL1236">
            <v>0</v>
          </cell>
          <cell r="AM1236">
            <v>0</v>
          </cell>
          <cell r="AO1236">
            <v>315750</v>
          </cell>
          <cell r="AP1236">
            <v>0</v>
          </cell>
          <cell r="AR1236">
            <v>0</v>
          </cell>
          <cell r="AS1236">
            <v>0</v>
          </cell>
          <cell r="BF1236" t="str">
            <v>7350</v>
          </cell>
          <cell r="BG1236" t="str">
            <v>Z000</v>
          </cell>
          <cell r="BH1236" t="str">
            <v>GML</v>
          </cell>
        </row>
        <row r="1237">
          <cell r="K1237">
            <v>0</v>
          </cell>
          <cell r="L1237">
            <v>0</v>
          </cell>
          <cell r="N1237">
            <v>0</v>
          </cell>
          <cell r="O1237">
            <v>0</v>
          </cell>
          <cell r="Q1237">
            <v>0</v>
          </cell>
          <cell r="R1237">
            <v>0</v>
          </cell>
          <cell r="T1237">
            <v>0</v>
          </cell>
          <cell r="U1237">
            <v>0</v>
          </cell>
          <cell r="W1237">
            <v>0</v>
          </cell>
          <cell r="X1237">
            <v>0</v>
          </cell>
          <cell r="Z1237">
            <v>0</v>
          </cell>
          <cell r="AA1237">
            <v>0</v>
          </cell>
          <cell r="AC1237">
            <v>0</v>
          </cell>
          <cell r="AD1237">
            <v>0</v>
          </cell>
          <cell r="AF1237">
            <v>0</v>
          </cell>
          <cell r="AG1237">
            <v>0</v>
          </cell>
          <cell r="AI1237">
            <v>0</v>
          </cell>
          <cell r="AJ1237">
            <v>0</v>
          </cell>
          <cell r="AL1237">
            <v>0</v>
          </cell>
          <cell r="AM1237">
            <v>0</v>
          </cell>
          <cell r="AO1237">
            <v>0</v>
          </cell>
          <cell r="AP1237">
            <v>0</v>
          </cell>
          <cell r="AR1237">
            <v>0</v>
          </cell>
          <cell r="AS1237">
            <v>0</v>
          </cell>
          <cell r="BF1237" t="str">
            <v>7400</v>
          </cell>
          <cell r="BG1237" t="str">
            <v>Z000</v>
          </cell>
          <cell r="BH1237" t="str">
            <v>GML</v>
          </cell>
        </row>
        <row r="1238">
          <cell r="K1238">
            <v>0</v>
          </cell>
          <cell r="L1238">
            <v>0</v>
          </cell>
          <cell r="N1238">
            <v>989699</v>
          </cell>
          <cell r="O1238">
            <v>0</v>
          </cell>
          <cell r="Q1238">
            <v>984000</v>
          </cell>
          <cell r="R1238">
            <v>0</v>
          </cell>
          <cell r="T1238">
            <v>205700</v>
          </cell>
          <cell r="U1238">
            <v>0</v>
          </cell>
          <cell r="W1238">
            <v>-205700</v>
          </cell>
          <cell r="X1238">
            <v>0</v>
          </cell>
          <cell r="Z1238">
            <v>0</v>
          </cell>
          <cell r="AA1238">
            <v>0</v>
          </cell>
          <cell r="AC1238">
            <v>-984000</v>
          </cell>
          <cell r="AD1238">
            <v>0</v>
          </cell>
          <cell r="AF1238">
            <v>0</v>
          </cell>
          <cell r="AG1238">
            <v>0</v>
          </cell>
          <cell r="AI1238">
            <v>-989699</v>
          </cell>
          <cell r="AJ1238">
            <v>0</v>
          </cell>
          <cell r="AL1238">
            <v>0</v>
          </cell>
          <cell r="AM1238">
            <v>0</v>
          </cell>
          <cell r="AO1238">
            <v>0</v>
          </cell>
          <cell r="AP1238">
            <v>0</v>
          </cell>
          <cell r="AR1238">
            <v>230115</v>
          </cell>
          <cell r="AS1238">
            <v>0</v>
          </cell>
          <cell r="BF1238" t="str">
            <v>7500</v>
          </cell>
          <cell r="BG1238" t="str">
            <v>Z000</v>
          </cell>
          <cell r="BH1238" t="str">
            <v>GML</v>
          </cell>
        </row>
        <row r="1239">
          <cell r="K1239">
            <v>0</v>
          </cell>
          <cell r="L1239">
            <v>0</v>
          </cell>
          <cell r="N1239">
            <v>0</v>
          </cell>
          <cell r="O1239">
            <v>0</v>
          </cell>
          <cell r="Q1239">
            <v>0</v>
          </cell>
          <cell r="R1239">
            <v>0</v>
          </cell>
          <cell r="T1239">
            <v>0</v>
          </cell>
          <cell r="U1239">
            <v>0</v>
          </cell>
          <cell r="W1239">
            <v>0</v>
          </cell>
          <cell r="X1239">
            <v>0</v>
          </cell>
          <cell r="Z1239">
            <v>0</v>
          </cell>
          <cell r="AA1239">
            <v>0</v>
          </cell>
          <cell r="AC1239">
            <v>0</v>
          </cell>
          <cell r="AD1239">
            <v>0</v>
          </cell>
          <cell r="AF1239">
            <v>0</v>
          </cell>
          <cell r="AG1239">
            <v>0</v>
          </cell>
          <cell r="AI1239">
            <v>0</v>
          </cell>
          <cell r="AJ1239">
            <v>0</v>
          </cell>
          <cell r="AL1239">
            <v>0</v>
          </cell>
          <cell r="AM1239">
            <v>0</v>
          </cell>
          <cell r="AO1239">
            <v>0</v>
          </cell>
          <cell r="AP1239">
            <v>0</v>
          </cell>
          <cell r="AR1239">
            <v>0</v>
          </cell>
          <cell r="AS1239">
            <v>0</v>
          </cell>
          <cell r="BF1239" t="str">
            <v>7600</v>
          </cell>
          <cell r="BG1239" t="str">
            <v>Z000</v>
          </cell>
          <cell r="BH1239" t="str">
            <v>GML</v>
          </cell>
        </row>
        <row r="1240">
          <cell r="K1240">
            <v>0</v>
          </cell>
          <cell r="L1240">
            <v>0</v>
          </cell>
          <cell r="N1240">
            <v>0</v>
          </cell>
          <cell r="O1240">
            <v>0</v>
          </cell>
          <cell r="Q1240">
            <v>0</v>
          </cell>
          <cell r="R1240">
            <v>0</v>
          </cell>
          <cell r="T1240">
            <v>0</v>
          </cell>
          <cell r="U1240">
            <v>0</v>
          </cell>
          <cell r="W1240">
            <v>0</v>
          </cell>
          <cell r="X1240">
            <v>0</v>
          </cell>
          <cell r="Z1240">
            <v>0</v>
          </cell>
          <cell r="AA1240">
            <v>0</v>
          </cell>
          <cell r="AC1240">
            <v>0</v>
          </cell>
          <cell r="AD1240">
            <v>0</v>
          </cell>
          <cell r="AF1240">
            <v>0</v>
          </cell>
          <cell r="AG1240">
            <v>0</v>
          </cell>
          <cell r="AI1240">
            <v>0</v>
          </cell>
          <cell r="AJ1240">
            <v>0</v>
          </cell>
          <cell r="AL1240">
            <v>0</v>
          </cell>
          <cell r="AM1240">
            <v>0</v>
          </cell>
          <cell r="AO1240">
            <v>0</v>
          </cell>
          <cell r="AP1240">
            <v>0</v>
          </cell>
          <cell r="AR1240">
            <v>0</v>
          </cell>
          <cell r="AS1240">
            <v>0</v>
          </cell>
          <cell r="BF1240" t="str">
            <v>7700</v>
          </cell>
          <cell r="BG1240" t="str">
            <v>Z000</v>
          </cell>
          <cell r="BH1240" t="str">
            <v>GML</v>
          </cell>
        </row>
        <row r="1241">
          <cell r="K1241">
            <v>3552404.51</v>
          </cell>
          <cell r="L1241">
            <v>0</v>
          </cell>
          <cell r="N1241">
            <v>13852687.200000001</v>
          </cell>
          <cell r="O1241">
            <v>0</v>
          </cell>
          <cell r="Q1241">
            <v>10453790.649999999</v>
          </cell>
          <cell r="R1241">
            <v>0</v>
          </cell>
          <cell r="T1241">
            <v>26745141.589999981</v>
          </cell>
          <cell r="U1241">
            <v>0</v>
          </cell>
          <cell r="W1241">
            <v>-8443609.1600000039</v>
          </cell>
          <cell r="X1241">
            <v>0</v>
          </cell>
          <cell r="Z1241">
            <v>-11750688.37999998</v>
          </cell>
          <cell r="AA1241">
            <v>0</v>
          </cell>
          <cell r="AC1241">
            <v>48609052.849999994</v>
          </cell>
          <cell r="AD1241">
            <v>0</v>
          </cell>
          <cell r="AF1241">
            <v>66166490.620000035</v>
          </cell>
          <cell r="AG1241">
            <v>0</v>
          </cell>
          <cell r="AI1241">
            <v>-34106308.659999996</v>
          </cell>
          <cell r="AJ1241">
            <v>0</v>
          </cell>
          <cell r="AL1241">
            <v>80477285.820000052</v>
          </cell>
          <cell r="AM1241">
            <v>0</v>
          </cell>
          <cell r="AO1241">
            <v>-58188286.780000031</v>
          </cell>
          <cell r="AP1241">
            <v>0</v>
          </cell>
          <cell r="AR1241">
            <v>-18428148.759999931</v>
          </cell>
          <cell r="AS1241">
            <v>0</v>
          </cell>
          <cell r="BF1241" t="str">
            <v>8002</v>
          </cell>
          <cell r="BG1241" t="str">
            <v>Z000</v>
          </cell>
          <cell r="BH1241" t="str">
            <v>GML</v>
          </cell>
        </row>
        <row r="1242">
          <cell r="K1242">
            <v>0</v>
          </cell>
          <cell r="L1242">
            <v>0</v>
          </cell>
          <cell r="N1242">
            <v>0</v>
          </cell>
          <cell r="O1242">
            <v>0</v>
          </cell>
          <cell r="Q1242">
            <v>0</v>
          </cell>
          <cell r="R1242">
            <v>0</v>
          </cell>
          <cell r="T1242">
            <v>0</v>
          </cell>
          <cell r="U1242">
            <v>0</v>
          </cell>
          <cell r="W1242">
            <v>0</v>
          </cell>
          <cell r="X1242">
            <v>0</v>
          </cell>
          <cell r="Z1242">
            <v>0</v>
          </cell>
          <cell r="AA1242">
            <v>0</v>
          </cell>
          <cell r="AC1242">
            <v>0</v>
          </cell>
          <cell r="AD1242">
            <v>0</v>
          </cell>
          <cell r="AF1242">
            <v>0</v>
          </cell>
          <cell r="AG1242">
            <v>0</v>
          </cell>
          <cell r="AI1242">
            <v>0</v>
          </cell>
          <cell r="AJ1242">
            <v>0</v>
          </cell>
          <cell r="AL1242">
            <v>0</v>
          </cell>
          <cell r="AM1242">
            <v>0</v>
          </cell>
          <cell r="AO1242">
            <v>0</v>
          </cell>
          <cell r="AP1242">
            <v>0</v>
          </cell>
          <cell r="AR1242">
            <v>0</v>
          </cell>
          <cell r="AS1242">
            <v>0</v>
          </cell>
          <cell r="BF1242" t="str">
            <v>8003</v>
          </cell>
          <cell r="BG1242" t="str">
            <v>Z000</v>
          </cell>
          <cell r="BH1242" t="str">
            <v>GML</v>
          </cell>
        </row>
        <row r="1243">
          <cell r="K1243">
            <v>45172410.289999984</v>
          </cell>
          <cell r="L1243">
            <v>0</v>
          </cell>
          <cell r="N1243">
            <v>61648772.650000021</v>
          </cell>
          <cell r="O1243">
            <v>0</v>
          </cell>
          <cell r="Q1243">
            <v>86428221.809999913</v>
          </cell>
          <cell r="R1243">
            <v>0</v>
          </cell>
          <cell r="T1243">
            <v>32072625.930000186</v>
          </cell>
          <cell r="U1243">
            <v>0</v>
          </cell>
          <cell r="W1243">
            <v>170383107.11369997</v>
          </cell>
          <cell r="X1243">
            <v>0</v>
          </cell>
          <cell r="Z1243">
            <v>106520094.58760005</v>
          </cell>
          <cell r="AA1243">
            <v>0</v>
          </cell>
          <cell r="AC1243">
            <v>113522172.74999976</v>
          </cell>
          <cell r="AD1243">
            <v>0</v>
          </cell>
          <cell r="AF1243">
            <v>79831151.53000021</v>
          </cell>
          <cell r="AG1243">
            <v>0</v>
          </cell>
          <cell r="AI1243">
            <v>100964922.92000091</v>
          </cell>
          <cell r="AJ1243">
            <v>0</v>
          </cell>
          <cell r="AL1243">
            <v>61449771.479999542</v>
          </cell>
          <cell r="AM1243">
            <v>0</v>
          </cell>
          <cell r="AO1243">
            <v>33564222.479999423</v>
          </cell>
          <cell r="AP1243">
            <v>0</v>
          </cell>
          <cell r="AR1243">
            <v>150421350.89999938</v>
          </cell>
          <cell r="AS1243">
            <v>0</v>
          </cell>
          <cell r="BF1243" t="str">
            <v>8200</v>
          </cell>
          <cell r="BG1243" t="str">
            <v>Z000</v>
          </cell>
          <cell r="BH1243" t="str">
            <v>GML</v>
          </cell>
        </row>
        <row r="1244">
          <cell r="K1244">
            <v>-3515666.5999999996</v>
          </cell>
          <cell r="L1244">
            <v>0</v>
          </cell>
          <cell r="N1244">
            <v>-5530737.339999998</v>
          </cell>
          <cell r="O1244">
            <v>0</v>
          </cell>
          <cell r="Q1244">
            <v>-6276050.0200000033</v>
          </cell>
          <cell r="R1244">
            <v>0</v>
          </cell>
          <cell r="T1244">
            <v>-2384133.2099999972</v>
          </cell>
          <cell r="U1244">
            <v>0</v>
          </cell>
          <cell r="W1244">
            <v>-13019270.91</v>
          </cell>
          <cell r="X1244">
            <v>0</v>
          </cell>
          <cell r="Z1244">
            <v>-8092116.6400000006</v>
          </cell>
          <cell r="AA1244">
            <v>0</v>
          </cell>
          <cell r="AC1244">
            <v>-7906916.4899999946</v>
          </cell>
          <cell r="AD1244">
            <v>0</v>
          </cell>
          <cell r="AF1244">
            <v>-5773566.900000006</v>
          </cell>
          <cell r="AG1244">
            <v>0</v>
          </cell>
          <cell r="AI1244">
            <v>-6682533.6700000018</v>
          </cell>
          <cell r="AJ1244">
            <v>0</v>
          </cell>
          <cell r="AL1244">
            <v>-3202973</v>
          </cell>
          <cell r="AM1244">
            <v>0</v>
          </cell>
          <cell r="AO1244">
            <v>-1539781</v>
          </cell>
          <cell r="AP1244">
            <v>0</v>
          </cell>
          <cell r="AR1244">
            <v>5462542.5700000003</v>
          </cell>
          <cell r="AS1244">
            <v>0</v>
          </cell>
          <cell r="BF1244" t="str">
            <v>8201</v>
          </cell>
          <cell r="BG1244" t="str">
            <v>Z000</v>
          </cell>
          <cell r="BH1244" t="str">
            <v>GML</v>
          </cell>
        </row>
        <row r="1245">
          <cell r="K1245">
            <v>596048.69999999995</v>
          </cell>
          <cell r="L1245">
            <v>0</v>
          </cell>
          <cell r="N1245">
            <v>3889254.58</v>
          </cell>
          <cell r="O1245">
            <v>0</v>
          </cell>
          <cell r="Q1245">
            <v>214972.46999999974</v>
          </cell>
          <cell r="R1245">
            <v>0</v>
          </cell>
          <cell r="T1245">
            <v>1458.3700000010431</v>
          </cell>
          <cell r="U1245">
            <v>0</v>
          </cell>
          <cell r="W1245">
            <v>3638682.6300000027</v>
          </cell>
          <cell r="X1245">
            <v>0</v>
          </cell>
          <cell r="Z1245">
            <v>2600686</v>
          </cell>
          <cell r="AA1245">
            <v>0</v>
          </cell>
          <cell r="AC1245">
            <v>2327489.4299999997</v>
          </cell>
          <cell r="AD1245">
            <v>0</v>
          </cell>
          <cell r="AF1245">
            <v>2397874.2099999972</v>
          </cell>
          <cell r="AG1245">
            <v>0</v>
          </cell>
          <cell r="AI1245">
            <v>3067441.3500000015</v>
          </cell>
          <cell r="AJ1245">
            <v>0</v>
          </cell>
          <cell r="AL1245">
            <v>742333.49000000209</v>
          </cell>
          <cell r="AM1245">
            <v>0</v>
          </cell>
          <cell r="AO1245">
            <v>-2977231.4899999909</v>
          </cell>
          <cell r="AP1245">
            <v>0</v>
          </cell>
          <cell r="AR1245">
            <v>1975940.0000000037</v>
          </cell>
          <cell r="AS1245">
            <v>0</v>
          </cell>
          <cell r="BF1245" t="str">
            <v>8300</v>
          </cell>
          <cell r="BG1245" t="str">
            <v>Z000</v>
          </cell>
          <cell r="BH1245" t="str">
            <v>GML</v>
          </cell>
        </row>
        <row r="1246">
          <cell r="K1246">
            <v>34008.79999999702</v>
          </cell>
          <cell r="L1246">
            <v>0</v>
          </cell>
          <cell r="N1246">
            <v>-34008.80000000447</v>
          </cell>
          <cell r="O1246">
            <v>0</v>
          </cell>
          <cell r="Q1246">
            <v>-160000</v>
          </cell>
          <cell r="R1246">
            <v>0</v>
          </cell>
          <cell r="T1246">
            <v>0</v>
          </cell>
          <cell r="U1246">
            <v>0</v>
          </cell>
          <cell r="W1246">
            <v>160000</v>
          </cell>
          <cell r="X1246">
            <v>0</v>
          </cell>
          <cell r="Z1246">
            <v>0</v>
          </cell>
          <cell r="AA1246">
            <v>0</v>
          </cell>
          <cell r="AC1246">
            <v>0</v>
          </cell>
          <cell r="AD1246">
            <v>0</v>
          </cell>
          <cell r="AF1246">
            <v>121126.97000000626</v>
          </cell>
          <cell r="AG1246">
            <v>0</v>
          </cell>
          <cell r="AI1246">
            <v>-121126.96999999881</v>
          </cell>
          <cell r="AJ1246">
            <v>0</v>
          </cell>
          <cell r="AL1246">
            <v>0</v>
          </cell>
          <cell r="AM1246">
            <v>0</v>
          </cell>
          <cell r="AO1246">
            <v>0</v>
          </cell>
          <cell r="AP1246">
            <v>0</v>
          </cell>
          <cell r="AR1246">
            <v>143064.14999999851</v>
          </cell>
          <cell r="AS1246">
            <v>0</v>
          </cell>
          <cell r="BF1246" t="str">
            <v>8400</v>
          </cell>
          <cell r="BG1246" t="str">
            <v>N001</v>
          </cell>
          <cell r="BH1246" t="str">
            <v>GML</v>
          </cell>
        </row>
        <row r="1247">
          <cell r="K1247">
            <v>18749608.879999995</v>
          </cell>
          <cell r="L1247">
            <v>0</v>
          </cell>
          <cell r="N1247">
            <v>-17777310.669999987</v>
          </cell>
          <cell r="O1247">
            <v>0</v>
          </cell>
          <cell r="Q1247">
            <v>1024070.3700000644</v>
          </cell>
          <cell r="R1247">
            <v>0</v>
          </cell>
          <cell r="T1247">
            <v>-5022573.560000062</v>
          </cell>
          <cell r="U1247">
            <v>0</v>
          </cell>
          <cell r="W1247">
            <v>-900396.06999993324</v>
          </cell>
          <cell r="X1247">
            <v>0</v>
          </cell>
          <cell r="Z1247">
            <v>2918.4400000572205</v>
          </cell>
          <cell r="AA1247">
            <v>0</v>
          </cell>
          <cell r="AC1247">
            <v>-914.01999998092651</v>
          </cell>
          <cell r="AD1247">
            <v>0</v>
          </cell>
          <cell r="AF1247">
            <v>-715.02999997138977</v>
          </cell>
          <cell r="AG1247">
            <v>0</v>
          </cell>
          <cell r="AI1247">
            <v>-2699.6699999570847</v>
          </cell>
          <cell r="AJ1247">
            <v>0</v>
          </cell>
          <cell r="AL1247">
            <v>-1363.5</v>
          </cell>
          <cell r="AM1247">
            <v>0</v>
          </cell>
          <cell r="AO1247">
            <v>-224.80999994277954</v>
          </cell>
          <cell r="AP1247">
            <v>0</v>
          </cell>
          <cell r="AR1247">
            <v>485.8400000333786</v>
          </cell>
          <cell r="AS1247">
            <v>0</v>
          </cell>
          <cell r="BF1247" t="str">
            <v>8400</v>
          </cell>
          <cell r="BG1247" t="str">
            <v>N002</v>
          </cell>
          <cell r="BH1247" t="str">
            <v>GML</v>
          </cell>
        </row>
        <row r="1248">
          <cell r="K1248">
            <v>-266509.01999998093</v>
          </cell>
          <cell r="L1248">
            <v>0</v>
          </cell>
          <cell r="N1248">
            <v>10261751.25</v>
          </cell>
          <cell r="O1248">
            <v>0</v>
          </cell>
          <cell r="Q1248">
            <v>-7077862.0099999607</v>
          </cell>
          <cell r="R1248">
            <v>0</v>
          </cell>
          <cell r="T1248">
            <v>-6219774.2399999201</v>
          </cell>
          <cell r="U1248">
            <v>0</v>
          </cell>
          <cell r="W1248">
            <v>-1392100.1699999273</v>
          </cell>
          <cell r="X1248">
            <v>0</v>
          </cell>
          <cell r="Z1248">
            <v>3918288.1400000453</v>
          </cell>
          <cell r="AA1248">
            <v>0</v>
          </cell>
          <cell r="AC1248">
            <v>-6563041.5699997544</v>
          </cell>
          <cell r="AD1248">
            <v>0</v>
          </cell>
          <cell r="AF1248">
            <v>2367275.0700000525</v>
          </cell>
          <cell r="AG1248">
            <v>0</v>
          </cell>
          <cell r="AI1248">
            <v>67232038.840000153</v>
          </cell>
          <cell r="AJ1248">
            <v>0</v>
          </cell>
          <cell r="AL1248">
            <v>-100733867.2900002</v>
          </cell>
          <cell r="AM1248">
            <v>0</v>
          </cell>
          <cell r="AO1248">
            <v>27486084.989999413</v>
          </cell>
          <cell r="AP1248">
            <v>0</v>
          </cell>
          <cell r="AR1248">
            <v>946108.09999990463</v>
          </cell>
          <cell r="AS1248">
            <v>0</v>
          </cell>
          <cell r="BF1248" t="str">
            <v>8400</v>
          </cell>
          <cell r="BG1248" t="str">
            <v>N003</v>
          </cell>
          <cell r="BH1248" t="str">
            <v>GML</v>
          </cell>
        </row>
        <row r="1249">
          <cell r="K1249">
            <v>9127294.1699999943</v>
          </cell>
          <cell r="L1249">
            <v>0</v>
          </cell>
          <cell r="N1249">
            <v>-8410051.2099999487</v>
          </cell>
          <cell r="O1249">
            <v>0</v>
          </cell>
          <cell r="Q1249">
            <v>-8269583.6699999273</v>
          </cell>
          <cell r="R1249">
            <v>0</v>
          </cell>
          <cell r="T1249">
            <v>11256096.339999974</v>
          </cell>
          <cell r="U1249">
            <v>0</v>
          </cell>
          <cell r="W1249">
            <v>2882830.4100000858</v>
          </cell>
          <cell r="X1249">
            <v>0</v>
          </cell>
          <cell r="Z1249">
            <v>196744.92000001669</v>
          </cell>
          <cell r="AA1249">
            <v>0</v>
          </cell>
          <cell r="AC1249">
            <v>-59004.889999985695</v>
          </cell>
          <cell r="AD1249">
            <v>0</v>
          </cell>
          <cell r="AF1249">
            <v>37520.790000021458</v>
          </cell>
          <cell r="AG1249">
            <v>0</v>
          </cell>
          <cell r="AI1249">
            <v>82610.699999988079</v>
          </cell>
          <cell r="AJ1249">
            <v>0</v>
          </cell>
          <cell r="AL1249">
            <v>1862022.1299999356</v>
          </cell>
          <cell r="AM1249">
            <v>0</v>
          </cell>
          <cell r="AO1249">
            <v>1072506.0999999642</v>
          </cell>
          <cell r="AP1249">
            <v>0</v>
          </cell>
          <cell r="AR1249">
            <v>-3016805.4199999571</v>
          </cell>
          <cell r="AS1249">
            <v>0</v>
          </cell>
          <cell r="BF1249" t="str">
            <v>8400</v>
          </cell>
          <cell r="BG1249" t="str">
            <v>N004</v>
          </cell>
          <cell r="BH1249" t="str">
            <v>GML</v>
          </cell>
        </row>
        <row r="1250">
          <cell r="K1250">
            <v>-382483.68999999948</v>
          </cell>
          <cell r="L1250">
            <v>0</v>
          </cell>
          <cell r="N1250">
            <v>-895330.8599999994</v>
          </cell>
          <cell r="O1250">
            <v>0</v>
          </cell>
          <cell r="Q1250">
            <v>283730.28000000119</v>
          </cell>
          <cell r="R1250">
            <v>0</v>
          </cell>
          <cell r="T1250">
            <v>995619.77000000328</v>
          </cell>
          <cell r="U1250">
            <v>0</v>
          </cell>
          <cell r="W1250">
            <v>-1351872.0899999887</v>
          </cell>
          <cell r="X1250">
            <v>0</v>
          </cell>
          <cell r="Z1250">
            <v>73410.569999985397</v>
          </cell>
          <cell r="AA1250">
            <v>0</v>
          </cell>
          <cell r="AC1250">
            <v>206696.19999998808</v>
          </cell>
          <cell r="AD1250">
            <v>0</v>
          </cell>
          <cell r="AF1250">
            <v>675994.82999995351</v>
          </cell>
          <cell r="AG1250">
            <v>0</v>
          </cell>
          <cell r="AI1250">
            <v>39013462.950000048</v>
          </cell>
          <cell r="AJ1250">
            <v>0</v>
          </cell>
          <cell r="AL1250">
            <v>-26648524.900000125</v>
          </cell>
          <cell r="AM1250">
            <v>0</v>
          </cell>
          <cell r="AO1250">
            <v>47419156.00999999</v>
          </cell>
          <cell r="AP1250">
            <v>0</v>
          </cell>
          <cell r="AR1250">
            <v>-71595953.339999974</v>
          </cell>
          <cell r="AS1250">
            <v>0</v>
          </cell>
          <cell r="BF1250" t="str">
            <v>8400</v>
          </cell>
          <cell r="BG1250" t="str">
            <v>N005</v>
          </cell>
          <cell r="BH1250" t="str">
            <v>GML</v>
          </cell>
        </row>
        <row r="1251">
          <cell r="K1251">
            <v>-83.200000017881393</v>
          </cell>
          <cell r="L1251">
            <v>0</v>
          </cell>
          <cell r="N1251">
            <v>0</v>
          </cell>
          <cell r="O1251">
            <v>0</v>
          </cell>
          <cell r="Q1251">
            <v>0</v>
          </cell>
          <cell r="R1251">
            <v>0</v>
          </cell>
          <cell r="T1251">
            <v>0</v>
          </cell>
          <cell r="U1251">
            <v>0</v>
          </cell>
          <cell r="W1251">
            <v>0</v>
          </cell>
          <cell r="X1251">
            <v>0</v>
          </cell>
          <cell r="Z1251">
            <v>0</v>
          </cell>
          <cell r="AA1251">
            <v>0</v>
          </cell>
          <cell r="AC1251">
            <v>0</v>
          </cell>
          <cell r="AD1251">
            <v>0</v>
          </cell>
          <cell r="AF1251">
            <v>0</v>
          </cell>
          <cell r="AG1251">
            <v>0</v>
          </cell>
          <cell r="AI1251">
            <v>0</v>
          </cell>
          <cell r="AJ1251">
            <v>0</v>
          </cell>
          <cell r="AL1251">
            <v>0</v>
          </cell>
          <cell r="AM1251">
            <v>0</v>
          </cell>
          <cell r="AO1251">
            <v>0</v>
          </cell>
          <cell r="AP1251">
            <v>0</v>
          </cell>
          <cell r="AR1251">
            <v>-100000</v>
          </cell>
          <cell r="AS1251">
            <v>0</v>
          </cell>
          <cell r="BF1251" t="str">
            <v>8400</v>
          </cell>
          <cell r="BG1251" t="str">
            <v>N999</v>
          </cell>
          <cell r="BH1251" t="str">
            <v>GML</v>
          </cell>
        </row>
        <row r="1252">
          <cell r="K1252">
            <v>0</v>
          </cell>
          <cell r="L1252">
            <v>0</v>
          </cell>
          <cell r="N1252">
            <v>0</v>
          </cell>
          <cell r="O1252">
            <v>0</v>
          </cell>
          <cell r="Q1252">
            <v>0</v>
          </cell>
          <cell r="R1252">
            <v>0</v>
          </cell>
          <cell r="T1252">
            <v>0</v>
          </cell>
          <cell r="U1252">
            <v>0</v>
          </cell>
          <cell r="W1252">
            <v>0</v>
          </cell>
          <cell r="X1252">
            <v>0</v>
          </cell>
          <cell r="Z1252">
            <v>0</v>
          </cell>
          <cell r="AA1252">
            <v>0</v>
          </cell>
          <cell r="AC1252">
            <v>0</v>
          </cell>
          <cell r="AD1252">
            <v>0</v>
          </cell>
          <cell r="AF1252">
            <v>0</v>
          </cell>
          <cell r="AG1252">
            <v>0</v>
          </cell>
          <cell r="AI1252">
            <v>0</v>
          </cell>
          <cell r="AJ1252">
            <v>0</v>
          </cell>
          <cell r="AL1252">
            <v>0</v>
          </cell>
          <cell r="AM1252">
            <v>0</v>
          </cell>
          <cell r="AO1252">
            <v>0</v>
          </cell>
          <cell r="AP1252">
            <v>0</v>
          </cell>
          <cell r="AR1252">
            <v>0</v>
          </cell>
          <cell r="AS1252">
            <v>0</v>
          </cell>
          <cell r="BF1252" t="str">
            <v>8420</v>
          </cell>
          <cell r="BG1252" t="str">
            <v>Z000</v>
          </cell>
          <cell r="BH1252" t="str">
            <v>GML</v>
          </cell>
        </row>
        <row r="1253">
          <cell r="K1253">
            <v>-11944018.400000006</v>
          </cell>
          <cell r="L1253">
            <v>0</v>
          </cell>
          <cell r="N1253">
            <v>6274553.1099999994</v>
          </cell>
          <cell r="O1253">
            <v>0</v>
          </cell>
          <cell r="Q1253">
            <v>-200587.64999999106</v>
          </cell>
          <cell r="R1253">
            <v>0</v>
          </cell>
          <cell r="T1253">
            <v>-207947.06000000238</v>
          </cell>
          <cell r="U1253">
            <v>0</v>
          </cell>
          <cell r="W1253">
            <v>0</v>
          </cell>
          <cell r="X1253">
            <v>0</v>
          </cell>
          <cell r="Z1253">
            <v>0</v>
          </cell>
          <cell r="AA1253">
            <v>0</v>
          </cell>
          <cell r="AC1253">
            <v>0</v>
          </cell>
          <cell r="AD1253">
            <v>0</v>
          </cell>
          <cell r="AF1253">
            <v>0</v>
          </cell>
          <cell r="AG1253">
            <v>0</v>
          </cell>
          <cell r="AI1253">
            <v>50000</v>
          </cell>
          <cell r="AJ1253">
            <v>0</v>
          </cell>
          <cell r="AL1253">
            <v>-31816.739999994636</v>
          </cell>
          <cell r="AM1253">
            <v>0</v>
          </cell>
          <cell r="AO1253">
            <v>-18183.260000005364</v>
          </cell>
          <cell r="AP1253">
            <v>0</v>
          </cell>
          <cell r="AR1253">
            <v>-1.7099999934434891</v>
          </cell>
          <cell r="AS1253">
            <v>0</v>
          </cell>
          <cell r="BF1253" t="str">
            <v>8500</v>
          </cell>
          <cell r="BG1253" t="str">
            <v>O101</v>
          </cell>
          <cell r="BH1253" t="str">
            <v>GML</v>
          </cell>
        </row>
        <row r="1254">
          <cell r="K1254">
            <v>0</v>
          </cell>
          <cell r="L1254">
            <v>0</v>
          </cell>
          <cell r="N1254">
            <v>0</v>
          </cell>
          <cell r="O1254">
            <v>0</v>
          </cell>
          <cell r="Q1254">
            <v>0</v>
          </cell>
          <cell r="R1254">
            <v>0</v>
          </cell>
          <cell r="T1254">
            <v>4052.8700000001118</v>
          </cell>
          <cell r="U1254">
            <v>0</v>
          </cell>
          <cell r="W1254">
            <v>35529.949999999953</v>
          </cell>
          <cell r="X1254">
            <v>0</v>
          </cell>
          <cell r="Z1254">
            <v>-39582.820000000065</v>
          </cell>
          <cell r="AA1254">
            <v>0</v>
          </cell>
          <cell r="AC1254">
            <v>21565.020000000019</v>
          </cell>
          <cell r="AD1254">
            <v>0</v>
          </cell>
          <cell r="AF1254">
            <v>-21565.020000000019</v>
          </cell>
          <cell r="AG1254">
            <v>0</v>
          </cell>
          <cell r="AI1254">
            <v>0</v>
          </cell>
          <cell r="AJ1254">
            <v>0</v>
          </cell>
          <cell r="AL1254">
            <v>0</v>
          </cell>
          <cell r="AM1254">
            <v>0</v>
          </cell>
          <cell r="AO1254">
            <v>0</v>
          </cell>
          <cell r="AP1254">
            <v>0</v>
          </cell>
          <cell r="AR1254">
            <v>0</v>
          </cell>
          <cell r="AS1254">
            <v>0</v>
          </cell>
          <cell r="BF1254" t="str">
            <v>8500</v>
          </cell>
          <cell r="BG1254" t="str">
            <v>O102</v>
          </cell>
          <cell r="BH1254" t="str">
            <v>GML</v>
          </cell>
        </row>
        <row r="1255">
          <cell r="K1255">
            <v>0</v>
          </cell>
          <cell r="L1255">
            <v>0</v>
          </cell>
          <cell r="N1255">
            <v>0</v>
          </cell>
          <cell r="O1255">
            <v>0</v>
          </cell>
          <cell r="Q1255">
            <v>0</v>
          </cell>
          <cell r="R1255">
            <v>0</v>
          </cell>
          <cell r="T1255">
            <v>0</v>
          </cell>
          <cell r="U1255">
            <v>0</v>
          </cell>
          <cell r="W1255">
            <v>0</v>
          </cell>
          <cell r="X1255">
            <v>0</v>
          </cell>
          <cell r="Z1255">
            <v>0</v>
          </cell>
          <cell r="AA1255">
            <v>0</v>
          </cell>
          <cell r="AC1255">
            <v>0</v>
          </cell>
          <cell r="AD1255">
            <v>0</v>
          </cell>
          <cell r="AF1255">
            <v>0</v>
          </cell>
          <cell r="AG1255">
            <v>0</v>
          </cell>
          <cell r="AI1255">
            <v>0</v>
          </cell>
          <cell r="AJ1255">
            <v>0</v>
          </cell>
          <cell r="AL1255">
            <v>0</v>
          </cell>
          <cell r="AM1255">
            <v>0</v>
          </cell>
          <cell r="AO1255">
            <v>0</v>
          </cell>
          <cell r="AP1255">
            <v>0</v>
          </cell>
          <cell r="AR1255">
            <v>0</v>
          </cell>
          <cell r="AS1255">
            <v>0</v>
          </cell>
          <cell r="BF1255" t="str">
            <v>8500</v>
          </cell>
          <cell r="BG1255" t="str">
            <v>O103</v>
          </cell>
          <cell r="BH1255" t="str">
            <v>GML</v>
          </cell>
        </row>
        <row r="1256">
          <cell r="K1256">
            <v>0</v>
          </cell>
          <cell r="L1256">
            <v>0</v>
          </cell>
          <cell r="N1256">
            <v>0</v>
          </cell>
          <cell r="O1256">
            <v>0</v>
          </cell>
          <cell r="Q1256">
            <v>0</v>
          </cell>
          <cell r="R1256">
            <v>0</v>
          </cell>
          <cell r="T1256">
            <v>0</v>
          </cell>
          <cell r="U1256">
            <v>0</v>
          </cell>
          <cell r="W1256">
            <v>0</v>
          </cell>
          <cell r="X1256">
            <v>0</v>
          </cell>
          <cell r="Z1256">
            <v>0</v>
          </cell>
          <cell r="AA1256">
            <v>0</v>
          </cell>
          <cell r="AC1256">
            <v>0</v>
          </cell>
          <cell r="AD1256">
            <v>0</v>
          </cell>
          <cell r="AF1256">
            <v>0</v>
          </cell>
          <cell r="AG1256">
            <v>0</v>
          </cell>
          <cell r="AI1256">
            <v>0</v>
          </cell>
          <cell r="AJ1256">
            <v>0</v>
          </cell>
          <cell r="AL1256">
            <v>0</v>
          </cell>
          <cell r="AM1256">
            <v>0</v>
          </cell>
          <cell r="AO1256">
            <v>0</v>
          </cell>
          <cell r="AP1256">
            <v>0</v>
          </cell>
          <cell r="AR1256">
            <v>0</v>
          </cell>
          <cell r="AS1256">
            <v>0</v>
          </cell>
          <cell r="BF1256" t="str">
            <v>8500</v>
          </cell>
          <cell r="BG1256" t="str">
            <v>O104</v>
          </cell>
          <cell r="BH1256" t="str">
            <v>GML</v>
          </cell>
        </row>
        <row r="1257">
          <cell r="K1257">
            <v>0</v>
          </cell>
          <cell r="L1257">
            <v>0</v>
          </cell>
          <cell r="N1257">
            <v>0</v>
          </cell>
          <cell r="O1257">
            <v>0</v>
          </cell>
          <cell r="Q1257">
            <v>0</v>
          </cell>
          <cell r="R1257">
            <v>0</v>
          </cell>
          <cell r="T1257">
            <v>0</v>
          </cell>
          <cell r="U1257">
            <v>0</v>
          </cell>
          <cell r="W1257">
            <v>0</v>
          </cell>
          <cell r="X1257">
            <v>0</v>
          </cell>
          <cell r="Z1257">
            <v>0</v>
          </cell>
          <cell r="AA1257">
            <v>0</v>
          </cell>
          <cell r="AC1257">
            <v>0</v>
          </cell>
          <cell r="AD1257">
            <v>0</v>
          </cell>
          <cell r="AF1257">
            <v>0</v>
          </cell>
          <cell r="AG1257">
            <v>0</v>
          </cell>
          <cell r="AI1257">
            <v>0</v>
          </cell>
          <cell r="AJ1257">
            <v>0</v>
          </cell>
          <cell r="AL1257">
            <v>0</v>
          </cell>
          <cell r="AM1257">
            <v>0</v>
          </cell>
          <cell r="AO1257">
            <v>0</v>
          </cell>
          <cell r="AP1257">
            <v>0</v>
          </cell>
          <cell r="AR1257">
            <v>0</v>
          </cell>
          <cell r="AS1257">
            <v>0</v>
          </cell>
          <cell r="BF1257" t="str">
            <v>8500</v>
          </cell>
          <cell r="BG1257" t="str">
            <v>O105</v>
          </cell>
          <cell r="BH1257" t="str">
            <v>GML</v>
          </cell>
        </row>
        <row r="1258">
          <cell r="K1258">
            <v>0</v>
          </cell>
          <cell r="L1258">
            <v>0</v>
          </cell>
          <cell r="N1258">
            <v>0</v>
          </cell>
          <cell r="O1258">
            <v>0</v>
          </cell>
          <cell r="Q1258">
            <v>0</v>
          </cell>
          <cell r="R1258">
            <v>0</v>
          </cell>
          <cell r="T1258">
            <v>0</v>
          </cell>
          <cell r="U1258">
            <v>0</v>
          </cell>
          <cell r="W1258">
            <v>0</v>
          </cell>
          <cell r="X1258">
            <v>0</v>
          </cell>
          <cell r="Z1258">
            <v>0</v>
          </cell>
          <cell r="AA1258">
            <v>0</v>
          </cell>
          <cell r="AC1258">
            <v>0</v>
          </cell>
          <cell r="AD1258">
            <v>0</v>
          </cell>
          <cell r="AF1258">
            <v>0</v>
          </cell>
          <cell r="AG1258">
            <v>0</v>
          </cell>
          <cell r="AI1258">
            <v>0</v>
          </cell>
          <cell r="AJ1258">
            <v>0</v>
          </cell>
          <cell r="AL1258">
            <v>0</v>
          </cell>
          <cell r="AM1258">
            <v>0</v>
          </cell>
          <cell r="AO1258">
            <v>0</v>
          </cell>
          <cell r="AP1258">
            <v>0</v>
          </cell>
          <cell r="AR1258">
            <v>0</v>
          </cell>
          <cell r="AS1258">
            <v>0</v>
          </cell>
          <cell r="BF1258" t="str">
            <v>8500</v>
          </cell>
          <cell r="BG1258" t="str">
            <v>O106</v>
          </cell>
          <cell r="BH1258" t="str">
            <v>GML</v>
          </cell>
        </row>
        <row r="1259">
          <cell r="K1259">
            <v>-88334.080000000075</v>
          </cell>
          <cell r="L1259">
            <v>0</v>
          </cell>
          <cell r="N1259">
            <v>6147.9499999992549</v>
          </cell>
          <cell r="O1259">
            <v>0</v>
          </cell>
          <cell r="Q1259">
            <v>-6147.9500000001863</v>
          </cell>
          <cell r="R1259">
            <v>0</v>
          </cell>
          <cell r="T1259">
            <v>0</v>
          </cell>
          <cell r="U1259">
            <v>0</v>
          </cell>
          <cell r="W1259">
            <v>-9.3132257461547852E-10</v>
          </cell>
          <cell r="X1259">
            <v>0</v>
          </cell>
          <cell r="Z1259">
            <v>7939.9199999999255</v>
          </cell>
          <cell r="AA1259">
            <v>0</v>
          </cell>
          <cell r="AC1259">
            <v>-7939.9199999999255</v>
          </cell>
          <cell r="AD1259">
            <v>0</v>
          </cell>
          <cell r="AF1259">
            <v>24445.049999999814</v>
          </cell>
          <cell r="AG1259">
            <v>0</v>
          </cell>
          <cell r="AI1259">
            <v>27564.000000000931</v>
          </cell>
          <cell r="AJ1259">
            <v>0</v>
          </cell>
          <cell r="AL1259">
            <v>-52009.050000000745</v>
          </cell>
          <cell r="AM1259">
            <v>0</v>
          </cell>
          <cell r="AO1259">
            <v>35179.289999999106</v>
          </cell>
          <cell r="AP1259">
            <v>0</v>
          </cell>
          <cell r="AR1259">
            <v>-35179.289999999106</v>
          </cell>
          <cell r="AS1259">
            <v>0</v>
          </cell>
          <cell r="BF1259" t="str">
            <v>8600</v>
          </cell>
          <cell r="BG1259" t="str">
            <v>P201</v>
          </cell>
          <cell r="BH1259" t="str">
            <v>GML</v>
          </cell>
        </row>
        <row r="1260">
          <cell r="K1260">
            <v>0</v>
          </cell>
          <cell r="L1260">
            <v>0</v>
          </cell>
          <cell r="N1260">
            <v>0</v>
          </cell>
          <cell r="O1260">
            <v>0</v>
          </cell>
          <cell r="Q1260">
            <v>0</v>
          </cell>
          <cell r="R1260">
            <v>0</v>
          </cell>
          <cell r="T1260">
            <v>0</v>
          </cell>
          <cell r="U1260">
            <v>0</v>
          </cell>
          <cell r="W1260">
            <v>0</v>
          </cell>
          <cell r="X1260">
            <v>0</v>
          </cell>
          <cell r="Z1260">
            <v>0</v>
          </cell>
          <cell r="AA1260">
            <v>0</v>
          </cell>
          <cell r="AC1260">
            <v>0</v>
          </cell>
          <cell r="AD1260">
            <v>0</v>
          </cell>
          <cell r="AF1260">
            <v>0</v>
          </cell>
          <cell r="AG1260">
            <v>0</v>
          </cell>
          <cell r="AI1260">
            <v>0</v>
          </cell>
          <cell r="AJ1260">
            <v>0</v>
          </cell>
          <cell r="AL1260">
            <v>0</v>
          </cell>
          <cell r="AM1260">
            <v>0</v>
          </cell>
          <cell r="AO1260">
            <v>0</v>
          </cell>
          <cell r="AP1260">
            <v>0</v>
          </cell>
          <cell r="AR1260">
            <v>0</v>
          </cell>
          <cell r="AS1260">
            <v>0</v>
          </cell>
          <cell r="BF1260" t="str">
            <v>8600</v>
          </cell>
          <cell r="BG1260" t="str">
            <v>P202</v>
          </cell>
          <cell r="BH1260" t="str">
            <v>GML</v>
          </cell>
        </row>
        <row r="1261">
          <cell r="K1261">
            <v>0</v>
          </cell>
          <cell r="L1261">
            <v>0</v>
          </cell>
          <cell r="N1261">
            <v>0</v>
          </cell>
          <cell r="O1261">
            <v>0</v>
          </cell>
          <cell r="Q1261">
            <v>0</v>
          </cell>
          <cell r="R1261">
            <v>0</v>
          </cell>
          <cell r="T1261">
            <v>0</v>
          </cell>
          <cell r="U1261">
            <v>0</v>
          </cell>
          <cell r="W1261">
            <v>0</v>
          </cell>
          <cell r="X1261">
            <v>0</v>
          </cell>
          <cell r="Z1261">
            <v>0</v>
          </cell>
          <cell r="AA1261">
            <v>0</v>
          </cell>
          <cell r="AC1261">
            <v>0</v>
          </cell>
          <cell r="AD1261">
            <v>0</v>
          </cell>
          <cell r="AF1261">
            <v>0</v>
          </cell>
          <cell r="AG1261">
            <v>0</v>
          </cell>
          <cell r="AI1261">
            <v>0</v>
          </cell>
          <cell r="AJ1261">
            <v>0</v>
          </cell>
          <cell r="AL1261">
            <v>0</v>
          </cell>
          <cell r="AM1261">
            <v>0</v>
          </cell>
          <cell r="AO1261">
            <v>0</v>
          </cell>
          <cell r="AP1261">
            <v>0</v>
          </cell>
          <cell r="AR1261">
            <v>0</v>
          </cell>
          <cell r="AS1261">
            <v>0</v>
          </cell>
          <cell r="BF1261" t="str">
            <v>8600</v>
          </cell>
          <cell r="BG1261" t="str">
            <v>P203</v>
          </cell>
          <cell r="BH1261" t="str">
            <v>GML</v>
          </cell>
        </row>
        <row r="1262">
          <cell r="K1262">
            <v>0</v>
          </cell>
          <cell r="L1262">
            <v>0</v>
          </cell>
          <cell r="N1262">
            <v>0</v>
          </cell>
          <cell r="O1262">
            <v>0</v>
          </cell>
          <cell r="Q1262">
            <v>0</v>
          </cell>
          <cell r="R1262">
            <v>0</v>
          </cell>
          <cell r="T1262">
            <v>0</v>
          </cell>
          <cell r="U1262">
            <v>0</v>
          </cell>
          <cell r="W1262">
            <v>0</v>
          </cell>
          <cell r="X1262">
            <v>0</v>
          </cell>
          <cell r="Z1262">
            <v>0</v>
          </cell>
          <cell r="AA1262">
            <v>0</v>
          </cell>
          <cell r="AC1262">
            <v>0</v>
          </cell>
          <cell r="AD1262">
            <v>0</v>
          </cell>
          <cell r="AF1262">
            <v>0</v>
          </cell>
          <cell r="AG1262">
            <v>0</v>
          </cell>
          <cell r="AI1262">
            <v>0</v>
          </cell>
          <cell r="AJ1262">
            <v>0</v>
          </cell>
          <cell r="AL1262">
            <v>0</v>
          </cell>
          <cell r="AM1262">
            <v>0</v>
          </cell>
          <cell r="AO1262">
            <v>0</v>
          </cell>
          <cell r="AP1262">
            <v>0</v>
          </cell>
          <cell r="AR1262">
            <v>0</v>
          </cell>
          <cell r="AS1262">
            <v>0</v>
          </cell>
          <cell r="BF1262" t="str">
            <v>8600</v>
          </cell>
          <cell r="BG1262" t="str">
            <v>P204</v>
          </cell>
          <cell r="BH1262" t="str">
            <v>GML</v>
          </cell>
        </row>
        <row r="1263">
          <cell r="K1263">
            <v>0</v>
          </cell>
          <cell r="L1263">
            <v>0</v>
          </cell>
          <cell r="N1263">
            <v>0</v>
          </cell>
          <cell r="O1263">
            <v>0</v>
          </cell>
          <cell r="Q1263">
            <v>0</v>
          </cell>
          <cell r="R1263">
            <v>0</v>
          </cell>
          <cell r="T1263">
            <v>0</v>
          </cell>
          <cell r="U1263">
            <v>0</v>
          </cell>
          <cell r="W1263">
            <v>0</v>
          </cell>
          <cell r="X1263">
            <v>0</v>
          </cell>
          <cell r="Z1263">
            <v>0</v>
          </cell>
          <cell r="AA1263">
            <v>0</v>
          </cell>
          <cell r="AC1263">
            <v>0</v>
          </cell>
          <cell r="AD1263">
            <v>0</v>
          </cell>
          <cell r="AF1263">
            <v>0</v>
          </cell>
          <cell r="AG1263">
            <v>0</v>
          </cell>
          <cell r="AI1263">
            <v>0</v>
          </cell>
          <cell r="AJ1263">
            <v>0</v>
          </cell>
          <cell r="AL1263">
            <v>0</v>
          </cell>
          <cell r="AM1263">
            <v>0</v>
          </cell>
          <cell r="AO1263">
            <v>0</v>
          </cell>
          <cell r="AP1263">
            <v>0</v>
          </cell>
          <cell r="AR1263">
            <v>0</v>
          </cell>
          <cell r="AS1263">
            <v>0</v>
          </cell>
          <cell r="BF1263" t="str">
            <v>8600</v>
          </cell>
          <cell r="BG1263" t="str">
            <v>P205</v>
          </cell>
          <cell r="BH1263" t="str">
            <v>GML</v>
          </cell>
        </row>
        <row r="1264">
          <cell r="K1264">
            <v>0</v>
          </cell>
          <cell r="L1264">
            <v>0</v>
          </cell>
          <cell r="N1264">
            <v>0</v>
          </cell>
          <cell r="O1264">
            <v>0</v>
          </cell>
          <cell r="Q1264">
            <v>0</v>
          </cell>
          <cell r="R1264">
            <v>0</v>
          </cell>
          <cell r="T1264">
            <v>0</v>
          </cell>
          <cell r="U1264">
            <v>0</v>
          </cell>
          <cell r="W1264">
            <v>0</v>
          </cell>
          <cell r="X1264">
            <v>0</v>
          </cell>
          <cell r="Z1264">
            <v>0</v>
          </cell>
          <cell r="AA1264">
            <v>0</v>
          </cell>
          <cell r="AC1264">
            <v>0</v>
          </cell>
          <cell r="AD1264">
            <v>0</v>
          </cell>
          <cell r="AF1264">
            <v>0</v>
          </cell>
          <cell r="AG1264">
            <v>0</v>
          </cell>
          <cell r="AI1264">
            <v>0</v>
          </cell>
          <cell r="AJ1264">
            <v>0</v>
          </cell>
          <cell r="AL1264">
            <v>0</v>
          </cell>
          <cell r="AM1264">
            <v>0</v>
          </cell>
          <cell r="AO1264">
            <v>0</v>
          </cell>
          <cell r="AP1264">
            <v>0</v>
          </cell>
          <cell r="AR1264">
            <v>0</v>
          </cell>
          <cell r="AS1264">
            <v>0</v>
          </cell>
          <cell r="BF1264" t="str">
            <v>8600</v>
          </cell>
          <cell r="BG1264" t="str">
            <v>P206</v>
          </cell>
          <cell r="BH1264" t="str">
            <v>GML</v>
          </cell>
        </row>
        <row r="1265">
          <cell r="K1265">
            <v>0</v>
          </cell>
          <cell r="L1265">
            <v>0</v>
          </cell>
          <cell r="N1265">
            <v>0</v>
          </cell>
          <cell r="O1265">
            <v>0</v>
          </cell>
          <cell r="Q1265">
            <v>0</v>
          </cell>
          <cell r="R1265">
            <v>0</v>
          </cell>
          <cell r="T1265">
            <v>0</v>
          </cell>
          <cell r="U1265">
            <v>0</v>
          </cell>
          <cell r="W1265">
            <v>0</v>
          </cell>
          <cell r="X1265">
            <v>0</v>
          </cell>
          <cell r="Z1265">
            <v>0</v>
          </cell>
          <cell r="AA1265">
            <v>0</v>
          </cell>
          <cell r="AC1265">
            <v>0</v>
          </cell>
          <cell r="AD1265">
            <v>0</v>
          </cell>
          <cell r="AF1265">
            <v>0</v>
          </cell>
          <cell r="AG1265">
            <v>0</v>
          </cell>
          <cell r="AI1265">
            <v>0</v>
          </cell>
          <cell r="AJ1265">
            <v>0</v>
          </cell>
          <cell r="AL1265">
            <v>0</v>
          </cell>
          <cell r="AM1265">
            <v>0</v>
          </cell>
          <cell r="AO1265">
            <v>0</v>
          </cell>
          <cell r="AP1265">
            <v>0</v>
          </cell>
          <cell r="AR1265">
            <v>0</v>
          </cell>
          <cell r="AS1265">
            <v>0</v>
          </cell>
          <cell r="BF1265" t="str">
            <v>8600</v>
          </cell>
          <cell r="BG1265" t="str">
            <v>P207</v>
          </cell>
          <cell r="BH1265" t="str">
            <v>GML</v>
          </cell>
        </row>
        <row r="1266">
          <cell r="K1266">
            <v>7816131.7800000012</v>
          </cell>
          <cell r="L1266">
            <v>0</v>
          </cell>
          <cell r="N1266">
            <v>-9537872.2299999967</v>
          </cell>
          <cell r="O1266">
            <v>0</v>
          </cell>
          <cell r="Q1266">
            <v>2028328.5000000075</v>
          </cell>
          <cell r="R1266">
            <v>0</v>
          </cell>
          <cell r="T1266">
            <v>-184618.69999999553</v>
          </cell>
          <cell r="U1266">
            <v>0</v>
          </cell>
          <cell r="W1266">
            <v>1362787.9799999967</v>
          </cell>
          <cell r="X1266">
            <v>0</v>
          </cell>
          <cell r="Z1266">
            <v>-2351602.1599999964</v>
          </cell>
          <cell r="AA1266">
            <v>0</v>
          </cell>
          <cell r="AC1266">
            <v>5926135.6600000039</v>
          </cell>
          <cell r="AD1266">
            <v>0</v>
          </cell>
          <cell r="AF1266">
            <v>-1855856.2399999723</v>
          </cell>
          <cell r="AG1266">
            <v>0</v>
          </cell>
          <cell r="AI1266">
            <v>3527752.9700000212</v>
          </cell>
          <cell r="AJ1266">
            <v>0</v>
          </cell>
          <cell r="AL1266">
            <v>2872456.3699999899</v>
          </cell>
          <cell r="AM1266">
            <v>0</v>
          </cell>
          <cell r="AO1266">
            <v>6110006.0600000024</v>
          </cell>
          <cell r="AP1266">
            <v>0</v>
          </cell>
          <cell r="AR1266">
            <v>8695991.150000006</v>
          </cell>
          <cell r="AS1266">
            <v>0</v>
          </cell>
          <cell r="BF1266" t="str">
            <v>9000</v>
          </cell>
          <cell r="BG1266" t="str">
            <v>Z000</v>
          </cell>
          <cell r="BH1266" t="str">
            <v>GML</v>
          </cell>
        </row>
        <row r="1267">
          <cell r="K1267">
            <v>0</v>
          </cell>
          <cell r="L1267">
            <v>0</v>
          </cell>
          <cell r="N1267">
            <v>18337.919999999998</v>
          </cell>
          <cell r="O1267">
            <v>0</v>
          </cell>
          <cell r="Q1267">
            <v>-1837.9199999999983</v>
          </cell>
          <cell r="R1267">
            <v>0</v>
          </cell>
          <cell r="T1267">
            <v>312346</v>
          </cell>
          <cell r="U1267">
            <v>0</v>
          </cell>
          <cell r="W1267">
            <v>164455</v>
          </cell>
          <cell r="X1267">
            <v>0</v>
          </cell>
          <cell r="Z1267">
            <v>47748.389999999898</v>
          </cell>
          <cell r="AA1267">
            <v>0</v>
          </cell>
          <cell r="AC1267">
            <v>82340</v>
          </cell>
          <cell r="AD1267">
            <v>0</v>
          </cell>
          <cell r="AF1267">
            <v>87008</v>
          </cell>
          <cell r="AG1267">
            <v>0</v>
          </cell>
          <cell r="AI1267">
            <v>102897.60999999999</v>
          </cell>
          <cell r="AJ1267">
            <v>0</v>
          </cell>
          <cell r="AL1267">
            <v>0</v>
          </cell>
          <cell r="AM1267">
            <v>0</v>
          </cell>
          <cell r="AO1267">
            <v>0</v>
          </cell>
          <cell r="AP1267">
            <v>0</v>
          </cell>
          <cell r="AR1267">
            <v>0</v>
          </cell>
          <cell r="AS1267">
            <v>0</v>
          </cell>
          <cell r="BF1267" t="str">
            <v>9050</v>
          </cell>
          <cell r="BG1267" t="str">
            <v>Z000</v>
          </cell>
          <cell r="BH1267" t="str">
            <v>GML</v>
          </cell>
        </row>
        <row r="1268">
          <cell r="K1268">
            <v>4872293.07</v>
          </cell>
          <cell r="L1268">
            <v>0</v>
          </cell>
          <cell r="N1268">
            <v>-9610440.4299999848</v>
          </cell>
          <cell r="O1268">
            <v>0</v>
          </cell>
          <cell r="Q1268">
            <v>-15455175.959999949</v>
          </cell>
          <cell r="R1268">
            <v>0</v>
          </cell>
          <cell r="T1268">
            <v>14529274.75999999</v>
          </cell>
          <cell r="U1268">
            <v>0</v>
          </cell>
          <cell r="W1268">
            <v>23311385.503699839</v>
          </cell>
          <cell r="X1268">
            <v>0</v>
          </cell>
          <cell r="Z1268">
            <v>74482.73760008812</v>
          </cell>
          <cell r="AA1268">
            <v>0</v>
          </cell>
          <cell r="AC1268">
            <v>-12095436.960000098</v>
          </cell>
          <cell r="AD1268">
            <v>0</v>
          </cell>
          <cell r="AF1268">
            <v>-737612.95999991894</v>
          </cell>
          <cell r="AG1268">
            <v>0</v>
          </cell>
          <cell r="AI1268">
            <v>-6589725.2400003672</v>
          </cell>
          <cell r="AJ1268">
            <v>0</v>
          </cell>
          <cell r="AL1268">
            <v>1750008.6500000954</v>
          </cell>
          <cell r="AM1268">
            <v>0</v>
          </cell>
          <cell r="AO1268">
            <v>-2463302.8899997473</v>
          </cell>
          <cell r="AP1268">
            <v>0</v>
          </cell>
          <cell r="AR1268">
            <v>4256583.0800000429</v>
          </cell>
          <cell r="AS1268">
            <v>0</v>
          </cell>
          <cell r="BF1268" t="str">
            <v>9051</v>
          </cell>
          <cell r="BG1268" t="str">
            <v>Z000</v>
          </cell>
          <cell r="BH1268" t="str">
            <v>GML</v>
          </cell>
        </row>
        <row r="1269">
          <cell r="K1269">
            <v>0</v>
          </cell>
          <cell r="L1269">
            <v>0</v>
          </cell>
          <cell r="N1269">
            <v>0</v>
          </cell>
          <cell r="O1269">
            <v>0</v>
          </cell>
          <cell r="Q1269">
            <v>0</v>
          </cell>
          <cell r="R1269">
            <v>0</v>
          </cell>
          <cell r="T1269">
            <v>0</v>
          </cell>
          <cell r="U1269">
            <v>0</v>
          </cell>
          <cell r="W1269">
            <v>0</v>
          </cell>
          <cell r="X1269">
            <v>0</v>
          </cell>
          <cell r="Z1269">
            <v>0</v>
          </cell>
          <cell r="AA1269">
            <v>0</v>
          </cell>
          <cell r="AC1269">
            <v>0</v>
          </cell>
          <cell r="AD1269">
            <v>0</v>
          </cell>
          <cell r="AF1269">
            <v>0</v>
          </cell>
          <cell r="AG1269">
            <v>0</v>
          </cell>
          <cell r="AI1269">
            <v>0</v>
          </cell>
          <cell r="AJ1269">
            <v>0</v>
          </cell>
          <cell r="AL1269">
            <v>0</v>
          </cell>
          <cell r="AM1269">
            <v>0</v>
          </cell>
          <cell r="AO1269">
            <v>0</v>
          </cell>
          <cell r="AP1269">
            <v>0</v>
          </cell>
          <cell r="AR1269">
            <v>0</v>
          </cell>
          <cell r="AS1269">
            <v>0</v>
          </cell>
          <cell r="BF1269" t="str">
            <v>9100</v>
          </cell>
          <cell r="BG1269" t="str">
            <v>Z000</v>
          </cell>
          <cell r="BH1269" t="str">
            <v>GML</v>
          </cell>
        </row>
        <row r="1270">
          <cell r="K1270">
            <v>143014.5</v>
          </cell>
          <cell r="L1270">
            <v>0</v>
          </cell>
          <cell r="N1270">
            <v>467259.55999999866</v>
          </cell>
          <cell r="O1270">
            <v>0</v>
          </cell>
          <cell r="Q1270">
            <v>-255836.06000000052</v>
          </cell>
          <cell r="R1270">
            <v>0</v>
          </cell>
          <cell r="T1270">
            <v>162930.00000000186</v>
          </cell>
          <cell r="U1270">
            <v>0</v>
          </cell>
          <cell r="W1270">
            <v>127566</v>
          </cell>
          <cell r="X1270">
            <v>0</v>
          </cell>
          <cell r="Z1270">
            <v>1152065.0199999996</v>
          </cell>
          <cell r="AA1270">
            <v>0</v>
          </cell>
          <cell r="AC1270">
            <v>-661760.8200000003</v>
          </cell>
          <cell r="AD1270">
            <v>0</v>
          </cell>
          <cell r="AF1270">
            <v>1258168.0099999942</v>
          </cell>
          <cell r="AG1270">
            <v>0</v>
          </cell>
          <cell r="AI1270">
            <v>-1361371.5099999979</v>
          </cell>
          <cell r="AJ1270">
            <v>0</v>
          </cell>
          <cell r="AL1270">
            <v>118199.42000000179</v>
          </cell>
          <cell r="AM1270">
            <v>0</v>
          </cell>
          <cell r="AO1270">
            <v>-409111.62000000477</v>
          </cell>
          <cell r="AP1270">
            <v>0</v>
          </cell>
          <cell r="AR1270">
            <v>560860.07999999821</v>
          </cell>
          <cell r="AS1270">
            <v>0</v>
          </cell>
          <cell r="BF1270" t="str">
            <v>9200</v>
          </cell>
          <cell r="BG1270" t="str">
            <v>Q001</v>
          </cell>
          <cell r="BH1270" t="str">
            <v>GML</v>
          </cell>
        </row>
        <row r="1271">
          <cell r="K1271">
            <v>0</v>
          </cell>
          <cell r="L1271">
            <v>0</v>
          </cell>
          <cell r="N1271">
            <v>0</v>
          </cell>
          <cell r="O1271">
            <v>0</v>
          </cell>
          <cell r="Q1271">
            <v>0</v>
          </cell>
          <cell r="R1271">
            <v>0</v>
          </cell>
          <cell r="T1271">
            <v>0</v>
          </cell>
          <cell r="U1271">
            <v>0</v>
          </cell>
          <cell r="W1271">
            <v>0</v>
          </cell>
          <cell r="X1271">
            <v>0</v>
          </cell>
          <cell r="Z1271">
            <v>0</v>
          </cell>
          <cell r="AA1271">
            <v>0</v>
          </cell>
          <cell r="AC1271">
            <v>0</v>
          </cell>
          <cell r="AD1271">
            <v>0</v>
          </cell>
          <cell r="AF1271">
            <v>0</v>
          </cell>
          <cell r="AG1271">
            <v>0</v>
          </cell>
          <cell r="AI1271">
            <v>0</v>
          </cell>
          <cell r="AJ1271">
            <v>0</v>
          </cell>
          <cell r="AL1271">
            <v>0</v>
          </cell>
          <cell r="AM1271">
            <v>0</v>
          </cell>
          <cell r="AO1271">
            <v>0</v>
          </cell>
          <cell r="AP1271">
            <v>0</v>
          </cell>
          <cell r="AR1271">
            <v>0</v>
          </cell>
          <cell r="AS1271">
            <v>0</v>
          </cell>
          <cell r="BF1271" t="str">
            <v>9200</v>
          </cell>
          <cell r="BG1271" t="str">
            <v>Q002</v>
          </cell>
          <cell r="BH1271" t="str">
            <v>GML</v>
          </cell>
        </row>
        <row r="1272">
          <cell r="K1272">
            <v>0</v>
          </cell>
          <cell r="L1272">
            <v>0</v>
          </cell>
          <cell r="N1272">
            <v>-130520</v>
          </cell>
          <cell r="O1272">
            <v>0</v>
          </cell>
          <cell r="Q1272">
            <v>-20440</v>
          </cell>
          <cell r="R1272">
            <v>0</v>
          </cell>
          <cell r="T1272">
            <v>8560</v>
          </cell>
          <cell r="U1272">
            <v>0</v>
          </cell>
          <cell r="W1272">
            <v>208070</v>
          </cell>
          <cell r="X1272">
            <v>0</v>
          </cell>
          <cell r="Z1272">
            <v>0</v>
          </cell>
          <cell r="AA1272">
            <v>0</v>
          </cell>
          <cell r="AC1272">
            <v>0</v>
          </cell>
          <cell r="AD1272">
            <v>0</v>
          </cell>
          <cell r="AF1272">
            <v>1.4901161193847656E-8</v>
          </cell>
          <cell r="AG1272">
            <v>0</v>
          </cell>
          <cell r="AI1272">
            <v>-6424</v>
          </cell>
          <cell r="AJ1272">
            <v>0</v>
          </cell>
          <cell r="AL1272">
            <v>6423.6999999880791</v>
          </cell>
          <cell r="AM1272">
            <v>0</v>
          </cell>
          <cell r="AO1272">
            <v>5656</v>
          </cell>
          <cell r="AP1272">
            <v>0</v>
          </cell>
          <cell r="AR1272">
            <v>-3249.0699999779463</v>
          </cell>
          <cell r="AS1272">
            <v>0</v>
          </cell>
          <cell r="BF1272" t="str">
            <v>9200</v>
          </cell>
          <cell r="BG1272" t="str">
            <v>Q003</v>
          </cell>
          <cell r="BH1272" t="str">
            <v>GML</v>
          </cell>
        </row>
        <row r="1273">
          <cell r="K1273">
            <v>0</v>
          </cell>
          <cell r="L1273">
            <v>0</v>
          </cell>
          <cell r="N1273">
            <v>0</v>
          </cell>
          <cell r="O1273">
            <v>0</v>
          </cell>
          <cell r="Q1273">
            <v>0</v>
          </cell>
          <cell r="R1273">
            <v>0</v>
          </cell>
          <cell r="T1273">
            <v>0</v>
          </cell>
          <cell r="U1273">
            <v>0</v>
          </cell>
          <cell r="W1273">
            <v>0</v>
          </cell>
          <cell r="X1273">
            <v>0</v>
          </cell>
          <cell r="Z1273">
            <v>0</v>
          </cell>
          <cell r="AA1273">
            <v>0</v>
          </cell>
          <cell r="AC1273">
            <v>0</v>
          </cell>
          <cell r="AD1273">
            <v>0</v>
          </cell>
          <cell r="AF1273">
            <v>0</v>
          </cell>
          <cell r="AG1273">
            <v>0</v>
          </cell>
          <cell r="AI1273">
            <v>0</v>
          </cell>
          <cell r="AJ1273">
            <v>0</v>
          </cell>
          <cell r="AL1273">
            <v>0</v>
          </cell>
          <cell r="AM1273">
            <v>0</v>
          </cell>
          <cell r="AO1273">
            <v>0</v>
          </cell>
          <cell r="AP1273">
            <v>0</v>
          </cell>
          <cell r="AR1273">
            <v>0</v>
          </cell>
          <cell r="AS1273">
            <v>0</v>
          </cell>
          <cell r="BF1273" t="str">
            <v>9200</v>
          </cell>
          <cell r="BG1273" t="str">
            <v>Q004</v>
          </cell>
          <cell r="BH1273" t="str">
            <v>GML</v>
          </cell>
        </row>
        <row r="1274">
          <cell r="K1274">
            <v>-7411.840000001248</v>
          </cell>
          <cell r="L1274">
            <v>0</v>
          </cell>
          <cell r="N1274">
            <v>109600.13000000082</v>
          </cell>
          <cell r="O1274">
            <v>0</v>
          </cell>
          <cell r="Q1274">
            <v>-184047.75</v>
          </cell>
          <cell r="R1274">
            <v>0</v>
          </cell>
          <cell r="T1274">
            <v>342685.83000000007</v>
          </cell>
          <cell r="U1274">
            <v>0</v>
          </cell>
          <cell r="W1274">
            <v>300059.12000000104</v>
          </cell>
          <cell r="X1274">
            <v>0</v>
          </cell>
          <cell r="Z1274">
            <v>26957.519999999553</v>
          </cell>
          <cell r="AA1274">
            <v>0</v>
          </cell>
          <cell r="AC1274">
            <v>30923.640000000596</v>
          </cell>
          <cell r="AD1274">
            <v>0</v>
          </cell>
          <cell r="AF1274">
            <v>-231044.41999999993</v>
          </cell>
          <cell r="AG1274">
            <v>0</v>
          </cell>
          <cell r="AI1274">
            <v>249423.57999999635</v>
          </cell>
          <cell r="AJ1274">
            <v>0</v>
          </cell>
          <cell r="AL1274">
            <v>-69322.509999997914</v>
          </cell>
          <cell r="AM1274">
            <v>0</v>
          </cell>
          <cell r="AO1274">
            <v>877.95000000298023</v>
          </cell>
          <cell r="AP1274">
            <v>0</v>
          </cell>
          <cell r="AR1274">
            <v>-886016.9299999997</v>
          </cell>
          <cell r="AS1274">
            <v>0</v>
          </cell>
          <cell r="BF1274" t="str">
            <v>9200</v>
          </cell>
          <cell r="BG1274" t="str">
            <v>Q005</v>
          </cell>
          <cell r="BH1274" t="str">
            <v>GML</v>
          </cell>
        </row>
        <row r="1275">
          <cell r="K1275">
            <v>0</v>
          </cell>
          <cell r="L1275">
            <v>0</v>
          </cell>
          <cell r="N1275">
            <v>0</v>
          </cell>
          <cell r="O1275">
            <v>0</v>
          </cell>
          <cell r="Q1275">
            <v>0</v>
          </cell>
          <cell r="R1275">
            <v>0</v>
          </cell>
          <cell r="T1275">
            <v>0</v>
          </cell>
          <cell r="U1275">
            <v>0</v>
          </cell>
          <cell r="W1275">
            <v>0</v>
          </cell>
          <cell r="X1275">
            <v>0</v>
          </cell>
          <cell r="Z1275">
            <v>0</v>
          </cell>
          <cell r="AA1275">
            <v>0</v>
          </cell>
          <cell r="AC1275">
            <v>0</v>
          </cell>
          <cell r="AD1275">
            <v>0</v>
          </cell>
          <cell r="AF1275">
            <v>0</v>
          </cell>
          <cell r="AG1275">
            <v>0</v>
          </cell>
          <cell r="AI1275">
            <v>0</v>
          </cell>
          <cell r="AJ1275">
            <v>0</v>
          </cell>
          <cell r="AL1275">
            <v>0</v>
          </cell>
          <cell r="AM1275">
            <v>0</v>
          </cell>
          <cell r="AO1275">
            <v>0</v>
          </cell>
          <cell r="AP1275">
            <v>0</v>
          </cell>
          <cell r="AR1275">
            <v>0</v>
          </cell>
          <cell r="AS1275">
            <v>0</v>
          </cell>
          <cell r="BF1275" t="str">
            <v>9300</v>
          </cell>
          <cell r="BG1275" t="str">
            <v>Z000</v>
          </cell>
          <cell r="BH1275" t="str">
            <v>GML</v>
          </cell>
        </row>
        <row r="1276">
          <cell r="K1276">
            <v>0</v>
          </cell>
          <cell r="L1276">
            <v>0</v>
          </cell>
          <cell r="N1276">
            <v>0</v>
          </cell>
          <cell r="O1276">
            <v>0</v>
          </cell>
          <cell r="Q1276">
            <v>0</v>
          </cell>
          <cell r="R1276">
            <v>0</v>
          </cell>
          <cell r="T1276">
            <v>0</v>
          </cell>
          <cell r="U1276">
            <v>0</v>
          </cell>
          <cell r="W1276">
            <v>0</v>
          </cell>
          <cell r="X1276">
            <v>0</v>
          </cell>
          <cell r="Z1276">
            <v>0</v>
          </cell>
          <cell r="AA1276">
            <v>0</v>
          </cell>
          <cell r="AC1276">
            <v>0</v>
          </cell>
          <cell r="AD1276">
            <v>0</v>
          </cell>
          <cell r="AF1276">
            <v>0</v>
          </cell>
          <cell r="AG1276">
            <v>0</v>
          </cell>
          <cell r="AI1276">
            <v>0</v>
          </cell>
          <cell r="AJ1276">
            <v>0</v>
          </cell>
          <cell r="AL1276">
            <v>0</v>
          </cell>
          <cell r="AM1276">
            <v>0</v>
          </cell>
          <cell r="AO1276">
            <v>0</v>
          </cell>
          <cell r="AP1276">
            <v>0</v>
          </cell>
          <cell r="AR1276">
            <v>0</v>
          </cell>
          <cell r="AS1276">
            <v>0</v>
          </cell>
          <cell r="BF1276" t="str">
            <v>9400</v>
          </cell>
          <cell r="BG1276" t="str">
            <v>Z000</v>
          </cell>
          <cell r="BH1276" t="str">
            <v>GML</v>
          </cell>
        </row>
        <row r="1277">
          <cell r="K1277">
            <v>0</v>
          </cell>
          <cell r="L1277">
            <v>0</v>
          </cell>
          <cell r="N1277">
            <v>0</v>
          </cell>
          <cell r="O1277">
            <v>0</v>
          </cell>
          <cell r="Q1277">
            <v>0</v>
          </cell>
          <cell r="R1277">
            <v>0</v>
          </cell>
          <cell r="T1277">
            <v>0</v>
          </cell>
          <cell r="U1277">
            <v>0</v>
          </cell>
          <cell r="W1277">
            <v>0</v>
          </cell>
          <cell r="X1277">
            <v>0</v>
          </cell>
          <cell r="Z1277">
            <v>0</v>
          </cell>
          <cell r="AA1277">
            <v>0</v>
          </cell>
          <cell r="AC1277">
            <v>0</v>
          </cell>
          <cell r="AD1277">
            <v>0</v>
          </cell>
          <cell r="AF1277">
            <v>0</v>
          </cell>
          <cell r="AG1277">
            <v>0</v>
          </cell>
          <cell r="AI1277">
            <v>0</v>
          </cell>
          <cell r="AJ1277">
            <v>0</v>
          </cell>
          <cell r="AL1277">
            <v>0</v>
          </cell>
          <cell r="AM1277">
            <v>0</v>
          </cell>
          <cell r="AO1277">
            <v>-909182.35000000149</v>
          </cell>
          <cell r="AP1277">
            <v>0</v>
          </cell>
          <cell r="AR1277">
            <v>1097892.3500000015</v>
          </cell>
          <cell r="AS1277">
            <v>0</v>
          </cell>
          <cell r="BF1277" t="str">
            <v>9500</v>
          </cell>
          <cell r="BG1277" t="str">
            <v>Z000</v>
          </cell>
          <cell r="BH1277" t="str">
            <v>GML</v>
          </cell>
        </row>
        <row r="1278">
          <cell r="K1278">
            <v>0</v>
          </cell>
          <cell r="L1278">
            <v>0</v>
          </cell>
          <cell r="N1278">
            <v>0</v>
          </cell>
          <cell r="O1278">
            <v>0</v>
          </cell>
          <cell r="Q1278">
            <v>0</v>
          </cell>
          <cell r="R1278">
            <v>0</v>
          </cell>
          <cell r="T1278">
            <v>0</v>
          </cell>
          <cell r="U1278">
            <v>0</v>
          </cell>
          <cell r="W1278">
            <v>0</v>
          </cell>
          <cell r="X1278">
            <v>0</v>
          </cell>
          <cell r="Z1278">
            <v>0</v>
          </cell>
          <cell r="AA1278">
            <v>0</v>
          </cell>
          <cell r="AC1278">
            <v>0</v>
          </cell>
          <cell r="AD1278">
            <v>0</v>
          </cell>
          <cell r="AF1278">
            <v>0</v>
          </cell>
          <cell r="AG1278">
            <v>0</v>
          </cell>
          <cell r="AI1278">
            <v>0</v>
          </cell>
          <cell r="AJ1278">
            <v>0</v>
          </cell>
          <cell r="AL1278">
            <v>0</v>
          </cell>
          <cell r="AM1278">
            <v>0</v>
          </cell>
          <cell r="AO1278">
            <v>0</v>
          </cell>
          <cell r="AP1278">
            <v>0</v>
          </cell>
          <cell r="AR1278">
            <v>0</v>
          </cell>
          <cell r="AS1278">
            <v>0</v>
          </cell>
          <cell r="BF1278" t="str">
            <v>9550</v>
          </cell>
          <cell r="BG1278" t="str">
            <v>Z000</v>
          </cell>
          <cell r="BH1278" t="str">
            <v>GML</v>
          </cell>
        </row>
        <row r="1279">
          <cell r="K1279">
            <v>0</v>
          </cell>
          <cell r="L1279">
            <v>0</v>
          </cell>
          <cell r="N1279">
            <v>0</v>
          </cell>
          <cell r="O1279">
            <v>0</v>
          </cell>
          <cell r="Q1279">
            <v>0</v>
          </cell>
          <cell r="R1279">
            <v>0</v>
          </cell>
          <cell r="T1279">
            <v>0</v>
          </cell>
          <cell r="U1279">
            <v>0</v>
          </cell>
          <cell r="W1279">
            <v>0</v>
          </cell>
          <cell r="X1279">
            <v>0</v>
          </cell>
          <cell r="Z1279">
            <v>0</v>
          </cell>
          <cell r="AA1279">
            <v>0</v>
          </cell>
          <cell r="AC1279">
            <v>0</v>
          </cell>
          <cell r="AD1279">
            <v>0</v>
          </cell>
          <cell r="AF1279">
            <v>0</v>
          </cell>
          <cell r="AG1279">
            <v>0</v>
          </cell>
          <cell r="AI1279">
            <v>0</v>
          </cell>
          <cell r="AJ1279">
            <v>0</v>
          </cell>
          <cell r="AL1279">
            <v>0</v>
          </cell>
          <cell r="AM1279">
            <v>0</v>
          </cell>
          <cell r="AO1279">
            <v>0</v>
          </cell>
          <cell r="AP1279">
            <v>0</v>
          </cell>
          <cell r="AR1279">
            <v>0</v>
          </cell>
          <cell r="AS1279">
            <v>0</v>
          </cell>
          <cell r="BF1279" t="str">
            <v>9600</v>
          </cell>
          <cell r="BG1279" t="str">
            <v>Z000</v>
          </cell>
          <cell r="BH1279" t="str">
            <v>GML</v>
          </cell>
        </row>
        <row r="1280">
          <cell r="K1280">
            <v>2495320.3055000007</v>
          </cell>
          <cell r="L1280">
            <v>0</v>
          </cell>
          <cell r="N1280">
            <v>-2347145.1999999983</v>
          </cell>
          <cell r="O1280">
            <v>0</v>
          </cell>
          <cell r="Q1280">
            <v>1324809.3900000006</v>
          </cell>
          <cell r="R1280">
            <v>0</v>
          </cell>
          <cell r="T1280">
            <v>-1389431.5899999989</v>
          </cell>
          <cell r="U1280">
            <v>0</v>
          </cell>
          <cell r="W1280">
            <v>1585082.4300000006</v>
          </cell>
          <cell r="X1280">
            <v>0</v>
          </cell>
          <cell r="Z1280">
            <v>662070.1799999997</v>
          </cell>
          <cell r="AA1280">
            <v>0</v>
          </cell>
          <cell r="AC1280">
            <v>-517396.35000000242</v>
          </cell>
          <cell r="AD1280">
            <v>0</v>
          </cell>
          <cell r="AF1280">
            <v>-2041854.3900000006</v>
          </cell>
          <cell r="AG1280">
            <v>0</v>
          </cell>
          <cell r="AI1280">
            <v>378414.19999999739</v>
          </cell>
          <cell r="AJ1280">
            <v>0</v>
          </cell>
          <cell r="AL1280">
            <v>-592438.52000000887</v>
          </cell>
          <cell r="AM1280">
            <v>0</v>
          </cell>
          <cell r="AO1280">
            <v>447123.8599999994</v>
          </cell>
          <cell r="AP1280">
            <v>0</v>
          </cell>
          <cell r="AR1280">
            <v>-1638658.9600000009</v>
          </cell>
          <cell r="AS1280">
            <v>0</v>
          </cell>
          <cell r="BF1280" t="str">
            <v>9700</v>
          </cell>
          <cell r="BG1280" t="str">
            <v>Z000</v>
          </cell>
          <cell r="BH1280" t="str">
            <v>GML</v>
          </cell>
        </row>
        <row r="1281">
          <cell r="K1281">
            <v>0</v>
          </cell>
          <cell r="L1281">
            <v>0</v>
          </cell>
          <cell r="N1281">
            <v>0</v>
          </cell>
          <cell r="O1281">
            <v>0</v>
          </cell>
          <cell r="Q1281">
            <v>0</v>
          </cell>
          <cell r="R1281">
            <v>0</v>
          </cell>
          <cell r="T1281">
            <v>0</v>
          </cell>
          <cell r="U1281">
            <v>0</v>
          </cell>
          <cell r="W1281">
            <v>0</v>
          </cell>
          <cell r="X1281">
            <v>0</v>
          </cell>
          <cell r="Z1281">
            <v>0</v>
          </cell>
          <cell r="AA1281">
            <v>0</v>
          </cell>
          <cell r="AC1281">
            <v>0</v>
          </cell>
          <cell r="AD1281">
            <v>0</v>
          </cell>
          <cell r="AF1281">
            <v>0</v>
          </cell>
          <cell r="AG1281">
            <v>0</v>
          </cell>
          <cell r="AI1281">
            <v>0</v>
          </cell>
          <cell r="AJ1281">
            <v>0</v>
          </cell>
          <cell r="AL1281">
            <v>0</v>
          </cell>
          <cell r="AM1281">
            <v>0</v>
          </cell>
          <cell r="AO1281">
            <v>0</v>
          </cell>
          <cell r="AP1281">
            <v>0</v>
          </cell>
          <cell r="AR1281">
            <v>0</v>
          </cell>
          <cell r="AS1281">
            <v>0</v>
          </cell>
          <cell r="BF1281" t="str">
            <v>9702</v>
          </cell>
          <cell r="BG1281" t="str">
            <v>Z000</v>
          </cell>
          <cell r="BH1281" t="str">
            <v>GML</v>
          </cell>
        </row>
        <row r="1282">
          <cell r="K1282">
            <v>0</v>
          </cell>
          <cell r="L1282">
            <v>0</v>
          </cell>
          <cell r="N1282">
            <v>0</v>
          </cell>
          <cell r="O1282">
            <v>0</v>
          </cell>
          <cell r="Q1282">
            <v>0</v>
          </cell>
          <cell r="R1282">
            <v>0</v>
          </cell>
          <cell r="T1282">
            <v>0</v>
          </cell>
          <cell r="U1282">
            <v>0</v>
          </cell>
          <cell r="W1282">
            <v>0</v>
          </cell>
          <cell r="X1282">
            <v>0</v>
          </cell>
          <cell r="Z1282">
            <v>0</v>
          </cell>
          <cell r="AA1282">
            <v>0</v>
          </cell>
          <cell r="AC1282">
            <v>0</v>
          </cell>
          <cell r="AD1282">
            <v>0</v>
          </cell>
          <cell r="AF1282">
            <v>0</v>
          </cell>
          <cell r="AG1282">
            <v>0</v>
          </cell>
          <cell r="AI1282">
            <v>0</v>
          </cell>
          <cell r="AJ1282">
            <v>0</v>
          </cell>
          <cell r="AL1282">
            <v>0</v>
          </cell>
          <cell r="AM1282">
            <v>0</v>
          </cell>
          <cell r="AO1282">
            <v>0</v>
          </cell>
          <cell r="AP1282">
            <v>0</v>
          </cell>
          <cell r="AR1282">
            <v>0</v>
          </cell>
          <cell r="AS1282">
            <v>0</v>
          </cell>
          <cell r="BF1282" t="str">
            <v>9750</v>
          </cell>
          <cell r="BG1282" t="str">
            <v>Z000</v>
          </cell>
          <cell r="BH1282" t="str">
            <v>GML</v>
          </cell>
        </row>
        <row r="1283">
          <cell r="K1283">
            <v>17484125.020000011</v>
          </cell>
          <cell r="L1283">
            <v>0</v>
          </cell>
          <cell r="N1283">
            <v>17620816.050000012</v>
          </cell>
          <cell r="O1283">
            <v>0</v>
          </cell>
          <cell r="Q1283">
            <v>18261308.219999999</v>
          </cell>
          <cell r="R1283">
            <v>0</v>
          </cell>
          <cell r="T1283">
            <v>20242577.680000007</v>
          </cell>
          <cell r="U1283">
            <v>0</v>
          </cell>
          <cell r="W1283">
            <v>19509650.360000014</v>
          </cell>
          <cell r="X1283">
            <v>0</v>
          </cell>
          <cell r="Z1283">
            <v>20592905.879999995</v>
          </cell>
          <cell r="AA1283">
            <v>0</v>
          </cell>
          <cell r="AC1283">
            <v>21170478.330000013</v>
          </cell>
          <cell r="AD1283">
            <v>0</v>
          </cell>
          <cell r="AF1283">
            <v>22086493.829999983</v>
          </cell>
          <cell r="AG1283">
            <v>0</v>
          </cell>
          <cell r="AI1283">
            <v>21396576.420000017</v>
          </cell>
          <cell r="AJ1283">
            <v>0</v>
          </cell>
          <cell r="AL1283">
            <v>21772771.709999979</v>
          </cell>
          <cell r="AM1283">
            <v>0</v>
          </cell>
          <cell r="AO1283">
            <v>23054808.780000031</v>
          </cell>
          <cell r="AP1283">
            <v>0</v>
          </cell>
          <cell r="AR1283">
            <v>22931596.699999988</v>
          </cell>
          <cell r="AS1283">
            <v>0</v>
          </cell>
          <cell r="BF1283" t="str">
            <v>1000</v>
          </cell>
          <cell r="BG1283" t="str">
            <v>A001</v>
          </cell>
          <cell r="BH1283" t="str">
            <v>EMU</v>
          </cell>
        </row>
        <row r="1284">
          <cell r="K1284">
            <v>1183501.7999999998</v>
          </cell>
          <cell r="L1284">
            <v>0</v>
          </cell>
          <cell r="N1284">
            <v>427109.75</v>
          </cell>
          <cell r="O1284">
            <v>0</v>
          </cell>
          <cell r="Q1284">
            <v>873146.74999999907</v>
          </cell>
          <cell r="R1284">
            <v>0</v>
          </cell>
          <cell r="T1284">
            <v>923257.11999999825</v>
          </cell>
          <cell r="U1284">
            <v>0</v>
          </cell>
          <cell r="W1284">
            <v>760980.54000000283</v>
          </cell>
          <cell r="X1284">
            <v>0</v>
          </cell>
          <cell r="Z1284">
            <v>699577.48000000045</v>
          </cell>
          <cell r="AA1284">
            <v>0</v>
          </cell>
          <cell r="AC1284">
            <v>747147.00999999791</v>
          </cell>
          <cell r="AD1284">
            <v>0</v>
          </cell>
          <cell r="AF1284">
            <v>736715.25</v>
          </cell>
          <cell r="AG1284">
            <v>0</v>
          </cell>
          <cell r="AI1284">
            <v>1234779.8100000024</v>
          </cell>
          <cell r="AJ1284">
            <v>0</v>
          </cell>
          <cell r="AL1284">
            <v>1197699.3399999999</v>
          </cell>
          <cell r="AM1284">
            <v>0</v>
          </cell>
          <cell r="AO1284">
            <v>1610357.1699999981</v>
          </cell>
          <cell r="AP1284">
            <v>0</v>
          </cell>
          <cell r="AR1284">
            <v>1064647.3300000019</v>
          </cell>
          <cell r="AS1284">
            <v>0</v>
          </cell>
          <cell r="BF1284" t="str">
            <v>1000</v>
          </cell>
          <cell r="BG1284" t="str">
            <v>A002</v>
          </cell>
          <cell r="BH1284" t="str">
            <v>EMU</v>
          </cell>
        </row>
        <row r="1285">
          <cell r="K1285">
            <v>930720</v>
          </cell>
          <cell r="L1285">
            <v>0</v>
          </cell>
          <cell r="N1285">
            <v>976080</v>
          </cell>
          <cell r="O1285">
            <v>0</v>
          </cell>
          <cell r="Q1285">
            <v>1010159.9999999991</v>
          </cell>
          <cell r="R1285">
            <v>0</v>
          </cell>
          <cell r="T1285">
            <v>1045440</v>
          </cell>
          <cell r="U1285">
            <v>0</v>
          </cell>
          <cell r="W1285">
            <v>1101120</v>
          </cell>
          <cell r="X1285">
            <v>0</v>
          </cell>
          <cell r="Z1285">
            <v>1195200</v>
          </cell>
          <cell r="AA1285">
            <v>0</v>
          </cell>
          <cell r="AC1285">
            <v>1241760</v>
          </cell>
          <cell r="AD1285">
            <v>0</v>
          </cell>
          <cell r="AF1285">
            <v>1326000</v>
          </cell>
          <cell r="AG1285">
            <v>0</v>
          </cell>
          <cell r="AI1285">
            <v>1122480</v>
          </cell>
          <cell r="AJ1285">
            <v>0</v>
          </cell>
          <cell r="AL1285">
            <v>1297440</v>
          </cell>
          <cell r="AM1285">
            <v>0</v>
          </cell>
          <cell r="AO1285">
            <v>1339657.2800000012</v>
          </cell>
          <cell r="AP1285">
            <v>0</v>
          </cell>
          <cell r="AR1285">
            <v>1363440</v>
          </cell>
          <cell r="AS1285">
            <v>0</v>
          </cell>
          <cell r="BF1285" t="str">
            <v>1000</v>
          </cell>
          <cell r="BG1285" t="str">
            <v>A003</v>
          </cell>
          <cell r="BH1285" t="str">
            <v>EMU</v>
          </cell>
        </row>
        <row r="1286">
          <cell r="K1286">
            <v>2889590.2599999979</v>
          </cell>
          <cell r="L1286">
            <v>0</v>
          </cell>
          <cell r="N1286">
            <v>2858342.2199999988</v>
          </cell>
          <cell r="O1286">
            <v>0</v>
          </cell>
          <cell r="Q1286">
            <v>3376424.200000003</v>
          </cell>
          <cell r="R1286">
            <v>0</v>
          </cell>
          <cell r="T1286">
            <v>3900387.9299999997</v>
          </cell>
          <cell r="U1286">
            <v>0</v>
          </cell>
          <cell r="W1286">
            <v>3875824.5200000033</v>
          </cell>
          <cell r="X1286">
            <v>0</v>
          </cell>
          <cell r="Z1286">
            <v>2567922.4100000039</v>
          </cell>
          <cell r="AA1286">
            <v>0</v>
          </cell>
          <cell r="AC1286">
            <v>2529595.4800000042</v>
          </cell>
          <cell r="AD1286">
            <v>0</v>
          </cell>
          <cell r="AF1286">
            <v>1961825.5900000036</v>
          </cell>
          <cell r="AG1286">
            <v>0</v>
          </cell>
          <cell r="AI1286">
            <v>4478714.9500000104</v>
          </cell>
          <cell r="AJ1286">
            <v>0</v>
          </cell>
          <cell r="AL1286">
            <v>3922165.0400000066</v>
          </cell>
          <cell r="AM1286">
            <v>0</v>
          </cell>
          <cell r="AO1286">
            <v>2882374.2399999946</v>
          </cell>
          <cell r="AP1286">
            <v>0</v>
          </cell>
          <cell r="AR1286">
            <v>1752912.9699999988</v>
          </cell>
          <cell r="AS1286">
            <v>0</v>
          </cell>
          <cell r="BF1286" t="str">
            <v>1000</v>
          </cell>
          <cell r="BG1286" t="str">
            <v>A004</v>
          </cell>
          <cell r="BH1286" t="str">
            <v>EMU</v>
          </cell>
        </row>
        <row r="1287">
          <cell r="K1287">
            <v>1200</v>
          </cell>
          <cell r="L1287">
            <v>0</v>
          </cell>
          <cell r="N1287">
            <v>2200</v>
          </cell>
          <cell r="O1287">
            <v>0</v>
          </cell>
          <cell r="Q1287">
            <v>2200.0000000000036</v>
          </cell>
          <cell r="R1287">
            <v>0</v>
          </cell>
          <cell r="T1287">
            <v>4401</v>
          </cell>
          <cell r="U1287">
            <v>0</v>
          </cell>
          <cell r="W1287">
            <v>2200</v>
          </cell>
          <cell r="X1287">
            <v>0</v>
          </cell>
          <cell r="Z1287">
            <v>5201</v>
          </cell>
          <cell r="AA1287">
            <v>0</v>
          </cell>
          <cell r="AC1287">
            <v>3000</v>
          </cell>
          <cell r="AD1287">
            <v>0</v>
          </cell>
          <cell r="AF1287">
            <v>0</v>
          </cell>
          <cell r="AG1287">
            <v>0</v>
          </cell>
          <cell r="AI1287">
            <v>0</v>
          </cell>
          <cell r="AJ1287">
            <v>0</v>
          </cell>
          <cell r="AL1287">
            <v>0</v>
          </cell>
          <cell r="AM1287">
            <v>0</v>
          </cell>
          <cell r="AO1287">
            <v>0</v>
          </cell>
          <cell r="AP1287">
            <v>0</v>
          </cell>
          <cell r="AR1287">
            <v>0</v>
          </cell>
          <cell r="AS1287">
            <v>0</v>
          </cell>
          <cell r="BF1287" t="str">
            <v>1000</v>
          </cell>
          <cell r="BG1287" t="str">
            <v>A005</v>
          </cell>
          <cell r="BH1287" t="str">
            <v>EMU</v>
          </cell>
        </row>
        <row r="1288">
          <cell r="K1288">
            <v>0</v>
          </cell>
          <cell r="L1288">
            <v>0</v>
          </cell>
          <cell r="N1288">
            <v>0</v>
          </cell>
          <cell r="O1288">
            <v>0</v>
          </cell>
          <cell r="Q1288">
            <v>0</v>
          </cell>
          <cell r="R1288">
            <v>0</v>
          </cell>
          <cell r="T1288">
            <v>0</v>
          </cell>
          <cell r="U1288">
            <v>0</v>
          </cell>
          <cell r="W1288">
            <v>0</v>
          </cell>
          <cell r="X1288">
            <v>0</v>
          </cell>
          <cell r="Z1288">
            <v>0</v>
          </cell>
          <cell r="AA1288">
            <v>0</v>
          </cell>
          <cell r="AC1288">
            <v>0</v>
          </cell>
          <cell r="AD1288">
            <v>0</v>
          </cell>
          <cell r="AF1288">
            <v>0</v>
          </cell>
          <cell r="AG1288">
            <v>0</v>
          </cell>
          <cell r="AI1288">
            <v>0</v>
          </cell>
          <cell r="AJ1288">
            <v>0</v>
          </cell>
          <cell r="AL1288">
            <v>0</v>
          </cell>
          <cell r="AM1288">
            <v>0</v>
          </cell>
          <cell r="AO1288">
            <v>0</v>
          </cell>
          <cell r="AP1288">
            <v>0</v>
          </cell>
          <cell r="AR1288">
            <v>0</v>
          </cell>
          <cell r="AS1288">
            <v>0</v>
          </cell>
          <cell r="BF1288" t="str">
            <v>1000</v>
          </cell>
          <cell r="BG1288" t="str">
            <v>A006</v>
          </cell>
          <cell r="BH1288" t="str">
            <v>EMU</v>
          </cell>
        </row>
        <row r="1289">
          <cell r="K1289">
            <v>0</v>
          </cell>
          <cell r="L1289">
            <v>0</v>
          </cell>
          <cell r="N1289">
            <v>0</v>
          </cell>
          <cell r="O1289">
            <v>0</v>
          </cell>
          <cell r="Q1289">
            <v>0</v>
          </cell>
          <cell r="R1289">
            <v>0</v>
          </cell>
          <cell r="T1289">
            <v>0</v>
          </cell>
          <cell r="U1289">
            <v>0</v>
          </cell>
          <cell r="W1289">
            <v>0</v>
          </cell>
          <cell r="X1289">
            <v>0</v>
          </cell>
          <cell r="Z1289">
            <v>0</v>
          </cell>
          <cell r="AA1289">
            <v>0</v>
          </cell>
          <cell r="AC1289">
            <v>0</v>
          </cell>
          <cell r="AD1289">
            <v>0</v>
          </cell>
          <cell r="AF1289">
            <v>0</v>
          </cell>
          <cell r="AG1289">
            <v>0</v>
          </cell>
          <cell r="AI1289">
            <v>0</v>
          </cell>
          <cell r="AJ1289">
            <v>0</v>
          </cell>
          <cell r="AL1289">
            <v>0</v>
          </cell>
          <cell r="AM1289">
            <v>0</v>
          </cell>
          <cell r="AO1289">
            <v>0</v>
          </cell>
          <cell r="AP1289">
            <v>0</v>
          </cell>
          <cell r="AR1289">
            <v>0</v>
          </cell>
          <cell r="AS1289">
            <v>0</v>
          </cell>
          <cell r="BF1289" t="str">
            <v>1000</v>
          </cell>
          <cell r="BG1289" t="str">
            <v>A007</v>
          </cell>
          <cell r="BH1289" t="str">
            <v>EMU</v>
          </cell>
        </row>
        <row r="1290">
          <cell r="K1290">
            <v>0</v>
          </cell>
          <cell r="L1290">
            <v>0</v>
          </cell>
          <cell r="N1290">
            <v>-1.1641532182693481E-10</v>
          </cell>
          <cell r="O1290">
            <v>0</v>
          </cell>
          <cell r="Q1290">
            <v>2.3283064365386963E-10</v>
          </cell>
          <cell r="R1290">
            <v>0</v>
          </cell>
          <cell r="T1290">
            <v>-1.1641532182693481E-10</v>
          </cell>
          <cell r="U1290">
            <v>0</v>
          </cell>
          <cell r="W1290">
            <v>0</v>
          </cell>
          <cell r="X1290">
            <v>0</v>
          </cell>
          <cell r="Z1290">
            <v>0</v>
          </cell>
          <cell r="AA1290">
            <v>0</v>
          </cell>
          <cell r="AC1290">
            <v>0</v>
          </cell>
          <cell r="AD1290">
            <v>0</v>
          </cell>
          <cell r="AF1290">
            <v>0</v>
          </cell>
          <cell r="AG1290">
            <v>0</v>
          </cell>
          <cell r="AI1290">
            <v>0</v>
          </cell>
          <cell r="AJ1290">
            <v>0</v>
          </cell>
          <cell r="AL1290">
            <v>0</v>
          </cell>
          <cell r="AM1290">
            <v>0</v>
          </cell>
          <cell r="AO1290">
            <v>0</v>
          </cell>
          <cell r="AP1290">
            <v>0</v>
          </cell>
          <cell r="AR1290">
            <v>0</v>
          </cell>
          <cell r="AS1290">
            <v>0</v>
          </cell>
          <cell r="BF1290" t="str">
            <v>1000</v>
          </cell>
          <cell r="BG1290" t="str">
            <v>A008</v>
          </cell>
          <cell r="BH1290" t="str">
            <v>EMU</v>
          </cell>
        </row>
        <row r="1291">
          <cell r="K1291">
            <v>881745.56</v>
          </cell>
          <cell r="L1291">
            <v>0</v>
          </cell>
          <cell r="N1291">
            <v>737247.81</v>
          </cell>
          <cell r="O1291">
            <v>0</v>
          </cell>
          <cell r="Q1291">
            <v>824257.27</v>
          </cell>
          <cell r="R1291">
            <v>0</v>
          </cell>
          <cell r="T1291">
            <v>1529589.81</v>
          </cell>
          <cell r="U1291">
            <v>0</v>
          </cell>
          <cell r="W1291">
            <v>1579180.5200000005</v>
          </cell>
          <cell r="X1291">
            <v>0</v>
          </cell>
          <cell r="Z1291">
            <v>985542.59999999963</v>
          </cell>
          <cell r="AA1291">
            <v>0</v>
          </cell>
          <cell r="AC1291">
            <v>1168281.1799999997</v>
          </cell>
          <cell r="AD1291">
            <v>0</v>
          </cell>
          <cell r="AF1291">
            <v>864684.1799999997</v>
          </cell>
          <cell r="AG1291">
            <v>0</v>
          </cell>
          <cell r="AI1291">
            <v>1415510.7899999991</v>
          </cell>
          <cell r="AJ1291">
            <v>0</v>
          </cell>
          <cell r="AL1291">
            <v>1096794.5099999998</v>
          </cell>
          <cell r="AM1291">
            <v>0</v>
          </cell>
          <cell r="AO1291">
            <v>711295.9299999997</v>
          </cell>
          <cell r="AP1291">
            <v>0</v>
          </cell>
          <cell r="AR1291">
            <v>824318.11999999918</v>
          </cell>
          <cell r="AS1291">
            <v>0</v>
          </cell>
          <cell r="BF1291" t="str">
            <v>1000</v>
          </cell>
          <cell r="BG1291" t="str">
            <v>A009</v>
          </cell>
          <cell r="BH1291" t="str">
            <v>EMU</v>
          </cell>
        </row>
        <row r="1292">
          <cell r="K1292">
            <v>0</v>
          </cell>
          <cell r="L1292">
            <v>0</v>
          </cell>
          <cell r="N1292">
            <v>0</v>
          </cell>
          <cell r="O1292">
            <v>0</v>
          </cell>
          <cell r="Q1292">
            <v>0</v>
          </cell>
          <cell r="R1292">
            <v>0</v>
          </cell>
          <cell r="T1292">
            <v>0</v>
          </cell>
          <cell r="U1292">
            <v>0</v>
          </cell>
          <cell r="W1292">
            <v>0</v>
          </cell>
          <cell r="X1292">
            <v>0</v>
          </cell>
          <cell r="Z1292">
            <v>0</v>
          </cell>
          <cell r="AA1292">
            <v>0</v>
          </cell>
          <cell r="AC1292">
            <v>0</v>
          </cell>
          <cell r="AD1292">
            <v>0</v>
          </cell>
          <cell r="AF1292">
            <v>0</v>
          </cell>
          <cell r="AG1292">
            <v>0</v>
          </cell>
          <cell r="AI1292">
            <v>0</v>
          </cell>
          <cell r="AJ1292">
            <v>0</v>
          </cell>
          <cell r="AL1292">
            <v>0</v>
          </cell>
          <cell r="AM1292">
            <v>0</v>
          </cell>
          <cell r="AO1292">
            <v>0</v>
          </cell>
          <cell r="AP1292">
            <v>0</v>
          </cell>
          <cell r="AR1292">
            <v>0</v>
          </cell>
          <cell r="AS1292">
            <v>0</v>
          </cell>
          <cell r="BF1292" t="str">
            <v>1000</v>
          </cell>
          <cell r="BG1292" t="str">
            <v>A010</v>
          </cell>
          <cell r="BH1292" t="str">
            <v>EMU</v>
          </cell>
        </row>
        <row r="1293">
          <cell r="K1293">
            <v>0</v>
          </cell>
          <cell r="L1293">
            <v>0</v>
          </cell>
          <cell r="N1293">
            <v>0</v>
          </cell>
          <cell r="O1293">
            <v>0</v>
          </cell>
          <cell r="Q1293">
            <v>0</v>
          </cell>
          <cell r="R1293">
            <v>0</v>
          </cell>
          <cell r="T1293">
            <v>0</v>
          </cell>
          <cell r="U1293">
            <v>0</v>
          </cell>
          <cell r="W1293">
            <v>0</v>
          </cell>
          <cell r="X1293">
            <v>0</v>
          </cell>
          <cell r="Z1293">
            <v>0</v>
          </cell>
          <cell r="AA1293">
            <v>0</v>
          </cell>
          <cell r="AC1293">
            <v>0</v>
          </cell>
          <cell r="AD1293">
            <v>0</v>
          </cell>
          <cell r="AF1293">
            <v>0</v>
          </cell>
          <cell r="AG1293">
            <v>0</v>
          </cell>
          <cell r="AI1293">
            <v>0</v>
          </cell>
          <cell r="AJ1293">
            <v>0</v>
          </cell>
          <cell r="AL1293">
            <v>0</v>
          </cell>
          <cell r="AM1293">
            <v>0</v>
          </cell>
          <cell r="AO1293">
            <v>0</v>
          </cell>
          <cell r="AP1293">
            <v>0</v>
          </cell>
          <cell r="AR1293">
            <v>0</v>
          </cell>
          <cell r="AS1293">
            <v>0</v>
          </cell>
          <cell r="BF1293" t="str">
            <v>1005</v>
          </cell>
          <cell r="BG1293" t="str">
            <v>A081</v>
          </cell>
          <cell r="BH1293" t="str">
            <v>EMU</v>
          </cell>
        </row>
        <row r="1294">
          <cell r="K1294">
            <v>0</v>
          </cell>
          <cell r="L1294">
            <v>0</v>
          </cell>
          <cell r="N1294">
            <v>0</v>
          </cell>
          <cell r="O1294">
            <v>0</v>
          </cell>
          <cell r="Q1294">
            <v>0</v>
          </cell>
          <cell r="R1294">
            <v>0</v>
          </cell>
          <cell r="T1294">
            <v>0</v>
          </cell>
          <cell r="U1294">
            <v>0</v>
          </cell>
          <cell r="W1294">
            <v>0</v>
          </cell>
          <cell r="X1294">
            <v>0</v>
          </cell>
          <cell r="Z1294">
            <v>0</v>
          </cell>
          <cell r="AA1294">
            <v>0</v>
          </cell>
          <cell r="AC1294">
            <v>0</v>
          </cell>
          <cell r="AD1294">
            <v>0</v>
          </cell>
          <cell r="AF1294">
            <v>0</v>
          </cell>
          <cell r="AG1294">
            <v>0</v>
          </cell>
          <cell r="AI1294">
            <v>0</v>
          </cell>
          <cell r="AJ1294">
            <v>0</v>
          </cell>
          <cell r="AL1294">
            <v>0</v>
          </cell>
          <cell r="AM1294">
            <v>0</v>
          </cell>
          <cell r="AO1294">
            <v>0</v>
          </cell>
          <cell r="AP1294">
            <v>0</v>
          </cell>
          <cell r="AR1294">
            <v>0</v>
          </cell>
          <cell r="AS1294">
            <v>0</v>
          </cell>
          <cell r="BF1294" t="str">
            <v>1005</v>
          </cell>
          <cell r="BG1294" t="str">
            <v>A082</v>
          </cell>
          <cell r="BH1294" t="str">
            <v>EMU</v>
          </cell>
        </row>
        <row r="1295">
          <cell r="K1295">
            <v>0</v>
          </cell>
          <cell r="L1295">
            <v>0</v>
          </cell>
          <cell r="N1295">
            <v>0</v>
          </cell>
          <cell r="O1295">
            <v>0</v>
          </cell>
          <cell r="Q1295">
            <v>0</v>
          </cell>
          <cell r="R1295">
            <v>0</v>
          </cell>
          <cell r="T1295">
            <v>0</v>
          </cell>
          <cell r="U1295">
            <v>0</v>
          </cell>
          <cell r="W1295">
            <v>0</v>
          </cell>
          <cell r="X1295">
            <v>0</v>
          </cell>
          <cell r="Z1295">
            <v>0</v>
          </cell>
          <cell r="AA1295">
            <v>0</v>
          </cell>
          <cell r="AC1295">
            <v>0</v>
          </cell>
          <cell r="AD1295">
            <v>0</v>
          </cell>
          <cell r="AF1295">
            <v>0</v>
          </cell>
          <cell r="AG1295">
            <v>0</v>
          </cell>
          <cell r="AI1295">
            <v>0</v>
          </cell>
          <cell r="AJ1295">
            <v>0</v>
          </cell>
          <cell r="AL1295">
            <v>0</v>
          </cell>
          <cell r="AM1295">
            <v>0</v>
          </cell>
          <cell r="AO1295">
            <v>0</v>
          </cell>
          <cell r="AP1295">
            <v>0</v>
          </cell>
          <cell r="AR1295">
            <v>0</v>
          </cell>
          <cell r="AS1295">
            <v>0</v>
          </cell>
          <cell r="BF1295" t="str">
            <v>1005</v>
          </cell>
          <cell r="BG1295" t="str">
            <v>A083</v>
          </cell>
          <cell r="BH1295" t="str">
            <v>EMU</v>
          </cell>
        </row>
        <row r="1296">
          <cell r="K1296">
            <v>0</v>
          </cell>
          <cell r="L1296">
            <v>0</v>
          </cell>
          <cell r="N1296">
            <v>0</v>
          </cell>
          <cell r="O1296">
            <v>0</v>
          </cell>
          <cell r="Q1296">
            <v>0</v>
          </cell>
          <cell r="R1296">
            <v>0</v>
          </cell>
          <cell r="T1296">
            <v>0</v>
          </cell>
          <cell r="U1296">
            <v>0</v>
          </cell>
          <cell r="W1296">
            <v>0</v>
          </cell>
          <cell r="X1296">
            <v>0</v>
          </cell>
          <cell r="Z1296">
            <v>17510.68</v>
          </cell>
          <cell r="AA1296">
            <v>0</v>
          </cell>
          <cell r="AC1296">
            <v>0</v>
          </cell>
          <cell r="AD1296">
            <v>0</v>
          </cell>
          <cell r="AF1296">
            <v>0</v>
          </cell>
          <cell r="AG1296">
            <v>0</v>
          </cell>
          <cell r="AI1296">
            <v>0</v>
          </cell>
          <cell r="AJ1296">
            <v>0</v>
          </cell>
          <cell r="AL1296">
            <v>0</v>
          </cell>
          <cell r="AM1296">
            <v>0</v>
          </cell>
          <cell r="AO1296">
            <v>0</v>
          </cell>
          <cell r="AP1296">
            <v>0</v>
          </cell>
          <cell r="AR1296">
            <v>0</v>
          </cell>
          <cell r="AS1296">
            <v>0</v>
          </cell>
          <cell r="BF1296" t="str">
            <v>1005</v>
          </cell>
          <cell r="BG1296" t="str">
            <v>A084</v>
          </cell>
          <cell r="BH1296" t="str">
            <v>EMU</v>
          </cell>
        </row>
        <row r="1297">
          <cell r="K1297">
            <v>0</v>
          </cell>
          <cell r="L1297">
            <v>0</v>
          </cell>
          <cell r="N1297">
            <v>0</v>
          </cell>
          <cell r="O1297">
            <v>0</v>
          </cell>
          <cell r="Q1297">
            <v>0</v>
          </cell>
          <cell r="R1297">
            <v>0</v>
          </cell>
          <cell r="T1297">
            <v>0</v>
          </cell>
          <cell r="U1297">
            <v>0</v>
          </cell>
          <cell r="W1297">
            <v>0</v>
          </cell>
          <cell r="X1297">
            <v>0</v>
          </cell>
          <cell r="Z1297">
            <v>0</v>
          </cell>
          <cell r="AA1297">
            <v>0</v>
          </cell>
          <cell r="AC1297">
            <v>0</v>
          </cell>
          <cell r="AD1297">
            <v>0</v>
          </cell>
          <cell r="AF1297">
            <v>0</v>
          </cell>
          <cell r="AG1297">
            <v>0</v>
          </cell>
          <cell r="AI1297">
            <v>0</v>
          </cell>
          <cell r="AJ1297">
            <v>0</v>
          </cell>
          <cell r="AL1297">
            <v>0</v>
          </cell>
          <cell r="AM1297">
            <v>0</v>
          </cell>
          <cell r="AO1297">
            <v>0</v>
          </cell>
          <cell r="AP1297">
            <v>0</v>
          </cell>
          <cell r="AR1297">
            <v>0</v>
          </cell>
          <cell r="AS1297">
            <v>0</v>
          </cell>
          <cell r="BF1297" t="str">
            <v>1005</v>
          </cell>
          <cell r="BG1297" t="str">
            <v>A085</v>
          </cell>
          <cell r="BH1297" t="str">
            <v>EMU</v>
          </cell>
        </row>
        <row r="1298">
          <cell r="K1298">
            <v>0</v>
          </cell>
          <cell r="L1298">
            <v>0</v>
          </cell>
          <cell r="N1298">
            <v>0</v>
          </cell>
          <cell r="O1298">
            <v>0</v>
          </cell>
          <cell r="Q1298">
            <v>0</v>
          </cell>
          <cell r="R1298">
            <v>0</v>
          </cell>
          <cell r="T1298">
            <v>0</v>
          </cell>
          <cell r="U1298">
            <v>0</v>
          </cell>
          <cell r="W1298">
            <v>0</v>
          </cell>
          <cell r="X1298">
            <v>0</v>
          </cell>
          <cell r="Z1298">
            <v>0</v>
          </cell>
          <cell r="AA1298">
            <v>0</v>
          </cell>
          <cell r="AC1298">
            <v>0</v>
          </cell>
          <cell r="AD1298">
            <v>0</v>
          </cell>
          <cell r="AF1298">
            <v>0</v>
          </cell>
          <cell r="AG1298">
            <v>0</v>
          </cell>
          <cell r="AI1298">
            <v>0</v>
          </cell>
          <cell r="AJ1298">
            <v>0</v>
          </cell>
          <cell r="AL1298">
            <v>0</v>
          </cell>
          <cell r="AM1298">
            <v>0</v>
          </cell>
          <cell r="AO1298">
            <v>0</v>
          </cell>
          <cell r="AP1298">
            <v>0</v>
          </cell>
          <cell r="AR1298">
            <v>0</v>
          </cell>
          <cell r="AS1298">
            <v>0</v>
          </cell>
          <cell r="BF1298" t="str">
            <v>1005</v>
          </cell>
          <cell r="BG1298" t="str">
            <v>A086</v>
          </cell>
          <cell r="BH1298" t="str">
            <v>EMU</v>
          </cell>
        </row>
        <row r="1299">
          <cell r="K1299">
            <v>0</v>
          </cell>
          <cell r="L1299">
            <v>0</v>
          </cell>
          <cell r="N1299">
            <v>0</v>
          </cell>
          <cell r="O1299">
            <v>0</v>
          </cell>
          <cell r="Q1299">
            <v>0</v>
          </cell>
          <cell r="R1299">
            <v>0</v>
          </cell>
          <cell r="T1299">
            <v>0</v>
          </cell>
          <cell r="U1299">
            <v>0</v>
          </cell>
          <cell r="W1299">
            <v>0</v>
          </cell>
          <cell r="X1299">
            <v>0</v>
          </cell>
          <cell r="Z1299">
            <v>0</v>
          </cell>
          <cell r="AA1299">
            <v>0</v>
          </cell>
          <cell r="AC1299">
            <v>0</v>
          </cell>
          <cell r="AD1299">
            <v>0</v>
          </cell>
          <cell r="AF1299">
            <v>0</v>
          </cell>
          <cell r="AG1299">
            <v>0</v>
          </cell>
          <cell r="AI1299">
            <v>0</v>
          </cell>
          <cell r="AJ1299">
            <v>0</v>
          </cell>
          <cell r="AL1299">
            <v>0</v>
          </cell>
          <cell r="AM1299">
            <v>0</v>
          </cell>
          <cell r="AO1299">
            <v>0</v>
          </cell>
          <cell r="AP1299">
            <v>0</v>
          </cell>
          <cell r="AR1299">
            <v>0</v>
          </cell>
          <cell r="AS1299">
            <v>0</v>
          </cell>
          <cell r="BF1299" t="str">
            <v>1008</v>
          </cell>
          <cell r="BG1299" t="str">
            <v>A041</v>
          </cell>
          <cell r="BH1299" t="str">
            <v>EMU</v>
          </cell>
        </row>
        <row r="1300">
          <cell r="K1300">
            <v>0</v>
          </cell>
          <cell r="L1300">
            <v>0</v>
          </cell>
          <cell r="N1300">
            <v>0</v>
          </cell>
          <cell r="O1300">
            <v>0</v>
          </cell>
          <cell r="Q1300">
            <v>0</v>
          </cell>
          <cell r="R1300">
            <v>0</v>
          </cell>
          <cell r="T1300">
            <v>0</v>
          </cell>
          <cell r="U1300">
            <v>0</v>
          </cell>
          <cell r="W1300">
            <v>0</v>
          </cell>
          <cell r="X1300">
            <v>0</v>
          </cell>
          <cell r="Z1300">
            <v>0</v>
          </cell>
          <cell r="AA1300">
            <v>0</v>
          </cell>
          <cell r="AC1300">
            <v>0</v>
          </cell>
          <cell r="AD1300">
            <v>0</v>
          </cell>
          <cell r="AF1300">
            <v>0</v>
          </cell>
          <cell r="AG1300">
            <v>0</v>
          </cell>
          <cell r="AI1300">
            <v>0</v>
          </cell>
          <cell r="AJ1300">
            <v>0</v>
          </cell>
          <cell r="AL1300">
            <v>0</v>
          </cell>
          <cell r="AM1300">
            <v>0</v>
          </cell>
          <cell r="AO1300">
            <v>0</v>
          </cell>
          <cell r="AP1300">
            <v>0</v>
          </cell>
          <cell r="AR1300">
            <v>0</v>
          </cell>
          <cell r="AS1300">
            <v>0</v>
          </cell>
          <cell r="BF1300" t="str">
            <v>1008</v>
          </cell>
          <cell r="BG1300" t="str">
            <v>A042</v>
          </cell>
          <cell r="BH1300" t="str">
            <v>EMU</v>
          </cell>
        </row>
        <row r="1301">
          <cell r="K1301">
            <v>0</v>
          </cell>
          <cell r="L1301">
            <v>0</v>
          </cell>
          <cell r="N1301">
            <v>0</v>
          </cell>
          <cell r="O1301">
            <v>0</v>
          </cell>
          <cell r="Q1301">
            <v>0</v>
          </cell>
          <cell r="R1301">
            <v>0</v>
          </cell>
          <cell r="T1301">
            <v>0</v>
          </cell>
          <cell r="U1301">
            <v>0</v>
          </cell>
          <cell r="W1301">
            <v>0</v>
          </cell>
          <cell r="X1301">
            <v>0</v>
          </cell>
          <cell r="Z1301">
            <v>0</v>
          </cell>
          <cell r="AA1301">
            <v>0</v>
          </cell>
          <cell r="AC1301">
            <v>0</v>
          </cell>
          <cell r="AD1301">
            <v>0</v>
          </cell>
          <cell r="AF1301">
            <v>0</v>
          </cell>
          <cell r="AG1301">
            <v>0</v>
          </cell>
          <cell r="AI1301">
            <v>0</v>
          </cell>
          <cell r="AJ1301">
            <v>0</v>
          </cell>
          <cell r="AL1301">
            <v>0</v>
          </cell>
          <cell r="AM1301">
            <v>0</v>
          </cell>
          <cell r="AO1301">
            <v>0</v>
          </cell>
          <cell r="AP1301">
            <v>0</v>
          </cell>
          <cell r="AR1301">
            <v>0</v>
          </cell>
          <cell r="AS1301">
            <v>0</v>
          </cell>
          <cell r="BF1301" t="str">
            <v>1008</v>
          </cell>
          <cell r="BG1301" t="str">
            <v>A043</v>
          </cell>
          <cell r="BH1301" t="str">
            <v>EMU</v>
          </cell>
        </row>
        <row r="1302">
          <cell r="K1302">
            <v>0</v>
          </cell>
          <cell r="L1302">
            <v>0</v>
          </cell>
          <cell r="N1302">
            <v>0</v>
          </cell>
          <cell r="O1302">
            <v>0</v>
          </cell>
          <cell r="Q1302">
            <v>0</v>
          </cell>
          <cell r="R1302">
            <v>0</v>
          </cell>
          <cell r="T1302">
            <v>0</v>
          </cell>
          <cell r="U1302">
            <v>0</v>
          </cell>
          <cell r="W1302">
            <v>0</v>
          </cell>
          <cell r="X1302">
            <v>0</v>
          </cell>
          <cell r="Z1302">
            <v>0</v>
          </cell>
          <cell r="AA1302">
            <v>0</v>
          </cell>
          <cell r="AC1302">
            <v>0</v>
          </cell>
          <cell r="AD1302">
            <v>0</v>
          </cell>
          <cell r="AF1302">
            <v>0</v>
          </cell>
          <cell r="AG1302">
            <v>0</v>
          </cell>
          <cell r="AI1302">
            <v>0</v>
          </cell>
          <cell r="AJ1302">
            <v>0</v>
          </cell>
          <cell r="AL1302">
            <v>0</v>
          </cell>
          <cell r="AM1302">
            <v>0</v>
          </cell>
          <cell r="AO1302">
            <v>0</v>
          </cell>
          <cell r="AP1302">
            <v>0</v>
          </cell>
          <cell r="AR1302">
            <v>0</v>
          </cell>
          <cell r="AS1302">
            <v>0</v>
          </cell>
          <cell r="BF1302" t="str">
            <v>1008</v>
          </cell>
          <cell r="BG1302" t="str">
            <v>A044</v>
          </cell>
          <cell r="BH1302" t="str">
            <v>EMU</v>
          </cell>
        </row>
        <row r="1303">
          <cell r="K1303">
            <v>0</v>
          </cell>
          <cell r="L1303">
            <v>0</v>
          </cell>
          <cell r="N1303">
            <v>0</v>
          </cell>
          <cell r="O1303">
            <v>0</v>
          </cell>
          <cell r="Q1303">
            <v>0</v>
          </cell>
          <cell r="R1303">
            <v>0</v>
          </cell>
          <cell r="T1303">
            <v>0</v>
          </cell>
          <cell r="U1303">
            <v>0</v>
          </cell>
          <cell r="W1303">
            <v>0</v>
          </cell>
          <cell r="X1303">
            <v>0</v>
          </cell>
          <cell r="Z1303">
            <v>0</v>
          </cell>
          <cell r="AA1303">
            <v>0</v>
          </cell>
          <cell r="AC1303">
            <v>0</v>
          </cell>
          <cell r="AD1303">
            <v>0</v>
          </cell>
          <cell r="AF1303">
            <v>0</v>
          </cell>
          <cell r="AG1303">
            <v>0</v>
          </cell>
          <cell r="AI1303">
            <v>0</v>
          </cell>
          <cell r="AJ1303">
            <v>0</v>
          </cell>
          <cell r="AL1303">
            <v>0</v>
          </cell>
          <cell r="AM1303">
            <v>0</v>
          </cell>
          <cell r="AO1303">
            <v>0</v>
          </cell>
          <cell r="AP1303">
            <v>0</v>
          </cell>
          <cell r="AR1303">
            <v>0</v>
          </cell>
          <cell r="AS1303">
            <v>0</v>
          </cell>
          <cell r="BF1303" t="str">
            <v>1009</v>
          </cell>
          <cell r="BG1303" t="str">
            <v>A061</v>
          </cell>
          <cell r="BH1303" t="str">
            <v>EMU</v>
          </cell>
        </row>
        <row r="1304">
          <cell r="K1304">
            <v>0</v>
          </cell>
          <cell r="L1304">
            <v>0</v>
          </cell>
          <cell r="N1304">
            <v>0</v>
          </cell>
          <cell r="O1304">
            <v>0</v>
          </cell>
          <cell r="Q1304">
            <v>0</v>
          </cell>
          <cell r="R1304">
            <v>0</v>
          </cell>
          <cell r="T1304">
            <v>0</v>
          </cell>
          <cell r="U1304">
            <v>0</v>
          </cell>
          <cell r="W1304">
            <v>0</v>
          </cell>
          <cell r="X1304">
            <v>0</v>
          </cell>
          <cell r="Z1304">
            <v>0</v>
          </cell>
          <cell r="AA1304">
            <v>0</v>
          </cell>
          <cell r="AC1304">
            <v>0</v>
          </cell>
          <cell r="AD1304">
            <v>0</v>
          </cell>
          <cell r="AF1304">
            <v>0</v>
          </cell>
          <cell r="AG1304">
            <v>0</v>
          </cell>
          <cell r="AI1304">
            <v>0</v>
          </cell>
          <cell r="AJ1304">
            <v>0</v>
          </cell>
          <cell r="AL1304">
            <v>0</v>
          </cell>
          <cell r="AM1304">
            <v>0</v>
          </cell>
          <cell r="AO1304">
            <v>0</v>
          </cell>
          <cell r="AP1304">
            <v>0</v>
          </cell>
          <cell r="AR1304">
            <v>0</v>
          </cell>
          <cell r="AS1304">
            <v>0</v>
          </cell>
          <cell r="BF1304" t="str">
            <v>1009</v>
          </cell>
          <cell r="BG1304" t="str">
            <v>A062</v>
          </cell>
          <cell r="BH1304" t="str">
            <v>EMU</v>
          </cell>
        </row>
        <row r="1305">
          <cell r="K1305">
            <v>0</v>
          </cell>
          <cell r="L1305">
            <v>0</v>
          </cell>
          <cell r="N1305">
            <v>0</v>
          </cell>
          <cell r="O1305">
            <v>0</v>
          </cell>
          <cell r="Q1305">
            <v>0</v>
          </cell>
          <cell r="R1305">
            <v>0</v>
          </cell>
          <cell r="T1305">
            <v>0</v>
          </cell>
          <cell r="U1305">
            <v>0</v>
          </cell>
          <cell r="W1305">
            <v>0</v>
          </cell>
          <cell r="X1305">
            <v>0</v>
          </cell>
          <cell r="Z1305">
            <v>0</v>
          </cell>
          <cell r="AA1305">
            <v>0</v>
          </cell>
          <cell r="AC1305">
            <v>0</v>
          </cell>
          <cell r="AD1305">
            <v>0</v>
          </cell>
          <cell r="AF1305">
            <v>0</v>
          </cell>
          <cell r="AG1305">
            <v>0</v>
          </cell>
          <cell r="AI1305">
            <v>0</v>
          </cell>
          <cell r="AJ1305">
            <v>0</v>
          </cell>
          <cell r="AL1305">
            <v>0</v>
          </cell>
          <cell r="AM1305">
            <v>0</v>
          </cell>
          <cell r="AO1305">
            <v>0</v>
          </cell>
          <cell r="AP1305">
            <v>0</v>
          </cell>
          <cell r="AR1305">
            <v>0</v>
          </cell>
          <cell r="AS1305">
            <v>0</v>
          </cell>
          <cell r="BF1305" t="str">
            <v>1009</v>
          </cell>
          <cell r="BG1305" t="str">
            <v>A063</v>
          </cell>
          <cell r="BH1305" t="str">
            <v>EMU</v>
          </cell>
        </row>
        <row r="1306">
          <cell r="K1306">
            <v>0</v>
          </cell>
          <cell r="L1306">
            <v>0</v>
          </cell>
          <cell r="N1306">
            <v>0</v>
          </cell>
          <cell r="O1306">
            <v>0</v>
          </cell>
          <cell r="Q1306">
            <v>0</v>
          </cell>
          <cell r="R1306">
            <v>0</v>
          </cell>
          <cell r="T1306">
            <v>0</v>
          </cell>
          <cell r="U1306">
            <v>0</v>
          </cell>
          <cell r="W1306">
            <v>0</v>
          </cell>
          <cell r="X1306">
            <v>0</v>
          </cell>
          <cell r="Z1306">
            <v>0</v>
          </cell>
          <cell r="AA1306">
            <v>0</v>
          </cell>
          <cell r="AC1306">
            <v>0</v>
          </cell>
          <cell r="AD1306">
            <v>0</v>
          </cell>
          <cell r="AF1306">
            <v>0</v>
          </cell>
          <cell r="AG1306">
            <v>0</v>
          </cell>
          <cell r="AI1306">
            <v>0</v>
          </cell>
          <cell r="AJ1306">
            <v>0</v>
          </cell>
          <cell r="AL1306">
            <v>0</v>
          </cell>
          <cell r="AM1306">
            <v>0</v>
          </cell>
          <cell r="AO1306">
            <v>0</v>
          </cell>
          <cell r="AP1306">
            <v>0</v>
          </cell>
          <cell r="AR1306">
            <v>0</v>
          </cell>
          <cell r="AS1306">
            <v>0</v>
          </cell>
          <cell r="BF1306" t="str">
            <v>1009</v>
          </cell>
          <cell r="BG1306" t="str">
            <v>A064</v>
          </cell>
          <cell r="BH1306" t="str">
            <v>EMU</v>
          </cell>
        </row>
        <row r="1307">
          <cell r="K1307">
            <v>0</v>
          </cell>
          <cell r="L1307">
            <v>0</v>
          </cell>
          <cell r="N1307">
            <v>0</v>
          </cell>
          <cell r="O1307">
            <v>0</v>
          </cell>
          <cell r="Q1307">
            <v>0</v>
          </cell>
          <cell r="R1307">
            <v>0</v>
          </cell>
          <cell r="T1307">
            <v>0</v>
          </cell>
          <cell r="U1307">
            <v>0</v>
          </cell>
          <cell r="W1307">
            <v>0</v>
          </cell>
          <cell r="X1307">
            <v>0</v>
          </cell>
          <cell r="Z1307">
            <v>0</v>
          </cell>
          <cell r="AA1307">
            <v>0</v>
          </cell>
          <cell r="AC1307">
            <v>0</v>
          </cell>
          <cell r="AD1307">
            <v>0</v>
          </cell>
          <cell r="AF1307">
            <v>0</v>
          </cell>
          <cell r="AG1307">
            <v>0</v>
          </cell>
          <cell r="AI1307">
            <v>0</v>
          </cell>
          <cell r="AJ1307">
            <v>0</v>
          </cell>
          <cell r="AL1307">
            <v>0</v>
          </cell>
          <cell r="AM1307">
            <v>0</v>
          </cell>
          <cell r="AO1307">
            <v>0</v>
          </cell>
          <cell r="AP1307">
            <v>0</v>
          </cell>
          <cell r="AR1307">
            <v>0</v>
          </cell>
          <cell r="AS1307">
            <v>0</v>
          </cell>
          <cell r="BF1307" t="str">
            <v>1009</v>
          </cell>
          <cell r="BG1307" t="str">
            <v>A065</v>
          </cell>
          <cell r="BH1307" t="str">
            <v>EMU</v>
          </cell>
        </row>
        <row r="1308">
          <cell r="K1308">
            <v>0</v>
          </cell>
          <cell r="L1308">
            <v>0</v>
          </cell>
          <cell r="N1308">
            <v>0</v>
          </cell>
          <cell r="O1308">
            <v>0</v>
          </cell>
          <cell r="Q1308">
            <v>7.4505805969238281E-9</v>
          </cell>
          <cell r="R1308">
            <v>0</v>
          </cell>
          <cell r="T1308">
            <v>7.4505805969238281E-9</v>
          </cell>
          <cell r="U1308">
            <v>0</v>
          </cell>
          <cell r="W1308">
            <v>0</v>
          </cell>
          <cell r="X1308">
            <v>0</v>
          </cell>
          <cell r="Z1308">
            <v>0</v>
          </cell>
          <cell r="AA1308">
            <v>0</v>
          </cell>
          <cell r="AC1308">
            <v>0</v>
          </cell>
          <cell r="AD1308">
            <v>0</v>
          </cell>
          <cell r="AF1308">
            <v>0</v>
          </cell>
          <cell r="AG1308">
            <v>0</v>
          </cell>
          <cell r="AI1308">
            <v>0</v>
          </cell>
          <cell r="AJ1308">
            <v>0</v>
          </cell>
          <cell r="AL1308">
            <v>0</v>
          </cell>
          <cell r="AM1308">
            <v>0</v>
          </cell>
          <cell r="AO1308">
            <v>0</v>
          </cell>
          <cell r="AP1308">
            <v>0</v>
          </cell>
          <cell r="AR1308">
            <v>0</v>
          </cell>
          <cell r="AS1308">
            <v>0</v>
          </cell>
          <cell r="BF1308" t="str">
            <v>2001</v>
          </cell>
          <cell r="BG1308" t="str">
            <v>B001</v>
          </cell>
          <cell r="BH1308" t="str">
            <v>EMU</v>
          </cell>
        </row>
        <row r="1309">
          <cell r="K1309">
            <v>3808574.39</v>
          </cell>
          <cell r="L1309">
            <v>0</v>
          </cell>
          <cell r="N1309">
            <v>3902967.81</v>
          </cell>
          <cell r="O1309">
            <v>0</v>
          </cell>
          <cell r="Q1309">
            <v>3786989.8399999989</v>
          </cell>
          <cell r="R1309">
            <v>0</v>
          </cell>
          <cell r="T1309">
            <v>4070691.8100000005</v>
          </cell>
          <cell r="U1309">
            <v>0</v>
          </cell>
          <cell r="W1309">
            <v>3968621.6500000004</v>
          </cell>
          <cell r="X1309">
            <v>0</v>
          </cell>
          <cell r="Z1309">
            <v>4077166.9299999997</v>
          </cell>
          <cell r="AA1309">
            <v>0</v>
          </cell>
          <cell r="AC1309">
            <v>4271558.43</v>
          </cell>
          <cell r="AD1309">
            <v>0</v>
          </cell>
          <cell r="AF1309">
            <v>3886776.0599999987</v>
          </cell>
          <cell r="AG1309">
            <v>0</v>
          </cell>
          <cell r="AI1309">
            <v>4334389.4000000022</v>
          </cell>
          <cell r="AJ1309">
            <v>0</v>
          </cell>
          <cell r="AL1309">
            <v>4355726.6099999994</v>
          </cell>
          <cell r="AM1309">
            <v>0</v>
          </cell>
          <cell r="AO1309">
            <v>4450934.4900000021</v>
          </cell>
          <cell r="AP1309">
            <v>0</v>
          </cell>
          <cell r="AR1309">
            <v>4292167.93</v>
          </cell>
          <cell r="AS1309">
            <v>0</v>
          </cell>
          <cell r="BF1309" t="str">
            <v>2001</v>
          </cell>
          <cell r="BG1309" t="str">
            <v>B002</v>
          </cell>
          <cell r="BH1309" t="str">
            <v>EMU</v>
          </cell>
        </row>
        <row r="1310">
          <cell r="K1310">
            <v>0</v>
          </cell>
          <cell r="L1310">
            <v>0</v>
          </cell>
          <cell r="N1310">
            <v>0</v>
          </cell>
          <cell r="O1310">
            <v>0</v>
          </cell>
          <cell r="Q1310">
            <v>0</v>
          </cell>
          <cell r="R1310">
            <v>0</v>
          </cell>
          <cell r="T1310">
            <v>0</v>
          </cell>
          <cell r="U1310">
            <v>0</v>
          </cell>
          <cell r="W1310">
            <v>0</v>
          </cell>
          <cell r="X1310">
            <v>0</v>
          </cell>
          <cell r="Z1310">
            <v>0</v>
          </cell>
          <cell r="AA1310">
            <v>0</v>
          </cell>
          <cell r="AC1310">
            <v>0</v>
          </cell>
          <cell r="AD1310">
            <v>0</v>
          </cell>
          <cell r="AF1310">
            <v>0</v>
          </cell>
          <cell r="AG1310">
            <v>0</v>
          </cell>
          <cell r="AI1310">
            <v>0</v>
          </cell>
          <cell r="AJ1310">
            <v>0</v>
          </cell>
          <cell r="AL1310">
            <v>0</v>
          </cell>
          <cell r="AM1310">
            <v>0</v>
          </cell>
          <cell r="AO1310">
            <v>0</v>
          </cell>
          <cell r="AP1310">
            <v>0</v>
          </cell>
          <cell r="AR1310">
            <v>0</v>
          </cell>
          <cell r="AS1310">
            <v>0</v>
          </cell>
          <cell r="BF1310" t="str">
            <v>2001</v>
          </cell>
          <cell r="BG1310" t="str">
            <v>B003</v>
          </cell>
          <cell r="BH1310" t="str">
            <v>EMU</v>
          </cell>
        </row>
        <row r="1311">
          <cell r="K1311">
            <v>73563.549999999988</v>
          </cell>
          <cell r="L1311">
            <v>0</v>
          </cell>
          <cell r="N1311">
            <v>56808.000000000058</v>
          </cell>
          <cell r="O1311">
            <v>0</v>
          </cell>
          <cell r="Q1311">
            <v>53823.550000000047</v>
          </cell>
          <cell r="R1311">
            <v>0</v>
          </cell>
          <cell r="T1311">
            <v>49150.09999999986</v>
          </cell>
          <cell r="U1311">
            <v>0</v>
          </cell>
          <cell r="W1311">
            <v>47673.90000000014</v>
          </cell>
          <cell r="X1311">
            <v>0</v>
          </cell>
          <cell r="Z1311">
            <v>43097.75</v>
          </cell>
          <cell r="AA1311">
            <v>0</v>
          </cell>
          <cell r="AC1311">
            <v>41317</v>
          </cell>
          <cell r="AD1311">
            <v>0</v>
          </cell>
          <cell r="AF1311">
            <v>38069.449999999953</v>
          </cell>
          <cell r="AG1311">
            <v>0</v>
          </cell>
          <cell r="AI1311">
            <v>31402.15000000014</v>
          </cell>
          <cell r="AJ1311">
            <v>0</v>
          </cell>
          <cell r="AL1311">
            <v>31350.699999999953</v>
          </cell>
          <cell r="AM1311">
            <v>0</v>
          </cell>
          <cell r="AO1311">
            <v>27032.75</v>
          </cell>
          <cell r="AP1311">
            <v>0</v>
          </cell>
          <cell r="AR1311">
            <v>24443.600000000093</v>
          </cell>
          <cell r="AS1311">
            <v>0</v>
          </cell>
          <cell r="BF1311" t="str">
            <v>2001</v>
          </cell>
          <cell r="BG1311" t="str">
            <v>B004</v>
          </cell>
          <cell r="BH1311" t="str">
            <v>EMU</v>
          </cell>
        </row>
        <row r="1312">
          <cell r="K1312">
            <v>0</v>
          </cell>
          <cell r="L1312">
            <v>0</v>
          </cell>
          <cell r="N1312">
            <v>0</v>
          </cell>
          <cell r="O1312">
            <v>0</v>
          </cell>
          <cell r="Q1312">
            <v>0</v>
          </cell>
          <cell r="R1312">
            <v>0</v>
          </cell>
          <cell r="T1312">
            <v>0</v>
          </cell>
          <cell r="U1312">
            <v>0</v>
          </cell>
          <cell r="W1312">
            <v>0</v>
          </cell>
          <cell r="X1312">
            <v>0</v>
          </cell>
          <cell r="Z1312">
            <v>0</v>
          </cell>
          <cell r="AA1312">
            <v>0</v>
          </cell>
          <cell r="AC1312">
            <v>0</v>
          </cell>
          <cell r="AD1312">
            <v>0</v>
          </cell>
          <cell r="AF1312">
            <v>0</v>
          </cell>
          <cell r="AG1312">
            <v>0</v>
          </cell>
          <cell r="AI1312">
            <v>0</v>
          </cell>
          <cell r="AJ1312">
            <v>0</v>
          </cell>
          <cell r="AL1312">
            <v>0</v>
          </cell>
          <cell r="AM1312">
            <v>0</v>
          </cell>
          <cell r="AO1312">
            <v>0</v>
          </cell>
          <cell r="AP1312">
            <v>0</v>
          </cell>
          <cell r="AR1312">
            <v>0</v>
          </cell>
          <cell r="AS1312">
            <v>0</v>
          </cell>
          <cell r="BF1312" t="str">
            <v>2001</v>
          </cell>
          <cell r="BG1312" t="str">
            <v>B005</v>
          </cell>
          <cell r="BH1312" t="str">
            <v>EMU</v>
          </cell>
        </row>
        <row r="1313">
          <cell r="K1313">
            <v>0</v>
          </cell>
          <cell r="L1313">
            <v>0</v>
          </cell>
          <cell r="N1313">
            <v>36000</v>
          </cell>
          <cell r="O1313">
            <v>0</v>
          </cell>
          <cell r="Q1313">
            <v>0</v>
          </cell>
          <cell r="R1313">
            <v>0</v>
          </cell>
          <cell r="T1313">
            <v>0</v>
          </cell>
          <cell r="U1313">
            <v>0</v>
          </cell>
          <cell r="W1313">
            <v>0</v>
          </cell>
          <cell r="X1313">
            <v>0</v>
          </cell>
          <cell r="Z1313">
            <v>0</v>
          </cell>
          <cell r="AA1313">
            <v>0</v>
          </cell>
          <cell r="AC1313">
            <v>0</v>
          </cell>
          <cell r="AD1313">
            <v>0</v>
          </cell>
          <cell r="AF1313">
            <v>0</v>
          </cell>
          <cell r="AG1313">
            <v>0</v>
          </cell>
          <cell r="AI1313">
            <v>0</v>
          </cell>
          <cell r="AJ1313">
            <v>0</v>
          </cell>
          <cell r="AL1313">
            <v>10000</v>
          </cell>
          <cell r="AM1313">
            <v>0</v>
          </cell>
          <cell r="AO1313">
            <v>0</v>
          </cell>
          <cell r="AP1313">
            <v>0</v>
          </cell>
          <cell r="AR1313">
            <v>0</v>
          </cell>
          <cell r="AS1313">
            <v>0</v>
          </cell>
          <cell r="BF1313" t="str">
            <v>2001</v>
          </cell>
          <cell r="BG1313" t="str">
            <v>B006</v>
          </cell>
          <cell r="BH1313" t="str">
            <v>EMU</v>
          </cell>
        </row>
        <row r="1314">
          <cell r="K1314">
            <v>24130.540000002831</v>
          </cell>
          <cell r="L1314">
            <v>0</v>
          </cell>
          <cell r="N1314">
            <v>50080.900000002235</v>
          </cell>
          <cell r="O1314">
            <v>0</v>
          </cell>
          <cell r="Q1314">
            <v>78270.419999998063</v>
          </cell>
          <cell r="R1314">
            <v>0</v>
          </cell>
          <cell r="T1314">
            <v>42497.890000004321</v>
          </cell>
          <cell r="U1314">
            <v>0</v>
          </cell>
          <cell r="W1314">
            <v>-6047.6899999976158</v>
          </cell>
          <cell r="X1314">
            <v>0</v>
          </cell>
          <cell r="Z1314">
            <v>45397.379999998957</v>
          </cell>
          <cell r="AA1314">
            <v>0</v>
          </cell>
          <cell r="AC1314">
            <v>15399.559999998659</v>
          </cell>
          <cell r="AD1314">
            <v>0</v>
          </cell>
          <cell r="AF1314">
            <v>20777.120000001043</v>
          </cell>
          <cell r="AG1314">
            <v>0</v>
          </cell>
          <cell r="AI1314">
            <v>21643.580000001937</v>
          </cell>
          <cell r="AJ1314">
            <v>0</v>
          </cell>
          <cell r="AL1314">
            <v>20586.579999998212</v>
          </cell>
          <cell r="AM1314">
            <v>0</v>
          </cell>
          <cell r="AO1314">
            <v>32789.839999999851</v>
          </cell>
          <cell r="AP1314">
            <v>0</v>
          </cell>
          <cell r="AR1314">
            <v>27065.079999998212</v>
          </cell>
          <cell r="AS1314">
            <v>0</v>
          </cell>
          <cell r="BF1314" t="str">
            <v>2008</v>
          </cell>
          <cell r="BG1314" t="str">
            <v>Z000</v>
          </cell>
          <cell r="BH1314" t="str">
            <v>EMU</v>
          </cell>
        </row>
        <row r="1315">
          <cell r="K1315">
            <v>2494758.8400000036</v>
          </cell>
          <cell r="L1315">
            <v>0</v>
          </cell>
          <cell r="N1315">
            <v>286964.77000000328</v>
          </cell>
          <cell r="O1315">
            <v>0</v>
          </cell>
          <cell r="Q1315">
            <v>1631955.700000003</v>
          </cell>
          <cell r="R1315">
            <v>0</v>
          </cell>
          <cell r="T1315">
            <v>9090651.4700000063</v>
          </cell>
          <cell r="U1315">
            <v>0</v>
          </cell>
          <cell r="W1315">
            <v>2946918</v>
          </cell>
          <cell r="X1315">
            <v>0</v>
          </cell>
          <cell r="Z1315">
            <v>5476813.2300000042</v>
          </cell>
          <cell r="AA1315">
            <v>0</v>
          </cell>
          <cell r="AC1315">
            <v>2445534.5199999958</v>
          </cell>
          <cell r="AD1315">
            <v>0</v>
          </cell>
          <cell r="AF1315">
            <v>1180958.4699999988</v>
          </cell>
          <cell r="AG1315">
            <v>0</v>
          </cell>
          <cell r="AI1315">
            <v>1081170.900000006</v>
          </cell>
          <cell r="AJ1315">
            <v>0</v>
          </cell>
          <cell r="AL1315">
            <v>3839721.150000006</v>
          </cell>
          <cell r="AM1315">
            <v>0</v>
          </cell>
          <cell r="AO1315">
            <v>-31080778.5</v>
          </cell>
          <cell r="AP1315">
            <v>0</v>
          </cell>
          <cell r="AR1315">
            <v>3689415.2800000012</v>
          </cell>
          <cell r="AS1315">
            <v>0</v>
          </cell>
          <cell r="BF1315" t="str">
            <v>2010</v>
          </cell>
          <cell r="BG1315" t="str">
            <v>B021</v>
          </cell>
          <cell r="BH1315" t="str">
            <v>EMU</v>
          </cell>
        </row>
        <row r="1316">
          <cell r="K1316">
            <v>0</v>
          </cell>
          <cell r="L1316">
            <v>0</v>
          </cell>
          <cell r="N1316">
            <v>0</v>
          </cell>
          <cell r="O1316">
            <v>0</v>
          </cell>
          <cell r="Q1316">
            <v>0</v>
          </cell>
          <cell r="R1316">
            <v>0</v>
          </cell>
          <cell r="T1316">
            <v>0</v>
          </cell>
          <cell r="U1316">
            <v>0</v>
          </cell>
          <cell r="W1316">
            <v>0</v>
          </cell>
          <cell r="X1316">
            <v>0</v>
          </cell>
          <cell r="Z1316">
            <v>0</v>
          </cell>
          <cell r="AA1316">
            <v>0</v>
          </cell>
          <cell r="AC1316">
            <v>0</v>
          </cell>
          <cell r="AD1316">
            <v>0</v>
          </cell>
          <cell r="AF1316">
            <v>0</v>
          </cell>
          <cell r="AG1316">
            <v>0</v>
          </cell>
          <cell r="AI1316">
            <v>0</v>
          </cell>
          <cell r="AJ1316">
            <v>0</v>
          </cell>
          <cell r="AL1316">
            <v>0</v>
          </cell>
          <cell r="AM1316">
            <v>0</v>
          </cell>
          <cell r="AO1316">
            <v>49679216.659999996</v>
          </cell>
          <cell r="AP1316">
            <v>0</v>
          </cell>
          <cell r="AR1316">
            <v>52488</v>
          </cell>
          <cell r="AS1316">
            <v>0</v>
          </cell>
          <cell r="BF1316" t="str">
            <v>2010</v>
          </cell>
          <cell r="BG1316" t="str">
            <v>B022</v>
          </cell>
          <cell r="BH1316" t="str">
            <v>EMU</v>
          </cell>
        </row>
        <row r="1317">
          <cell r="K1317">
            <v>0</v>
          </cell>
          <cell r="L1317">
            <v>0</v>
          </cell>
          <cell r="N1317">
            <v>0</v>
          </cell>
          <cell r="O1317">
            <v>0</v>
          </cell>
          <cell r="Q1317">
            <v>0</v>
          </cell>
          <cell r="R1317">
            <v>0</v>
          </cell>
          <cell r="T1317">
            <v>0</v>
          </cell>
          <cell r="U1317">
            <v>0</v>
          </cell>
          <cell r="W1317">
            <v>0</v>
          </cell>
          <cell r="X1317">
            <v>0</v>
          </cell>
          <cell r="Z1317">
            <v>0</v>
          </cell>
          <cell r="AA1317">
            <v>0</v>
          </cell>
          <cell r="AC1317">
            <v>0</v>
          </cell>
          <cell r="AD1317">
            <v>0</v>
          </cell>
          <cell r="AF1317">
            <v>0</v>
          </cell>
          <cell r="AG1317">
            <v>0</v>
          </cell>
          <cell r="AI1317">
            <v>0</v>
          </cell>
          <cell r="AJ1317">
            <v>0</v>
          </cell>
          <cell r="AL1317">
            <v>834955</v>
          </cell>
          <cell r="AM1317">
            <v>0</v>
          </cell>
          <cell r="AO1317">
            <v>0</v>
          </cell>
          <cell r="AP1317">
            <v>0</v>
          </cell>
          <cell r="AR1317">
            <v>0</v>
          </cell>
          <cell r="AS1317">
            <v>0</v>
          </cell>
          <cell r="BF1317" t="str">
            <v>2010</v>
          </cell>
          <cell r="BG1317" t="str">
            <v>B023</v>
          </cell>
          <cell r="BH1317" t="str">
            <v>EMU</v>
          </cell>
        </row>
        <row r="1318">
          <cell r="K1318">
            <v>0</v>
          </cell>
          <cell r="L1318">
            <v>0</v>
          </cell>
          <cell r="N1318">
            <v>0</v>
          </cell>
          <cell r="O1318">
            <v>0</v>
          </cell>
          <cell r="Q1318">
            <v>0</v>
          </cell>
          <cell r="R1318">
            <v>0</v>
          </cell>
          <cell r="T1318">
            <v>0</v>
          </cell>
          <cell r="U1318">
            <v>0</v>
          </cell>
          <cell r="W1318">
            <v>0</v>
          </cell>
          <cell r="X1318">
            <v>0</v>
          </cell>
          <cell r="Z1318">
            <v>0</v>
          </cell>
          <cell r="AA1318">
            <v>0</v>
          </cell>
          <cell r="AC1318">
            <v>0</v>
          </cell>
          <cell r="AD1318">
            <v>0</v>
          </cell>
          <cell r="AF1318">
            <v>0</v>
          </cell>
          <cell r="AG1318">
            <v>0</v>
          </cell>
          <cell r="AI1318">
            <v>0</v>
          </cell>
          <cell r="AJ1318">
            <v>0</v>
          </cell>
          <cell r="AL1318">
            <v>0</v>
          </cell>
          <cell r="AM1318">
            <v>0</v>
          </cell>
          <cell r="AO1318">
            <v>0</v>
          </cell>
          <cell r="AP1318">
            <v>0</v>
          </cell>
          <cell r="AR1318">
            <v>0</v>
          </cell>
          <cell r="AS1318">
            <v>0</v>
          </cell>
          <cell r="BF1318" t="str">
            <v>2010</v>
          </cell>
          <cell r="BG1318" t="str">
            <v>B024</v>
          </cell>
          <cell r="BH1318" t="str">
            <v>EMU</v>
          </cell>
        </row>
        <row r="1319">
          <cell r="K1319">
            <v>0</v>
          </cell>
          <cell r="L1319">
            <v>0</v>
          </cell>
          <cell r="N1319">
            <v>0</v>
          </cell>
          <cell r="O1319">
            <v>0</v>
          </cell>
          <cell r="Q1319">
            <v>173349.23</v>
          </cell>
          <cell r="R1319">
            <v>0</v>
          </cell>
          <cell r="T1319">
            <v>0</v>
          </cell>
          <cell r="U1319">
            <v>0</v>
          </cell>
          <cell r="W1319">
            <v>0</v>
          </cell>
          <cell r="X1319">
            <v>0</v>
          </cell>
          <cell r="Z1319">
            <v>0</v>
          </cell>
          <cell r="AA1319">
            <v>0</v>
          </cell>
          <cell r="AC1319">
            <v>0</v>
          </cell>
          <cell r="AD1319">
            <v>0</v>
          </cell>
          <cell r="AF1319">
            <v>0</v>
          </cell>
          <cell r="AG1319">
            <v>0</v>
          </cell>
          <cell r="AI1319">
            <v>303741.53000000003</v>
          </cell>
          <cell r="AJ1319">
            <v>0</v>
          </cell>
          <cell r="AL1319">
            <v>0</v>
          </cell>
          <cell r="AM1319">
            <v>0</v>
          </cell>
          <cell r="AO1319">
            <v>260394.5</v>
          </cell>
          <cell r="AP1319">
            <v>0</v>
          </cell>
          <cell r="AR1319">
            <v>175781.29999999993</v>
          </cell>
          <cell r="AS1319">
            <v>0</v>
          </cell>
          <cell r="BF1319" t="str">
            <v>2015</v>
          </cell>
          <cell r="BG1319" t="str">
            <v>B201</v>
          </cell>
          <cell r="BH1319" t="str">
            <v>EMU</v>
          </cell>
        </row>
        <row r="1320">
          <cell r="K1320">
            <v>0</v>
          </cell>
          <cell r="L1320">
            <v>0</v>
          </cell>
          <cell r="N1320">
            <v>0</v>
          </cell>
          <cell r="O1320">
            <v>0</v>
          </cell>
          <cell r="Q1320">
            <v>0</v>
          </cell>
          <cell r="R1320">
            <v>0</v>
          </cell>
          <cell r="T1320">
            <v>0</v>
          </cell>
          <cell r="U1320">
            <v>0</v>
          </cell>
          <cell r="W1320">
            <v>0</v>
          </cell>
          <cell r="X1320">
            <v>0</v>
          </cell>
          <cell r="Z1320">
            <v>0</v>
          </cell>
          <cell r="AA1320">
            <v>0</v>
          </cell>
          <cell r="AC1320">
            <v>0</v>
          </cell>
          <cell r="AD1320">
            <v>0</v>
          </cell>
          <cell r="AF1320">
            <v>0</v>
          </cell>
          <cell r="AG1320">
            <v>0</v>
          </cell>
          <cell r="AI1320">
            <v>0</v>
          </cell>
          <cell r="AJ1320">
            <v>0</v>
          </cell>
          <cell r="AL1320">
            <v>0</v>
          </cell>
          <cell r="AM1320">
            <v>0</v>
          </cell>
          <cell r="AO1320">
            <v>0</v>
          </cell>
          <cell r="AP1320">
            <v>0</v>
          </cell>
          <cell r="AR1320">
            <v>0</v>
          </cell>
          <cell r="AS1320">
            <v>0</v>
          </cell>
          <cell r="BF1320" t="str">
            <v>2015</v>
          </cell>
          <cell r="BG1320" t="str">
            <v>B202</v>
          </cell>
          <cell r="BH1320" t="str">
            <v>EMU</v>
          </cell>
        </row>
        <row r="1321">
          <cell r="K1321">
            <v>0</v>
          </cell>
          <cell r="L1321">
            <v>0</v>
          </cell>
          <cell r="N1321">
            <v>0</v>
          </cell>
          <cell r="O1321">
            <v>0</v>
          </cell>
          <cell r="Q1321">
            <v>0</v>
          </cell>
          <cell r="R1321">
            <v>0</v>
          </cell>
          <cell r="T1321">
            <v>0</v>
          </cell>
          <cell r="U1321">
            <v>0</v>
          </cell>
          <cell r="W1321">
            <v>0</v>
          </cell>
          <cell r="X1321">
            <v>0</v>
          </cell>
          <cell r="Z1321">
            <v>0</v>
          </cell>
          <cell r="AA1321">
            <v>0</v>
          </cell>
          <cell r="AC1321">
            <v>0</v>
          </cell>
          <cell r="AD1321">
            <v>0</v>
          </cell>
          <cell r="AF1321">
            <v>0</v>
          </cell>
          <cell r="AG1321">
            <v>0</v>
          </cell>
          <cell r="AI1321">
            <v>0</v>
          </cell>
          <cell r="AJ1321">
            <v>0</v>
          </cell>
          <cell r="AL1321">
            <v>153000</v>
          </cell>
          <cell r="AM1321">
            <v>0</v>
          </cell>
          <cell r="AO1321">
            <v>229460</v>
          </cell>
          <cell r="AP1321">
            <v>0</v>
          </cell>
          <cell r="AR1321">
            <v>283364</v>
          </cell>
          <cell r="AS1321">
            <v>0</v>
          </cell>
          <cell r="BF1321" t="str">
            <v>2015</v>
          </cell>
          <cell r="BG1321" t="str">
            <v>B203</v>
          </cell>
          <cell r="BH1321" t="str">
            <v>EMU</v>
          </cell>
        </row>
        <row r="1322">
          <cell r="K1322">
            <v>0</v>
          </cell>
          <cell r="L1322">
            <v>0</v>
          </cell>
          <cell r="N1322">
            <v>0</v>
          </cell>
          <cell r="O1322">
            <v>0</v>
          </cell>
          <cell r="Q1322">
            <v>102790.85</v>
          </cell>
          <cell r="R1322">
            <v>0</v>
          </cell>
          <cell r="T1322">
            <v>0</v>
          </cell>
          <cell r="U1322">
            <v>0</v>
          </cell>
          <cell r="W1322">
            <v>12716.800000000003</v>
          </cell>
          <cell r="X1322">
            <v>0</v>
          </cell>
          <cell r="Z1322">
            <v>0</v>
          </cell>
          <cell r="AA1322">
            <v>0</v>
          </cell>
          <cell r="AC1322">
            <v>0</v>
          </cell>
          <cell r="AD1322">
            <v>0</v>
          </cell>
          <cell r="AF1322">
            <v>0</v>
          </cell>
          <cell r="AG1322">
            <v>0</v>
          </cell>
          <cell r="AI1322">
            <v>0</v>
          </cell>
          <cell r="AJ1322">
            <v>0</v>
          </cell>
          <cell r="AL1322">
            <v>0</v>
          </cell>
          <cell r="AM1322">
            <v>0</v>
          </cell>
          <cell r="AO1322">
            <v>90659.440000000017</v>
          </cell>
          <cell r="AP1322">
            <v>0</v>
          </cell>
          <cell r="AR1322">
            <v>0</v>
          </cell>
          <cell r="AS1322">
            <v>0</v>
          </cell>
          <cell r="BF1322" t="str">
            <v>2015</v>
          </cell>
          <cell r="BG1322" t="str">
            <v>B204</v>
          </cell>
          <cell r="BH1322" t="str">
            <v>EMU</v>
          </cell>
        </row>
        <row r="1323">
          <cell r="K1323">
            <v>1191275.8099999987</v>
          </cell>
          <cell r="L1323">
            <v>0</v>
          </cell>
          <cell r="N1323">
            <v>1104913.1400000006</v>
          </cell>
          <cell r="O1323">
            <v>0</v>
          </cell>
          <cell r="Q1323">
            <v>1263450.6999999993</v>
          </cell>
          <cell r="R1323">
            <v>0</v>
          </cell>
          <cell r="T1323">
            <v>1617533</v>
          </cell>
          <cell r="U1323">
            <v>0</v>
          </cell>
          <cell r="W1323">
            <v>1845839</v>
          </cell>
          <cell r="X1323">
            <v>0</v>
          </cell>
          <cell r="Z1323">
            <v>1074709</v>
          </cell>
          <cell r="AA1323">
            <v>0</v>
          </cell>
          <cell r="AC1323">
            <v>1267174.5</v>
          </cell>
          <cell r="AD1323">
            <v>0</v>
          </cell>
          <cell r="AF1323">
            <v>787715.5</v>
          </cell>
          <cell r="AG1323">
            <v>0</v>
          </cell>
          <cell r="AI1323">
            <v>2256430.6000000015</v>
          </cell>
          <cell r="AJ1323">
            <v>0</v>
          </cell>
          <cell r="AL1323">
            <v>2129343.6000000015</v>
          </cell>
          <cell r="AM1323">
            <v>0</v>
          </cell>
          <cell r="AO1323">
            <v>1726942.0700000003</v>
          </cell>
          <cell r="AP1323">
            <v>0</v>
          </cell>
          <cell r="AR1323">
            <v>1158935.3900000006</v>
          </cell>
          <cell r="AS1323">
            <v>0</v>
          </cell>
          <cell r="BF1323" t="str">
            <v>2015</v>
          </cell>
          <cell r="BG1323" t="str">
            <v>B205</v>
          </cell>
          <cell r="BH1323" t="str">
            <v>EMU</v>
          </cell>
        </row>
        <row r="1324">
          <cell r="K1324">
            <v>141248</v>
          </cell>
          <cell r="L1324">
            <v>0</v>
          </cell>
          <cell r="N1324">
            <v>62500</v>
          </cell>
          <cell r="O1324">
            <v>0</v>
          </cell>
          <cell r="Q1324">
            <v>81000</v>
          </cell>
          <cell r="R1324">
            <v>0</v>
          </cell>
          <cell r="T1324">
            <v>101750</v>
          </cell>
          <cell r="U1324">
            <v>0</v>
          </cell>
          <cell r="W1324">
            <v>81750</v>
          </cell>
          <cell r="X1324">
            <v>0</v>
          </cell>
          <cell r="Z1324">
            <v>55250</v>
          </cell>
          <cell r="AA1324">
            <v>0</v>
          </cell>
          <cell r="AC1324">
            <v>56750</v>
          </cell>
          <cell r="AD1324">
            <v>0</v>
          </cell>
          <cell r="AF1324">
            <v>34500</v>
          </cell>
          <cell r="AG1324">
            <v>0</v>
          </cell>
          <cell r="AI1324">
            <v>104250</v>
          </cell>
          <cell r="AJ1324">
            <v>0</v>
          </cell>
          <cell r="AL1324">
            <v>120250</v>
          </cell>
          <cell r="AM1324">
            <v>0</v>
          </cell>
          <cell r="AO1324">
            <v>109000</v>
          </cell>
          <cell r="AP1324">
            <v>0</v>
          </cell>
          <cell r="AR1324">
            <v>66250</v>
          </cell>
          <cell r="AS1324">
            <v>0</v>
          </cell>
          <cell r="BF1324" t="str">
            <v>2015</v>
          </cell>
          <cell r="BG1324" t="str">
            <v>B206</v>
          </cell>
          <cell r="BH1324" t="str">
            <v>EMU</v>
          </cell>
        </row>
        <row r="1325">
          <cell r="K1325">
            <v>0</v>
          </cell>
          <cell r="L1325">
            <v>0</v>
          </cell>
          <cell r="N1325">
            <v>0</v>
          </cell>
          <cell r="O1325">
            <v>0</v>
          </cell>
          <cell r="Q1325">
            <v>0</v>
          </cell>
          <cell r="R1325">
            <v>0</v>
          </cell>
          <cell r="T1325">
            <v>0</v>
          </cell>
          <cell r="U1325">
            <v>0</v>
          </cell>
          <cell r="W1325">
            <v>30500</v>
          </cell>
          <cell r="X1325">
            <v>0</v>
          </cell>
          <cell r="Z1325">
            <v>6000</v>
          </cell>
          <cell r="AA1325">
            <v>0</v>
          </cell>
          <cell r="AC1325">
            <v>0</v>
          </cell>
          <cell r="AD1325">
            <v>0</v>
          </cell>
          <cell r="AF1325">
            <v>0</v>
          </cell>
          <cell r="AG1325">
            <v>0</v>
          </cell>
          <cell r="AI1325">
            <v>0</v>
          </cell>
          <cell r="AJ1325">
            <v>0</v>
          </cell>
          <cell r="AL1325">
            <v>82299</v>
          </cell>
          <cell r="AM1325">
            <v>0</v>
          </cell>
          <cell r="AO1325">
            <v>20000</v>
          </cell>
          <cell r="AP1325">
            <v>0</v>
          </cell>
          <cell r="AR1325">
            <v>0</v>
          </cell>
          <cell r="AS1325">
            <v>0</v>
          </cell>
          <cell r="BF1325" t="str">
            <v>2015</v>
          </cell>
          <cell r="BG1325" t="str">
            <v>B207</v>
          </cell>
          <cell r="BH1325" t="str">
            <v>EMU</v>
          </cell>
        </row>
        <row r="1326">
          <cell r="K1326">
            <v>172000</v>
          </cell>
          <cell r="L1326">
            <v>0</v>
          </cell>
          <cell r="N1326">
            <v>138500</v>
          </cell>
          <cell r="O1326">
            <v>0</v>
          </cell>
          <cell r="Q1326">
            <v>173000</v>
          </cell>
          <cell r="R1326">
            <v>0</v>
          </cell>
          <cell r="T1326">
            <v>163500</v>
          </cell>
          <cell r="U1326">
            <v>0</v>
          </cell>
          <cell r="W1326">
            <v>184500</v>
          </cell>
          <cell r="X1326">
            <v>0</v>
          </cell>
          <cell r="Z1326">
            <v>114500</v>
          </cell>
          <cell r="AA1326">
            <v>0</v>
          </cell>
          <cell r="AC1326">
            <v>125500</v>
          </cell>
          <cell r="AD1326">
            <v>0</v>
          </cell>
          <cell r="AF1326">
            <v>78000</v>
          </cell>
          <cell r="AG1326">
            <v>0</v>
          </cell>
          <cell r="AI1326">
            <v>218500</v>
          </cell>
          <cell r="AJ1326">
            <v>0</v>
          </cell>
          <cell r="AL1326">
            <v>257000</v>
          </cell>
          <cell r="AM1326">
            <v>0</v>
          </cell>
          <cell r="AO1326">
            <v>226000</v>
          </cell>
          <cell r="AP1326">
            <v>0</v>
          </cell>
          <cell r="AR1326">
            <v>146500</v>
          </cell>
          <cell r="AS1326">
            <v>0</v>
          </cell>
          <cell r="BF1326" t="str">
            <v>2015</v>
          </cell>
          <cell r="BG1326" t="str">
            <v>B208</v>
          </cell>
          <cell r="BH1326" t="str">
            <v>EMU</v>
          </cell>
        </row>
        <row r="1327">
          <cell r="K1327">
            <v>62250</v>
          </cell>
          <cell r="L1327">
            <v>0</v>
          </cell>
          <cell r="N1327">
            <v>51000</v>
          </cell>
          <cell r="O1327">
            <v>0</v>
          </cell>
          <cell r="Q1327">
            <v>64000</v>
          </cell>
          <cell r="R1327">
            <v>0</v>
          </cell>
          <cell r="T1327">
            <v>60250</v>
          </cell>
          <cell r="U1327">
            <v>0</v>
          </cell>
          <cell r="W1327">
            <v>67750</v>
          </cell>
          <cell r="X1327">
            <v>0</v>
          </cell>
          <cell r="Z1327">
            <v>42750</v>
          </cell>
          <cell r="AA1327">
            <v>0</v>
          </cell>
          <cell r="AC1327">
            <v>46750</v>
          </cell>
          <cell r="AD1327">
            <v>0</v>
          </cell>
          <cell r="AF1327">
            <v>29000</v>
          </cell>
          <cell r="AG1327">
            <v>0</v>
          </cell>
          <cell r="AI1327">
            <v>83250</v>
          </cell>
          <cell r="AJ1327">
            <v>0</v>
          </cell>
          <cell r="AL1327">
            <v>96250</v>
          </cell>
          <cell r="AM1327">
            <v>0</v>
          </cell>
          <cell r="AO1327">
            <v>85500</v>
          </cell>
          <cell r="AP1327">
            <v>0</v>
          </cell>
          <cell r="AR1327">
            <v>69460</v>
          </cell>
          <cell r="AS1327">
            <v>0</v>
          </cell>
          <cell r="BF1327" t="str">
            <v>2015</v>
          </cell>
          <cell r="BG1327" t="str">
            <v>B209</v>
          </cell>
          <cell r="BH1327" t="str">
            <v>EMU</v>
          </cell>
        </row>
        <row r="1328">
          <cell r="K1328">
            <v>0</v>
          </cell>
          <cell r="L1328">
            <v>0</v>
          </cell>
          <cell r="N1328">
            <v>0</v>
          </cell>
          <cell r="O1328">
            <v>0</v>
          </cell>
          <cell r="Q1328">
            <v>0</v>
          </cell>
          <cell r="R1328">
            <v>0</v>
          </cell>
          <cell r="T1328">
            <v>0</v>
          </cell>
          <cell r="U1328">
            <v>0</v>
          </cell>
          <cell r="W1328">
            <v>0</v>
          </cell>
          <cell r="X1328">
            <v>0</v>
          </cell>
          <cell r="Z1328">
            <v>0</v>
          </cell>
          <cell r="AA1328">
            <v>0</v>
          </cell>
          <cell r="AC1328">
            <v>0</v>
          </cell>
          <cell r="AD1328">
            <v>0</v>
          </cell>
          <cell r="AF1328">
            <v>0</v>
          </cell>
          <cell r="AG1328">
            <v>0</v>
          </cell>
          <cell r="AI1328">
            <v>0</v>
          </cell>
          <cell r="AJ1328">
            <v>0</v>
          </cell>
          <cell r="AL1328">
            <v>0</v>
          </cell>
          <cell r="AM1328">
            <v>0</v>
          </cell>
          <cell r="AO1328">
            <v>0</v>
          </cell>
          <cell r="AP1328">
            <v>0</v>
          </cell>
          <cell r="AR1328">
            <v>0</v>
          </cell>
          <cell r="AS1328">
            <v>0</v>
          </cell>
          <cell r="BF1328" t="str">
            <v>2015</v>
          </cell>
          <cell r="BG1328" t="str">
            <v>B210</v>
          </cell>
          <cell r="BH1328" t="str">
            <v>EMU</v>
          </cell>
        </row>
        <row r="1329">
          <cell r="K1329">
            <v>0</v>
          </cell>
          <cell r="L1329">
            <v>0</v>
          </cell>
          <cell r="N1329">
            <v>0</v>
          </cell>
          <cell r="O1329">
            <v>0</v>
          </cell>
          <cell r="Q1329">
            <v>0</v>
          </cell>
          <cell r="R1329">
            <v>0</v>
          </cell>
          <cell r="T1329">
            <v>0</v>
          </cell>
          <cell r="U1329">
            <v>0</v>
          </cell>
          <cell r="W1329">
            <v>0</v>
          </cell>
          <cell r="X1329">
            <v>0</v>
          </cell>
          <cell r="Z1329">
            <v>0</v>
          </cell>
          <cell r="AA1329">
            <v>0</v>
          </cell>
          <cell r="AC1329">
            <v>0</v>
          </cell>
          <cell r="AD1329">
            <v>0</v>
          </cell>
          <cell r="AF1329">
            <v>0</v>
          </cell>
          <cell r="AG1329">
            <v>0</v>
          </cell>
          <cell r="AI1329">
            <v>0</v>
          </cell>
          <cell r="AJ1329">
            <v>0</v>
          </cell>
          <cell r="AL1329">
            <v>0</v>
          </cell>
          <cell r="AM1329">
            <v>0</v>
          </cell>
          <cell r="AO1329">
            <v>0</v>
          </cell>
          <cell r="AP1329">
            <v>0</v>
          </cell>
          <cell r="AR1329">
            <v>0</v>
          </cell>
          <cell r="AS1329">
            <v>0</v>
          </cell>
          <cell r="BF1329" t="str">
            <v>2016</v>
          </cell>
          <cell r="BG1329" t="str">
            <v>B301</v>
          </cell>
          <cell r="BH1329" t="str">
            <v>EMU</v>
          </cell>
        </row>
        <row r="1330">
          <cell r="K1330">
            <v>0</v>
          </cell>
          <cell r="L1330">
            <v>0</v>
          </cell>
          <cell r="N1330">
            <v>0</v>
          </cell>
          <cell r="O1330">
            <v>0</v>
          </cell>
          <cell r="Q1330">
            <v>0</v>
          </cell>
          <cell r="R1330">
            <v>0</v>
          </cell>
          <cell r="T1330">
            <v>0</v>
          </cell>
          <cell r="U1330">
            <v>0</v>
          </cell>
          <cell r="W1330">
            <v>0</v>
          </cell>
          <cell r="X1330">
            <v>0</v>
          </cell>
          <cell r="Z1330">
            <v>0</v>
          </cell>
          <cell r="AA1330">
            <v>0</v>
          </cell>
          <cell r="AC1330">
            <v>5000</v>
          </cell>
          <cell r="AD1330">
            <v>0</v>
          </cell>
          <cell r="AF1330">
            <v>0</v>
          </cell>
          <cell r="AG1330">
            <v>0</v>
          </cell>
          <cell r="AI1330">
            <v>0</v>
          </cell>
          <cell r="AJ1330">
            <v>0</v>
          </cell>
          <cell r="AL1330">
            <v>0</v>
          </cell>
          <cell r="AM1330">
            <v>0</v>
          </cell>
          <cell r="AO1330">
            <v>0</v>
          </cell>
          <cell r="AP1330">
            <v>0</v>
          </cell>
          <cell r="AR1330">
            <v>0</v>
          </cell>
          <cell r="AS1330">
            <v>0</v>
          </cell>
          <cell r="BF1330" t="str">
            <v>2016</v>
          </cell>
          <cell r="BG1330" t="str">
            <v>B302</v>
          </cell>
          <cell r="BH1330" t="str">
            <v>EMU</v>
          </cell>
        </row>
        <row r="1331">
          <cell r="K1331">
            <v>0</v>
          </cell>
          <cell r="L1331">
            <v>0</v>
          </cell>
          <cell r="N1331">
            <v>0</v>
          </cell>
          <cell r="O1331">
            <v>0</v>
          </cell>
          <cell r="Q1331">
            <v>20000</v>
          </cell>
          <cell r="R1331">
            <v>0</v>
          </cell>
          <cell r="T1331">
            <v>30000</v>
          </cell>
          <cell r="U1331">
            <v>0</v>
          </cell>
          <cell r="W1331">
            <v>30000</v>
          </cell>
          <cell r="X1331">
            <v>0</v>
          </cell>
          <cell r="Z1331">
            <v>30000</v>
          </cell>
          <cell r="AA1331">
            <v>0</v>
          </cell>
          <cell r="AC1331">
            <v>30000</v>
          </cell>
          <cell r="AD1331">
            <v>0</v>
          </cell>
          <cell r="AF1331">
            <v>30000</v>
          </cell>
          <cell r="AG1331">
            <v>0</v>
          </cell>
          <cell r="AI1331">
            <v>30000</v>
          </cell>
          <cell r="AJ1331">
            <v>0</v>
          </cell>
          <cell r="AL1331">
            <v>30000</v>
          </cell>
          <cell r="AM1331">
            <v>0</v>
          </cell>
          <cell r="AO1331">
            <v>30000</v>
          </cell>
          <cell r="AP1331">
            <v>0</v>
          </cell>
          <cell r="AR1331">
            <v>60000</v>
          </cell>
          <cell r="AS1331">
            <v>0</v>
          </cell>
          <cell r="BF1331" t="str">
            <v>2016</v>
          </cell>
          <cell r="BG1331" t="str">
            <v>B303</v>
          </cell>
          <cell r="BH1331" t="str">
            <v>EMU</v>
          </cell>
        </row>
        <row r="1332">
          <cell r="K1332">
            <v>0</v>
          </cell>
          <cell r="L1332">
            <v>0</v>
          </cell>
          <cell r="N1332">
            <v>0</v>
          </cell>
          <cell r="O1332">
            <v>0</v>
          </cell>
          <cell r="Q1332">
            <v>0</v>
          </cell>
          <cell r="R1332">
            <v>0</v>
          </cell>
          <cell r="T1332">
            <v>0</v>
          </cell>
          <cell r="U1332">
            <v>0</v>
          </cell>
          <cell r="W1332">
            <v>0</v>
          </cell>
          <cell r="X1332">
            <v>0</v>
          </cell>
          <cell r="Z1332">
            <v>0</v>
          </cell>
          <cell r="AA1332">
            <v>0</v>
          </cell>
          <cell r="AC1332">
            <v>0</v>
          </cell>
          <cell r="AD1332">
            <v>0</v>
          </cell>
          <cell r="AF1332">
            <v>0</v>
          </cell>
          <cell r="AG1332">
            <v>0</v>
          </cell>
          <cell r="AI1332">
            <v>0</v>
          </cell>
          <cell r="AJ1332">
            <v>0</v>
          </cell>
          <cell r="AL1332">
            <v>0</v>
          </cell>
          <cell r="AM1332">
            <v>0</v>
          </cell>
          <cell r="AO1332">
            <v>0</v>
          </cell>
          <cell r="AP1332">
            <v>0</v>
          </cell>
          <cell r="AR1332">
            <v>0</v>
          </cell>
          <cell r="AS1332">
            <v>0</v>
          </cell>
          <cell r="BF1332" t="str">
            <v>2017</v>
          </cell>
          <cell r="BG1332" t="str">
            <v>B401</v>
          </cell>
          <cell r="BH1332" t="str">
            <v>EMU</v>
          </cell>
        </row>
        <row r="1333">
          <cell r="K1333">
            <v>0</v>
          </cell>
          <cell r="L1333">
            <v>0</v>
          </cell>
          <cell r="N1333">
            <v>0</v>
          </cell>
          <cell r="O1333">
            <v>0</v>
          </cell>
          <cell r="Q1333">
            <v>0</v>
          </cell>
          <cell r="R1333">
            <v>0</v>
          </cell>
          <cell r="T1333">
            <v>0</v>
          </cell>
          <cell r="U1333">
            <v>0</v>
          </cell>
          <cell r="W1333">
            <v>7500</v>
          </cell>
          <cell r="X1333">
            <v>0</v>
          </cell>
          <cell r="Z1333">
            <v>0</v>
          </cell>
          <cell r="AA1333">
            <v>0</v>
          </cell>
          <cell r="AC1333">
            <v>0</v>
          </cell>
          <cell r="AD1333">
            <v>0</v>
          </cell>
          <cell r="AF1333">
            <v>0</v>
          </cell>
          <cell r="AG1333">
            <v>0</v>
          </cell>
          <cell r="AI1333">
            <v>0</v>
          </cell>
          <cell r="AJ1333">
            <v>0</v>
          </cell>
          <cell r="AL1333">
            <v>0</v>
          </cell>
          <cell r="AM1333">
            <v>0</v>
          </cell>
          <cell r="AO1333">
            <v>0</v>
          </cell>
          <cell r="AP1333">
            <v>0</v>
          </cell>
          <cell r="AR1333">
            <v>0</v>
          </cell>
          <cell r="AS1333">
            <v>0</v>
          </cell>
          <cell r="BF1333" t="str">
            <v>2017</v>
          </cell>
          <cell r="BG1333" t="str">
            <v>B402</v>
          </cell>
          <cell r="BH1333" t="str">
            <v>EMU</v>
          </cell>
        </row>
        <row r="1334">
          <cell r="K1334">
            <v>126596</v>
          </cell>
          <cell r="L1334">
            <v>0</v>
          </cell>
          <cell r="N1334">
            <v>155184</v>
          </cell>
          <cell r="O1334">
            <v>0</v>
          </cell>
          <cell r="Q1334">
            <v>176286</v>
          </cell>
          <cell r="R1334">
            <v>0</v>
          </cell>
          <cell r="T1334">
            <v>118420</v>
          </cell>
          <cell r="U1334">
            <v>0</v>
          </cell>
          <cell r="W1334">
            <v>156500.85000000009</v>
          </cell>
          <cell r="X1334">
            <v>0</v>
          </cell>
          <cell r="Z1334">
            <v>239214.01000000024</v>
          </cell>
          <cell r="AA1334">
            <v>0</v>
          </cell>
          <cell r="AC1334">
            <v>136980.14999999991</v>
          </cell>
          <cell r="AD1334">
            <v>0</v>
          </cell>
          <cell r="AF1334">
            <v>147274.89999999991</v>
          </cell>
          <cell r="AG1334">
            <v>0</v>
          </cell>
          <cell r="AI1334">
            <v>170244.85000000009</v>
          </cell>
          <cell r="AJ1334">
            <v>0</v>
          </cell>
          <cell r="AL1334">
            <v>256277.10000000009</v>
          </cell>
          <cell r="AM1334">
            <v>0</v>
          </cell>
          <cell r="AO1334">
            <v>284268.75</v>
          </cell>
          <cell r="AP1334">
            <v>0</v>
          </cell>
          <cell r="AR1334">
            <v>308029.54999999981</v>
          </cell>
          <cell r="AS1334">
            <v>0</v>
          </cell>
          <cell r="BF1334" t="str">
            <v>2017</v>
          </cell>
          <cell r="BG1334" t="str">
            <v>B403</v>
          </cell>
          <cell r="BH1334" t="str">
            <v>EMU</v>
          </cell>
        </row>
        <row r="1335">
          <cell r="K1335">
            <v>0</v>
          </cell>
          <cell r="L1335">
            <v>0</v>
          </cell>
          <cell r="N1335">
            <v>0</v>
          </cell>
          <cell r="O1335">
            <v>0</v>
          </cell>
          <cell r="Q1335">
            <v>0</v>
          </cell>
          <cell r="R1335">
            <v>0</v>
          </cell>
          <cell r="T1335">
            <v>0</v>
          </cell>
          <cell r="U1335">
            <v>0</v>
          </cell>
          <cell r="W1335">
            <v>0</v>
          </cell>
          <cell r="X1335">
            <v>0</v>
          </cell>
          <cell r="Z1335">
            <v>0</v>
          </cell>
          <cell r="AA1335">
            <v>0</v>
          </cell>
          <cell r="AC1335">
            <v>0</v>
          </cell>
          <cell r="AD1335">
            <v>0</v>
          </cell>
          <cell r="AF1335">
            <v>0</v>
          </cell>
          <cell r="AG1335">
            <v>0</v>
          </cell>
          <cell r="AI1335">
            <v>0</v>
          </cell>
          <cell r="AJ1335">
            <v>0</v>
          </cell>
          <cell r="AL1335">
            <v>0</v>
          </cell>
          <cell r="AM1335">
            <v>0</v>
          </cell>
          <cell r="AO1335">
            <v>0</v>
          </cell>
          <cell r="AP1335">
            <v>0</v>
          </cell>
          <cell r="AR1335">
            <v>0</v>
          </cell>
          <cell r="AS1335">
            <v>0</v>
          </cell>
          <cell r="BF1335" t="str">
            <v>3100</v>
          </cell>
          <cell r="BG1335" t="str">
            <v>C002</v>
          </cell>
          <cell r="BH1335" t="str">
            <v>EMU</v>
          </cell>
        </row>
        <row r="1336">
          <cell r="K1336">
            <v>0</v>
          </cell>
          <cell r="L1336">
            <v>0</v>
          </cell>
          <cell r="N1336">
            <v>0</v>
          </cell>
          <cell r="O1336">
            <v>0</v>
          </cell>
          <cell r="Q1336">
            <v>0</v>
          </cell>
          <cell r="R1336">
            <v>0</v>
          </cell>
          <cell r="T1336">
            <v>0</v>
          </cell>
          <cell r="U1336">
            <v>0</v>
          </cell>
          <cell r="W1336">
            <v>0</v>
          </cell>
          <cell r="X1336">
            <v>0</v>
          </cell>
          <cell r="Z1336">
            <v>0</v>
          </cell>
          <cell r="AA1336">
            <v>0</v>
          </cell>
          <cell r="AC1336">
            <v>0</v>
          </cell>
          <cell r="AD1336">
            <v>0</v>
          </cell>
          <cell r="AF1336">
            <v>0</v>
          </cell>
          <cell r="AG1336">
            <v>0</v>
          </cell>
          <cell r="AI1336">
            <v>0</v>
          </cell>
          <cell r="AJ1336">
            <v>0</v>
          </cell>
          <cell r="AL1336">
            <v>0</v>
          </cell>
          <cell r="AM1336">
            <v>0</v>
          </cell>
          <cell r="AO1336">
            <v>0</v>
          </cell>
          <cell r="AP1336">
            <v>0</v>
          </cell>
          <cell r="AR1336">
            <v>0</v>
          </cell>
          <cell r="AS1336">
            <v>0</v>
          </cell>
          <cell r="BF1336" t="str">
            <v>3100</v>
          </cell>
          <cell r="BG1336" t="str">
            <v>C003</v>
          </cell>
          <cell r="BH1336" t="str">
            <v>EMU</v>
          </cell>
        </row>
        <row r="1337">
          <cell r="K1337">
            <v>0</v>
          </cell>
          <cell r="L1337">
            <v>0</v>
          </cell>
          <cell r="N1337">
            <v>0</v>
          </cell>
          <cell r="O1337">
            <v>0</v>
          </cell>
          <cell r="Q1337">
            <v>0</v>
          </cell>
          <cell r="R1337">
            <v>0</v>
          </cell>
          <cell r="T1337">
            <v>0</v>
          </cell>
          <cell r="U1337">
            <v>0</v>
          </cell>
          <cell r="W1337">
            <v>0</v>
          </cell>
          <cell r="X1337">
            <v>0</v>
          </cell>
          <cell r="Z1337">
            <v>0</v>
          </cell>
          <cell r="AA1337">
            <v>0</v>
          </cell>
          <cell r="AC1337">
            <v>0</v>
          </cell>
          <cell r="AD1337">
            <v>0</v>
          </cell>
          <cell r="AF1337">
            <v>0</v>
          </cell>
          <cell r="AG1337">
            <v>0</v>
          </cell>
          <cell r="AI1337">
            <v>0</v>
          </cell>
          <cell r="AJ1337">
            <v>0</v>
          </cell>
          <cell r="AL1337">
            <v>0</v>
          </cell>
          <cell r="AM1337">
            <v>0</v>
          </cell>
          <cell r="AO1337">
            <v>0</v>
          </cell>
          <cell r="AP1337">
            <v>0</v>
          </cell>
          <cell r="AR1337">
            <v>0</v>
          </cell>
          <cell r="AS1337">
            <v>0</v>
          </cell>
          <cell r="BF1337" t="str">
            <v>3100</v>
          </cell>
          <cell r="BG1337" t="str">
            <v>C004</v>
          </cell>
          <cell r="BH1337" t="str">
            <v>EMU</v>
          </cell>
        </row>
        <row r="1338">
          <cell r="K1338">
            <v>0</v>
          </cell>
          <cell r="L1338">
            <v>0</v>
          </cell>
          <cell r="N1338">
            <v>0</v>
          </cell>
          <cell r="O1338">
            <v>0</v>
          </cell>
          <cell r="Q1338">
            <v>0</v>
          </cell>
          <cell r="R1338">
            <v>0</v>
          </cell>
          <cell r="T1338">
            <v>0</v>
          </cell>
          <cell r="U1338">
            <v>0</v>
          </cell>
          <cell r="W1338">
            <v>0</v>
          </cell>
          <cell r="X1338">
            <v>0</v>
          </cell>
          <cell r="Z1338">
            <v>0</v>
          </cell>
          <cell r="AA1338">
            <v>0</v>
          </cell>
          <cell r="AC1338">
            <v>0</v>
          </cell>
          <cell r="AD1338">
            <v>0</v>
          </cell>
          <cell r="AF1338">
            <v>0</v>
          </cell>
          <cell r="AG1338">
            <v>0</v>
          </cell>
          <cell r="AI1338">
            <v>0</v>
          </cell>
          <cell r="AJ1338">
            <v>0</v>
          </cell>
          <cell r="AL1338">
            <v>0</v>
          </cell>
          <cell r="AM1338">
            <v>0</v>
          </cell>
          <cell r="AO1338">
            <v>0</v>
          </cell>
          <cell r="AP1338">
            <v>0</v>
          </cell>
          <cell r="AR1338">
            <v>0</v>
          </cell>
          <cell r="AS1338">
            <v>0</v>
          </cell>
          <cell r="BF1338" t="str">
            <v>3100</v>
          </cell>
          <cell r="BG1338" t="str">
            <v>C005</v>
          </cell>
          <cell r="BH1338" t="str">
            <v>EMU</v>
          </cell>
        </row>
        <row r="1339">
          <cell r="K1339">
            <v>0</v>
          </cell>
          <cell r="L1339">
            <v>0</v>
          </cell>
          <cell r="N1339">
            <v>0</v>
          </cell>
          <cell r="O1339">
            <v>0</v>
          </cell>
          <cell r="Q1339">
            <v>0</v>
          </cell>
          <cell r="R1339">
            <v>0</v>
          </cell>
          <cell r="T1339">
            <v>0</v>
          </cell>
          <cell r="U1339">
            <v>0</v>
          </cell>
          <cell r="W1339">
            <v>0</v>
          </cell>
          <cell r="X1339">
            <v>0</v>
          </cell>
          <cell r="Z1339">
            <v>0</v>
          </cell>
          <cell r="AA1339">
            <v>0</v>
          </cell>
          <cell r="AC1339">
            <v>0</v>
          </cell>
          <cell r="AD1339">
            <v>0</v>
          </cell>
          <cell r="AF1339">
            <v>0</v>
          </cell>
          <cell r="AG1339">
            <v>0</v>
          </cell>
          <cell r="AI1339">
            <v>0</v>
          </cell>
          <cell r="AJ1339">
            <v>0</v>
          </cell>
          <cell r="AL1339">
            <v>0</v>
          </cell>
          <cell r="AM1339">
            <v>0</v>
          </cell>
          <cell r="AO1339">
            <v>0</v>
          </cell>
          <cell r="AP1339">
            <v>0</v>
          </cell>
          <cell r="AR1339">
            <v>0</v>
          </cell>
          <cell r="AS1339">
            <v>0</v>
          </cell>
          <cell r="BF1339" t="str">
            <v>3100</v>
          </cell>
          <cell r="BG1339" t="str">
            <v>C006</v>
          </cell>
          <cell r="BH1339" t="str">
            <v>EMU</v>
          </cell>
        </row>
        <row r="1340">
          <cell r="K1340">
            <v>0</v>
          </cell>
          <cell r="L1340">
            <v>0</v>
          </cell>
          <cell r="N1340">
            <v>71000</v>
          </cell>
          <cell r="O1340">
            <v>0</v>
          </cell>
          <cell r="Q1340">
            <v>0</v>
          </cell>
          <cell r="R1340">
            <v>0</v>
          </cell>
          <cell r="T1340">
            <v>0</v>
          </cell>
          <cell r="U1340">
            <v>0</v>
          </cell>
          <cell r="W1340">
            <v>0</v>
          </cell>
          <cell r="X1340">
            <v>0</v>
          </cell>
          <cell r="Z1340">
            <v>0</v>
          </cell>
          <cell r="AA1340">
            <v>0</v>
          </cell>
          <cell r="AC1340">
            <v>0</v>
          </cell>
          <cell r="AD1340">
            <v>0</v>
          </cell>
          <cell r="AF1340">
            <v>0</v>
          </cell>
          <cell r="AG1340">
            <v>0</v>
          </cell>
          <cell r="AI1340">
            <v>0</v>
          </cell>
          <cell r="AJ1340">
            <v>0</v>
          </cell>
          <cell r="AL1340">
            <v>0</v>
          </cell>
          <cell r="AM1340">
            <v>0</v>
          </cell>
          <cell r="AO1340">
            <v>0</v>
          </cell>
          <cell r="AP1340">
            <v>0</v>
          </cell>
          <cell r="AR1340">
            <v>0</v>
          </cell>
          <cell r="AS1340">
            <v>0</v>
          </cell>
          <cell r="BF1340" t="str">
            <v>3150</v>
          </cell>
          <cell r="BG1340" t="str">
            <v>Z000</v>
          </cell>
          <cell r="BH1340" t="str">
            <v>EMU</v>
          </cell>
        </row>
        <row r="1341">
          <cell r="K1341">
            <v>168942.16999999993</v>
          </cell>
          <cell r="L1341">
            <v>0</v>
          </cell>
          <cell r="N1341">
            <v>168942.77000000002</v>
          </cell>
          <cell r="O1341">
            <v>0</v>
          </cell>
          <cell r="Q1341">
            <v>168942.77000000002</v>
          </cell>
          <cell r="R1341">
            <v>0</v>
          </cell>
          <cell r="T1341">
            <v>168942.77000000002</v>
          </cell>
          <cell r="U1341">
            <v>0</v>
          </cell>
          <cell r="W1341">
            <v>168942.77000000002</v>
          </cell>
          <cell r="X1341">
            <v>0</v>
          </cell>
          <cell r="Z1341">
            <v>168942.77000000002</v>
          </cell>
          <cell r="AA1341">
            <v>0</v>
          </cell>
          <cell r="AC1341">
            <v>520994.9299999997</v>
          </cell>
          <cell r="AD1341">
            <v>0</v>
          </cell>
          <cell r="AF1341">
            <v>520994.9299999997</v>
          </cell>
          <cell r="AG1341">
            <v>0</v>
          </cell>
          <cell r="AI1341">
            <v>520994.9299999997</v>
          </cell>
          <cell r="AJ1341">
            <v>0</v>
          </cell>
          <cell r="AL1341">
            <v>520994.9299999997</v>
          </cell>
          <cell r="AM1341">
            <v>0</v>
          </cell>
          <cell r="AO1341">
            <v>168942.76999999955</v>
          </cell>
          <cell r="AP1341">
            <v>0</v>
          </cell>
          <cell r="AR1341">
            <v>269544.16999999993</v>
          </cell>
          <cell r="AS1341">
            <v>0</v>
          </cell>
          <cell r="BF1341" t="str">
            <v>4000</v>
          </cell>
          <cell r="BG1341" t="str">
            <v>D001</v>
          </cell>
          <cell r="BH1341" t="str">
            <v>EMU</v>
          </cell>
        </row>
        <row r="1342">
          <cell r="K1342">
            <v>0</v>
          </cell>
          <cell r="L1342">
            <v>0</v>
          </cell>
          <cell r="N1342">
            <v>273736.80000000005</v>
          </cell>
          <cell r="O1342">
            <v>0</v>
          </cell>
          <cell r="Q1342">
            <v>0</v>
          </cell>
          <cell r="R1342">
            <v>0</v>
          </cell>
          <cell r="T1342">
            <v>96048</v>
          </cell>
          <cell r="U1342">
            <v>0</v>
          </cell>
          <cell r="W1342">
            <v>0</v>
          </cell>
          <cell r="X1342">
            <v>0</v>
          </cell>
          <cell r="Z1342">
            <v>0</v>
          </cell>
          <cell r="AA1342">
            <v>0</v>
          </cell>
          <cell r="AC1342">
            <v>181615.40000000002</v>
          </cell>
          <cell r="AD1342">
            <v>0</v>
          </cell>
          <cell r="AF1342">
            <v>-1062.7200000000885</v>
          </cell>
          <cell r="AG1342">
            <v>0</v>
          </cell>
          <cell r="AI1342">
            <v>0</v>
          </cell>
          <cell r="AJ1342">
            <v>0</v>
          </cell>
          <cell r="AL1342">
            <v>0</v>
          </cell>
          <cell r="AM1342">
            <v>0</v>
          </cell>
          <cell r="AO1342">
            <v>18826.060000000056</v>
          </cell>
          <cell r="AP1342">
            <v>0</v>
          </cell>
          <cell r="AR1342">
            <v>0</v>
          </cell>
          <cell r="AS1342">
            <v>0</v>
          </cell>
          <cell r="BF1342" t="str">
            <v>4000</v>
          </cell>
          <cell r="BG1342" t="str">
            <v>D002</v>
          </cell>
          <cell r="BH1342" t="str">
            <v>EMU</v>
          </cell>
        </row>
        <row r="1343">
          <cell r="K1343">
            <v>200000</v>
          </cell>
          <cell r="L1343">
            <v>0</v>
          </cell>
          <cell r="N1343">
            <v>280000</v>
          </cell>
          <cell r="O1343">
            <v>0</v>
          </cell>
          <cell r="Q1343">
            <v>260000</v>
          </cell>
          <cell r="R1343">
            <v>0</v>
          </cell>
          <cell r="T1343">
            <v>260000</v>
          </cell>
          <cell r="U1343">
            <v>0</v>
          </cell>
          <cell r="W1343">
            <v>260000</v>
          </cell>
          <cell r="X1343">
            <v>0</v>
          </cell>
          <cell r="Z1343">
            <v>260000</v>
          </cell>
          <cell r="AA1343">
            <v>0</v>
          </cell>
          <cell r="AC1343">
            <v>260000</v>
          </cell>
          <cell r="AD1343">
            <v>0</v>
          </cell>
          <cell r="AF1343">
            <v>260000</v>
          </cell>
          <cell r="AG1343">
            <v>0</v>
          </cell>
          <cell r="AI1343">
            <v>260000</v>
          </cell>
          <cell r="AJ1343">
            <v>0</v>
          </cell>
          <cell r="AL1343">
            <v>260000</v>
          </cell>
          <cell r="AM1343">
            <v>0</v>
          </cell>
          <cell r="AO1343">
            <v>443000</v>
          </cell>
          <cell r="AP1343">
            <v>0</v>
          </cell>
          <cell r="AR1343">
            <v>410000.00000000093</v>
          </cell>
          <cell r="AS1343">
            <v>0</v>
          </cell>
          <cell r="BF1343" t="str">
            <v>4010</v>
          </cell>
          <cell r="BG1343" t="str">
            <v>Z000</v>
          </cell>
          <cell r="BH1343" t="str">
            <v>EMU</v>
          </cell>
        </row>
        <row r="1344">
          <cell r="K1344">
            <v>93200.419999999925</v>
          </cell>
          <cell r="L1344">
            <v>0</v>
          </cell>
          <cell r="N1344">
            <v>111314.16000000015</v>
          </cell>
          <cell r="O1344">
            <v>0</v>
          </cell>
          <cell r="Q1344">
            <v>109068.31999999983</v>
          </cell>
          <cell r="R1344">
            <v>0</v>
          </cell>
          <cell r="T1344">
            <v>103438.31000000006</v>
          </cell>
          <cell r="U1344">
            <v>0</v>
          </cell>
          <cell r="W1344">
            <v>73777.160000000149</v>
          </cell>
          <cell r="X1344">
            <v>0</v>
          </cell>
          <cell r="Z1344">
            <v>68430.279999999329</v>
          </cell>
          <cell r="AA1344">
            <v>0</v>
          </cell>
          <cell r="AC1344">
            <v>67579.339999999851</v>
          </cell>
          <cell r="AD1344">
            <v>0</v>
          </cell>
          <cell r="AF1344">
            <v>61220.960000000428</v>
          </cell>
          <cell r="AG1344">
            <v>0</v>
          </cell>
          <cell r="AI1344">
            <v>131991.90000000107</v>
          </cell>
          <cell r="AJ1344">
            <v>0</v>
          </cell>
          <cell r="AL1344">
            <v>73082.330000000075</v>
          </cell>
          <cell r="AM1344">
            <v>0</v>
          </cell>
          <cell r="AO1344">
            <v>104943.69999999925</v>
          </cell>
          <cell r="AP1344">
            <v>0</v>
          </cell>
          <cell r="AR1344">
            <v>60462.420000000391</v>
          </cell>
          <cell r="AS1344">
            <v>0</v>
          </cell>
          <cell r="BF1344" t="str">
            <v>4150</v>
          </cell>
          <cell r="BG1344" t="str">
            <v>Z000</v>
          </cell>
          <cell r="BH1344" t="str">
            <v>EMU</v>
          </cell>
        </row>
        <row r="1345">
          <cell r="K1345">
            <v>2.4700000000011642</v>
          </cell>
          <cell r="L1345">
            <v>0</v>
          </cell>
          <cell r="N1345">
            <v>-129.4900000000016</v>
          </cell>
          <cell r="O1345">
            <v>0</v>
          </cell>
          <cell r="Q1345">
            <v>-9.6300000000082946</v>
          </cell>
          <cell r="R1345">
            <v>0</v>
          </cell>
          <cell r="T1345">
            <v>9.2299999999995634</v>
          </cell>
          <cell r="U1345">
            <v>0</v>
          </cell>
          <cell r="W1345">
            <v>159.59999999999127</v>
          </cell>
          <cell r="X1345">
            <v>0</v>
          </cell>
          <cell r="Z1345">
            <v>5448.8399999999965</v>
          </cell>
          <cell r="AA1345">
            <v>0</v>
          </cell>
          <cell r="AC1345">
            <v>-2128.4600000000173</v>
          </cell>
          <cell r="AD1345">
            <v>0</v>
          </cell>
          <cell r="AF1345">
            <v>201.69999999999709</v>
          </cell>
          <cell r="AG1345">
            <v>0</v>
          </cell>
          <cell r="AI1345">
            <v>1425459.4000000001</v>
          </cell>
          <cell r="AJ1345">
            <v>0</v>
          </cell>
          <cell r="AL1345">
            <v>-723.24999999976717</v>
          </cell>
          <cell r="AM1345">
            <v>0</v>
          </cell>
          <cell r="AO1345">
            <v>353.83000000030734</v>
          </cell>
          <cell r="AP1345">
            <v>0</v>
          </cell>
          <cell r="AR1345">
            <v>1625.7700000002515</v>
          </cell>
          <cell r="AS1345">
            <v>0</v>
          </cell>
          <cell r="BF1345" t="str">
            <v>4200</v>
          </cell>
          <cell r="BG1345" t="str">
            <v>Z000</v>
          </cell>
          <cell r="BH1345" t="str">
            <v>EMU</v>
          </cell>
        </row>
        <row r="1346">
          <cell r="K1346">
            <v>0</v>
          </cell>
          <cell r="L1346">
            <v>0</v>
          </cell>
          <cell r="N1346">
            <v>0</v>
          </cell>
          <cell r="O1346">
            <v>0</v>
          </cell>
          <cell r="Q1346">
            <v>0</v>
          </cell>
          <cell r="R1346">
            <v>0</v>
          </cell>
          <cell r="T1346">
            <v>0</v>
          </cell>
          <cell r="U1346">
            <v>0</v>
          </cell>
          <cell r="W1346">
            <v>0</v>
          </cell>
          <cell r="X1346">
            <v>0</v>
          </cell>
          <cell r="Z1346">
            <v>0</v>
          </cell>
          <cell r="AA1346">
            <v>0</v>
          </cell>
          <cell r="AC1346">
            <v>0</v>
          </cell>
          <cell r="AD1346">
            <v>0</v>
          </cell>
          <cell r="AF1346">
            <v>0</v>
          </cell>
          <cell r="AG1346">
            <v>0</v>
          </cell>
          <cell r="AI1346">
            <v>0</v>
          </cell>
          <cell r="AJ1346">
            <v>0</v>
          </cell>
          <cell r="AL1346">
            <v>0</v>
          </cell>
          <cell r="AM1346">
            <v>0</v>
          </cell>
          <cell r="AO1346">
            <v>0</v>
          </cell>
          <cell r="AP1346">
            <v>0</v>
          </cell>
          <cell r="AR1346">
            <v>0</v>
          </cell>
          <cell r="AS1346">
            <v>0</v>
          </cell>
          <cell r="BF1346" t="str">
            <v>4215</v>
          </cell>
          <cell r="BG1346" t="str">
            <v>Z000</v>
          </cell>
          <cell r="BH1346" t="str">
            <v>EMU</v>
          </cell>
        </row>
        <row r="1347">
          <cell r="K1347">
            <v>30000</v>
          </cell>
          <cell r="L1347">
            <v>0</v>
          </cell>
          <cell r="N1347">
            <v>15950</v>
          </cell>
          <cell r="O1347">
            <v>0</v>
          </cell>
          <cell r="Q1347">
            <v>10000</v>
          </cell>
          <cell r="R1347">
            <v>0</v>
          </cell>
          <cell r="T1347">
            <v>0</v>
          </cell>
          <cell r="U1347">
            <v>0</v>
          </cell>
          <cell r="W1347">
            <v>186180</v>
          </cell>
          <cell r="X1347">
            <v>0</v>
          </cell>
          <cell r="Z1347">
            <v>81999.999999999884</v>
          </cell>
          <cell r="AA1347">
            <v>0</v>
          </cell>
          <cell r="AC1347">
            <v>0</v>
          </cell>
          <cell r="AD1347">
            <v>0</v>
          </cell>
          <cell r="AF1347">
            <v>103000</v>
          </cell>
          <cell r="AG1347">
            <v>0</v>
          </cell>
          <cell r="AI1347">
            <v>16972</v>
          </cell>
          <cell r="AJ1347">
            <v>0</v>
          </cell>
          <cell r="AL1347">
            <v>37772</v>
          </cell>
          <cell r="AM1347">
            <v>0</v>
          </cell>
          <cell r="AO1347">
            <v>28358.449999999953</v>
          </cell>
          <cell r="AP1347">
            <v>0</v>
          </cell>
          <cell r="AR1347">
            <v>0</v>
          </cell>
          <cell r="AS1347">
            <v>0</v>
          </cell>
          <cell r="BF1347" t="str">
            <v>4230</v>
          </cell>
          <cell r="BG1347" t="str">
            <v>Z000</v>
          </cell>
          <cell r="BH1347" t="str">
            <v>EMU</v>
          </cell>
        </row>
        <row r="1348">
          <cell r="K1348">
            <v>0</v>
          </cell>
          <cell r="L1348">
            <v>0</v>
          </cell>
          <cell r="N1348">
            <v>0</v>
          </cell>
          <cell r="O1348">
            <v>0</v>
          </cell>
          <cell r="Q1348">
            <v>0</v>
          </cell>
          <cell r="R1348">
            <v>0</v>
          </cell>
          <cell r="T1348">
            <v>0</v>
          </cell>
          <cell r="U1348">
            <v>0</v>
          </cell>
          <cell r="W1348">
            <v>0</v>
          </cell>
          <cell r="X1348">
            <v>0</v>
          </cell>
          <cell r="Z1348">
            <v>0</v>
          </cell>
          <cell r="AA1348">
            <v>0</v>
          </cell>
          <cell r="AC1348">
            <v>0</v>
          </cell>
          <cell r="AD1348">
            <v>0</v>
          </cell>
          <cell r="AF1348">
            <v>0</v>
          </cell>
          <cell r="AG1348">
            <v>0</v>
          </cell>
          <cell r="AI1348">
            <v>0</v>
          </cell>
          <cell r="AJ1348">
            <v>0</v>
          </cell>
          <cell r="AL1348">
            <v>0</v>
          </cell>
          <cell r="AM1348">
            <v>0</v>
          </cell>
          <cell r="AO1348">
            <v>0</v>
          </cell>
          <cell r="AP1348">
            <v>0</v>
          </cell>
          <cell r="AR1348">
            <v>0</v>
          </cell>
          <cell r="AS1348">
            <v>0</v>
          </cell>
          <cell r="BF1348" t="str">
            <v>4240</v>
          </cell>
          <cell r="BG1348" t="str">
            <v>Z000</v>
          </cell>
          <cell r="BH1348" t="str">
            <v>EMU</v>
          </cell>
        </row>
        <row r="1349">
          <cell r="K1349">
            <v>49900</v>
          </cell>
          <cell r="L1349">
            <v>0</v>
          </cell>
          <cell r="N1349">
            <v>1200</v>
          </cell>
          <cell r="O1349">
            <v>0</v>
          </cell>
          <cell r="Q1349">
            <v>0</v>
          </cell>
          <cell r="R1349">
            <v>0</v>
          </cell>
          <cell r="T1349">
            <v>0</v>
          </cell>
          <cell r="U1349">
            <v>0</v>
          </cell>
          <cell r="W1349">
            <v>0</v>
          </cell>
          <cell r="X1349">
            <v>0</v>
          </cell>
          <cell r="Z1349">
            <v>19100</v>
          </cell>
          <cell r="AA1349">
            <v>0</v>
          </cell>
          <cell r="AC1349">
            <v>11600</v>
          </cell>
          <cell r="AD1349">
            <v>0</v>
          </cell>
          <cell r="AF1349">
            <v>500</v>
          </cell>
          <cell r="AG1349">
            <v>0</v>
          </cell>
          <cell r="AI1349">
            <v>10800</v>
          </cell>
          <cell r="AJ1349">
            <v>0</v>
          </cell>
          <cell r="AL1349">
            <v>30900</v>
          </cell>
          <cell r="AM1349">
            <v>0</v>
          </cell>
          <cell r="AO1349">
            <v>16398</v>
          </cell>
          <cell r="AP1349">
            <v>0</v>
          </cell>
          <cell r="AR1349">
            <v>24700</v>
          </cell>
          <cell r="AS1349">
            <v>0</v>
          </cell>
          <cell r="BF1349" t="str">
            <v>4250</v>
          </cell>
          <cell r="BG1349" t="str">
            <v>Z000</v>
          </cell>
          <cell r="BH1349" t="str">
            <v>EMU</v>
          </cell>
        </row>
        <row r="1350">
          <cell r="K1350">
            <v>103979.80999999994</v>
          </cell>
          <cell r="L1350">
            <v>0</v>
          </cell>
          <cell r="N1350">
            <v>99999.989999999991</v>
          </cell>
          <cell r="O1350">
            <v>0</v>
          </cell>
          <cell r="Q1350">
            <v>87124.550000000047</v>
          </cell>
          <cell r="R1350">
            <v>0</v>
          </cell>
          <cell r="T1350">
            <v>81568.699999999953</v>
          </cell>
          <cell r="U1350">
            <v>0</v>
          </cell>
          <cell r="W1350">
            <v>100418.14999999991</v>
          </cell>
          <cell r="X1350">
            <v>0</v>
          </cell>
          <cell r="Z1350">
            <v>66650.5</v>
          </cell>
          <cell r="AA1350">
            <v>0</v>
          </cell>
          <cell r="AC1350">
            <v>43060.300000000047</v>
          </cell>
          <cell r="AD1350">
            <v>0</v>
          </cell>
          <cell r="AF1350">
            <v>69025.5</v>
          </cell>
          <cell r="AG1350">
            <v>0</v>
          </cell>
          <cell r="AI1350">
            <v>100000</v>
          </cell>
          <cell r="AJ1350">
            <v>0</v>
          </cell>
          <cell r="AL1350">
            <v>100000</v>
          </cell>
          <cell r="AM1350">
            <v>0</v>
          </cell>
          <cell r="AO1350">
            <v>97252.219999999972</v>
          </cell>
          <cell r="AP1350">
            <v>0</v>
          </cell>
          <cell r="AR1350">
            <v>129417.80999999982</v>
          </cell>
          <cell r="AS1350">
            <v>0</v>
          </cell>
          <cell r="BF1350" t="str">
            <v>4275</v>
          </cell>
          <cell r="BG1350" t="str">
            <v>Z000</v>
          </cell>
          <cell r="BH1350" t="str">
            <v>EMU</v>
          </cell>
        </row>
        <row r="1351">
          <cell r="K1351">
            <v>343394.75</v>
          </cell>
          <cell r="L1351">
            <v>0</v>
          </cell>
          <cell r="N1351">
            <v>347196.2200000002</v>
          </cell>
          <cell r="O1351">
            <v>0</v>
          </cell>
          <cell r="Q1351">
            <v>336027.5700000003</v>
          </cell>
          <cell r="R1351">
            <v>0</v>
          </cell>
          <cell r="T1351">
            <v>347446.08000000007</v>
          </cell>
          <cell r="U1351">
            <v>0</v>
          </cell>
          <cell r="W1351">
            <v>336464.83000000007</v>
          </cell>
          <cell r="X1351">
            <v>0</v>
          </cell>
          <cell r="Z1351">
            <v>337498.97999999952</v>
          </cell>
          <cell r="AA1351">
            <v>0</v>
          </cell>
          <cell r="AC1351">
            <v>337748.83999999985</v>
          </cell>
          <cell r="AD1351">
            <v>0</v>
          </cell>
          <cell r="AF1351">
            <v>308764.5</v>
          </cell>
          <cell r="AG1351">
            <v>0</v>
          </cell>
          <cell r="AI1351">
            <v>344211.54999999981</v>
          </cell>
          <cell r="AJ1351">
            <v>0</v>
          </cell>
          <cell r="AL1351">
            <v>365567.21999999974</v>
          </cell>
          <cell r="AM1351">
            <v>0</v>
          </cell>
          <cell r="AO1351">
            <v>415188.29999999981</v>
          </cell>
          <cell r="AP1351">
            <v>0</v>
          </cell>
          <cell r="AR1351">
            <v>482189.09999999963</v>
          </cell>
          <cell r="AS1351">
            <v>0</v>
          </cell>
          <cell r="BF1351" t="str">
            <v>4300</v>
          </cell>
          <cell r="BG1351" t="str">
            <v>Z000</v>
          </cell>
          <cell r="BH1351" t="str">
            <v>EMU</v>
          </cell>
        </row>
        <row r="1352">
          <cell r="K1352">
            <v>0</v>
          </cell>
          <cell r="L1352">
            <v>0</v>
          </cell>
          <cell r="N1352">
            <v>0</v>
          </cell>
          <cell r="O1352">
            <v>0</v>
          </cell>
          <cell r="Q1352">
            <v>0</v>
          </cell>
          <cell r="R1352">
            <v>0</v>
          </cell>
          <cell r="T1352">
            <v>0</v>
          </cell>
          <cell r="U1352">
            <v>0</v>
          </cell>
          <cell r="W1352">
            <v>0</v>
          </cell>
          <cell r="X1352">
            <v>0</v>
          </cell>
          <cell r="Z1352">
            <v>0</v>
          </cell>
          <cell r="AA1352">
            <v>0</v>
          </cell>
          <cell r="AC1352">
            <v>0</v>
          </cell>
          <cell r="AD1352">
            <v>0</v>
          </cell>
          <cell r="AF1352">
            <v>0</v>
          </cell>
          <cell r="AG1352">
            <v>0</v>
          </cell>
          <cell r="AI1352">
            <v>0</v>
          </cell>
          <cell r="AJ1352">
            <v>0</v>
          </cell>
          <cell r="AL1352">
            <v>0</v>
          </cell>
          <cell r="AM1352">
            <v>0</v>
          </cell>
          <cell r="AO1352">
            <v>0</v>
          </cell>
          <cell r="AP1352">
            <v>0</v>
          </cell>
          <cell r="AR1352">
            <v>0</v>
          </cell>
          <cell r="AS1352">
            <v>0</v>
          </cell>
          <cell r="BF1352" t="str">
            <v>4320</v>
          </cell>
          <cell r="BG1352" t="str">
            <v>Z000</v>
          </cell>
          <cell r="BH1352" t="str">
            <v>EMU</v>
          </cell>
        </row>
        <row r="1353">
          <cell r="K1353">
            <v>174600</v>
          </cell>
          <cell r="L1353">
            <v>0</v>
          </cell>
          <cell r="N1353">
            <v>175000</v>
          </cell>
          <cell r="O1353">
            <v>0</v>
          </cell>
          <cell r="Q1353">
            <v>173700</v>
          </cell>
          <cell r="R1353">
            <v>0</v>
          </cell>
          <cell r="T1353">
            <v>169600</v>
          </cell>
          <cell r="U1353">
            <v>0</v>
          </cell>
          <cell r="W1353">
            <v>173400</v>
          </cell>
          <cell r="X1353">
            <v>0</v>
          </cell>
          <cell r="Z1353">
            <v>172700</v>
          </cell>
          <cell r="AA1353">
            <v>0</v>
          </cell>
          <cell r="AC1353">
            <v>172100</v>
          </cell>
          <cell r="AD1353">
            <v>0</v>
          </cell>
          <cell r="AF1353">
            <v>172600</v>
          </cell>
          <cell r="AG1353">
            <v>0</v>
          </cell>
          <cell r="AI1353">
            <v>173100</v>
          </cell>
          <cell r="AJ1353">
            <v>0</v>
          </cell>
          <cell r="AL1353">
            <v>173840</v>
          </cell>
          <cell r="AM1353">
            <v>0</v>
          </cell>
          <cell r="AO1353">
            <v>175720</v>
          </cell>
          <cell r="AP1353">
            <v>0</v>
          </cell>
          <cell r="AR1353">
            <v>175500</v>
          </cell>
          <cell r="AS1353">
            <v>0</v>
          </cell>
          <cell r="BF1353" t="str">
            <v>4330</v>
          </cell>
          <cell r="BG1353" t="str">
            <v>Z000</v>
          </cell>
          <cell r="BH1353" t="str">
            <v>EMU</v>
          </cell>
        </row>
        <row r="1354">
          <cell r="K1354">
            <v>0</v>
          </cell>
          <cell r="L1354">
            <v>0</v>
          </cell>
          <cell r="N1354">
            <v>0</v>
          </cell>
          <cell r="O1354">
            <v>0</v>
          </cell>
          <cell r="Q1354">
            <v>0</v>
          </cell>
          <cell r="R1354">
            <v>0</v>
          </cell>
          <cell r="T1354">
            <v>0</v>
          </cell>
          <cell r="U1354">
            <v>0</v>
          </cell>
          <cell r="W1354">
            <v>0</v>
          </cell>
          <cell r="X1354">
            <v>0</v>
          </cell>
          <cell r="Z1354">
            <v>0</v>
          </cell>
          <cell r="AA1354">
            <v>0</v>
          </cell>
          <cell r="AC1354">
            <v>0</v>
          </cell>
          <cell r="AD1354">
            <v>0</v>
          </cell>
          <cell r="AF1354">
            <v>0</v>
          </cell>
          <cell r="AG1354">
            <v>0</v>
          </cell>
          <cell r="AI1354">
            <v>0</v>
          </cell>
          <cell r="AJ1354">
            <v>0</v>
          </cell>
          <cell r="AL1354">
            <v>0</v>
          </cell>
          <cell r="AM1354">
            <v>0</v>
          </cell>
          <cell r="AO1354">
            <v>0</v>
          </cell>
          <cell r="AP1354">
            <v>0</v>
          </cell>
          <cell r="AR1354">
            <v>0</v>
          </cell>
          <cell r="AS1354">
            <v>0</v>
          </cell>
          <cell r="BF1354" t="str">
            <v>4340</v>
          </cell>
          <cell r="BG1354" t="str">
            <v>D006</v>
          </cell>
          <cell r="BH1354" t="str">
            <v>EMU</v>
          </cell>
        </row>
        <row r="1355">
          <cell r="K1355">
            <v>0</v>
          </cell>
          <cell r="L1355">
            <v>0</v>
          </cell>
          <cell r="N1355">
            <v>50000</v>
          </cell>
          <cell r="O1355">
            <v>0</v>
          </cell>
          <cell r="Q1355">
            <v>0</v>
          </cell>
          <cell r="R1355">
            <v>0</v>
          </cell>
          <cell r="T1355">
            <v>0</v>
          </cell>
          <cell r="U1355">
            <v>0</v>
          </cell>
          <cell r="W1355">
            <v>0</v>
          </cell>
          <cell r="X1355">
            <v>0</v>
          </cell>
          <cell r="Z1355">
            <v>0</v>
          </cell>
          <cell r="AA1355">
            <v>0</v>
          </cell>
          <cell r="AC1355">
            <v>0</v>
          </cell>
          <cell r="AD1355">
            <v>0</v>
          </cell>
          <cell r="AF1355">
            <v>0</v>
          </cell>
          <cell r="AG1355">
            <v>0</v>
          </cell>
          <cell r="AI1355">
            <v>0</v>
          </cell>
          <cell r="AJ1355">
            <v>0</v>
          </cell>
          <cell r="AL1355">
            <v>0</v>
          </cell>
          <cell r="AM1355">
            <v>0</v>
          </cell>
          <cell r="AO1355">
            <v>0</v>
          </cell>
          <cell r="AP1355">
            <v>0</v>
          </cell>
          <cell r="AR1355">
            <v>0</v>
          </cell>
          <cell r="AS1355">
            <v>0</v>
          </cell>
          <cell r="BF1355" t="str">
            <v>4340</v>
          </cell>
          <cell r="BG1355" t="str">
            <v>D007</v>
          </cell>
          <cell r="BH1355" t="str">
            <v>EMU</v>
          </cell>
        </row>
        <row r="1356">
          <cell r="K1356">
            <v>0</v>
          </cell>
          <cell r="L1356">
            <v>0</v>
          </cell>
          <cell r="N1356">
            <v>0</v>
          </cell>
          <cell r="O1356">
            <v>0</v>
          </cell>
          <cell r="Q1356">
            <v>0</v>
          </cell>
          <cell r="R1356">
            <v>0</v>
          </cell>
          <cell r="T1356">
            <v>0</v>
          </cell>
          <cell r="U1356">
            <v>0</v>
          </cell>
          <cell r="W1356">
            <v>0</v>
          </cell>
          <cell r="X1356">
            <v>0</v>
          </cell>
          <cell r="Z1356">
            <v>0</v>
          </cell>
          <cell r="AA1356">
            <v>0</v>
          </cell>
          <cell r="AC1356">
            <v>0</v>
          </cell>
          <cell r="AD1356">
            <v>0</v>
          </cell>
          <cell r="AF1356">
            <v>0</v>
          </cell>
          <cell r="AG1356">
            <v>0</v>
          </cell>
          <cell r="AI1356">
            <v>0</v>
          </cell>
          <cell r="AJ1356">
            <v>0</v>
          </cell>
          <cell r="AL1356">
            <v>24020.87</v>
          </cell>
          <cell r="AM1356">
            <v>0</v>
          </cell>
          <cell r="AO1356">
            <v>0</v>
          </cell>
          <cell r="AP1356">
            <v>0</v>
          </cell>
          <cell r="AR1356">
            <v>0</v>
          </cell>
          <cell r="AS1356">
            <v>0</v>
          </cell>
          <cell r="BF1356" t="str">
            <v>4340</v>
          </cell>
          <cell r="BG1356" t="str">
            <v>D008</v>
          </cell>
          <cell r="BH1356" t="str">
            <v>EMU</v>
          </cell>
        </row>
        <row r="1357">
          <cell r="K1357">
            <v>49556</v>
          </cell>
          <cell r="L1357">
            <v>0</v>
          </cell>
          <cell r="N1357">
            <v>50962</v>
          </cell>
          <cell r="O1357">
            <v>0</v>
          </cell>
          <cell r="Q1357">
            <v>25847.899999999907</v>
          </cell>
          <cell r="R1357">
            <v>0</v>
          </cell>
          <cell r="T1357">
            <v>264550.01</v>
          </cell>
          <cell r="U1357">
            <v>0</v>
          </cell>
          <cell r="W1357">
            <v>195890</v>
          </cell>
          <cell r="X1357">
            <v>0</v>
          </cell>
          <cell r="Z1357">
            <v>71424.149999999907</v>
          </cell>
          <cell r="AA1357">
            <v>0</v>
          </cell>
          <cell r="AC1357">
            <v>172348.5</v>
          </cell>
          <cell r="AD1357">
            <v>0</v>
          </cell>
          <cell r="AF1357">
            <v>62541</v>
          </cell>
          <cell r="AG1357">
            <v>0</v>
          </cell>
          <cell r="AI1357">
            <v>93475</v>
          </cell>
          <cell r="AJ1357">
            <v>0</v>
          </cell>
          <cell r="AL1357">
            <v>157673.10000000009</v>
          </cell>
          <cell r="AM1357">
            <v>0</v>
          </cell>
          <cell r="AO1357">
            <v>102830</v>
          </cell>
          <cell r="AP1357">
            <v>0</v>
          </cell>
          <cell r="AR1357">
            <v>156056.04000000004</v>
          </cell>
          <cell r="AS1357">
            <v>0</v>
          </cell>
          <cell r="BF1357" t="str">
            <v>4360</v>
          </cell>
          <cell r="BG1357" t="str">
            <v>Z000</v>
          </cell>
          <cell r="BH1357" t="str">
            <v>EMU</v>
          </cell>
        </row>
        <row r="1358">
          <cell r="K1358">
            <v>0</v>
          </cell>
          <cell r="L1358">
            <v>0</v>
          </cell>
          <cell r="N1358">
            <v>0</v>
          </cell>
          <cell r="O1358">
            <v>0</v>
          </cell>
          <cell r="Q1358">
            <v>0</v>
          </cell>
          <cell r="R1358">
            <v>0</v>
          </cell>
          <cell r="T1358">
            <v>0</v>
          </cell>
          <cell r="U1358">
            <v>0</v>
          </cell>
          <cell r="W1358">
            <v>1000</v>
          </cell>
          <cell r="X1358">
            <v>0</v>
          </cell>
          <cell r="Z1358">
            <v>3033.5800000000163</v>
          </cell>
          <cell r="AA1358">
            <v>0</v>
          </cell>
          <cell r="AC1358">
            <v>7350</v>
          </cell>
          <cell r="AD1358">
            <v>0</v>
          </cell>
          <cell r="AF1358">
            <v>7400</v>
          </cell>
          <cell r="AG1358">
            <v>0</v>
          </cell>
          <cell r="AI1358">
            <v>7400</v>
          </cell>
          <cell r="AJ1358">
            <v>0</v>
          </cell>
          <cell r="AL1358">
            <v>15724</v>
          </cell>
          <cell r="AM1358">
            <v>0</v>
          </cell>
          <cell r="AO1358">
            <v>18221</v>
          </cell>
          <cell r="AP1358">
            <v>0</v>
          </cell>
          <cell r="AR1358">
            <v>0</v>
          </cell>
          <cell r="AS1358">
            <v>0</v>
          </cell>
          <cell r="BF1358" t="str">
            <v>4380</v>
          </cell>
          <cell r="BG1358" t="str">
            <v>Z000</v>
          </cell>
          <cell r="BH1358" t="str">
            <v>EMU</v>
          </cell>
        </row>
        <row r="1359">
          <cell r="K1359">
            <v>0</v>
          </cell>
          <cell r="L1359">
            <v>0</v>
          </cell>
          <cell r="N1359">
            <v>0</v>
          </cell>
          <cell r="O1359">
            <v>0</v>
          </cell>
          <cell r="Q1359">
            <v>0</v>
          </cell>
          <cell r="R1359">
            <v>0</v>
          </cell>
          <cell r="T1359">
            <v>0</v>
          </cell>
          <cell r="U1359">
            <v>0</v>
          </cell>
          <cell r="W1359">
            <v>0</v>
          </cell>
          <cell r="X1359">
            <v>0</v>
          </cell>
          <cell r="Z1359">
            <v>0</v>
          </cell>
          <cell r="AA1359">
            <v>0</v>
          </cell>
          <cell r="AC1359">
            <v>0</v>
          </cell>
          <cell r="AD1359">
            <v>0</v>
          </cell>
          <cell r="AF1359">
            <v>0</v>
          </cell>
          <cell r="AG1359">
            <v>0</v>
          </cell>
          <cell r="AI1359">
            <v>0</v>
          </cell>
          <cell r="AJ1359">
            <v>0</v>
          </cell>
          <cell r="AL1359">
            <v>0</v>
          </cell>
          <cell r="AM1359">
            <v>0</v>
          </cell>
          <cell r="AO1359">
            <v>0</v>
          </cell>
          <cell r="AP1359">
            <v>0</v>
          </cell>
          <cell r="AR1359">
            <v>0</v>
          </cell>
          <cell r="AS1359">
            <v>0</v>
          </cell>
          <cell r="BF1359" t="str">
            <v>4400</v>
          </cell>
          <cell r="BG1359" t="str">
            <v>Z000</v>
          </cell>
          <cell r="BH1359" t="str">
            <v>EMU</v>
          </cell>
        </row>
        <row r="1360">
          <cell r="K1360">
            <v>20850</v>
          </cell>
          <cell r="L1360">
            <v>0</v>
          </cell>
          <cell r="N1360">
            <v>17820</v>
          </cell>
          <cell r="O1360">
            <v>0</v>
          </cell>
          <cell r="Q1360">
            <v>0</v>
          </cell>
          <cell r="R1360">
            <v>0</v>
          </cell>
          <cell r="T1360">
            <v>0</v>
          </cell>
          <cell r="U1360">
            <v>0</v>
          </cell>
          <cell r="W1360">
            <v>78905.179999999702</v>
          </cell>
          <cell r="X1360">
            <v>0</v>
          </cell>
          <cell r="Z1360">
            <v>0</v>
          </cell>
          <cell r="AA1360">
            <v>0</v>
          </cell>
          <cell r="AC1360">
            <v>400</v>
          </cell>
          <cell r="AD1360">
            <v>0</v>
          </cell>
          <cell r="AF1360">
            <v>1900</v>
          </cell>
          <cell r="AG1360">
            <v>0</v>
          </cell>
          <cell r="AI1360">
            <v>0</v>
          </cell>
          <cell r="AJ1360">
            <v>0</v>
          </cell>
          <cell r="AL1360">
            <v>0</v>
          </cell>
          <cell r="AM1360">
            <v>0</v>
          </cell>
          <cell r="AO1360">
            <v>0</v>
          </cell>
          <cell r="AP1360">
            <v>0</v>
          </cell>
          <cell r="AR1360">
            <v>300</v>
          </cell>
          <cell r="AS1360">
            <v>0</v>
          </cell>
          <cell r="BF1360" t="str">
            <v>4480</v>
          </cell>
          <cell r="BG1360" t="str">
            <v>Z000</v>
          </cell>
          <cell r="BH1360" t="str">
            <v>EMU</v>
          </cell>
        </row>
        <row r="1361">
          <cell r="K1361">
            <v>94962.840000000026</v>
          </cell>
          <cell r="L1361">
            <v>0</v>
          </cell>
          <cell r="N1361">
            <v>53376.76999999996</v>
          </cell>
          <cell r="O1361">
            <v>0</v>
          </cell>
          <cell r="Q1361">
            <v>50852.109999999986</v>
          </cell>
          <cell r="R1361">
            <v>0</v>
          </cell>
          <cell r="T1361">
            <v>44057.890000000014</v>
          </cell>
          <cell r="U1361">
            <v>0</v>
          </cell>
          <cell r="W1361">
            <v>44057.890000000014</v>
          </cell>
          <cell r="X1361">
            <v>0</v>
          </cell>
          <cell r="Z1361">
            <v>46027.660000000033</v>
          </cell>
          <cell r="AA1361">
            <v>0</v>
          </cell>
          <cell r="AC1361">
            <v>46027.660000000033</v>
          </cell>
          <cell r="AD1361">
            <v>0</v>
          </cell>
          <cell r="AF1361">
            <v>46027.660000000033</v>
          </cell>
          <cell r="AG1361">
            <v>0</v>
          </cell>
          <cell r="AI1361">
            <v>46027.660000000033</v>
          </cell>
          <cell r="AJ1361">
            <v>0</v>
          </cell>
          <cell r="AL1361">
            <v>46027.660000000033</v>
          </cell>
          <cell r="AM1361">
            <v>0</v>
          </cell>
          <cell r="AO1361">
            <v>48519.330000000075</v>
          </cell>
          <cell r="AP1361">
            <v>0</v>
          </cell>
          <cell r="AR1361">
            <v>56597</v>
          </cell>
          <cell r="AS1361">
            <v>0</v>
          </cell>
          <cell r="BF1361" t="str">
            <v>4500</v>
          </cell>
          <cell r="BG1361" t="str">
            <v>Z000</v>
          </cell>
          <cell r="BH1361" t="str">
            <v>EMU</v>
          </cell>
        </row>
        <row r="1362">
          <cell r="K1362">
            <v>0</v>
          </cell>
          <cell r="L1362">
            <v>0</v>
          </cell>
          <cell r="N1362">
            <v>0</v>
          </cell>
          <cell r="O1362">
            <v>0</v>
          </cell>
          <cell r="Q1362">
            <v>0</v>
          </cell>
          <cell r="R1362">
            <v>0</v>
          </cell>
          <cell r="T1362">
            <v>0</v>
          </cell>
          <cell r="U1362">
            <v>0</v>
          </cell>
          <cell r="W1362">
            <v>0</v>
          </cell>
          <cell r="X1362">
            <v>0</v>
          </cell>
          <cell r="Z1362">
            <v>0</v>
          </cell>
          <cell r="AA1362">
            <v>0</v>
          </cell>
          <cell r="AC1362">
            <v>0</v>
          </cell>
          <cell r="AD1362">
            <v>0</v>
          </cell>
          <cell r="AF1362">
            <v>0</v>
          </cell>
          <cell r="AG1362">
            <v>0</v>
          </cell>
          <cell r="AI1362">
            <v>0</v>
          </cell>
          <cell r="AJ1362">
            <v>0</v>
          </cell>
          <cell r="AL1362">
            <v>0</v>
          </cell>
          <cell r="AM1362">
            <v>0</v>
          </cell>
          <cell r="AO1362">
            <v>0</v>
          </cell>
          <cell r="AP1362">
            <v>0</v>
          </cell>
          <cell r="AR1362">
            <v>0</v>
          </cell>
          <cell r="AS1362">
            <v>0</v>
          </cell>
          <cell r="BF1362" t="str">
            <v>4520</v>
          </cell>
          <cell r="BG1362" t="str">
            <v>D011</v>
          </cell>
          <cell r="BH1362" t="str">
            <v>EMU</v>
          </cell>
        </row>
        <row r="1363">
          <cell r="K1363">
            <v>0</v>
          </cell>
          <cell r="L1363">
            <v>0</v>
          </cell>
          <cell r="N1363">
            <v>0</v>
          </cell>
          <cell r="O1363">
            <v>0</v>
          </cell>
          <cell r="Q1363">
            <v>0</v>
          </cell>
          <cell r="R1363">
            <v>0</v>
          </cell>
          <cell r="T1363">
            <v>0</v>
          </cell>
          <cell r="U1363">
            <v>0</v>
          </cell>
          <cell r="W1363">
            <v>0</v>
          </cell>
          <cell r="X1363">
            <v>0</v>
          </cell>
          <cell r="Z1363">
            <v>0</v>
          </cell>
          <cell r="AA1363">
            <v>0</v>
          </cell>
          <cell r="AC1363">
            <v>0</v>
          </cell>
          <cell r="AD1363">
            <v>0</v>
          </cell>
          <cell r="AF1363">
            <v>0</v>
          </cell>
          <cell r="AG1363">
            <v>0</v>
          </cell>
          <cell r="AI1363">
            <v>0</v>
          </cell>
          <cell r="AJ1363">
            <v>0</v>
          </cell>
          <cell r="AL1363">
            <v>0</v>
          </cell>
          <cell r="AM1363">
            <v>0</v>
          </cell>
          <cell r="AO1363">
            <v>0</v>
          </cell>
          <cell r="AP1363">
            <v>0</v>
          </cell>
          <cell r="AR1363">
            <v>0</v>
          </cell>
          <cell r="AS1363">
            <v>0</v>
          </cell>
          <cell r="BF1363" t="str">
            <v>4520</v>
          </cell>
          <cell r="BG1363" t="str">
            <v>D012</v>
          </cell>
          <cell r="BH1363" t="str">
            <v>EMU</v>
          </cell>
        </row>
        <row r="1364">
          <cell r="K1364">
            <v>0</v>
          </cell>
          <cell r="L1364">
            <v>0</v>
          </cell>
          <cell r="N1364">
            <v>0</v>
          </cell>
          <cell r="O1364">
            <v>0</v>
          </cell>
          <cell r="Q1364">
            <v>0</v>
          </cell>
          <cell r="R1364">
            <v>0</v>
          </cell>
          <cell r="T1364">
            <v>0</v>
          </cell>
          <cell r="U1364">
            <v>0</v>
          </cell>
          <cell r="W1364">
            <v>0</v>
          </cell>
          <cell r="X1364">
            <v>0</v>
          </cell>
          <cell r="Z1364">
            <v>0</v>
          </cell>
          <cell r="AA1364">
            <v>0</v>
          </cell>
          <cell r="AC1364">
            <v>0</v>
          </cell>
          <cell r="AD1364">
            <v>0</v>
          </cell>
          <cell r="AF1364">
            <v>0</v>
          </cell>
          <cell r="AG1364">
            <v>0</v>
          </cell>
          <cell r="AI1364">
            <v>0</v>
          </cell>
          <cell r="AJ1364">
            <v>0</v>
          </cell>
          <cell r="AL1364">
            <v>0</v>
          </cell>
          <cell r="AM1364">
            <v>0</v>
          </cell>
          <cell r="AO1364">
            <v>0</v>
          </cell>
          <cell r="AP1364">
            <v>0</v>
          </cell>
          <cell r="AR1364">
            <v>0</v>
          </cell>
          <cell r="AS1364">
            <v>0</v>
          </cell>
          <cell r="BF1364" t="str">
            <v>4520</v>
          </cell>
          <cell r="BG1364" t="str">
            <v>D013</v>
          </cell>
          <cell r="BH1364" t="str">
            <v>EMU</v>
          </cell>
        </row>
        <row r="1365">
          <cell r="K1365">
            <v>0</v>
          </cell>
          <cell r="L1365">
            <v>0</v>
          </cell>
          <cell r="N1365">
            <v>0</v>
          </cell>
          <cell r="O1365">
            <v>0</v>
          </cell>
          <cell r="Q1365">
            <v>0</v>
          </cell>
          <cell r="R1365">
            <v>0</v>
          </cell>
          <cell r="T1365">
            <v>0</v>
          </cell>
          <cell r="U1365">
            <v>0</v>
          </cell>
          <cell r="W1365">
            <v>0</v>
          </cell>
          <cell r="X1365">
            <v>0</v>
          </cell>
          <cell r="Z1365">
            <v>0</v>
          </cell>
          <cell r="AA1365">
            <v>0</v>
          </cell>
          <cell r="AC1365">
            <v>0</v>
          </cell>
          <cell r="AD1365">
            <v>0</v>
          </cell>
          <cell r="AF1365">
            <v>0</v>
          </cell>
          <cell r="AG1365">
            <v>0</v>
          </cell>
          <cell r="AI1365">
            <v>0</v>
          </cell>
          <cell r="AJ1365">
            <v>0</v>
          </cell>
          <cell r="AL1365">
            <v>0</v>
          </cell>
          <cell r="AM1365">
            <v>0</v>
          </cell>
          <cell r="AO1365">
            <v>0</v>
          </cell>
          <cell r="AP1365">
            <v>0</v>
          </cell>
          <cell r="AR1365">
            <v>0</v>
          </cell>
          <cell r="AS1365">
            <v>0</v>
          </cell>
          <cell r="BF1365" t="str">
            <v>4520</v>
          </cell>
          <cell r="BG1365" t="str">
            <v>D014</v>
          </cell>
          <cell r="BH1365" t="str">
            <v>EMU</v>
          </cell>
        </row>
        <row r="1366">
          <cell r="K1366">
            <v>0</v>
          </cell>
          <cell r="L1366">
            <v>0</v>
          </cell>
          <cell r="N1366">
            <v>0</v>
          </cell>
          <cell r="O1366">
            <v>0</v>
          </cell>
          <cell r="Q1366">
            <v>0</v>
          </cell>
          <cell r="R1366">
            <v>0</v>
          </cell>
          <cell r="T1366">
            <v>0</v>
          </cell>
          <cell r="U1366">
            <v>0</v>
          </cell>
          <cell r="W1366">
            <v>0</v>
          </cell>
          <cell r="X1366">
            <v>0</v>
          </cell>
          <cell r="Z1366">
            <v>0</v>
          </cell>
          <cell r="AA1366">
            <v>0</v>
          </cell>
          <cell r="AC1366">
            <v>0</v>
          </cell>
          <cell r="AD1366">
            <v>0</v>
          </cell>
          <cell r="AF1366">
            <v>0</v>
          </cell>
          <cell r="AG1366">
            <v>0</v>
          </cell>
          <cell r="AI1366">
            <v>0</v>
          </cell>
          <cell r="AJ1366">
            <v>0</v>
          </cell>
          <cell r="AL1366">
            <v>0</v>
          </cell>
          <cell r="AM1366">
            <v>0</v>
          </cell>
          <cell r="AO1366">
            <v>0</v>
          </cell>
          <cell r="AP1366">
            <v>0</v>
          </cell>
          <cell r="AR1366">
            <v>0</v>
          </cell>
          <cell r="AS1366">
            <v>0</v>
          </cell>
          <cell r="BF1366" t="str">
            <v>4520</v>
          </cell>
          <cell r="BG1366" t="str">
            <v>D015</v>
          </cell>
          <cell r="BH1366" t="str">
            <v>EMU</v>
          </cell>
        </row>
        <row r="1367">
          <cell r="K1367">
            <v>0</v>
          </cell>
          <cell r="L1367">
            <v>0</v>
          </cell>
          <cell r="N1367">
            <v>0</v>
          </cell>
          <cell r="O1367">
            <v>0</v>
          </cell>
          <cell r="Q1367">
            <v>0</v>
          </cell>
          <cell r="R1367">
            <v>0</v>
          </cell>
          <cell r="T1367">
            <v>0</v>
          </cell>
          <cell r="U1367">
            <v>0</v>
          </cell>
          <cell r="W1367">
            <v>0</v>
          </cell>
          <cell r="X1367">
            <v>0</v>
          </cell>
          <cell r="Z1367">
            <v>0</v>
          </cell>
          <cell r="AA1367">
            <v>0</v>
          </cell>
          <cell r="AC1367">
            <v>0</v>
          </cell>
          <cell r="AD1367">
            <v>0</v>
          </cell>
          <cell r="AF1367">
            <v>0</v>
          </cell>
          <cell r="AG1367">
            <v>0</v>
          </cell>
          <cell r="AI1367">
            <v>0</v>
          </cell>
          <cell r="AJ1367">
            <v>0</v>
          </cell>
          <cell r="AL1367">
            <v>0</v>
          </cell>
          <cell r="AM1367">
            <v>0</v>
          </cell>
          <cell r="AO1367">
            <v>0</v>
          </cell>
          <cell r="AP1367">
            <v>0</v>
          </cell>
          <cell r="AR1367">
            <v>0</v>
          </cell>
          <cell r="AS1367">
            <v>0</v>
          </cell>
          <cell r="BF1367" t="str">
            <v>4520</v>
          </cell>
          <cell r="BG1367" t="str">
            <v>D016</v>
          </cell>
          <cell r="BH1367" t="str">
            <v>EMU</v>
          </cell>
        </row>
        <row r="1368">
          <cell r="K1368">
            <v>0</v>
          </cell>
          <cell r="L1368">
            <v>0</v>
          </cell>
          <cell r="N1368">
            <v>0</v>
          </cell>
          <cell r="O1368">
            <v>0</v>
          </cell>
          <cell r="Q1368">
            <v>0</v>
          </cell>
          <cell r="R1368">
            <v>0</v>
          </cell>
          <cell r="T1368">
            <v>0</v>
          </cell>
          <cell r="U1368">
            <v>0</v>
          </cell>
          <cell r="W1368">
            <v>0</v>
          </cell>
          <cell r="X1368">
            <v>0</v>
          </cell>
          <cell r="Z1368">
            <v>0</v>
          </cell>
          <cell r="AA1368">
            <v>0</v>
          </cell>
          <cell r="AC1368">
            <v>0</v>
          </cell>
          <cell r="AD1368">
            <v>0</v>
          </cell>
          <cell r="AF1368">
            <v>256902</v>
          </cell>
          <cell r="AG1368">
            <v>0</v>
          </cell>
          <cell r="AI1368">
            <v>203600</v>
          </cell>
          <cell r="AJ1368">
            <v>0</v>
          </cell>
          <cell r="AL1368">
            <v>171400</v>
          </cell>
          <cell r="AM1368">
            <v>0</v>
          </cell>
          <cell r="AO1368">
            <v>120000</v>
          </cell>
          <cell r="AP1368">
            <v>0</v>
          </cell>
          <cell r="AR1368">
            <v>106000</v>
          </cell>
          <cell r="AS1368">
            <v>0</v>
          </cell>
          <cell r="BF1368" t="str">
            <v>4560</v>
          </cell>
          <cell r="BG1368" t="str">
            <v>Z000</v>
          </cell>
          <cell r="BH1368" t="str">
            <v>EMU</v>
          </cell>
        </row>
        <row r="1369">
          <cell r="K1369">
            <v>86166.670000000042</v>
          </cell>
          <cell r="L1369">
            <v>0</v>
          </cell>
          <cell r="N1369">
            <v>16666.670000000042</v>
          </cell>
          <cell r="O1369">
            <v>0</v>
          </cell>
          <cell r="Q1369">
            <v>16666.670000000042</v>
          </cell>
          <cell r="R1369">
            <v>0</v>
          </cell>
          <cell r="T1369">
            <v>22666.670000000042</v>
          </cell>
          <cell r="U1369">
            <v>0</v>
          </cell>
          <cell r="W1369">
            <v>26666.670000000042</v>
          </cell>
          <cell r="X1369">
            <v>0</v>
          </cell>
          <cell r="Z1369">
            <v>33333.329999999958</v>
          </cell>
          <cell r="AA1369">
            <v>0</v>
          </cell>
          <cell r="AC1369">
            <v>83464.580000000191</v>
          </cell>
          <cell r="AD1369">
            <v>0</v>
          </cell>
          <cell r="AF1369">
            <v>99931.25</v>
          </cell>
          <cell r="AG1369">
            <v>0</v>
          </cell>
          <cell r="AI1369">
            <v>99931.25</v>
          </cell>
          <cell r="AJ1369">
            <v>0</v>
          </cell>
          <cell r="AL1369">
            <v>112047.91999999993</v>
          </cell>
          <cell r="AM1369">
            <v>0</v>
          </cell>
          <cell r="AO1369">
            <v>113068.75</v>
          </cell>
          <cell r="AP1369">
            <v>0</v>
          </cell>
          <cell r="AR1369">
            <v>115877.08000000007</v>
          </cell>
          <cell r="AS1369">
            <v>0</v>
          </cell>
          <cell r="BF1369" t="str">
            <v>4580</v>
          </cell>
          <cell r="BG1369" t="str">
            <v>Z000</v>
          </cell>
          <cell r="BH1369" t="str">
            <v>EMU</v>
          </cell>
        </row>
        <row r="1370">
          <cell r="K1370">
            <v>0</v>
          </cell>
          <cell r="L1370">
            <v>0</v>
          </cell>
          <cell r="N1370">
            <v>0</v>
          </cell>
          <cell r="O1370">
            <v>0</v>
          </cell>
          <cell r="Q1370">
            <v>0</v>
          </cell>
          <cell r="R1370">
            <v>0</v>
          </cell>
          <cell r="T1370">
            <v>0</v>
          </cell>
          <cell r="U1370">
            <v>0</v>
          </cell>
          <cell r="W1370">
            <v>0</v>
          </cell>
          <cell r="X1370">
            <v>0</v>
          </cell>
          <cell r="Z1370">
            <v>0</v>
          </cell>
          <cell r="AA1370">
            <v>0</v>
          </cell>
          <cell r="AC1370">
            <v>0</v>
          </cell>
          <cell r="AD1370">
            <v>0</v>
          </cell>
          <cell r="AF1370">
            <v>0</v>
          </cell>
          <cell r="AG1370">
            <v>0</v>
          </cell>
          <cell r="AI1370">
            <v>0</v>
          </cell>
          <cell r="AJ1370">
            <v>0</v>
          </cell>
          <cell r="AL1370">
            <v>0</v>
          </cell>
          <cell r="AM1370">
            <v>0</v>
          </cell>
          <cell r="AO1370">
            <v>0</v>
          </cell>
          <cell r="AP1370">
            <v>0</v>
          </cell>
          <cell r="AR1370">
            <v>0</v>
          </cell>
          <cell r="AS1370">
            <v>0</v>
          </cell>
          <cell r="BF1370" t="str">
            <v>4585</v>
          </cell>
          <cell r="BG1370" t="str">
            <v>D021</v>
          </cell>
          <cell r="BH1370" t="str">
            <v>EMU</v>
          </cell>
        </row>
        <row r="1371">
          <cell r="K1371">
            <v>2283341.0099999942</v>
          </cell>
          <cell r="L1371">
            <v>0</v>
          </cell>
          <cell r="N1371">
            <v>0</v>
          </cell>
          <cell r="O1371">
            <v>0</v>
          </cell>
          <cell r="Q1371">
            <v>0</v>
          </cell>
          <cell r="R1371">
            <v>0</v>
          </cell>
          <cell r="T1371">
            <v>0</v>
          </cell>
          <cell r="U1371">
            <v>0</v>
          </cell>
          <cell r="W1371">
            <v>0</v>
          </cell>
          <cell r="X1371">
            <v>0</v>
          </cell>
          <cell r="Z1371">
            <v>0</v>
          </cell>
          <cell r="AA1371">
            <v>0</v>
          </cell>
          <cell r="AC1371">
            <v>0</v>
          </cell>
          <cell r="AD1371">
            <v>0</v>
          </cell>
          <cell r="AF1371">
            <v>0</v>
          </cell>
          <cell r="AG1371">
            <v>0</v>
          </cell>
          <cell r="AI1371">
            <v>0</v>
          </cell>
          <cell r="AJ1371">
            <v>0</v>
          </cell>
          <cell r="AL1371">
            <v>0</v>
          </cell>
          <cell r="AM1371">
            <v>0</v>
          </cell>
          <cell r="AO1371">
            <v>0</v>
          </cell>
          <cell r="AP1371">
            <v>0</v>
          </cell>
          <cell r="AR1371">
            <v>0</v>
          </cell>
          <cell r="AS1371">
            <v>0</v>
          </cell>
          <cell r="BF1371" t="str">
            <v>4585</v>
          </cell>
          <cell r="BG1371" t="str">
            <v>D022</v>
          </cell>
          <cell r="BH1371" t="str">
            <v>EMU</v>
          </cell>
        </row>
        <row r="1372">
          <cell r="K1372">
            <v>0</v>
          </cell>
          <cell r="L1372">
            <v>0</v>
          </cell>
          <cell r="N1372">
            <v>0</v>
          </cell>
          <cell r="O1372">
            <v>0</v>
          </cell>
          <cell r="Q1372">
            <v>0</v>
          </cell>
          <cell r="R1372">
            <v>0</v>
          </cell>
          <cell r="T1372">
            <v>0</v>
          </cell>
          <cell r="U1372">
            <v>0</v>
          </cell>
          <cell r="W1372">
            <v>0</v>
          </cell>
          <cell r="X1372">
            <v>0</v>
          </cell>
          <cell r="Z1372">
            <v>0</v>
          </cell>
          <cell r="AA1372">
            <v>0</v>
          </cell>
          <cell r="AC1372">
            <v>0</v>
          </cell>
          <cell r="AD1372">
            <v>0</v>
          </cell>
          <cell r="AF1372">
            <v>0</v>
          </cell>
          <cell r="AG1372">
            <v>0</v>
          </cell>
          <cell r="AI1372">
            <v>0</v>
          </cell>
          <cell r="AJ1372">
            <v>0</v>
          </cell>
          <cell r="AL1372">
            <v>0</v>
          </cell>
          <cell r="AM1372">
            <v>0</v>
          </cell>
          <cell r="AO1372">
            <v>0</v>
          </cell>
          <cell r="AP1372">
            <v>0</v>
          </cell>
          <cell r="AR1372">
            <v>0</v>
          </cell>
          <cell r="AS1372">
            <v>0</v>
          </cell>
          <cell r="BF1372" t="str">
            <v>4585</v>
          </cell>
          <cell r="BG1372" t="str">
            <v>D023</v>
          </cell>
          <cell r="BH1372" t="str">
            <v>EMU</v>
          </cell>
        </row>
        <row r="1373">
          <cell r="K1373">
            <v>0</v>
          </cell>
          <cell r="L1373">
            <v>0</v>
          </cell>
          <cell r="N1373">
            <v>0</v>
          </cell>
          <cell r="O1373">
            <v>0</v>
          </cell>
          <cell r="Q1373">
            <v>0</v>
          </cell>
          <cell r="R1373">
            <v>0</v>
          </cell>
          <cell r="T1373">
            <v>0</v>
          </cell>
          <cell r="U1373">
            <v>0</v>
          </cell>
          <cell r="W1373">
            <v>0</v>
          </cell>
          <cell r="X1373">
            <v>0</v>
          </cell>
          <cell r="Z1373">
            <v>0</v>
          </cell>
          <cell r="AA1373">
            <v>0</v>
          </cell>
          <cell r="AC1373">
            <v>0</v>
          </cell>
          <cell r="AD1373">
            <v>0</v>
          </cell>
          <cell r="AF1373">
            <v>0</v>
          </cell>
          <cell r="AG1373">
            <v>0</v>
          </cell>
          <cell r="AI1373">
            <v>0</v>
          </cell>
          <cell r="AJ1373">
            <v>0</v>
          </cell>
          <cell r="AL1373">
            <v>0</v>
          </cell>
          <cell r="AM1373">
            <v>0</v>
          </cell>
          <cell r="AO1373">
            <v>0</v>
          </cell>
          <cell r="AP1373">
            <v>0</v>
          </cell>
          <cell r="AR1373">
            <v>0</v>
          </cell>
          <cell r="AS1373">
            <v>0</v>
          </cell>
          <cell r="BF1373" t="str">
            <v>4585</v>
          </cell>
          <cell r="BG1373" t="str">
            <v>D024</v>
          </cell>
          <cell r="BH1373" t="str">
            <v>EMU</v>
          </cell>
        </row>
        <row r="1374">
          <cell r="K1374">
            <v>368820</v>
          </cell>
          <cell r="L1374">
            <v>0</v>
          </cell>
          <cell r="N1374">
            <v>317808.99999999953</v>
          </cell>
          <cell r="O1374">
            <v>0</v>
          </cell>
          <cell r="Q1374">
            <v>305274</v>
          </cell>
          <cell r="R1374">
            <v>0</v>
          </cell>
          <cell r="T1374">
            <v>352650</v>
          </cell>
          <cell r="U1374">
            <v>0</v>
          </cell>
          <cell r="W1374">
            <v>2203234</v>
          </cell>
          <cell r="X1374">
            <v>0</v>
          </cell>
          <cell r="Z1374">
            <v>22800</v>
          </cell>
          <cell r="AA1374">
            <v>0</v>
          </cell>
          <cell r="AC1374">
            <v>62950</v>
          </cell>
          <cell r="AD1374">
            <v>0</v>
          </cell>
          <cell r="AF1374">
            <v>61493</v>
          </cell>
          <cell r="AG1374">
            <v>0</v>
          </cell>
          <cell r="AI1374">
            <v>371448.90000000037</v>
          </cell>
          <cell r="AJ1374">
            <v>0</v>
          </cell>
          <cell r="AL1374">
            <v>71050</v>
          </cell>
          <cell r="AM1374">
            <v>0</v>
          </cell>
          <cell r="AO1374">
            <v>28884</v>
          </cell>
          <cell r="AP1374">
            <v>0</v>
          </cell>
          <cell r="AR1374">
            <v>43887.009999999776</v>
          </cell>
          <cell r="AS1374">
            <v>0</v>
          </cell>
          <cell r="BF1374" t="str">
            <v>4590</v>
          </cell>
          <cell r="BG1374" t="str">
            <v>Z000</v>
          </cell>
          <cell r="BH1374" t="str">
            <v>EMU</v>
          </cell>
        </row>
        <row r="1375">
          <cell r="K1375">
            <v>126480</v>
          </cell>
          <cell r="L1375">
            <v>0</v>
          </cell>
          <cell r="N1375">
            <v>77143</v>
          </cell>
          <cell r="O1375">
            <v>0</v>
          </cell>
          <cell r="Q1375">
            <v>58200</v>
          </cell>
          <cell r="R1375">
            <v>0</v>
          </cell>
          <cell r="T1375">
            <v>66420</v>
          </cell>
          <cell r="U1375">
            <v>0</v>
          </cell>
          <cell r="W1375">
            <v>117315</v>
          </cell>
          <cell r="X1375">
            <v>0</v>
          </cell>
          <cell r="Z1375">
            <v>50134</v>
          </cell>
          <cell r="AA1375">
            <v>0</v>
          </cell>
          <cell r="AC1375">
            <v>67730</v>
          </cell>
          <cell r="AD1375">
            <v>0</v>
          </cell>
          <cell r="AF1375">
            <v>107385</v>
          </cell>
          <cell r="AG1375">
            <v>0</v>
          </cell>
          <cell r="AI1375">
            <v>143471</v>
          </cell>
          <cell r="AJ1375">
            <v>0</v>
          </cell>
          <cell r="AL1375">
            <v>192591</v>
          </cell>
          <cell r="AM1375">
            <v>0</v>
          </cell>
          <cell r="AO1375">
            <v>87070</v>
          </cell>
          <cell r="AP1375">
            <v>0</v>
          </cell>
          <cell r="AR1375">
            <v>104283</v>
          </cell>
          <cell r="AS1375">
            <v>0</v>
          </cell>
          <cell r="BF1375" t="str">
            <v>4600</v>
          </cell>
          <cell r="BG1375" t="str">
            <v>Z000</v>
          </cell>
          <cell r="BH1375" t="str">
            <v>EMU</v>
          </cell>
        </row>
        <row r="1376">
          <cell r="K1376">
            <v>37334</v>
          </cell>
          <cell r="L1376">
            <v>0</v>
          </cell>
          <cell r="N1376">
            <v>41185</v>
          </cell>
          <cell r="O1376">
            <v>0</v>
          </cell>
          <cell r="Q1376">
            <v>39130</v>
          </cell>
          <cell r="R1376">
            <v>0</v>
          </cell>
          <cell r="T1376">
            <v>19089</v>
          </cell>
          <cell r="U1376">
            <v>0</v>
          </cell>
          <cell r="W1376">
            <v>27832</v>
          </cell>
          <cell r="X1376">
            <v>0</v>
          </cell>
          <cell r="Z1376">
            <v>15036</v>
          </cell>
          <cell r="AA1376">
            <v>0</v>
          </cell>
          <cell r="AC1376">
            <v>26368</v>
          </cell>
          <cell r="AD1376">
            <v>0</v>
          </cell>
          <cell r="AF1376">
            <v>25040</v>
          </cell>
          <cell r="AG1376">
            <v>0</v>
          </cell>
          <cell r="AI1376">
            <v>33225</v>
          </cell>
          <cell r="AJ1376">
            <v>0</v>
          </cell>
          <cell r="AL1376">
            <v>34081</v>
          </cell>
          <cell r="AM1376">
            <v>0</v>
          </cell>
          <cell r="AO1376">
            <v>10653</v>
          </cell>
          <cell r="AP1376">
            <v>0</v>
          </cell>
          <cell r="AR1376">
            <v>6240</v>
          </cell>
          <cell r="AS1376">
            <v>0</v>
          </cell>
          <cell r="BF1376" t="str">
            <v>4620</v>
          </cell>
          <cell r="BG1376" t="str">
            <v>Z000</v>
          </cell>
          <cell r="BH1376" t="str">
            <v>EMU</v>
          </cell>
        </row>
        <row r="1377">
          <cell r="K1377">
            <v>83750</v>
          </cell>
          <cell r="L1377">
            <v>0</v>
          </cell>
          <cell r="N1377">
            <v>116692</v>
          </cell>
          <cell r="O1377">
            <v>0</v>
          </cell>
          <cell r="Q1377">
            <v>176550</v>
          </cell>
          <cell r="R1377">
            <v>0</v>
          </cell>
          <cell r="T1377">
            <v>1300</v>
          </cell>
          <cell r="U1377">
            <v>0</v>
          </cell>
          <cell r="W1377">
            <v>215750</v>
          </cell>
          <cell r="X1377">
            <v>0</v>
          </cell>
          <cell r="Z1377">
            <v>7000</v>
          </cell>
          <cell r="AA1377">
            <v>0</v>
          </cell>
          <cell r="AC1377">
            <v>22975</v>
          </cell>
          <cell r="AD1377">
            <v>0</v>
          </cell>
          <cell r="AF1377">
            <v>19420</v>
          </cell>
          <cell r="AG1377">
            <v>0</v>
          </cell>
          <cell r="AI1377">
            <v>29593</v>
          </cell>
          <cell r="AJ1377">
            <v>0</v>
          </cell>
          <cell r="AL1377">
            <v>194560</v>
          </cell>
          <cell r="AM1377">
            <v>0</v>
          </cell>
          <cell r="AO1377">
            <v>38850</v>
          </cell>
          <cell r="AP1377">
            <v>0</v>
          </cell>
          <cell r="AR1377">
            <v>16260</v>
          </cell>
          <cell r="AS1377">
            <v>0</v>
          </cell>
          <cell r="BF1377" t="str">
            <v>4630</v>
          </cell>
          <cell r="BG1377" t="str">
            <v>Z000</v>
          </cell>
          <cell r="BH1377" t="str">
            <v>EMU</v>
          </cell>
        </row>
        <row r="1378">
          <cell r="K1378">
            <v>145075</v>
          </cell>
          <cell r="L1378">
            <v>0</v>
          </cell>
          <cell r="N1378">
            <v>178250</v>
          </cell>
          <cell r="O1378">
            <v>0</v>
          </cell>
          <cell r="Q1378">
            <v>90604</v>
          </cell>
          <cell r="R1378">
            <v>0</v>
          </cell>
          <cell r="T1378">
            <v>116875</v>
          </cell>
          <cell r="U1378">
            <v>0</v>
          </cell>
          <cell r="W1378">
            <v>212774</v>
          </cell>
          <cell r="X1378">
            <v>0</v>
          </cell>
          <cell r="Z1378">
            <v>124382</v>
          </cell>
          <cell r="AA1378">
            <v>0</v>
          </cell>
          <cell r="AC1378">
            <v>202800</v>
          </cell>
          <cell r="AD1378">
            <v>0</v>
          </cell>
          <cell r="AF1378">
            <v>272871</v>
          </cell>
          <cell r="AG1378">
            <v>0</v>
          </cell>
          <cell r="AI1378">
            <v>148078</v>
          </cell>
          <cell r="AJ1378">
            <v>0</v>
          </cell>
          <cell r="AL1378">
            <v>292253.65000000037</v>
          </cell>
          <cell r="AM1378">
            <v>0</v>
          </cell>
          <cell r="AO1378">
            <v>190774</v>
          </cell>
          <cell r="AP1378">
            <v>0</v>
          </cell>
          <cell r="AR1378">
            <v>230695</v>
          </cell>
          <cell r="AS1378">
            <v>0</v>
          </cell>
          <cell r="BF1378" t="str">
            <v>4660</v>
          </cell>
          <cell r="BG1378" t="str">
            <v>Z000</v>
          </cell>
          <cell r="BH1378" t="str">
            <v>EMU</v>
          </cell>
        </row>
        <row r="1379">
          <cell r="K1379">
            <v>0</v>
          </cell>
          <cell r="L1379">
            <v>0</v>
          </cell>
          <cell r="N1379">
            <v>-172440</v>
          </cell>
          <cell r="O1379">
            <v>0</v>
          </cell>
          <cell r="Q1379">
            <v>0</v>
          </cell>
          <cell r="R1379">
            <v>0</v>
          </cell>
          <cell r="T1379">
            <v>0</v>
          </cell>
          <cell r="U1379">
            <v>0</v>
          </cell>
          <cell r="W1379">
            <v>0</v>
          </cell>
          <cell r="X1379">
            <v>0</v>
          </cell>
          <cell r="Z1379">
            <v>546088.27</v>
          </cell>
          <cell r="AA1379">
            <v>0</v>
          </cell>
          <cell r="AC1379">
            <v>0</v>
          </cell>
          <cell r="AD1379">
            <v>0</v>
          </cell>
          <cell r="AF1379">
            <v>0</v>
          </cell>
          <cell r="AG1379">
            <v>0</v>
          </cell>
          <cell r="AI1379">
            <v>0</v>
          </cell>
          <cell r="AJ1379">
            <v>0</v>
          </cell>
          <cell r="AL1379">
            <v>0</v>
          </cell>
          <cell r="AM1379">
            <v>0</v>
          </cell>
          <cell r="AO1379">
            <v>0</v>
          </cell>
          <cell r="AP1379">
            <v>0</v>
          </cell>
          <cell r="AR1379">
            <v>0</v>
          </cell>
          <cell r="AS1379">
            <v>0</v>
          </cell>
          <cell r="BF1379" t="str">
            <v>4670</v>
          </cell>
          <cell r="BG1379" t="str">
            <v>Z000</v>
          </cell>
          <cell r="BH1379" t="str">
            <v>EMU</v>
          </cell>
        </row>
        <row r="1380">
          <cell r="K1380">
            <v>31024</v>
          </cell>
          <cell r="L1380">
            <v>0</v>
          </cell>
          <cell r="N1380">
            <v>14535</v>
          </cell>
          <cell r="O1380">
            <v>0</v>
          </cell>
          <cell r="Q1380">
            <v>16999</v>
          </cell>
          <cell r="R1380">
            <v>0</v>
          </cell>
          <cell r="T1380">
            <v>11425</v>
          </cell>
          <cell r="U1380">
            <v>0</v>
          </cell>
          <cell r="W1380">
            <v>14090</v>
          </cell>
          <cell r="X1380">
            <v>0</v>
          </cell>
          <cell r="Z1380">
            <v>15670</v>
          </cell>
          <cell r="AA1380">
            <v>0</v>
          </cell>
          <cell r="AC1380">
            <v>21560</v>
          </cell>
          <cell r="AD1380">
            <v>0</v>
          </cell>
          <cell r="AF1380">
            <v>26805</v>
          </cell>
          <cell r="AG1380">
            <v>0</v>
          </cell>
          <cell r="AI1380">
            <v>55348.000000000058</v>
          </cell>
          <cell r="AJ1380">
            <v>0</v>
          </cell>
          <cell r="AL1380">
            <v>39493</v>
          </cell>
          <cell r="AM1380">
            <v>0</v>
          </cell>
          <cell r="AO1380">
            <v>27960</v>
          </cell>
          <cell r="AP1380">
            <v>0</v>
          </cell>
          <cell r="AR1380">
            <v>37790</v>
          </cell>
          <cell r="AS1380">
            <v>0</v>
          </cell>
          <cell r="BF1380" t="str">
            <v>4690</v>
          </cell>
          <cell r="BG1380" t="str">
            <v>Z000</v>
          </cell>
          <cell r="BH1380" t="str">
            <v>EMU</v>
          </cell>
        </row>
        <row r="1381">
          <cell r="K1381">
            <v>1084611.5700000003</v>
          </cell>
          <cell r="L1381">
            <v>0</v>
          </cell>
          <cell r="N1381">
            <v>1114749.2700000014</v>
          </cell>
          <cell r="O1381">
            <v>0</v>
          </cell>
          <cell r="Q1381">
            <v>1114749.2000000011</v>
          </cell>
          <cell r="R1381">
            <v>0</v>
          </cell>
          <cell r="T1381">
            <v>999766.03000000119</v>
          </cell>
          <cell r="U1381">
            <v>0</v>
          </cell>
          <cell r="W1381">
            <v>991582.69999999925</v>
          </cell>
          <cell r="X1381">
            <v>0</v>
          </cell>
          <cell r="Z1381">
            <v>991582.69999999925</v>
          </cell>
          <cell r="AA1381">
            <v>0</v>
          </cell>
          <cell r="AC1381">
            <v>999122.69999999925</v>
          </cell>
          <cell r="AD1381">
            <v>0</v>
          </cell>
          <cell r="AF1381">
            <v>883726.80000000075</v>
          </cell>
          <cell r="AG1381">
            <v>0</v>
          </cell>
          <cell r="AI1381">
            <v>911967.19999999925</v>
          </cell>
          <cell r="AJ1381">
            <v>0</v>
          </cell>
          <cell r="AL1381">
            <v>944022.19999999925</v>
          </cell>
          <cell r="AM1381">
            <v>0</v>
          </cell>
          <cell r="AO1381">
            <v>1893902.299999997</v>
          </cell>
          <cell r="AP1381">
            <v>0</v>
          </cell>
          <cell r="AR1381">
            <v>1955932.370000001</v>
          </cell>
          <cell r="AS1381">
            <v>0</v>
          </cell>
          <cell r="BF1381" t="str">
            <v>4700</v>
          </cell>
          <cell r="BG1381" t="str">
            <v>D031</v>
          </cell>
          <cell r="BH1381" t="str">
            <v>EMU</v>
          </cell>
        </row>
        <row r="1382">
          <cell r="K1382">
            <v>0</v>
          </cell>
          <cell r="L1382">
            <v>0</v>
          </cell>
          <cell r="N1382">
            <v>0</v>
          </cell>
          <cell r="O1382">
            <v>0</v>
          </cell>
          <cell r="Q1382">
            <v>0</v>
          </cell>
          <cell r="R1382">
            <v>0</v>
          </cell>
          <cell r="T1382">
            <v>0</v>
          </cell>
          <cell r="U1382">
            <v>0</v>
          </cell>
          <cell r="W1382">
            <v>0</v>
          </cell>
          <cell r="X1382">
            <v>0</v>
          </cell>
          <cell r="Z1382">
            <v>0</v>
          </cell>
          <cell r="AA1382">
            <v>0</v>
          </cell>
          <cell r="AC1382">
            <v>0</v>
          </cell>
          <cell r="AD1382">
            <v>0</v>
          </cell>
          <cell r="AF1382">
            <v>0</v>
          </cell>
          <cell r="AG1382">
            <v>0</v>
          </cell>
          <cell r="AI1382">
            <v>0</v>
          </cell>
          <cell r="AJ1382">
            <v>0</v>
          </cell>
          <cell r="AL1382">
            <v>0</v>
          </cell>
          <cell r="AM1382">
            <v>0</v>
          </cell>
          <cell r="AO1382">
            <v>0</v>
          </cell>
          <cell r="AP1382">
            <v>0</v>
          </cell>
          <cell r="AR1382">
            <v>0</v>
          </cell>
          <cell r="AS1382">
            <v>0</v>
          </cell>
          <cell r="BF1382" t="str">
            <v>4700</v>
          </cell>
          <cell r="BG1382" t="str">
            <v>D032</v>
          </cell>
          <cell r="BH1382" t="str">
            <v>EMU</v>
          </cell>
        </row>
        <row r="1383">
          <cell r="K1383">
            <v>3995389.049999997</v>
          </cell>
          <cell r="L1383">
            <v>0</v>
          </cell>
          <cell r="N1383">
            <v>4223388.049999997</v>
          </cell>
          <cell r="O1383">
            <v>0</v>
          </cell>
          <cell r="Q1383">
            <v>3648961</v>
          </cell>
          <cell r="R1383">
            <v>0</v>
          </cell>
          <cell r="T1383">
            <v>3187530</v>
          </cell>
          <cell r="U1383">
            <v>0</v>
          </cell>
          <cell r="W1383">
            <v>3298860</v>
          </cell>
          <cell r="X1383">
            <v>0</v>
          </cell>
          <cell r="Z1383">
            <v>3035302.7200000063</v>
          </cell>
          <cell r="AA1383">
            <v>0</v>
          </cell>
          <cell r="AC1383">
            <v>3103003.7200000137</v>
          </cell>
          <cell r="AD1383">
            <v>0</v>
          </cell>
          <cell r="AF1383">
            <v>3129928.5399999991</v>
          </cell>
          <cell r="AG1383">
            <v>0</v>
          </cell>
          <cell r="AI1383">
            <v>3129929.2600000054</v>
          </cell>
          <cell r="AJ1383">
            <v>0</v>
          </cell>
          <cell r="AL1383">
            <v>3331074.6600000113</v>
          </cell>
          <cell r="AM1383">
            <v>0</v>
          </cell>
          <cell r="AO1383">
            <v>2517436.6900000125</v>
          </cell>
          <cell r="AP1383">
            <v>0</v>
          </cell>
          <cell r="AR1383">
            <v>2944278.4600000083</v>
          </cell>
          <cell r="AS1383">
            <v>0</v>
          </cell>
          <cell r="BF1383" t="str">
            <v>4740</v>
          </cell>
          <cell r="BG1383" t="str">
            <v>D041</v>
          </cell>
          <cell r="BH1383" t="str">
            <v>EMU</v>
          </cell>
        </row>
        <row r="1384">
          <cell r="K1384">
            <v>0</v>
          </cell>
          <cell r="L1384">
            <v>0</v>
          </cell>
          <cell r="N1384">
            <v>0</v>
          </cell>
          <cell r="O1384">
            <v>0</v>
          </cell>
          <cell r="Q1384">
            <v>228830</v>
          </cell>
          <cell r="R1384">
            <v>0</v>
          </cell>
          <cell r="T1384">
            <v>338990</v>
          </cell>
          <cell r="U1384">
            <v>0</v>
          </cell>
          <cell r="W1384">
            <v>381680</v>
          </cell>
          <cell r="X1384">
            <v>0</v>
          </cell>
          <cell r="Z1384">
            <v>332340</v>
          </cell>
          <cell r="AA1384">
            <v>0</v>
          </cell>
          <cell r="AC1384">
            <v>172153.82000000007</v>
          </cell>
          <cell r="AD1384">
            <v>0</v>
          </cell>
          <cell r="AF1384">
            <v>125000</v>
          </cell>
          <cell r="AG1384">
            <v>0</v>
          </cell>
          <cell r="AI1384">
            <v>215250</v>
          </cell>
          <cell r="AJ1384">
            <v>0</v>
          </cell>
          <cell r="AL1384">
            <v>385955.00000000023</v>
          </cell>
          <cell r="AM1384">
            <v>0</v>
          </cell>
          <cell r="AO1384">
            <v>372687</v>
          </cell>
          <cell r="AP1384">
            <v>0</v>
          </cell>
          <cell r="AR1384">
            <v>43125</v>
          </cell>
          <cell r="AS1384">
            <v>0</v>
          </cell>
          <cell r="BF1384" t="str">
            <v>4740</v>
          </cell>
          <cell r="BG1384" t="str">
            <v>D042</v>
          </cell>
          <cell r="BH1384" t="str">
            <v>EMU</v>
          </cell>
        </row>
        <row r="1385">
          <cell r="K1385">
            <v>0</v>
          </cell>
          <cell r="L1385">
            <v>0</v>
          </cell>
          <cell r="N1385">
            <v>0</v>
          </cell>
          <cell r="O1385">
            <v>0</v>
          </cell>
          <cell r="Q1385">
            <v>0</v>
          </cell>
          <cell r="R1385">
            <v>0</v>
          </cell>
          <cell r="T1385">
            <v>0</v>
          </cell>
          <cell r="U1385">
            <v>0</v>
          </cell>
          <cell r="W1385">
            <v>0</v>
          </cell>
          <cell r="X1385">
            <v>0</v>
          </cell>
          <cell r="Z1385">
            <v>0</v>
          </cell>
          <cell r="AA1385">
            <v>0</v>
          </cell>
          <cell r="AC1385">
            <v>0</v>
          </cell>
          <cell r="AD1385">
            <v>0</v>
          </cell>
          <cell r="AF1385">
            <v>0</v>
          </cell>
          <cell r="AG1385">
            <v>0</v>
          </cell>
          <cell r="AI1385">
            <v>0</v>
          </cell>
          <cell r="AJ1385">
            <v>0</v>
          </cell>
          <cell r="AL1385">
            <v>0</v>
          </cell>
          <cell r="AM1385">
            <v>0</v>
          </cell>
          <cell r="AO1385">
            <v>0</v>
          </cell>
          <cell r="AP1385">
            <v>0</v>
          </cell>
          <cell r="AR1385">
            <v>0</v>
          </cell>
          <cell r="AS1385">
            <v>0</v>
          </cell>
          <cell r="BF1385" t="str">
            <v>4740</v>
          </cell>
          <cell r="BG1385" t="str">
            <v>D043</v>
          </cell>
          <cell r="BH1385" t="str">
            <v>EMU</v>
          </cell>
        </row>
        <row r="1386">
          <cell r="K1386">
            <v>0</v>
          </cell>
          <cell r="L1386">
            <v>0</v>
          </cell>
          <cell r="N1386">
            <v>0</v>
          </cell>
          <cell r="O1386">
            <v>0</v>
          </cell>
          <cell r="Q1386">
            <v>292836.05</v>
          </cell>
          <cell r="R1386">
            <v>0</v>
          </cell>
          <cell r="T1386">
            <v>292836.05</v>
          </cell>
          <cell r="U1386">
            <v>0</v>
          </cell>
          <cell r="W1386">
            <v>292836.04999999993</v>
          </cell>
          <cell r="X1386">
            <v>0</v>
          </cell>
          <cell r="Z1386">
            <v>0</v>
          </cell>
          <cell r="AA1386">
            <v>0</v>
          </cell>
          <cell r="AC1386">
            <v>0</v>
          </cell>
          <cell r="AD1386">
            <v>0</v>
          </cell>
          <cell r="AF1386">
            <v>0</v>
          </cell>
          <cell r="AG1386">
            <v>0</v>
          </cell>
          <cell r="AI1386">
            <v>86616.660000000033</v>
          </cell>
          <cell r="AJ1386">
            <v>0</v>
          </cell>
          <cell r="AL1386">
            <v>254577.67000000004</v>
          </cell>
          <cell r="AM1386">
            <v>0</v>
          </cell>
          <cell r="AO1386">
            <v>0</v>
          </cell>
          <cell r="AP1386">
            <v>0</v>
          </cell>
          <cell r="AR1386">
            <v>142232.81000000006</v>
          </cell>
          <cell r="AS1386">
            <v>0</v>
          </cell>
          <cell r="BF1386" t="str">
            <v>4740</v>
          </cell>
          <cell r="BG1386" t="str">
            <v>D044</v>
          </cell>
          <cell r="BH1386" t="str">
            <v>EMU</v>
          </cell>
        </row>
        <row r="1387">
          <cell r="K1387">
            <v>0</v>
          </cell>
          <cell r="L1387">
            <v>0</v>
          </cell>
          <cell r="N1387">
            <v>0</v>
          </cell>
          <cell r="O1387">
            <v>0</v>
          </cell>
          <cell r="Q1387">
            <v>25000</v>
          </cell>
          <cell r="R1387">
            <v>0</v>
          </cell>
          <cell r="T1387">
            <v>88500</v>
          </cell>
          <cell r="U1387">
            <v>0</v>
          </cell>
          <cell r="W1387">
            <v>59000</v>
          </cell>
          <cell r="X1387">
            <v>0</v>
          </cell>
          <cell r="Z1387">
            <v>65000</v>
          </cell>
          <cell r="AA1387">
            <v>0</v>
          </cell>
          <cell r="AC1387">
            <v>45100</v>
          </cell>
          <cell r="AD1387">
            <v>0</v>
          </cell>
          <cell r="AF1387">
            <v>77200</v>
          </cell>
          <cell r="AG1387">
            <v>0</v>
          </cell>
          <cell r="AI1387">
            <v>39600</v>
          </cell>
          <cell r="AJ1387">
            <v>0</v>
          </cell>
          <cell r="AL1387">
            <v>239533.83999999997</v>
          </cell>
          <cell r="AM1387">
            <v>0</v>
          </cell>
          <cell r="AO1387">
            <v>186000</v>
          </cell>
          <cell r="AP1387">
            <v>0</v>
          </cell>
          <cell r="AR1387">
            <v>23420</v>
          </cell>
          <cell r="AS1387">
            <v>0</v>
          </cell>
          <cell r="BF1387" t="str">
            <v>4740</v>
          </cell>
          <cell r="BG1387" t="str">
            <v>D045</v>
          </cell>
          <cell r="BH1387" t="str">
            <v>EMU</v>
          </cell>
        </row>
        <row r="1388">
          <cell r="K1388">
            <v>54656.979999999981</v>
          </cell>
          <cell r="L1388">
            <v>0</v>
          </cell>
          <cell r="N1388">
            <v>37772.780000000028</v>
          </cell>
          <cell r="O1388">
            <v>0</v>
          </cell>
          <cell r="Q1388">
            <v>49223.110000000102</v>
          </cell>
          <cell r="R1388">
            <v>0</v>
          </cell>
          <cell r="T1388">
            <v>44388.599999999977</v>
          </cell>
          <cell r="U1388">
            <v>0</v>
          </cell>
          <cell r="W1388">
            <v>43389.40000000014</v>
          </cell>
          <cell r="X1388">
            <v>0</v>
          </cell>
          <cell r="Z1388">
            <v>43389.399999999907</v>
          </cell>
          <cell r="AA1388">
            <v>0</v>
          </cell>
          <cell r="AC1388">
            <v>76344.800000000047</v>
          </cell>
          <cell r="AD1388">
            <v>0</v>
          </cell>
          <cell r="AF1388">
            <v>50589.900000000023</v>
          </cell>
          <cell r="AG1388">
            <v>0</v>
          </cell>
          <cell r="AI1388">
            <v>86778.799999999814</v>
          </cell>
          <cell r="AJ1388">
            <v>0</v>
          </cell>
          <cell r="AL1388">
            <v>67589.39999999979</v>
          </cell>
          <cell r="AM1388">
            <v>0</v>
          </cell>
          <cell r="AO1388">
            <v>41589.799999999814</v>
          </cell>
          <cell r="AP1388">
            <v>0</v>
          </cell>
          <cell r="AR1388">
            <v>-17046.199999999953</v>
          </cell>
          <cell r="AS1388">
            <v>0</v>
          </cell>
          <cell r="BF1388" t="str">
            <v>4760</v>
          </cell>
          <cell r="BG1388" t="str">
            <v>Z000</v>
          </cell>
          <cell r="BH1388" t="str">
            <v>EMU</v>
          </cell>
        </row>
        <row r="1389">
          <cell r="K1389">
            <v>1000</v>
          </cell>
          <cell r="L1389">
            <v>0</v>
          </cell>
          <cell r="N1389">
            <v>0</v>
          </cell>
          <cell r="O1389">
            <v>0</v>
          </cell>
          <cell r="Q1389">
            <v>0</v>
          </cell>
          <cell r="R1389">
            <v>0</v>
          </cell>
          <cell r="T1389">
            <v>0</v>
          </cell>
          <cell r="U1389">
            <v>0</v>
          </cell>
          <cell r="W1389">
            <v>0</v>
          </cell>
          <cell r="X1389">
            <v>0</v>
          </cell>
          <cell r="Z1389">
            <v>0</v>
          </cell>
          <cell r="AA1389">
            <v>0</v>
          </cell>
          <cell r="AC1389">
            <v>5620</v>
          </cell>
          <cell r="AD1389">
            <v>0</v>
          </cell>
          <cell r="AF1389">
            <v>0</v>
          </cell>
          <cell r="AG1389">
            <v>0</v>
          </cell>
          <cell r="AI1389">
            <v>0</v>
          </cell>
          <cell r="AJ1389">
            <v>0</v>
          </cell>
          <cell r="AL1389">
            <v>1000</v>
          </cell>
          <cell r="AM1389">
            <v>0</v>
          </cell>
          <cell r="AO1389">
            <v>0</v>
          </cell>
          <cell r="AP1389">
            <v>0</v>
          </cell>
          <cell r="AR1389">
            <v>0</v>
          </cell>
          <cell r="AS1389">
            <v>0</v>
          </cell>
          <cell r="BF1389" t="str">
            <v>4800</v>
          </cell>
          <cell r="BG1389" t="str">
            <v>D101</v>
          </cell>
          <cell r="BH1389" t="str">
            <v>EMU</v>
          </cell>
        </row>
        <row r="1390">
          <cell r="K1390">
            <v>133720</v>
          </cell>
          <cell r="L1390">
            <v>0</v>
          </cell>
          <cell r="N1390">
            <v>130760</v>
          </cell>
          <cell r="O1390">
            <v>0</v>
          </cell>
          <cell r="Q1390">
            <v>99000</v>
          </cell>
          <cell r="R1390">
            <v>0</v>
          </cell>
          <cell r="T1390">
            <v>97000</v>
          </cell>
          <cell r="U1390">
            <v>0</v>
          </cell>
          <cell r="W1390">
            <v>93500</v>
          </cell>
          <cell r="X1390">
            <v>0</v>
          </cell>
          <cell r="Z1390">
            <v>85640</v>
          </cell>
          <cell r="AA1390">
            <v>0</v>
          </cell>
          <cell r="AC1390">
            <v>85940</v>
          </cell>
          <cell r="AD1390">
            <v>0</v>
          </cell>
          <cell r="AF1390">
            <v>92920</v>
          </cell>
          <cell r="AG1390">
            <v>0</v>
          </cell>
          <cell r="AI1390">
            <v>113480</v>
          </cell>
          <cell r="AJ1390">
            <v>0</v>
          </cell>
          <cell r="AL1390">
            <v>125900</v>
          </cell>
          <cell r="AM1390">
            <v>0</v>
          </cell>
          <cell r="AO1390">
            <v>137810</v>
          </cell>
          <cell r="AP1390">
            <v>0</v>
          </cell>
          <cell r="AR1390">
            <v>123160</v>
          </cell>
          <cell r="AS1390">
            <v>0</v>
          </cell>
          <cell r="BF1390" t="str">
            <v>4800</v>
          </cell>
          <cell r="BG1390" t="str">
            <v>D102</v>
          </cell>
          <cell r="BH1390" t="str">
            <v>EMU</v>
          </cell>
        </row>
        <row r="1391">
          <cell r="K1391">
            <v>152180</v>
          </cell>
          <cell r="L1391">
            <v>0</v>
          </cell>
          <cell r="N1391">
            <v>238906.19999999972</v>
          </cell>
          <cell r="O1391">
            <v>0</v>
          </cell>
          <cell r="Q1391">
            <v>192875.85000000009</v>
          </cell>
          <cell r="R1391">
            <v>0</v>
          </cell>
          <cell r="T1391">
            <v>201415.89999999991</v>
          </cell>
          <cell r="U1391">
            <v>0</v>
          </cell>
          <cell r="W1391">
            <v>201625.89999999991</v>
          </cell>
          <cell r="X1391">
            <v>0</v>
          </cell>
          <cell r="Z1391">
            <v>188680</v>
          </cell>
          <cell r="AA1391">
            <v>0</v>
          </cell>
          <cell r="AC1391">
            <v>223051.75</v>
          </cell>
          <cell r="AD1391">
            <v>0</v>
          </cell>
          <cell r="AF1391">
            <v>213435.79999999981</v>
          </cell>
          <cell r="AG1391">
            <v>0</v>
          </cell>
          <cell r="AI1391">
            <v>184160.10000000056</v>
          </cell>
          <cell r="AJ1391">
            <v>0</v>
          </cell>
          <cell r="AL1391">
            <v>230146</v>
          </cell>
          <cell r="AM1391">
            <v>0</v>
          </cell>
          <cell r="AO1391">
            <v>272201.67000000039</v>
          </cell>
          <cell r="AP1391">
            <v>0</v>
          </cell>
          <cell r="AR1391">
            <v>79135.689999999478</v>
          </cell>
          <cell r="AS1391">
            <v>0</v>
          </cell>
          <cell r="BF1391" t="str">
            <v>4800</v>
          </cell>
          <cell r="BG1391" t="str">
            <v>D103</v>
          </cell>
          <cell r="BH1391" t="str">
            <v>EMU</v>
          </cell>
        </row>
        <row r="1392">
          <cell r="K1392">
            <v>0</v>
          </cell>
          <cell r="L1392">
            <v>0</v>
          </cell>
          <cell r="N1392">
            <v>0</v>
          </cell>
          <cell r="O1392">
            <v>0</v>
          </cell>
          <cell r="Q1392">
            <v>0</v>
          </cell>
          <cell r="R1392">
            <v>0</v>
          </cell>
          <cell r="T1392">
            <v>0</v>
          </cell>
          <cell r="U1392">
            <v>0</v>
          </cell>
          <cell r="W1392">
            <v>0</v>
          </cell>
          <cell r="X1392">
            <v>0</v>
          </cell>
          <cell r="Z1392">
            <v>0</v>
          </cell>
          <cell r="AA1392">
            <v>0</v>
          </cell>
          <cell r="AC1392">
            <v>0</v>
          </cell>
          <cell r="AD1392">
            <v>0</v>
          </cell>
          <cell r="AF1392">
            <v>0</v>
          </cell>
          <cell r="AG1392">
            <v>0</v>
          </cell>
          <cell r="AI1392">
            <v>0</v>
          </cell>
          <cell r="AJ1392">
            <v>0</v>
          </cell>
          <cell r="AL1392">
            <v>0</v>
          </cell>
          <cell r="AM1392">
            <v>0</v>
          </cell>
          <cell r="AO1392">
            <v>0</v>
          </cell>
          <cell r="AP1392">
            <v>0</v>
          </cell>
          <cell r="AR1392">
            <v>0</v>
          </cell>
          <cell r="AS1392">
            <v>0</v>
          </cell>
          <cell r="BF1392" t="str">
            <v>4820</v>
          </cell>
          <cell r="BG1392" t="str">
            <v>Z000</v>
          </cell>
          <cell r="BH1392" t="str">
            <v>EMU</v>
          </cell>
        </row>
        <row r="1393">
          <cell r="K1393">
            <v>158600</v>
          </cell>
          <cell r="L1393">
            <v>0</v>
          </cell>
          <cell r="N1393">
            <v>22150</v>
          </cell>
          <cell r="O1393">
            <v>0</v>
          </cell>
          <cell r="Q1393">
            <v>38510</v>
          </cell>
          <cell r="R1393">
            <v>0</v>
          </cell>
          <cell r="T1393">
            <v>89835</v>
          </cell>
          <cell r="U1393">
            <v>0</v>
          </cell>
          <cell r="W1393">
            <v>58630</v>
          </cell>
          <cell r="X1393">
            <v>0</v>
          </cell>
          <cell r="Z1393">
            <v>37670</v>
          </cell>
          <cell r="AA1393">
            <v>0</v>
          </cell>
          <cell r="AC1393">
            <v>25080</v>
          </cell>
          <cell r="AD1393">
            <v>0</v>
          </cell>
          <cell r="AF1393">
            <v>271330</v>
          </cell>
          <cell r="AG1393">
            <v>0</v>
          </cell>
          <cell r="AI1393">
            <v>241732</v>
          </cell>
          <cell r="AJ1393">
            <v>0</v>
          </cell>
          <cell r="AL1393">
            <v>47370</v>
          </cell>
          <cell r="AM1393">
            <v>0</v>
          </cell>
          <cell r="AO1393">
            <v>106450</v>
          </cell>
          <cell r="AP1393">
            <v>0</v>
          </cell>
          <cell r="AR1393">
            <v>56215</v>
          </cell>
          <cell r="AS1393">
            <v>0</v>
          </cell>
          <cell r="BF1393" t="str">
            <v>4830</v>
          </cell>
          <cell r="BG1393" t="str">
            <v>D111</v>
          </cell>
          <cell r="BH1393" t="str">
            <v>EMU</v>
          </cell>
        </row>
        <row r="1394">
          <cell r="K1394">
            <v>110960</v>
          </cell>
          <cell r="L1394">
            <v>0</v>
          </cell>
          <cell r="N1394">
            <v>284003</v>
          </cell>
          <cell r="O1394">
            <v>0</v>
          </cell>
          <cell r="Q1394">
            <v>77635</v>
          </cell>
          <cell r="R1394">
            <v>0</v>
          </cell>
          <cell r="T1394">
            <v>0</v>
          </cell>
          <cell r="U1394">
            <v>0</v>
          </cell>
          <cell r="W1394">
            <v>470938</v>
          </cell>
          <cell r="X1394">
            <v>0</v>
          </cell>
          <cell r="Z1394">
            <v>9940</v>
          </cell>
          <cell r="AA1394">
            <v>0</v>
          </cell>
          <cell r="AC1394">
            <v>65338</v>
          </cell>
          <cell r="AD1394">
            <v>0</v>
          </cell>
          <cell r="AF1394">
            <v>34631</v>
          </cell>
          <cell r="AG1394">
            <v>0</v>
          </cell>
          <cell r="AI1394">
            <v>110304</v>
          </cell>
          <cell r="AJ1394">
            <v>0</v>
          </cell>
          <cell r="AL1394">
            <v>157694</v>
          </cell>
          <cell r="AM1394">
            <v>0</v>
          </cell>
          <cell r="AO1394">
            <v>18720</v>
          </cell>
          <cell r="AP1394">
            <v>0</v>
          </cell>
          <cell r="AR1394">
            <v>14600</v>
          </cell>
          <cell r="AS1394">
            <v>0</v>
          </cell>
          <cell r="BF1394" t="str">
            <v>4830</v>
          </cell>
          <cell r="BG1394" t="str">
            <v>D112</v>
          </cell>
          <cell r="BH1394" t="str">
            <v>EMU</v>
          </cell>
        </row>
        <row r="1395">
          <cell r="K1395">
            <v>0</v>
          </cell>
          <cell r="L1395">
            <v>0</v>
          </cell>
          <cell r="N1395">
            <v>0</v>
          </cell>
          <cell r="O1395">
            <v>0</v>
          </cell>
          <cell r="Q1395">
            <v>0</v>
          </cell>
          <cell r="R1395">
            <v>0</v>
          </cell>
          <cell r="T1395">
            <v>0</v>
          </cell>
          <cell r="U1395">
            <v>0</v>
          </cell>
          <cell r="W1395">
            <v>0</v>
          </cell>
          <cell r="X1395">
            <v>0</v>
          </cell>
          <cell r="Z1395">
            <v>0</v>
          </cell>
          <cell r="AA1395">
            <v>0</v>
          </cell>
          <cell r="AC1395">
            <v>2966.9499999999989</v>
          </cell>
          <cell r="AD1395">
            <v>0</v>
          </cell>
          <cell r="AF1395">
            <v>0</v>
          </cell>
          <cell r="AG1395">
            <v>0</v>
          </cell>
          <cell r="AI1395">
            <v>94000</v>
          </cell>
          <cell r="AJ1395">
            <v>0</v>
          </cell>
          <cell r="AL1395">
            <v>33700</v>
          </cell>
          <cell r="AM1395">
            <v>0</v>
          </cell>
          <cell r="AO1395">
            <v>0</v>
          </cell>
          <cell r="AP1395">
            <v>0</v>
          </cell>
          <cell r="AR1395">
            <v>0</v>
          </cell>
          <cell r="AS1395">
            <v>0</v>
          </cell>
          <cell r="BF1395" t="str">
            <v>4840</v>
          </cell>
          <cell r="BG1395" t="str">
            <v>Z000</v>
          </cell>
          <cell r="BH1395" t="str">
            <v>EMU</v>
          </cell>
        </row>
        <row r="1396">
          <cell r="K1396">
            <v>0</v>
          </cell>
          <cell r="L1396">
            <v>0</v>
          </cell>
          <cell r="N1396">
            <v>0</v>
          </cell>
          <cell r="O1396">
            <v>0</v>
          </cell>
          <cell r="Q1396">
            <v>0</v>
          </cell>
          <cell r="R1396">
            <v>0</v>
          </cell>
          <cell r="T1396">
            <v>0</v>
          </cell>
          <cell r="U1396">
            <v>0</v>
          </cell>
          <cell r="W1396">
            <v>0</v>
          </cell>
          <cell r="X1396">
            <v>0</v>
          </cell>
          <cell r="Z1396">
            <v>0</v>
          </cell>
          <cell r="AA1396">
            <v>0</v>
          </cell>
          <cell r="AC1396">
            <v>0</v>
          </cell>
          <cell r="AD1396">
            <v>0</v>
          </cell>
          <cell r="AF1396">
            <v>0</v>
          </cell>
          <cell r="AG1396">
            <v>0</v>
          </cell>
          <cell r="AI1396">
            <v>0</v>
          </cell>
          <cell r="AJ1396">
            <v>0</v>
          </cell>
          <cell r="AL1396">
            <v>0</v>
          </cell>
          <cell r="AM1396">
            <v>0</v>
          </cell>
          <cell r="AO1396">
            <v>0</v>
          </cell>
          <cell r="AP1396">
            <v>0</v>
          </cell>
          <cell r="AR1396">
            <v>0</v>
          </cell>
          <cell r="AS1396">
            <v>0</v>
          </cell>
          <cell r="BF1396" t="str">
            <v>4870</v>
          </cell>
          <cell r="BG1396" t="str">
            <v>Z000</v>
          </cell>
          <cell r="BH1396" t="str">
            <v>EMU</v>
          </cell>
        </row>
        <row r="1397">
          <cell r="K1397">
            <v>0</v>
          </cell>
          <cell r="L1397">
            <v>0</v>
          </cell>
          <cell r="N1397">
            <v>0</v>
          </cell>
          <cell r="O1397">
            <v>0</v>
          </cell>
          <cell r="Q1397">
            <v>0</v>
          </cell>
          <cell r="R1397">
            <v>0</v>
          </cell>
          <cell r="T1397">
            <v>0</v>
          </cell>
          <cell r="U1397">
            <v>0</v>
          </cell>
          <cell r="W1397">
            <v>0</v>
          </cell>
          <cell r="X1397">
            <v>0</v>
          </cell>
          <cell r="Z1397">
            <v>0</v>
          </cell>
          <cell r="AA1397">
            <v>0</v>
          </cell>
          <cell r="AC1397">
            <v>0</v>
          </cell>
          <cell r="AD1397">
            <v>0</v>
          </cell>
          <cell r="AF1397">
            <v>0</v>
          </cell>
          <cell r="AG1397">
            <v>0</v>
          </cell>
          <cell r="AI1397">
            <v>0</v>
          </cell>
          <cell r="AJ1397">
            <v>0</v>
          </cell>
          <cell r="AL1397">
            <v>0</v>
          </cell>
          <cell r="AM1397">
            <v>0</v>
          </cell>
          <cell r="AO1397">
            <v>0</v>
          </cell>
          <cell r="AP1397">
            <v>0</v>
          </cell>
          <cell r="AR1397">
            <v>0</v>
          </cell>
          <cell r="AS1397">
            <v>0</v>
          </cell>
          <cell r="BF1397" t="str">
            <v>4880</v>
          </cell>
          <cell r="BG1397" t="str">
            <v>Z000</v>
          </cell>
          <cell r="BH1397" t="str">
            <v>EMU</v>
          </cell>
        </row>
        <row r="1398">
          <cell r="K1398">
            <v>0</v>
          </cell>
          <cell r="L1398">
            <v>0</v>
          </cell>
          <cell r="N1398">
            <v>0</v>
          </cell>
          <cell r="O1398">
            <v>0</v>
          </cell>
          <cell r="Q1398">
            <v>0</v>
          </cell>
          <cell r="R1398">
            <v>0</v>
          </cell>
          <cell r="T1398">
            <v>0</v>
          </cell>
          <cell r="U1398">
            <v>0</v>
          </cell>
          <cell r="W1398">
            <v>0</v>
          </cell>
          <cell r="X1398">
            <v>0</v>
          </cell>
          <cell r="Z1398">
            <v>0</v>
          </cell>
          <cell r="AA1398">
            <v>0</v>
          </cell>
          <cell r="AC1398">
            <v>0</v>
          </cell>
          <cell r="AD1398">
            <v>0</v>
          </cell>
          <cell r="AF1398">
            <v>0</v>
          </cell>
          <cell r="AG1398">
            <v>0</v>
          </cell>
          <cell r="AI1398">
            <v>0</v>
          </cell>
          <cell r="AJ1398">
            <v>0</v>
          </cell>
          <cell r="AL1398">
            <v>0</v>
          </cell>
          <cell r="AM1398">
            <v>0</v>
          </cell>
          <cell r="AO1398">
            <v>0</v>
          </cell>
          <cell r="AP1398">
            <v>0</v>
          </cell>
          <cell r="AR1398">
            <v>0</v>
          </cell>
          <cell r="AS1398">
            <v>0</v>
          </cell>
          <cell r="BF1398" t="str">
            <v>4890</v>
          </cell>
          <cell r="BG1398" t="str">
            <v>Z000</v>
          </cell>
          <cell r="BH1398" t="str">
            <v>EMU</v>
          </cell>
        </row>
        <row r="1399">
          <cell r="K1399">
            <v>364016.80999999959</v>
          </cell>
          <cell r="L1399">
            <v>0</v>
          </cell>
          <cell r="N1399">
            <v>0</v>
          </cell>
          <cell r="O1399">
            <v>0</v>
          </cell>
          <cell r="Q1399">
            <v>0</v>
          </cell>
          <cell r="R1399">
            <v>0</v>
          </cell>
          <cell r="T1399">
            <v>0</v>
          </cell>
          <cell r="U1399">
            <v>0</v>
          </cell>
          <cell r="W1399">
            <v>0</v>
          </cell>
          <cell r="X1399">
            <v>0</v>
          </cell>
          <cell r="Z1399">
            <v>0</v>
          </cell>
          <cell r="AA1399">
            <v>0</v>
          </cell>
          <cell r="AC1399">
            <v>0</v>
          </cell>
          <cell r="AD1399">
            <v>0</v>
          </cell>
          <cell r="AF1399">
            <v>0</v>
          </cell>
          <cell r="AG1399">
            <v>0</v>
          </cell>
          <cell r="AI1399">
            <v>0</v>
          </cell>
          <cell r="AJ1399">
            <v>0</v>
          </cell>
          <cell r="AL1399">
            <v>0</v>
          </cell>
          <cell r="AM1399">
            <v>0</v>
          </cell>
          <cell r="AO1399">
            <v>0</v>
          </cell>
          <cell r="AP1399">
            <v>0</v>
          </cell>
          <cell r="AR1399">
            <v>0</v>
          </cell>
          <cell r="AS1399">
            <v>0</v>
          </cell>
          <cell r="BF1399" t="str">
            <v>4900</v>
          </cell>
          <cell r="BG1399" t="str">
            <v>Z000</v>
          </cell>
          <cell r="BH1399" t="str">
            <v>EMU</v>
          </cell>
        </row>
        <row r="1400">
          <cell r="K1400">
            <v>0</v>
          </cell>
          <cell r="L1400">
            <v>0</v>
          </cell>
          <cell r="N1400">
            <v>0</v>
          </cell>
          <cell r="O1400">
            <v>0</v>
          </cell>
          <cell r="Q1400">
            <v>0</v>
          </cell>
          <cell r="R1400">
            <v>0</v>
          </cell>
          <cell r="T1400">
            <v>0</v>
          </cell>
          <cell r="U1400">
            <v>0</v>
          </cell>
          <cell r="W1400">
            <v>0</v>
          </cell>
          <cell r="X1400">
            <v>0</v>
          </cell>
          <cell r="Z1400">
            <v>0</v>
          </cell>
          <cell r="AA1400">
            <v>0</v>
          </cell>
          <cell r="AC1400">
            <v>0</v>
          </cell>
          <cell r="AD1400">
            <v>0</v>
          </cell>
          <cell r="AF1400">
            <v>0</v>
          </cell>
          <cell r="AG1400">
            <v>0</v>
          </cell>
          <cell r="AI1400">
            <v>0</v>
          </cell>
          <cell r="AJ1400">
            <v>0</v>
          </cell>
          <cell r="AL1400">
            <v>0</v>
          </cell>
          <cell r="AM1400">
            <v>0</v>
          </cell>
          <cell r="AO1400">
            <v>0</v>
          </cell>
          <cell r="AP1400">
            <v>0</v>
          </cell>
          <cell r="AR1400">
            <v>0</v>
          </cell>
          <cell r="AS1400">
            <v>0</v>
          </cell>
          <cell r="BF1400" t="str">
            <v>4910</v>
          </cell>
          <cell r="BG1400" t="str">
            <v>Z000</v>
          </cell>
          <cell r="BH1400" t="str">
            <v>EMU</v>
          </cell>
        </row>
        <row r="1401">
          <cell r="K1401">
            <v>0</v>
          </cell>
          <cell r="L1401">
            <v>0</v>
          </cell>
          <cell r="N1401">
            <v>0</v>
          </cell>
          <cell r="O1401">
            <v>0</v>
          </cell>
          <cell r="Q1401">
            <v>0</v>
          </cell>
          <cell r="R1401">
            <v>0</v>
          </cell>
          <cell r="T1401">
            <v>0</v>
          </cell>
          <cell r="U1401">
            <v>0</v>
          </cell>
          <cell r="W1401">
            <v>0</v>
          </cell>
          <cell r="X1401">
            <v>0</v>
          </cell>
          <cell r="Z1401">
            <v>0</v>
          </cell>
          <cell r="AA1401">
            <v>0</v>
          </cell>
          <cell r="AC1401">
            <v>0</v>
          </cell>
          <cell r="AD1401">
            <v>0</v>
          </cell>
          <cell r="AF1401">
            <v>0</v>
          </cell>
          <cell r="AG1401">
            <v>0</v>
          </cell>
          <cell r="AI1401">
            <v>0</v>
          </cell>
          <cell r="AJ1401">
            <v>0</v>
          </cell>
          <cell r="AL1401">
            <v>0</v>
          </cell>
          <cell r="AM1401">
            <v>0</v>
          </cell>
          <cell r="AO1401">
            <v>0</v>
          </cell>
          <cell r="AP1401">
            <v>0</v>
          </cell>
          <cell r="AR1401">
            <v>0</v>
          </cell>
          <cell r="AS1401">
            <v>0</v>
          </cell>
          <cell r="BF1401" t="str">
            <v>4940</v>
          </cell>
          <cell r="BG1401" t="str">
            <v>Z000</v>
          </cell>
          <cell r="BH1401" t="str">
            <v>EMU</v>
          </cell>
        </row>
        <row r="1402">
          <cell r="K1402">
            <v>0</v>
          </cell>
          <cell r="L1402">
            <v>0</v>
          </cell>
          <cell r="N1402">
            <v>0</v>
          </cell>
          <cell r="O1402">
            <v>0</v>
          </cell>
          <cell r="Q1402">
            <v>0</v>
          </cell>
          <cell r="R1402">
            <v>0</v>
          </cell>
          <cell r="T1402">
            <v>0</v>
          </cell>
          <cell r="U1402">
            <v>0</v>
          </cell>
          <cell r="W1402">
            <v>0</v>
          </cell>
          <cell r="X1402">
            <v>0</v>
          </cell>
          <cell r="Z1402">
            <v>0</v>
          </cell>
          <cell r="AA1402">
            <v>0</v>
          </cell>
          <cell r="AC1402">
            <v>0</v>
          </cell>
          <cell r="AD1402">
            <v>0</v>
          </cell>
          <cell r="AF1402">
            <v>0</v>
          </cell>
          <cell r="AG1402">
            <v>0</v>
          </cell>
          <cell r="AI1402">
            <v>0</v>
          </cell>
          <cell r="AJ1402">
            <v>0</v>
          </cell>
          <cell r="AL1402">
            <v>0</v>
          </cell>
          <cell r="AM1402">
            <v>0</v>
          </cell>
          <cell r="AO1402">
            <v>0</v>
          </cell>
          <cell r="AP1402">
            <v>0</v>
          </cell>
          <cell r="AR1402">
            <v>0</v>
          </cell>
          <cell r="AS1402">
            <v>0</v>
          </cell>
          <cell r="BF1402" t="str">
            <v>4941</v>
          </cell>
          <cell r="BG1402" t="str">
            <v>Z000</v>
          </cell>
          <cell r="BH1402" t="str">
            <v>EMU</v>
          </cell>
        </row>
        <row r="1403">
          <cell r="K1403">
            <v>0</v>
          </cell>
          <cell r="L1403">
            <v>0</v>
          </cell>
          <cell r="N1403">
            <v>0</v>
          </cell>
          <cell r="O1403">
            <v>0</v>
          </cell>
          <cell r="Q1403">
            <v>0</v>
          </cell>
          <cell r="R1403">
            <v>0</v>
          </cell>
          <cell r="T1403">
            <v>0</v>
          </cell>
          <cell r="U1403">
            <v>0</v>
          </cell>
          <cell r="W1403">
            <v>0</v>
          </cell>
          <cell r="X1403">
            <v>0</v>
          </cell>
          <cell r="Z1403">
            <v>0</v>
          </cell>
          <cell r="AA1403">
            <v>0</v>
          </cell>
          <cell r="AC1403">
            <v>0</v>
          </cell>
          <cell r="AD1403">
            <v>0</v>
          </cell>
          <cell r="AF1403">
            <v>0</v>
          </cell>
          <cell r="AG1403">
            <v>0</v>
          </cell>
          <cell r="AI1403">
            <v>0</v>
          </cell>
          <cell r="AJ1403">
            <v>0</v>
          </cell>
          <cell r="AL1403">
            <v>0</v>
          </cell>
          <cell r="AM1403">
            <v>0</v>
          </cell>
          <cell r="AO1403">
            <v>0</v>
          </cell>
          <cell r="AP1403">
            <v>0</v>
          </cell>
          <cell r="AR1403">
            <v>0</v>
          </cell>
          <cell r="AS1403">
            <v>0</v>
          </cell>
          <cell r="BF1403" t="str">
            <v>4942</v>
          </cell>
          <cell r="BG1403" t="str">
            <v>Z000</v>
          </cell>
          <cell r="BH1403" t="str">
            <v>EMU</v>
          </cell>
        </row>
        <row r="1404">
          <cell r="K1404">
            <v>0</v>
          </cell>
          <cell r="L1404">
            <v>0</v>
          </cell>
          <cell r="N1404">
            <v>0</v>
          </cell>
          <cell r="O1404">
            <v>0</v>
          </cell>
          <cell r="Q1404">
            <v>0</v>
          </cell>
          <cell r="R1404">
            <v>0</v>
          </cell>
          <cell r="T1404">
            <v>0</v>
          </cell>
          <cell r="U1404">
            <v>0</v>
          </cell>
          <cell r="W1404">
            <v>0</v>
          </cell>
          <cell r="X1404">
            <v>0</v>
          </cell>
          <cell r="Z1404">
            <v>0</v>
          </cell>
          <cell r="AA1404">
            <v>0</v>
          </cell>
          <cell r="AC1404">
            <v>0</v>
          </cell>
          <cell r="AD1404">
            <v>0</v>
          </cell>
          <cell r="AF1404">
            <v>0</v>
          </cell>
          <cell r="AG1404">
            <v>0</v>
          </cell>
          <cell r="AI1404">
            <v>0</v>
          </cell>
          <cell r="AJ1404">
            <v>0</v>
          </cell>
          <cell r="AL1404">
            <v>0</v>
          </cell>
          <cell r="AM1404">
            <v>0</v>
          </cell>
          <cell r="AO1404">
            <v>0</v>
          </cell>
          <cell r="AP1404">
            <v>0</v>
          </cell>
          <cell r="AR1404">
            <v>0</v>
          </cell>
          <cell r="AS1404">
            <v>0</v>
          </cell>
          <cell r="BF1404" t="str">
            <v>4950</v>
          </cell>
          <cell r="BG1404" t="str">
            <v>Z000</v>
          </cell>
          <cell r="BH1404" t="str">
            <v>EMU</v>
          </cell>
        </row>
        <row r="1405">
          <cell r="K1405">
            <v>0</v>
          </cell>
          <cell r="L1405">
            <v>0</v>
          </cell>
          <cell r="N1405">
            <v>0</v>
          </cell>
          <cell r="O1405">
            <v>0</v>
          </cell>
          <cell r="Q1405">
            <v>0</v>
          </cell>
          <cell r="R1405">
            <v>0</v>
          </cell>
          <cell r="T1405">
            <v>0</v>
          </cell>
          <cell r="U1405">
            <v>0</v>
          </cell>
          <cell r="W1405">
            <v>0</v>
          </cell>
          <cell r="X1405">
            <v>0</v>
          </cell>
          <cell r="Z1405">
            <v>0</v>
          </cell>
          <cell r="AA1405">
            <v>0</v>
          </cell>
          <cell r="AC1405">
            <v>0</v>
          </cell>
          <cell r="AD1405">
            <v>0</v>
          </cell>
          <cell r="AF1405">
            <v>0</v>
          </cell>
          <cell r="AG1405">
            <v>0</v>
          </cell>
          <cell r="AI1405">
            <v>0</v>
          </cell>
          <cell r="AJ1405">
            <v>0</v>
          </cell>
          <cell r="AL1405">
            <v>0</v>
          </cell>
          <cell r="AM1405">
            <v>0</v>
          </cell>
          <cell r="AO1405">
            <v>0</v>
          </cell>
          <cell r="AP1405">
            <v>0</v>
          </cell>
          <cell r="AR1405">
            <v>0</v>
          </cell>
          <cell r="AS1405">
            <v>0</v>
          </cell>
          <cell r="BF1405" t="str">
            <v>5100</v>
          </cell>
          <cell r="BG1405" t="str">
            <v>E001</v>
          </cell>
          <cell r="BH1405" t="str">
            <v>EMU</v>
          </cell>
        </row>
        <row r="1406">
          <cell r="K1406">
            <v>0</v>
          </cell>
          <cell r="L1406">
            <v>0</v>
          </cell>
          <cell r="N1406">
            <v>0</v>
          </cell>
          <cell r="O1406">
            <v>0</v>
          </cell>
          <cell r="Q1406">
            <v>0</v>
          </cell>
          <cell r="R1406">
            <v>0</v>
          </cell>
          <cell r="T1406">
            <v>0</v>
          </cell>
          <cell r="U1406">
            <v>0</v>
          </cell>
          <cell r="W1406">
            <v>0</v>
          </cell>
          <cell r="X1406">
            <v>0</v>
          </cell>
          <cell r="Z1406">
            <v>0</v>
          </cell>
          <cell r="AA1406">
            <v>0</v>
          </cell>
          <cell r="AC1406">
            <v>0</v>
          </cell>
          <cell r="AD1406">
            <v>0</v>
          </cell>
          <cell r="AF1406">
            <v>0</v>
          </cell>
          <cell r="AG1406">
            <v>0</v>
          </cell>
          <cell r="AI1406">
            <v>0</v>
          </cell>
          <cell r="AJ1406">
            <v>0</v>
          </cell>
          <cell r="AL1406">
            <v>0</v>
          </cell>
          <cell r="AM1406">
            <v>0</v>
          </cell>
          <cell r="AO1406">
            <v>0</v>
          </cell>
          <cell r="AP1406">
            <v>0</v>
          </cell>
          <cell r="AR1406">
            <v>0</v>
          </cell>
          <cell r="AS1406">
            <v>0</v>
          </cell>
          <cell r="BF1406" t="str">
            <v>5100</v>
          </cell>
          <cell r="BG1406" t="str">
            <v>E002</v>
          </cell>
          <cell r="BH1406" t="str">
            <v>EMU</v>
          </cell>
        </row>
        <row r="1407">
          <cell r="K1407">
            <v>0</v>
          </cell>
          <cell r="L1407">
            <v>0</v>
          </cell>
          <cell r="N1407">
            <v>0</v>
          </cell>
          <cell r="O1407">
            <v>0</v>
          </cell>
          <cell r="Q1407">
            <v>0</v>
          </cell>
          <cell r="R1407">
            <v>0</v>
          </cell>
          <cell r="T1407">
            <v>0</v>
          </cell>
          <cell r="U1407">
            <v>0</v>
          </cell>
          <cell r="W1407">
            <v>0</v>
          </cell>
          <cell r="X1407">
            <v>0</v>
          </cell>
          <cell r="Z1407">
            <v>0</v>
          </cell>
          <cell r="AA1407">
            <v>0</v>
          </cell>
          <cell r="AC1407">
            <v>0</v>
          </cell>
          <cell r="AD1407">
            <v>0</v>
          </cell>
          <cell r="AF1407">
            <v>0</v>
          </cell>
          <cell r="AG1407">
            <v>0</v>
          </cell>
          <cell r="AI1407">
            <v>0</v>
          </cell>
          <cell r="AJ1407">
            <v>0</v>
          </cell>
          <cell r="AL1407">
            <v>0</v>
          </cell>
          <cell r="AM1407">
            <v>0</v>
          </cell>
          <cell r="AO1407">
            <v>0</v>
          </cell>
          <cell r="AP1407">
            <v>0</v>
          </cell>
          <cell r="AR1407">
            <v>0</v>
          </cell>
          <cell r="AS1407">
            <v>0</v>
          </cell>
          <cell r="BF1407" t="str">
            <v>5200</v>
          </cell>
          <cell r="BG1407" t="str">
            <v>Z000</v>
          </cell>
          <cell r="BH1407" t="str">
            <v>EMU</v>
          </cell>
        </row>
        <row r="1408">
          <cell r="K1408">
            <v>0</v>
          </cell>
          <cell r="L1408">
            <v>0</v>
          </cell>
          <cell r="N1408">
            <v>0</v>
          </cell>
          <cell r="O1408">
            <v>0</v>
          </cell>
          <cell r="Q1408">
            <v>0</v>
          </cell>
          <cell r="R1408">
            <v>0</v>
          </cell>
          <cell r="T1408">
            <v>0</v>
          </cell>
          <cell r="U1408">
            <v>0</v>
          </cell>
          <cell r="W1408">
            <v>0</v>
          </cell>
          <cell r="X1408">
            <v>0</v>
          </cell>
          <cell r="Z1408">
            <v>0</v>
          </cell>
          <cell r="AA1408">
            <v>0</v>
          </cell>
          <cell r="AC1408">
            <v>0</v>
          </cell>
          <cell r="AD1408">
            <v>0</v>
          </cell>
          <cell r="AF1408">
            <v>0</v>
          </cell>
          <cell r="AG1408">
            <v>0</v>
          </cell>
          <cell r="AI1408">
            <v>0</v>
          </cell>
          <cell r="AJ1408">
            <v>0</v>
          </cell>
          <cell r="AL1408">
            <v>0</v>
          </cell>
          <cell r="AM1408">
            <v>0</v>
          </cell>
          <cell r="AO1408">
            <v>0</v>
          </cell>
          <cell r="AP1408">
            <v>0</v>
          </cell>
          <cell r="AR1408">
            <v>0</v>
          </cell>
          <cell r="AS1408">
            <v>0</v>
          </cell>
          <cell r="BF1408" t="str">
            <v>5400</v>
          </cell>
          <cell r="BG1408" t="str">
            <v>F001</v>
          </cell>
          <cell r="BH1408" t="str">
            <v>EMU</v>
          </cell>
        </row>
        <row r="1409">
          <cell r="K1409">
            <v>0</v>
          </cell>
          <cell r="L1409">
            <v>0</v>
          </cell>
          <cell r="N1409">
            <v>0</v>
          </cell>
          <cell r="O1409">
            <v>0</v>
          </cell>
          <cell r="Q1409">
            <v>0</v>
          </cell>
          <cell r="R1409">
            <v>0</v>
          </cell>
          <cell r="T1409">
            <v>0</v>
          </cell>
          <cell r="U1409">
            <v>0</v>
          </cell>
          <cell r="W1409">
            <v>0</v>
          </cell>
          <cell r="X1409">
            <v>0</v>
          </cell>
          <cell r="Z1409">
            <v>0</v>
          </cell>
          <cell r="AA1409">
            <v>0</v>
          </cell>
          <cell r="AC1409">
            <v>0</v>
          </cell>
          <cell r="AD1409">
            <v>0</v>
          </cell>
          <cell r="AF1409">
            <v>0</v>
          </cell>
          <cell r="AG1409">
            <v>0</v>
          </cell>
          <cell r="AI1409">
            <v>0</v>
          </cell>
          <cell r="AJ1409">
            <v>0</v>
          </cell>
          <cell r="AL1409">
            <v>0</v>
          </cell>
          <cell r="AM1409">
            <v>0</v>
          </cell>
          <cell r="AO1409">
            <v>0</v>
          </cell>
          <cell r="AP1409">
            <v>0</v>
          </cell>
          <cell r="AR1409">
            <v>0</v>
          </cell>
          <cell r="AS1409">
            <v>0</v>
          </cell>
          <cell r="BF1409" t="str">
            <v>5400</v>
          </cell>
          <cell r="BG1409" t="str">
            <v>F002</v>
          </cell>
          <cell r="BH1409" t="str">
            <v>EMU</v>
          </cell>
        </row>
        <row r="1410">
          <cell r="K1410">
            <v>0</v>
          </cell>
          <cell r="L1410">
            <v>0</v>
          </cell>
          <cell r="N1410">
            <v>0</v>
          </cell>
          <cell r="O1410">
            <v>0</v>
          </cell>
          <cell r="Q1410">
            <v>0</v>
          </cell>
          <cell r="R1410">
            <v>0</v>
          </cell>
          <cell r="T1410">
            <v>0</v>
          </cell>
          <cell r="U1410">
            <v>0</v>
          </cell>
          <cell r="W1410">
            <v>0</v>
          </cell>
          <cell r="X1410">
            <v>0</v>
          </cell>
          <cell r="Z1410">
            <v>0</v>
          </cell>
          <cell r="AA1410">
            <v>0</v>
          </cell>
          <cell r="AC1410">
            <v>0</v>
          </cell>
          <cell r="AD1410">
            <v>0</v>
          </cell>
          <cell r="AF1410">
            <v>0</v>
          </cell>
          <cell r="AG1410">
            <v>0</v>
          </cell>
          <cell r="AI1410">
            <v>0</v>
          </cell>
          <cell r="AJ1410">
            <v>0</v>
          </cell>
          <cell r="AL1410">
            <v>0</v>
          </cell>
          <cell r="AM1410">
            <v>0</v>
          </cell>
          <cell r="AO1410">
            <v>0</v>
          </cell>
          <cell r="AP1410">
            <v>0</v>
          </cell>
          <cell r="AR1410">
            <v>0</v>
          </cell>
          <cell r="AS1410">
            <v>0</v>
          </cell>
          <cell r="BF1410" t="str">
            <v>5400</v>
          </cell>
          <cell r="BG1410" t="str">
            <v>F003</v>
          </cell>
          <cell r="BH1410" t="str">
            <v>EMU</v>
          </cell>
        </row>
        <row r="1411">
          <cell r="K1411">
            <v>0</v>
          </cell>
          <cell r="L1411">
            <v>0</v>
          </cell>
          <cell r="N1411">
            <v>0</v>
          </cell>
          <cell r="O1411">
            <v>0</v>
          </cell>
          <cell r="Q1411">
            <v>0</v>
          </cell>
          <cell r="R1411">
            <v>0</v>
          </cell>
          <cell r="T1411">
            <v>0</v>
          </cell>
          <cell r="U1411">
            <v>0</v>
          </cell>
          <cell r="W1411">
            <v>0</v>
          </cell>
          <cell r="X1411">
            <v>0</v>
          </cell>
          <cell r="Z1411">
            <v>0</v>
          </cell>
          <cell r="AA1411">
            <v>0</v>
          </cell>
          <cell r="AC1411">
            <v>0</v>
          </cell>
          <cell r="AD1411">
            <v>0</v>
          </cell>
          <cell r="AF1411">
            <v>0</v>
          </cell>
          <cell r="AG1411">
            <v>0</v>
          </cell>
          <cell r="AI1411">
            <v>0</v>
          </cell>
          <cell r="AJ1411">
            <v>0</v>
          </cell>
          <cell r="AL1411">
            <v>0</v>
          </cell>
          <cell r="AM1411">
            <v>0</v>
          </cell>
          <cell r="AO1411">
            <v>0</v>
          </cell>
          <cell r="AP1411">
            <v>0</v>
          </cell>
          <cell r="AR1411">
            <v>0</v>
          </cell>
          <cell r="AS1411">
            <v>0</v>
          </cell>
          <cell r="BF1411" t="str">
            <v>5400</v>
          </cell>
          <cell r="BG1411" t="str">
            <v>F004</v>
          </cell>
          <cell r="BH1411" t="str">
            <v>EMU</v>
          </cell>
        </row>
        <row r="1412">
          <cell r="K1412">
            <v>0</v>
          </cell>
          <cell r="L1412">
            <v>0</v>
          </cell>
          <cell r="N1412">
            <v>0</v>
          </cell>
          <cell r="O1412">
            <v>0</v>
          </cell>
          <cell r="Q1412">
            <v>0</v>
          </cell>
          <cell r="R1412">
            <v>0</v>
          </cell>
          <cell r="T1412">
            <v>0</v>
          </cell>
          <cell r="U1412">
            <v>0</v>
          </cell>
          <cell r="W1412">
            <v>0</v>
          </cell>
          <cell r="X1412">
            <v>0</v>
          </cell>
          <cell r="Z1412">
            <v>0</v>
          </cell>
          <cell r="AA1412">
            <v>0</v>
          </cell>
          <cell r="AC1412">
            <v>0</v>
          </cell>
          <cell r="AD1412">
            <v>0</v>
          </cell>
          <cell r="AF1412">
            <v>0</v>
          </cell>
          <cell r="AG1412">
            <v>0</v>
          </cell>
          <cell r="AI1412">
            <v>0</v>
          </cell>
          <cell r="AJ1412">
            <v>0</v>
          </cell>
          <cell r="AL1412">
            <v>0</v>
          </cell>
          <cell r="AM1412">
            <v>0</v>
          </cell>
          <cell r="AO1412">
            <v>0</v>
          </cell>
          <cell r="AP1412">
            <v>0</v>
          </cell>
          <cell r="AR1412">
            <v>0</v>
          </cell>
          <cell r="AS1412">
            <v>0</v>
          </cell>
          <cell r="BF1412" t="str">
            <v>5400</v>
          </cell>
          <cell r="BG1412" t="str">
            <v>F005</v>
          </cell>
          <cell r="BH1412" t="str">
            <v>EMU</v>
          </cell>
        </row>
        <row r="1413">
          <cell r="K1413">
            <v>0</v>
          </cell>
          <cell r="L1413">
            <v>0</v>
          </cell>
          <cell r="N1413">
            <v>0</v>
          </cell>
          <cell r="O1413">
            <v>0</v>
          </cell>
          <cell r="Q1413">
            <v>0</v>
          </cell>
          <cell r="R1413">
            <v>0</v>
          </cell>
          <cell r="T1413">
            <v>0</v>
          </cell>
          <cell r="U1413">
            <v>0</v>
          </cell>
          <cell r="W1413">
            <v>0</v>
          </cell>
          <cell r="X1413">
            <v>0</v>
          </cell>
          <cell r="Z1413">
            <v>0</v>
          </cell>
          <cell r="AA1413">
            <v>0</v>
          </cell>
          <cell r="AC1413">
            <v>0</v>
          </cell>
          <cell r="AD1413">
            <v>0</v>
          </cell>
          <cell r="AF1413">
            <v>0</v>
          </cell>
          <cell r="AG1413">
            <v>0</v>
          </cell>
          <cell r="AI1413">
            <v>0</v>
          </cell>
          <cell r="AJ1413">
            <v>0</v>
          </cell>
          <cell r="AL1413">
            <v>0</v>
          </cell>
          <cell r="AM1413">
            <v>0</v>
          </cell>
          <cell r="AO1413">
            <v>0</v>
          </cell>
          <cell r="AP1413">
            <v>0</v>
          </cell>
          <cell r="AR1413">
            <v>0</v>
          </cell>
          <cell r="AS1413">
            <v>0</v>
          </cell>
          <cell r="BF1413" t="str">
            <v>5400</v>
          </cell>
          <cell r="BG1413" t="str">
            <v>F006</v>
          </cell>
          <cell r="BH1413" t="str">
            <v>EMU</v>
          </cell>
        </row>
        <row r="1414">
          <cell r="K1414">
            <v>0</v>
          </cell>
          <cell r="L1414">
            <v>0</v>
          </cell>
          <cell r="N1414">
            <v>0</v>
          </cell>
          <cell r="O1414">
            <v>0</v>
          </cell>
          <cell r="Q1414">
            <v>0</v>
          </cell>
          <cell r="R1414">
            <v>0</v>
          </cell>
          <cell r="T1414">
            <v>0</v>
          </cell>
          <cell r="U1414">
            <v>0</v>
          </cell>
          <cell r="W1414">
            <v>0</v>
          </cell>
          <cell r="X1414">
            <v>0</v>
          </cell>
          <cell r="Z1414">
            <v>0</v>
          </cell>
          <cell r="AA1414">
            <v>0</v>
          </cell>
          <cell r="AC1414">
            <v>0</v>
          </cell>
          <cell r="AD1414">
            <v>0</v>
          </cell>
          <cell r="AF1414">
            <v>0</v>
          </cell>
          <cell r="AG1414">
            <v>0</v>
          </cell>
          <cell r="AI1414">
            <v>0</v>
          </cell>
          <cell r="AJ1414">
            <v>0</v>
          </cell>
          <cell r="AL1414">
            <v>0</v>
          </cell>
          <cell r="AM1414">
            <v>0</v>
          </cell>
          <cell r="AO1414">
            <v>0</v>
          </cell>
          <cell r="AP1414">
            <v>0</v>
          </cell>
          <cell r="AR1414">
            <v>0</v>
          </cell>
          <cell r="AS1414">
            <v>0</v>
          </cell>
          <cell r="BF1414" t="str">
            <v>5400</v>
          </cell>
          <cell r="BG1414" t="str">
            <v>F007</v>
          </cell>
          <cell r="BH1414" t="str">
            <v>EMU</v>
          </cell>
        </row>
        <row r="1415">
          <cell r="K1415">
            <v>0</v>
          </cell>
          <cell r="L1415">
            <v>0</v>
          </cell>
          <cell r="N1415">
            <v>0</v>
          </cell>
          <cell r="O1415">
            <v>0</v>
          </cell>
          <cell r="Q1415">
            <v>0</v>
          </cell>
          <cell r="R1415">
            <v>0</v>
          </cell>
          <cell r="T1415">
            <v>0</v>
          </cell>
          <cell r="U1415">
            <v>0</v>
          </cell>
          <cell r="W1415">
            <v>0</v>
          </cell>
          <cell r="X1415">
            <v>0</v>
          </cell>
          <cell r="Z1415">
            <v>0</v>
          </cell>
          <cell r="AA1415">
            <v>0</v>
          </cell>
          <cell r="AC1415">
            <v>0</v>
          </cell>
          <cell r="AD1415">
            <v>0</v>
          </cell>
          <cell r="AF1415">
            <v>0</v>
          </cell>
          <cell r="AG1415">
            <v>0</v>
          </cell>
          <cell r="AI1415">
            <v>0</v>
          </cell>
          <cell r="AJ1415">
            <v>0</v>
          </cell>
          <cell r="AL1415">
            <v>0</v>
          </cell>
          <cell r="AM1415">
            <v>0</v>
          </cell>
          <cell r="AO1415">
            <v>0</v>
          </cell>
          <cell r="AP1415">
            <v>0</v>
          </cell>
          <cell r="AR1415">
            <v>0</v>
          </cell>
          <cell r="AS1415">
            <v>0</v>
          </cell>
          <cell r="BF1415" t="str">
            <v>5400</v>
          </cell>
          <cell r="BG1415" t="str">
            <v>F008</v>
          </cell>
          <cell r="BH1415" t="str">
            <v>EMU</v>
          </cell>
        </row>
        <row r="1416">
          <cell r="K1416">
            <v>0</v>
          </cell>
          <cell r="L1416">
            <v>0</v>
          </cell>
          <cell r="N1416">
            <v>0</v>
          </cell>
          <cell r="O1416">
            <v>0</v>
          </cell>
          <cell r="Q1416">
            <v>0</v>
          </cell>
          <cell r="R1416">
            <v>0</v>
          </cell>
          <cell r="T1416">
            <v>0</v>
          </cell>
          <cell r="U1416">
            <v>0</v>
          </cell>
          <cell r="W1416">
            <v>0</v>
          </cell>
          <cell r="X1416">
            <v>0</v>
          </cell>
          <cell r="Z1416">
            <v>0</v>
          </cell>
          <cell r="AA1416">
            <v>0</v>
          </cell>
          <cell r="AC1416">
            <v>0</v>
          </cell>
          <cell r="AD1416">
            <v>0</v>
          </cell>
          <cell r="AF1416">
            <v>0</v>
          </cell>
          <cell r="AG1416">
            <v>0</v>
          </cell>
          <cell r="AI1416">
            <v>0</v>
          </cell>
          <cell r="AJ1416">
            <v>0</v>
          </cell>
          <cell r="AL1416">
            <v>0</v>
          </cell>
          <cell r="AM1416">
            <v>0</v>
          </cell>
          <cell r="AO1416">
            <v>0</v>
          </cell>
          <cell r="AP1416">
            <v>0</v>
          </cell>
          <cell r="AR1416">
            <v>0</v>
          </cell>
          <cell r="AS1416">
            <v>0</v>
          </cell>
          <cell r="BF1416" t="str">
            <v>5400</v>
          </cell>
          <cell r="BG1416" t="str">
            <v>F009</v>
          </cell>
          <cell r="BH1416" t="str">
            <v>EMU</v>
          </cell>
        </row>
        <row r="1417">
          <cell r="K1417">
            <v>0</v>
          </cell>
          <cell r="L1417">
            <v>0</v>
          </cell>
          <cell r="N1417">
            <v>0</v>
          </cell>
          <cell r="O1417">
            <v>0</v>
          </cell>
          <cell r="Q1417">
            <v>0</v>
          </cell>
          <cell r="R1417">
            <v>0</v>
          </cell>
          <cell r="T1417">
            <v>0</v>
          </cell>
          <cell r="U1417">
            <v>0</v>
          </cell>
          <cell r="W1417">
            <v>0</v>
          </cell>
          <cell r="X1417">
            <v>0</v>
          </cell>
          <cell r="Z1417">
            <v>0</v>
          </cell>
          <cell r="AA1417">
            <v>0</v>
          </cell>
          <cell r="AC1417">
            <v>0</v>
          </cell>
          <cell r="AD1417">
            <v>0</v>
          </cell>
          <cell r="AF1417">
            <v>0</v>
          </cell>
          <cell r="AG1417">
            <v>0</v>
          </cell>
          <cell r="AI1417">
            <v>0</v>
          </cell>
          <cell r="AJ1417">
            <v>0</v>
          </cell>
          <cell r="AL1417">
            <v>0</v>
          </cell>
          <cell r="AM1417">
            <v>0</v>
          </cell>
          <cell r="AO1417">
            <v>0</v>
          </cell>
          <cell r="AP1417">
            <v>0</v>
          </cell>
          <cell r="AR1417">
            <v>0</v>
          </cell>
          <cell r="AS1417">
            <v>0</v>
          </cell>
          <cell r="BF1417" t="str">
            <v>5400</v>
          </cell>
          <cell r="BG1417" t="str">
            <v>F010</v>
          </cell>
          <cell r="BH1417" t="str">
            <v>EMU</v>
          </cell>
        </row>
        <row r="1418">
          <cell r="K1418">
            <v>0</v>
          </cell>
          <cell r="L1418">
            <v>0</v>
          </cell>
          <cell r="N1418">
            <v>0</v>
          </cell>
          <cell r="O1418">
            <v>0</v>
          </cell>
          <cell r="Q1418">
            <v>0</v>
          </cell>
          <cell r="R1418">
            <v>0</v>
          </cell>
          <cell r="T1418">
            <v>0</v>
          </cell>
          <cell r="U1418">
            <v>0</v>
          </cell>
          <cell r="W1418">
            <v>0</v>
          </cell>
          <cell r="X1418">
            <v>0</v>
          </cell>
          <cell r="Z1418">
            <v>0</v>
          </cell>
          <cell r="AA1418">
            <v>0</v>
          </cell>
          <cell r="AC1418">
            <v>0</v>
          </cell>
          <cell r="AD1418">
            <v>0</v>
          </cell>
          <cell r="AF1418">
            <v>0</v>
          </cell>
          <cell r="AG1418">
            <v>0</v>
          </cell>
          <cell r="AI1418">
            <v>0</v>
          </cell>
          <cell r="AJ1418">
            <v>0</v>
          </cell>
          <cell r="AL1418">
            <v>0</v>
          </cell>
          <cell r="AM1418">
            <v>0</v>
          </cell>
          <cell r="AO1418">
            <v>0</v>
          </cell>
          <cell r="AP1418">
            <v>0</v>
          </cell>
          <cell r="AR1418">
            <v>0</v>
          </cell>
          <cell r="AS1418">
            <v>0</v>
          </cell>
          <cell r="BF1418" t="str">
            <v>5400</v>
          </cell>
          <cell r="BG1418" t="str">
            <v>F011</v>
          </cell>
          <cell r="BH1418" t="str">
            <v>EMU</v>
          </cell>
        </row>
        <row r="1419">
          <cell r="K1419">
            <v>0</v>
          </cell>
          <cell r="L1419">
            <v>0</v>
          </cell>
          <cell r="N1419">
            <v>0</v>
          </cell>
          <cell r="O1419">
            <v>0</v>
          </cell>
          <cell r="Q1419">
            <v>0</v>
          </cell>
          <cell r="R1419">
            <v>0</v>
          </cell>
          <cell r="T1419">
            <v>0</v>
          </cell>
          <cell r="U1419">
            <v>0</v>
          </cell>
          <cell r="W1419">
            <v>0</v>
          </cell>
          <cell r="X1419">
            <v>0</v>
          </cell>
          <cell r="Z1419">
            <v>0</v>
          </cell>
          <cell r="AA1419">
            <v>0</v>
          </cell>
          <cell r="AC1419">
            <v>0</v>
          </cell>
          <cell r="AD1419">
            <v>0</v>
          </cell>
          <cell r="AF1419">
            <v>0</v>
          </cell>
          <cell r="AG1419">
            <v>0</v>
          </cell>
          <cell r="AI1419">
            <v>0</v>
          </cell>
          <cell r="AJ1419">
            <v>0</v>
          </cell>
          <cell r="AL1419">
            <v>0</v>
          </cell>
          <cell r="AM1419">
            <v>0</v>
          </cell>
          <cell r="AO1419">
            <v>0</v>
          </cell>
          <cell r="AP1419">
            <v>0</v>
          </cell>
          <cell r="AR1419">
            <v>0</v>
          </cell>
          <cell r="AS1419">
            <v>0</v>
          </cell>
          <cell r="BF1419" t="str">
            <v>5400</v>
          </cell>
          <cell r="BG1419" t="str">
            <v>F012</v>
          </cell>
          <cell r="BH1419" t="str">
            <v>EMU</v>
          </cell>
        </row>
        <row r="1420">
          <cell r="K1420">
            <v>0</v>
          </cell>
          <cell r="L1420">
            <v>0</v>
          </cell>
          <cell r="N1420">
            <v>0</v>
          </cell>
          <cell r="O1420">
            <v>0</v>
          </cell>
          <cell r="Q1420">
            <v>0</v>
          </cell>
          <cell r="R1420">
            <v>0</v>
          </cell>
          <cell r="T1420">
            <v>0</v>
          </cell>
          <cell r="U1420">
            <v>0</v>
          </cell>
          <cell r="W1420">
            <v>0</v>
          </cell>
          <cell r="X1420">
            <v>0</v>
          </cell>
          <cell r="Z1420">
            <v>0</v>
          </cell>
          <cell r="AA1420">
            <v>0</v>
          </cell>
          <cell r="AC1420">
            <v>0</v>
          </cell>
          <cell r="AD1420">
            <v>0</v>
          </cell>
          <cell r="AF1420">
            <v>0</v>
          </cell>
          <cell r="AG1420">
            <v>0</v>
          </cell>
          <cell r="AI1420">
            <v>0</v>
          </cell>
          <cell r="AJ1420">
            <v>0</v>
          </cell>
          <cell r="AL1420">
            <v>0</v>
          </cell>
          <cell r="AM1420">
            <v>0</v>
          </cell>
          <cell r="AO1420">
            <v>0</v>
          </cell>
          <cell r="AP1420">
            <v>0</v>
          </cell>
          <cell r="AR1420">
            <v>0</v>
          </cell>
          <cell r="AS1420">
            <v>0</v>
          </cell>
          <cell r="BF1420" t="str">
            <v>5400</v>
          </cell>
          <cell r="BG1420" t="str">
            <v>F013</v>
          </cell>
          <cell r="BH1420" t="str">
            <v>EMU</v>
          </cell>
        </row>
        <row r="1421">
          <cell r="K1421">
            <v>0</v>
          </cell>
          <cell r="L1421">
            <v>0</v>
          </cell>
          <cell r="N1421">
            <v>0</v>
          </cell>
          <cell r="O1421">
            <v>0</v>
          </cell>
          <cell r="Q1421">
            <v>0</v>
          </cell>
          <cell r="R1421">
            <v>0</v>
          </cell>
          <cell r="T1421">
            <v>0</v>
          </cell>
          <cell r="U1421">
            <v>0</v>
          </cell>
          <cell r="W1421">
            <v>0</v>
          </cell>
          <cell r="X1421">
            <v>0</v>
          </cell>
          <cell r="Z1421">
            <v>0</v>
          </cell>
          <cell r="AA1421">
            <v>0</v>
          </cell>
          <cell r="AC1421">
            <v>0</v>
          </cell>
          <cell r="AD1421">
            <v>0</v>
          </cell>
          <cell r="AF1421">
            <v>0</v>
          </cell>
          <cell r="AG1421">
            <v>0</v>
          </cell>
          <cell r="AI1421">
            <v>0</v>
          </cell>
          <cell r="AJ1421">
            <v>0</v>
          </cell>
          <cell r="AL1421">
            <v>0</v>
          </cell>
          <cell r="AM1421">
            <v>0</v>
          </cell>
          <cell r="AO1421">
            <v>0</v>
          </cell>
          <cell r="AP1421">
            <v>0</v>
          </cell>
          <cell r="AR1421">
            <v>0</v>
          </cell>
          <cell r="AS1421">
            <v>0</v>
          </cell>
          <cell r="BF1421" t="str">
            <v>5400</v>
          </cell>
          <cell r="BG1421" t="str">
            <v>F014</v>
          </cell>
          <cell r="BH1421" t="str">
            <v>EMU</v>
          </cell>
        </row>
        <row r="1422">
          <cell r="K1422">
            <v>-158941.15999999922</v>
          </cell>
          <cell r="L1422">
            <v>0</v>
          </cell>
          <cell r="N1422">
            <v>-175696.70999999996</v>
          </cell>
          <cell r="O1422">
            <v>0</v>
          </cell>
          <cell r="Q1422">
            <v>-178681.16000000015</v>
          </cell>
          <cell r="R1422">
            <v>0</v>
          </cell>
          <cell r="T1422">
            <v>-183354.6099999994</v>
          </cell>
          <cell r="U1422">
            <v>0</v>
          </cell>
          <cell r="W1422">
            <v>-184830.81000000052</v>
          </cell>
          <cell r="X1422">
            <v>0</v>
          </cell>
          <cell r="Z1422">
            <v>-189406.95999999996</v>
          </cell>
          <cell r="AA1422">
            <v>0</v>
          </cell>
          <cell r="AC1422">
            <v>-191187.70999999996</v>
          </cell>
          <cell r="AD1422">
            <v>0</v>
          </cell>
          <cell r="AF1422">
            <v>-194435.25999999978</v>
          </cell>
          <cell r="AG1422">
            <v>0</v>
          </cell>
          <cell r="AI1422">
            <v>-201102.55999999866</v>
          </cell>
          <cell r="AJ1422">
            <v>0</v>
          </cell>
          <cell r="AL1422">
            <v>-201154.00999999978</v>
          </cell>
          <cell r="AM1422">
            <v>0</v>
          </cell>
          <cell r="AO1422">
            <v>-205471.96000000089</v>
          </cell>
          <cell r="AP1422">
            <v>0</v>
          </cell>
          <cell r="AR1422">
            <v>-208061.1099999994</v>
          </cell>
          <cell r="AS1422">
            <v>0</v>
          </cell>
          <cell r="BF1422" t="str">
            <v>5400</v>
          </cell>
          <cell r="BG1422" t="str">
            <v>F015</v>
          </cell>
          <cell r="BH1422" t="str">
            <v>EMU</v>
          </cell>
        </row>
        <row r="1423">
          <cell r="K1423">
            <v>0</v>
          </cell>
          <cell r="L1423">
            <v>0</v>
          </cell>
          <cell r="N1423">
            <v>0</v>
          </cell>
          <cell r="O1423">
            <v>0</v>
          </cell>
          <cell r="Q1423">
            <v>0</v>
          </cell>
          <cell r="R1423">
            <v>0</v>
          </cell>
          <cell r="T1423">
            <v>0</v>
          </cell>
          <cell r="U1423">
            <v>0</v>
          </cell>
          <cell r="W1423">
            <v>0</v>
          </cell>
          <cell r="X1423">
            <v>0</v>
          </cell>
          <cell r="Z1423">
            <v>0</v>
          </cell>
          <cell r="AA1423">
            <v>0</v>
          </cell>
          <cell r="AC1423">
            <v>0</v>
          </cell>
          <cell r="AD1423">
            <v>0</v>
          </cell>
          <cell r="AF1423">
            <v>0</v>
          </cell>
          <cell r="AG1423">
            <v>0</v>
          </cell>
          <cell r="AI1423">
            <v>0</v>
          </cell>
          <cell r="AJ1423">
            <v>0</v>
          </cell>
          <cell r="AL1423">
            <v>0</v>
          </cell>
          <cell r="AM1423">
            <v>0</v>
          </cell>
          <cell r="AO1423">
            <v>0</v>
          </cell>
          <cell r="AP1423">
            <v>0</v>
          </cell>
          <cell r="AR1423">
            <v>0</v>
          </cell>
          <cell r="AS1423">
            <v>0</v>
          </cell>
          <cell r="BF1423" t="str">
            <v>5400</v>
          </cell>
          <cell r="BG1423" t="str">
            <v>F016</v>
          </cell>
          <cell r="BH1423" t="str">
            <v>EMU</v>
          </cell>
        </row>
        <row r="1424">
          <cell r="K1424">
            <v>0</v>
          </cell>
          <cell r="L1424">
            <v>0</v>
          </cell>
          <cell r="N1424">
            <v>0</v>
          </cell>
          <cell r="O1424">
            <v>0</v>
          </cell>
          <cell r="Q1424">
            <v>0</v>
          </cell>
          <cell r="R1424">
            <v>0</v>
          </cell>
          <cell r="T1424">
            <v>0</v>
          </cell>
          <cell r="U1424">
            <v>0</v>
          </cell>
          <cell r="W1424">
            <v>0</v>
          </cell>
          <cell r="X1424">
            <v>0</v>
          </cell>
          <cell r="Z1424">
            <v>0</v>
          </cell>
          <cell r="AA1424">
            <v>0</v>
          </cell>
          <cell r="AC1424">
            <v>0</v>
          </cell>
          <cell r="AD1424">
            <v>0</v>
          </cell>
          <cell r="AF1424">
            <v>0</v>
          </cell>
          <cell r="AG1424">
            <v>0</v>
          </cell>
          <cell r="AI1424">
            <v>0</v>
          </cell>
          <cell r="AJ1424">
            <v>0</v>
          </cell>
          <cell r="AL1424">
            <v>0</v>
          </cell>
          <cell r="AM1424">
            <v>0</v>
          </cell>
          <cell r="AO1424">
            <v>0</v>
          </cell>
          <cell r="AP1424">
            <v>0</v>
          </cell>
          <cell r="AR1424">
            <v>0</v>
          </cell>
          <cell r="AS1424">
            <v>0</v>
          </cell>
          <cell r="BF1424" t="str">
            <v>5400</v>
          </cell>
          <cell r="BG1424" t="str">
            <v>F017</v>
          </cell>
          <cell r="BH1424" t="str">
            <v>EMU</v>
          </cell>
        </row>
        <row r="1425">
          <cell r="K1425">
            <v>0</v>
          </cell>
          <cell r="L1425">
            <v>0</v>
          </cell>
          <cell r="N1425">
            <v>0</v>
          </cell>
          <cell r="O1425">
            <v>0</v>
          </cell>
          <cell r="Q1425">
            <v>0</v>
          </cell>
          <cell r="R1425">
            <v>0</v>
          </cell>
          <cell r="T1425">
            <v>0</v>
          </cell>
          <cell r="U1425">
            <v>0</v>
          </cell>
          <cell r="W1425">
            <v>0</v>
          </cell>
          <cell r="X1425">
            <v>0</v>
          </cell>
          <cell r="Z1425">
            <v>0</v>
          </cell>
          <cell r="AA1425">
            <v>0</v>
          </cell>
          <cell r="AC1425">
            <v>0</v>
          </cell>
          <cell r="AD1425">
            <v>0</v>
          </cell>
          <cell r="AF1425">
            <v>0</v>
          </cell>
          <cell r="AG1425">
            <v>0</v>
          </cell>
          <cell r="AI1425">
            <v>0</v>
          </cell>
          <cell r="AJ1425">
            <v>0</v>
          </cell>
          <cell r="AL1425">
            <v>0</v>
          </cell>
          <cell r="AM1425">
            <v>0</v>
          </cell>
          <cell r="AO1425">
            <v>0</v>
          </cell>
          <cell r="AP1425">
            <v>0</v>
          </cell>
          <cell r="AR1425">
            <v>0</v>
          </cell>
          <cell r="AS1425">
            <v>0</v>
          </cell>
          <cell r="BF1425" t="str">
            <v>5400</v>
          </cell>
          <cell r="BG1425" t="str">
            <v>F018</v>
          </cell>
          <cell r="BH1425" t="str">
            <v>EMU</v>
          </cell>
        </row>
        <row r="1426">
          <cell r="K1426">
            <v>0</v>
          </cell>
          <cell r="L1426">
            <v>0</v>
          </cell>
          <cell r="N1426">
            <v>0</v>
          </cell>
          <cell r="O1426">
            <v>0</v>
          </cell>
          <cell r="Q1426">
            <v>0</v>
          </cell>
          <cell r="R1426">
            <v>0</v>
          </cell>
          <cell r="T1426">
            <v>0</v>
          </cell>
          <cell r="U1426">
            <v>0</v>
          </cell>
          <cell r="W1426">
            <v>0</v>
          </cell>
          <cell r="X1426">
            <v>0</v>
          </cell>
          <cell r="Z1426">
            <v>0</v>
          </cell>
          <cell r="AA1426">
            <v>0</v>
          </cell>
          <cell r="AC1426">
            <v>0</v>
          </cell>
          <cell r="AD1426">
            <v>0</v>
          </cell>
          <cell r="AF1426">
            <v>0</v>
          </cell>
          <cell r="AG1426">
            <v>0</v>
          </cell>
          <cell r="AI1426">
            <v>0</v>
          </cell>
          <cell r="AJ1426">
            <v>0</v>
          </cell>
          <cell r="AL1426">
            <v>0</v>
          </cell>
          <cell r="AM1426">
            <v>0</v>
          </cell>
          <cell r="AO1426">
            <v>0</v>
          </cell>
          <cell r="AP1426">
            <v>0</v>
          </cell>
          <cell r="AR1426">
            <v>0</v>
          </cell>
          <cell r="AS1426">
            <v>0</v>
          </cell>
          <cell r="BF1426" t="str">
            <v>5400</v>
          </cell>
          <cell r="BG1426" t="str">
            <v>F019</v>
          </cell>
          <cell r="BH1426" t="str">
            <v>EMU</v>
          </cell>
        </row>
        <row r="1427">
          <cell r="K1427">
            <v>0</v>
          </cell>
          <cell r="L1427">
            <v>0</v>
          </cell>
          <cell r="N1427">
            <v>0</v>
          </cell>
          <cell r="O1427">
            <v>0</v>
          </cell>
          <cell r="Q1427">
            <v>0</v>
          </cell>
          <cell r="R1427">
            <v>0</v>
          </cell>
          <cell r="T1427">
            <v>0</v>
          </cell>
          <cell r="U1427">
            <v>0</v>
          </cell>
          <cell r="W1427">
            <v>0</v>
          </cell>
          <cell r="X1427">
            <v>0</v>
          </cell>
          <cell r="Z1427">
            <v>0</v>
          </cell>
          <cell r="AA1427">
            <v>0</v>
          </cell>
          <cell r="AC1427">
            <v>0</v>
          </cell>
          <cell r="AD1427">
            <v>0</v>
          </cell>
          <cell r="AF1427">
            <v>0</v>
          </cell>
          <cell r="AG1427">
            <v>0</v>
          </cell>
          <cell r="AI1427">
            <v>0</v>
          </cell>
          <cell r="AJ1427">
            <v>0</v>
          </cell>
          <cell r="AL1427">
            <v>0</v>
          </cell>
          <cell r="AM1427">
            <v>0</v>
          </cell>
          <cell r="AO1427">
            <v>0</v>
          </cell>
          <cell r="AP1427">
            <v>0</v>
          </cell>
          <cell r="AR1427">
            <v>0</v>
          </cell>
          <cell r="AS1427">
            <v>0</v>
          </cell>
          <cell r="BF1427" t="str">
            <v>5400</v>
          </cell>
          <cell r="BG1427" t="str">
            <v>F020</v>
          </cell>
          <cell r="BH1427" t="str">
            <v>EMU</v>
          </cell>
        </row>
        <row r="1428">
          <cell r="K1428">
            <v>3808574.3899999857</v>
          </cell>
          <cell r="L1428">
            <v>0</v>
          </cell>
          <cell r="N1428">
            <v>12422967.810000002</v>
          </cell>
          <cell r="O1428">
            <v>0</v>
          </cell>
          <cell r="Q1428">
            <v>61116451.340000093</v>
          </cell>
          <cell r="R1428">
            <v>0</v>
          </cell>
          <cell r="T1428">
            <v>4070691.8099999428</v>
          </cell>
          <cell r="U1428">
            <v>0</v>
          </cell>
          <cell r="W1428">
            <v>3968621.6499999762</v>
          </cell>
          <cell r="X1428">
            <v>0</v>
          </cell>
          <cell r="Z1428">
            <v>4077166.9299999475</v>
          </cell>
          <cell r="AA1428">
            <v>0</v>
          </cell>
          <cell r="AC1428">
            <v>4271558.4299999475</v>
          </cell>
          <cell r="AD1428">
            <v>0</v>
          </cell>
          <cell r="AF1428">
            <v>5393403.4699999094</v>
          </cell>
          <cell r="AG1428">
            <v>0</v>
          </cell>
          <cell r="AI1428">
            <v>4334389.3999999762</v>
          </cell>
          <cell r="AJ1428">
            <v>0</v>
          </cell>
          <cell r="AL1428">
            <v>4355726.6100000143</v>
          </cell>
          <cell r="AM1428">
            <v>0</v>
          </cell>
          <cell r="AO1428">
            <v>3462765.1700000167</v>
          </cell>
          <cell r="AP1428">
            <v>0</v>
          </cell>
          <cell r="AR1428">
            <v>1461232.8799999356</v>
          </cell>
          <cell r="AS1428">
            <v>0</v>
          </cell>
          <cell r="BF1428" t="str">
            <v>5500</v>
          </cell>
          <cell r="BG1428" t="str">
            <v>G001</v>
          </cell>
          <cell r="BH1428" t="str">
            <v>EMU</v>
          </cell>
        </row>
        <row r="1429">
          <cell r="K1429">
            <v>0</v>
          </cell>
          <cell r="L1429">
            <v>0</v>
          </cell>
          <cell r="N1429">
            <v>0</v>
          </cell>
          <cell r="O1429">
            <v>0</v>
          </cell>
          <cell r="Q1429">
            <v>-59605424.280000001</v>
          </cell>
          <cell r="R1429">
            <v>0</v>
          </cell>
          <cell r="T1429">
            <v>0</v>
          </cell>
          <cell r="U1429">
            <v>0</v>
          </cell>
          <cell r="W1429">
            <v>0</v>
          </cell>
          <cell r="X1429">
            <v>0</v>
          </cell>
          <cell r="Z1429">
            <v>0</v>
          </cell>
          <cell r="AA1429">
            <v>0</v>
          </cell>
          <cell r="AC1429">
            <v>0</v>
          </cell>
          <cell r="AD1429">
            <v>0</v>
          </cell>
          <cell r="AF1429">
            <v>0</v>
          </cell>
          <cell r="AG1429">
            <v>0</v>
          </cell>
          <cell r="AI1429">
            <v>0</v>
          </cell>
          <cell r="AJ1429">
            <v>0</v>
          </cell>
          <cell r="AL1429">
            <v>0</v>
          </cell>
          <cell r="AM1429">
            <v>0</v>
          </cell>
          <cell r="AO1429">
            <v>0</v>
          </cell>
          <cell r="AP1429">
            <v>0</v>
          </cell>
          <cell r="AR1429">
            <v>0</v>
          </cell>
          <cell r="AS1429">
            <v>0</v>
          </cell>
          <cell r="BF1429" t="str">
            <v>5500</v>
          </cell>
          <cell r="BG1429" t="str">
            <v>G002</v>
          </cell>
          <cell r="BH1429" t="str">
            <v>EMU</v>
          </cell>
        </row>
        <row r="1430">
          <cell r="K1430">
            <v>0</v>
          </cell>
          <cell r="L1430">
            <v>0</v>
          </cell>
          <cell r="N1430">
            <v>0</v>
          </cell>
          <cell r="O1430">
            <v>0</v>
          </cell>
          <cell r="Q1430">
            <v>0</v>
          </cell>
          <cell r="R1430">
            <v>0</v>
          </cell>
          <cell r="T1430">
            <v>0</v>
          </cell>
          <cell r="U1430">
            <v>0</v>
          </cell>
          <cell r="W1430">
            <v>0</v>
          </cell>
          <cell r="X1430">
            <v>0</v>
          </cell>
          <cell r="Z1430">
            <v>0</v>
          </cell>
          <cell r="AA1430">
            <v>0</v>
          </cell>
          <cell r="AC1430">
            <v>0</v>
          </cell>
          <cell r="AD1430">
            <v>0</v>
          </cell>
          <cell r="AF1430">
            <v>0</v>
          </cell>
          <cell r="AG1430">
            <v>0</v>
          </cell>
          <cell r="AI1430">
            <v>0</v>
          </cell>
          <cell r="AJ1430">
            <v>0</v>
          </cell>
          <cell r="AL1430">
            <v>0</v>
          </cell>
          <cell r="AM1430">
            <v>0</v>
          </cell>
          <cell r="AO1430">
            <v>0</v>
          </cell>
          <cell r="AP1430">
            <v>0</v>
          </cell>
          <cell r="AR1430">
            <v>0</v>
          </cell>
          <cell r="AS1430">
            <v>0</v>
          </cell>
          <cell r="BF1430" t="str">
            <v>5500</v>
          </cell>
          <cell r="BG1430" t="str">
            <v>G003</v>
          </cell>
          <cell r="BH1430" t="str">
            <v>EMU</v>
          </cell>
        </row>
        <row r="1431">
          <cell r="K1431">
            <v>0</v>
          </cell>
          <cell r="L1431">
            <v>0</v>
          </cell>
          <cell r="N1431">
            <v>0</v>
          </cell>
          <cell r="O1431">
            <v>0</v>
          </cell>
          <cell r="Q1431">
            <v>0</v>
          </cell>
          <cell r="R1431">
            <v>0</v>
          </cell>
          <cell r="T1431">
            <v>0</v>
          </cell>
          <cell r="U1431">
            <v>0</v>
          </cell>
          <cell r="W1431">
            <v>0</v>
          </cell>
          <cell r="X1431">
            <v>0</v>
          </cell>
          <cell r="Z1431">
            <v>0</v>
          </cell>
          <cell r="AA1431">
            <v>0</v>
          </cell>
          <cell r="AC1431">
            <v>0</v>
          </cell>
          <cell r="AD1431">
            <v>0</v>
          </cell>
          <cell r="AF1431">
            <v>0</v>
          </cell>
          <cell r="AG1431">
            <v>0</v>
          </cell>
          <cell r="AI1431">
            <v>0</v>
          </cell>
          <cell r="AJ1431">
            <v>0</v>
          </cell>
          <cell r="AL1431">
            <v>0</v>
          </cell>
          <cell r="AM1431">
            <v>0</v>
          </cell>
          <cell r="AO1431">
            <v>0</v>
          </cell>
          <cell r="AP1431">
            <v>0</v>
          </cell>
          <cell r="AR1431">
            <v>0</v>
          </cell>
          <cell r="AS1431">
            <v>0</v>
          </cell>
          <cell r="BF1431" t="str">
            <v>5500</v>
          </cell>
          <cell r="BG1431" t="str">
            <v>G004</v>
          </cell>
          <cell r="BH1431" t="str">
            <v>EMU</v>
          </cell>
        </row>
        <row r="1432">
          <cell r="K1432">
            <v>0</v>
          </cell>
          <cell r="L1432">
            <v>0</v>
          </cell>
          <cell r="N1432">
            <v>0</v>
          </cell>
          <cell r="O1432">
            <v>0</v>
          </cell>
          <cell r="Q1432">
            <v>0</v>
          </cell>
          <cell r="R1432">
            <v>0</v>
          </cell>
          <cell r="T1432">
            <v>0</v>
          </cell>
          <cell r="U1432">
            <v>0</v>
          </cell>
          <cell r="W1432">
            <v>0</v>
          </cell>
          <cell r="X1432">
            <v>0</v>
          </cell>
          <cell r="Z1432">
            <v>0</v>
          </cell>
          <cell r="AA1432">
            <v>0</v>
          </cell>
          <cell r="AC1432">
            <v>0</v>
          </cell>
          <cell r="AD1432">
            <v>0</v>
          </cell>
          <cell r="AF1432">
            <v>0</v>
          </cell>
          <cell r="AG1432">
            <v>0</v>
          </cell>
          <cell r="AI1432">
            <v>0</v>
          </cell>
          <cell r="AJ1432">
            <v>0</v>
          </cell>
          <cell r="AL1432">
            <v>0</v>
          </cell>
          <cell r="AM1432">
            <v>0</v>
          </cell>
          <cell r="AO1432">
            <v>0</v>
          </cell>
          <cell r="AP1432">
            <v>0</v>
          </cell>
          <cell r="AR1432">
            <v>0</v>
          </cell>
          <cell r="AS1432">
            <v>0</v>
          </cell>
          <cell r="BF1432" t="str">
            <v>5500</v>
          </cell>
          <cell r="BG1432" t="str">
            <v>G005</v>
          </cell>
          <cell r="BH1432" t="str">
            <v>EMU</v>
          </cell>
        </row>
        <row r="1433">
          <cell r="K1433">
            <v>0</v>
          </cell>
          <cell r="L1433">
            <v>0</v>
          </cell>
          <cell r="N1433">
            <v>0</v>
          </cell>
          <cell r="O1433">
            <v>0</v>
          </cell>
          <cell r="Q1433">
            <v>0</v>
          </cell>
          <cell r="R1433">
            <v>0</v>
          </cell>
          <cell r="T1433">
            <v>0</v>
          </cell>
          <cell r="U1433">
            <v>0</v>
          </cell>
          <cell r="W1433">
            <v>0</v>
          </cell>
          <cell r="X1433">
            <v>0</v>
          </cell>
          <cell r="Z1433">
            <v>0</v>
          </cell>
          <cell r="AA1433">
            <v>0</v>
          </cell>
          <cell r="AC1433">
            <v>0</v>
          </cell>
          <cell r="AD1433">
            <v>0</v>
          </cell>
          <cell r="AF1433">
            <v>0</v>
          </cell>
          <cell r="AG1433">
            <v>0</v>
          </cell>
          <cell r="AI1433">
            <v>0</v>
          </cell>
          <cell r="AJ1433">
            <v>0</v>
          </cell>
          <cell r="AL1433">
            <v>0</v>
          </cell>
          <cell r="AM1433">
            <v>0</v>
          </cell>
          <cell r="AO1433">
            <v>0</v>
          </cell>
          <cell r="AP1433">
            <v>0</v>
          </cell>
          <cell r="AR1433">
            <v>0</v>
          </cell>
          <cell r="AS1433">
            <v>0</v>
          </cell>
          <cell r="BF1433" t="str">
            <v>5500</v>
          </cell>
          <cell r="BG1433" t="str">
            <v>G006</v>
          </cell>
          <cell r="BH1433" t="str">
            <v>EMU</v>
          </cell>
        </row>
        <row r="1434">
          <cell r="K1434">
            <v>0</v>
          </cell>
          <cell r="L1434">
            <v>0</v>
          </cell>
          <cell r="N1434">
            <v>0</v>
          </cell>
          <cell r="O1434">
            <v>0</v>
          </cell>
          <cell r="Q1434">
            <v>0</v>
          </cell>
          <cell r="R1434">
            <v>0</v>
          </cell>
          <cell r="T1434">
            <v>0</v>
          </cell>
          <cell r="U1434">
            <v>0</v>
          </cell>
          <cell r="W1434">
            <v>0</v>
          </cell>
          <cell r="X1434">
            <v>0</v>
          </cell>
          <cell r="Z1434">
            <v>0</v>
          </cell>
          <cell r="AA1434">
            <v>0</v>
          </cell>
          <cell r="AC1434">
            <v>0</v>
          </cell>
          <cell r="AD1434">
            <v>0</v>
          </cell>
          <cell r="AF1434">
            <v>0</v>
          </cell>
          <cell r="AG1434">
            <v>0</v>
          </cell>
          <cell r="AI1434">
            <v>0</v>
          </cell>
          <cell r="AJ1434">
            <v>0</v>
          </cell>
          <cell r="AL1434">
            <v>0</v>
          </cell>
          <cell r="AM1434">
            <v>0</v>
          </cell>
          <cell r="AO1434">
            <v>0</v>
          </cell>
          <cell r="AP1434">
            <v>0</v>
          </cell>
          <cell r="AR1434">
            <v>0</v>
          </cell>
          <cell r="AS1434">
            <v>0</v>
          </cell>
          <cell r="BF1434" t="str">
            <v>5500</v>
          </cell>
          <cell r="BG1434" t="str">
            <v>G007</v>
          </cell>
          <cell r="BH1434" t="str">
            <v>EMU</v>
          </cell>
        </row>
        <row r="1435">
          <cell r="K1435">
            <v>0</v>
          </cell>
          <cell r="L1435">
            <v>0</v>
          </cell>
          <cell r="N1435">
            <v>0</v>
          </cell>
          <cell r="O1435">
            <v>0</v>
          </cell>
          <cell r="Q1435">
            <v>0</v>
          </cell>
          <cell r="R1435">
            <v>0</v>
          </cell>
          <cell r="T1435">
            <v>0</v>
          </cell>
          <cell r="U1435">
            <v>0</v>
          </cell>
          <cell r="W1435">
            <v>0</v>
          </cell>
          <cell r="X1435">
            <v>0</v>
          </cell>
          <cell r="Z1435">
            <v>0</v>
          </cell>
          <cell r="AA1435">
            <v>0</v>
          </cell>
          <cell r="AC1435">
            <v>0</v>
          </cell>
          <cell r="AD1435">
            <v>0</v>
          </cell>
          <cell r="AF1435">
            <v>0</v>
          </cell>
          <cell r="AG1435">
            <v>0</v>
          </cell>
          <cell r="AI1435">
            <v>0</v>
          </cell>
          <cell r="AJ1435">
            <v>0</v>
          </cell>
          <cell r="AL1435">
            <v>0</v>
          </cell>
          <cell r="AM1435">
            <v>0</v>
          </cell>
          <cell r="AO1435">
            <v>0</v>
          </cell>
          <cell r="AP1435">
            <v>0</v>
          </cell>
          <cell r="AR1435">
            <v>0</v>
          </cell>
          <cell r="AS1435">
            <v>0</v>
          </cell>
          <cell r="BF1435" t="str">
            <v>5500</v>
          </cell>
          <cell r="BG1435" t="str">
            <v>G008</v>
          </cell>
          <cell r="BH1435" t="str">
            <v>EMU</v>
          </cell>
        </row>
        <row r="1436">
          <cell r="K1436">
            <v>0</v>
          </cell>
          <cell r="L1436">
            <v>0</v>
          </cell>
          <cell r="N1436">
            <v>0</v>
          </cell>
          <cell r="O1436">
            <v>0</v>
          </cell>
          <cell r="Q1436">
            <v>0</v>
          </cell>
          <cell r="R1436">
            <v>0</v>
          </cell>
          <cell r="T1436">
            <v>0</v>
          </cell>
          <cell r="U1436">
            <v>0</v>
          </cell>
          <cell r="W1436">
            <v>0</v>
          </cell>
          <cell r="X1436">
            <v>0</v>
          </cell>
          <cell r="Z1436">
            <v>0</v>
          </cell>
          <cell r="AA1436">
            <v>0</v>
          </cell>
          <cell r="AC1436">
            <v>0</v>
          </cell>
          <cell r="AD1436">
            <v>0</v>
          </cell>
          <cell r="AF1436">
            <v>0</v>
          </cell>
          <cell r="AG1436">
            <v>0</v>
          </cell>
          <cell r="AI1436">
            <v>0</v>
          </cell>
          <cell r="AJ1436">
            <v>0</v>
          </cell>
          <cell r="AL1436">
            <v>0</v>
          </cell>
          <cell r="AM1436">
            <v>0</v>
          </cell>
          <cell r="AO1436">
            <v>0</v>
          </cell>
          <cell r="AP1436">
            <v>0</v>
          </cell>
          <cell r="AR1436">
            <v>0</v>
          </cell>
          <cell r="AS1436">
            <v>0</v>
          </cell>
          <cell r="BF1436" t="str">
            <v>5500</v>
          </cell>
          <cell r="BG1436" t="str">
            <v>G009</v>
          </cell>
          <cell r="BH1436" t="str">
            <v>EMU</v>
          </cell>
        </row>
        <row r="1437">
          <cell r="K1437">
            <v>0</v>
          </cell>
          <cell r="L1437">
            <v>0</v>
          </cell>
          <cell r="N1437">
            <v>0</v>
          </cell>
          <cell r="O1437">
            <v>0</v>
          </cell>
          <cell r="Q1437">
            <v>0</v>
          </cell>
          <cell r="R1437">
            <v>0</v>
          </cell>
          <cell r="T1437">
            <v>0</v>
          </cell>
          <cell r="U1437">
            <v>0</v>
          </cell>
          <cell r="W1437">
            <v>0</v>
          </cell>
          <cell r="X1437">
            <v>0</v>
          </cell>
          <cell r="Z1437">
            <v>0</v>
          </cell>
          <cell r="AA1437">
            <v>0</v>
          </cell>
          <cell r="AC1437">
            <v>0</v>
          </cell>
          <cell r="AD1437">
            <v>0</v>
          </cell>
          <cell r="AF1437">
            <v>0</v>
          </cell>
          <cell r="AG1437">
            <v>0</v>
          </cell>
          <cell r="AI1437">
            <v>0</v>
          </cell>
          <cell r="AJ1437">
            <v>0</v>
          </cell>
          <cell r="AL1437">
            <v>0</v>
          </cell>
          <cell r="AM1437">
            <v>0</v>
          </cell>
          <cell r="AO1437">
            <v>0</v>
          </cell>
          <cell r="AP1437">
            <v>0</v>
          </cell>
          <cell r="AR1437">
            <v>0</v>
          </cell>
          <cell r="AS1437">
            <v>0</v>
          </cell>
          <cell r="BF1437" t="str">
            <v>5500</v>
          </cell>
          <cell r="BG1437" t="str">
            <v>G010</v>
          </cell>
          <cell r="BH1437" t="str">
            <v>EMU</v>
          </cell>
        </row>
        <row r="1438">
          <cell r="K1438">
            <v>0</v>
          </cell>
          <cell r="L1438">
            <v>0</v>
          </cell>
          <cell r="N1438">
            <v>0</v>
          </cell>
          <cell r="O1438">
            <v>0</v>
          </cell>
          <cell r="Q1438">
            <v>0</v>
          </cell>
          <cell r="R1438">
            <v>0</v>
          </cell>
          <cell r="T1438">
            <v>0</v>
          </cell>
          <cell r="U1438">
            <v>0</v>
          </cell>
          <cell r="W1438">
            <v>0</v>
          </cell>
          <cell r="X1438">
            <v>0</v>
          </cell>
          <cell r="Z1438">
            <v>0</v>
          </cell>
          <cell r="AA1438">
            <v>0</v>
          </cell>
          <cell r="AC1438">
            <v>0</v>
          </cell>
          <cell r="AD1438">
            <v>0</v>
          </cell>
          <cell r="AF1438">
            <v>0</v>
          </cell>
          <cell r="AG1438">
            <v>0</v>
          </cell>
          <cell r="AI1438">
            <v>0</v>
          </cell>
          <cell r="AJ1438">
            <v>0</v>
          </cell>
          <cell r="AL1438">
            <v>0</v>
          </cell>
          <cell r="AM1438">
            <v>0</v>
          </cell>
          <cell r="AO1438">
            <v>0</v>
          </cell>
          <cell r="AP1438">
            <v>0</v>
          </cell>
          <cell r="AR1438">
            <v>0</v>
          </cell>
          <cell r="AS1438">
            <v>0</v>
          </cell>
          <cell r="BF1438" t="str">
            <v>5500</v>
          </cell>
          <cell r="BG1438" t="str">
            <v>G011</v>
          </cell>
          <cell r="BH1438" t="str">
            <v>EMU</v>
          </cell>
        </row>
        <row r="1439">
          <cell r="K1439">
            <v>0</v>
          </cell>
          <cell r="L1439">
            <v>0</v>
          </cell>
          <cell r="N1439">
            <v>0</v>
          </cell>
          <cell r="O1439">
            <v>0</v>
          </cell>
          <cell r="Q1439">
            <v>0</v>
          </cell>
          <cell r="R1439">
            <v>0</v>
          </cell>
          <cell r="T1439">
            <v>0</v>
          </cell>
          <cell r="U1439">
            <v>0</v>
          </cell>
          <cell r="W1439">
            <v>0</v>
          </cell>
          <cell r="X1439">
            <v>0</v>
          </cell>
          <cell r="Z1439">
            <v>0</v>
          </cell>
          <cell r="AA1439">
            <v>0</v>
          </cell>
          <cell r="AC1439">
            <v>0</v>
          </cell>
          <cell r="AD1439">
            <v>0</v>
          </cell>
          <cell r="AF1439">
            <v>0</v>
          </cell>
          <cell r="AG1439">
            <v>0</v>
          </cell>
          <cell r="AI1439">
            <v>0</v>
          </cell>
          <cell r="AJ1439">
            <v>0</v>
          </cell>
          <cell r="AL1439">
            <v>0</v>
          </cell>
          <cell r="AM1439">
            <v>0</v>
          </cell>
          <cell r="AO1439">
            <v>0</v>
          </cell>
          <cell r="AP1439">
            <v>0</v>
          </cell>
          <cell r="AR1439">
            <v>0</v>
          </cell>
          <cell r="AS1439">
            <v>0</v>
          </cell>
          <cell r="BF1439" t="str">
            <v>5500</v>
          </cell>
          <cell r="BG1439" t="str">
            <v>G012</v>
          </cell>
          <cell r="BH1439" t="str">
            <v>EMU</v>
          </cell>
        </row>
        <row r="1440">
          <cell r="K1440">
            <v>0</v>
          </cell>
          <cell r="L1440">
            <v>0</v>
          </cell>
          <cell r="N1440">
            <v>0</v>
          </cell>
          <cell r="O1440">
            <v>0</v>
          </cell>
          <cell r="Q1440">
            <v>0</v>
          </cell>
          <cell r="R1440">
            <v>0</v>
          </cell>
          <cell r="T1440">
            <v>0</v>
          </cell>
          <cell r="U1440">
            <v>0</v>
          </cell>
          <cell r="W1440">
            <v>0</v>
          </cell>
          <cell r="X1440">
            <v>0</v>
          </cell>
          <cell r="Z1440">
            <v>0</v>
          </cell>
          <cell r="AA1440">
            <v>0</v>
          </cell>
          <cell r="AC1440">
            <v>0</v>
          </cell>
          <cell r="AD1440">
            <v>0</v>
          </cell>
          <cell r="AF1440">
            <v>0</v>
          </cell>
          <cell r="AG1440">
            <v>0</v>
          </cell>
          <cell r="AI1440">
            <v>0</v>
          </cell>
          <cell r="AJ1440">
            <v>0</v>
          </cell>
          <cell r="AL1440">
            <v>0</v>
          </cell>
          <cell r="AM1440">
            <v>0</v>
          </cell>
          <cell r="AO1440">
            <v>0</v>
          </cell>
          <cell r="AP1440">
            <v>0</v>
          </cell>
          <cell r="AR1440">
            <v>0</v>
          </cell>
          <cell r="AS1440">
            <v>0</v>
          </cell>
          <cell r="BF1440" t="str">
            <v>5600</v>
          </cell>
          <cell r="BG1440" t="str">
            <v>H001</v>
          </cell>
          <cell r="BH1440" t="str">
            <v>EMU</v>
          </cell>
        </row>
        <row r="1441">
          <cell r="K1441">
            <v>0</v>
          </cell>
          <cell r="L1441">
            <v>0</v>
          </cell>
          <cell r="N1441">
            <v>0</v>
          </cell>
          <cell r="O1441">
            <v>0</v>
          </cell>
          <cell r="Q1441">
            <v>0</v>
          </cell>
          <cell r="R1441">
            <v>0</v>
          </cell>
          <cell r="T1441">
            <v>0</v>
          </cell>
          <cell r="U1441">
            <v>0</v>
          </cell>
          <cell r="W1441">
            <v>0</v>
          </cell>
          <cell r="X1441">
            <v>0</v>
          </cell>
          <cell r="Z1441">
            <v>0</v>
          </cell>
          <cell r="AA1441">
            <v>0</v>
          </cell>
          <cell r="AC1441">
            <v>0</v>
          </cell>
          <cell r="AD1441">
            <v>0</v>
          </cell>
          <cell r="AF1441">
            <v>0</v>
          </cell>
          <cell r="AG1441">
            <v>0</v>
          </cell>
          <cell r="AI1441">
            <v>0</v>
          </cell>
          <cell r="AJ1441">
            <v>0</v>
          </cell>
          <cell r="AL1441">
            <v>0</v>
          </cell>
          <cell r="AM1441">
            <v>0</v>
          </cell>
          <cell r="AO1441">
            <v>0</v>
          </cell>
          <cell r="AP1441">
            <v>0</v>
          </cell>
          <cell r="AR1441">
            <v>0</v>
          </cell>
          <cell r="AS1441">
            <v>0</v>
          </cell>
          <cell r="BF1441" t="str">
            <v>5600</v>
          </cell>
          <cell r="BG1441" t="str">
            <v>H002</v>
          </cell>
          <cell r="BH1441" t="str">
            <v>EMU</v>
          </cell>
        </row>
        <row r="1442">
          <cell r="K1442">
            <v>0</v>
          </cell>
          <cell r="L1442">
            <v>0</v>
          </cell>
          <cell r="N1442">
            <v>0</v>
          </cell>
          <cell r="O1442">
            <v>0</v>
          </cell>
          <cell r="Q1442">
            <v>0</v>
          </cell>
          <cell r="R1442">
            <v>0</v>
          </cell>
          <cell r="T1442">
            <v>0</v>
          </cell>
          <cell r="U1442">
            <v>0</v>
          </cell>
          <cell r="W1442">
            <v>0</v>
          </cell>
          <cell r="X1442">
            <v>0</v>
          </cell>
          <cell r="Z1442">
            <v>0</v>
          </cell>
          <cell r="AA1442">
            <v>0</v>
          </cell>
          <cell r="AC1442">
            <v>0</v>
          </cell>
          <cell r="AD1442">
            <v>0</v>
          </cell>
          <cell r="AF1442">
            <v>0</v>
          </cell>
          <cell r="AG1442">
            <v>0</v>
          </cell>
          <cell r="AI1442">
            <v>0</v>
          </cell>
          <cell r="AJ1442">
            <v>0</v>
          </cell>
          <cell r="AL1442">
            <v>0</v>
          </cell>
          <cell r="AM1442">
            <v>0</v>
          </cell>
          <cell r="AO1442">
            <v>0</v>
          </cell>
          <cell r="AP1442">
            <v>0</v>
          </cell>
          <cell r="AR1442">
            <v>0</v>
          </cell>
          <cell r="AS1442">
            <v>0</v>
          </cell>
          <cell r="BF1442" t="str">
            <v>5600</v>
          </cell>
          <cell r="BG1442" t="str">
            <v>H003</v>
          </cell>
          <cell r="BH1442" t="str">
            <v>EMU</v>
          </cell>
        </row>
        <row r="1443">
          <cell r="K1443">
            <v>0</v>
          </cell>
          <cell r="L1443">
            <v>0</v>
          </cell>
          <cell r="N1443">
            <v>0</v>
          </cell>
          <cell r="O1443">
            <v>0</v>
          </cell>
          <cell r="Q1443">
            <v>0</v>
          </cell>
          <cell r="R1443">
            <v>0</v>
          </cell>
          <cell r="T1443">
            <v>0</v>
          </cell>
          <cell r="U1443">
            <v>0</v>
          </cell>
          <cell r="W1443">
            <v>0</v>
          </cell>
          <cell r="X1443">
            <v>0</v>
          </cell>
          <cell r="Z1443">
            <v>0</v>
          </cell>
          <cell r="AA1443">
            <v>0</v>
          </cell>
          <cell r="AC1443">
            <v>0</v>
          </cell>
          <cell r="AD1443">
            <v>0</v>
          </cell>
          <cell r="AF1443">
            <v>0</v>
          </cell>
          <cell r="AG1443">
            <v>0</v>
          </cell>
          <cell r="AI1443">
            <v>0</v>
          </cell>
          <cell r="AJ1443">
            <v>0</v>
          </cell>
          <cell r="AL1443">
            <v>0</v>
          </cell>
          <cell r="AM1443">
            <v>0</v>
          </cell>
          <cell r="AO1443">
            <v>0</v>
          </cell>
          <cell r="AP1443">
            <v>0</v>
          </cell>
          <cell r="AR1443">
            <v>0</v>
          </cell>
          <cell r="AS1443">
            <v>0</v>
          </cell>
          <cell r="BF1443" t="str">
            <v>5600</v>
          </cell>
          <cell r="BG1443" t="str">
            <v>H004</v>
          </cell>
          <cell r="BH1443" t="str">
            <v>EMU</v>
          </cell>
        </row>
        <row r="1444">
          <cell r="K1444">
            <v>0</v>
          </cell>
          <cell r="L1444">
            <v>0</v>
          </cell>
          <cell r="N1444">
            <v>0</v>
          </cell>
          <cell r="O1444">
            <v>0</v>
          </cell>
          <cell r="Q1444">
            <v>0</v>
          </cell>
          <cell r="R1444">
            <v>0</v>
          </cell>
          <cell r="T1444">
            <v>0</v>
          </cell>
          <cell r="U1444">
            <v>0</v>
          </cell>
          <cell r="W1444">
            <v>0</v>
          </cell>
          <cell r="X1444">
            <v>0</v>
          </cell>
          <cell r="Z1444">
            <v>0</v>
          </cell>
          <cell r="AA1444">
            <v>0</v>
          </cell>
          <cell r="AC1444">
            <v>0</v>
          </cell>
          <cell r="AD1444">
            <v>0</v>
          </cell>
          <cell r="AF1444">
            <v>0</v>
          </cell>
          <cell r="AG1444">
            <v>0</v>
          </cell>
          <cell r="AI1444">
            <v>0</v>
          </cell>
          <cell r="AJ1444">
            <v>0</v>
          </cell>
          <cell r="AL1444">
            <v>0</v>
          </cell>
          <cell r="AM1444">
            <v>0</v>
          </cell>
          <cell r="AO1444">
            <v>0</v>
          </cell>
          <cell r="AP1444">
            <v>0</v>
          </cell>
          <cell r="AR1444">
            <v>0</v>
          </cell>
          <cell r="AS1444">
            <v>0</v>
          </cell>
          <cell r="BF1444" t="str">
            <v>5600</v>
          </cell>
          <cell r="BG1444" t="str">
            <v>H005</v>
          </cell>
          <cell r="BH1444" t="str">
            <v>EMU</v>
          </cell>
        </row>
        <row r="1445">
          <cell r="K1445">
            <v>0</v>
          </cell>
          <cell r="L1445">
            <v>0</v>
          </cell>
          <cell r="N1445">
            <v>0</v>
          </cell>
          <cell r="O1445">
            <v>0</v>
          </cell>
          <cell r="Q1445">
            <v>0</v>
          </cell>
          <cell r="R1445">
            <v>0</v>
          </cell>
          <cell r="T1445">
            <v>0</v>
          </cell>
          <cell r="U1445">
            <v>0</v>
          </cell>
          <cell r="W1445">
            <v>0</v>
          </cell>
          <cell r="X1445">
            <v>0</v>
          </cell>
          <cell r="Z1445">
            <v>0</v>
          </cell>
          <cell r="AA1445">
            <v>0</v>
          </cell>
          <cell r="AC1445">
            <v>0</v>
          </cell>
          <cell r="AD1445">
            <v>0</v>
          </cell>
          <cell r="AF1445">
            <v>0</v>
          </cell>
          <cell r="AG1445">
            <v>0</v>
          </cell>
          <cell r="AI1445">
            <v>0</v>
          </cell>
          <cell r="AJ1445">
            <v>0</v>
          </cell>
          <cell r="AL1445">
            <v>0</v>
          </cell>
          <cell r="AM1445">
            <v>0</v>
          </cell>
          <cell r="AO1445">
            <v>0</v>
          </cell>
          <cell r="AP1445">
            <v>0</v>
          </cell>
          <cell r="AR1445">
            <v>0</v>
          </cell>
          <cell r="AS1445">
            <v>0</v>
          </cell>
          <cell r="BF1445" t="str">
            <v>5600</v>
          </cell>
          <cell r="BG1445" t="str">
            <v>H006</v>
          </cell>
          <cell r="BH1445" t="str">
            <v>EMU</v>
          </cell>
        </row>
        <row r="1446">
          <cell r="K1446">
            <v>0</v>
          </cell>
          <cell r="L1446">
            <v>0</v>
          </cell>
          <cell r="N1446">
            <v>0</v>
          </cell>
          <cell r="O1446">
            <v>0</v>
          </cell>
          <cell r="Q1446">
            <v>0</v>
          </cell>
          <cell r="R1446">
            <v>0</v>
          </cell>
          <cell r="T1446">
            <v>0</v>
          </cell>
          <cell r="U1446">
            <v>0</v>
          </cell>
          <cell r="W1446">
            <v>0</v>
          </cell>
          <cell r="X1446">
            <v>0</v>
          </cell>
          <cell r="Z1446">
            <v>0</v>
          </cell>
          <cell r="AA1446">
            <v>0</v>
          </cell>
          <cell r="AC1446">
            <v>0</v>
          </cell>
          <cell r="AD1446">
            <v>0</v>
          </cell>
          <cell r="AF1446">
            <v>0</v>
          </cell>
          <cell r="AG1446">
            <v>0</v>
          </cell>
          <cell r="AI1446">
            <v>0</v>
          </cell>
          <cell r="AJ1446">
            <v>0</v>
          </cell>
          <cell r="AL1446">
            <v>0</v>
          </cell>
          <cell r="AM1446">
            <v>0</v>
          </cell>
          <cell r="AO1446">
            <v>0</v>
          </cell>
          <cell r="AP1446">
            <v>0</v>
          </cell>
          <cell r="AR1446">
            <v>0</v>
          </cell>
          <cell r="AS1446">
            <v>0</v>
          </cell>
          <cell r="BF1446" t="str">
            <v>5600</v>
          </cell>
          <cell r="BG1446" t="str">
            <v>H007</v>
          </cell>
          <cell r="BH1446" t="str">
            <v>EMU</v>
          </cell>
        </row>
        <row r="1447">
          <cell r="K1447">
            <v>0</v>
          </cell>
          <cell r="L1447">
            <v>0</v>
          </cell>
          <cell r="N1447">
            <v>0</v>
          </cell>
          <cell r="O1447">
            <v>0</v>
          </cell>
          <cell r="Q1447">
            <v>0</v>
          </cell>
          <cell r="R1447">
            <v>0</v>
          </cell>
          <cell r="T1447">
            <v>0</v>
          </cell>
          <cell r="U1447">
            <v>0</v>
          </cell>
          <cell r="W1447">
            <v>0</v>
          </cell>
          <cell r="X1447">
            <v>0</v>
          </cell>
          <cell r="Z1447">
            <v>0</v>
          </cell>
          <cell r="AA1447">
            <v>0</v>
          </cell>
          <cell r="AC1447">
            <v>0</v>
          </cell>
          <cell r="AD1447">
            <v>0</v>
          </cell>
          <cell r="AF1447">
            <v>0</v>
          </cell>
          <cell r="AG1447">
            <v>0</v>
          </cell>
          <cell r="AI1447">
            <v>0</v>
          </cell>
          <cell r="AJ1447">
            <v>0</v>
          </cell>
          <cell r="AL1447">
            <v>0</v>
          </cell>
          <cell r="AM1447">
            <v>0</v>
          </cell>
          <cell r="AO1447">
            <v>0</v>
          </cell>
          <cell r="AP1447">
            <v>0</v>
          </cell>
          <cell r="AR1447">
            <v>0</v>
          </cell>
          <cell r="AS1447">
            <v>0</v>
          </cell>
          <cell r="BF1447" t="str">
            <v>5600</v>
          </cell>
          <cell r="BG1447" t="str">
            <v>H008</v>
          </cell>
          <cell r="BH1447" t="str">
            <v>EMU</v>
          </cell>
        </row>
        <row r="1448">
          <cell r="K1448">
            <v>0</v>
          </cell>
          <cell r="L1448">
            <v>0</v>
          </cell>
          <cell r="N1448">
            <v>0</v>
          </cell>
          <cell r="O1448">
            <v>0</v>
          </cell>
          <cell r="Q1448">
            <v>0</v>
          </cell>
          <cell r="R1448">
            <v>0</v>
          </cell>
          <cell r="T1448">
            <v>0</v>
          </cell>
          <cell r="U1448">
            <v>0</v>
          </cell>
          <cell r="W1448">
            <v>0</v>
          </cell>
          <cell r="X1448">
            <v>0</v>
          </cell>
          <cell r="Z1448">
            <v>0</v>
          </cell>
          <cell r="AA1448">
            <v>0</v>
          </cell>
          <cell r="AC1448">
            <v>0</v>
          </cell>
          <cell r="AD1448">
            <v>0</v>
          </cell>
          <cell r="AF1448">
            <v>0</v>
          </cell>
          <cell r="AG1448">
            <v>0</v>
          </cell>
          <cell r="AI1448">
            <v>0</v>
          </cell>
          <cell r="AJ1448">
            <v>0</v>
          </cell>
          <cell r="AL1448">
            <v>0</v>
          </cell>
          <cell r="AM1448">
            <v>0</v>
          </cell>
          <cell r="AO1448">
            <v>0</v>
          </cell>
          <cell r="AP1448">
            <v>0</v>
          </cell>
          <cell r="AR1448">
            <v>0</v>
          </cell>
          <cell r="AS1448">
            <v>0</v>
          </cell>
          <cell r="BF1448" t="str">
            <v>5700</v>
          </cell>
          <cell r="BG1448" t="str">
            <v>I001</v>
          </cell>
          <cell r="BH1448" t="str">
            <v>EMU</v>
          </cell>
        </row>
        <row r="1449">
          <cell r="K1449">
            <v>0</v>
          </cell>
          <cell r="L1449">
            <v>0</v>
          </cell>
          <cell r="N1449">
            <v>0</v>
          </cell>
          <cell r="O1449">
            <v>0</v>
          </cell>
          <cell r="Q1449">
            <v>0</v>
          </cell>
          <cell r="R1449">
            <v>0</v>
          </cell>
          <cell r="T1449">
            <v>0</v>
          </cell>
          <cell r="U1449">
            <v>0</v>
          </cell>
          <cell r="W1449">
            <v>0</v>
          </cell>
          <cell r="X1449">
            <v>0</v>
          </cell>
          <cell r="Z1449">
            <v>0</v>
          </cell>
          <cell r="AA1449">
            <v>0</v>
          </cell>
          <cell r="AC1449">
            <v>0</v>
          </cell>
          <cell r="AD1449">
            <v>0</v>
          </cell>
          <cell r="AF1449">
            <v>0</v>
          </cell>
          <cell r="AG1449">
            <v>0</v>
          </cell>
          <cell r="AI1449">
            <v>0</v>
          </cell>
          <cell r="AJ1449">
            <v>0</v>
          </cell>
          <cell r="AL1449">
            <v>0</v>
          </cell>
          <cell r="AM1449">
            <v>0</v>
          </cell>
          <cell r="AO1449">
            <v>0</v>
          </cell>
          <cell r="AP1449">
            <v>0</v>
          </cell>
          <cell r="AR1449">
            <v>0</v>
          </cell>
          <cell r="AS1449">
            <v>0</v>
          </cell>
          <cell r="BF1449" t="str">
            <v>5700</v>
          </cell>
          <cell r="BG1449" t="str">
            <v>I002</v>
          </cell>
          <cell r="BH1449" t="str">
            <v>EMU</v>
          </cell>
        </row>
        <row r="1450">
          <cell r="K1450">
            <v>0</v>
          </cell>
          <cell r="L1450">
            <v>0</v>
          </cell>
          <cell r="N1450">
            <v>0</v>
          </cell>
          <cell r="O1450">
            <v>0</v>
          </cell>
          <cell r="Q1450">
            <v>0</v>
          </cell>
          <cell r="R1450">
            <v>0</v>
          </cell>
          <cell r="T1450">
            <v>0</v>
          </cell>
          <cell r="U1450">
            <v>0</v>
          </cell>
          <cell r="W1450">
            <v>0</v>
          </cell>
          <cell r="X1450">
            <v>0</v>
          </cell>
          <cell r="Z1450">
            <v>0</v>
          </cell>
          <cell r="AA1450">
            <v>0</v>
          </cell>
          <cell r="AC1450">
            <v>0</v>
          </cell>
          <cell r="AD1450">
            <v>0</v>
          </cell>
          <cell r="AF1450">
            <v>0</v>
          </cell>
          <cell r="AG1450">
            <v>0</v>
          </cell>
          <cell r="AI1450">
            <v>0</v>
          </cell>
          <cell r="AJ1450">
            <v>0</v>
          </cell>
          <cell r="AL1450">
            <v>0</v>
          </cell>
          <cell r="AM1450">
            <v>0</v>
          </cell>
          <cell r="AO1450">
            <v>0</v>
          </cell>
          <cell r="AP1450">
            <v>0</v>
          </cell>
          <cell r="AR1450">
            <v>0</v>
          </cell>
          <cell r="AS1450">
            <v>0</v>
          </cell>
          <cell r="BF1450" t="str">
            <v>5700</v>
          </cell>
          <cell r="BG1450" t="str">
            <v>I003</v>
          </cell>
          <cell r="BH1450" t="str">
            <v>EMU</v>
          </cell>
        </row>
        <row r="1451">
          <cell r="K1451">
            <v>0</v>
          </cell>
          <cell r="L1451">
            <v>0</v>
          </cell>
          <cell r="N1451">
            <v>0</v>
          </cell>
          <cell r="O1451">
            <v>0</v>
          </cell>
          <cell r="Q1451">
            <v>0</v>
          </cell>
          <cell r="R1451">
            <v>0</v>
          </cell>
          <cell r="T1451">
            <v>0</v>
          </cell>
          <cell r="U1451">
            <v>0</v>
          </cell>
          <cell r="W1451">
            <v>0</v>
          </cell>
          <cell r="X1451">
            <v>0</v>
          </cell>
          <cell r="Z1451">
            <v>0</v>
          </cell>
          <cell r="AA1451">
            <v>0</v>
          </cell>
          <cell r="AC1451">
            <v>0</v>
          </cell>
          <cell r="AD1451">
            <v>0</v>
          </cell>
          <cell r="AF1451">
            <v>0</v>
          </cell>
          <cell r="AG1451">
            <v>0</v>
          </cell>
          <cell r="AI1451">
            <v>0</v>
          </cell>
          <cell r="AJ1451">
            <v>0</v>
          </cell>
          <cell r="AL1451">
            <v>0</v>
          </cell>
          <cell r="AM1451">
            <v>0</v>
          </cell>
          <cell r="AO1451">
            <v>0</v>
          </cell>
          <cell r="AP1451">
            <v>0</v>
          </cell>
          <cell r="AR1451">
            <v>0</v>
          </cell>
          <cell r="AS1451">
            <v>0</v>
          </cell>
          <cell r="BF1451" t="str">
            <v>5700</v>
          </cell>
          <cell r="BG1451" t="str">
            <v>I004</v>
          </cell>
          <cell r="BH1451" t="str">
            <v>EMU</v>
          </cell>
        </row>
        <row r="1452">
          <cell r="K1452">
            <v>0</v>
          </cell>
          <cell r="L1452">
            <v>0</v>
          </cell>
          <cell r="N1452">
            <v>0</v>
          </cell>
          <cell r="O1452">
            <v>0</v>
          </cell>
          <cell r="Q1452">
            <v>0</v>
          </cell>
          <cell r="R1452">
            <v>0</v>
          </cell>
          <cell r="T1452">
            <v>0</v>
          </cell>
          <cell r="U1452">
            <v>0</v>
          </cell>
          <cell r="W1452">
            <v>0</v>
          </cell>
          <cell r="X1452">
            <v>0</v>
          </cell>
          <cell r="Z1452">
            <v>0</v>
          </cell>
          <cell r="AA1452">
            <v>0</v>
          </cell>
          <cell r="AC1452">
            <v>0</v>
          </cell>
          <cell r="AD1452">
            <v>0</v>
          </cell>
          <cell r="AF1452">
            <v>0</v>
          </cell>
          <cell r="AG1452">
            <v>0</v>
          </cell>
          <cell r="AI1452">
            <v>0</v>
          </cell>
          <cell r="AJ1452">
            <v>0</v>
          </cell>
          <cell r="AL1452">
            <v>0</v>
          </cell>
          <cell r="AM1452">
            <v>0</v>
          </cell>
          <cell r="AO1452">
            <v>0</v>
          </cell>
          <cell r="AP1452">
            <v>0</v>
          </cell>
          <cell r="AR1452">
            <v>0</v>
          </cell>
          <cell r="AS1452">
            <v>0</v>
          </cell>
          <cell r="BF1452" t="str">
            <v>5700</v>
          </cell>
          <cell r="BG1452" t="str">
            <v>I005</v>
          </cell>
          <cell r="BH1452" t="str">
            <v>EMU</v>
          </cell>
        </row>
        <row r="1453">
          <cell r="K1453">
            <v>0</v>
          </cell>
          <cell r="L1453">
            <v>0</v>
          </cell>
          <cell r="N1453">
            <v>0</v>
          </cell>
          <cell r="O1453">
            <v>0</v>
          </cell>
          <cell r="Q1453">
            <v>0</v>
          </cell>
          <cell r="R1453">
            <v>0</v>
          </cell>
          <cell r="T1453">
            <v>0</v>
          </cell>
          <cell r="U1453">
            <v>0</v>
          </cell>
          <cell r="W1453">
            <v>0</v>
          </cell>
          <cell r="X1453">
            <v>0</v>
          </cell>
          <cell r="Z1453">
            <v>0</v>
          </cell>
          <cell r="AA1453">
            <v>0</v>
          </cell>
          <cell r="AC1453">
            <v>0</v>
          </cell>
          <cell r="AD1453">
            <v>0</v>
          </cell>
          <cell r="AF1453">
            <v>0</v>
          </cell>
          <cell r="AG1453">
            <v>0</v>
          </cell>
          <cell r="AI1453">
            <v>0</v>
          </cell>
          <cell r="AJ1453">
            <v>0</v>
          </cell>
          <cell r="AL1453">
            <v>0</v>
          </cell>
          <cell r="AM1453">
            <v>0</v>
          </cell>
          <cell r="AO1453">
            <v>0</v>
          </cell>
          <cell r="AP1453">
            <v>0</v>
          </cell>
          <cell r="AR1453">
            <v>0</v>
          </cell>
          <cell r="AS1453">
            <v>0</v>
          </cell>
          <cell r="BF1453" t="str">
            <v>5700</v>
          </cell>
          <cell r="BG1453" t="str">
            <v>I006</v>
          </cell>
          <cell r="BH1453" t="str">
            <v>EMU</v>
          </cell>
        </row>
        <row r="1454">
          <cell r="K1454">
            <v>0</v>
          </cell>
          <cell r="L1454">
            <v>0</v>
          </cell>
          <cell r="N1454">
            <v>0</v>
          </cell>
          <cell r="O1454">
            <v>0</v>
          </cell>
          <cell r="Q1454">
            <v>0</v>
          </cell>
          <cell r="R1454">
            <v>0</v>
          </cell>
          <cell r="T1454">
            <v>0</v>
          </cell>
          <cell r="U1454">
            <v>0</v>
          </cell>
          <cell r="W1454">
            <v>0</v>
          </cell>
          <cell r="X1454">
            <v>0</v>
          </cell>
          <cell r="Z1454">
            <v>0</v>
          </cell>
          <cell r="AA1454">
            <v>0</v>
          </cell>
          <cell r="AC1454">
            <v>0</v>
          </cell>
          <cell r="AD1454">
            <v>0</v>
          </cell>
          <cell r="AF1454">
            <v>0</v>
          </cell>
          <cell r="AG1454">
            <v>0</v>
          </cell>
          <cell r="AI1454">
            <v>0</v>
          </cell>
          <cell r="AJ1454">
            <v>0</v>
          </cell>
          <cell r="AL1454">
            <v>0</v>
          </cell>
          <cell r="AM1454">
            <v>0</v>
          </cell>
          <cell r="AO1454">
            <v>0</v>
          </cell>
          <cell r="AP1454">
            <v>0</v>
          </cell>
          <cell r="AR1454">
            <v>0</v>
          </cell>
          <cell r="AS1454">
            <v>0</v>
          </cell>
          <cell r="BF1454" t="str">
            <v>5700</v>
          </cell>
          <cell r="BG1454" t="str">
            <v>I007</v>
          </cell>
          <cell r="BH1454" t="str">
            <v>EMU</v>
          </cell>
        </row>
        <row r="1455">
          <cell r="K1455">
            <v>0</v>
          </cell>
          <cell r="L1455">
            <v>0</v>
          </cell>
          <cell r="N1455">
            <v>0</v>
          </cell>
          <cell r="O1455">
            <v>0</v>
          </cell>
          <cell r="Q1455">
            <v>0</v>
          </cell>
          <cell r="R1455">
            <v>0</v>
          </cell>
          <cell r="T1455">
            <v>0</v>
          </cell>
          <cell r="U1455">
            <v>0</v>
          </cell>
          <cell r="W1455">
            <v>0</v>
          </cell>
          <cell r="X1455">
            <v>0</v>
          </cell>
          <cell r="Z1455">
            <v>0</v>
          </cell>
          <cell r="AA1455">
            <v>0</v>
          </cell>
          <cell r="AC1455">
            <v>0</v>
          </cell>
          <cell r="AD1455">
            <v>0</v>
          </cell>
          <cell r="AF1455">
            <v>0</v>
          </cell>
          <cell r="AG1455">
            <v>0</v>
          </cell>
          <cell r="AI1455">
            <v>0</v>
          </cell>
          <cell r="AJ1455">
            <v>0</v>
          </cell>
          <cell r="AL1455">
            <v>0</v>
          </cell>
          <cell r="AM1455">
            <v>0</v>
          </cell>
          <cell r="AO1455">
            <v>0</v>
          </cell>
          <cell r="AP1455">
            <v>0</v>
          </cell>
          <cell r="AR1455">
            <v>0</v>
          </cell>
          <cell r="AS1455">
            <v>0</v>
          </cell>
          <cell r="BF1455" t="str">
            <v>5700</v>
          </cell>
          <cell r="BG1455" t="str">
            <v>I008</v>
          </cell>
          <cell r="BH1455" t="str">
            <v>EMU</v>
          </cell>
        </row>
        <row r="1456">
          <cell r="K1456">
            <v>0</v>
          </cell>
          <cell r="L1456">
            <v>0</v>
          </cell>
          <cell r="N1456">
            <v>0</v>
          </cell>
          <cell r="O1456">
            <v>0</v>
          </cell>
          <cell r="Q1456">
            <v>0</v>
          </cell>
          <cell r="R1456">
            <v>0</v>
          </cell>
          <cell r="T1456">
            <v>0</v>
          </cell>
          <cell r="U1456">
            <v>0</v>
          </cell>
          <cell r="W1456">
            <v>0</v>
          </cell>
          <cell r="X1456">
            <v>0</v>
          </cell>
          <cell r="Z1456">
            <v>0</v>
          </cell>
          <cell r="AA1456">
            <v>0</v>
          </cell>
          <cell r="AC1456">
            <v>0</v>
          </cell>
          <cell r="AD1456">
            <v>0</v>
          </cell>
          <cell r="AF1456">
            <v>0</v>
          </cell>
          <cell r="AG1456">
            <v>0</v>
          </cell>
          <cell r="AI1456">
            <v>0</v>
          </cell>
          <cell r="AJ1456">
            <v>0</v>
          </cell>
          <cell r="AL1456">
            <v>0</v>
          </cell>
          <cell r="AM1456">
            <v>0</v>
          </cell>
          <cell r="AO1456">
            <v>0</v>
          </cell>
          <cell r="AP1456">
            <v>0</v>
          </cell>
          <cell r="AR1456">
            <v>0</v>
          </cell>
          <cell r="AS1456">
            <v>0</v>
          </cell>
          <cell r="BF1456" t="str">
            <v>5700</v>
          </cell>
          <cell r="BG1456" t="str">
            <v>I009</v>
          </cell>
          <cell r="BH1456" t="str">
            <v>EMU</v>
          </cell>
        </row>
        <row r="1457">
          <cell r="K1457">
            <v>0</v>
          </cell>
          <cell r="L1457">
            <v>0</v>
          </cell>
          <cell r="N1457">
            <v>0</v>
          </cell>
          <cell r="O1457">
            <v>0</v>
          </cell>
          <cell r="Q1457">
            <v>0</v>
          </cell>
          <cell r="R1457">
            <v>0</v>
          </cell>
          <cell r="T1457">
            <v>0</v>
          </cell>
          <cell r="U1457">
            <v>0</v>
          </cell>
          <cell r="W1457">
            <v>0</v>
          </cell>
          <cell r="X1457">
            <v>0</v>
          </cell>
          <cell r="Z1457">
            <v>0</v>
          </cell>
          <cell r="AA1457">
            <v>0</v>
          </cell>
          <cell r="AC1457">
            <v>0</v>
          </cell>
          <cell r="AD1457">
            <v>0</v>
          </cell>
          <cell r="AF1457">
            <v>0</v>
          </cell>
          <cell r="AG1457">
            <v>0</v>
          </cell>
          <cell r="AI1457">
            <v>0</v>
          </cell>
          <cell r="AJ1457">
            <v>0</v>
          </cell>
          <cell r="AL1457">
            <v>0</v>
          </cell>
          <cell r="AM1457">
            <v>0</v>
          </cell>
          <cell r="AO1457">
            <v>0</v>
          </cell>
          <cell r="AP1457">
            <v>0</v>
          </cell>
          <cell r="AR1457">
            <v>0</v>
          </cell>
          <cell r="AS1457">
            <v>0</v>
          </cell>
          <cell r="BF1457" t="str">
            <v>5700</v>
          </cell>
          <cell r="BG1457" t="str">
            <v>I010</v>
          </cell>
          <cell r="BH1457" t="str">
            <v>EMU</v>
          </cell>
        </row>
        <row r="1458">
          <cell r="K1458">
            <v>0</v>
          </cell>
          <cell r="L1458">
            <v>0</v>
          </cell>
          <cell r="N1458">
            <v>0</v>
          </cell>
          <cell r="O1458">
            <v>0</v>
          </cell>
          <cell r="Q1458">
            <v>0</v>
          </cell>
          <cell r="R1458">
            <v>0</v>
          </cell>
          <cell r="T1458">
            <v>0</v>
          </cell>
          <cell r="U1458">
            <v>0</v>
          </cell>
          <cell r="W1458">
            <v>0</v>
          </cell>
          <cell r="X1458">
            <v>0</v>
          </cell>
          <cell r="Z1458">
            <v>0</v>
          </cell>
          <cell r="AA1458">
            <v>0</v>
          </cell>
          <cell r="AC1458">
            <v>0</v>
          </cell>
          <cell r="AD1458">
            <v>0</v>
          </cell>
          <cell r="AF1458">
            <v>0</v>
          </cell>
          <cell r="AG1458">
            <v>0</v>
          </cell>
          <cell r="AI1458">
            <v>0</v>
          </cell>
          <cell r="AJ1458">
            <v>0</v>
          </cell>
          <cell r="AL1458">
            <v>0</v>
          </cell>
          <cell r="AM1458">
            <v>0</v>
          </cell>
          <cell r="AO1458">
            <v>0</v>
          </cell>
          <cell r="AP1458">
            <v>0</v>
          </cell>
          <cell r="AR1458">
            <v>0</v>
          </cell>
          <cell r="AS1458">
            <v>0</v>
          </cell>
          <cell r="BF1458" t="str">
            <v>5700</v>
          </cell>
          <cell r="BG1458" t="str">
            <v>I011</v>
          </cell>
          <cell r="BH1458" t="str">
            <v>EMU</v>
          </cell>
        </row>
        <row r="1459">
          <cell r="K1459">
            <v>0</v>
          </cell>
          <cell r="L1459">
            <v>0</v>
          </cell>
          <cell r="N1459">
            <v>0</v>
          </cell>
          <cell r="O1459">
            <v>0</v>
          </cell>
          <cell r="Q1459">
            <v>0</v>
          </cell>
          <cell r="R1459">
            <v>0</v>
          </cell>
          <cell r="T1459">
            <v>0</v>
          </cell>
          <cell r="U1459">
            <v>0</v>
          </cell>
          <cell r="W1459">
            <v>0</v>
          </cell>
          <cell r="X1459">
            <v>0</v>
          </cell>
          <cell r="Z1459">
            <v>0</v>
          </cell>
          <cell r="AA1459">
            <v>0</v>
          </cell>
          <cell r="AC1459">
            <v>0</v>
          </cell>
          <cell r="AD1459">
            <v>0</v>
          </cell>
          <cell r="AF1459">
            <v>0</v>
          </cell>
          <cell r="AG1459">
            <v>0</v>
          </cell>
          <cell r="AI1459">
            <v>0</v>
          </cell>
          <cell r="AJ1459">
            <v>0</v>
          </cell>
          <cell r="AL1459">
            <v>0</v>
          </cell>
          <cell r="AM1459">
            <v>0</v>
          </cell>
          <cell r="AO1459">
            <v>0</v>
          </cell>
          <cell r="AP1459">
            <v>0</v>
          </cell>
          <cell r="AR1459">
            <v>0</v>
          </cell>
          <cell r="AS1459">
            <v>0</v>
          </cell>
          <cell r="BF1459" t="str">
            <v>5700</v>
          </cell>
          <cell r="BG1459" t="str">
            <v>I012</v>
          </cell>
          <cell r="BH1459" t="str">
            <v>EMU</v>
          </cell>
        </row>
        <row r="1460">
          <cell r="K1460">
            <v>0</v>
          </cell>
          <cell r="L1460">
            <v>0</v>
          </cell>
          <cell r="N1460">
            <v>0</v>
          </cell>
          <cell r="O1460">
            <v>0</v>
          </cell>
          <cell r="Q1460">
            <v>0</v>
          </cell>
          <cell r="R1460">
            <v>0</v>
          </cell>
          <cell r="T1460">
            <v>0</v>
          </cell>
          <cell r="U1460">
            <v>0</v>
          </cell>
          <cell r="W1460">
            <v>0</v>
          </cell>
          <cell r="X1460">
            <v>0</v>
          </cell>
          <cell r="Z1460">
            <v>0</v>
          </cell>
          <cell r="AA1460">
            <v>0</v>
          </cell>
          <cell r="AC1460">
            <v>0</v>
          </cell>
          <cell r="AD1460">
            <v>0</v>
          </cell>
          <cell r="AF1460">
            <v>0</v>
          </cell>
          <cell r="AG1460">
            <v>0</v>
          </cell>
          <cell r="AI1460">
            <v>0</v>
          </cell>
          <cell r="AJ1460">
            <v>0</v>
          </cell>
          <cell r="AL1460">
            <v>0</v>
          </cell>
          <cell r="AM1460">
            <v>0</v>
          </cell>
          <cell r="AO1460">
            <v>0</v>
          </cell>
          <cell r="AP1460">
            <v>0</v>
          </cell>
          <cell r="AR1460">
            <v>0</v>
          </cell>
          <cell r="AS1460">
            <v>0</v>
          </cell>
          <cell r="BF1460" t="str">
            <v>5800</v>
          </cell>
          <cell r="BG1460" t="str">
            <v>J001</v>
          </cell>
          <cell r="BH1460" t="str">
            <v>EMU</v>
          </cell>
        </row>
        <row r="1461">
          <cell r="K1461">
            <v>0</v>
          </cell>
          <cell r="L1461">
            <v>0</v>
          </cell>
          <cell r="N1461">
            <v>0</v>
          </cell>
          <cell r="O1461">
            <v>0</v>
          </cell>
          <cell r="Q1461">
            <v>0</v>
          </cell>
          <cell r="R1461">
            <v>0</v>
          </cell>
          <cell r="T1461">
            <v>0</v>
          </cell>
          <cell r="U1461">
            <v>0</v>
          </cell>
          <cell r="W1461">
            <v>0</v>
          </cell>
          <cell r="X1461">
            <v>0</v>
          </cell>
          <cell r="Z1461">
            <v>0</v>
          </cell>
          <cell r="AA1461">
            <v>0</v>
          </cell>
          <cell r="AC1461">
            <v>0</v>
          </cell>
          <cell r="AD1461">
            <v>0</v>
          </cell>
          <cell r="AF1461">
            <v>0</v>
          </cell>
          <cell r="AG1461">
            <v>0</v>
          </cell>
          <cell r="AI1461">
            <v>0</v>
          </cell>
          <cell r="AJ1461">
            <v>0</v>
          </cell>
          <cell r="AL1461">
            <v>0</v>
          </cell>
          <cell r="AM1461">
            <v>0</v>
          </cell>
          <cell r="AO1461">
            <v>0</v>
          </cell>
          <cell r="AP1461">
            <v>0</v>
          </cell>
          <cell r="AR1461">
            <v>0</v>
          </cell>
          <cell r="AS1461">
            <v>0</v>
          </cell>
          <cell r="BF1461" t="str">
            <v>5800</v>
          </cell>
          <cell r="BG1461" t="str">
            <v>J002</v>
          </cell>
          <cell r="BH1461" t="str">
            <v>EMU</v>
          </cell>
        </row>
        <row r="1462">
          <cell r="K1462">
            <v>0</v>
          </cell>
          <cell r="L1462">
            <v>0</v>
          </cell>
          <cell r="N1462">
            <v>0</v>
          </cell>
          <cell r="O1462">
            <v>0</v>
          </cell>
          <cell r="Q1462">
            <v>0</v>
          </cell>
          <cell r="R1462">
            <v>0</v>
          </cell>
          <cell r="T1462">
            <v>0</v>
          </cell>
          <cell r="U1462">
            <v>0</v>
          </cell>
          <cell r="W1462">
            <v>0</v>
          </cell>
          <cell r="X1462">
            <v>0</v>
          </cell>
          <cell r="Z1462">
            <v>0</v>
          </cell>
          <cell r="AA1462">
            <v>0</v>
          </cell>
          <cell r="AC1462">
            <v>0</v>
          </cell>
          <cell r="AD1462">
            <v>0</v>
          </cell>
          <cell r="AF1462">
            <v>0</v>
          </cell>
          <cell r="AG1462">
            <v>0</v>
          </cell>
          <cell r="AI1462">
            <v>0</v>
          </cell>
          <cell r="AJ1462">
            <v>0</v>
          </cell>
          <cell r="AL1462">
            <v>0</v>
          </cell>
          <cell r="AM1462">
            <v>0</v>
          </cell>
          <cell r="AO1462">
            <v>0</v>
          </cell>
          <cell r="AP1462">
            <v>0</v>
          </cell>
          <cell r="AR1462">
            <v>0</v>
          </cell>
          <cell r="AS1462">
            <v>0</v>
          </cell>
          <cell r="BF1462" t="str">
            <v>5800</v>
          </cell>
          <cell r="BG1462" t="str">
            <v>J003</v>
          </cell>
          <cell r="BH1462" t="str">
            <v>EMU</v>
          </cell>
        </row>
        <row r="1463">
          <cell r="K1463">
            <v>0</v>
          </cell>
          <cell r="L1463">
            <v>0</v>
          </cell>
          <cell r="N1463">
            <v>0</v>
          </cell>
          <cell r="O1463">
            <v>0</v>
          </cell>
          <cell r="Q1463">
            <v>0</v>
          </cell>
          <cell r="R1463">
            <v>0</v>
          </cell>
          <cell r="T1463">
            <v>0</v>
          </cell>
          <cell r="U1463">
            <v>0</v>
          </cell>
          <cell r="W1463">
            <v>0</v>
          </cell>
          <cell r="X1463">
            <v>0</v>
          </cell>
          <cell r="Z1463">
            <v>0</v>
          </cell>
          <cell r="AA1463">
            <v>0</v>
          </cell>
          <cell r="AC1463">
            <v>0</v>
          </cell>
          <cell r="AD1463">
            <v>0</v>
          </cell>
          <cell r="AF1463">
            <v>0</v>
          </cell>
          <cell r="AG1463">
            <v>0</v>
          </cell>
          <cell r="AI1463">
            <v>0</v>
          </cell>
          <cell r="AJ1463">
            <v>0</v>
          </cell>
          <cell r="AL1463">
            <v>0</v>
          </cell>
          <cell r="AM1463">
            <v>0</v>
          </cell>
          <cell r="AO1463">
            <v>0</v>
          </cell>
          <cell r="AP1463">
            <v>0</v>
          </cell>
          <cell r="AR1463">
            <v>0</v>
          </cell>
          <cell r="AS1463">
            <v>0</v>
          </cell>
          <cell r="BF1463" t="str">
            <v>5800</v>
          </cell>
          <cell r="BG1463" t="str">
            <v>J004</v>
          </cell>
          <cell r="BH1463" t="str">
            <v>EMU</v>
          </cell>
        </row>
        <row r="1464">
          <cell r="K1464">
            <v>0</v>
          </cell>
          <cell r="L1464">
            <v>0</v>
          </cell>
          <cell r="N1464">
            <v>0</v>
          </cell>
          <cell r="O1464">
            <v>0</v>
          </cell>
          <cell r="Q1464">
            <v>0</v>
          </cell>
          <cell r="R1464">
            <v>0</v>
          </cell>
          <cell r="T1464">
            <v>0</v>
          </cell>
          <cell r="U1464">
            <v>0</v>
          </cell>
          <cell r="W1464">
            <v>0</v>
          </cell>
          <cell r="X1464">
            <v>0</v>
          </cell>
          <cell r="Z1464">
            <v>0</v>
          </cell>
          <cell r="AA1464">
            <v>0</v>
          </cell>
          <cell r="AC1464">
            <v>0</v>
          </cell>
          <cell r="AD1464">
            <v>0</v>
          </cell>
          <cell r="AF1464">
            <v>0</v>
          </cell>
          <cell r="AG1464">
            <v>0</v>
          </cell>
          <cell r="AI1464">
            <v>0</v>
          </cell>
          <cell r="AJ1464">
            <v>0</v>
          </cell>
          <cell r="AL1464">
            <v>0</v>
          </cell>
          <cell r="AM1464">
            <v>0</v>
          </cell>
          <cell r="AO1464">
            <v>0</v>
          </cell>
          <cell r="AP1464">
            <v>0</v>
          </cell>
          <cell r="AR1464">
            <v>0</v>
          </cell>
          <cell r="AS1464">
            <v>0</v>
          </cell>
          <cell r="BF1464" t="str">
            <v>5800</v>
          </cell>
          <cell r="BG1464" t="str">
            <v>J005</v>
          </cell>
          <cell r="BH1464" t="str">
            <v>EMU</v>
          </cell>
        </row>
        <row r="1465">
          <cell r="K1465">
            <v>0</v>
          </cell>
          <cell r="L1465">
            <v>0</v>
          </cell>
          <cell r="N1465">
            <v>0</v>
          </cell>
          <cell r="O1465">
            <v>0</v>
          </cell>
          <cell r="Q1465">
            <v>0</v>
          </cell>
          <cell r="R1465">
            <v>0</v>
          </cell>
          <cell r="T1465">
            <v>0</v>
          </cell>
          <cell r="U1465">
            <v>0</v>
          </cell>
          <cell r="W1465">
            <v>0</v>
          </cell>
          <cell r="X1465">
            <v>0</v>
          </cell>
          <cell r="Z1465">
            <v>0</v>
          </cell>
          <cell r="AA1465">
            <v>0</v>
          </cell>
          <cell r="AC1465">
            <v>0</v>
          </cell>
          <cell r="AD1465">
            <v>0</v>
          </cell>
          <cell r="AF1465">
            <v>0</v>
          </cell>
          <cell r="AG1465">
            <v>0</v>
          </cell>
          <cell r="AI1465">
            <v>0</v>
          </cell>
          <cell r="AJ1465">
            <v>0</v>
          </cell>
          <cell r="AL1465">
            <v>0</v>
          </cell>
          <cell r="AM1465">
            <v>0</v>
          </cell>
          <cell r="AO1465">
            <v>0</v>
          </cell>
          <cell r="AP1465">
            <v>0</v>
          </cell>
          <cell r="AR1465">
            <v>0</v>
          </cell>
          <cell r="AS1465">
            <v>0</v>
          </cell>
          <cell r="BF1465" t="str">
            <v>5800</v>
          </cell>
          <cell r="BG1465" t="str">
            <v>J006</v>
          </cell>
          <cell r="BH1465" t="str">
            <v>EMU</v>
          </cell>
        </row>
        <row r="1466">
          <cell r="K1466">
            <v>0</v>
          </cell>
          <cell r="L1466">
            <v>0</v>
          </cell>
          <cell r="N1466">
            <v>0</v>
          </cell>
          <cell r="O1466">
            <v>0</v>
          </cell>
          <cell r="Q1466">
            <v>0</v>
          </cell>
          <cell r="R1466">
            <v>0</v>
          </cell>
          <cell r="T1466">
            <v>0</v>
          </cell>
          <cell r="U1466">
            <v>0</v>
          </cell>
          <cell r="W1466">
            <v>0</v>
          </cell>
          <cell r="X1466">
            <v>0</v>
          </cell>
          <cell r="Z1466">
            <v>0</v>
          </cell>
          <cell r="AA1466">
            <v>0</v>
          </cell>
          <cell r="AC1466">
            <v>0</v>
          </cell>
          <cell r="AD1466">
            <v>0</v>
          </cell>
          <cell r="AF1466">
            <v>0</v>
          </cell>
          <cell r="AG1466">
            <v>0</v>
          </cell>
          <cell r="AI1466">
            <v>0</v>
          </cell>
          <cell r="AJ1466">
            <v>0</v>
          </cell>
          <cell r="AL1466">
            <v>0</v>
          </cell>
          <cell r="AM1466">
            <v>0</v>
          </cell>
          <cell r="AO1466">
            <v>0</v>
          </cell>
          <cell r="AP1466">
            <v>0</v>
          </cell>
          <cell r="AR1466">
            <v>0</v>
          </cell>
          <cell r="AS1466">
            <v>0</v>
          </cell>
          <cell r="BF1466" t="str">
            <v>5800</v>
          </cell>
          <cell r="BG1466" t="str">
            <v>J007</v>
          </cell>
          <cell r="BH1466" t="str">
            <v>EMU</v>
          </cell>
        </row>
        <row r="1467">
          <cell r="K1467">
            <v>0</v>
          </cell>
          <cell r="L1467">
            <v>0</v>
          </cell>
          <cell r="N1467">
            <v>0</v>
          </cell>
          <cell r="O1467">
            <v>0</v>
          </cell>
          <cell r="Q1467">
            <v>0</v>
          </cell>
          <cell r="R1467">
            <v>0</v>
          </cell>
          <cell r="T1467">
            <v>0</v>
          </cell>
          <cell r="U1467">
            <v>0</v>
          </cell>
          <cell r="W1467">
            <v>0</v>
          </cell>
          <cell r="X1467">
            <v>0</v>
          </cell>
          <cell r="Z1467">
            <v>0</v>
          </cell>
          <cell r="AA1467">
            <v>0</v>
          </cell>
          <cell r="AC1467">
            <v>0</v>
          </cell>
          <cell r="AD1467">
            <v>0</v>
          </cell>
          <cell r="AF1467">
            <v>0</v>
          </cell>
          <cell r="AG1467">
            <v>0</v>
          </cell>
          <cell r="AI1467">
            <v>0</v>
          </cell>
          <cell r="AJ1467">
            <v>0</v>
          </cell>
          <cell r="AL1467">
            <v>0</v>
          </cell>
          <cell r="AM1467">
            <v>0</v>
          </cell>
          <cell r="AO1467">
            <v>0</v>
          </cell>
          <cell r="AP1467">
            <v>0</v>
          </cell>
          <cell r="AR1467">
            <v>0</v>
          </cell>
          <cell r="AS1467">
            <v>0</v>
          </cell>
          <cell r="BF1467" t="str">
            <v>5801</v>
          </cell>
          <cell r="BG1467" t="str">
            <v>J008</v>
          </cell>
          <cell r="BH1467" t="str">
            <v>EMU</v>
          </cell>
        </row>
        <row r="1468">
          <cell r="K1468">
            <v>0</v>
          </cell>
          <cell r="L1468">
            <v>0</v>
          </cell>
          <cell r="N1468">
            <v>0</v>
          </cell>
          <cell r="O1468">
            <v>0</v>
          </cell>
          <cell r="Q1468">
            <v>0</v>
          </cell>
          <cell r="R1468">
            <v>0</v>
          </cell>
          <cell r="T1468">
            <v>0</v>
          </cell>
          <cell r="U1468">
            <v>0</v>
          </cell>
          <cell r="W1468">
            <v>0</v>
          </cell>
          <cell r="X1468">
            <v>0</v>
          </cell>
          <cell r="Z1468">
            <v>0</v>
          </cell>
          <cell r="AA1468">
            <v>0</v>
          </cell>
          <cell r="AC1468">
            <v>0</v>
          </cell>
          <cell r="AD1468">
            <v>0</v>
          </cell>
          <cell r="AF1468">
            <v>0</v>
          </cell>
          <cell r="AG1468">
            <v>0</v>
          </cell>
          <cell r="AI1468">
            <v>0</v>
          </cell>
          <cell r="AJ1468">
            <v>0</v>
          </cell>
          <cell r="AL1468">
            <v>0</v>
          </cell>
          <cell r="AM1468">
            <v>0</v>
          </cell>
          <cell r="AO1468">
            <v>0</v>
          </cell>
          <cell r="AP1468">
            <v>0</v>
          </cell>
          <cell r="AR1468">
            <v>0</v>
          </cell>
          <cell r="AS1468">
            <v>0</v>
          </cell>
          <cell r="BF1468" t="str">
            <v>5801</v>
          </cell>
          <cell r="BG1468" t="str">
            <v>J009</v>
          </cell>
          <cell r="BH1468" t="str">
            <v>EMU</v>
          </cell>
        </row>
        <row r="1469">
          <cell r="K1469">
            <v>0</v>
          </cell>
          <cell r="L1469">
            <v>0</v>
          </cell>
          <cell r="N1469">
            <v>0</v>
          </cell>
          <cell r="O1469">
            <v>0</v>
          </cell>
          <cell r="Q1469">
            <v>0</v>
          </cell>
          <cell r="R1469">
            <v>0</v>
          </cell>
          <cell r="T1469">
            <v>0</v>
          </cell>
          <cell r="U1469">
            <v>0</v>
          </cell>
          <cell r="W1469">
            <v>0</v>
          </cell>
          <cell r="X1469">
            <v>0</v>
          </cell>
          <cell r="Z1469">
            <v>0</v>
          </cell>
          <cell r="AA1469">
            <v>0</v>
          </cell>
          <cell r="AC1469">
            <v>0</v>
          </cell>
          <cell r="AD1469">
            <v>0</v>
          </cell>
          <cell r="AF1469">
            <v>0</v>
          </cell>
          <cell r="AG1469">
            <v>0</v>
          </cell>
          <cell r="AI1469">
            <v>0</v>
          </cell>
          <cell r="AJ1469">
            <v>0</v>
          </cell>
          <cell r="AL1469">
            <v>0</v>
          </cell>
          <cell r="AM1469">
            <v>0</v>
          </cell>
          <cell r="AO1469">
            <v>0</v>
          </cell>
          <cell r="AP1469">
            <v>0</v>
          </cell>
          <cell r="AR1469">
            <v>0</v>
          </cell>
          <cell r="AS1469">
            <v>0</v>
          </cell>
          <cell r="BF1469" t="str">
            <v>6000</v>
          </cell>
          <cell r="BG1469" t="str">
            <v>K001</v>
          </cell>
          <cell r="BH1469" t="str">
            <v>EMU</v>
          </cell>
        </row>
        <row r="1470">
          <cell r="K1470">
            <v>0</v>
          </cell>
          <cell r="L1470">
            <v>0</v>
          </cell>
          <cell r="N1470">
            <v>0</v>
          </cell>
          <cell r="O1470">
            <v>0</v>
          </cell>
          <cell r="Q1470">
            <v>0</v>
          </cell>
          <cell r="R1470">
            <v>0</v>
          </cell>
          <cell r="T1470">
            <v>0</v>
          </cell>
          <cell r="U1470">
            <v>0</v>
          </cell>
          <cell r="W1470">
            <v>0</v>
          </cell>
          <cell r="X1470">
            <v>0</v>
          </cell>
          <cell r="Z1470">
            <v>0</v>
          </cell>
          <cell r="AA1470">
            <v>0</v>
          </cell>
          <cell r="AC1470">
            <v>0</v>
          </cell>
          <cell r="AD1470">
            <v>0</v>
          </cell>
          <cell r="AF1470">
            <v>0</v>
          </cell>
          <cell r="AG1470">
            <v>0</v>
          </cell>
          <cell r="AI1470">
            <v>0</v>
          </cell>
          <cell r="AJ1470">
            <v>0</v>
          </cell>
          <cell r="AL1470">
            <v>0</v>
          </cell>
          <cell r="AM1470">
            <v>0</v>
          </cell>
          <cell r="AO1470">
            <v>0</v>
          </cell>
          <cell r="AP1470">
            <v>0</v>
          </cell>
          <cell r="AR1470">
            <v>0</v>
          </cell>
          <cell r="AS1470">
            <v>0</v>
          </cell>
          <cell r="BF1470" t="str">
            <v>6000</v>
          </cell>
          <cell r="BG1470" t="str">
            <v>K002</v>
          </cell>
          <cell r="BH1470" t="str">
            <v>EMU</v>
          </cell>
        </row>
        <row r="1471">
          <cell r="K1471">
            <v>0</v>
          </cell>
          <cell r="L1471">
            <v>0</v>
          </cell>
          <cell r="N1471">
            <v>0</v>
          </cell>
          <cell r="O1471">
            <v>0</v>
          </cell>
          <cell r="Q1471">
            <v>0</v>
          </cell>
          <cell r="R1471">
            <v>0</v>
          </cell>
          <cell r="T1471">
            <v>0</v>
          </cell>
          <cell r="U1471">
            <v>0</v>
          </cell>
          <cell r="W1471">
            <v>0</v>
          </cell>
          <cell r="X1471">
            <v>0</v>
          </cell>
          <cell r="Z1471">
            <v>-64400</v>
          </cell>
          <cell r="AA1471">
            <v>0</v>
          </cell>
          <cell r="AC1471">
            <v>0</v>
          </cell>
          <cell r="AD1471">
            <v>0</v>
          </cell>
          <cell r="AF1471">
            <v>18500</v>
          </cell>
          <cell r="AG1471">
            <v>0</v>
          </cell>
          <cell r="AI1471">
            <v>41000</v>
          </cell>
          <cell r="AJ1471">
            <v>0</v>
          </cell>
          <cell r="AL1471">
            <v>295400</v>
          </cell>
          <cell r="AM1471">
            <v>0</v>
          </cell>
          <cell r="AO1471">
            <v>301995</v>
          </cell>
          <cell r="AP1471">
            <v>0</v>
          </cell>
          <cell r="AR1471">
            <v>114000</v>
          </cell>
          <cell r="AS1471">
            <v>0</v>
          </cell>
          <cell r="BF1471" t="str">
            <v>6100</v>
          </cell>
          <cell r="BG1471" t="str">
            <v>K001</v>
          </cell>
          <cell r="BH1471" t="str">
            <v>EMU</v>
          </cell>
        </row>
        <row r="1472">
          <cell r="K1472">
            <v>-45598.44</v>
          </cell>
          <cell r="L1472">
            <v>0</v>
          </cell>
          <cell r="N1472">
            <v>-45598.439999999944</v>
          </cell>
          <cell r="O1472">
            <v>0</v>
          </cell>
          <cell r="Q1472">
            <v>-44127.520000000077</v>
          </cell>
          <cell r="R1472">
            <v>0</v>
          </cell>
          <cell r="T1472">
            <v>-45598.439999999944</v>
          </cell>
          <cell r="U1472">
            <v>0</v>
          </cell>
          <cell r="W1472">
            <v>-44127.520000000019</v>
          </cell>
          <cell r="X1472">
            <v>0</v>
          </cell>
          <cell r="Z1472">
            <v>-35474.599999999977</v>
          </cell>
          <cell r="AA1472">
            <v>0</v>
          </cell>
          <cell r="AC1472">
            <v>-44504.520000000019</v>
          </cell>
          <cell r="AD1472">
            <v>0</v>
          </cell>
          <cell r="AF1472">
            <v>-40359.819999999949</v>
          </cell>
          <cell r="AG1472">
            <v>0</v>
          </cell>
          <cell r="AI1472">
            <v>-45425.339999999967</v>
          </cell>
          <cell r="AJ1472">
            <v>0</v>
          </cell>
          <cell r="AL1472">
            <v>-45283.349999999977</v>
          </cell>
          <cell r="AM1472">
            <v>0</v>
          </cell>
          <cell r="AO1472">
            <v>-52527.469999999972</v>
          </cell>
          <cell r="AP1472">
            <v>0</v>
          </cell>
          <cell r="AR1472">
            <v>-54496.199999999953</v>
          </cell>
          <cell r="AS1472">
            <v>0</v>
          </cell>
          <cell r="BF1472" t="str">
            <v>6100</v>
          </cell>
          <cell r="BG1472" t="str">
            <v>K002</v>
          </cell>
          <cell r="BH1472" t="str">
            <v>EMU</v>
          </cell>
        </row>
        <row r="1473">
          <cell r="K1473">
            <v>403450</v>
          </cell>
          <cell r="L1473">
            <v>0</v>
          </cell>
          <cell r="N1473">
            <v>0</v>
          </cell>
          <cell r="O1473">
            <v>0</v>
          </cell>
          <cell r="Q1473">
            <v>19000</v>
          </cell>
          <cell r="R1473">
            <v>0</v>
          </cell>
          <cell r="T1473">
            <v>19000</v>
          </cell>
          <cell r="U1473">
            <v>0</v>
          </cell>
          <cell r="W1473">
            <v>0</v>
          </cell>
          <cell r="X1473">
            <v>0</v>
          </cell>
          <cell r="Z1473">
            <v>-713314.25</v>
          </cell>
          <cell r="AA1473">
            <v>0</v>
          </cell>
          <cell r="AC1473">
            <v>38000</v>
          </cell>
          <cell r="AD1473">
            <v>0</v>
          </cell>
          <cell r="AF1473">
            <v>0</v>
          </cell>
          <cell r="AG1473">
            <v>0</v>
          </cell>
          <cell r="AI1473">
            <v>62400</v>
          </cell>
          <cell r="AJ1473">
            <v>0</v>
          </cell>
          <cell r="AL1473">
            <v>368000</v>
          </cell>
          <cell r="AM1473">
            <v>0</v>
          </cell>
          <cell r="AO1473">
            <v>93895</v>
          </cell>
          <cell r="AP1473">
            <v>0</v>
          </cell>
          <cell r="AR1473">
            <v>423999.6799999997</v>
          </cell>
          <cell r="AS1473">
            <v>0</v>
          </cell>
          <cell r="BF1473" t="str">
            <v>6200</v>
          </cell>
          <cell r="BG1473" t="str">
            <v>K001</v>
          </cell>
          <cell r="BH1473" t="str">
            <v>EMU</v>
          </cell>
        </row>
        <row r="1474">
          <cell r="K1474">
            <v>-79391.410000000033</v>
          </cell>
          <cell r="L1474">
            <v>0</v>
          </cell>
          <cell r="N1474">
            <v>-83192.88</v>
          </cell>
          <cell r="O1474">
            <v>0</v>
          </cell>
          <cell r="Q1474">
            <v>-80540.469999999856</v>
          </cell>
          <cell r="R1474">
            <v>0</v>
          </cell>
          <cell r="T1474">
            <v>-83442.739999999991</v>
          </cell>
          <cell r="U1474">
            <v>0</v>
          </cell>
          <cell r="W1474">
            <v>-80977.729999999981</v>
          </cell>
          <cell r="X1474">
            <v>0</v>
          </cell>
          <cell r="Z1474">
            <v>-4372.5000000002328</v>
          </cell>
          <cell r="AA1474">
            <v>0</v>
          </cell>
          <cell r="AC1474">
            <v>-74839.419999999925</v>
          </cell>
          <cell r="AD1474">
            <v>0</v>
          </cell>
          <cell r="AF1474">
            <v>-67808.479999999981</v>
          </cell>
          <cell r="AG1474">
            <v>0</v>
          </cell>
          <cell r="AI1474">
            <v>-75331.260000000009</v>
          </cell>
          <cell r="AJ1474">
            <v>0</v>
          </cell>
          <cell r="AL1474">
            <v>-75934.679999999935</v>
          </cell>
          <cell r="AM1474">
            <v>0</v>
          </cell>
          <cell r="AO1474">
            <v>-80919.320000000065</v>
          </cell>
          <cell r="AP1474">
            <v>0</v>
          </cell>
          <cell r="AR1474">
            <v>-80736.669999999925</v>
          </cell>
          <cell r="AS1474">
            <v>0</v>
          </cell>
          <cell r="BF1474" t="str">
            <v>6200</v>
          </cell>
          <cell r="BG1474" t="str">
            <v>K002</v>
          </cell>
          <cell r="BH1474" t="str">
            <v>EMU</v>
          </cell>
        </row>
        <row r="1475">
          <cell r="K1475">
            <v>0</v>
          </cell>
          <cell r="L1475">
            <v>0</v>
          </cell>
          <cell r="N1475">
            <v>0</v>
          </cell>
          <cell r="O1475">
            <v>0</v>
          </cell>
          <cell r="Q1475">
            <v>0</v>
          </cell>
          <cell r="R1475">
            <v>0</v>
          </cell>
          <cell r="T1475">
            <v>0</v>
          </cell>
          <cell r="U1475">
            <v>0</v>
          </cell>
          <cell r="W1475">
            <v>0</v>
          </cell>
          <cell r="X1475">
            <v>0</v>
          </cell>
          <cell r="Z1475">
            <v>0</v>
          </cell>
          <cell r="AA1475">
            <v>0</v>
          </cell>
          <cell r="AC1475">
            <v>0</v>
          </cell>
          <cell r="AD1475">
            <v>0</v>
          </cell>
          <cell r="AF1475">
            <v>0</v>
          </cell>
          <cell r="AG1475">
            <v>0</v>
          </cell>
          <cell r="AI1475">
            <v>0</v>
          </cell>
          <cell r="AJ1475">
            <v>0</v>
          </cell>
          <cell r="AL1475">
            <v>190680</v>
          </cell>
          <cell r="AM1475">
            <v>0</v>
          </cell>
          <cell r="AO1475">
            <v>762720</v>
          </cell>
          <cell r="AP1475">
            <v>0</v>
          </cell>
          <cell r="AR1475">
            <v>0</v>
          </cell>
          <cell r="AS1475">
            <v>0</v>
          </cell>
          <cell r="BF1475" t="str">
            <v>6300</v>
          </cell>
          <cell r="BG1475" t="str">
            <v>K001</v>
          </cell>
          <cell r="BH1475" t="str">
            <v>EMU</v>
          </cell>
        </row>
        <row r="1476">
          <cell r="K1476">
            <v>-171709.85000000009</v>
          </cell>
          <cell r="L1476">
            <v>0</v>
          </cell>
          <cell r="N1476">
            <v>-171709.85000000009</v>
          </cell>
          <cell r="O1476">
            <v>0</v>
          </cell>
          <cell r="Q1476">
            <v>-166170.82000000007</v>
          </cell>
          <cell r="R1476">
            <v>0</v>
          </cell>
          <cell r="T1476">
            <v>-171709.85000000009</v>
          </cell>
          <cell r="U1476">
            <v>0</v>
          </cell>
          <cell r="W1476">
            <v>-166170.81999999983</v>
          </cell>
          <cell r="X1476">
            <v>0</v>
          </cell>
          <cell r="Z1476">
            <v>-171709.85000000033</v>
          </cell>
          <cell r="AA1476">
            <v>0</v>
          </cell>
          <cell r="AC1476">
            <v>-171709.84999999963</v>
          </cell>
          <cell r="AD1476">
            <v>0</v>
          </cell>
          <cell r="AF1476">
            <v>-155092.77000000048</v>
          </cell>
          <cell r="AG1476">
            <v>0</v>
          </cell>
          <cell r="AI1476">
            <v>-171709.84999999963</v>
          </cell>
          <cell r="AJ1476">
            <v>0</v>
          </cell>
          <cell r="AL1476">
            <v>-166170.8200000003</v>
          </cell>
          <cell r="AM1476">
            <v>0</v>
          </cell>
          <cell r="AO1476">
            <v>-171709.84999999963</v>
          </cell>
          <cell r="AP1476">
            <v>0</v>
          </cell>
          <cell r="AR1476">
            <v>-236696.29999999981</v>
          </cell>
          <cell r="AS1476">
            <v>0</v>
          </cell>
          <cell r="BF1476" t="str">
            <v>6300</v>
          </cell>
          <cell r="BG1476" t="str">
            <v>K002</v>
          </cell>
          <cell r="BH1476" t="str">
            <v>EMU</v>
          </cell>
        </row>
        <row r="1477">
          <cell r="K1477">
            <v>0</v>
          </cell>
          <cell r="L1477">
            <v>0</v>
          </cell>
          <cell r="N1477">
            <v>0</v>
          </cell>
          <cell r="O1477">
            <v>0</v>
          </cell>
          <cell r="Q1477">
            <v>0</v>
          </cell>
          <cell r="R1477">
            <v>0</v>
          </cell>
          <cell r="T1477">
            <v>0</v>
          </cell>
          <cell r="U1477">
            <v>0</v>
          </cell>
          <cell r="W1477">
            <v>0</v>
          </cell>
          <cell r="X1477">
            <v>0</v>
          </cell>
          <cell r="Z1477">
            <v>0</v>
          </cell>
          <cell r="AA1477">
            <v>0</v>
          </cell>
          <cell r="AC1477">
            <v>0</v>
          </cell>
          <cell r="AD1477">
            <v>0</v>
          </cell>
          <cell r="AF1477">
            <v>0</v>
          </cell>
          <cell r="AG1477">
            <v>0</v>
          </cell>
          <cell r="AI1477">
            <v>25000</v>
          </cell>
          <cell r="AJ1477">
            <v>0</v>
          </cell>
          <cell r="AL1477">
            <v>378000</v>
          </cell>
          <cell r="AM1477">
            <v>0</v>
          </cell>
          <cell r="AO1477">
            <v>152294</v>
          </cell>
          <cell r="AP1477">
            <v>0</v>
          </cell>
          <cell r="AR1477">
            <v>0</v>
          </cell>
          <cell r="AS1477">
            <v>0</v>
          </cell>
          <cell r="BF1477" t="str">
            <v>6400</v>
          </cell>
          <cell r="BG1477" t="str">
            <v>K001</v>
          </cell>
          <cell r="BH1477" t="str">
            <v>EMU</v>
          </cell>
        </row>
        <row r="1478">
          <cell r="K1478">
            <v>-34990.31</v>
          </cell>
          <cell r="L1478">
            <v>0</v>
          </cell>
          <cell r="N1478">
            <v>-34990.31</v>
          </cell>
          <cell r="O1478">
            <v>0</v>
          </cell>
          <cell r="Q1478">
            <v>-33861.589999999967</v>
          </cell>
          <cell r="R1478">
            <v>0</v>
          </cell>
          <cell r="T1478">
            <v>-34990.309999999939</v>
          </cell>
          <cell r="U1478">
            <v>0</v>
          </cell>
          <cell r="W1478">
            <v>-33861.590000000026</v>
          </cell>
          <cell r="X1478">
            <v>0</v>
          </cell>
          <cell r="Z1478">
            <v>-34990.309999999939</v>
          </cell>
          <cell r="AA1478">
            <v>0</v>
          </cell>
          <cell r="AC1478">
            <v>-34990.310000000056</v>
          </cell>
          <cell r="AD1478">
            <v>0</v>
          </cell>
          <cell r="AF1478">
            <v>-31604.150000000023</v>
          </cell>
          <cell r="AG1478">
            <v>0</v>
          </cell>
          <cell r="AI1478">
            <v>-35351.949999999953</v>
          </cell>
          <cell r="AJ1478">
            <v>0</v>
          </cell>
          <cell r="AL1478">
            <v>-39881.150000000023</v>
          </cell>
          <cell r="AM1478">
            <v>0</v>
          </cell>
          <cell r="AO1478">
            <v>-47574.810000000056</v>
          </cell>
          <cell r="AP1478">
            <v>0</v>
          </cell>
          <cell r="AR1478">
            <v>-48922.989999999991</v>
          </cell>
          <cell r="AS1478">
            <v>0</v>
          </cell>
          <cell r="BF1478" t="str">
            <v>6400</v>
          </cell>
          <cell r="BG1478" t="str">
            <v>K002</v>
          </cell>
          <cell r="BH1478" t="str">
            <v>EMU</v>
          </cell>
        </row>
        <row r="1479">
          <cell r="K1479">
            <v>0</v>
          </cell>
          <cell r="L1479">
            <v>0</v>
          </cell>
          <cell r="N1479">
            <v>0</v>
          </cell>
          <cell r="O1479">
            <v>0</v>
          </cell>
          <cell r="Q1479">
            <v>0</v>
          </cell>
          <cell r="R1479">
            <v>0</v>
          </cell>
          <cell r="T1479">
            <v>0</v>
          </cell>
          <cell r="U1479">
            <v>0</v>
          </cell>
          <cell r="W1479">
            <v>0</v>
          </cell>
          <cell r="X1479">
            <v>0</v>
          </cell>
          <cell r="Z1479">
            <v>0</v>
          </cell>
          <cell r="AA1479">
            <v>0</v>
          </cell>
          <cell r="AC1479">
            <v>0</v>
          </cell>
          <cell r="AD1479">
            <v>0</v>
          </cell>
          <cell r="AF1479">
            <v>184007.32000000007</v>
          </cell>
          <cell r="AG1479">
            <v>0</v>
          </cell>
          <cell r="AI1479">
            <v>0</v>
          </cell>
          <cell r="AJ1479">
            <v>0</v>
          </cell>
          <cell r="AL1479">
            <v>0</v>
          </cell>
          <cell r="AM1479">
            <v>0</v>
          </cell>
          <cell r="AO1479">
            <v>37500</v>
          </cell>
          <cell r="AP1479">
            <v>0</v>
          </cell>
          <cell r="AR1479">
            <v>0</v>
          </cell>
          <cell r="AS1479">
            <v>0</v>
          </cell>
          <cell r="BF1479" t="str">
            <v>6500</v>
          </cell>
          <cell r="BG1479" t="str">
            <v>K001</v>
          </cell>
          <cell r="BH1479" t="str">
            <v>EMU</v>
          </cell>
        </row>
        <row r="1480">
          <cell r="K1480">
            <v>-11704.740000000005</v>
          </cell>
          <cell r="L1480">
            <v>0</v>
          </cell>
          <cell r="N1480">
            <v>-11704.740000000005</v>
          </cell>
          <cell r="O1480">
            <v>0</v>
          </cell>
          <cell r="Q1480">
            <v>-11327.169999999998</v>
          </cell>
          <cell r="R1480">
            <v>0</v>
          </cell>
          <cell r="T1480">
            <v>-11704.740000000005</v>
          </cell>
          <cell r="U1480">
            <v>0</v>
          </cell>
          <cell r="W1480">
            <v>-11327.169999999998</v>
          </cell>
          <cell r="X1480">
            <v>0</v>
          </cell>
          <cell r="Z1480">
            <v>-11704.740000000005</v>
          </cell>
          <cell r="AA1480">
            <v>0</v>
          </cell>
          <cell r="AC1480">
            <v>-11704.739999999991</v>
          </cell>
          <cell r="AD1480">
            <v>0</v>
          </cell>
          <cell r="AF1480">
            <v>-13899.279999999999</v>
          </cell>
          <cell r="AG1480">
            <v>0</v>
          </cell>
          <cell r="AI1480">
            <v>-16393.149999999994</v>
          </cell>
          <cell r="AJ1480">
            <v>0</v>
          </cell>
          <cell r="AL1480">
            <v>-15864.339999999997</v>
          </cell>
          <cell r="AM1480">
            <v>0</v>
          </cell>
          <cell r="AO1480">
            <v>-16423.97</v>
          </cell>
          <cell r="AP1480">
            <v>0</v>
          </cell>
          <cell r="AR1480">
            <v>-16789</v>
          </cell>
          <cell r="AS1480">
            <v>0</v>
          </cell>
          <cell r="BF1480" t="str">
            <v>6500</v>
          </cell>
          <cell r="BG1480" t="str">
            <v>K002</v>
          </cell>
          <cell r="BH1480" t="str">
            <v>EMU</v>
          </cell>
        </row>
        <row r="1481">
          <cell r="K1481">
            <v>0</v>
          </cell>
          <cell r="L1481">
            <v>0</v>
          </cell>
          <cell r="N1481">
            <v>0</v>
          </cell>
          <cell r="O1481">
            <v>0</v>
          </cell>
          <cell r="Q1481">
            <v>0</v>
          </cell>
          <cell r="R1481">
            <v>0</v>
          </cell>
          <cell r="T1481">
            <v>0</v>
          </cell>
          <cell r="U1481">
            <v>0</v>
          </cell>
          <cell r="W1481">
            <v>0</v>
          </cell>
          <cell r="X1481">
            <v>0</v>
          </cell>
          <cell r="Z1481">
            <v>0</v>
          </cell>
          <cell r="AA1481">
            <v>0</v>
          </cell>
          <cell r="AC1481">
            <v>0</v>
          </cell>
          <cell r="AD1481">
            <v>0</v>
          </cell>
          <cell r="AF1481">
            <v>0</v>
          </cell>
          <cell r="AG1481">
            <v>0</v>
          </cell>
          <cell r="AI1481">
            <v>0</v>
          </cell>
          <cell r="AJ1481">
            <v>0</v>
          </cell>
          <cell r="AL1481">
            <v>2710000</v>
          </cell>
          <cell r="AM1481">
            <v>0</v>
          </cell>
          <cell r="AO1481">
            <v>0</v>
          </cell>
          <cell r="AP1481">
            <v>0</v>
          </cell>
          <cell r="AR1481">
            <v>0</v>
          </cell>
          <cell r="AS1481">
            <v>0</v>
          </cell>
          <cell r="BF1481" t="str">
            <v>6600</v>
          </cell>
          <cell r="BG1481" t="str">
            <v>K001</v>
          </cell>
          <cell r="BH1481" t="str">
            <v>EMU</v>
          </cell>
        </row>
        <row r="1482">
          <cell r="K1482">
            <v>0</v>
          </cell>
          <cell r="L1482">
            <v>0</v>
          </cell>
          <cell r="N1482">
            <v>0</v>
          </cell>
          <cell r="O1482">
            <v>0</v>
          </cell>
          <cell r="Q1482">
            <v>0</v>
          </cell>
          <cell r="R1482">
            <v>0</v>
          </cell>
          <cell r="T1482">
            <v>0</v>
          </cell>
          <cell r="U1482">
            <v>0</v>
          </cell>
          <cell r="W1482">
            <v>0</v>
          </cell>
          <cell r="X1482">
            <v>0</v>
          </cell>
          <cell r="Z1482">
            <v>0</v>
          </cell>
          <cell r="AA1482">
            <v>0</v>
          </cell>
          <cell r="AC1482">
            <v>0</v>
          </cell>
          <cell r="AD1482">
            <v>0</v>
          </cell>
          <cell r="AF1482">
            <v>0</v>
          </cell>
          <cell r="AG1482">
            <v>0</v>
          </cell>
          <cell r="AI1482">
            <v>0</v>
          </cell>
          <cell r="AJ1482">
            <v>0</v>
          </cell>
          <cell r="AL1482">
            <v>-22432.880000000001</v>
          </cell>
          <cell r="AM1482">
            <v>0</v>
          </cell>
          <cell r="AO1482">
            <v>-46032.87999999999</v>
          </cell>
          <cell r="AP1482">
            <v>0</v>
          </cell>
          <cell r="AR1482">
            <v>-44547.94</v>
          </cell>
          <cell r="AS1482">
            <v>0</v>
          </cell>
          <cell r="BF1482" t="str">
            <v>6600</v>
          </cell>
          <cell r="BG1482" t="str">
            <v>K002</v>
          </cell>
          <cell r="BH1482" t="str">
            <v>EMU</v>
          </cell>
        </row>
        <row r="1483">
          <cell r="K1483">
            <v>1058304.9299999997</v>
          </cell>
          <cell r="L1483">
            <v>0</v>
          </cell>
          <cell r="N1483">
            <v>-410386.21999999881</v>
          </cell>
          <cell r="O1483">
            <v>0</v>
          </cell>
          <cell r="Q1483">
            <v>124833.38000000268</v>
          </cell>
          <cell r="R1483">
            <v>0</v>
          </cell>
          <cell r="T1483">
            <v>-402344.08999999985</v>
          </cell>
          <cell r="U1483">
            <v>0</v>
          </cell>
          <cell r="W1483">
            <v>472942.84000000171</v>
          </cell>
          <cell r="X1483">
            <v>0</v>
          </cell>
          <cell r="Z1483">
            <v>-465663.99000000209</v>
          </cell>
          <cell r="AA1483">
            <v>0</v>
          </cell>
          <cell r="AC1483">
            <v>202397.51999999955</v>
          </cell>
          <cell r="AD1483">
            <v>0</v>
          </cell>
          <cell r="AF1483">
            <v>676005.95000000298</v>
          </cell>
          <cell r="AG1483">
            <v>0</v>
          </cell>
          <cell r="AI1483">
            <v>-319843.64999999851</v>
          </cell>
          <cell r="AJ1483">
            <v>0</v>
          </cell>
          <cell r="AL1483">
            <v>2701810.2300000004</v>
          </cell>
          <cell r="AM1483">
            <v>0</v>
          </cell>
          <cell r="AO1483">
            <v>-1326898.0900000036</v>
          </cell>
          <cell r="AP1483">
            <v>0</v>
          </cell>
          <cell r="AR1483">
            <v>-1283688.9899999984</v>
          </cell>
          <cell r="AS1483">
            <v>0</v>
          </cell>
          <cell r="BF1483" t="str">
            <v>7000</v>
          </cell>
          <cell r="BG1483" t="str">
            <v>Z000</v>
          </cell>
          <cell r="BH1483" t="str">
            <v>EMU</v>
          </cell>
        </row>
        <row r="1484">
          <cell r="K1484">
            <v>0</v>
          </cell>
          <cell r="L1484">
            <v>0</v>
          </cell>
          <cell r="N1484">
            <v>0</v>
          </cell>
          <cell r="O1484">
            <v>0</v>
          </cell>
          <cell r="Q1484">
            <v>0</v>
          </cell>
          <cell r="R1484">
            <v>0</v>
          </cell>
          <cell r="T1484">
            <v>0</v>
          </cell>
          <cell r="U1484">
            <v>0</v>
          </cell>
          <cell r="W1484">
            <v>0</v>
          </cell>
          <cell r="X1484">
            <v>0</v>
          </cell>
          <cell r="Z1484">
            <v>0</v>
          </cell>
          <cell r="AA1484">
            <v>0</v>
          </cell>
          <cell r="AC1484">
            <v>0</v>
          </cell>
          <cell r="AD1484">
            <v>0</v>
          </cell>
          <cell r="AF1484">
            <v>0</v>
          </cell>
          <cell r="AG1484">
            <v>0</v>
          </cell>
          <cell r="AI1484">
            <v>0</v>
          </cell>
          <cell r="AJ1484">
            <v>0</v>
          </cell>
          <cell r="AL1484">
            <v>0</v>
          </cell>
          <cell r="AM1484">
            <v>0</v>
          </cell>
          <cell r="AO1484">
            <v>0</v>
          </cell>
          <cell r="AP1484">
            <v>0</v>
          </cell>
          <cell r="AR1484">
            <v>0</v>
          </cell>
          <cell r="AS1484">
            <v>0</v>
          </cell>
          <cell r="BF1484" t="str">
            <v>7100</v>
          </cell>
          <cell r="BG1484" t="str">
            <v>Z000</v>
          </cell>
          <cell r="BH1484" t="str">
            <v>EMU</v>
          </cell>
        </row>
        <row r="1485">
          <cell r="K1485">
            <v>10000</v>
          </cell>
          <cell r="L1485">
            <v>0</v>
          </cell>
          <cell r="N1485">
            <v>-6667</v>
          </cell>
          <cell r="O1485">
            <v>0</v>
          </cell>
          <cell r="Q1485">
            <v>-31667</v>
          </cell>
          <cell r="R1485">
            <v>0</v>
          </cell>
          <cell r="T1485">
            <v>41667.000000000466</v>
          </cell>
          <cell r="U1485">
            <v>0</v>
          </cell>
          <cell r="W1485">
            <v>-34917</v>
          </cell>
          <cell r="X1485">
            <v>0</v>
          </cell>
          <cell r="Z1485">
            <v>86584</v>
          </cell>
          <cell r="AA1485">
            <v>0</v>
          </cell>
          <cell r="AC1485">
            <v>-72512</v>
          </cell>
          <cell r="AD1485">
            <v>0</v>
          </cell>
          <cell r="AF1485">
            <v>0</v>
          </cell>
          <cell r="AG1485">
            <v>0</v>
          </cell>
          <cell r="AI1485">
            <v>0</v>
          </cell>
          <cell r="AJ1485">
            <v>0</v>
          </cell>
          <cell r="AL1485">
            <v>10000</v>
          </cell>
          <cell r="AM1485">
            <v>0</v>
          </cell>
          <cell r="AO1485">
            <v>0</v>
          </cell>
          <cell r="AP1485">
            <v>0</v>
          </cell>
          <cell r="AR1485">
            <v>-62488</v>
          </cell>
          <cell r="AS1485">
            <v>0</v>
          </cell>
          <cell r="BF1485" t="str">
            <v>7300</v>
          </cell>
          <cell r="BG1485" t="str">
            <v>Z000</v>
          </cell>
          <cell r="BH1485" t="str">
            <v>EMU</v>
          </cell>
        </row>
        <row r="1486">
          <cell r="K1486">
            <v>-426666.66999999993</v>
          </cell>
          <cell r="L1486">
            <v>0</v>
          </cell>
          <cell r="N1486">
            <v>-126666.66999999993</v>
          </cell>
          <cell r="O1486">
            <v>0</v>
          </cell>
          <cell r="Q1486">
            <v>-126666.66999999993</v>
          </cell>
          <cell r="R1486">
            <v>0</v>
          </cell>
          <cell r="T1486">
            <v>100000</v>
          </cell>
          <cell r="U1486">
            <v>0</v>
          </cell>
          <cell r="W1486">
            <v>5000</v>
          </cell>
          <cell r="X1486">
            <v>0</v>
          </cell>
          <cell r="Z1486">
            <v>-161000</v>
          </cell>
          <cell r="AA1486">
            <v>0</v>
          </cell>
          <cell r="AC1486">
            <v>18000</v>
          </cell>
          <cell r="AD1486">
            <v>0</v>
          </cell>
          <cell r="AF1486">
            <v>0</v>
          </cell>
          <cell r="AG1486">
            <v>0</v>
          </cell>
          <cell r="AI1486">
            <v>7000</v>
          </cell>
          <cell r="AJ1486">
            <v>0</v>
          </cell>
          <cell r="AL1486">
            <v>2302875</v>
          </cell>
          <cell r="AM1486">
            <v>0</v>
          </cell>
          <cell r="AO1486">
            <v>150000</v>
          </cell>
          <cell r="AP1486">
            <v>0</v>
          </cell>
          <cell r="AR1486">
            <v>0</v>
          </cell>
          <cell r="AS1486">
            <v>0</v>
          </cell>
          <cell r="BF1486" t="str">
            <v>7350</v>
          </cell>
          <cell r="BG1486" t="str">
            <v>Z000</v>
          </cell>
          <cell r="BH1486" t="str">
            <v>EMU</v>
          </cell>
        </row>
        <row r="1487">
          <cell r="K1487">
            <v>0</v>
          </cell>
          <cell r="L1487">
            <v>0</v>
          </cell>
          <cell r="N1487">
            <v>0</v>
          </cell>
          <cell r="O1487">
            <v>0</v>
          </cell>
          <cell r="Q1487">
            <v>0</v>
          </cell>
          <cell r="R1487">
            <v>0</v>
          </cell>
          <cell r="T1487">
            <v>0</v>
          </cell>
          <cell r="U1487">
            <v>0</v>
          </cell>
          <cell r="W1487">
            <v>0</v>
          </cell>
          <cell r="X1487">
            <v>0</v>
          </cell>
          <cell r="Z1487">
            <v>0</v>
          </cell>
          <cell r="AA1487">
            <v>0</v>
          </cell>
          <cell r="AC1487">
            <v>0</v>
          </cell>
          <cell r="AD1487">
            <v>0</v>
          </cell>
          <cell r="AF1487">
            <v>0</v>
          </cell>
          <cell r="AG1487">
            <v>0</v>
          </cell>
          <cell r="AI1487">
            <v>0</v>
          </cell>
          <cell r="AJ1487">
            <v>0</v>
          </cell>
          <cell r="AL1487">
            <v>0</v>
          </cell>
          <cell r="AM1487">
            <v>0</v>
          </cell>
          <cell r="AO1487">
            <v>0</v>
          </cell>
          <cell r="AP1487">
            <v>0</v>
          </cell>
          <cell r="AR1487">
            <v>0</v>
          </cell>
          <cell r="AS1487">
            <v>0</v>
          </cell>
          <cell r="BF1487" t="str">
            <v>7400</v>
          </cell>
          <cell r="BG1487" t="str">
            <v>Z000</v>
          </cell>
          <cell r="BH1487" t="str">
            <v>EMU</v>
          </cell>
        </row>
        <row r="1488">
          <cell r="K1488">
            <v>0</v>
          </cell>
          <cell r="L1488">
            <v>0</v>
          </cell>
          <cell r="N1488">
            <v>0</v>
          </cell>
          <cell r="O1488">
            <v>0</v>
          </cell>
          <cell r="Q1488">
            <v>0</v>
          </cell>
          <cell r="R1488">
            <v>0</v>
          </cell>
          <cell r="T1488">
            <v>0</v>
          </cell>
          <cell r="U1488">
            <v>0</v>
          </cell>
          <cell r="W1488">
            <v>0</v>
          </cell>
          <cell r="X1488">
            <v>0</v>
          </cell>
          <cell r="Z1488">
            <v>0</v>
          </cell>
          <cell r="AA1488">
            <v>0</v>
          </cell>
          <cell r="AC1488">
            <v>0</v>
          </cell>
          <cell r="AD1488">
            <v>0</v>
          </cell>
          <cell r="AF1488">
            <v>0</v>
          </cell>
          <cell r="AG1488">
            <v>0</v>
          </cell>
          <cell r="AI1488">
            <v>0</v>
          </cell>
          <cell r="AJ1488">
            <v>0</v>
          </cell>
          <cell r="AL1488">
            <v>-834955</v>
          </cell>
          <cell r="AM1488">
            <v>0</v>
          </cell>
          <cell r="AO1488">
            <v>1499430.0499999998</v>
          </cell>
          <cell r="AP1488">
            <v>0</v>
          </cell>
          <cell r="AR1488">
            <v>-1499430.0499999998</v>
          </cell>
          <cell r="AS1488">
            <v>0</v>
          </cell>
          <cell r="BF1488" t="str">
            <v>7500</v>
          </cell>
          <cell r="BG1488" t="str">
            <v>Z000</v>
          </cell>
          <cell r="BH1488" t="str">
            <v>EMU</v>
          </cell>
        </row>
        <row r="1489">
          <cell r="K1489">
            <v>0</v>
          </cell>
          <cell r="L1489">
            <v>0</v>
          </cell>
          <cell r="N1489">
            <v>0</v>
          </cell>
          <cell r="O1489">
            <v>0</v>
          </cell>
          <cell r="Q1489">
            <v>0</v>
          </cell>
          <cell r="R1489">
            <v>0</v>
          </cell>
          <cell r="T1489">
            <v>0</v>
          </cell>
          <cell r="U1489">
            <v>0</v>
          </cell>
          <cell r="W1489">
            <v>0</v>
          </cell>
          <cell r="X1489">
            <v>0</v>
          </cell>
          <cell r="Z1489">
            <v>0</v>
          </cell>
          <cell r="AA1489">
            <v>0</v>
          </cell>
          <cell r="AC1489">
            <v>0</v>
          </cell>
          <cell r="AD1489">
            <v>0</v>
          </cell>
          <cell r="AF1489">
            <v>0</v>
          </cell>
          <cell r="AG1489">
            <v>0</v>
          </cell>
          <cell r="AI1489">
            <v>0</v>
          </cell>
          <cell r="AJ1489">
            <v>0</v>
          </cell>
          <cell r="AL1489">
            <v>0</v>
          </cell>
          <cell r="AM1489">
            <v>0</v>
          </cell>
          <cell r="AO1489">
            <v>0</v>
          </cell>
          <cell r="AP1489">
            <v>0</v>
          </cell>
          <cell r="AR1489">
            <v>0</v>
          </cell>
          <cell r="AS1489">
            <v>0</v>
          </cell>
          <cell r="BF1489" t="str">
            <v>7600</v>
          </cell>
          <cell r="BG1489" t="str">
            <v>Z000</v>
          </cell>
          <cell r="BH1489" t="str">
            <v>EMU</v>
          </cell>
        </row>
        <row r="1490">
          <cell r="K1490">
            <v>0</v>
          </cell>
          <cell r="L1490">
            <v>0</v>
          </cell>
          <cell r="N1490">
            <v>0</v>
          </cell>
          <cell r="O1490">
            <v>0</v>
          </cell>
          <cell r="Q1490">
            <v>0</v>
          </cell>
          <cell r="R1490">
            <v>0</v>
          </cell>
          <cell r="T1490">
            <v>0</v>
          </cell>
          <cell r="U1490">
            <v>0</v>
          </cell>
          <cell r="W1490">
            <v>0</v>
          </cell>
          <cell r="X1490">
            <v>0</v>
          </cell>
          <cell r="Z1490">
            <v>0</v>
          </cell>
          <cell r="AA1490">
            <v>0</v>
          </cell>
          <cell r="AC1490">
            <v>0</v>
          </cell>
          <cell r="AD1490">
            <v>0</v>
          </cell>
          <cell r="AF1490">
            <v>0</v>
          </cell>
          <cell r="AG1490">
            <v>0</v>
          </cell>
          <cell r="AI1490">
            <v>0</v>
          </cell>
          <cell r="AJ1490">
            <v>0</v>
          </cell>
          <cell r="AL1490">
            <v>0</v>
          </cell>
          <cell r="AM1490">
            <v>0</v>
          </cell>
          <cell r="AO1490">
            <v>0</v>
          </cell>
          <cell r="AP1490">
            <v>0</v>
          </cell>
          <cell r="AR1490">
            <v>0</v>
          </cell>
          <cell r="AS1490">
            <v>0</v>
          </cell>
          <cell r="BF1490" t="str">
            <v>7700</v>
          </cell>
          <cell r="BG1490" t="str">
            <v>Z000</v>
          </cell>
          <cell r="BH1490" t="str">
            <v>EMU</v>
          </cell>
        </row>
        <row r="1491">
          <cell r="K1491">
            <v>3469510.099999994</v>
          </cell>
          <cell r="L1491">
            <v>0</v>
          </cell>
          <cell r="N1491">
            <v>550643.44999998808</v>
          </cell>
          <cell r="O1491">
            <v>0</v>
          </cell>
          <cell r="Q1491">
            <v>-3212821.5500000417</v>
          </cell>
          <cell r="R1491">
            <v>0</v>
          </cell>
          <cell r="T1491">
            <v>3688448.5</v>
          </cell>
          <cell r="U1491">
            <v>0</v>
          </cell>
          <cell r="W1491">
            <v>1684155.9000001252</v>
          </cell>
          <cell r="X1491">
            <v>0</v>
          </cell>
          <cell r="Z1491">
            <v>-4477710.8000000715</v>
          </cell>
          <cell r="AA1491">
            <v>0</v>
          </cell>
          <cell r="AC1491">
            <v>2895580.5</v>
          </cell>
          <cell r="AD1491">
            <v>0</v>
          </cell>
          <cell r="AF1491">
            <v>6867329.7000000477</v>
          </cell>
          <cell r="AG1491">
            <v>0</v>
          </cell>
          <cell r="AI1491">
            <v>1403815.3199998736</v>
          </cell>
          <cell r="AJ1491">
            <v>0</v>
          </cell>
          <cell r="AL1491">
            <v>736028.80000007153</v>
          </cell>
          <cell r="AM1491">
            <v>0</v>
          </cell>
          <cell r="AO1491">
            <v>-2785498.6199999452</v>
          </cell>
          <cell r="AP1491">
            <v>0</v>
          </cell>
          <cell r="AR1491">
            <v>300780.45999991894</v>
          </cell>
          <cell r="AS1491">
            <v>0</v>
          </cell>
          <cell r="BF1491" t="str">
            <v>8002</v>
          </cell>
          <cell r="BG1491" t="str">
            <v>Z000</v>
          </cell>
          <cell r="BH1491" t="str">
            <v>EMU</v>
          </cell>
        </row>
        <row r="1492">
          <cell r="K1492">
            <v>0</v>
          </cell>
          <cell r="L1492">
            <v>0</v>
          </cell>
          <cell r="N1492">
            <v>0</v>
          </cell>
          <cell r="O1492">
            <v>0</v>
          </cell>
          <cell r="Q1492">
            <v>0</v>
          </cell>
          <cell r="R1492">
            <v>0</v>
          </cell>
          <cell r="T1492">
            <v>0</v>
          </cell>
          <cell r="U1492">
            <v>0</v>
          </cell>
          <cell r="W1492">
            <v>0</v>
          </cell>
          <cell r="X1492">
            <v>0</v>
          </cell>
          <cell r="Z1492">
            <v>0</v>
          </cell>
          <cell r="AA1492">
            <v>0</v>
          </cell>
          <cell r="AC1492">
            <v>0</v>
          </cell>
          <cell r="AD1492">
            <v>0</v>
          </cell>
          <cell r="AF1492">
            <v>0</v>
          </cell>
          <cell r="AG1492">
            <v>0</v>
          </cell>
          <cell r="AI1492">
            <v>0</v>
          </cell>
          <cell r="AJ1492">
            <v>0</v>
          </cell>
          <cell r="AL1492">
            <v>0</v>
          </cell>
          <cell r="AM1492">
            <v>0</v>
          </cell>
          <cell r="AO1492">
            <v>0</v>
          </cell>
          <cell r="AP1492">
            <v>0</v>
          </cell>
          <cell r="AR1492">
            <v>0</v>
          </cell>
          <cell r="AS1492">
            <v>0</v>
          </cell>
          <cell r="BF1492" t="str">
            <v>8003</v>
          </cell>
          <cell r="BG1492" t="str">
            <v>Z000</v>
          </cell>
          <cell r="BH1492" t="str">
            <v>EMU</v>
          </cell>
        </row>
        <row r="1493">
          <cell r="K1493">
            <v>11229871.970000029</v>
          </cell>
          <cell r="L1493">
            <v>0</v>
          </cell>
          <cell r="N1493">
            <v>14157242.850000024</v>
          </cell>
          <cell r="O1493">
            <v>0</v>
          </cell>
          <cell r="Q1493">
            <v>15446200.930000722</v>
          </cell>
          <cell r="R1493">
            <v>0</v>
          </cell>
          <cell r="T1493">
            <v>18320967.249999762</v>
          </cell>
          <cell r="U1493">
            <v>0</v>
          </cell>
          <cell r="W1493">
            <v>22668598.010000587</v>
          </cell>
          <cell r="X1493">
            <v>0</v>
          </cell>
          <cell r="Z1493">
            <v>12644761.000000119</v>
          </cell>
          <cell r="AA1493">
            <v>0</v>
          </cell>
          <cell r="AC1493">
            <v>17489191.049999833</v>
          </cell>
          <cell r="AD1493">
            <v>0</v>
          </cell>
          <cell r="AF1493">
            <v>8416523.6400002241</v>
          </cell>
          <cell r="AG1493">
            <v>0</v>
          </cell>
          <cell r="AI1493">
            <v>31109049.859999657</v>
          </cell>
          <cell r="AJ1493">
            <v>0</v>
          </cell>
          <cell r="AL1493">
            <v>29715591.229999185</v>
          </cell>
          <cell r="AM1493">
            <v>0</v>
          </cell>
          <cell r="AO1493">
            <v>-30073687.559999585</v>
          </cell>
          <cell r="AP1493">
            <v>0</v>
          </cell>
          <cell r="AR1493">
            <v>7790191.9499998093</v>
          </cell>
          <cell r="AS1493">
            <v>0</v>
          </cell>
          <cell r="BF1493" t="str">
            <v>8200</v>
          </cell>
          <cell r="BG1493" t="str">
            <v>Z000</v>
          </cell>
          <cell r="BH1493" t="str">
            <v>EMU</v>
          </cell>
        </row>
        <row r="1494">
          <cell r="K1494">
            <v>182153.19999999553</v>
          </cell>
          <cell r="L1494">
            <v>0</v>
          </cell>
          <cell r="N1494">
            <v>-597270.25</v>
          </cell>
          <cell r="O1494">
            <v>0</v>
          </cell>
          <cell r="Q1494">
            <v>-600139.75</v>
          </cell>
          <cell r="R1494">
            <v>0</v>
          </cell>
          <cell r="T1494">
            <v>-761419.38000000268</v>
          </cell>
          <cell r="U1494">
            <v>0</v>
          </cell>
          <cell r="W1494">
            <v>-811205.46000000089</v>
          </cell>
          <cell r="X1494">
            <v>0</v>
          </cell>
          <cell r="Z1494">
            <v>-375692.02000000328</v>
          </cell>
          <cell r="AA1494">
            <v>0</v>
          </cell>
          <cell r="AC1494">
            <v>-218133.49000000209</v>
          </cell>
          <cell r="AD1494">
            <v>0</v>
          </cell>
          <cell r="AF1494">
            <v>-69272.75</v>
          </cell>
          <cell r="AG1494">
            <v>0</v>
          </cell>
          <cell r="AI1494">
            <v>-3169198.1899999976</v>
          </cell>
          <cell r="AJ1494">
            <v>0</v>
          </cell>
          <cell r="AL1494">
            <v>-2860100.6599999964</v>
          </cell>
          <cell r="AM1494">
            <v>0</v>
          </cell>
          <cell r="AO1494">
            <v>-1328542.8299999982</v>
          </cell>
          <cell r="AP1494">
            <v>0</v>
          </cell>
          <cell r="AR1494">
            <v>-832152.67000000179</v>
          </cell>
          <cell r="AS1494">
            <v>0</v>
          </cell>
          <cell r="BF1494" t="str">
            <v>8201</v>
          </cell>
          <cell r="BG1494" t="str">
            <v>Z000</v>
          </cell>
          <cell r="BH1494" t="str">
            <v>EMU</v>
          </cell>
        </row>
        <row r="1495">
          <cell r="K1495">
            <v>2494758.8400000036</v>
          </cell>
          <cell r="L1495">
            <v>0</v>
          </cell>
          <cell r="N1495">
            <v>286964.77000000328</v>
          </cell>
          <cell r="O1495">
            <v>0</v>
          </cell>
          <cell r="Q1495">
            <v>1631955.700000003</v>
          </cell>
          <cell r="R1495">
            <v>0</v>
          </cell>
          <cell r="T1495">
            <v>9090651.4700000063</v>
          </cell>
          <cell r="U1495">
            <v>0</v>
          </cell>
          <cell r="W1495">
            <v>2946918</v>
          </cell>
          <cell r="X1495">
            <v>0</v>
          </cell>
          <cell r="Z1495">
            <v>5476813.2300000042</v>
          </cell>
          <cell r="AA1495">
            <v>0</v>
          </cell>
          <cell r="AC1495">
            <v>2445534.5199999958</v>
          </cell>
          <cell r="AD1495">
            <v>0</v>
          </cell>
          <cell r="AF1495">
            <v>1180958.4699999988</v>
          </cell>
          <cell r="AG1495">
            <v>0</v>
          </cell>
          <cell r="AI1495">
            <v>1081170.900000006</v>
          </cell>
          <cell r="AJ1495">
            <v>0</v>
          </cell>
          <cell r="AL1495">
            <v>3839721.150000006</v>
          </cell>
          <cell r="AM1495">
            <v>0</v>
          </cell>
          <cell r="AO1495">
            <v>-31080778.500000007</v>
          </cell>
          <cell r="AP1495">
            <v>0</v>
          </cell>
          <cell r="AR1495">
            <v>3689415.2800000012</v>
          </cell>
          <cell r="AS1495">
            <v>0</v>
          </cell>
          <cell r="BF1495" t="str">
            <v>8300</v>
          </cell>
          <cell r="BG1495" t="str">
            <v>Z000</v>
          </cell>
          <cell r="BH1495" t="str">
            <v>EMU</v>
          </cell>
        </row>
        <row r="1496">
          <cell r="K1496">
            <v>-3112043.4700000286</v>
          </cell>
          <cell r="L1496">
            <v>0</v>
          </cell>
          <cell r="N1496">
            <v>5036230.1999999285</v>
          </cell>
          <cell r="O1496">
            <v>0</v>
          </cell>
          <cell r="Q1496">
            <v>2909063.5799996853</v>
          </cell>
          <cell r="R1496">
            <v>0</v>
          </cell>
          <cell r="T1496">
            <v>-4598863.6699995995</v>
          </cell>
          <cell r="U1496">
            <v>0</v>
          </cell>
          <cell r="W1496">
            <v>-7329296.6100001335</v>
          </cell>
          <cell r="X1496">
            <v>0</v>
          </cell>
          <cell r="Z1496">
            <v>11287835.190000057</v>
          </cell>
          <cell r="AA1496">
            <v>0</v>
          </cell>
          <cell r="AC1496">
            <v>-1194836.8099999428</v>
          </cell>
          <cell r="AD1496">
            <v>0</v>
          </cell>
          <cell r="AF1496">
            <v>1164714.1899998188</v>
          </cell>
          <cell r="AG1496">
            <v>0</v>
          </cell>
          <cell r="AI1496">
            <v>-8379631.6900008917</v>
          </cell>
          <cell r="AJ1496">
            <v>0</v>
          </cell>
          <cell r="AL1496">
            <v>-10709113.049999475</v>
          </cell>
          <cell r="AM1496">
            <v>0</v>
          </cell>
          <cell r="AO1496">
            <v>3027651.3600000143</v>
          </cell>
          <cell r="AP1496">
            <v>0</v>
          </cell>
          <cell r="AR1496">
            <v>10515804.1899997</v>
          </cell>
          <cell r="AS1496">
            <v>0</v>
          </cell>
          <cell r="BF1496" t="str">
            <v>8400</v>
          </cell>
          <cell r="BG1496" t="str">
            <v>N001</v>
          </cell>
          <cell r="BH1496" t="str">
            <v>EMU</v>
          </cell>
        </row>
        <row r="1497">
          <cell r="K1497">
            <v>129654.15999999642</v>
          </cell>
          <cell r="L1497">
            <v>0</v>
          </cell>
          <cell r="N1497">
            <v>3459877.4300000072</v>
          </cell>
          <cell r="O1497">
            <v>0</v>
          </cell>
          <cell r="Q1497">
            <v>-614390.7499999702</v>
          </cell>
          <cell r="R1497">
            <v>0</v>
          </cell>
          <cell r="T1497">
            <v>-1121797.2899999917</v>
          </cell>
          <cell r="U1497">
            <v>0</v>
          </cell>
          <cell r="W1497">
            <v>-882904.97000002861</v>
          </cell>
          <cell r="X1497">
            <v>0</v>
          </cell>
          <cell r="Z1497">
            <v>-506451.67999997735</v>
          </cell>
          <cell r="AA1497">
            <v>0</v>
          </cell>
          <cell r="AC1497">
            <v>42396.699999988079</v>
          </cell>
          <cell r="AD1497">
            <v>0</v>
          </cell>
          <cell r="AF1497">
            <v>42071.020000010729</v>
          </cell>
          <cell r="AG1497">
            <v>0</v>
          </cell>
          <cell r="AI1497">
            <v>41756.980000019073</v>
          </cell>
          <cell r="AJ1497">
            <v>0</v>
          </cell>
          <cell r="AL1497">
            <v>-563301.46000003815</v>
          </cell>
          <cell r="AM1497">
            <v>0</v>
          </cell>
          <cell r="AO1497">
            <v>186549.04000002146</v>
          </cell>
          <cell r="AP1497">
            <v>0</v>
          </cell>
          <cell r="AR1497">
            <v>-29888.960000038147</v>
          </cell>
          <cell r="AS1497">
            <v>0</v>
          </cell>
          <cell r="BF1497" t="str">
            <v>8400</v>
          </cell>
          <cell r="BG1497" t="str">
            <v>N002</v>
          </cell>
          <cell r="BH1497" t="str">
            <v>EMU</v>
          </cell>
        </row>
        <row r="1498">
          <cell r="K1498">
            <v>-1335</v>
          </cell>
          <cell r="L1498">
            <v>0</v>
          </cell>
          <cell r="N1498">
            <v>-1038.5</v>
          </cell>
          <cell r="O1498">
            <v>0</v>
          </cell>
          <cell r="Q1498">
            <v>-1837</v>
          </cell>
          <cell r="R1498">
            <v>0</v>
          </cell>
          <cell r="T1498">
            <v>-1500</v>
          </cell>
          <cell r="U1498">
            <v>0</v>
          </cell>
          <cell r="W1498">
            <v>-1952.5</v>
          </cell>
          <cell r="X1498">
            <v>0</v>
          </cell>
          <cell r="Z1498">
            <v>0</v>
          </cell>
          <cell r="AA1498">
            <v>0</v>
          </cell>
          <cell r="AC1498">
            <v>80434</v>
          </cell>
          <cell r="AD1498">
            <v>0</v>
          </cell>
          <cell r="AF1498">
            <v>0</v>
          </cell>
          <cell r="AG1498">
            <v>0</v>
          </cell>
          <cell r="AI1498">
            <v>0</v>
          </cell>
          <cell r="AJ1498">
            <v>0</v>
          </cell>
          <cell r="AL1498">
            <v>0</v>
          </cell>
          <cell r="AM1498">
            <v>0</v>
          </cell>
          <cell r="AO1498">
            <v>-1908341.5499999998</v>
          </cell>
          <cell r="AP1498">
            <v>0</v>
          </cell>
          <cell r="AR1498">
            <v>0</v>
          </cell>
          <cell r="AS1498">
            <v>0</v>
          </cell>
          <cell r="BF1498" t="str">
            <v>8400</v>
          </cell>
          <cell r="BG1498" t="str">
            <v>N003</v>
          </cell>
          <cell r="BH1498" t="str">
            <v>EMU</v>
          </cell>
        </row>
        <row r="1499">
          <cell r="K1499">
            <v>0</v>
          </cell>
          <cell r="L1499">
            <v>0</v>
          </cell>
          <cell r="N1499">
            <v>0</v>
          </cell>
          <cell r="O1499">
            <v>0</v>
          </cell>
          <cell r="Q1499">
            <v>679604</v>
          </cell>
          <cell r="R1499">
            <v>0</v>
          </cell>
          <cell r="T1499">
            <v>798852</v>
          </cell>
          <cell r="U1499">
            <v>0</v>
          </cell>
          <cell r="W1499">
            <v>-496145</v>
          </cell>
          <cell r="X1499">
            <v>0</v>
          </cell>
          <cell r="Z1499">
            <v>-114945</v>
          </cell>
          <cell r="AA1499">
            <v>0</v>
          </cell>
          <cell r="AC1499">
            <v>-61428.700000000186</v>
          </cell>
          <cell r="AD1499">
            <v>0</v>
          </cell>
          <cell r="AF1499">
            <v>2480754.4099999992</v>
          </cell>
          <cell r="AG1499">
            <v>0</v>
          </cell>
          <cell r="AI1499">
            <v>1733755.7400000039</v>
          </cell>
          <cell r="AJ1499">
            <v>0</v>
          </cell>
          <cell r="AL1499">
            <v>-3164623.9399999864</v>
          </cell>
          <cell r="AM1499">
            <v>0</v>
          </cell>
          <cell r="AO1499">
            <v>50891.600000027567</v>
          </cell>
          <cell r="AP1499">
            <v>0</v>
          </cell>
          <cell r="AR1499">
            <v>691291.97000002861</v>
          </cell>
          <cell r="AS1499">
            <v>0</v>
          </cell>
          <cell r="BF1499" t="str">
            <v>8400</v>
          </cell>
          <cell r="BG1499" t="str">
            <v>N004</v>
          </cell>
          <cell r="BH1499" t="str">
            <v>EMU</v>
          </cell>
        </row>
        <row r="1500">
          <cell r="K1500">
            <v>0</v>
          </cell>
          <cell r="L1500">
            <v>0</v>
          </cell>
          <cell r="N1500">
            <v>0</v>
          </cell>
          <cell r="O1500">
            <v>0</v>
          </cell>
          <cell r="Q1500">
            <v>0</v>
          </cell>
          <cell r="R1500">
            <v>0</v>
          </cell>
          <cell r="T1500">
            <v>0</v>
          </cell>
          <cell r="U1500">
            <v>0</v>
          </cell>
          <cell r="W1500">
            <v>0</v>
          </cell>
          <cell r="X1500">
            <v>0</v>
          </cell>
          <cell r="Z1500">
            <v>0</v>
          </cell>
          <cell r="AA1500">
            <v>0</v>
          </cell>
          <cell r="AC1500">
            <v>0</v>
          </cell>
          <cell r="AD1500">
            <v>0</v>
          </cell>
          <cell r="AF1500">
            <v>0</v>
          </cell>
          <cell r="AG1500">
            <v>0</v>
          </cell>
          <cell r="AI1500">
            <v>0</v>
          </cell>
          <cell r="AJ1500">
            <v>0</v>
          </cell>
          <cell r="AL1500">
            <v>0</v>
          </cell>
          <cell r="AM1500">
            <v>0</v>
          </cell>
          <cell r="AO1500">
            <v>0</v>
          </cell>
          <cell r="AP1500">
            <v>0</v>
          </cell>
          <cell r="AR1500">
            <v>0</v>
          </cell>
          <cell r="AS1500">
            <v>0</v>
          </cell>
          <cell r="BF1500" t="str">
            <v>8400</v>
          </cell>
          <cell r="BG1500" t="str">
            <v>N999</v>
          </cell>
          <cell r="BH1500" t="str">
            <v>EMU</v>
          </cell>
        </row>
        <row r="1501">
          <cell r="K1501">
            <v>0</v>
          </cell>
          <cell r="L1501">
            <v>0</v>
          </cell>
          <cell r="N1501">
            <v>0</v>
          </cell>
          <cell r="O1501">
            <v>0</v>
          </cell>
          <cell r="Q1501">
            <v>0</v>
          </cell>
          <cell r="R1501">
            <v>0</v>
          </cell>
          <cell r="T1501">
            <v>0</v>
          </cell>
          <cell r="U1501">
            <v>0</v>
          </cell>
          <cell r="W1501">
            <v>0</v>
          </cell>
          <cell r="X1501">
            <v>0</v>
          </cell>
          <cell r="Z1501">
            <v>0</v>
          </cell>
          <cell r="AA1501">
            <v>0</v>
          </cell>
          <cell r="AC1501">
            <v>0</v>
          </cell>
          <cell r="AD1501">
            <v>0</v>
          </cell>
          <cell r="AF1501">
            <v>0</v>
          </cell>
          <cell r="AG1501">
            <v>0</v>
          </cell>
          <cell r="AI1501">
            <v>0</v>
          </cell>
          <cell r="AJ1501">
            <v>0</v>
          </cell>
          <cell r="AL1501">
            <v>0</v>
          </cell>
          <cell r="AM1501">
            <v>0</v>
          </cell>
          <cell r="AO1501">
            <v>0</v>
          </cell>
          <cell r="AP1501">
            <v>0</v>
          </cell>
          <cell r="AR1501">
            <v>0</v>
          </cell>
          <cell r="AS1501">
            <v>0</v>
          </cell>
          <cell r="BF1501" t="str">
            <v>8420</v>
          </cell>
          <cell r="BG1501" t="str">
            <v>Z000</v>
          </cell>
          <cell r="BH1501" t="str">
            <v>EMU</v>
          </cell>
        </row>
        <row r="1502">
          <cell r="K1502">
            <v>368919</v>
          </cell>
          <cell r="L1502">
            <v>0</v>
          </cell>
          <cell r="N1502">
            <v>255223.85000002384</v>
          </cell>
          <cell r="O1502">
            <v>0</v>
          </cell>
          <cell r="Q1502">
            <v>-551839.15000015497</v>
          </cell>
          <cell r="R1502">
            <v>0</v>
          </cell>
          <cell r="T1502">
            <v>480691.64999985695</v>
          </cell>
          <cell r="U1502">
            <v>0</v>
          </cell>
          <cell r="W1502">
            <v>-316393.5499997139</v>
          </cell>
          <cell r="X1502">
            <v>0</v>
          </cell>
          <cell r="Z1502">
            <v>-252278.89999991655</v>
          </cell>
          <cell r="AA1502">
            <v>0</v>
          </cell>
          <cell r="AC1502">
            <v>454382.05000036955</v>
          </cell>
          <cell r="AD1502">
            <v>0</v>
          </cell>
          <cell r="AF1502">
            <v>92017.250000059605</v>
          </cell>
          <cell r="AG1502">
            <v>0</v>
          </cell>
          <cell r="AI1502">
            <v>-353000.14999973774</v>
          </cell>
          <cell r="AJ1502">
            <v>0</v>
          </cell>
          <cell r="AL1502">
            <v>258994.84000003338</v>
          </cell>
          <cell r="AM1502">
            <v>0</v>
          </cell>
          <cell r="AO1502">
            <v>248487.94999963045</v>
          </cell>
          <cell r="AP1502">
            <v>0</v>
          </cell>
          <cell r="AR1502">
            <v>-641277.93999946117</v>
          </cell>
          <cell r="AS1502">
            <v>0</v>
          </cell>
          <cell r="BF1502" t="str">
            <v>8500</v>
          </cell>
          <cell r="BG1502" t="str">
            <v>O101</v>
          </cell>
          <cell r="BH1502" t="str">
            <v>EMU</v>
          </cell>
        </row>
        <row r="1503">
          <cell r="K1503">
            <v>0</v>
          </cell>
          <cell r="L1503">
            <v>0</v>
          </cell>
          <cell r="N1503">
            <v>0</v>
          </cell>
          <cell r="O1503">
            <v>0</v>
          </cell>
          <cell r="Q1503">
            <v>0</v>
          </cell>
          <cell r="R1503">
            <v>0</v>
          </cell>
          <cell r="T1503">
            <v>0</v>
          </cell>
          <cell r="U1503">
            <v>0</v>
          </cell>
          <cell r="W1503">
            <v>0</v>
          </cell>
          <cell r="X1503">
            <v>0</v>
          </cell>
          <cell r="Z1503">
            <v>0</v>
          </cell>
          <cell r="AA1503">
            <v>0</v>
          </cell>
          <cell r="AC1503">
            <v>0</v>
          </cell>
          <cell r="AD1503">
            <v>0</v>
          </cell>
          <cell r="AF1503">
            <v>0</v>
          </cell>
          <cell r="AG1503">
            <v>0</v>
          </cell>
          <cell r="AI1503">
            <v>0</v>
          </cell>
          <cell r="AJ1503">
            <v>0</v>
          </cell>
          <cell r="AL1503">
            <v>0</v>
          </cell>
          <cell r="AM1503">
            <v>0</v>
          </cell>
          <cell r="AO1503">
            <v>0</v>
          </cell>
          <cell r="AP1503">
            <v>0</v>
          </cell>
          <cell r="AR1503">
            <v>0</v>
          </cell>
          <cell r="AS1503">
            <v>0</v>
          </cell>
          <cell r="BF1503" t="str">
            <v>8500</v>
          </cell>
          <cell r="BG1503" t="str">
            <v>O102</v>
          </cell>
          <cell r="BH1503" t="str">
            <v>EMU</v>
          </cell>
        </row>
        <row r="1504">
          <cell r="K1504">
            <v>4100</v>
          </cell>
          <cell r="L1504">
            <v>0</v>
          </cell>
          <cell r="N1504">
            <v>-2025</v>
          </cell>
          <cell r="O1504">
            <v>0</v>
          </cell>
          <cell r="Q1504">
            <v>-1306</v>
          </cell>
          <cell r="R1504">
            <v>0</v>
          </cell>
          <cell r="T1504">
            <v>-1050.8999999999942</v>
          </cell>
          <cell r="U1504">
            <v>0</v>
          </cell>
          <cell r="W1504">
            <v>0</v>
          </cell>
          <cell r="X1504">
            <v>0</v>
          </cell>
          <cell r="Z1504">
            <v>0</v>
          </cell>
          <cell r="AA1504">
            <v>0</v>
          </cell>
          <cell r="AC1504">
            <v>0</v>
          </cell>
          <cell r="AD1504">
            <v>0</v>
          </cell>
          <cell r="AF1504">
            <v>5328</v>
          </cell>
          <cell r="AG1504">
            <v>0</v>
          </cell>
          <cell r="AI1504">
            <v>-5328.0000000000291</v>
          </cell>
          <cell r="AJ1504">
            <v>0</v>
          </cell>
          <cell r="AL1504">
            <v>2500</v>
          </cell>
          <cell r="AM1504">
            <v>0</v>
          </cell>
          <cell r="AO1504">
            <v>18500</v>
          </cell>
          <cell r="AP1504">
            <v>0</v>
          </cell>
          <cell r="AR1504">
            <v>-13764</v>
          </cell>
          <cell r="AS1504">
            <v>0</v>
          </cell>
          <cell r="BF1504" t="str">
            <v>8500</v>
          </cell>
          <cell r="BG1504" t="str">
            <v>O103</v>
          </cell>
          <cell r="BH1504" t="str">
            <v>EMU</v>
          </cell>
        </row>
        <row r="1505">
          <cell r="K1505">
            <v>0</v>
          </cell>
          <cell r="L1505">
            <v>0</v>
          </cell>
          <cell r="N1505">
            <v>47</v>
          </cell>
          <cell r="O1505">
            <v>0</v>
          </cell>
          <cell r="Q1505">
            <v>-40</v>
          </cell>
          <cell r="R1505">
            <v>0</v>
          </cell>
          <cell r="T1505">
            <v>-10</v>
          </cell>
          <cell r="U1505">
            <v>0</v>
          </cell>
          <cell r="W1505">
            <v>0</v>
          </cell>
          <cell r="X1505">
            <v>0</v>
          </cell>
          <cell r="Z1505">
            <v>0</v>
          </cell>
          <cell r="AA1505">
            <v>0</v>
          </cell>
          <cell r="AC1505">
            <v>0</v>
          </cell>
          <cell r="AD1505">
            <v>0</v>
          </cell>
          <cell r="AF1505">
            <v>6400</v>
          </cell>
          <cell r="AG1505">
            <v>0</v>
          </cell>
          <cell r="AI1505">
            <v>-6397</v>
          </cell>
          <cell r="AJ1505">
            <v>0</v>
          </cell>
          <cell r="AL1505">
            <v>2500</v>
          </cell>
          <cell r="AM1505">
            <v>0</v>
          </cell>
          <cell r="AO1505">
            <v>13000</v>
          </cell>
          <cell r="AP1505">
            <v>0</v>
          </cell>
          <cell r="AR1505">
            <v>11938</v>
          </cell>
          <cell r="AS1505">
            <v>0</v>
          </cell>
          <cell r="BF1505" t="str">
            <v>8500</v>
          </cell>
          <cell r="BG1505" t="str">
            <v>O104</v>
          </cell>
          <cell r="BH1505" t="str">
            <v>EMU</v>
          </cell>
        </row>
        <row r="1506">
          <cell r="K1506">
            <v>0</v>
          </cell>
          <cell r="L1506">
            <v>0</v>
          </cell>
          <cell r="N1506">
            <v>365.05000000000291</v>
          </cell>
          <cell r="O1506">
            <v>0</v>
          </cell>
          <cell r="Q1506">
            <v>-365.05000000000291</v>
          </cell>
          <cell r="R1506">
            <v>0</v>
          </cell>
          <cell r="T1506">
            <v>-230</v>
          </cell>
          <cell r="U1506">
            <v>0</v>
          </cell>
          <cell r="W1506">
            <v>0</v>
          </cell>
          <cell r="X1506">
            <v>0</v>
          </cell>
          <cell r="Z1506">
            <v>0</v>
          </cell>
          <cell r="AA1506">
            <v>0</v>
          </cell>
          <cell r="AC1506">
            <v>0</v>
          </cell>
          <cell r="AD1506">
            <v>0</v>
          </cell>
          <cell r="AF1506">
            <v>-1</v>
          </cell>
          <cell r="AG1506">
            <v>0</v>
          </cell>
          <cell r="AI1506">
            <v>231</v>
          </cell>
          <cell r="AJ1506">
            <v>0</v>
          </cell>
          <cell r="AL1506">
            <v>-10000</v>
          </cell>
          <cell r="AM1506">
            <v>0</v>
          </cell>
          <cell r="AO1506">
            <v>3000</v>
          </cell>
          <cell r="AP1506">
            <v>0</v>
          </cell>
          <cell r="AR1506">
            <v>7037</v>
          </cell>
          <cell r="AS1506">
            <v>0</v>
          </cell>
          <cell r="BF1506" t="str">
            <v>8500</v>
          </cell>
          <cell r="BG1506" t="str">
            <v>O105</v>
          </cell>
          <cell r="BH1506" t="str">
            <v>EMU</v>
          </cell>
        </row>
        <row r="1507">
          <cell r="K1507">
            <v>-632</v>
          </cell>
          <cell r="L1507">
            <v>0</v>
          </cell>
          <cell r="N1507">
            <v>-318</v>
          </cell>
          <cell r="O1507">
            <v>0</v>
          </cell>
          <cell r="Q1507">
            <v>0</v>
          </cell>
          <cell r="R1507">
            <v>0</v>
          </cell>
          <cell r="T1507">
            <v>17500</v>
          </cell>
          <cell r="U1507">
            <v>0</v>
          </cell>
          <cell r="W1507">
            <v>-20000</v>
          </cell>
          <cell r="X1507">
            <v>0</v>
          </cell>
          <cell r="Z1507">
            <v>0</v>
          </cell>
          <cell r="AA1507">
            <v>0</v>
          </cell>
          <cell r="AC1507">
            <v>0</v>
          </cell>
          <cell r="AD1507">
            <v>0</v>
          </cell>
          <cell r="AF1507">
            <v>-17000</v>
          </cell>
          <cell r="AG1507">
            <v>0</v>
          </cell>
          <cell r="AI1507">
            <v>19500</v>
          </cell>
          <cell r="AJ1507">
            <v>0</v>
          </cell>
          <cell r="AL1507">
            <v>-18000</v>
          </cell>
          <cell r="AM1507">
            <v>0</v>
          </cell>
          <cell r="AO1507">
            <v>-4500</v>
          </cell>
          <cell r="AP1507">
            <v>0</v>
          </cell>
          <cell r="AR1507">
            <v>-23308</v>
          </cell>
          <cell r="AS1507">
            <v>0</v>
          </cell>
          <cell r="BF1507" t="str">
            <v>8500</v>
          </cell>
          <cell r="BG1507" t="str">
            <v>O106</v>
          </cell>
          <cell r="BH1507" t="str">
            <v>EMU</v>
          </cell>
        </row>
        <row r="1508">
          <cell r="K1508">
            <v>0</v>
          </cell>
          <cell r="L1508">
            <v>0</v>
          </cell>
          <cell r="N1508">
            <v>0</v>
          </cell>
          <cell r="O1508">
            <v>0</v>
          </cell>
          <cell r="Q1508">
            <v>0</v>
          </cell>
          <cell r="R1508">
            <v>0</v>
          </cell>
          <cell r="T1508">
            <v>0</v>
          </cell>
          <cell r="U1508">
            <v>0</v>
          </cell>
          <cell r="W1508">
            <v>0</v>
          </cell>
          <cell r="X1508">
            <v>0</v>
          </cell>
          <cell r="Z1508">
            <v>0</v>
          </cell>
          <cell r="AA1508">
            <v>0</v>
          </cell>
          <cell r="AC1508">
            <v>0</v>
          </cell>
          <cell r="AD1508">
            <v>0</v>
          </cell>
          <cell r="AF1508">
            <v>0</v>
          </cell>
          <cell r="AG1508">
            <v>0</v>
          </cell>
          <cell r="AI1508">
            <v>0</v>
          </cell>
          <cell r="AJ1508">
            <v>0</v>
          </cell>
          <cell r="AL1508">
            <v>2000</v>
          </cell>
          <cell r="AM1508">
            <v>0</v>
          </cell>
          <cell r="AO1508">
            <v>-2000</v>
          </cell>
          <cell r="AP1508">
            <v>0</v>
          </cell>
          <cell r="AR1508">
            <v>0</v>
          </cell>
          <cell r="AS1508">
            <v>0</v>
          </cell>
          <cell r="BF1508" t="str">
            <v>8500</v>
          </cell>
          <cell r="BG1508" t="str">
            <v>O107</v>
          </cell>
          <cell r="BH1508" t="str">
            <v>EMU</v>
          </cell>
        </row>
        <row r="1509">
          <cell r="K1509">
            <v>0</v>
          </cell>
          <cell r="L1509">
            <v>0</v>
          </cell>
          <cell r="N1509">
            <v>0</v>
          </cell>
          <cell r="O1509">
            <v>0</v>
          </cell>
          <cell r="Q1509">
            <v>0</v>
          </cell>
          <cell r="R1509">
            <v>0</v>
          </cell>
          <cell r="T1509">
            <v>540</v>
          </cell>
          <cell r="U1509">
            <v>0</v>
          </cell>
          <cell r="W1509">
            <v>-540</v>
          </cell>
          <cell r="X1509">
            <v>0</v>
          </cell>
          <cell r="Z1509">
            <v>0</v>
          </cell>
          <cell r="AA1509">
            <v>0</v>
          </cell>
          <cell r="AC1509">
            <v>0</v>
          </cell>
          <cell r="AD1509">
            <v>0</v>
          </cell>
          <cell r="AF1509">
            <v>0</v>
          </cell>
          <cell r="AG1509">
            <v>0</v>
          </cell>
          <cell r="AI1509">
            <v>0</v>
          </cell>
          <cell r="AJ1509">
            <v>0</v>
          </cell>
          <cell r="AL1509">
            <v>-11540</v>
          </cell>
          <cell r="AM1509">
            <v>0</v>
          </cell>
          <cell r="AO1509">
            <v>11540</v>
          </cell>
          <cell r="AP1509">
            <v>0</v>
          </cell>
          <cell r="AR1509">
            <v>2286</v>
          </cell>
          <cell r="AS1509">
            <v>0</v>
          </cell>
          <cell r="BF1509" t="str">
            <v>8500</v>
          </cell>
          <cell r="BG1509" t="str">
            <v>O108</v>
          </cell>
          <cell r="BH1509" t="str">
            <v>EMU</v>
          </cell>
        </row>
        <row r="1510">
          <cell r="K1510">
            <v>0</v>
          </cell>
          <cell r="L1510">
            <v>0</v>
          </cell>
          <cell r="N1510">
            <v>0</v>
          </cell>
          <cell r="O1510">
            <v>0</v>
          </cell>
          <cell r="Q1510">
            <v>3046</v>
          </cell>
          <cell r="R1510">
            <v>0</v>
          </cell>
          <cell r="T1510">
            <v>-2500</v>
          </cell>
          <cell r="U1510">
            <v>0</v>
          </cell>
          <cell r="W1510">
            <v>-50</v>
          </cell>
          <cell r="X1510">
            <v>0</v>
          </cell>
          <cell r="Z1510">
            <v>0</v>
          </cell>
          <cell r="AA1510">
            <v>0</v>
          </cell>
          <cell r="AC1510">
            <v>0</v>
          </cell>
          <cell r="AD1510">
            <v>0</v>
          </cell>
          <cell r="AF1510">
            <v>-9357</v>
          </cell>
          <cell r="AG1510">
            <v>0</v>
          </cell>
          <cell r="AI1510">
            <v>25027</v>
          </cell>
          <cell r="AJ1510">
            <v>0</v>
          </cell>
          <cell r="AL1510">
            <v>-94100</v>
          </cell>
          <cell r="AM1510">
            <v>0</v>
          </cell>
          <cell r="AO1510">
            <v>0</v>
          </cell>
          <cell r="AP1510">
            <v>0</v>
          </cell>
          <cell r="AR1510">
            <v>15642</v>
          </cell>
          <cell r="AS1510">
            <v>0</v>
          </cell>
          <cell r="BF1510" t="str">
            <v>8500</v>
          </cell>
          <cell r="BG1510" t="str">
            <v>O109</v>
          </cell>
          <cell r="BH1510" t="str">
            <v>EMU</v>
          </cell>
        </row>
        <row r="1511">
          <cell r="K1511">
            <v>0</v>
          </cell>
          <cell r="L1511">
            <v>0</v>
          </cell>
          <cell r="N1511">
            <v>0</v>
          </cell>
          <cell r="O1511">
            <v>0</v>
          </cell>
          <cell r="Q1511">
            <v>0</v>
          </cell>
          <cell r="R1511">
            <v>0</v>
          </cell>
          <cell r="T1511">
            <v>0</v>
          </cell>
          <cell r="U1511">
            <v>0</v>
          </cell>
          <cell r="W1511">
            <v>0</v>
          </cell>
          <cell r="X1511">
            <v>0</v>
          </cell>
          <cell r="Z1511">
            <v>0</v>
          </cell>
          <cell r="AA1511">
            <v>0</v>
          </cell>
          <cell r="AC1511">
            <v>0</v>
          </cell>
          <cell r="AD1511">
            <v>0</v>
          </cell>
          <cell r="AF1511">
            <v>-2799</v>
          </cell>
          <cell r="AG1511">
            <v>0</v>
          </cell>
          <cell r="AI1511">
            <v>2799</v>
          </cell>
          <cell r="AJ1511">
            <v>0</v>
          </cell>
          <cell r="AL1511">
            <v>-7000</v>
          </cell>
          <cell r="AM1511">
            <v>0</v>
          </cell>
          <cell r="AO1511">
            <v>0</v>
          </cell>
          <cell r="AP1511">
            <v>0</v>
          </cell>
          <cell r="AR1511">
            <v>7027</v>
          </cell>
          <cell r="AS1511">
            <v>0</v>
          </cell>
          <cell r="BF1511" t="str">
            <v>8500</v>
          </cell>
          <cell r="BG1511" t="str">
            <v>O110</v>
          </cell>
          <cell r="BH1511" t="str">
            <v>EMU</v>
          </cell>
        </row>
        <row r="1512">
          <cell r="K1512">
            <v>0</v>
          </cell>
          <cell r="L1512">
            <v>0</v>
          </cell>
          <cell r="N1512">
            <v>0</v>
          </cell>
          <cell r="O1512">
            <v>0</v>
          </cell>
          <cell r="Q1512">
            <v>0</v>
          </cell>
          <cell r="R1512">
            <v>0</v>
          </cell>
          <cell r="T1512">
            <v>0</v>
          </cell>
          <cell r="U1512">
            <v>0</v>
          </cell>
          <cell r="W1512">
            <v>0</v>
          </cell>
          <cell r="X1512">
            <v>0</v>
          </cell>
          <cell r="Z1512">
            <v>0</v>
          </cell>
          <cell r="AA1512">
            <v>0</v>
          </cell>
          <cell r="AC1512">
            <v>0</v>
          </cell>
          <cell r="AD1512">
            <v>0</v>
          </cell>
          <cell r="AF1512">
            <v>0</v>
          </cell>
          <cell r="AG1512">
            <v>0</v>
          </cell>
          <cell r="AI1512">
            <v>0</v>
          </cell>
          <cell r="AJ1512">
            <v>0</v>
          </cell>
          <cell r="AL1512">
            <v>2000</v>
          </cell>
          <cell r="AM1512">
            <v>0</v>
          </cell>
          <cell r="AO1512">
            <v>-2000</v>
          </cell>
          <cell r="AP1512">
            <v>0</v>
          </cell>
          <cell r="AR1512">
            <v>0</v>
          </cell>
          <cell r="AS1512">
            <v>0</v>
          </cell>
          <cell r="BF1512" t="str">
            <v>8500</v>
          </cell>
          <cell r="BG1512" t="str">
            <v>O111</v>
          </cell>
          <cell r="BH1512" t="str">
            <v>EMU</v>
          </cell>
        </row>
        <row r="1513">
          <cell r="K1513">
            <v>0</v>
          </cell>
          <cell r="L1513">
            <v>0</v>
          </cell>
          <cell r="N1513">
            <v>0</v>
          </cell>
          <cell r="O1513">
            <v>0</v>
          </cell>
          <cell r="Q1513">
            <v>0</v>
          </cell>
          <cell r="R1513">
            <v>0</v>
          </cell>
          <cell r="T1513">
            <v>0</v>
          </cell>
          <cell r="U1513">
            <v>0</v>
          </cell>
          <cell r="W1513">
            <v>0</v>
          </cell>
          <cell r="X1513">
            <v>0</v>
          </cell>
          <cell r="Z1513">
            <v>0</v>
          </cell>
          <cell r="AA1513">
            <v>0</v>
          </cell>
          <cell r="AC1513">
            <v>0</v>
          </cell>
          <cell r="AD1513">
            <v>0</v>
          </cell>
          <cell r="AF1513">
            <v>0</v>
          </cell>
          <cell r="AG1513">
            <v>0</v>
          </cell>
          <cell r="AI1513">
            <v>0</v>
          </cell>
          <cell r="AJ1513">
            <v>0</v>
          </cell>
          <cell r="AL1513">
            <v>0</v>
          </cell>
          <cell r="AM1513">
            <v>0</v>
          </cell>
          <cell r="AO1513">
            <v>0</v>
          </cell>
          <cell r="AP1513">
            <v>0</v>
          </cell>
          <cell r="AR1513">
            <v>0</v>
          </cell>
          <cell r="AS1513">
            <v>0</v>
          </cell>
          <cell r="BF1513" t="str">
            <v>8500</v>
          </cell>
          <cell r="BG1513" t="str">
            <v>O112</v>
          </cell>
          <cell r="BH1513" t="str">
            <v>EMU</v>
          </cell>
        </row>
        <row r="1514">
          <cell r="K1514">
            <v>5000</v>
          </cell>
          <cell r="L1514">
            <v>0</v>
          </cell>
          <cell r="N1514">
            <v>-10000</v>
          </cell>
          <cell r="O1514">
            <v>0</v>
          </cell>
          <cell r="Q1514">
            <v>0</v>
          </cell>
          <cell r="R1514">
            <v>0</v>
          </cell>
          <cell r="T1514">
            <v>10000</v>
          </cell>
          <cell r="U1514">
            <v>0</v>
          </cell>
          <cell r="W1514">
            <v>-7500</v>
          </cell>
          <cell r="X1514">
            <v>0</v>
          </cell>
          <cell r="Z1514">
            <v>-2500</v>
          </cell>
          <cell r="AA1514">
            <v>0</v>
          </cell>
          <cell r="AC1514">
            <v>0</v>
          </cell>
          <cell r="AD1514">
            <v>0</v>
          </cell>
          <cell r="AF1514">
            <v>2664</v>
          </cell>
          <cell r="AG1514">
            <v>0</v>
          </cell>
          <cell r="AI1514">
            <v>-2664</v>
          </cell>
          <cell r="AJ1514">
            <v>0</v>
          </cell>
          <cell r="AL1514">
            <v>2000</v>
          </cell>
          <cell r="AM1514">
            <v>0</v>
          </cell>
          <cell r="AO1514">
            <v>-2000</v>
          </cell>
          <cell r="AP1514">
            <v>0</v>
          </cell>
          <cell r="AR1514">
            <v>4100</v>
          </cell>
          <cell r="AS1514">
            <v>0</v>
          </cell>
          <cell r="BF1514" t="str">
            <v>8500</v>
          </cell>
          <cell r="BG1514" t="str">
            <v>O113</v>
          </cell>
          <cell r="BH1514" t="str">
            <v>EMU</v>
          </cell>
        </row>
        <row r="1515">
          <cell r="K1515">
            <v>0</v>
          </cell>
          <cell r="L1515">
            <v>0</v>
          </cell>
          <cell r="N1515">
            <v>0</v>
          </cell>
          <cell r="O1515">
            <v>0</v>
          </cell>
          <cell r="Q1515">
            <v>12500</v>
          </cell>
          <cell r="R1515">
            <v>0</v>
          </cell>
          <cell r="T1515">
            <v>-12500</v>
          </cell>
          <cell r="U1515">
            <v>0</v>
          </cell>
          <cell r="W1515">
            <v>0</v>
          </cell>
          <cell r="X1515">
            <v>0</v>
          </cell>
          <cell r="Z1515">
            <v>0</v>
          </cell>
          <cell r="AA1515">
            <v>0</v>
          </cell>
          <cell r="AC1515">
            <v>0</v>
          </cell>
          <cell r="AD1515">
            <v>0</v>
          </cell>
          <cell r="AF1515">
            <v>13696</v>
          </cell>
          <cell r="AG1515">
            <v>0</v>
          </cell>
          <cell r="AI1515">
            <v>22627</v>
          </cell>
          <cell r="AJ1515">
            <v>0</v>
          </cell>
          <cell r="AL1515">
            <v>-6000</v>
          </cell>
          <cell r="AM1515">
            <v>0</v>
          </cell>
          <cell r="AO1515">
            <v>14500</v>
          </cell>
          <cell r="AP1515">
            <v>0</v>
          </cell>
          <cell r="AR1515">
            <v>-9048</v>
          </cell>
          <cell r="AS1515">
            <v>0</v>
          </cell>
          <cell r="BF1515" t="str">
            <v>8500</v>
          </cell>
          <cell r="BG1515" t="str">
            <v>O114</v>
          </cell>
          <cell r="BH1515" t="str">
            <v>EMU</v>
          </cell>
        </row>
        <row r="1516">
          <cell r="K1516">
            <v>0</v>
          </cell>
          <cell r="L1516">
            <v>0</v>
          </cell>
          <cell r="N1516">
            <v>0</v>
          </cell>
          <cell r="O1516">
            <v>0</v>
          </cell>
          <cell r="Q1516">
            <v>0</v>
          </cell>
          <cell r="R1516">
            <v>0</v>
          </cell>
          <cell r="T1516">
            <v>2500</v>
          </cell>
          <cell r="U1516">
            <v>0</v>
          </cell>
          <cell r="W1516">
            <v>-2500</v>
          </cell>
          <cell r="X1516">
            <v>0</v>
          </cell>
          <cell r="Z1516">
            <v>0</v>
          </cell>
          <cell r="AA1516">
            <v>0</v>
          </cell>
          <cell r="AC1516">
            <v>0</v>
          </cell>
          <cell r="AD1516">
            <v>0</v>
          </cell>
          <cell r="AF1516">
            <v>0</v>
          </cell>
          <cell r="AG1516">
            <v>0</v>
          </cell>
          <cell r="AI1516">
            <v>0</v>
          </cell>
          <cell r="AJ1516">
            <v>0</v>
          </cell>
          <cell r="AL1516">
            <v>2000</v>
          </cell>
          <cell r="AM1516">
            <v>0</v>
          </cell>
          <cell r="AO1516">
            <v>-2000</v>
          </cell>
          <cell r="AP1516">
            <v>0</v>
          </cell>
          <cell r="AR1516">
            <v>0</v>
          </cell>
          <cell r="AS1516">
            <v>0</v>
          </cell>
          <cell r="BF1516" t="str">
            <v>8500</v>
          </cell>
          <cell r="BG1516" t="str">
            <v>O115</v>
          </cell>
          <cell r="BH1516" t="str">
            <v>EMU</v>
          </cell>
        </row>
        <row r="1517">
          <cell r="K1517">
            <v>0</v>
          </cell>
          <cell r="L1517">
            <v>0</v>
          </cell>
          <cell r="N1517">
            <v>0</v>
          </cell>
          <cell r="O1517">
            <v>0</v>
          </cell>
          <cell r="Q1517">
            <v>0</v>
          </cell>
          <cell r="R1517">
            <v>0</v>
          </cell>
          <cell r="T1517">
            <v>0</v>
          </cell>
          <cell r="U1517">
            <v>0</v>
          </cell>
          <cell r="W1517">
            <v>0</v>
          </cell>
          <cell r="X1517">
            <v>0</v>
          </cell>
          <cell r="Z1517">
            <v>0</v>
          </cell>
          <cell r="AA1517">
            <v>0</v>
          </cell>
          <cell r="AC1517">
            <v>0</v>
          </cell>
          <cell r="AD1517">
            <v>0</v>
          </cell>
          <cell r="AF1517">
            <v>0</v>
          </cell>
          <cell r="AG1517">
            <v>0</v>
          </cell>
          <cell r="AI1517">
            <v>0</v>
          </cell>
          <cell r="AJ1517">
            <v>0</v>
          </cell>
          <cell r="AL1517">
            <v>0</v>
          </cell>
          <cell r="AM1517">
            <v>0</v>
          </cell>
          <cell r="AO1517">
            <v>0</v>
          </cell>
          <cell r="AP1517">
            <v>0</v>
          </cell>
          <cell r="AR1517">
            <v>0</v>
          </cell>
          <cell r="AS1517">
            <v>0</v>
          </cell>
          <cell r="BF1517" t="str">
            <v>8600</v>
          </cell>
          <cell r="BG1517" t="str">
            <v>P201</v>
          </cell>
          <cell r="BH1517" t="str">
            <v>EMU</v>
          </cell>
        </row>
        <row r="1518">
          <cell r="K1518">
            <v>0</v>
          </cell>
          <cell r="L1518">
            <v>0</v>
          </cell>
          <cell r="N1518">
            <v>0</v>
          </cell>
          <cell r="O1518">
            <v>0</v>
          </cell>
          <cell r="Q1518">
            <v>0</v>
          </cell>
          <cell r="R1518">
            <v>0</v>
          </cell>
          <cell r="T1518">
            <v>0</v>
          </cell>
          <cell r="U1518">
            <v>0</v>
          </cell>
          <cell r="W1518">
            <v>0</v>
          </cell>
          <cell r="X1518">
            <v>0</v>
          </cell>
          <cell r="Z1518">
            <v>0</v>
          </cell>
          <cell r="AA1518">
            <v>0</v>
          </cell>
          <cell r="AC1518">
            <v>0</v>
          </cell>
          <cell r="AD1518">
            <v>0</v>
          </cell>
          <cell r="AF1518">
            <v>0</v>
          </cell>
          <cell r="AG1518">
            <v>0</v>
          </cell>
          <cell r="AI1518">
            <v>0</v>
          </cell>
          <cell r="AJ1518">
            <v>0</v>
          </cell>
          <cell r="AL1518">
            <v>0</v>
          </cell>
          <cell r="AM1518">
            <v>0</v>
          </cell>
          <cell r="AO1518">
            <v>0</v>
          </cell>
          <cell r="AP1518">
            <v>0</v>
          </cell>
          <cell r="AR1518">
            <v>0</v>
          </cell>
          <cell r="AS1518">
            <v>0</v>
          </cell>
          <cell r="BF1518" t="str">
            <v>8600</v>
          </cell>
          <cell r="BG1518" t="str">
            <v>P202</v>
          </cell>
          <cell r="BH1518" t="str">
            <v>EMU</v>
          </cell>
        </row>
        <row r="1519">
          <cell r="K1519">
            <v>0</v>
          </cell>
          <cell r="L1519">
            <v>0</v>
          </cell>
          <cell r="N1519">
            <v>0</v>
          </cell>
          <cell r="O1519">
            <v>0</v>
          </cell>
          <cell r="Q1519">
            <v>0</v>
          </cell>
          <cell r="R1519">
            <v>0</v>
          </cell>
          <cell r="T1519">
            <v>11050.899999999994</v>
          </cell>
          <cell r="U1519">
            <v>0</v>
          </cell>
          <cell r="W1519">
            <v>-11299</v>
          </cell>
          <cell r="X1519">
            <v>0</v>
          </cell>
          <cell r="Z1519">
            <v>0</v>
          </cell>
          <cell r="AA1519">
            <v>0</v>
          </cell>
          <cell r="AC1519">
            <v>200</v>
          </cell>
          <cell r="AD1519">
            <v>0</v>
          </cell>
          <cell r="AF1519">
            <v>-126</v>
          </cell>
          <cell r="AG1519">
            <v>0</v>
          </cell>
          <cell r="AI1519">
            <v>174.09999999997672</v>
          </cell>
          <cell r="AJ1519">
            <v>0</v>
          </cell>
          <cell r="AL1519">
            <v>0</v>
          </cell>
          <cell r="AM1519">
            <v>0</v>
          </cell>
          <cell r="AO1519">
            <v>45</v>
          </cell>
          <cell r="AP1519">
            <v>0</v>
          </cell>
          <cell r="AR1519">
            <v>155</v>
          </cell>
          <cell r="AS1519">
            <v>0</v>
          </cell>
          <cell r="BF1519" t="str">
            <v>8600</v>
          </cell>
          <cell r="BG1519" t="str">
            <v>P203</v>
          </cell>
          <cell r="BH1519" t="str">
            <v>EMU</v>
          </cell>
        </row>
        <row r="1520">
          <cell r="K1520">
            <v>28</v>
          </cell>
          <cell r="L1520">
            <v>0</v>
          </cell>
          <cell r="N1520">
            <v>-57</v>
          </cell>
          <cell r="O1520">
            <v>0</v>
          </cell>
          <cell r="Q1520">
            <v>0</v>
          </cell>
          <cell r="R1520">
            <v>0</v>
          </cell>
          <cell r="T1520">
            <v>0</v>
          </cell>
          <cell r="U1520">
            <v>0</v>
          </cell>
          <cell r="W1520">
            <v>670</v>
          </cell>
          <cell r="X1520">
            <v>0</v>
          </cell>
          <cell r="Z1520">
            <v>-420</v>
          </cell>
          <cell r="AA1520">
            <v>0</v>
          </cell>
          <cell r="AC1520">
            <v>-80</v>
          </cell>
          <cell r="AD1520">
            <v>0</v>
          </cell>
          <cell r="AF1520">
            <v>-1605</v>
          </cell>
          <cell r="AG1520">
            <v>0</v>
          </cell>
          <cell r="AI1520">
            <v>1435</v>
          </cell>
          <cell r="AJ1520">
            <v>0</v>
          </cell>
          <cell r="AL1520">
            <v>0</v>
          </cell>
          <cell r="AM1520">
            <v>0</v>
          </cell>
          <cell r="AO1520">
            <v>0</v>
          </cell>
          <cell r="AP1520">
            <v>0</v>
          </cell>
          <cell r="AR1520">
            <v>-2910</v>
          </cell>
          <cell r="AS1520">
            <v>0</v>
          </cell>
          <cell r="BF1520" t="str">
            <v>8600</v>
          </cell>
          <cell r="BG1520" t="str">
            <v>P204</v>
          </cell>
          <cell r="BH1520" t="str">
            <v>EMU</v>
          </cell>
        </row>
        <row r="1521">
          <cell r="K1521">
            <v>-195</v>
          </cell>
          <cell r="L1521">
            <v>0</v>
          </cell>
          <cell r="N1521">
            <v>-325</v>
          </cell>
          <cell r="O1521">
            <v>0</v>
          </cell>
          <cell r="Q1521">
            <v>230.05000000000291</v>
          </cell>
          <cell r="R1521">
            <v>0</v>
          </cell>
          <cell r="T1521">
            <v>-170.05000000000291</v>
          </cell>
          <cell r="U1521">
            <v>0</v>
          </cell>
          <cell r="W1521">
            <v>0</v>
          </cell>
          <cell r="X1521">
            <v>0</v>
          </cell>
          <cell r="Z1521">
            <v>0</v>
          </cell>
          <cell r="AA1521">
            <v>0</v>
          </cell>
          <cell r="AC1521">
            <v>-55</v>
          </cell>
          <cell r="AD1521">
            <v>0</v>
          </cell>
          <cell r="AF1521">
            <v>4680</v>
          </cell>
          <cell r="AG1521">
            <v>0</v>
          </cell>
          <cell r="AI1521">
            <v>-4685</v>
          </cell>
          <cell r="AJ1521">
            <v>0</v>
          </cell>
          <cell r="AL1521">
            <v>600</v>
          </cell>
          <cell r="AM1521">
            <v>0</v>
          </cell>
          <cell r="AO1521">
            <v>1000</v>
          </cell>
          <cell r="AP1521">
            <v>0</v>
          </cell>
          <cell r="AR1521">
            <v>27</v>
          </cell>
          <cell r="AS1521">
            <v>0</v>
          </cell>
          <cell r="BF1521" t="str">
            <v>8600</v>
          </cell>
          <cell r="BG1521" t="str">
            <v>P205</v>
          </cell>
          <cell r="BH1521" t="str">
            <v>EMU</v>
          </cell>
        </row>
        <row r="1522">
          <cell r="K1522">
            <v>1</v>
          </cell>
          <cell r="L1522">
            <v>0</v>
          </cell>
          <cell r="N1522">
            <v>-4</v>
          </cell>
          <cell r="O1522">
            <v>0</v>
          </cell>
          <cell r="Q1522">
            <v>0</v>
          </cell>
          <cell r="R1522">
            <v>0</v>
          </cell>
          <cell r="T1522">
            <v>0</v>
          </cell>
          <cell r="U1522">
            <v>0</v>
          </cell>
          <cell r="W1522">
            <v>2500</v>
          </cell>
          <cell r="X1522">
            <v>0</v>
          </cell>
          <cell r="Z1522">
            <v>0</v>
          </cell>
          <cell r="AA1522">
            <v>0</v>
          </cell>
          <cell r="AC1522">
            <v>0</v>
          </cell>
          <cell r="AD1522">
            <v>0</v>
          </cell>
          <cell r="AF1522">
            <v>23196</v>
          </cell>
          <cell r="AG1522">
            <v>0</v>
          </cell>
          <cell r="AI1522">
            <v>-25694</v>
          </cell>
          <cell r="AJ1522">
            <v>0</v>
          </cell>
          <cell r="AL1522">
            <v>0</v>
          </cell>
          <cell r="AM1522">
            <v>0</v>
          </cell>
          <cell r="AO1522">
            <v>0</v>
          </cell>
          <cell r="AP1522">
            <v>0</v>
          </cell>
          <cell r="AR1522">
            <v>39700</v>
          </cell>
          <cell r="AS1522">
            <v>0</v>
          </cell>
          <cell r="BF1522" t="str">
            <v>8600</v>
          </cell>
          <cell r="BG1522" t="str">
            <v>P206</v>
          </cell>
          <cell r="BH1522" t="str">
            <v>EMU</v>
          </cell>
        </row>
        <row r="1523">
          <cell r="K1523">
            <v>-3672</v>
          </cell>
          <cell r="L1523">
            <v>0</v>
          </cell>
          <cell r="N1523">
            <v>487</v>
          </cell>
          <cell r="O1523">
            <v>0</v>
          </cell>
          <cell r="Q1523">
            <v>103</v>
          </cell>
          <cell r="R1523">
            <v>0</v>
          </cell>
          <cell r="T1523">
            <v>0</v>
          </cell>
          <cell r="U1523">
            <v>0</v>
          </cell>
          <cell r="W1523">
            <v>0</v>
          </cell>
          <cell r="X1523">
            <v>0</v>
          </cell>
          <cell r="Z1523">
            <v>-1163</v>
          </cell>
          <cell r="AA1523">
            <v>0</v>
          </cell>
          <cell r="AC1523">
            <v>0</v>
          </cell>
          <cell r="AD1523">
            <v>0</v>
          </cell>
          <cell r="AF1523">
            <v>0</v>
          </cell>
          <cell r="AG1523">
            <v>0</v>
          </cell>
          <cell r="AI1523">
            <v>0</v>
          </cell>
          <cell r="AJ1523">
            <v>0</v>
          </cell>
          <cell r="AL1523">
            <v>0</v>
          </cell>
          <cell r="AM1523">
            <v>0</v>
          </cell>
          <cell r="AO1523">
            <v>0</v>
          </cell>
          <cell r="AP1523">
            <v>0</v>
          </cell>
          <cell r="AR1523">
            <v>0</v>
          </cell>
          <cell r="AS1523">
            <v>0</v>
          </cell>
          <cell r="BF1523" t="str">
            <v>8600</v>
          </cell>
          <cell r="BG1523" t="str">
            <v>P207</v>
          </cell>
          <cell r="BH1523" t="str">
            <v>EMU</v>
          </cell>
        </row>
        <row r="1524">
          <cell r="K1524">
            <v>195</v>
          </cell>
          <cell r="L1524">
            <v>0</v>
          </cell>
          <cell r="N1524">
            <v>-790</v>
          </cell>
          <cell r="O1524">
            <v>0</v>
          </cell>
          <cell r="Q1524">
            <v>66</v>
          </cell>
          <cell r="R1524">
            <v>0</v>
          </cell>
          <cell r="T1524">
            <v>8960</v>
          </cell>
          <cell r="U1524">
            <v>0</v>
          </cell>
          <cell r="W1524">
            <v>-9010</v>
          </cell>
          <cell r="X1524">
            <v>0</v>
          </cell>
          <cell r="Z1524">
            <v>-407</v>
          </cell>
          <cell r="AA1524">
            <v>0</v>
          </cell>
          <cell r="AC1524">
            <v>0</v>
          </cell>
          <cell r="AD1524">
            <v>0</v>
          </cell>
          <cell r="AF1524">
            <v>0</v>
          </cell>
          <cell r="AG1524">
            <v>0</v>
          </cell>
          <cell r="AI1524">
            <v>0</v>
          </cell>
          <cell r="AJ1524">
            <v>0</v>
          </cell>
          <cell r="AL1524">
            <v>0</v>
          </cell>
          <cell r="AM1524">
            <v>0</v>
          </cell>
          <cell r="AO1524">
            <v>0</v>
          </cell>
          <cell r="AP1524">
            <v>0</v>
          </cell>
          <cell r="AR1524">
            <v>0</v>
          </cell>
          <cell r="AS1524">
            <v>0</v>
          </cell>
          <cell r="BF1524" t="str">
            <v>8600</v>
          </cell>
          <cell r="BG1524" t="str">
            <v>P208</v>
          </cell>
          <cell r="BH1524" t="str">
            <v>EMU</v>
          </cell>
        </row>
        <row r="1525">
          <cell r="K1525">
            <v>0</v>
          </cell>
          <cell r="L1525">
            <v>0</v>
          </cell>
          <cell r="N1525">
            <v>-12</v>
          </cell>
          <cell r="O1525">
            <v>0</v>
          </cell>
          <cell r="Q1525">
            <v>0</v>
          </cell>
          <cell r="R1525">
            <v>0</v>
          </cell>
          <cell r="T1525">
            <v>0</v>
          </cell>
          <cell r="U1525">
            <v>0</v>
          </cell>
          <cell r="W1525">
            <v>2050</v>
          </cell>
          <cell r="X1525">
            <v>0</v>
          </cell>
          <cell r="Z1525">
            <v>-2050</v>
          </cell>
          <cell r="AA1525">
            <v>0</v>
          </cell>
          <cell r="AC1525">
            <v>0</v>
          </cell>
          <cell r="AD1525">
            <v>0</v>
          </cell>
          <cell r="AF1525">
            <v>10001</v>
          </cell>
          <cell r="AG1525">
            <v>0</v>
          </cell>
          <cell r="AI1525">
            <v>0</v>
          </cell>
          <cell r="AJ1525">
            <v>0</v>
          </cell>
          <cell r="AL1525">
            <v>40000</v>
          </cell>
          <cell r="AM1525">
            <v>0</v>
          </cell>
          <cell r="AO1525">
            <v>0</v>
          </cell>
          <cell r="AP1525">
            <v>0</v>
          </cell>
          <cell r="AR1525">
            <v>500</v>
          </cell>
          <cell r="AS1525">
            <v>0</v>
          </cell>
          <cell r="BF1525" t="str">
            <v>8600</v>
          </cell>
          <cell r="BG1525" t="str">
            <v>P209</v>
          </cell>
          <cell r="BH1525" t="str">
            <v>EMU</v>
          </cell>
        </row>
        <row r="1526">
          <cell r="K1526">
            <v>0</v>
          </cell>
          <cell r="L1526">
            <v>0</v>
          </cell>
          <cell r="N1526">
            <v>0</v>
          </cell>
          <cell r="O1526">
            <v>0</v>
          </cell>
          <cell r="Q1526">
            <v>0</v>
          </cell>
          <cell r="R1526">
            <v>0</v>
          </cell>
          <cell r="T1526">
            <v>4150</v>
          </cell>
          <cell r="U1526">
            <v>0</v>
          </cell>
          <cell r="W1526">
            <v>-1150</v>
          </cell>
          <cell r="X1526">
            <v>0</v>
          </cell>
          <cell r="Z1526">
            <v>-3000</v>
          </cell>
          <cell r="AA1526">
            <v>0</v>
          </cell>
          <cell r="AC1526">
            <v>0</v>
          </cell>
          <cell r="AD1526">
            <v>0</v>
          </cell>
          <cell r="AF1526">
            <v>0</v>
          </cell>
          <cell r="AG1526">
            <v>0</v>
          </cell>
          <cell r="AI1526">
            <v>0</v>
          </cell>
          <cell r="AJ1526">
            <v>0</v>
          </cell>
          <cell r="AL1526">
            <v>0</v>
          </cell>
          <cell r="AM1526">
            <v>0</v>
          </cell>
          <cell r="AO1526">
            <v>0</v>
          </cell>
          <cell r="AP1526">
            <v>0</v>
          </cell>
          <cell r="AR1526">
            <v>0</v>
          </cell>
          <cell r="AS1526">
            <v>0</v>
          </cell>
          <cell r="BF1526" t="str">
            <v>8600</v>
          </cell>
          <cell r="BG1526" t="str">
            <v>P210</v>
          </cell>
          <cell r="BH1526" t="str">
            <v>EMU</v>
          </cell>
        </row>
        <row r="1527">
          <cell r="K1527">
            <v>1050</v>
          </cell>
          <cell r="L1527">
            <v>0</v>
          </cell>
          <cell r="N1527">
            <v>-1300</v>
          </cell>
          <cell r="O1527">
            <v>0</v>
          </cell>
          <cell r="Q1527">
            <v>0</v>
          </cell>
          <cell r="R1527">
            <v>0</v>
          </cell>
          <cell r="T1527">
            <v>0</v>
          </cell>
          <cell r="U1527">
            <v>0</v>
          </cell>
          <cell r="W1527">
            <v>0</v>
          </cell>
          <cell r="X1527">
            <v>0</v>
          </cell>
          <cell r="Z1527">
            <v>-150</v>
          </cell>
          <cell r="AA1527">
            <v>0</v>
          </cell>
          <cell r="AC1527">
            <v>0</v>
          </cell>
          <cell r="AD1527">
            <v>0</v>
          </cell>
          <cell r="AF1527">
            <v>0</v>
          </cell>
          <cell r="AG1527">
            <v>0</v>
          </cell>
          <cell r="AI1527">
            <v>0</v>
          </cell>
          <cell r="AJ1527">
            <v>0</v>
          </cell>
          <cell r="AL1527">
            <v>0</v>
          </cell>
          <cell r="AM1527">
            <v>0</v>
          </cell>
          <cell r="AO1527">
            <v>0</v>
          </cell>
          <cell r="AP1527">
            <v>0</v>
          </cell>
          <cell r="AR1527">
            <v>0</v>
          </cell>
          <cell r="AS1527">
            <v>0</v>
          </cell>
          <cell r="BF1527" t="str">
            <v>8600</v>
          </cell>
          <cell r="BG1527" t="str">
            <v>P211</v>
          </cell>
          <cell r="BH1527" t="str">
            <v>EMU</v>
          </cell>
        </row>
        <row r="1528">
          <cell r="K1528">
            <v>0</v>
          </cell>
          <cell r="L1528">
            <v>0</v>
          </cell>
          <cell r="N1528">
            <v>0</v>
          </cell>
          <cell r="O1528">
            <v>0</v>
          </cell>
          <cell r="Q1528">
            <v>0</v>
          </cell>
          <cell r="R1528">
            <v>0</v>
          </cell>
          <cell r="T1528">
            <v>0</v>
          </cell>
          <cell r="U1528">
            <v>0</v>
          </cell>
          <cell r="W1528">
            <v>0</v>
          </cell>
          <cell r="X1528">
            <v>0</v>
          </cell>
          <cell r="Z1528">
            <v>0</v>
          </cell>
          <cell r="AA1528">
            <v>0</v>
          </cell>
          <cell r="AC1528">
            <v>0</v>
          </cell>
          <cell r="AD1528">
            <v>0</v>
          </cell>
          <cell r="AF1528">
            <v>0</v>
          </cell>
          <cell r="AG1528">
            <v>0</v>
          </cell>
          <cell r="AI1528">
            <v>0</v>
          </cell>
          <cell r="AJ1528">
            <v>0</v>
          </cell>
          <cell r="AL1528">
            <v>0</v>
          </cell>
          <cell r="AM1528">
            <v>0</v>
          </cell>
          <cell r="AO1528">
            <v>0</v>
          </cell>
          <cell r="AP1528">
            <v>0</v>
          </cell>
          <cell r="AR1528">
            <v>0</v>
          </cell>
          <cell r="AS1528">
            <v>0</v>
          </cell>
          <cell r="BF1528" t="str">
            <v>8600</v>
          </cell>
          <cell r="BG1528" t="str">
            <v>P212</v>
          </cell>
          <cell r="BH1528" t="str">
            <v>EMU</v>
          </cell>
        </row>
        <row r="1529">
          <cell r="K1529">
            <v>0</v>
          </cell>
          <cell r="L1529">
            <v>0</v>
          </cell>
          <cell r="N1529">
            <v>0</v>
          </cell>
          <cell r="O1529">
            <v>0</v>
          </cell>
          <cell r="Q1529">
            <v>0</v>
          </cell>
          <cell r="R1529">
            <v>0</v>
          </cell>
          <cell r="T1529">
            <v>0</v>
          </cell>
          <cell r="U1529">
            <v>0</v>
          </cell>
          <cell r="W1529">
            <v>0</v>
          </cell>
          <cell r="X1529">
            <v>0</v>
          </cell>
          <cell r="Z1529">
            <v>0</v>
          </cell>
          <cell r="AA1529">
            <v>0</v>
          </cell>
          <cell r="AC1529">
            <v>0</v>
          </cell>
          <cell r="AD1529">
            <v>0</v>
          </cell>
          <cell r="AF1529">
            <v>0</v>
          </cell>
          <cell r="AG1529">
            <v>0</v>
          </cell>
          <cell r="AI1529">
            <v>0</v>
          </cell>
          <cell r="AJ1529">
            <v>0</v>
          </cell>
          <cell r="AL1529">
            <v>0</v>
          </cell>
          <cell r="AM1529">
            <v>0</v>
          </cell>
          <cell r="AO1529">
            <v>0</v>
          </cell>
          <cell r="AP1529">
            <v>0</v>
          </cell>
          <cell r="AR1529">
            <v>0</v>
          </cell>
          <cell r="AS1529">
            <v>0</v>
          </cell>
          <cell r="BF1529" t="str">
            <v>8600</v>
          </cell>
          <cell r="BG1529" t="str">
            <v>P213</v>
          </cell>
          <cell r="BH1529" t="str">
            <v>EMU</v>
          </cell>
        </row>
        <row r="1530">
          <cell r="K1530">
            <v>-70</v>
          </cell>
          <cell r="L1530">
            <v>0</v>
          </cell>
          <cell r="N1530">
            <v>-96</v>
          </cell>
          <cell r="O1530">
            <v>0</v>
          </cell>
          <cell r="Q1530">
            <v>-12500</v>
          </cell>
          <cell r="R1530">
            <v>0</v>
          </cell>
          <cell r="T1530">
            <v>12500</v>
          </cell>
          <cell r="U1530">
            <v>0</v>
          </cell>
          <cell r="W1530">
            <v>-530</v>
          </cell>
          <cell r="X1530">
            <v>0</v>
          </cell>
          <cell r="Z1530">
            <v>0</v>
          </cell>
          <cell r="AA1530">
            <v>0</v>
          </cell>
          <cell r="AC1530">
            <v>0</v>
          </cell>
          <cell r="AD1530">
            <v>0</v>
          </cell>
          <cell r="AF1530">
            <v>0</v>
          </cell>
          <cell r="AG1530">
            <v>0</v>
          </cell>
          <cell r="AI1530">
            <v>-13700</v>
          </cell>
          <cell r="AJ1530">
            <v>0</v>
          </cell>
          <cell r="AL1530">
            <v>0</v>
          </cell>
          <cell r="AM1530">
            <v>0</v>
          </cell>
          <cell r="AO1530">
            <v>0</v>
          </cell>
          <cell r="AP1530">
            <v>0</v>
          </cell>
          <cell r="AR1530">
            <v>610</v>
          </cell>
          <cell r="AS1530">
            <v>0</v>
          </cell>
          <cell r="BF1530" t="str">
            <v>8600</v>
          </cell>
          <cell r="BG1530" t="str">
            <v>P214</v>
          </cell>
          <cell r="BH1530" t="str">
            <v>EMU</v>
          </cell>
        </row>
        <row r="1531">
          <cell r="K1531">
            <v>318</v>
          </cell>
          <cell r="L1531">
            <v>0</v>
          </cell>
          <cell r="N1531">
            <v>181</v>
          </cell>
          <cell r="O1531">
            <v>0</v>
          </cell>
          <cell r="Q1531">
            <v>-70</v>
          </cell>
          <cell r="R1531">
            <v>0</v>
          </cell>
          <cell r="T1531">
            <v>0</v>
          </cell>
          <cell r="U1531">
            <v>0</v>
          </cell>
          <cell r="W1531">
            <v>1200</v>
          </cell>
          <cell r="X1531">
            <v>0</v>
          </cell>
          <cell r="Z1531">
            <v>-1629</v>
          </cell>
          <cell r="AA1531">
            <v>0</v>
          </cell>
          <cell r="AC1531">
            <v>0</v>
          </cell>
          <cell r="AD1531">
            <v>0</v>
          </cell>
          <cell r="AF1531">
            <v>0</v>
          </cell>
          <cell r="AG1531">
            <v>0</v>
          </cell>
          <cell r="AI1531">
            <v>0</v>
          </cell>
          <cell r="AJ1531">
            <v>0</v>
          </cell>
          <cell r="AL1531">
            <v>0</v>
          </cell>
          <cell r="AM1531">
            <v>0</v>
          </cell>
          <cell r="AO1531">
            <v>0</v>
          </cell>
          <cell r="AP1531">
            <v>0</v>
          </cell>
          <cell r="AR1531">
            <v>0</v>
          </cell>
          <cell r="AS1531">
            <v>0</v>
          </cell>
          <cell r="BF1531" t="str">
            <v>8600</v>
          </cell>
          <cell r="BG1531" t="str">
            <v>P215</v>
          </cell>
          <cell r="BH1531" t="str">
            <v>EMU</v>
          </cell>
        </row>
        <row r="1532">
          <cell r="K1532">
            <v>1457191.08</v>
          </cell>
          <cell r="L1532">
            <v>0</v>
          </cell>
          <cell r="N1532">
            <v>1380902.7699999996</v>
          </cell>
          <cell r="O1532">
            <v>0</v>
          </cell>
          <cell r="Q1532">
            <v>-1259512.3699999992</v>
          </cell>
          <cell r="R1532">
            <v>0</v>
          </cell>
          <cell r="T1532">
            <v>623220.23999999929</v>
          </cell>
          <cell r="U1532">
            <v>0</v>
          </cell>
          <cell r="W1532">
            <v>394525.90999999922</v>
          </cell>
          <cell r="X1532">
            <v>0</v>
          </cell>
          <cell r="Z1532">
            <v>-2824617.41</v>
          </cell>
          <cell r="AA1532">
            <v>0</v>
          </cell>
          <cell r="AC1532">
            <v>780577.76000000164</v>
          </cell>
          <cell r="AD1532">
            <v>0</v>
          </cell>
          <cell r="AF1532">
            <v>-1222539.8100000005</v>
          </cell>
          <cell r="AG1532">
            <v>0</v>
          </cell>
          <cell r="AI1532">
            <v>968569</v>
          </cell>
          <cell r="AJ1532">
            <v>0</v>
          </cell>
          <cell r="AL1532">
            <v>1325505.8599999994</v>
          </cell>
          <cell r="AM1532">
            <v>0</v>
          </cell>
          <cell r="AO1532">
            <v>-65450.38000000082</v>
          </cell>
          <cell r="AP1532">
            <v>0</v>
          </cell>
          <cell r="AR1532">
            <v>-455365.41000000201</v>
          </cell>
          <cell r="AS1532">
            <v>0</v>
          </cell>
          <cell r="BF1532" t="str">
            <v>9000</v>
          </cell>
          <cell r="BG1532" t="str">
            <v>Z000</v>
          </cell>
          <cell r="BH1532" t="str">
            <v>EMU</v>
          </cell>
        </row>
        <row r="1533">
          <cell r="K1533">
            <v>24492</v>
          </cell>
          <cell r="L1533">
            <v>0</v>
          </cell>
          <cell r="N1533">
            <v>-1632.0200000000186</v>
          </cell>
          <cell r="O1533">
            <v>0</v>
          </cell>
          <cell r="Q1533">
            <v>44211</v>
          </cell>
          <cell r="R1533">
            <v>0</v>
          </cell>
          <cell r="T1533">
            <v>19262</v>
          </cell>
          <cell r="U1533">
            <v>0</v>
          </cell>
          <cell r="W1533">
            <v>12967.599999999977</v>
          </cell>
          <cell r="X1533">
            <v>0</v>
          </cell>
          <cell r="Z1533">
            <v>59430.20000000007</v>
          </cell>
          <cell r="AA1533">
            <v>0</v>
          </cell>
          <cell r="AC1533">
            <v>56680.149999999907</v>
          </cell>
          <cell r="AD1533">
            <v>0</v>
          </cell>
          <cell r="AF1533">
            <v>60863.149999999907</v>
          </cell>
          <cell r="AG1533">
            <v>0</v>
          </cell>
          <cell r="AI1533">
            <v>44354.399999999907</v>
          </cell>
          <cell r="AJ1533">
            <v>0</v>
          </cell>
          <cell r="AL1533">
            <v>212648.85000000009</v>
          </cell>
          <cell r="AM1533">
            <v>0</v>
          </cell>
          <cell r="AO1533">
            <v>74539.949999999953</v>
          </cell>
          <cell r="AP1533">
            <v>0</v>
          </cell>
          <cell r="AR1533">
            <v>43676.800000000047</v>
          </cell>
          <cell r="AS1533">
            <v>0</v>
          </cell>
          <cell r="BF1533" t="str">
            <v>9050</v>
          </cell>
          <cell r="BG1533" t="str">
            <v>Z000</v>
          </cell>
          <cell r="BH1533" t="str">
            <v>EMU</v>
          </cell>
        </row>
        <row r="1534">
          <cell r="K1534">
            <v>0</v>
          </cell>
          <cell r="L1534">
            <v>0</v>
          </cell>
          <cell r="N1534">
            <v>0</v>
          </cell>
          <cell r="O1534">
            <v>0</v>
          </cell>
          <cell r="Q1534">
            <v>0</v>
          </cell>
          <cell r="R1534">
            <v>0</v>
          </cell>
          <cell r="T1534">
            <v>0</v>
          </cell>
          <cell r="U1534">
            <v>0</v>
          </cell>
          <cell r="W1534">
            <v>0</v>
          </cell>
          <cell r="X1534">
            <v>0</v>
          </cell>
          <cell r="Z1534">
            <v>50000</v>
          </cell>
          <cell r="AA1534">
            <v>0</v>
          </cell>
          <cell r="AC1534">
            <v>-23000</v>
          </cell>
          <cell r="AD1534">
            <v>0</v>
          </cell>
          <cell r="AF1534">
            <v>-26999.999999996275</v>
          </cell>
          <cell r="AG1534">
            <v>0</v>
          </cell>
          <cell r="AI1534">
            <v>661107.43000000343</v>
          </cell>
          <cell r="AJ1534">
            <v>0</v>
          </cell>
          <cell r="AL1534">
            <v>291325.19000000507</v>
          </cell>
          <cell r="AM1534">
            <v>0</v>
          </cell>
          <cell r="AO1534">
            <v>-1162592.2700000033</v>
          </cell>
          <cell r="AP1534">
            <v>0</v>
          </cell>
          <cell r="AR1534">
            <v>-379693.92000007629</v>
          </cell>
          <cell r="AS1534">
            <v>0</v>
          </cell>
          <cell r="BF1534" t="str">
            <v>9051</v>
          </cell>
          <cell r="BG1534" t="str">
            <v>Z000</v>
          </cell>
          <cell r="BH1534" t="str">
            <v>EMU</v>
          </cell>
        </row>
        <row r="1535">
          <cell r="K1535">
            <v>0</v>
          </cell>
          <cell r="L1535">
            <v>0</v>
          </cell>
          <cell r="N1535">
            <v>0</v>
          </cell>
          <cell r="O1535">
            <v>0</v>
          </cell>
          <cell r="Q1535">
            <v>0</v>
          </cell>
          <cell r="R1535">
            <v>0</v>
          </cell>
          <cell r="T1535">
            <v>0</v>
          </cell>
          <cell r="U1535">
            <v>0</v>
          </cell>
          <cell r="W1535">
            <v>0</v>
          </cell>
          <cell r="X1535">
            <v>0</v>
          </cell>
          <cell r="Z1535">
            <v>0</v>
          </cell>
          <cell r="AA1535">
            <v>0</v>
          </cell>
          <cell r="AC1535">
            <v>0</v>
          </cell>
          <cell r="AD1535">
            <v>0</v>
          </cell>
          <cell r="AF1535">
            <v>0</v>
          </cell>
          <cell r="AG1535">
            <v>0</v>
          </cell>
          <cell r="AI1535">
            <v>0</v>
          </cell>
          <cell r="AJ1535">
            <v>0</v>
          </cell>
          <cell r="AL1535">
            <v>0</v>
          </cell>
          <cell r="AM1535">
            <v>0</v>
          </cell>
          <cell r="AO1535">
            <v>0</v>
          </cell>
          <cell r="AP1535">
            <v>0</v>
          </cell>
          <cell r="AR1535">
            <v>0</v>
          </cell>
          <cell r="AS1535">
            <v>0</v>
          </cell>
          <cell r="BF1535" t="str">
            <v>9100</v>
          </cell>
          <cell r="BG1535" t="str">
            <v>Z000</v>
          </cell>
          <cell r="BH1535" t="str">
            <v>EMU</v>
          </cell>
        </row>
        <row r="1536">
          <cell r="K1536">
            <v>-48838</v>
          </cell>
          <cell r="L1536">
            <v>0</v>
          </cell>
          <cell r="N1536">
            <v>68613</v>
          </cell>
          <cell r="O1536">
            <v>0</v>
          </cell>
          <cell r="Q1536">
            <v>-34126</v>
          </cell>
          <cell r="R1536">
            <v>0</v>
          </cell>
          <cell r="T1536">
            <v>-62814</v>
          </cell>
          <cell r="U1536">
            <v>0</v>
          </cell>
          <cell r="W1536">
            <v>40648</v>
          </cell>
          <cell r="X1536">
            <v>0</v>
          </cell>
          <cell r="Z1536">
            <v>676472</v>
          </cell>
          <cell r="AA1536">
            <v>0</v>
          </cell>
          <cell r="AC1536">
            <v>-752569</v>
          </cell>
          <cell r="AD1536">
            <v>0</v>
          </cell>
          <cell r="AF1536">
            <v>-5208</v>
          </cell>
          <cell r="AG1536">
            <v>0</v>
          </cell>
          <cell r="AI1536">
            <v>26349</v>
          </cell>
          <cell r="AJ1536">
            <v>0</v>
          </cell>
          <cell r="AL1536">
            <v>88756.000000001863</v>
          </cell>
          <cell r="AM1536">
            <v>0</v>
          </cell>
          <cell r="AO1536">
            <v>120517.99999999814</v>
          </cell>
          <cell r="AP1536">
            <v>0</v>
          </cell>
          <cell r="AR1536">
            <v>-121536</v>
          </cell>
          <cell r="AS1536">
            <v>0</v>
          </cell>
          <cell r="BF1536" t="str">
            <v>9200</v>
          </cell>
          <cell r="BG1536" t="str">
            <v>Q001</v>
          </cell>
          <cell r="BH1536" t="str">
            <v>EMU</v>
          </cell>
        </row>
        <row r="1537">
          <cell r="K1537">
            <v>1200</v>
          </cell>
          <cell r="L1537">
            <v>0</v>
          </cell>
          <cell r="N1537">
            <v>-800</v>
          </cell>
          <cell r="O1537">
            <v>0</v>
          </cell>
          <cell r="Q1537">
            <v>0</v>
          </cell>
          <cell r="R1537">
            <v>0</v>
          </cell>
          <cell r="T1537">
            <v>-2800</v>
          </cell>
          <cell r="U1537">
            <v>0</v>
          </cell>
          <cell r="W1537">
            <v>400</v>
          </cell>
          <cell r="X1537">
            <v>0</v>
          </cell>
          <cell r="Z1537">
            <v>-800</v>
          </cell>
          <cell r="AA1537">
            <v>0</v>
          </cell>
          <cell r="AC1537">
            <v>0</v>
          </cell>
          <cell r="AD1537">
            <v>0</v>
          </cell>
          <cell r="AF1537">
            <v>0</v>
          </cell>
          <cell r="AG1537">
            <v>0</v>
          </cell>
          <cell r="AI1537">
            <v>0</v>
          </cell>
          <cell r="AJ1537">
            <v>0</v>
          </cell>
          <cell r="AL1537">
            <v>1600</v>
          </cell>
          <cell r="AM1537">
            <v>0</v>
          </cell>
          <cell r="AO1537">
            <v>800</v>
          </cell>
          <cell r="AP1537">
            <v>0</v>
          </cell>
          <cell r="AR1537">
            <v>800</v>
          </cell>
          <cell r="AS1537">
            <v>0</v>
          </cell>
          <cell r="BF1537" t="str">
            <v>9200</v>
          </cell>
          <cell r="BG1537" t="str">
            <v>Q002</v>
          </cell>
          <cell r="BH1537" t="str">
            <v>EMU</v>
          </cell>
        </row>
        <row r="1538">
          <cell r="K1538">
            <v>0</v>
          </cell>
          <cell r="L1538">
            <v>0</v>
          </cell>
          <cell r="N1538">
            <v>0</v>
          </cell>
          <cell r="O1538">
            <v>0</v>
          </cell>
          <cell r="Q1538">
            <v>0</v>
          </cell>
          <cell r="R1538">
            <v>0</v>
          </cell>
          <cell r="T1538">
            <v>0</v>
          </cell>
          <cell r="U1538">
            <v>0</v>
          </cell>
          <cell r="W1538">
            <v>0</v>
          </cell>
          <cell r="X1538">
            <v>0</v>
          </cell>
          <cell r="Z1538">
            <v>0</v>
          </cell>
          <cell r="AA1538">
            <v>0</v>
          </cell>
          <cell r="AC1538">
            <v>0</v>
          </cell>
          <cell r="AD1538">
            <v>0</v>
          </cell>
          <cell r="AF1538">
            <v>0</v>
          </cell>
          <cell r="AG1538">
            <v>0</v>
          </cell>
          <cell r="AI1538">
            <v>0</v>
          </cell>
          <cell r="AJ1538">
            <v>0</v>
          </cell>
          <cell r="AL1538">
            <v>0</v>
          </cell>
          <cell r="AM1538">
            <v>0</v>
          </cell>
          <cell r="AO1538">
            <v>0</v>
          </cell>
          <cell r="AP1538">
            <v>0</v>
          </cell>
          <cell r="AR1538">
            <v>0</v>
          </cell>
          <cell r="AS1538">
            <v>0</v>
          </cell>
          <cell r="BF1538" t="str">
            <v>9200</v>
          </cell>
          <cell r="BG1538" t="str">
            <v>Q003</v>
          </cell>
          <cell r="BH1538" t="str">
            <v>EMU</v>
          </cell>
        </row>
        <row r="1539">
          <cell r="K1539">
            <v>960</v>
          </cell>
          <cell r="L1539">
            <v>0</v>
          </cell>
          <cell r="N1539">
            <v>-640</v>
          </cell>
          <cell r="O1539">
            <v>0</v>
          </cell>
          <cell r="Q1539">
            <v>0</v>
          </cell>
          <cell r="R1539">
            <v>0</v>
          </cell>
          <cell r="T1539">
            <v>-2240</v>
          </cell>
          <cell r="U1539">
            <v>0</v>
          </cell>
          <cell r="W1539">
            <v>320</v>
          </cell>
          <cell r="X1539">
            <v>0</v>
          </cell>
          <cell r="Z1539">
            <v>-640</v>
          </cell>
          <cell r="AA1539">
            <v>0</v>
          </cell>
          <cell r="AC1539">
            <v>0</v>
          </cell>
          <cell r="AD1539">
            <v>0</v>
          </cell>
          <cell r="AF1539">
            <v>0</v>
          </cell>
          <cell r="AG1539">
            <v>0</v>
          </cell>
          <cell r="AI1539">
            <v>320</v>
          </cell>
          <cell r="AJ1539">
            <v>0</v>
          </cell>
          <cell r="AL1539">
            <v>1220</v>
          </cell>
          <cell r="AM1539">
            <v>0</v>
          </cell>
          <cell r="AO1539">
            <v>1280</v>
          </cell>
          <cell r="AP1539">
            <v>0</v>
          </cell>
          <cell r="AR1539">
            <v>1280</v>
          </cell>
          <cell r="AS1539">
            <v>0</v>
          </cell>
          <cell r="BF1539" t="str">
            <v>9200</v>
          </cell>
          <cell r="BG1539" t="str">
            <v>Q004</v>
          </cell>
          <cell r="BH1539" t="str">
            <v>EMU</v>
          </cell>
        </row>
        <row r="1540">
          <cell r="K1540">
            <v>0</v>
          </cell>
          <cell r="L1540">
            <v>0</v>
          </cell>
          <cell r="N1540">
            <v>0</v>
          </cell>
          <cell r="O1540">
            <v>0</v>
          </cell>
          <cell r="Q1540">
            <v>11130</v>
          </cell>
          <cell r="R1540">
            <v>0</v>
          </cell>
          <cell r="T1540">
            <v>23530</v>
          </cell>
          <cell r="U1540">
            <v>0</v>
          </cell>
          <cell r="W1540">
            <v>-33780</v>
          </cell>
          <cell r="X1540">
            <v>0</v>
          </cell>
          <cell r="Z1540">
            <v>0</v>
          </cell>
          <cell r="AA1540">
            <v>0</v>
          </cell>
          <cell r="AC1540">
            <v>0</v>
          </cell>
          <cell r="AD1540">
            <v>0</v>
          </cell>
          <cell r="AF1540">
            <v>0</v>
          </cell>
          <cell r="AG1540">
            <v>0</v>
          </cell>
          <cell r="AI1540">
            <v>-14436.710000000894</v>
          </cell>
          <cell r="AJ1540">
            <v>0</v>
          </cell>
          <cell r="AL1540">
            <v>13556.710000000894</v>
          </cell>
          <cell r="AM1540">
            <v>0</v>
          </cell>
          <cell r="AO1540">
            <v>0</v>
          </cell>
          <cell r="AP1540">
            <v>0</v>
          </cell>
          <cell r="AR1540">
            <v>0</v>
          </cell>
          <cell r="AS1540">
            <v>0</v>
          </cell>
          <cell r="BF1540" t="str">
            <v>9200</v>
          </cell>
          <cell r="BG1540" t="str">
            <v>Q005</v>
          </cell>
          <cell r="BH1540" t="str">
            <v>EMU</v>
          </cell>
        </row>
        <row r="1541">
          <cell r="K1541">
            <v>8783.359999999986</v>
          </cell>
          <cell r="L1541">
            <v>0</v>
          </cell>
          <cell r="N1541">
            <v>-10123.830000000016</v>
          </cell>
          <cell r="O1541">
            <v>0</v>
          </cell>
          <cell r="Q1541">
            <v>11199.760000000009</v>
          </cell>
          <cell r="R1541">
            <v>0</v>
          </cell>
          <cell r="T1541">
            <v>17737.150000000023</v>
          </cell>
          <cell r="U1541">
            <v>0</v>
          </cell>
          <cell r="W1541">
            <v>11840.5</v>
          </cell>
          <cell r="X1541">
            <v>0</v>
          </cell>
          <cell r="Z1541">
            <v>-44719</v>
          </cell>
          <cell r="AA1541">
            <v>0</v>
          </cell>
          <cell r="AC1541">
            <v>10534.25</v>
          </cell>
          <cell r="AD1541">
            <v>0</v>
          </cell>
          <cell r="AF1541">
            <v>-28346.5</v>
          </cell>
          <cell r="AG1541">
            <v>0</v>
          </cell>
          <cell r="AI1541">
            <v>86705</v>
          </cell>
          <cell r="AJ1541">
            <v>0</v>
          </cell>
          <cell r="AL1541">
            <v>-4198</v>
          </cell>
          <cell r="AM1541">
            <v>0</v>
          </cell>
          <cell r="AO1541">
            <v>-153592.5</v>
          </cell>
          <cell r="AP1541">
            <v>0</v>
          </cell>
          <cell r="AR1541">
            <v>69152.5</v>
          </cell>
          <cell r="AS1541">
            <v>0</v>
          </cell>
          <cell r="BF1541" t="str">
            <v>9200</v>
          </cell>
          <cell r="BG1541" t="str">
            <v>Q006</v>
          </cell>
          <cell r="BH1541" t="str">
            <v>EMU</v>
          </cell>
        </row>
        <row r="1542">
          <cell r="K1542">
            <v>0</v>
          </cell>
          <cell r="L1542">
            <v>0</v>
          </cell>
          <cell r="N1542">
            <v>0</v>
          </cell>
          <cell r="O1542">
            <v>0</v>
          </cell>
          <cell r="Q1542">
            <v>0</v>
          </cell>
          <cell r="R1542">
            <v>0</v>
          </cell>
          <cell r="T1542">
            <v>0</v>
          </cell>
          <cell r="U1542">
            <v>0</v>
          </cell>
          <cell r="W1542">
            <v>0</v>
          </cell>
          <cell r="X1542">
            <v>0</v>
          </cell>
          <cell r="Z1542">
            <v>0</v>
          </cell>
          <cell r="AA1542">
            <v>0</v>
          </cell>
          <cell r="AC1542">
            <v>0</v>
          </cell>
          <cell r="AD1542">
            <v>0</v>
          </cell>
          <cell r="AF1542">
            <v>0</v>
          </cell>
          <cell r="AG1542">
            <v>0</v>
          </cell>
          <cell r="AI1542">
            <v>0</v>
          </cell>
          <cell r="AJ1542">
            <v>0</v>
          </cell>
          <cell r="AL1542">
            <v>0</v>
          </cell>
          <cell r="AM1542">
            <v>0</v>
          </cell>
          <cell r="AO1542">
            <v>0</v>
          </cell>
          <cell r="AP1542">
            <v>0</v>
          </cell>
          <cell r="AR1542">
            <v>0</v>
          </cell>
          <cell r="AS1542">
            <v>0</v>
          </cell>
          <cell r="BF1542" t="str">
            <v>9300</v>
          </cell>
          <cell r="BG1542" t="str">
            <v>Z000</v>
          </cell>
          <cell r="BH1542" t="str">
            <v>EMU</v>
          </cell>
        </row>
        <row r="1543">
          <cell r="K1543">
            <v>0</v>
          </cell>
          <cell r="L1543">
            <v>0</v>
          </cell>
          <cell r="N1543">
            <v>0</v>
          </cell>
          <cell r="O1543">
            <v>0</v>
          </cell>
          <cell r="Q1543">
            <v>0</v>
          </cell>
          <cell r="R1543">
            <v>0</v>
          </cell>
          <cell r="T1543">
            <v>0</v>
          </cell>
          <cell r="U1543">
            <v>0</v>
          </cell>
          <cell r="W1543">
            <v>0</v>
          </cell>
          <cell r="X1543">
            <v>0</v>
          </cell>
          <cell r="Z1543">
            <v>0</v>
          </cell>
          <cell r="AA1543">
            <v>0</v>
          </cell>
          <cell r="AC1543">
            <v>0</v>
          </cell>
          <cell r="AD1543">
            <v>0</v>
          </cell>
          <cell r="AF1543">
            <v>0</v>
          </cell>
          <cell r="AG1543">
            <v>0</v>
          </cell>
          <cell r="AI1543">
            <v>0</v>
          </cell>
          <cell r="AJ1543">
            <v>0</v>
          </cell>
          <cell r="AL1543">
            <v>0</v>
          </cell>
          <cell r="AM1543">
            <v>0</v>
          </cell>
          <cell r="AO1543">
            <v>0</v>
          </cell>
          <cell r="AP1543">
            <v>0</v>
          </cell>
          <cell r="AR1543">
            <v>0</v>
          </cell>
          <cell r="AS1543">
            <v>0</v>
          </cell>
          <cell r="BF1543" t="str">
            <v>9400</v>
          </cell>
          <cell r="BG1543" t="str">
            <v>Z000</v>
          </cell>
          <cell r="BH1543" t="str">
            <v>EMU</v>
          </cell>
        </row>
        <row r="1544">
          <cell r="K1544">
            <v>0</v>
          </cell>
          <cell r="L1544">
            <v>0</v>
          </cell>
          <cell r="N1544">
            <v>0</v>
          </cell>
          <cell r="O1544">
            <v>0</v>
          </cell>
          <cell r="Q1544">
            <v>0</v>
          </cell>
          <cell r="R1544">
            <v>0</v>
          </cell>
          <cell r="T1544">
            <v>0</v>
          </cell>
          <cell r="U1544">
            <v>0</v>
          </cell>
          <cell r="W1544">
            <v>0</v>
          </cell>
          <cell r="X1544">
            <v>0</v>
          </cell>
          <cell r="Z1544">
            <v>0</v>
          </cell>
          <cell r="AA1544">
            <v>0</v>
          </cell>
          <cell r="AC1544">
            <v>0</v>
          </cell>
          <cell r="AD1544">
            <v>0</v>
          </cell>
          <cell r="AF1544">
            <v>0</v>
          </cell>
          <cell r="AG1544">
            <v>0</v>
          </cell>
          <cell r="AI1544">
            <v>0</v>
          </cell>
          <cell r="AJ1544">
            <v>0</v>
          </cell>
          <cell r="AL1544">
            <v>0</v>
          </cell>
          <cell r="AM1544">
            <v>0</v>
          </cell>
          <cell r="AO1544">
            <v>0</v>
          </cell>
          <cell r="AP1544">
            <v>0</v>
          </cell>
          <cell r="AR1544">
            <v>0</v>
          </cell>
          <cell r="AS1544">
            <v>0</v>
          </cell>
          <cell r="BF1544" t="str">
            <v>9500</v>
          </cell>
          <cell r="BG1544" t="str">
            <v>Z000</v>
          </cell>
          <cell r="BH1544" t="str">
            <v>EMU</v>
          </cell>
        </row>
        <row r="1545">
          <cell r="K1545">
            <v>0</v>
          </cell>
          <cell r="L1545">
            <v>0</v>
          </cell>
          <cell r="N1545">
            <v>0</v>
          </cell>
          <cell r="O1545">
            <v>0</v>
          </cell>
          <cell r="Q1545">
            <v>0</v>
          </cell>
          <cell r="R1545">
            <v>0</v>
          </cell>
          <cell r="T1545">
            <v>0</v>
          </cell>
          <cell r="U1545">
            <v>0</v>
          </cell>
          <cell r="W1545">
            <v>0</v>
          </cell>
          <cell r="X1545">
            <v>0</v>
          </cell>
          <cell r="Z1545">
            <v>0</v>
          </cell>
          <cell r="AA1545">
            <v>0</v>
          </cell>
          <cell r="AC1545">
            <v>0</v>
          </cell>
          <cell r="AD1545">
            <v>0</v>
          </cell>
          <cell r="AF1545">
            <v>0</v>
          </cell>
          <cell r="AG1545">
            <v>0</v>
          </cell>
          <cell r="AI1545">
            <v>0</v>
          </cell>
          <cell r="AJ1545">
            <v>0</v>
          </cell>
          <cell r="AL1545">
            <v>0</v>
          </cell>
          <cell r="AM1545">
            <v>0</v>
          </cell>
          <cell r="AO1545">
            <v>0</v>
          </cell>
          <cell r="AP1545">
            <v>0</v>
          </cell>
          <cell r="AR1545">
            <v>0</v>
          </cell>
          <cell r="AS1545">
            <v>0</v>
          </cell>
          <cell r="BF1545" t="str">
            <v>9550</v>
          </cell>
          <cell r="BG1545" t="str">
            <v>Z000</v>
          </cell>
          <cell r="BH1545" t="str">
            <v>EMU</v>
          </cell>
        </row>
        <row r="1546">
          <cell r="K1546">
            <v>364016.80999999959</v>
          </cell>
          <cell r="L1546">
            <v>0</v>
          </cell>
          <cell r="N1546">
            <v>0</v>
          </cell>
          <cell r="O1546">
            <v>0</v>
          </cell>
          <cell r="Q1546">
            <v>0</v>
          </cell>
          <cell r="R1546">
            <v>0</v>
          </cell>
          <cell r="T1546">
            <v>0</v>
          </cell>
          <cell r="U1546">
            <v>0</v>
          </cell>
          <cell r="W1546">
            <v>0</v>
          </cell>
          <cell r="X1546">
            <v>0</v>
          </cell>
          <cell r="Z1546">
            <v>0</v>
          </cell>
          <cell r="AA1546">
            <v>0</v>
          </cell>
          <cell r="AC1546">
            <v>0</v>
          </cell>
          <cell r="AD1546">
            <v>0</v>
          </cell>
          <cell r="AF1546">
            <v>0</v>
          </cell>
          <cell r="AG1546">
            <v>0</v>
          </cell>
          <cell r="AI1546">
            <v>0</v>
          </cell>
          <cell r="AJ1546">
            <v>0</v>
          </cell>
          <cell r="AL1546">
            <v>0</v>
          </cell>
          <cell r="AM1546">
            <v>0</v>
          </cell>
          <cell r="AO1546">
            <v>0</v>
          </cell>
          <cell r="AP1546">
            <v>0</v>
          </cell>
          <cell r="AR1546">
            <v>0</v>
          </cell>
          <cell r="AS1546">
            <v>0</v>
          </cell>
          <cell r="BF1546" t="str">
            <v>9600</v>
          </cell>
          <cell r="BG1546" t="str">
            <v>Z000</v>
          </cell>
          <cell r="BH1546" t="str">
            <v>EMU</v>
          </cell>
        </row>
        <row r="1547">
          <cell r="K1547">
            <v>8812.390000000596</v>
          </cell>
          <cell r="L1547">
            <v>0</v>
          </cell>
          <cell r="N1547">
            <v>-455021.00999999978</v>
          </cell>
          <cell r="O1547">
            <v>0</v>
          </cell>
          <cell r="Q1547">
            <v>0</v>
          </cell>
          <cell r="R1547">
            <v>0</v>
          </cell>
          <cell r="T1547">
            <v>0</v>
          </cell>
          <cell r="U1547">
            <v>0</v>
          </cell>
          <cell r="W1547">
            <v>0</v>
          </cell>
          <cell r="X1547">
            <v>0</v>
          </cell>
          <cell r="Z1547">
            <v>0</v>
          </cell>
          <cell r="AA1547">
            <v>0</v>
          </cell>
          <cell r="AC1547">
            <v>0</v>
          </cell>
          <cell r="AD1547">
            <v>0</v>
          </cell>
          <cell r="AF1547">
            <v>0</v>
          </cell>
          <cell r="AG1547">
            <v>0</v>
          </cell>
          <cell r="AI1547">
            <v>0</v>
          </cell>
          <cell r="AJ1547">
            <v>0</v>
          </cell>
          <cell r="AL1547">
            <v>0</v>
          </cell>
          <cell r="AM1547">
            <v>0</v>
          </cell>
          <cell r="AO1547">
            <v>0</v>
          </cell>
          <cell r="AP1547">
            <v>0</v>
          </cell>
          <cell r="AR1547">
            <v>0</v>
          </cell>
          <cell r="AS1547">
            <v>0</v>
          </cell>
          <cell r="BF1547" t="str">
            <v>9700</v>
          </cell>
          <cell r="BG1547" t="str">
            <v>Z000</v>
          </cell>
          <cell r="BH1547" t="str">
            <v>EMU</v>
          </cell>
        </row>
        <row r="1548">
          <cell r="K1548">
            <v>0</v>
          </cell>
          <cell r="L1548">
            <v>0</v>
          </cell>
          <cell r="N1548">
            <v>0</v>
          </cell>
          <cell r="O1548">
            <v>0</v>
          </cell>
          <cell r="Q1548">
            <v>0</v>
          </cell>
          <cell r="R1548">
            <v>0</v>
          </cell>
          <cell r="T1548">
            <v>0</v>
          </cell>
          <cell r="U1548">
            <v>0</v>
          </cell>
          <cell r="W1548">
            <v>0</v>
          </cell>
          <cell r="X1548">
            <v>0</v>
          </cell>
          <cell r="Z1548">
            <v>0</v>
          </cell>
          <cell r="AA1548">
            <v>0</v>
          </cell>
          <cell r="AC1548">
            <v>0</v>
          </cell>
          <cell r="AD1548">
            <v>0</v>
          </cell>
          <cell r="AF1548">
            <v>0</v>
          </cell>
          <cell r="AG1548">
            <v>0</v>
          </cell>
          <cell r="AI1548">
            <v>0</v>
          </cell>
          <cell r="AJ1548">
            <v>0</v>
          </cell>
          <cell r="AL1548">
            <v>0</v>
          </cell>
          <cell r="AM1548">
            <v>0</v>
          </cell>
          <cell r="AO1548">
            <v>0</v>
          </cell>
          <cell r="AP1548">
            <v>0</v>
          </cell>
          <cell r="AR1548">
            <v>0</v>
          </cell>
          <cell r="AS1548">
            <v>0</v>
          </cell>
          <cell r="BF1548" t="str">
            <v>9702</v>
          </cell>
          <cell r="BG1548" t="str">
            <v>Z000</v>
          </cell>
          <cell r="BH1548" t="str">
            <v>EMU</v>
          </cell>
        </row>
        <row r="1549">
          <cell r="K1549">
            <v>0</v>
          </cell>
          <cell r="L1549">
            <v>0</v>
          </cell>
          <cell r="N1549">
            <v>0</v>
          </cell>
          <cell r="O1549">
            <v>0</v>
          </cell>
          <cell r="Q1549">
            <v>0</v>
          </cell>
          <cell r="R1549">
            <v>0</v>
          </cell>
          <cell r="T1549">
            <v>-3197136</v>
          </cell>
          <cell r="U1549">
            <v>0</v>
          </cell>
          <cell r="W1549">
            <v>-1583709.5999999996</v>
          </cell>
          <cell r="X1549">
            <v>0</v>
          </cell>
          <cell r="Z1549">
            <v>0</v>
          </cell>
          <cell r="AA1549">
            <v>0</v>
          </cell>
          <cell r="AC1549">
            <v>0</v>
          </cell>
          <cell r="AD1549">
            <v>0</v>
          </cell>
          <cell r="AF1549">
            <v>0</v>
          </cell>
          <cell r="AG1549">
            <v>0</v>
          </cell>
          <cell r="AI1549">
            <v>0</v>
          </cell>
          <cell r="AJ1549">
            <v>0</v>
          </cell>
          <cell r="AL1549">
            <v>0</v>
          </cell>
          <cell r="AM1549">
            <v>0</v>
          </cell>
          <cell r="AO1549">
            <v>0</v>
          </cell>
          <cell r="AP1549">
            <v>0</v>
          </cell>
          <cell r="AR1549">
            <v>0</v>
          </cell>
          <cell r="AS1549">
            <v>0</v>
          </cell>
          <cell r="BF1549" t="str">
            <v>9750</v>
          </cell>
          <cell r="BG1549" t="str">
            <v>Z000</v>
          </cell>
          <cell r="BH1549" t="str">
            <v>EMU</v>
          </cell>
        </row>
        <row r="1550">
          <cell r="K1550">
            <v>0</v>
          </cell>
          <cell r="L1550">
            <v>0</v>
          </cell>
          <cell r="N1550">
            <v>0</v>
          </cell>
          <cell r="O1550">
            <v>0</v>
          </cell>
          <cell r="Q1550">
            <v>0</v>
          </cell>
          <cell r="R1550">
            <v>0</v>
          </cell>
          <cell r="T1550">
            <v>0</v>
          </cell>
          <cell r="U1550">
            <v>0</v>
          </cell>
          <cell r="W1550">
            <v>0</v>
          </cell>
          <cell r="X1550">
            <v>0</v>
          </cell>
          <cell r="Z1550">
            <v>0</v>
          </cell>
          <cell r="AA1550">
            <v>0</v>
          </cell>
          <cell r="AC1550">
            <v>0</v>
          </cell>
          <cell r="AD1550">
            <v>0</v>
          </cell>
          <cell r="AF1550">
            <v>0</v>
          </cell>
          <cell r="AG1550">
            <v>0</v>
          </cell>
          <cell r="AI1550">
            <v>0</v>
          </cell>
          <cell r="AJ1550">
            <v>0</v>
          </cell>
          <cell r="AL1550">
            <v>0</v>
          </cell>
          <cell r="AM1550">
            <v>0</v>
          </cell>
          <cell r="AO1550">
            <v>0</v>
          </cell>
          <cell r="AP1550">
            <v>0</v>
          </cell>
          <cell r="AR1550">
            <v>0</v>
          </cell>
          <cell r="AS1550">
            <v>0</v>
          </cell>
          <cell r="BF1550" t="str">
            <v>1000</v>
          </cell>
          <cell r="BG1550" t="str">
            <v>A001</v>
          </cell>
          <cell r="BH1550" t="str">
            <v>VSS</v>
          </cell>
        </row>
        <row r="1551">
          <cell r="K1551">
            <v>0</v>
          </cell>
          <cell r="L1551">
            <v>0</v>
          </cell>
          <cell r="N1551">
            <v>0</v>
          </cell>
          <cell r="O1551">
            <v>0</v>
          </cell>
          <cell r="Q1551">
            <v>0</v>
          </cell>
          <cell r="R1551">
            <v>0</v>
          </cell>
          <cell r="T1551">
            <v>0</v>
          </cell>
          <cell r="U1551">
            <v>0</v>
          </cell>
          <cell r="W1551">
            <v>0</v>
          </cell>
          <cell r="X1551">
            <v>0</v>
          </cell>
          <cell r="Z1551">
            <v>0</v>
          </cell>
          <cell r="AA1551">
            <v>0</v>
          </cell>
          <cell r="AC1551">
            <v>0</v>
          </cell>
          <cell r="AD1551">
            <v>0</v>
          </cell>
          <cell r="AF1551">
            <v>0</v>
          </cell>
          <cell r="AG1551">
            <v>0</v>
          </cell>
          <cell r="AI1551">
            <v>0</v>
          </cell>
          <cell r="AJ1551">
            <v>0</v>
          </cell>
          <cell r="AL1551">
            <v>0</v>
          </cell>
          <cell r="AM1551">
            <v>0</v>
          </cell>
          <cell r="AO1551">
            <v>0</v>
          </cell>
          <cell r="AP1551">
            <v>0</v>
          </cell>
          <cell r="AR1551">
            <v>0</v>
          </cell>
          <cell r="AS1551">
            <v>0</v>
          </cell>
          <cell r="BF1551" t="str">
            <v>1000</v>
          </cell>
          <cell r="BG1551" t="str">
            <v>A002</v>
          </cell>
          <cell r="BH1551" t="str">
            <v>VSS</v>
          </cell>
        </row>
        <row r="1552">
          <cell r="K1552">
            <v>0</v>
          </cell>
          <cell r="L1552">
            <v>0</v>
          </cell>
          <cell r="N1552">
            <v>0</v>
          </cell>
          <cell r="O1552">
            <v>0</v>
          </cell>
          <cell r="Q1552">
            <v>0</v>
          </cell>
          <cell r="R1552">
            <v>0</v>
          </cell>
          <cell r="T1552">
            <v>0</v>
          </cell>
          <cell r="U1552">
            <v>0</v>
          </cell>
          <cell r="W1552">
            <v>0</v>
          </cell>
          <cell r="X1552">
            <v>0</v>
          </cell>
          <cell r="Z1552">
            <v>0</v>
          </cell>
          <cell r="AA1552">
            <v>0</v>
          </cell>
          <cell r="AC1552">
            <v>0</v>
          </cell>
          <cell r="AD1552">
            <v>0</v>
          </cell>
          <cell r="AF1552">
            <v>0</v>
          </cell>
          <cell r="AG1552">
            <v>0</v>
          </cell>
          <cell r="AI1552">
            <v>0</v>
          </cell>
          <cell r="AJ1552">
            <v>0</v>
          </cell>
          <cell r="AL1552">
            <v>0</v>
          </cell>
          <cell r="AM1552">
            <v>0</v>
          </cell>
          <cell r="AO1552">
            <v>0</v>
          </cell>
          <cell r="AP1552">
            <v>0</v>
          </cell>
          <cell r="AR1552">
            <v>0</v>
          </cell>
          <cell r="AS1552">
            <v>0</v>
          </cell>
          <cell r="BF1552" t="str">
            <v>1000</v>
          </cell>
          <cell r="BG1552" t="str">
            <v>A003</v>
          </cell>
          <cell r="BH1552" t="str">
            <v>VSS</v>
          </cell>
        </row>
        <row r="1553">
          <cell r="K1553">
            <v>0</v>
          </cell>
          <cell r="L1553">
            <v>0</v>
          </cell>
          <cell r="N1553">
            <v>0</v>
          </cell>
          <cell r="O1553">
            <v>0</v>
          </cell>
          <cell r="Q1553">
            <v>0</v>
          </cell>
          <cell r="R1553">
            <v>0</v>
          </cell>
          <cell r="T1553">
            <v>0</v>
          </cell>
          <cell r="U1553">
            <v>0</v>
          </cell>
          <cell r="W1553">
            <v>0</v>
          </cell>
          <cell r="X1553">
            <v>0</v>
          </cell>
          <cell r="Z1553">
            <v>0</v>
          </cell>
          <cell r="AA1553">
            <v>0</v>
          </cell>
          <cell r="AC1553">
            <v>0</v>
          </cell>
          <cell r="AD1553">
            <v>0</v>
          </cell>
          <cell r="AF1553">
            <v>0</v>
          </cell>
          <cell r="AG1553">
            <v>0</v>
          </cell>
          <cell r="AI1553">
            <v>0</v>
          </cell>
          <cell r="AJ1553">
            <v>0</v>
          </cell>
          <cell r="AL1553">
            <v>0</v>
          </cell>
          <cell r="AM1553">
            <v>0</v>
          </cell>
          <cell r="AO1553">
            <v>0</v>
          </cell>
          <cell r="AP1553">
            <v>0</v>
          </cell>
          <cell r="AR1553">
            <v>0</v>
          </cell>
          <cell r="AS1553">
            <v>0</v>
          </cell>
          <cell r="BF1553" t="str">
            <v>1000</v>
          </cell>
          <cell r="BG1553" t="str">
            <v>A004</v>
          </cell>
          <cell r="BH1553" t="str">
            <v>VSS</v>
          </cell>
        </row>
        <row r="1554">
          <cell r="K1554">
            <v>0</v>
          </cell>
          <cell r="L1554">
            <v>0</v>
          </cell>
          <cell r="N1554">
            <v>0</v>
          </cell>
          <cell r="O1554">
            <v>0</v>
          </cell>
          <cell r="Q1554">
            <v>0</v>
          </cell>
          <cell r="R1554">
            <v>0</v>
          </cell>
          <cell r="T1554">
            <v>0</v>
          </cell>
          <cell r="U1554">
            <v>0</v>
          </cell>
          <cell r="W1554">
            <v>0</v>
          </cell>
          <cell r="X1554">
            <v>0</v>
          </cell>
          <cell r="Z1554">
            <v>0</v>
          </cell>
          <cell r="AA1554">
            <v>0</v>
          </cell>
          <cell r="AC1554">
            <v>0</v>
          </cell>
          <cell r="AD1554">
            <v>0</v>
          </cell>
          <cell r="AF1554">
            <v>0</v>
          </cell>
          <cell r="AG1554">
            <v>0</v>
          </cell>
          <cell r="AI1554">
            <v>0</v>
          </cell>
          <cell r="AJ1554">
            <v>0</v>
          </cell>
          <cell r="AL1554">
            <v>0</v>
          </cell>
          <cell r="AM1554">
            <v>0</v>
          </cell>
          <cell r="AO1554">
            <v>0</v>
          </cell>
          <cell r="AP1554">
            <v>0</v>
          </cell>
          <cell r="AR1554">
            <v>0</v>
          </cell>
          <cell r="AS1554">
            <v>0</v>
          </cell>
          <cell r="BF1554" t="str">
            <v>1000</v>
          </cell>
          <cell r="BG1554" t="str">
            <v>A005</v>
          </cell>
          <cell r="BH1554" t="str">
            <v>VSS</v>
          </cell>
        </row>
        <row r="1555">
          <cell r="K1555">
            <v>0</v>
          </cell>
          <cell r="L1555">
            <v>0</v>
          </cell>
          <cell r="N1555">
            <v>0</v>
          </cell>
          <cell r="O1555">
            <v>0</v>
          </cell>
          <cell r="Q1555">
            <v>0</v>
          </cell>
          <cell r="R1555">
            <v>0</v>
          </cell>
          <cell r="T1555">
            <v>0</v>
          </cell>
          <cell r="U1555">
            <v>0</v>
          </cell>
          <cell r="W1555">
            <v>0</v>
          </cell>
          <cell r="X1555">
            <v>0</v>
          </cell>
          <cell r="Z1555">
            <v>0</v>
          </cell>
          <cell r="AA1555">
            <v>0</v>
          </cell>
          <cell r="AC1555">
            <v>0</v>
          </cell>
          <cell r="AD1555">
            <v>0</v>
          </cell>
          <cell r="AF1555">
            <v>0</v>
          </cell>
          <cell r="AG1555">
            <v>0</v>
          </cell>
          <cell r="AI1555">
            <v>0</v>
          </cell>
          <cell r="AJ1555">
            <v>0</v>
          </cell>
          <cell r="AL1555">
            <v>0</v>
          </cell>
          <cell r="AM1555">
            <v>0</v>
          </cell>
          <cell r="AO1555">
            <v>0</v>
          </cell>
          <cell r="AP1555">
            <v>0</v>
          </cell>
          <cell r="AR1555">
            <v>0</v>
          </cell>
          <cell r="AS1555">
            <v>0</v>
          </cell>
          <cell r="BF1555" t="str">
            <v>1000</v>
          </cell>
          <cell r="BG1555" t="str">
            <v>A006</v>
          </cell>
          <cell r="BH1555" t="str">
            <v>VSS</v>
          </cell>
        </row>
        <row r="1556">
          <cell r="K1556">
            <v>0</v>
          </cell>
          <cell r="L1556">
            <v>0</v>
          </cell>
          <cell r="N1556">
            <v>0</v>
          </cell>
          <cell r="O1556">
            <v>0</v>
          </cell>
          <cell r="Q1556">
            <v>0</v>
          </cell>
          <cell r="R1556">
            <v>0</v>
          </cell>
          <cell r="T1556">
            <v>0</v>
          </cell>
          <cell r="U1556">
            <v>0</v>
          </cell>
          <cell r="W1556">
            <v>0</v>
          </cell>
          <cell r="X1556">
            <v>0</v>
          </cell>
          <cell r="Z1556">
            <v>0</v>
          </cell>
          <cell r="AA1556">
            <v>0</v>
          </cell>
          <cell r="AC1556">
            <v>0</v>
          </cell>
          <cell r="AD1556">
            <v>0</v>
          </cell>
          <cell r="AF1556">
            <v>0</v>
          </cell>
          <cell r="AG1556">
            <v>0</v>
          </cell>
          <cell r="AI1556">
            <v>0</v>
          </cell>
          <cell r="AJ1556">
            <v>0</v>
          </cell>
          <cell r="AL1556">
            <v>0</v>
          </cell>
          <cell r="AM1556">
            <v>0</v>
          </cell>
          <cell r="AO1556">
            <v>0</v>
          </cell>
          <cell r="AP1556">
            <v>0</v>
          </cell>
          <cell r="AR1556">
            <v>0</v>
          </cell>
          <cell r="AS1556">
            <v>0</v>
          </cell>
          <cell r="BF1556" t="str">
            <v>1000</v>
          </cell>
          <cell r="BG1556" t="str">
            <v>A007</v>
          </cell>
          <cell r="BH1556" t="str">
            <v>VSS</v>
          </cell>
        </row>
        <row r="1557">
          <cell r="K1557">
            <v>0</v>
          </cell>
          <cell r="L1557">
            <v>0</v>
          </cell>
          <cell r="N1557">
            <v>0</v>
          </cell>
          <cell r="O1557">
            <v>0</v>
          </cell>
          <cell r="Q1557">
            <v>0</v>
          </cell>
          <cell r="R1557">
            <v>0</v>
          </cell>
          <cell r="T1557">
            <v>0</v>
          </cell>
          <cell r="U1557">
            <v>0</v>
          </cell>
          <cell r="W1557">
            <v>0</v>
          </cell>
          <cell r="X1557">
            <v>0</v>
          </cell>
          <cell r="Z1557">
            <v>0</v>
          </cell>
          <cell r="AA1557">
            <v>0</v>
          </cell>
          <cell r="AC1557">
            <v>0</v>
          </cell>
          <cell r="AD1557">
            <v>0</v>
          </cell>
          <cell r="AF1557">
            <v>0</v>
          </cell>
          <cell r="AG1557">
            <v>0</v>
          </cell>
          <cell r="AI1557">
            <v>0</v>
          </cell>
          <cell r="AJ1557">
            <v>0</v>
          </cell>
          <cell r="AL1557">
            <v>0</v>
          </cell>
          <cell r="AM1557">
            <v>0</v>
          </cell>
          <cell r="AO1557">
            <v>0</v>
          </cell>
          <cell r="AP1557">
            <v>0</v>
          </cell>
          <cell r="AR1557">
            <v>0</v>
          </cell>
          <cell r="AS1557">
            <v>0</v>
          </cell>
          <cell r="BF1557" t="str">
            <v>1000</v>
          </cell>
          <cell r="BG1557" t="str">
            <v>A008</v>
          </cell>
          <cell r="BH1557" t="str">
            <v>VSS</v>
          </cell>
        </row>
        <row r="1558">
          <cell r="K1558">
            <v>0</v>
          </cell>
          <cell r="L1558">
            <v>0</v>
          </cell>
          <cell r="N1558">
            <v>0</v>
          </cell>
          <cell r="O1558">
            <v>0</v>
          </cell>
          <cell r="Q1558">
            <v>0</v>
          </cell>
          <cell r="R1558">
            <v>0</v>
          </cell>
          <cell r="T1558">
            <v>0</v>
          </cell>
          <cell r="U1558">
            <v>0</v>
          </cell>
          <cell r="W1558">
            <v>0</v>
          </cell>
          <cell r="X1558">
            <v>0</v>
          </cell>
          <cell r="Z1558">
            <v>0</v>
          </cell>
          <cell r="AA1558">
            <v>0</v>
          </cell>
          <cell r="AC1558">
            <v>0</v>
          </cell>
          <cell r="AD1558">
            <v>0</v>
          </cell>
          <cell r="AF1558">
            <v>0</v>
          </cell>
          <cell r="AG1558">
            <v>0</v>
          </cell>
          <cell r="AI1558">
            <v>0</v>
          </cell>
          <cell r="AJ1558">
            <v>0</v>
          </cell>
          <cell r="AL1558">
            <v>0</v>
          </cell>
          <cell r="AM1558">
            <v>0</v>
          </cell>
          <cell r="AO1558">
            <v>0</v>
          </cell>
          <cell r="AP1558">
            <v>0</v>
          </cell>
          <cell r="AR1558">
            <v>0</v>
          </cell>
          <cell r="AS1558">
            <v>0</v>
          </cell>
          <cell r="BF1558" t="str">
            <v>1000</v>
          </cell>
          <cell r="BG1558" t="str">
            <v>A009</v>
          </cell>
          <cell r="BH1558" t="str">
            <v>VSS</v>
          </cell>
        </row>
        <row r="1559">
          <cell r="K1559">
            <v>0</v>
          </cell>
          <cell r="L1559">
            <v>0</v>
          </cell>
          <cell r="N1559">
            <v>0</v>
          </cell>
          <cell r="O1559">
            <v>0</v>
          </cell>
          <cell r="Q1559">
            <v>0</v>
          </cell>
          <cell r="R1559">
            <v>0</v>
          </cell>
          <cell r="T1559">
            <v>0</v>
          </cell>
          <cell r="U1559">
            <v>0</v>
          </cell>
          <cell r="W1559">
            <v>0</v>
          </cell>
          <cell r="X1559">
            <v>0</v>
          </cell>
          <cell r="Z1559">
            <v>0</v>
          </cell>
          <cell r="AA1559">
            <v>0</v>
          </cell>
          <cell r="AC1559">
            <v>0</v>
          </cell>
          <cell r="AD1559">
            <v>0</v>
          </cell>
          <cell r="AF1559">
            <v>0</v>
          </cell>
          <cell r="AG1559">
            <v>0</v>
          </cell>
          <cell r="AI1559">
            <v>0</v>
          </cell>
          <cell r="AJ1559">
            <v>0</v>
          </cell>
          <cell r="AL1559">
            <v>0</v>
          </cell>
          <cell r="AM1559">
            <v>0</v>
          </cell>
          <cell r="AO1559">
            <v>0</v>
          </cell>
          <cell r="AP1559">
            <v>0</v>
          </cell>
          <cell r="AR1559">
            <v>0</v>
          </cell>
          <cell r="AS1559">
            <v>0</v>
          </cell>
          <cell r="BF1559" t="str">
            <v>1000</v>
          </cell>
          <cell r="BG1559" t="str">
            <v>A010</v>
          </cell>
          <cell r="BH1559" t="str">
            <v>VSS</v>
          </cell>
        </row>
        <row r="1560">
          <cell r="K1560">
            <v>0</v>
          </cell>
          <cell r="L1560">
            <v>0</v>
          </cell>
          <cell r="N1560">
            <v>0</v>
          </cell>
          <cell r="O1560">
            <v>0</v>
          </cell>
          <cell r="Q1560">
            <v>0</v>
          </cell>
          <cell r="R1560">
            <v>0</v>
          </cell>
          <cell r="T1560">
            <v>0</v>
          </cell>
          <cell r="U1560">
            <v>0</v>
          </cell>
          <cell r="W1560">
            <v>0</v>
          </cell>
          <cell r="X1560">
            <v>0</v>
          </cell>
          <cell r="Z1560">
            <v>0</v>
          </cell>
          <cell r="AA1560">
            <v>0</v>
          </cell>
          <cell r="AC1560">
            <v>0</v>
          </cell>
          <cell r="AD1560">
            <v>0</v>
          </cell>
          <cell r="AF1560">
            <v>0</v>
          </cell>
          <cell r="AG1560">
            <v>0</v>
          </cell>
          <cell r="AI1560">
            <v>0</v>
          </cell>
          <cell r="AJ1560">
            <v>0</v>
          </cell>
          <cell r="AL1560">
            <v>0</v>
          </cell>
          <cell r="AM1560">
            <v>0</v>
          </cell>
          <cell r="AO1560">
            <v>0</v>
          </cell>
          <cell r="AP1560">
            <v>0</v>
          </cell>
          <cell r="AR1560">
            <v>0</v>
          </cell>
          <cell r="AS1560">
            <v>0</v>
          </cell>
          <cell r="BF1560" t="str">
            <v>1005</v>
          </cell>
          <cell r="BG1560" t="str">
            <v>A081</v>
          </cell>
          <cell r="BH1560" t="str">
            <v>VSS</v>
          </cell>
        </row>
        <row r="1561">
          <cell r="K1561">
            <v>0</v>
          </cell>
          <cell r="L1561">
            <v>0</v>
          </cell>
          <cell r="N1561">
            <v>0</v>
          </cell>
          <cell r="O1561">
            <v>0</v>
          </cell>
          <cell r="Q1561">
            <v>0</v>
          </cell>
          <cell r="R1561">
            <v>0</v>
          </cell>
          <cell r="T1561">
            <v>0</v>
          </cell>
          <cell r="U1561">
            <v>0</v>
          </cell>
          <cell r="W1561">
            <v>0</v>
          </cell>
          <cell r="X1561">
            <v>0</v>
          </cell>
          <cell r="Z1561">
            <v>0</v>
          </cell>
          <cell r="AA1561">
            <v>0</v>
          </cell>
          <cell r="AC1561">
            <v>0</v>
          </cell>
          <cell r="AD1561">
            <v>0</v>
          </cell>
          <cell r="AF1561">
            <v>0</v>
          </cell>
          <cell r="AG1561">
            <v>0</v>
          </cell>
          <cell r="AI1561">
            <v>0</v>
          </cell>
          <cell r="AJ1561">
            <v>0</v>
          </cell>
          <cell r="AL1561">
            <v>0</v>
          </cell>
          <cell r="AM1561">
            <v>0</v>
          </cell>
          <cell r="AO1561">
            <v>0</v>
          </cell>
          <cell r="AP1561">
            <v>0</v>
          </cell>
          <cell r="AR1561">
            <v>0</v>
          </cell>
          <cell r="AS1561">
            <v>0</v>
          </cell>
          <cell r="BF1561" t="str">
            <v>1005</v>
          </cell>
          <cell r="BG1561" t="str">
            <v>A082</v>
          </cell>
          <cell r="BH1561" t="str">
            <v>VSS</v>
          </cell>
        </row>
        <row r="1562">
          <cell r="K1562">
            <v>0</v>
          </cell>
          <cell r="L1562">
            <v>0</v>
          </cell>
          <cell r="N1562">
            <v>0</v>
          </cell>
          <cell r="O1562">
            <v>0</v>
          </cell>
          <cell r="Q1562">
            <v>0</v>
          </cell>
          <cell r="R1562">
            <v>0</v>
          </cell>
          <cell r="T1562">
            <v>0</v>
          </cell>
          <cell r="U1562">
            <v>0</v>
          </cell>
          <cell r="W1562">
            <v>0</v>
          </cell>
          <cell r="X1562">
            <v>0</v>
          </cell>
          <cell r="Z1562">
            <v>8388.35</v>
          </cell>
          <cell r="AA1562">
            <v>0</v>
          </cell>
          <cell r="AC1562">
            <v>0</v>
          </cell>
          <cell r="AD1562">
            <v>0</v>
          </cell>
          <cell r="AF1562">
            <v>0</v>
          </cell>
          <cell r="AG1562">
            <v>0</v>
          </cell>
          <cell r="AI1562">
            <v>0</v>
          </cell>
          <cell r="AJ1562">
            <v>0</v>
          </cell>
          <cell r="AL1562">
            <v>0</v>
          </cell>
          <cell r="AM1562">
            <v>0</v>
          </cell>
          <cell r="AO1562">
            <v>0</v>
          </cell>
          <cell r="AP1562">
            <v>0</v>
          </cell>
          <cell r="AR1562">
            <v>0</v>
          </cell>
          <cell r="AS1562">
            <v>0</v>
          </cell>
          <cell r="BF1562" t="str">
            <v>1005</v>
          </cell>
          <cell r="BG1562" t="str">
            <v>A083</v>
          </cell>
          <cell r="BH1562" t="str">
            <v>VSS</v>
          </cell>
        </row>
        <row r="1563">
          <cell r="K1563">
            <v>5.21</v>
          </cell>
          <cell r="L1563">
            <v>0</v>
          </cell>
          <cell r="N1563">
            <v>3.0699999999999994</v>
          </cell>
          <cell r="O1563">
            <v>0</v>
          </cell>
          <cell r="Q1563">
            <v>2.5999999999999996</v>
          </cell>
          <cell r="R1563">
            <v>0</v>
          </cell>
          <cell r="T1563">
            <v>3.8200000000000003</v>
          </cell>
          <cell r="U1563">
            <v>0</v>
          </cell>
          <cell r="W1563">
            <v>1.1600000000000001</v>
          </cell>
          <cell r="X1563">
            <v>0</v>
          </cell>
          <cell r="Z1563">
            <v>6.0500000000000007</v>
          </cell>
          <cell r="AA1563">
            <v>0</v>
          </cell>
          <cell r="AC1563">
            <v>12.680000000000003</v>
          </cell>
          <cell r="AD1563">
            <v>0</v>
          </cell>
          <cell r="AF1563">
            <v>1.0399999999999991</v>
          </cell>
          <cell r="AG1563">
            <v>0</v>
          </cell>
          <cell r="AI1563">
            <v>0.13000000000000256</v>
          </cell>
          <cell r="AJ1563">
            <v>0</v>
          </cell>
          <cell r="AL1563">
            <v>1.0600000000000023</v>
          </cell>
          <cell r="AM1563">
            <v>0</v>
          </cell>
          <cell r="AO1563">
            <v>1.8400000000000034</v>
          </cell>
          <cell r="AP1563">
            <v>0</v>
          </cell>
          <cell r="AR1563">
            <v>14.57</v>
          </cell>
          <cell r="AS1563">
            <v>0</v>
          </cell>
          <cell r="BF1563" t="str">
            <v>1005</v>
          </cell>
          <cell r="BG1563" t="str">
            <v>A084</v>
          </cell>
          <cell r="BH1563" t="str">
            <v>VSS</v>
          </cell>
        </row>
        <row r="1564">
          <cell r="K1564">
            <v>0</v>
          </cell>
          <cell r="L1564">
            <v>0</v>
          </cell>
          <cell r="N1564">
            <v>0</v>
          </cell>
          <cell r="O1564">
            <v>0</v>
          </cell>
          <cell r="Q1564">
            <v>0</v>
          </cell>
          <cell r="R1564">
            <v>0</v>
          </cell>
          <cell r="T1564">
            <v>0</v>
          </cell>
          <cell r="U1564">
            <v>0</v>
          </cell>
          <cell r="W1564">
            <v>0</v>
          </cell>
          <cell r="X1564">
            <v>0</v>
          </cell>
          <cell r="Z1564">
            <v>0</v>
          </cell>
          <cell r="AA1564">
            <v>0</v>
          </cell>
          <cell r="AC1564">
            <v>0</v>
          </cell>
          <cell r="AD1564">
            <v>0</v>
          </cell>
          <cell r="AF1564">
            <v>0</v>
          </cell>
          <cell r="AG1564">
            <v>0</v>
          </cell>
          <cell r="AI1564">
            <v>0</v>
          </cell>
          <cell r="AJ1564">
            <v>0</v>
          </cell>
          <cell r="AL1564">
            <v>0</v>
          </cell>
          <cell r="AM1564">
            <v>0</v>
          </cell>
          <cell r="AO1564">
            <v>0</v>
          </cell>
          <cell r="AP1564">
            <v>0</v>
          </cell>
          <cell r="AR1564">
            <v>0</v>
          </cell>
          <cell r="AS1564">
            <v>0</v>
          </cell>
          <cell r="BF1564" t="str">
            <v>1005</v>
          </cell>
          <cell r="BG1564" t="str">
            <v>A085</v>
          </cell>
          <cell r="BH1564" t="str">
            <v>VSS</v>
          </cell>
        </row>
        <row r="1565">
          <cell r="K1565">
            <v>0</v>
          </cell>
          <cell r="L1565">
            <v>0</v>
          </cell>
          <cell r="N1565">
            <v>0</v>
          </cell>
          <cell r="O1565">
            <v>0</v>
          </cell>
          <cell r="Q1565">
            <v>0</v>
          </cell>
          <cell r="R1565">
            <v>0</v>
          </cell>
          <cell r="T1565">
            <v>0</v>
          </cell>
          <cell r="U1565">
            <v>0</v>
          </cell>
          <cell r="W1565">
            <v>0</v>
          </cell>
          <cell r="X1565">
            <v>0</v>
          </cell>
          <cell r="Z1565">
            <v>0</v>
          </cell>
          <cell r="AA1565">
            <v>0</v>
          </cell>
          <cell r="AC1565">
            <v>0</v>
          </cell>
          <cell r="AD1565">
            <v>0</v>
          </cell>
          <cell r="AF1565">
            <v>0</v>
          </cell>
          <cell r="AG1565">
            <v>0</v>
          </cell>
          <cell r="AI1565">
            <v>0</v>
          </cell>
          <cell r="AJ1565">
            <v>0</v>
          </cell>
          <cell r="AL1565">
            <v>0</v>
          </cell>
          <cell r="AM1565">
            <v>0</v>
          </cell>
          <cell r="AO1565">
            <v>0</v>
          </cell>
          <cell r="AP1565">
            <v>0</v>
          </cell>
          <cell r="AR1565">
            <v>0</v>
          </cell>
          <cell r="AS1565">
            <v>0</v>
          </cell>
          <cell r="BF1565" t="str">
            <v>1005</v>
          </cell>
          <cell r="BG1565" t="str">
            <v>A086</v>
          </cell>
          <cell r="BH1565" t="str">
            <v>VSS</v>
          </cell>
        </row>
        <row r="1566">
          <cell r="K1566">
            <v>0</v>
          </cell>
          <cell r="L1566">
            <v>0</v>
          </cell>
          <cell r="N1566">
            <v>0</v>
          </cell>
          <cell r="O1566">
            <v>0</v>
          </cell>
          <cell r="Q1566">
            <v>0</v>
          </cell>
          <cell r="R1566">
            <v>0</v>
          </cell>
          <cell r="T1566">
            <v>0</v>
          </cell>
          <cell r="U1566">
            <v>0</v>
          </cell>
          <cell r="W1566">
            <v>0</v>
          </cell>
          <cell r="X1566">
            <v>0</v>
          </cell>
          <cell r="Z1566">
            <v>0</v>
          </cell>
          <cell r="AA1566">
            <v>0</v>
          </cell>
          <cell r="AC1566">
            <v>0</v>
          </cell>
          <cell r="AD1566">
            <v>0</v>
          </cell>
          <cell r="AF1566">
            <v>0</v>
          </cell>
          <cell r="AG1566">
            <v>0</v>
          </cell>
          <cell r="AI1566">
            <v>0</v>
          </cell>
          <cell r="AJ1566">
            <v>0</v>
          </cell>
          <cell r="AL1566">
            <v>0</v>
          </cell>
          <cell r="AM1566">
            <v>0</v>
          </cell>
          <cell r="AO1566">
            <v>0</v>
          </cell>
          <cell r="AP1566">
            <v>0</v>
          </cell>
          <cell r="AR1566">
            <v>0</v>
          </cell>
          <cell r="AS1566">
            <v>0</v>
          </cell>
          <cell r="BF1566" t="str">
            <v>1008</v>
          </cell>
          <cell r="BG1566" t="str">
            <v>A041</v>
          </cell>
          <cell r="BH1566" t="str">
            <v>VSS</v>
          </cell>
        </row>
        <row r="1567">
          <cell r="K1567">
            <v>1074532.620000001</v>
          </cell>
          <cell r="L1567">
            <v>0</v>
          </cell>
          <cell r="N1567">
            <v>735173.91999999993</v>
          </cell>
          <cell r="O1567">
            <v>0</v>
          </cell>
          <cell r="Q1567">
            <v>709624.6099999994</v>
          </cell>
          <cell r="R1567">
            <v>0</v>
          </cell>
          <cell r="T1567">
            <v>705629.65000000037</v>
          </cell>
          <cell r="U1567">
            <v>0</v>
          </cell>
          <cell r="W1567">
            <v>714324.34000000171</v>
          </cell>
          <cell r="X1567">
            <v>0</v>
          </cell>
          <cell r="Z1567">
            <v>774226.70999999903</v>
          </cell>
          <cell r="AA1567">
            <v>0</v>
          </cell>
          <cell r="AC1567">
            <v>733311.77999999933</v>
          </cell>
          <cell r="AD1567">
            <v>0</v>
          </cell>
          <cell r="AF1567">
            <v>697625.15999999829</v>
          </cell>
          <cell r="AG1567">
            <v>0</v>
          </cell>
          <cell r="AI1567">
            <v>860625.48000000417</v>
          </cell>
          <cell r="AJ1567">
            <v>0</v>
          </cell>
          <cell r="AL1567">
            <v>857088.95999999717</v>
          </cell>
          <cell r="AM1567">
            <v>0</v>
          </cell>
          <cell r="AO1567">
            <v>847845.06999999657</v>
          </cell>
          <cell r="AP1567">
            <v>0</v>
          </cell>
          <cell r="AR1567">
            <v>860653.56000000238</v>
          </cell>
          <cell r="AS1567">
            <v>0</v>
          </cell>
          <cell r="BF1567" t="str">
            <v>1008</v>
          </cell>
          <cell r="BG1567" t="str">
            <v>A042</v>
          </cell>
          <cell r="BH1567" t="str">
            <v>VSS</v>
          </cell>
        </row>
        <row r="1568">
          <cell r="K1568">
            <v>0</v>
          </cell>
          <cell r="L1568">
            <v>0</v>
          </cell>
          <cell r="N1568">
            <v>0</v>
          </cell>
          <cell r="O1568">
            <v>0</v>
          </cell>
          <cell r="Q1568">
            <v>0</v>
          </cell>
          <cell r="R1568">
            <v>0</v>
          </cell>
          <cell r="T1568">
            <v>0</v>
          </cell>
          <cell r="U1568">
            <v>0</v>
          </cell>
          <cell r="W1568">
            <v>0</v>
          </cell>
          <cell r="X1568">
            <v>0</v>
          </cell>
          <cell r="Z1568">
            <v>0</v>
          </cell>
          <cell r="AA1568">
            <v>0</v>
          </cell>
          <cell r="AC1568">
            <v>0</v>
          </cell>
          <cell r="AD1568">
            <v>0</v>
          </cell>
          <cell r="AF1568">
            <v>0</v>
          </cell>
          <cell r="AG1568">
            <v>0</v>
          </cell>
          <cell r="AI1568">
            <v>0</v>
          </cell>
          <cell r="AJ1568">
            <v>0</v>
          </cell>
          <cell r="AL1568">
            <v>0</v>
          </cell>
          <cell r="AM1568">
            <v>0</v>
          </cell>
          <cell r="AO1568">
            <v>0</v>
          </cell>
          <cell r="AP1568">
            <v>0</v>
          </cell>
          <cell r="AR1568">
            <v>0</v>
          </cell>
          <cell r="AS1568">
            <v>0</v>
          </cell>
          <cell r="BF1568" t="str">
            <v>1008</v>
          </cell>
          <cell r="BG1568" t="str">
            <v>A043</v>
          </cell>
          <cell r="BH1568" t="str">
            <v>VSS</v>
          </cell>
        </row>
        <row r="1569">
          <cell r="K1569">
            <v>0</v>
          </cell>
          <cell r="L1569">
            <v>0</v>
          </cell>
          <cell r="N1569">
            <v>0</v>
          </cell>
          <cell r="O1569">
            <v>0</v>
          </cell>
          <cell r="Q1569">
            <v>0</v>
          </cell>
          <cell r="R1569">
            <v>0</v>
          </cell>
          <cell r="T1569">
            <v>0</v>
          </cell>
          <cell r="U1569">
            <v>0</v>
          </cell>
          <cell r="W1569">
            <v>0</v>
          </cell>
          <cell r="X1569">
            <v>0</v>
          </cell>
          <cell r="Z1569">
            <v>0</v>
          </cell>
          <cell r="AA1569">
            <v>0</v>
          </cell>
          <cell r="AC1569">
            <v>0</v>
          </cell>
          <cell r="AD1569">
            <v>0</v>
          </cell>
          <cell r="AF1569">
            <v>0</v>
          </cell>
          <cell r="AG1569">
            <v>0</v>
          </cell>
          <cell r="AI1569">
            <v>0</v>
          </cell>
          <cell r="AJ1569">
            <v>0</v>
          </cell>
          <cell r="AL1569">
            <v>0</v>
          </cell>
          <cell r="AM1569">
            <v>0</v>
          </cell>
          <cell r="AO1569">
            <v>0</v>
          </cell>
          <cell r="AP1569">
            <v>0</v>
          </cell>
          <cell r="AR1569">
            <v>0</v>
          </cell>
          <cell r="AS1569">
            <v>0</v>
          </cell>
          <cell r="BF1569" t="str">
            <v>1008</v>
          </cell>
          <cell r="BG1569" t="str">
            <v>A044</v>
          </cell>
          <cell r="BH1569" t="str">
            <v>VSS</v>
          </cell>
        </row>
        <row r="1570">
          <cell r="K1570">
            <v>0</v>
          </cell>
          <cell r="L1570">
            <v>0</v>
          </cell>
          <cell r="N1570">
            <v>0</v>
          </cell>
          <cell r="O1570">
            <v>0</v>
          </cell>
          <cell r="Q1570">
            <v>0</v>
          </cell>
          <cell r="R1570">
            <v>0</v>
          </cell>
          <cell r="T1570">
            <v>0</v>
          </cell>
          <cell r="U1570">
            <v>0</v>
          </cell>
          <cell r="W1570">
            <v>0</v>
          </cell>
          <cell r="X1570">
            <v>0</v>
          </cell>
          <cell r="Z1570">
            <v>0</v>
          </cell>
          <cell r="AA1570">
            <v>0</v>
          </cell>
          <cell r="AC1570">
            <v>0</v>
          </cell>
          <cell r="AD1570">
            <v>0</v>
          </cell>
          <cell r="AF1570">
            <v>0</v>
          </cell>
          <cell r="AG1570">
            <v>0</v>
          </cell>
          <cell r="AI1570">
            <v>0</v>
          </cell>
          <cell r="AJ1570">
            <v>0</v>
          </cell>
          <cell r="AL1570">
            <v>0</v>
          </cell>
          <cell r="AM1570">
            <v>0</v>
          </cell>
          <cell r="AO1570">
            <v>0</v>
          </cell>
          <cell r="AP1570">
            <v>0</v>
          </cell>
          <cell r="AR1570">
            <v>0</v>
          </cell>
          <cell r="AS1570">
            <v>0</v>
          </cell>
          <cell r="BF1570" t="str">
            <v>1009</v>
          </cell>
          <cell r="BG1570" t="str">
            <v>A061</v>
          </cell>
          <cell r="BH1570" t="str">
            <v>VSS</v>
          </cell>
        </row>
        <row r="1571">
          <cell r="K1571">
            <v>0</v>
          </cell>
          <cell r="L1571">
            <v>0</v>
          </cell>
          <cell r="N1571">
            <v>0</v>
          </cell>
          <cell r="O1571">
            <v>0</v>
          </cell>
          <cell r="Q1571">
            <v>0</v>
          </cell>
          <cell r="R1571">
            <v>0</v>
          </cell>
          <cell r="T1571">
            <v>0</v>
          </cell>
          <cell r="U1571">
            <v>0</v>
          </cell>
          <cell r="W1571">
            <v>0</v>
          </cell>
          <cell r="X1571">
            <v>0</v>
          </cell>
          <cell r="Z1571">
            <v>0</v>
          </cell>
          <cell r="AA1571">
            <v>0</v>
          </cell>
          <cell r="AC1571">
            <v>0</v>
          </cell>
          <cell r="AD1571">
            <v>0</v>
          </cell>
          <cell r="AF1571">
            <v>0</v>
          </cell>
          <cell r="AG1571">
            <v>0</v>
          </cell>
          <cell r="AI1571">
            <v>0</v>
          </cell>
          <cell r="AJ1571">
            <v>0</v>
          </cell>
          <cell r="AL1571">
            <v>0</v>
          </cell>
          <cell r="AM1571">
            <v>0</v>
          </cell>
          <cell r="AO1571">
            <v>0</v>
          </cell>
          <cell r="AP1571">
            <v>0</v>
          </cell>
          <cell r="AR1571">
            <v>0</v>
          </cell>
          <cell r="AS1571">
            <v>0</v>
          </cell>
          <cell r="BF1571" t="str">
            <v>1009</v>
          </cell>
          <cell r="BG1571" t="str">
            <v>A062</v>
          </cell>
          <cell r="BH1571" t="str">
            <v>VSS</v>
          </cell>
        </row>
        <row r="1572">
          <cell r="K1572">
            <v>0</v>
          </cell>
          <cell r="L1572">
            <v>0</v>
          </cell>
          <cell r="N1572">
            <v>0</v>
          </cell>
          <cell r="O1572">
            <v>0</v>
          </cell>
          <cell r="Q1572">
            <v>0</v>
          </cell>
          <cell r="R1572">
            <v>0</v>
          </cell>
          <cell r="T1572">
            <v>0</v>
          </cell>
          <cell r="U1572">
            <v>0</v>
          </cell>
          <cell r="W1572">
            <v>0</v>
          </cell>
          <cell r="X1572">
            <v>0</v>
          </cell>
          <cell r="Z1572">
            <v>0</v>
          </cell>
          <cell r="AA1572">
            <v>0</v>
          </cell>
          <cell r="AC1572">
            <v>0</v>
          </cell>
          <cell r="AD1572">
            <v>0</v>
          </cell>
          <cell r="AF1572">
            <v>0</v>
          </cell>
          <cell r="AG1572">
            <v>0</v>
          </cell>
          <cell r="AI1572">
            <v>0</v>
          </cell>
          <cell r="AJ1572">
            <v>0</v>
          </cell>
          <cell r="AL1572">
            <v>0</v>
          </cell>
          <cell r="AM1572">
            <v>0</v>
          </cell>
          <cell r="AO1572">
            <v>0</v>
          </cell>
          <cell r="AP1572">
            <v>0</v>
          </cell>
          <cell r="AR1572">
            <v>0</v>
          </cell>
          <cell r="AS1572">
            <v>0</v>
          </cell>
          <cell r="BF1572" t="str">
            <v>1009</v>
          </cell>
          <cell r="BG1572" t="str">
            <v>A063</v>
          </cell>
          <cell r="BH1572" t="str">
            <v>VSS</v>
          </cell>
        </row>
        <row r="1573">
          <cell r="K1573">
            <v>0</v>
          </cell>
          <cell r="L1573">
            <v>0</v>
          </cell>
          <cell r="N1573">
            <v>401192.99999999994</v>
          </cell>
          <cell r="O1573">
            <v>0</v>
          </cell>
          <cell r="Q1573">
            <v>387515.7</v>
          </cell>
          <cell r="R1573">
            <v>0</v>
          </cell>
          <cell r="T1573">
            <v>378537.90000000014</v>
          </cell>
          <cell r="U1573">
            <v>0</v>
          </cell>
          <cell r="W1573">
            <v>389013.25</v>
          </cell>
          <cell r="X1573">
            <v>0</v>
          </cell>
          <cell r="Z1573">
            <v>397460.69999999972</v>
          </cell>
          <cell r="AA1573">
            <v>0</v>
          </cell>
          <cell r="AC1573">
            <v>425201.39999999991</v>
          </cell>
          <cell r="AD1573">
            <v>0</v>
          </cell>
          <cell r="AF1573">
            <v>413860.19999999972</v>
          </cell>
          <cell r="AG1573">
            <v>0</v>
          </cell>
          <cell r="AI1573">
            <v>411590.39999999991</v>
          </cell>
          <cell r="AJ1573">
            <v>0</v>
          </cell>
          <cell r="AL1573">
            <v>409550.70000000065</v>
          </cell>
          <cell r="AM1573">
            <v>0</v>
          </cell>
          <cell r="AO1573">
            <v>400760.10000000056</v>
          </cell>
          <cell r="AP1573">
            <v>0</v>
          </cell>
          <cell r="AR1573">
            <v>408942.29999999981</v>
          </cell>
          <cell r="AS1573">
            <v>0</v>
          </cell>
          <cell r="BF1573" t="str">
            <v>1009</v>
          </cell>
          <cell r="BG1573" t="str">
            <v>A064</v>
          </cell>
          <cell r="BH1573" t="str">
            <v>VSS</v>
          </cell>
        </row>
        <row r="1574">
          <cell r="K1574">
            <v>0</v>
          </cell>
          <cell r="L1574">
            <v>0</v>
          </cell>
          <cell r="N1574">
            <v>0</v>
          </cell>
          <cell r="O1574">
            <v>0</v>
          </cell>
          <cell r="Q1574">
            <v>0</v>
          </cell>
          <cell r="R1574">
            <v>0</v>
          </cell>
          <cell r="T1574">
            <v>0</v>
          </cell>
          <cell r="U1574">
            <v>0</v>
          </cell>
          <cell r="W1574">
            <v>0</v>
          </cell>
          <cell r="X1574">
            <v>0</v>
          </cell>
          <cell r="Z1574">
            <v>0</v>
          </cell>
          <cell r="AA1574">
            <v>0</v>
          </cell>
          <cell r="AC1574">
            <v>0</v>
          </cell>
          <cell r="AD1574">
            <v>0</v>
          </cell>
          <cell r="AF1574">
            <v>0</v>
          </cell>
          <cell r="AG1574">
            <v>0</v>
          </cell>
          <cell r="AI1574">
            <v>0</v>
          </cell>
          <cell r="AJ1574">
            <v>0</v>
          </cell>
          <cell r="AL1574">
            <v>0</v>
          </cell>
          <cell r="AM1574">
            <v>0</v>
          </cell>
          <cell r="AO1574">
            <v>0</v>
          </cell>
          <cell r="AP1574">
            <v>0</v>
          </cell>
          <cell r="AR1574">
            <v>0</v>
          </cell>
          <cell r="AS1574">
            <v>0</v>
          </cell>
          <cell r="BF1574" t="str">
            <v>1009</v>
          </cell>
          <cell r="BG1574" t="str">
            <v>A065</v>
          </cell>
          <cell r="BH1574" t="str">
            <v>VSS</v>
          </cell>
        </row>
        <row r="1575">
          <cell r="K1575">
            <v>0</v>
          </cell>
          <cell r="L1575">
            <v>0</v>
          </cell>
          <cell r="N1575">
            <v>0</v>
          </cell>
          <cell r="O1575">
            <v>0</v>
          </cell>
          <cell r="Q1575">
            <v>0</v>
          </cell>
          <cell r="R1575">
            <v>0</v>
          </cell>
          <cell r="T1575">
            <v>0</v>
          </cell>
          <cell r="U1575">
            <v>0</v>
          </cell>
          <cell r="W1575">
            <v>0</v>
          </cell>
          <cell r="X1575">
            <v>0</v>
          </cell>
          <cell r="Z1575">
            <v>0</v>
          </cell>
          <cell r="AA1575">
            <v>0</v>
          </cell>
          <cell r="AC1575">
            <v>0</v>
          </cell>
          <cell r="AD1575">
            <v>0</v>
          </cell>
          <cell r="AF1575">
            <v>0</v>
          </cell>
          <cell r="AG1575">
            <v>0</v>
          </cell>
          <cell r="AI1575">
            <v>0</v>
          </cell>
          <cell r="AJ1575">
            <v>0</v>
          </cell>
          <cell r="AL1575">
            <v>0</v>
          </cell>
          <cell r="AM1575">
            <v>0</v>
          </cell>
          <cell r="AO1575">
            <v>0</v>
          </cell>
          <cell r="AP1575">
            <v>0</v>
          </cell>
          <cell r="AR1575">
            <v>0</v>
          </cell>
          <cell r="AS1575">
            <v>0</v>
          </cell>
          <cell r="BF1575" t="str">
            <v>2001</v>
          </cell>
          <cell r="BG1575" t="str">
            <v>B001</v>
          </cell>
          <cell r="BH1575" t="str">
            <v>VSS</v>
          </cell>
        </row>
        <row r="1576">
          <cell r="K1576">
            <v>0</v>
          </cell>
          <cell r="L1576">
            <v>0</v>
          </cell>
          <cell r="N1576">
            <v>0</v>
          </cell>
          <cell r="O1576">
            <v>0</v>
          </cell>
          <cell r="Q1576">
            <v>0</v>
          </cell>
          <cell r="R1576">
            <v>0</v>
          </cell>
          <cell r="T1576">
            <v>0</v>
          </cell>
          <cell r="U1576">
            <v>0</v>
          </cell>
          <cell r="W1576">
            <v>0</v>
          </cell>
          <cell r="X1576">
            <v>0</v>
          </cell>
          <cell r="Z1576">
            <v>0</v>
          </cell>
          <cell r="AA1576">
            <v>0</v>
          </cell>
          <cell r="AC1576">
            <v>175435.06</v>
          </cell>
          <cell r="AD1576">
            <v>0</v>
          </cell>
          <cell r="AF1576">
            <v>26424.299999999988</v>
          </cell>
          <cell r="AG1576">
            <v>0</v>
          </cell>
          <cell r="AI1576">
            <v>31648.079999999987</v>
          </cell>
          <cell r="AJ1576">
            <v>0</v>
          </cell>
          <cell r="AL1576">
            <v>-1208.4199999999837</v>
          </cell>
          <cell r="AM1576">
            <v>0</v>
          </cell>
          <cell r="AO1576">
            <v>4942.4700000000012</v>
          </cell>
          <cell r="AP1576">
            <v>0</v>
          </cell>
          <cell r="AR1576">
            <v>69785.089999999967</v>
          </cell>
          <cell r="AS1576">
            <v>0</v>
          </cell>
          <cell r="BF1576" t="str">
            <v>2001</v>
          </cell>
          <cell r="BG1576" t="str">
            <v>B002</v>
          </cell>
          <cell r="BH1576" t="str">
            <v>VSS</v>
          </cell>
        </row>
        <row r="1577">
          <cell r="K1577">
            <v>0</v>
          </cell>
          <cell r="L1577">
            <v>0</v>
          </cell>
          <cell r="N1577">
            <v>0</v>
          </cell>
          <cell r="O1577">
            <v>0</v>
          </cell>
          <cell r="Q1577">
            <v>0</v>
          </cell>
          <cell r="R1577">
            <v>0</v>
          </cell>
          <cell r="T1577">
            <v>0</v>
          </cell>
          <cell r="U1577">
            <v>0</v>
          </cell>
          <cell r="W1577">
            <v>0</v>
          </cell>
          <cell r="X1577">
            <v>0</v>
          </cell>
          <cell r="Z1577">
            <v>0</v>
          </cell>
          <cell r="AA1577">
            <v>0</v>
          </cell>
          <cell r="AC1577">
            <v>0</v>
          </cell>
          <cell r="AD1577">
            <v>0</v>
          </cell>
          <cell r="AF1577">
            <v>0</v>
          </cell>
          <cell r="AG1577">
            <v>0</v>
          </cell>
          <cell r="AI1577">
            <v>0</v>
          </cell>
          <cell r="AJ1577">
            <v>0</v>
          </cell>
          <cell r="AL1577">
            <v>0</v>
          </cell>
          <cell r="AM1577">
            <v>0</v>
          </cell>
          <cell r="AO1577">
            <v>0</v>
          </cell>
          <cell r="AP1577">
            <v>0</v>
          </cell>
          <cell r="AR1577">
            <v>0</v>
          </cell>
          <cell r="AS1577">
            <v>0</v>
          </cell>
          <cell r="BF1577" t="str">
            <v>2001</v>
          </cell>
          <cell r="BG1577" t="str">
            <v>B003</v>
          </cell>
          <cell r="BH1577" t="str">
            <v>VSS</v>
          </cell>
        </row>
        <row r="1578">
          <cell r="K1578">
            <v>6.05</v>
          </cell>
          <cell r="L1578">
            <v>0</v>
          </cell>
          <cell r="N1578">
            <v>0</v>
          </cell>
          <cell r="O1578">
            <v>0</v>
          </cell>
          <cell r="Q1578">
            <v>6.72</v>
          </cell>
          <cell r="R1578">
            <v>0</v>
          </cell>
          <cell r="T1578">
            <v>11.75</v>
          </cell>
          <cell r="U1578">
            <v>0</v>
          </cell>
          <cell r="W1578">
            <v>0.26999999999999957</v>
          </cell>
          <cell r="X1578">
            <v>0</v>
          </cell>
          <cell r="Z1578">
            <v>0.21999999999999886</v>
          </cell>
          <cell r="AA1578">
            <v>0</v>
          </cell>
          <cell r="AC1578">
            <v>14.089999999999996</v>
          </cell>
          <cell r="AD1578">
            <v>0</v>
          </cell>
          <cell r="AF1578">
            <v>0.39999999999999858</v>
          </cell>
          <cell r="AG1578">
            <v>0</v>
          </cell>
          <cell r="AI1578">
            <v>0.57000000000000028</v>
          </cell>
          <cell r="AJ1578">
            <v>0</v>
          </cell>
          <cell r="AL1578">
            <v>0.83999999999999631</v>
          </cell>
          <cell r="AM1578">
            <v>0</v>
          </cell>
          <cell r="AO1578">
            <v>61.169999999999995</v>
          </cell>
          <cell r="AP1578">
            <v>0</v>
          </cell>
          <cell r="AR1578">
            <v>0.75</v>
          </cell>
          <cell r="AS1578">
            <v>0</v>
          </cell>
          <cell r="BF1578" t="str">
            <v>2001</v>
          </cell>
          <cell r="BG1578" t="str">
            <v>B004</v>
          </cell>
          <cell r="BH1578" t="str">
            <v>VSS</v>
          </cell>
        </row>
        <row r="1579">
          <cell r="K1579">
            <v>0</v>
          </cell>
          <cell r="L1579">
            <v>0</v>
          </cell>
          <cell r="N1579">
            <v>0</v>
          </cell>
          <cell r="O1579">
            <v>0</v>
          </cell>
          <cell r="Q1579">
            <v>0</v>
          </cell>
          <cell r="R1579">
            <v>0</v>
          </cell>
          <cell r="T1579">
            <v>0</v>
          </cell>
          <cell r="U1579">
            <v>0</v>
          </cell>
          <cell r="W1579">
            <v>0</v>
          </cell>
          <cell r="X1579">
            <v>0</v>
          </cell>
          <cell r="Z1579">
            <v>0</v>
          </cell>
          <cell r="AA1579">
            <v>0</v>
          </cell>
          <cell r="AC1579">
            <v>0</v>
          </cell>
          <cell r="AD1579">
            <v>0</v>
          </cell>
          <cell r="AF1579">
            <v>0</v>
          </cell>
          <cell r="AG1579">
            <v>0</v>
          </cell>
          <cell r="AI1579">
            <v>0</v>
          </cell>
          <cell r="AJ1579">
            <v>0</v>
          </cell>
          <cell r="AL1579">
            <v>0</v>
          </cell>
          <cell r="AM1579">
            <v>0</v>
          </cell>
          <cell r="AO1579">
            <v>0</v>
          </cell>
          <cell r="AP1579">
            <v>0</v>
          </cell>
          <cell r="AR1579">
            <v>0</v>
          </cell>
          <cell r="AS1579">
            <v>0</v>
          </cell>
          <cell r="BF1579" t="str">
            <v>2001</v>
          </cell>
          <cell r="BG1579" t="str">
            <v>B005</v>
          </cell>
          <cell r="BH1579" t="str">
            <v>VSS</v>
          </cell>
        </row>
        <row r="1580">
          <cell r="K1580">
            <v>0</v>
          </cell>
          <cell r="L1580">
            <v>0</v>
          </cell>
          <cell r="N1580">
            <v>0</v>
          </cell>
          <cell r="O1580">
            <v>0</v>
          </cell>
          <cell r="Q1580">
            <v>5.6843418860808015E-14</v>
          </cell>
          <cell r="R1580">
            <v>0</v>
          </cell>
          <cell r="T1580">
            <v>0</v>
          </cell>
          <cell r="U1580">
            <v>0</v>
          </cell>
          <cell r="W1580">
            <v>0</v>
          </cell>
          <cell r="X1580">
            <v>0</v>
          </cell>
          <cell r="Z1580">
            <v>0</v>
          </cell>
          <cell r="AA1580">
            <v>0</v>
          </cell>
          <cell r="AC1580">
            <v>0</v>
          </cell>
          <cell r="AD1580">
            <v>0</v>
          </cell>
          <cell r="AF1580">
            <v>0</v>
          </cell>
          <cell r="AG1580">
            <v>0</v>
          </cell>
          <cell r="AI1580">
            <v>0</v>
          </cell>
          <cell r="AJ1580">
            <v>0</v>
          </cell>
          <cell r="AL1580">
            <v>0</v>
          </cell>
          <cell r="AM1580">
            <v>0</v>
          </cell>
          <cell r="AO1580">
            <v>0</v>
          </cell>
          <cell r="AP1580">
            <v>0</v>
          </cell>
          <cell r="AR1580">
            <v>0</v>
          </cell>
          <cell r="AS1580">
            <v>0</v>
          </cell>
          <cell r="BF1580" t="str">
            <v>2001</v>
          </cell>
          <cell r="BG1580" t="str">
            <v>B006</v>
          </cell>
          <cell r="BH1580" t="str">
            <v>VSS</v>
          </cell>
        </row>
        <row r="1581">
          <cell r="K1581">
            <v>-2284.3499999999913</v>
          </cell>
          <cell r="L1581">
            <v>0</v>
          </cell>
          <cell r="N1581">
            <v>21064.020000000004</v>
          </cell>
          <cell r="O1581">
            <v>0</v>
          </cell>
          <cell r="Q1581">
            <v>-10054.760000000009</v>
          </cell>
          <cell r="R1581">
            <v>0</v>
          </cell>
          <cell r="T1581">
            <v>1188.4400000000023</v>
          </cell>
          <cell r="U1581">
            <v>0</v>
          </cell>
          <cell r="W1581">
            <v>1605.320000000007</v>
          </cell>
          <cell r="X1581">
            <v>0</v>
          </cell>
          <cell r="Z1581">
            <v>-21607.17</v>
          </cell>
          <cell r="AA1581">
            <v>0</v>
          </cell>
          <cell r="AC1581">
            <v>-20128.580000000002</v>
          </cell>
          <cell r="AD1581">
            <v>0</v>
          </cell>
          <cell r="AF1581">
            <v>11725.920000000013</v>
          </cell>
          <cell r="AG1581">
            <v>0</v>
          </cell>
          <cell r="AI1581">
            <v>7590.0599999999977</v>
          </cell>
          <cell r="AJ1581">
            <v>0</v>
          </cell>
          <cell r="AL1581">
            <v>428.55999999998312</v>
          </cell>
          <cell r="AM1581">
            <v>0</v>
          </cell>
          <cell r="AO1581">
            <v>-1547.3699999999953</v>
          </cell>
          <cell r="AP1581">
            <v>0</v>
          </cell>
          <cell r="AR1581">
            <v>-1233.0099999999948</v>
          </cell>
          <cell r="AS1581">
            <v>0</v>
          </cell>
          <cell r="BF1581" t="str">
            <v>2008</v>
          </cell>
          <cell r="BG1581" t="str">
            <v>Z000</v>
          </cell>
          <cell r="BH1581" t="str">
            <v>VSS</v>
          </cell>
        </row>
        <row r="1582">
          <cell r="K1582">
            <v>0</v>
          </cell>
          <cell r="L1582">
            <v>0</v>
          </cell>
          <cell r="N1582">
            <v>0</v>
          </cell>
          <cell r="O1582">
            <v>0</v>
          </cell>
          <cell r="Q1582">
            <v>0</v>
          </cell>
          <cell r="R1582">
            <v>0</v>
          </cell>
          <cell r="T1582">
            <v>0</v>
          </cell>
          <cell r="U1582">
            <v>0</v>
          </cell>
          <cell r="W1582">
            <v>0</v>
          </cell>
          <cell r="X1582">
            <v>0</v>
          </cell>
          <cell r="Z1582">
            <v>0</v>
          </cell>
          <cell r="AA1582">
            <v>0</v>
          </cell>
          <cell r="AC1582">
            <v>0</v>
          </cell>
          <cell r="AD1582">
            <v>0</v>
          </cell>
          <cell r="AF1582">
            <v>0</v>
          </cell>
          <cell r="AG1582">
            <v>0</v>
          </cell>
          <cell r="AI1582">
            <v>0</v>
          </cell>
          <cell r="AJ1582">
            <v>0</v>
          </cell>
          <cell r="AL1582">
            <v>0</v>
          </cell>
          <cell r="AM1582">
            <v>0</v>
          </cell>
          <cell r="AO1582">
            <v>0</v>
          </cell>
          <cell r="AP1582">
            <v>0</v>
          </cell>
          <cell r="AR1582">
            <v>0</v>
          </cell>
          <cell r="AS1582">
            <v>0</v>
          </cell>
          <cell r="BF1582" t="str">
            <v>2010</v>
          </cell>
          <cell r="BG1582" t="str">
            <v>B021</v>
          </cell>
          <cell r="BH1582" t="str">
            <v>VSS</v>
          </cell>
        </row>
        <row r="1583">
          <cell r="K1583">
            <v>0</v>
          </cell>
          <cell r="L1583">
            <v>0</v>
          </cell>
          <cell r="N1583">
            <v>0</v>
          </cell>
          <cell r="O1583">
            <v>0</v>
          </cell>
          <cell r="Q1583">
            <v>0</v>
          </cell>
          <cell r="R1583">
            <v>0</v>
          </cell>
          <cell r="T1583">
            <v>0</v>
          </cell>
          <cell r="U1583">
            <v>0</v>
          </cell>
          <cell r="W1583">
            <v>0</v>
          </cell>
          <cell r="X1583">
            <v>0</v>
          </cell>
          <cell r="Z1583">
            <v>0</v>
          </cell>
          <cell r="AA1583">
            <v>0</v>
          </cell>
          <cell r="AC1583">
            <v>0</v>
          </cell>
          <cell r="AD1583">
            <v>0</v>
          </cell>
          <cell r="AF1583">
            <v>0</v>
          </cell>
          <cell r="AG1583">
            <v>0</v>
          </cell>
          <cell r="AI1583">
            <v>0</v>
          </cell>
          <cell r="AJ1583">
            <v>0</v>
          </cell>
          <cell r="AL1583">
            <v>0</v>
          </cell>
          <cell r="AM1583">
            <v>0</v>
          </cell>
          <cell r="AO1583">
            <v>0</v>
          </cell>
          <cell r="AP1583">
            <v>0</v>
          </cell>
          <cell r="AR1583">
            <v>0</v>
          </cell>
          <cell r="AS1583">
            <v>0</v>
          </cell>
          <cell r="BF1583" t="str">
            <v>2010</v>
          </cell>
          <cell r="BG1583" t="str">
            <v>B022</v>
          </cell>
          <cell r="BH1583" t="str">
            <v>VSS</v>
          </cell>
        </row>
        <row r="1584">
          <cell r="K1584">
            <v>0</v>
          </cell>
          <cell r="L1584">
            <v>0</v>
          </cell>
          <cell r="N1584">
            <v>0</v>
          </cell>
          <cell r="O1584">
            <v>0</v>
          </cell>
          <cell r="Q1584">
            <v>0</v>
          </cell>
          <cell r="R1584">
            <v>0</v>
          </cell>
          <cell r="T1584">
            <v>0</v>
          </cell>
          <cell r="U1584">
            <v>0</v>
          </cell>
          <cell r="W1584">
            <v>0</v>
          </cell>
          <cell r="X1584">
            <v>0</v>
          </cell>
          <cell r="Z1584">
            <v>0</v>
          </cell>
          <cell r="AA1584">
            <v>0</v>
          </cell>
          <cell r="AC1584">
            <v>0</v>
          </cell>
          <cell r="AD1584">
            <v>0</v>
          </cell>
          <cell r="AF1584">
            <v>0</v>
          </cell>
          <cell r="AG1584">
            <v>0</v>
          </cell>
          <cell r="AI1584">
            <v>54625.47</v>
          </cell>
          <cell r="AJ1584">
            <v>0</v>
          </cell>
          <cell r="AL1584">
            <v>0</v>
          </cell>
          <cell r="AM1584">
            <v>0</v>
          </cell>
          <cell r="AO1584">
            <v>0</v>
          </cell>
          <cell r="AP1584">
            <v>0</v>
          </cell>
          <cell r="AR1584">
            <v>0</v>
          </cell>
          <cell r="AS1584">
            <v>0</v>
          </cell>
          <cell r="BF1584" t="str">
            <v>2010</v>
          </cell>
          <cell r="BG1584" t="str">
            <v>B023</v>
          </cell>
          <cell r="BH1584" t="str">
            <v>VSS</v>
          </cell>
        </row>
        <row r="1585">
          <cell r="K1585">
            <v>0</v>
          </cell>
          <cell r="L1585">
            <v>0</v>
          </cell>
          <cell r="N1585">
            <v>0</v>
          </cell>
          <cell r="O1585">
            <v>0</v>
          </cell>
          <cell r="Q1585">
            <v>0</v>
          </cell>
          <cell r="R1585">
            <v>0</v>
          </cell>
          <cell r="T1585">
            <v>0</v>
          </cell>
          <cell r="U1585">
            <v>0</v>
          </cell>
          <cell r="W1585">
            <v>0</v>
          </cell>
          <cell r="X1585">
            <v>0</v>
          </cell>
          <cell r="Z1585">
            <v>0</v>
          </cell>
          <cell r="AA1585">
            <v>0</v>
          </cell>
          <cell r="AC1585">
            <v>0</v>
          </cell>
          <cell r="AD1585">
            <v>0</v>
          </cell>
          <cell r="AF1585">
            <v>0</v>
          </cell>
          <cell r="AG1585">
            <v>0</v>
          </cell>
          <cell r="AI1585">
            <v>0</v>
          </cell>
          <cell r="AJ1585">
            <v>0</v>
          </cell>
          <cell r="AL1585">
            <v>0</v>
          </cell>
          <cell r="AM1585">
            <v>0</v>
          </cell>
          <cell r="AO1585">
            <v>0</v>
          </cell>
          <cell r="AP1585">
            <v>0</v>
          </cell>
          <cell r="AR1585">
            <v>0</v>
          </cell>
          <cell r="AS1585">
            <v>0</v>
          </cell>
          <cell r="BF1585" t="str">
            <v>2010</v>
          </cell>
          <cell r="BG1585" t="str">
            <v>B024</v>
          </cell>
          <cell r="BH1585" t="str">
            <v>VSS</v>
          </cell>
        </row>
        <row r="1586">
          <cell r="K1586">
            <v>0</v>
          </cell>
          <cell r="L1586">
            <v>0</v>
          </cell>
          <cell r="N1586">
            <v>0</v>
          </cell>
          <cell r="O1586">
            <v>0</v>
          </cell>
          <cell r="Q1586">
            <v>0</v>
          </cell>
          <cell r="R1586">
            <v>0</v>
          </cell>
          <cell r="T1586">
            <v>0</v>
          </cell>
          <cell r="U1586">
            <v>0</v>
          </cell>
          <cell r="W1586">
            <v>0</v>
          </cell>
          <cell r="X1586">
            <v>0</v>
          </cell>
          <cell r="Z1586">
            <v>0</v>
          </cell>
          <cell r="AA1586">
            <v>0</v>
          </cell>
          <cell r="AC1586">
            <v>0</v>
          </cell>
          <cell r="AD1586">
            <v>0</v>
          </cell>
          <cell r="AF1586">
            <v>0</v>
          </cell>
          <cell r="AG1586">
            <v>0</v>
          </cell>
          <cell r="AI1586">
            <v>0</v>
          </cell>
          <cell r="AJ1586">
            <v>0</v>
          </cell>
          <cell r="AL1586">
            <v>0</v>
          </cell>
          <cell r="AM1586">
            <v>0</v>
          </cell>
          <cell r="AO1586">
            <v>0</v>
          </cell>
          <cell r="AP1586">
            <v>0</v>
          </cell>
          <cell r="AR1586">
            <v>0</v>
          </cell>
          <cell r="AS1586">
            <v>0</v>
          </cell>
          <cell r="BF1586" t="str">
            <v>2015</v>
          </cell>
          <cell r="BG1586" t="str">
            <v>B201</v>
          </cell>
          <cell r="BH1586" t="str">
            <v>VSS</v>
          </cell>
        </row>
        <row r="1587">
          <cell r="K1587">
            <v>0</v>
          </cell>
          <cell r="L1587">
            <v>0</v>
          </cell>
          <cell r="N1587">
            <v>0</v>
          </cell>
          <cell r="O1587">
            <v>0</v>
          </cell>
          <cell r="Q1587">
            <v>0</v>
          </cell>
          <cell r="R1587">
            <v>0</v>
          </cell>
          <cell r="T1587">
            <v>0</v>
          </cell>
          <cell r="U1587">
            <v>0</v>
          </cell>
          <cell r="W1587">
            <v>0</v>
          </cell>
          <cell r="X1587">
            <v>0</v>
          </cell>
          <cell r="Z1587">
            <v>0</v>
          </cell>
          <cell r="AA1587">
            <v>0</v>
          </cell>
          <cell r="AC1587">
            <v>0</v>
          </cell>
          <cell r="AD1587">
            <v>0</v>
          </cell>
          <cell r="AF1587">
            <v>0</v>
          </cell>
          <cell r="AG1587">
            <v>0</v>
          </cell>
          <cell r="AI1587">
            <v>0</v>
          </cell>
          <cell r="AJ1587">
            <v>0</v>
          </cell>
          <cell r="AL1587">
            <v>0</v>
          </cell>
          <cell r="AM1587">
            <v>0</v>
          </cell>
          <cell r="AO1587">
            <v>0</v>
          </cell>
          <cell r="AP1587">
            <v>0</v>
          </cell>
          <cell r="AR1587">
            <v>0</v>
          </cell>
          <cell r="AS1587">
            <v>0</v>
          </cell>
          <cell r="BF1587" t="str">
            <v>2015</v>
          </cell>
          <cell r="BG1587" t="str">
            <v>B202</v>
          </cell>
          <cell r="BH1587" t="str">
            <v>VSS</v>
          </cell>
        </row>
        <row r="1588">
          <cell r="K1588">
            <v>0</v>
          </cell>
          <cell r="L1588">
            <v>0</v>
          </cell>
          <cell r="N1588">
            <v>0</v>
          </cell>
          <cell r="O1588">
            <v>0</v>
          </cell>
          <cell r="Q1588">
            <v>0</v>
          </cell>
          <cell r="R1588">
            <v>0</v>
          </cell>
          <cell r="T1588">
            <v>0</v>
          </cell>
          <cell r="U1588">
            <v>0</v>
          </cell>
          <cell r="W1588">
            <v>0</v>
          </cell>
          <cell r="X1588">
            <v>0</v>
          </cell>
          <cell r="Z1588">
            <v>0</v>
          </cell>
          <cell r="AA1588">
            <v>0</v>
          </cell>
          <cell r="AC1588">
            <v>0</v>
          </cell>
          <cell r="AD1588">
            <v>0</v>
          </cell>
          <cell r="AF1588">
            <v>0</v>
          </cell>
          <cell r="AG1588">
            <v>0</v>
          </cell>
          <cell r="AI1588">
            <v>0</v>
          </cell>
          <cell r="AJ1588">
            <v>0</v>
          </cell>
          <cell r="AL1588">
            <v>0</v>
          </cell>
          <cell r="AM1588">
            <v>0</v>
          </cell>
          <cell r="AO1588">
            <v>0</v>
          </cell>
          <cell r="AP1588">
            <v>0</v>
          </cell>
          <cell r="AR1588">
            <v>0</v>
          </cell>
          <cell r="AS1588">
            <v>0</v>
          </cell>
          <cell r="BF1588" t="str">
            <v>2015</v>
          </cell>
          <cell r="BG1588" t="str">
            <v>B203</v>
          </cell>
          <cell r="BH1588" t="str">
            <v>VSS</v>
          </cell>
        </row>
        <row r="1589">
          <cell r="K1589">
            <v>0</v>
          </cell>
          <cell r="L1589">
            <v>0</v>
          </cell>
          <cell r="N1589">
            <v>0</v>
          </cell>
          <cell r="O1589">
            <v>0</v>
          </cell>
          <cell r="Q1589">
            <v>0</v>
          </cell>
          <cell r="R1589">
            <v>0</v>
          </cell>
          <cell r="T1589">
            <v>0</v>
          </cell>
          <cell r="U1589">
            <v>0</v>
          </cell>
          <cell r="W1589">
            <v>0</v>
          </cell>
          <cell r="X1589">
            <v>0</v>
          </cell>
          <cell r="Z1589">
            <v>0</v>
          </cell>
          <cell r="AA1589">
            <v>0</v>
          </cell>
          <cell r="AC1589">
            <v>0</v>
          </cell>
          <cell r="AD1589">
            <v>0</v>
          </cell>
          <cell r="AF1589">
            <v>0</v>
          </cell>
          <cell r="AG1589">
            <v>0</v>
          </cell>
          <cell r="AI1589">
            <v>0</v>
          </cell>
          <cell r="AJ1589">
            <v>0</v>
          </cell>
          <cell r="AL1589">
            <v>0</v>
          </cell>
          <cell r="AM1589">
            <v>0</v>
          </cell>
          <cell r="AO1589">
            <v>0</v>
          </cell>
          <cell r="AP1589">
            <v>0</v>
          </cell>
          <cell r="AR1589">
            <v>0</v>
          </cell>
          <cell r="AS1589">
            <v>0</v>
          </cell>
          <cell r="BF1589" t="str">
            <v>2015</v>
          </cell>
          <cell r="BG1589" t="str">
            <v>B204</v>
          </cell>
          <cell r="BH1589" t="str">
            <v>VSS</v>
          </cell>
        </row>
        <row r="1590">
          <cell r="K1590">
            <v>0</v>
          </cell>
          <cell r="L1590">
            <v>0</v>
          </cell>
          <cell r="N1590">
            <v>0</v>
          </cell>
          <cell r="O1590">
            <v>0</v>
          </cell>
          <cell r="Q1590">
            <v>0</v>
          </cell>
          <cell r="R1590">
            <v>0</v>
          </cell>
          <cell r="T1590">
            <v>0</v>
          </cell>
          <cell r="U1590">
            <v>0</v>
          </cell>
          <cell r="W1590">
            <v>0</v>
          </cell>
          <cell r="X1590">
            <v>0</v>
          </cell>
          <cell r="Z1590">
            <v>0</v>
          </cell>
          <cell r="AA1590">
            <v>0</v>
          </cell>
          <cell r="AC1590">
            <v>0</v>
          </cell>
          <cell r="AD1590">
            <v>0</v>
          </cell>
          <cell r="AF1590">
            <v>0</v>
          </cell>
          <cell r="AG1590">
            <v>0</v>
          </cell>
          <cell r="AI1590">
            <v>0</v>
          </cell>
          <cell r="AJ1590">
            <v>0</v>
          </cell>
          <cell r="AL1590">
            <v>0</v>
          </cell>
          <cell r="AM1590">
            <v>0</v>
          </cell>
          <cell r="AO1590">
            <v>0</v>
          </cell>
          <cell r="AP1590">
            <v>0</v>
          </cell>
          <cell r="AR1590">
            <v>0</v>
          </cell>
          <cell r="AS1590">
            <v>0</v>
          </cell>
          <cell r="BF1590" t="str">
            <v>2015</v>
          </cell>
          <cell r="BG1590" t="str">
            <v>B205</v>
          </cell>
          <cell r="BH1590" t="str">
            <v>VSS</v>
          </cell>
        </row>
        <row r="1591">
          <cell r="K1591">
            <v>0</v>
          </cell>
          <cell r="L1591">
            <v>0</v>
          </cell>
          <cell r="N1591">
            <v>0</v>
          </cell>
          <cell r="O1591">
            <v>0</v>
          </cell>
          <cell r="Q1591">
            <v>0</v>
          </cell>
          <cell r="R1591">
            <v>0</v>
          </cell>
          <cell r="T1591">
            <v>0</v>
          </cell>
          <cell r="U1591">
            <v>0</v>
          </cell>
          <cell r="W1591">
            <v>0</v>
          </cell>
          <cell r="X1591">
            <v>0</v>
          </cell>
          <cell r="Z1591">
            <v>0</v>
          </cell>
          <cell r="AA1591">
            <v>0</v>
          </cell>
          <cell r="AC1591">
            <v>0</v>
          </cell>
          <cell r="AD1591">
            <v>0</v>
          </cell>
          <cell r="AF1591">
            <v>0</v>
          </cell>
          <cell r="AG1591">
            <v>0</v>
          </cell>
          <cell r="AI1591">
            <v>0</v>
          </cell>
          <cell r="AJ1591">
            <v>0</v>
          </cell>
          <cell r="AL1591">
            <v>0</v>
          </cell>
          <cell r="AM1591">
            <v>0</v>
          </cell>
          <cell r="AO1591">
            <v>0</v>
          </cell>
          <cell r="AP1591">
            <v>0</v>
          </cell>
          <cell r="AR1591">
            <v>0</v>
          </cell>
          <cell r="AS1591">
            <v>0</v>
          </cell>
          <cell r="BF1591" t="str">
            <v>2015</v>
          </cell>
          <cell r="BG1591" t="str">
            <v>B206</v>
          </cell>
          <cell r="BH1591" t="str">
            <v>VSS</v>
          </cell>
        </row>
        <row r="1592">
          <cell r="K1592">
            <v>0</v>
          </cell>
          <cell r="L1592">
            <v>0</v>
          </cell>
          <cell r="N1592">
            <v>0</v>
          </cell>
          <cell r="O1592">
            <v>0</v>
          </cell>
          <cell r="Q1592">
            <v>0</v>
          </cell>
          <cell r="R1592">
            <v>0</v>
          </cell>
          <cell r="T1592">
            <v>0</v>
          </cell>
          <cell r="U1592">
            <v>0</v>
          </cell>
          <cell r="W1592">
            <v>0</v>
          </cell>
          <cell r="X1592">
            <v>0</v>
          </cell>
          <cell r="Z1592">
            <v>0</v>
          </cell>
          <cell r="AA1592">
            <v>0</v>
          </cell>
          <cell r="AC1592">
            <v>0</v>
          </cell>
          <cell r="AD1592">
            <v>0</v>
          </cell>
          <cell r="AF1592">
            <v>0</v>
          </cell>
          <cell r="AG1592">
            <v>0</v>
          </cell>
          <cell r="AI1592">
            <v>0</v>
          </cell>
          <cell r="AJ1592">
            <v>0</v>
          </cell>
          <cell r="AL1592">
            <v>0</v>
          </cell>
          <cell r="AM1592">
            <v>0</v>
          </cell>
          <cell r="AO1592">
            <v>0</v>
          </cell>
          <cell r="AP1592">
            <v>0</v>
          </cell>
          <cell r="AR1592">
            <v>0</v>
          </cell>
          <cell r="AS1592">
            <v>0</v>
          </cell>
          <cell r="BF1592" t="str">
            <v>2015</v>
          </cell>
          <cell r="BG1592" t="str">
            <v>B207</v>
          </cell>
          <cell r="BH1592" t="str">
            <v>VSS</v>
          </cell>
        </row>
        <row r="1593">
          <cell r="K1593">
            <v>0</v>
          </cell>
          <cell r="L1593">
            <v>0</v>
          </cell>
          <cell r="N1593">
            <v>0</v>
          </cell>
          <cell r="O1593">
            <v>0</v>
          </cell>
          <cell r="Q1593">
            <v>0</v>
          </cell>
          <cell r="R1593">
            <v>0</v>
          </cell>
          <cell r="T1593">
            <v>0</v>
          </cell>
          <cell r="U1593">
            <v>0</v>
          </cell>
          <cell r="W1593">
            <v>0</v>
          </cell>
          <cell r="X1593">
            <v>0</v>
          </cell>
          <cell r="Z1593">
            <v>0</v>
          </cell>
          <cell r="AA1593">
            <v>0</v>
          </cell>
          <cell r="AC1593">
            <v>0</v>
          </cell>
          <cell r="AD1593">
            <v>0</v>
          </cell>
          <cell r="AF1593">
            <v>0</v>
          </cell>
          <cell r="AG1593">
            <v>0</v>
          </cell>
          <cell r="AI1593">
            <v>0</v>
          </cell>
          <cell r="AJ1593">
            <v>0</v>
          </cell>
          <cell r="AL1593">
            <v>0</v>
          </cell>
          <cell r="AM1593">
            <v>0</v>
          </cell>
          <cell r="AO1593">
            <v>0</v>
          </cell>
          <cell r="AP1593">
            <v>0</v>
          </cell>
          <cell r="AR1593">
            <v>0</v>
          </cell>
          <cell r="AS1593">
            <v>0</v>
          </cell>
          <cell r="BF1593" t="str">
            <v>2015</v>
          </cell>
          <cell r="BG1593" t="str">
            <v>B208</v>
          </cell>
          <cell r="BH1593" t="str">
            <v>VSS</v>
          </cell>
        </row>
        <row r="1594">
          <cell r="K1594">
            <v>0</v>
          </cell>
          <cell r="L1594">
            <v>0</v>
          </cell>
          <cell r="N1594">
            <v>0</v>
          </cell>
          <cell r="O1594">
            <v>0</v>
          </cell>
          <cell r="Q1594">
            <v>0</v>
          </cell>
          <cell r="R1594">
            <v>0</v>
          </cell>
          <cell r="T1594">
            <v>0</v>
          </cell>
          <cell r="U1594">
            <v>0</v>
          </cell>
          <cell r="W1594">
            <v>0</v>
          </cell>
          <cell r="X1594">
            <v>0</v>
          </cell>
          <cell r="Z1594">
            <v>0</v>
          </cell>
          <cell r="AA1594">
            <v>0</v>
          </cell>
          <cell r="AC1594">
            <v>0</v>
          </cell>
          <cell r="AD1594">
            <v>0</v>
          </cell>
          <cell r="AF1594">
            <v>0</v>
          </cell>
          <cell r="AG1594">
            <v>0</v>
          </cell>
          <cell r="AI1594">
            <v>0</v>
          </cell>
          <cell r="AJ1594">
            <v>0</v>
          </cell>
          <cell r="AL1594">
            <v>0</v>
          </cell>
          <cell r="AM1594">
            <v>0</v>
          </cell>
          <cell r="AO1594">
            <v>0</v>
          </cell>
          <cell r="AP1594">
            <v>0</v>
          </cell>
          <cell r="AR1594">
            <v>0</v>
          </cell>
          <cell r="AS1594">
            <v>0</v>
          </cell>
          <cell r="BF1594" t="str">
            <v>2015</v>
          </cell>
          <cell r="BG1594" t="str">
            <v>B209</v>
          </cell>
          <cell r="BH1594" t="str">
            <v>VSS</v>
          </cell>
        </row>
        <row r="1595">
          <cell r="K1595">
            <v>0</v>
          </cell>
          <cell r="L1595">
            <v>0</v>
          </cell>
          <cell r="N1595">
            <v>0</v>
          </cell>
          <cell r="O1595">
            <v>0</v>
          </cell>
          <cell r="Q1595">
            <v>0</v>
          </cell>
          <cell r="R1595">
            <v>0</v>
          </cell>
          <cell r="T1595">
            <v>0</v>
          </cell>
          <cell r="U1595">
            <v>0</v>
          </cell>
          <cell r="W1595">
            <v>0</v>
          </cell>
          <cell r="X1595">
            <v>0</v>
          </cell>
          <cell r="Z1595">
            <v>0</v>
          </cell>
          <cell r="AA1595">
            <v>0</v>
          </cell>
          <cell r="AC1595">
            <v>0</v>
          </cell>
          <cell r="AD1595">
            <v>0</v>
          </cell>
          <cell r="AF1595">
            <v>0</v>
          </cell>
          <cell r="AG1595">
            <v>0</v>
          </cell>
          <cell r="AI1595">
            <v>0</v>
          </cell>
          <cell r="AJ1595">
            <v>0</v>
          </cell>
          <cell r="AL1595">
            <v>0</v>
          </cell>
          <cell r="AM1595">
            <v>0</v>
          </cell>
          <cell r="AO1595">
            <v>0</v>
          </cell>
          <cell r="AP1595">
            <v>0</v>
          </cell>
          <cell r="AR1595">
            <v>0</v>
          </cell>
          <cell r="AS1595">
            <v>0</v>
          </cell>
          <cell r="BF1595" t="str">
            <v>2015</v>
          </cell>
          <cell r="BG1595" t="str">
            <v>B210</v>
          </cell>
          <cell r="BH1595" t="str">
            <v>VSS</v>
          </cell>
        </row>
        <row r="1596">
          <cell r="K1596">
            <v>0</v>
          </cell>
          <cell r="L1596">
            <v>0</v>
          </cell>
          <cell r="N1596">
            <v>0</v>
          </cell>
          <cell r="O1596">
            <v>0</v>
          </cell>
          <cell r="Q1596">
            <v>0</v>
          </cell>
          <cell r="R1596">
            <v>0</v>
          </cell>
          <cell r="T1596">
            <v>0</v>
          </cell>
          <cell r="U1596">
            <v>0</v>
          </cell>
          <cell r="W1596">
            <v>0</v>
          </cell>
          <cell r="X1596">
            <v>0</v>
          </cell>
          <cell r="Z1596">
            <v>0</v>
          </cell>
          <cell r="AA1596">
            <v>0</v>
          </cell>
          <cell r="AC1596">
            <v>0</v>
          </cell>
          <cell r="AD1596">
            <v>0</v>
          </cell>
          <cell r="AF1596">
            <v>0</v>
          </cell>
          <cell r="AG1596">
            <v>0</v>
          </cell>
          <cell r="AI1596">
            <v>0</v>
          </cell>
          <cell r="AJ1596">
            <v>0</v>
          </cell>
          <cell r="AL1596">
            <v>0</v>
          </cell>
          <cell r="AM1596">
            <v>0</v>
          </cell>
          <cell r="AO1596">
            <v>0</v>
          </cell>
          <cell r="AP1596">
            <v>0</v>
          </cell>
          <cell r="AR1596">
            <v>0</v>
          </cell>
          <cell r="AS1596">
            <v>0</v>
          </cell>
          <cell r="BF1596" t="str">
            <v>2016</v>
          </cell>
          <cell r="BG1596" t="str">
            <v>B301</v>
          </cell>
          <cell r="BH1596" t="str">
            <v>VSS</v>
          </cell>
        </row>
        <row r="1597">
          <cell r="K1597">
            <v>0</v>
          </cell>
          <cell r="L1597">
            <v>0</v>
          </cell>
          <cell r="N1597">
            <v>0</v>
          </cell>
          <cell r="O1597">
            <v>0</v>
          </cell>
          <cell r="Q1597">
            <v>0</v>
          </cell>
          <cell r="R1597">
            <v>0</v>
          </cell>
          <cell r="T1597">
            <v>0</v>
          </cell>
          <cell r="U1597">
            <v>0</v>
          </cell>
          <cell r="W1597">
            <v>0</v>
          </cell>
          <cell r="X1597">
            <v>0</v>
          </cell>
          <cell r="Z1597">
            <v>0</v>
          </cell>
          <cell r="AA1597">
            <v>0</v>
          </cell>
          <cell r="AC1597">
            <v>0</v>
          </cell>
          <cell r="AD1597">
            <v>0</v>
          </cell>
          <cell r="AF1597">
            <v>0</v>
          </cell>
          <cell r="AG1597">
            <v>0</v>
          </cell>
          <cell r="AI1597">
            <v>0</v>
          </cell>
          <cell r="AJ1597">
            <v>0</v>
          </cell>
          <cell r="AL1597">
            <v>0</v>
          </cell>
          <cell r="AM1597">
            <v>0</v>
          </cell>
          <cell r="AO1597">
            <v>0</v>
          </cell>
          <cell r="AP1597">
            <v>0</v>
          </cell>
          <cell r="AR1597">
            <v>0</v>
          </cell>
          <cell r="AS1597">
            <v>0</v>
          </cell>
          <cell r="BF1597" t="str">
            <v>2016</v>
          </cell>
          <cell r="BG1597" t="str">
            <v>B302</v>
          </cell>
          <cell r="BH1597" t="str">
            <v>VSS</v>
          </cell>
        </row>
        <row r="1598">
          <cell r="K1598">
            <v>0</v>
          </cell>
          <cell r="L1598">
            <v>0</v>
          </cell>
          <cell r="N1598">
            <v>0</v>
          </cell>
          <cell r="O1598">
            <v>0</v>
          </cell>
          <cell r="Q1598">
            <v>0</v>
          </cell>
          <cell r="R1598">
            <v>0</v>
          </cell>
          <cell r="T1598">
            <v>0</v>
          </cell>
          <cell r="U1598">
            <v>0</v>
          </cell>
          <cell r="W1598">
            <v>0</v>
          </cell>
          <cell r="X1598">
            <v>0</v>
          </cell>
          <cell r="Z1598">
            <v>0</v>
          </cell>
          <cell r="AA1598">
            <v>0</v>
          </cell>
          <cell r="AC1598">
            <v>0</v>
          </cell>
          <cell r="AD1598">
            <v>0</v>
          </cell>
          <cell r="AF1598">
            <v>0</v>
          </cell>
          <cell r="AG1598">
            <v>0</v>
          </cell>
          <cell r="AI1598">
            <v>0</v>
          </cell>
          <cell r="AJ1598">
            <v>0</v>
          </cell>
          <cell r="AL1598">
            <v>0</v>
          </cell>
          <cell r="AM1598">
            <v>0</v>
          </cell>
          <cell r="AO1598">
            <v>0</v>
          </cell>
          <cell r="AP1598">
            <v>0</v>
          </cell>
          <cell r="AR1598">
            <v>0</v>
          </cell>
          <cell r="AS1598">
            <v>0</v>
          </cell>
          <cell r="BF1598" t="str">
            <v>2016</v>
          </cell>
          <cell r="BG1598" t="str">
            <v>B303</v>
          </cell>
          <cell r="BH1598" t="str">
            <v>VSS</v>
          </cell>
        </row>
        <row r="1599">
          <cell r="K1599">
            <v>0</v>
          </cell>
          <cell r="L1599">
            <v>0</v>
          </cell>
          <cell r="N1599">
            <v>0</v>
          </cell>
          <cell r="O1599">
            <v>0</v>
          </cell>
          <cell r="Q1599">
            <v>0</v>
          </cell>
          <cell r="R1599">
            <v>0</v>
          </cell>
          <cell r="T1599">
            <v>0</v>
          </cell>
          <cell r="U1599">
            <v>0</v>
          </cell>
          <cell r="W1599">
            <v>0</v>
          </cell>
          <cell r="X1599">
            <v>0</v>
          </cell>
          <cell r="Z1599">
            <v>0</v>
          </cell>
          <cell r="AA1599">
            <v>0</v>
          </cell>
          <cell r="AC1599">
            <v>0</v>
          </cell>
          <cell r="AD1599">
            <v>0</v>
          </cell>
          <cell r="AF1599">
            <v>0</v>
          </cell>
          <cell r="AG1599">
            <v>0</v>
          </cell>
          <cell r="AI1599">
            <v>0</v>
          </cell>
          <cell r="AJ1599">
            <v>0</v>
          </cell>
          <cell r="AL1599">
            <v>0</v>
          </cell>
          <cell r="AM1599">
            <v>0</v>
          </cell>
          <cell r="AO1599">
            <v>0</v>
          </cell>
          <cell r="AP1599">
            <v>0</v>
          </cell>
          <cell r="AR1599">
            <v>0</v>
          </cell>
          <cell r="AS1599">
            <v>0</v>
          </cell>
          <cell r="BF1599" t="str">
            <v>2017</v>
          </cell>
          <cell r="BG1599" t="str">
            <v>B401</v>
          </cell>
          <cell r="BH1599" t="str">
            <v>VSS</v>
          </cell>
        </row>
        <row r="1600">
          <cell r="K1600">
            <v>0</v>
          </cell>
          <cell r="L1600">
            <v>0</v>
          </cell>
          <cell r="N1600">
            <v>0</v>
          </cell>
          <cell r="O1600">
            <v>0</v>
          </cell>
          <cell r="Q1600">
            <v>0</v>
          </cell>
          <cell r="R1600">
            <v>0</v>
          </cell>
          <cell r="T1600">
            <v>0</v>
          </cell>
          <cell r="U1600">
            <v>0</v>
          </cell>
          <cell r="W1600">
            <v>0</v>
          </cell>
          <cell r="X1600">
            <v>0</v>
          </cell>
          <cell r="Z1600">
            <v>0</v>
          </cell>
          <cell r="AA1600">
            <v>0</v>
          </cell>
          <cell r="AC1600">
            <v>0</v>
          </cell>
          <cell r="AD1600">
            <v>0</v>
          </cell>
          <cell r="AF1600">
            <v>0</v>
          </cell>
          <cell r="AG1600">
            <v>0</v>
          </cell>
          <cell r="AI1600">
            <v>0</v>
          </cell>
          <cell r="AJ1600">
            <v>0</v>
          </cell>
          <cell r="AL1600">
            <v>0</v>
          </cell>
          <cell r="AM1600">
            <v>0</v>
          </cell>
          <cell r="AO1600">
            <v>0</v>
          </cell>
          <cell r="AP1600">
            <v>0</v>
          </cell>
          <cell r="AR1600">
            <v>0</v>
          </cell>
          <cell r="AS1600">
            <v>0</v>
          </cell>
          <cell r="BF1600" t="str">
            <v>2017</v>
          </cell>
          <cell r="BG1600" t="str">
            <v>B402</v>
          </cell>
          <cell r="BH1600" t="str">
            <v>VSS</v>
          </cell>
        </row>
        <row r="1601">
          <cell r="K1601">
            <v>0</v>
          </cell>
          <cell r="L1601">
            <v>0</v>
          </cell>
          <cell r="N1601">
            <v>0</v>
          </cell>
          <cell r="O1601">
            <v>0</v>
          </cell>
          <cell r="Q1601">
            <v>0</v>
          </cell>
          <cell r="R1601">
            <v>0</v>
          </cell>
          <cell r="T1601">
            <v>0</v>
          </cell>
          <cell r="U1601">
            <v>0</v>
          </cell>
          <cell r="W1601">
            <v>0</v>
          </cell>
          <cell r="X1601">
            <v>0</v>
          </cell>
          <cell r="Z1601">
            <v>0</v>
          </cell>
          <cell r="AA1601">
            <v>0</v>
          </cell>
          <cell r="AC1601">
            <v>0</v>
          </cell>
          <cell r="AD1601">
            <v>0</v>
          </cell>
          <cell r="AF1601">
            <v>0</v>
          </cell>
          <cell r="AG1601">
            <v>0</v>
          </cell>
          <cell r="AI1601">
            <v>0</v>
          </cell>
          <cell r="AJ1601">
            <v>0</v>
          </cell>
          <cell r="AL1601">
            <v>0</v>
          </cell>
          <cell r="AM1601">
            <v>0</v>
          </cell>
          <cell r="AO1601">
            <v>0</v>
          </cell>
          <cell r="AP1601">
            <v>0</v>
          </cell>
          <cell r="AR1601">
            <v>0</v>
          </cell>
          <cell r="AS1601">
            <v>0</v>
          </cell>
          <cell r="BF1601" t="str">
            <v>2017</v>
          </cell>
          <cell r="BG1601" t="str">
            <v>B403</v>
          </cell>
          <cell r="BH1601" t="str">
            <v>VSS</v>
          </cell>
        </row>
        <row r="1602">
          <cell r="K1602">
            <v>0</v>
          </cell>
          <cell r="L1602">
            <v>0</v>
          </cell>
          <cell r="N1602">
            <v>0</v>
          </cell>
          <cell r="O1602">
            <v>0</v>
          </cell>
          <cell r="Q1602">
            <v>0</v>
          </cell>
          <cell r="R1602">
            <v>0</v>
          </cell>
          <cell r="T1602">
            <v>0</v>
          </cell>
          <cell r="U1602">
            <v>0</v>
          </cell>
          <cell r="W1602">
            <v>0</v>
          </cell>
          <cell r="X1602">
            <v>0</v>
          </cell>
          <cell r="Z1602">
            <v>0</v>
          </cell>
          <cell r="AA1602">
            <v>0</v>
          </cell>
          <cell r="AC1602">
            <v>0</v>
          </cell>
          <cell r="AD1602">
            <v>0</v>
          </cell>
          <cell r="AF1602">
            <v>0</v>
          </cell>
          <cell r="AG1602">
            <v>0</v>
          </cell>
          <cell r="AI1602">
            <v>0</v>
          </cell>
          <cell r="AJ1602">
            <v>0</v>
          </cell>
          <cell r="AL1602">
            <v>0</v>
          </cell>
          <cell r="AM1602">
            <v>0</v>
          </cell>
          <cell r="AO1602">
            <v>0</v>
          </cell>
          <cell r="AP1602">
            <v>0</v>
          </cell>
          <cell r="AR1602">
            <v>0</v>
          </cell>
          <cell r="AS1602">
            <v>0</v>
          </cell>
          <cell r="BF1602" t="str">
            <v>3100</v>
          </cell>
          <cell r="BG1602" t="str">
            <v>C002</v>
          </cell>
          <cell r="BH1602" t="str">
            <v>VSS</v>
          </cell>
        </row>
        <row r="1603">
          <cell r="K1603">
            <v>0</v>
          </cell>
          <cell r="L1603">
            <v>0</v>
          </cell>
          <cell r="N1603">
            <v>0</v>
          </cell>
          <cell r="O1603">
            <v>0</v>
          </cell>
          <cell r="Q1603">
            <v>0</v>
          </cell>
          <cell r="R1603">
            <v>0</v>
          </cell>
          <cell r="T1603">
            <v>0</v>
          </cell>
          <cell r="U1603">
            <v>0</v>
          </cell>
          <cell r="W1603">
            <v>0</v>
          </cell>
          <cell r="X1603">
            <v>0</v>
          </cell>
          <cell r="Z1603">
            <v>0</v>
          </cell>
          <cell r="AA1603">
            <v>0</v>
          </cell>
          <cell r="AC1603">
            <v>0</v>
          </cell>
          <cell r="AD1603">
            <v>0</v>
          </cell>
          <cell r="AF1603">
            <v>0</v>
          </cell>
          <cell r="AG1603">
            <v>0</v>
          </cell>
          <cell r="AI1603">
            <v>0</v>
          </cell>
          <cell r="AJ1603">
            <v>0</v>
          </cell>
          <cell r="AL1603">
            <v>0</v>
          </cell>
          <cell r="AM1603">
            <v>0</v>
          </cell>
          <cell r="AO1603">
            <v>0</v>
          </cell>
          <cell r="AP1603">
            <v>0</v>
          </cell>
          <cell r="AR1603">
            <v>0</v>
          </cell>
          <cell r="AS1603">
            <v>0</v>
          </cell>
          <cell r="BF1603" t="str">
            <v>3100</v>
          </cell>
          <cell r="BG1603" t="str">
            <v>C003</v>
          </cell>
          <cell r="BH1603" t="str">
            <v>VSS</v>
          </cell>
        </row>
        <row r="1604">
          <cell r="K1604">
            <v>0</v>
          </cell>
          <cell r="L1604">
            <v>0</v>
          </cell>
          <cell r="N1604">
            <v>0</v>
          </cell>
          <cell r="O1604">
            <v>0</v>
          </cell>
          <cell r="Q1604">
            <v>0</v>
          </cell>
          <cell r="R1604">
            <v>0</v>
          </cell>
          <cell r="T1604">
            <v>0</v>
          </cell>
          <cell r="U1604">
            <v>0</v>
          </cell>
          <cell r="W1604">
            <v>0</v>
          </cell>
          <cell r="X1604">
            <v>0</v>
          </cell>
          <cell r="Z1604">
            <v>0</v>
          </cell>
          <cell r="AA1604">
            <v>0</v>
          </cell>
          <cell r="AC1604">
            <v>0</v>
          </cell>
          <cell r="AD1604">
            <v>0</v>
          </cell>
          <cell r="AF1604">
            <v>0</v>
          </cell>
          <cell r="AG1604">
            <v>0</v>
          </cell>
          <cell r="AI1604">
            <v>0</v>
          </cell>
          <cell r="AJ1604">
            <v>0</v>
          </cell>
          <cell r="AL1604">
            <v>0</v>
          </cell>
          <cell r="AM1604">
            <v>0</v>
          </cell>
          <cell r="AO1604">
            <v>0</v>
          </cell>
          <cell r="AP1604">
            <v>0</v>
          </cell>
          <cell r="AR1604">
            <v>0</v>
          </cell>
          <cell r="AS1604">
            <v>0</v>
          </cell>
          <cell r="BF1604" t="str">
            <v>3100</v>
          </cell>
          <cell r="BG1604" t="str">
            <v>C004</v>
          </cell>
          <cell r="BH1604" t="str">
            <v>VSS</v>
          </cell>
        </row>
        <row r="1605">
          <cell r="K1605">
            <v>0</v>
          </cell>
          <cell r="L1605">
            <v>0</v>
          </cell>
          <cell r="N1605">
            <v>0</v>
          </cell>
          <cell r="O1605">
            <v>0</v>
          </cell>
          <cell r="Q1605">
            <v>0</v>
          </cell>
          <cell r="R1605">
            <v>0</v>
          </cell>
          <cell r="T1605">
            <v>0</v>
          </cell>
          <cell r="U1605">
            <v>0</v>
          </cell>
          <cell r="W1605">
            <v>0</v>
          </cell>
          <cell r="X1605">
            <v>0</v>
          </cell>
          <cell r="Z1605">
            <v>0</v>
          </cell>
          <cell r="AA1605">
            <v>0</v>
          </cell>
          <cell r="AC1605">
            <v>0</v>
          </cell>
          <cell r="AD1605">
            <v>0</v>
          </cell>
          <cell r="AF1605">
            <v>0</v>
          </cell>
          <cell r="AG1605">
            <v>0</v>
          </cell>
          <cell r="AI1605">
            <v>0</v>
          </cell>
          <cell r="AJ1605">
            <v>0</v>
          </cell>
          <cell r="AL1605">
            <v>0</v>
          </cell>
          <cell r="AM1605">
            <v>0</v>
          </cell>
          <cell r="AO1605">
            <v>0</v>
          </cell>
          <cell r="AP1605">
            <v>0</v>
          </cell>
          <cell r="AR1605">
            <v>0</v>
          </cell>
          <cell r="AS1605">
            <v>0</v>
          </cell>
          <cell r="BF1605" t="str">
            <v>3100</v>
          </cell>
          <cell r="BG1605" t="str">
            <v>C005</v>
          </cell>
          <cell r="BH1605" t="str">
            <v>VSS</v>
          </cell>
        </row>
        <row r="1606">
          <cell r="K1606">
            <v>0</v>
          </cell>
          <cell r="L1606">
            <v>0</v>
          </cell>
          <cell r="N1606">
            <v>0</v>
          </cell>
          <cell r="O1606">
            <v>0</v>
          </cell>
          <cell r="Q1606">
            <v>0</v>
          </cell>
          <cell r="R1606">
            <v>0</v>
          </cell>
          <cell r="T1606">
            <v>0</v>
          </cell>
          <cell r="U1606">
            <v>0</v>
          </cell>
          <cell r="W1606">
            <v>0</v>
          </cell>
          <cell r="X1606">
            <v>0</v>
          </cell>
          <cell r="Z1606">
            <v>0</v>
          </cell>
          <cell r="AA1606">
            <v>0</v>
          </cell>
          <cell r="AC1606">
            <v>0</v>
          </cell>
          <cell r="AD1606">
            <v>0</v>
          </cell>
          <cell r="AF1606">
            <v>0</v>
          </cell>
          <cell r="AG1606">
            <v>0</v>
          </cell>
          <cell r="AI1606">
            <v>0</v>
          </cell>
          <cell r="AJ1606">
            <v>0</v>
          </cell>
          <cell r="AL1606">
            <v>0</v>
          </cell>
          <cell r="AM1606">
            <v>0</v>
          </cell>
          <cell r="AO1606">
            <v>0</v>
          </cell>
          <cell r="AP1606">
            <v>0</v>
          </cell>
          <cell r="AR1606">
            <v>0</v>
          </cell>
          <cell r="AS1606">
            <v>0</v>
          </cell>
          <cell r="BF1606" t="str">
            <v>3100</v>
          </cell>
          <cell r="BG1606" t="str">
            <v>C006</v>
          </cell>
          <cell r="BH1606" t="str">
            <v>VSS</v>
          </cell>
        </row>
        <row r="1607">
          <cell r="K1607">
            <v>0</v>
          </cell>
          <cell r="L1607">
            <v>0</v>
          </cell>
          <cell r="N1607">
            <v>0</v>
          </cell>
          <cell r="O1607">
            <v>0</v>
          </cell>
          <cell r="Q1607">
            <v>0</v>
          </cell>
          <cell r="R1607">
            <v>0</v>
          </cell>
          <cell r="T1607">
            <v>0</v>
          </cell>
          <cell r="U1607">
            <v>0</v>
          </cell>
          <cell r="W1607">
            <v>0</v>
          </cell>
          <cell r="X1607">
            <v>0</v>
          </cell>
          <cell r="Z1607">
            <v>0</v>
          </cell>
          <cell r="AA1607">
            <v>0</v>
          </cell>
          <cell r="AC1607">
            <v>0</v>
          </cell>
          <cell r="AD1607">
            <v>0</v>
          </cell>
          <cell r="AF1607">
            <v>0</v>
          </cell>
          <cell r="AG1607">
            <v>0</v>
          </cell>
          <cell r="AI1607">
            <v>0</v>
          </cell>
          <cell r="AJ1607">
            <v>0</v>
          </cell>
          <cell r="AL1607">
            <v>0</v>
          </cell>
          <cell r="AM1607">
            <v>0</v>
          </cell>
          <cell r="AO1607">
            <v>0</v>
          </cell>
          <cell r="AP1607">
            <v>0</v>
          </cell>
          <cell r="AR1607">
            <v>0</v>
          </cell>
          <cell r="AS1607">
            <v>0</v>
          </cell>
          <cell r="BF1607" t="str">
            <v>3150</v>
          </cell>
          <cell r="BG1607" t="str">
            <v>Z000</v>
          </cell>
          <cell r="BH1607" t="str">
            <v>VSS</v>
          </cell>
        </row>
        <row r="1608">
          <cell r="K1608">
            <v>5000</v>
          </cell>
          <cell r="L1608">
            <v>0</v>
          </cell>
          <cell r="N1608">
            <v>5000</v>
          </cell>
          <cell r="O1608">
            <v>0</v>
          </cell>
          <cell r="Q1608">
            <v>5000</v>
          </cell>
          <cell r="R1608">
            <v>0</v>
          </cell>
          <cell r="T1608">
            <v>5000</v>
          </cell>
          <cell r="U1608">
            <v>0</v>
          </cell>
          <cell r="W1608">
            <v>5000</v>
          </cell>
          <cell r="X1608">
            <v>0</v>
          </cell>
          <cell r="Z1608">
            <v>5000</v>
          </cell>
          <cell r="AA1608">
            <v>0</v>
          </cell>
          <cell r="AC1608">
            <v>27831.03</v>
          </cell>
          <cell r="AD1608">
            <v>0</v>
          </cell>
          <cell r="AF1608">
            <v>27831.03</v>
          </cell>
          <cell r="AG1608">
            <v>0</v>
          </cell>
          <cell r="AI1608">
            <v>27831.03</v>
          </cell>
          <cell r="AJ1608">
            <v>0</v>
          </cell>
          <cell r="AL1608">
            <v>27831.03</v>
          </cell>
          <cell r="AM1608">
            <v>0</v>
          </cell>
          <cell r="AO1608">
            <v>27831.03</v>
          </cell>
          <cell r="AP1608">
            <v>0</v>
          </cell>
          <cell r="AR1608">
            <v>11513.149999999994</v>
          </cell>
          <cell r="AS1608">
            <v>0</v>
          </cell>
          <cell r="BF1608" t="str">
            <v>4000</v>
          </cell>
          <cell r="BG1608" t="str">
            <v>D001</v>
          </cell>
          <cell r="BH1608" t="str">
            <v>VSS</v>
          </cell>
        </row>
        <row r="1609">
          <cell r="K1609">
            <v>0</v>
          </cell>
          <cell r="L1609">
            <v>0</v>
          </cell>
          <cell r="N1609">
            <v>0</v>
          </cell>
          <cell r="O1609">
            <v>0</v>
          </cell>
          <cell r="Q1609">
            <v>0</v>
          </cell>
          <cell r="R1609">
            <v>0</v>
          </cell>
          <cell r="T1609">
            <v>0</v>
          </cell>
          <cell r="U1609">
            <v>0</v>
          </cell>
          <cell r="W1609">
            <v>0</v>
          </cell>
          <cell r="X1609">
            <v>0</v>
          </cell>
          <cell r="Z1609">
            <v>0</v>
          </cell>
          <cell r="AA1609">
            <v>0</v>
          </cell>
          <cell r="AC1609">
            <v>0</v>
          </cell>
          <cell r="AD1609">
            <v>0</v>
          </cell>
          <cell r="AF1609">
            <v>21888</v>
          </cell>
          <cell r="AG1609">
            <v>0</v>
          </cell>
          <cell r="AI1609">
            <v>0</v>
          </cell>
          <cell r="AJ1609">
            <v>0</v>
          </cell>
          <cell r="AL1609">
            <v>1700</v>
          </cell>
          <cell r="AM1609">
            <v>0</v>
          </cell>
          <cell r="AO1609">
            <v>0</v>
          </cell>
          <cell r="AP1609">
            <v>0</v>
          </cell>
          <cell r="AR1609">
            <v>0</v>
          </cell>
          <cell r="AS1609">
            <v>0</v>
          </cell>
          <cell r="BF1609" t="str">
            <v>4000</v>
          </cell>
          <cell r="BG1609" t="str">
            <v>D002</v>
          </cell>
          <cell r="BH1609" t="str">
            <v>VSS</v>
          </cell>
        </row>
        <row r="1610">
          <cell r="K1610">
            <v>0</v>
          </cell>
          <cell r="L1610">
            <v>0</v>
          </cell>
          <cell r="N1610">
            <v>0</v>
          </cell>
          <cell r="O1610">
            <v>0</v>
          </cell>
          <cell r="Q1610">
            <v>0</v>
          </cell>
          <cell r="R1610">
            <v>0</v>
          </cell>
          <cell r="T1610">
            <v>0</v>
          </cell>
          <cell r="U1610">
            <v>0</v>
          </cell>
          <cell r="W1610">
            <v>0</v>
          </cell>
          <cell r="X1610">
            <v>0</v>
          </cell>
          <cell r="Z1610">
            <v>0</v>
          </cell>
          <cell r="AA1610">
            <v>0</v>
          </cell>
          <cell r="AC1610">
            <v>0</v>
          </cell>
          <cell r="AD1610">
            <v>0</v>
          </cell>
          <cell r="AF1610">
            <v>0</v>
          </cell>
          <cell r="AG1610">
            <v>0</v>
          </cell>
          <cell r="AI1610">
            <v>0</v>
          </cell>
          <cell r="AJ1610">
            <v>0</v>
          </cell>
          <cell r="AL1610">
            <v>0</v>
          </cell>
          <cell r="AM1610">
            <v>0</v>
          </cell>
          <cell r="AO1610">
            <v>0</v>
          </cell>
          <cell r="AP1610">
            <v>0</v>
          </cell>
          <cell r="AR1610">
            <v>0</v>
          </cell>
          <cell r="AS1610">
            <v>0</v>
          </cell>
          <cell r="BF1610" t="str">
            <v>4010</v>
          </cell>
          <cell r="BG1610" t="str">
            <v>Z000</v>
          </cell>
          <cell r="BH1610" t="str">
            <v>VSS</v>
          </cell>
        </row>
        <row r="1611">
          <cell r="K1611">
            <v>2628.619999999999</v>
          </cell>
          <cell r="L1611">
            <v>0</v>
          </cell>
          <cell r="N1611">
            <v>1278.2700000000004</v>
          </cell>
          <cell r="O1611">
            <v>0</v>
          </cell>
          <cell r="Q1611">
            <v>1210.4299999999967</v>
          </cell>
          <cell r="R1611">
            <v>0</v>
          </cell>
          <cell r="T1611">
            <v>591.79999999999927</v>
          </cell>
          <cell r="U1611">
            <v>0</v>
          </cell>
          <cell r="W1611">
            <v>1912.9400000000023</v>
          </cell>
          <cell r="X1611">
            <v>0</v>
          </cell>
          <cell r="Z1611">
            <v>489.68000000000029</v>
          </cell>
          <cell r="AA1611">
            <v>0</v>
          </cell>
          <cell r="AC1611">
            <v>509.66999999999825</v>
          </cell>
          <cell r="AD1611">
            <v>0</v>
          </cell>
          <cell r="AF1611">
            <v>1196.7799999999988</v>
          </cell>
          <cell r="AG1611">
            <v>0</v>
          </cell>
          <cell r="AI1611">
            <v>1127.3999999999942</v>
          </cell>
          <cell r="AJ1611">
            <v>0</v>
          </cell>
          <cell r="AL1611">
            <v>1338.3000000000029</v>
          </cell>
          <cell r="AM1611">
            <v>0</v>
          </cell>
          <cell r="AO1611">
            <v>1215.1599999999962</v>
          </cell>
          <cell r="AP1611">
            <v>0</v>
          </cell>
          <cell r="AR1611">
            <v>2831.820000000007</v>
          </cell>
          <cell r="AS1611">
            <v>0</v>
          </cell>
          <cell r="BF1611" t="str">
            <v>4150</v>
          </cell>
          <cell r="BG1611" t="str">
            <v>Z000</v>
          </cell>
          <cell r="BH1611" t="str">
            <v>VSS</v>
          </cell>
        </row>
        <row r="1612">
          <cell r="K1612">
            <v>0</v>
          </cell>
          <cell r="L1612">
            <v>0</v>
          </cell>
          <cell r="N1612">
            <v>0</v>
          </cell>
          <cell r="O1612">
            <v>0</v>
          </cell>
          <cell r="Q1612">
            <v>0</v>
          </cell>
          <cell r="R1612">
            <v>0</v>
          </cell>
          <cell r="T1612">
            <v>0</v>
          </cell>
          <cell r="U1612">
            <v>0</v>
          </cell>
          <cell r="W1612">
            <v>0</v>
          </cell>
          <cell r="X1612">
            <v>0</v>
          </cell>
          <cell r="Z1612">
            <v>0</v>
          </cell>
          <cell r="AA1612">
            <v>0</v>
          </cell>
          <cell r="AC1612">
            <v>0</v>
          </cell>
          <cell r="AD1612">
            <v>0</v>
          </cell>
          <cell r="AF1612">
            <v>0</v>
          </cell>
          <cell r="AG1612">
            <v>0</v>
          </cell>
          <cell r="AI1612">
            <v>0</v>
          </cell>
          <cell r="AJ1612">
            <v>0</v>
          </cell>
          <cell r="AL1612">
            <v>0</v>
          </cell>
          <cell r="AM1612">
            <v>0</v>
          </cell>
          <cell r="AO1612">
            <v>0</v>
          </cell>
          <cell r="AP1612">
            <v>0</v>
          </cell>
          <cell r="AR1612">
            <v>0</v>
          </cell>
          <cell r="AS1612">
            <v>0</v>
          </cell>
          <cell r="BF1612" t="str">
            <v>4200</v>
          </cell>
          <cell r="BG1612" t="str">
            <v>Z000</v>
          </cell>
          <cell r="BH1612" t="str">
            <v>VSS</v>
          </cell>
        </row>
        <row r="1613">
          <cell r="K1613">
            <v>0</v>
          </cell>
          <cell r="L1613">
            <v>0</v>
          </cell>
          <cell r="N1613">
            <v>0</v>
          </cell>
          <cell r="O1613">
            <v>0</v>
          </cell>
          <cell r="Q1613">
            <v>0</v>
          </cell>
          <cell r="R1613">
            <v>0</v>
          </cell>
          <cell r="T1613">
            <v>0</v>
          </cell>
          <cell r="U1613">
            <v>0</v>
          </cell>
          <cell r="W1613">
            <v>0</v>
          </cell>
          <cell r="X1613">
            <v>0</v>
          </cell>
          <cell r="Z1613">
            <v>0</v>
          </cell>
          <cell r="AA1613">
            <v>0</v>
          </cell>
          <cell r="AC1613">
            <v>0</v>
          </cell>
          <cell r="AD1613">
            <v>0</v>
          </cell>
          <cell r="AF1613">
            <v>0</v>
          </cell>
          <cell r="AG1613">
            <v>0</v>
          </cell>
          <cell r="AI1613">
            <v>0</v>
          </cell>
          <cell r="AJ1613">
            <v>0</v>
          </cell>
          <cell r="AL1613">
            <v>0</v>
          </cell>
          <cell r="AM1613">
            <v>0</v>
          </cell>
          <cell r="AO1613">
            <v>0</v>
          </cell>
          <cell r="AP1613">
            <v>0</v>
          </cell>
          <cell r="AR1613">
            <v>0</v>
          </cell>
          <cell r="AS1613">
            <v>0</v>
          </cell>
          <cell r="BF1613" t="str">
            <v>4215</v>
          </cell>
          <cell r="BG1613" t="str">
            <v>Z000</v>
          </cell>
          <cell r="BH1613" t="str">
            <v>VSS</v>
          </cell>
        </row>
        <row r="1614">
          <cell r="K1614">
            <v>67184.300000000047</v>
          </cell>
          <cell r="L1614">
            <v>0</v>
          </cell>
          <cell r="N1614">
            <v>47467.5</v>
          </cell>
          <cell r="O1614">
            <v>0</v>
          </cell>
          <cell r="Q1614">
            <v>26875</v>
          </cell>
          <cell r="R1614">
            <v>0</v>
          </cell>
          <cell r="T1614">
            <v>82637.5</v>
          </cell>
          <cell r="U1614">
            <v>0</v>
          </cell>
          <cell r="W1614">
            <v>24875</v>
          </cell>
          <cell r="X1614">
            <v>0</v>
          </cell>
          <cell r="Z1614">
            <v>73423.090000000084</v>
          </cell>
          <cell r="AA1614">
            <v>0</v>
          </cell>
          <cell r="AC1614">
            <v>69271</v>
          </cell>
          <cell r="AD1614">
            <v>0</v>
          </cell>
          <cell r="AF1614">
            <v>153353.18999999994</v>
          </cell>
          <cell r="AG1614">
            <v>0</v>
          </cell>
          <cell r="AI1614">
            <v>131894.18999999994</v>
          </cell>
          <cell r="AJ1614">
            <v>0</v>
          </cell>
          <cell r="AL1614">
            <v>101106.18999999994</v>
          </cell>
          <cell r="AM1614">
            <v>0</v>
          </cell>
          <cell r="AO1614">
            <v>48712.689999999944</v>
          </cell>
          <cell r="AP1614">
            <v>0</v>
          </cell>
          <cell r="AR1614">
            <v>68777.689999999944</v>
          </cell>
          <cell r="AS1614">
            <v>0</v>
          </cell>
          <cell r="BF1614" t="str">
            <v>4230</v>
          </cell>
          <cell r="BG1614" t="str">
            <v>Z000</v>
          </cell>
          <cell r="BH1614" t="str">
            <v>VSS</v>
          </cell>
        </row>
        <row r="1615">
          <cell r="K1615">
            <v>0</v>
          </cell>
          <cell r="L1615">
            <v>0</v>
          </cell>
          <cell r="N1615">
            <v>0</v>
          </cell>
          <cell r="O1615">
            <v>0</v>
          </cell>
          <cell r="Q1615">
            <v>14800</v>
          </cell>
          <cell r="R1615">
            <v>0</v>
          </cell>
          <cell r="T1615">
            <v>0</v>
          </cell>
          <cell r="U1615">
            <v>0</v>
          </cell>
          <cell r="W1615">
            <v>0</v>
          </cell>
          <cell r="X1615">
            <v>0</v>
          </cell>
          <cell r="Z1615">
            <v>0</v>
          </cell>
          <cell r="AA1615">
            <v>0</v>
          </cell>
          <cell r="AC1615">
            <v>0</v>
          </cell>
          <cell r="AD1615">
            <v>0</v>
          </cell>
          <cell r="AF1615">
            <v>0</v>
          </cell>
          <cell r="AG1615">
            <v>0</v>
          </cell>
          <cell r="AI1615">
            <v>0</v>
          </cell>
          <cell r="AJ1615">
            <v>0</v>
          </cell>
          <cell r="AL1615">
            <v>0</v>
          </cell>
          <cell r="AM1615">
            <v>0</v>
          </cell>
          <cell r="AO1615">
            <v>0</v>
          </cell>
          <cell r="AP1615">
            <v>0</v>
          </cell>
          <cell r="AR1615">
            <v>0</v>
          </cell>
          <cell r="AS1615">
            <v>0</v>
          </cell>
          <cell r="BF1615" t="str">
            <v>4240</v>
          </cell>
          <cell r="BG1615" t="str">
            <v>Z000</v>
          </cell>
          <cell r="BH1615" t="str">
            <v>VSS</v>
          </cell>
        </row>
        <row r="1616">
          <cell r="K1616">
            <v>1008.0099999999948</v>
          </cell>
          <cell r="L1616">
            <v>0</v>
          </cell>
          <cell r="N1616">
            <v>1034.320000000007</v>
          </cell>
          <cell r="O1616">
            <v>0</v>
          </cell>
          <cell r="Q1616">
            <v>0</v>
          </cell>
          <cell r="R1616">
            <v>0</v>
          </cell>
          <cell r="T1616">
            <v>4387.070000000007</v>
          </cell>
          <cell r="U1616">
            <v>0</v>
          </cell>
          <cell r="W1616">
            <v>4077.2399999999907</v>
          </cell>
          <cell r="X1616">
            <v>0</v>
          </cell>
          <cell r="Z1616">
            <v>0</v>
          </cell>
          <cell r="AA1616">
            <v>0</v>
          </cell>
          <cell r="AC1616">
            <v>0</v>
          </cell>
          <cell r="AD1616">
            <v>0</v>
          </cell>
          <cell r="AF1616">
            <v>1463.6499999999942</v>
          </cell>
          <cell r="AG1616">
            <v>0</v>
          </cell>
          <cell r="AI1616">
            <v>621.73000000001048</v>
          </cell>
          <cell r="AJ1616">
            <v>0</v>
          </cell>
          <cell r="AL1616">
            <v>1092.2600000000093</v>
          </cell>
          <cell r="AM1616">
            <v>0</v>
          </cell>
          <cell r="AO1616">
            <v>0</v>
          </cell>
          <cell r="AP1616">
            <v>0</v>
          </cell>
          <cell r="AR1616">
            <v>4462</v>
          </cell>
          <cell r="AS1616">
            <v>0</v>
          </cell>
          <cell r="BF1616" t="str">
            <v>4250</v>
          </cell>
          <cell r="BG1616" t="str">
            <v>Z000</v>
          </cell>
          <cell r="BH1616" t="str">
            <v>VSS</v>
          </cell>
        </row>
        <row r="1617">
          <cell r="K1617">
            <v>0</v>
          </cell>
          <cell r="L1617">
            <v>0</v>
          </cell>
          <cell r="N1617">
            <v>0</v>
          </cell>
          <cell r="O1617">
            <v>0</v>
          </cell>
          <cell r="Q1617">
            <v>0</v>
          </cell>
          <cell r="R1617">
            <v>0</v>
          </cell>
          <cell r="T1617">
            <v>755.60999999999967</v>
          </cell>
          <cell r="U1617">
            <v>0</v>
          </cell>
          <cell r="W1617">
            <v>1002.3500000000004</v>
          </cell>
          <cell r="X1617">
            <v>0</v>
          </cell>
          <cell r="Z1617">
            <v>1090</v>
          </cell>
          <cell r="AA1617">
            <v>0</v>
          </cell>
          <cell r="AC1617">
            <v>320</v>
          </cell>
          <cell r="AD1617">
            <v>0</v>
          </cell>
          <cell r="AF1617">
            <v>0</v>
          </cell>
          <cell r="AG1617">
            <v>0</v>
          </cell>
          <cell r="AI1617">
            <v>4768</v>
          </cell>
          <cell r="AJ1617">
            <v>0</v>
          </cell>
          <cell r="AL1617">
            <v>826</v>
          </cell>
          <cell r="AM1617">
            <v>0</v>
          </cell>
          <cell r="AO1617">
            <v>364.99999999999636</v>
          </cell>
          <cell r="AP1617">
            <v>0</v>
          </cell>
          <cell r="AR1617">
            <v>280</v>
          </cell>
          <cell r="AS1617">
            <v>0</v>
          </cell>
          <cell r="BF1617" t="str">
            <v>4275</v>
          </cell>
          <cell r="BG1617" t="str">
            <v>Z000</v>
          </cell>
          <cell r="BH1617" t="str">
            <v>VSS</v>
          </cell>
        </row>
        <row r="1618">
          <cell r="K1618">
            <v>22105.690000000002</v>
          </cell>
          <cell r="L1618">
            <v>0</v>
          </cell>
          <cell r="N1618">
            <v>22421.679999999993</v>
          </cell>
          <cell r="O1618">
            <v>0</v>
          </cell>
          <cell r="Q1618">
            <v>22076.75</v>
          </cell>
          <cell r="R1618">
            <v>0</v>
          </cell>
          <cell r="T1618">
            <v>22534.850000000006</v>
          </cell>
          <cell r="U1618">
            <v>0</v>
          </cell>
          <cell r="W1618">
            <v>26521.330000000016</v>
          </cell>
          <cell r="X1618">
            <v>0</v>
          </cell>
          <cell r="Z1618">
            <v>27858.340000000026</v>
          </cell>
          <cell r="AA1618">
            <v>0</v>
          </cell>
          <cell r="AC1618">
            <v>27997.690000000002</v>
          </cell>
          <cell r="AD1618">
            <v>0</v>
          </cell>
          <cell r="AF1618">
            <v>25763.330000000016</v>
          </cell>
          <cell r="AG1618">
            <v>0</v>
          </cell>
          <cell r="AI1618">
            <v>29083.659999999974</v>
          </cell>
          <cell r="AJ1618">
            <v>0</v>
          </cell>
          <cell r="AL1618">
            <v>28465.549999999988</v>
          </cell>
          <cell r="AM1618">
            <v>0</v>
          </cell>
          <cell r="AO1618">
            <v>30533.479999999981</v>
          </cell>
          <cell r="AP1618">
            <v>0</v>
          </cell>
          <cell r="AR1618">
            <v>29569.630000000005</v>
          </cell>
          <cell r="AS1618">
            <v>0</v>
          </cell>
          <cell r="BF1618" t="str">
            <v>4300</v>
          </cell>
          <cell r="BG1618" t="str">
            <v>Z000</v>
          </cell>
          <cell r="BH1618" t="str">
            <v>VSS</v>
          </cell>
        </row>
        <row r="1619">
          <cell r="K1619">
            <v>0</v>
          </cell>
          <cell r="L1619">
            <v>0</v>
          </cell>
          <cell r="N1619">
            <v>0</v>
          </cell>
          <cell r="O1619">
            <v>0</v>
          </cell>
          <cell r="Q1619">
            <v>0</v>
          </cell>
          <cell r="R1619">
            <v>0</v>
          </cell>
          <cell r="T1619">
            <v>0</v>
          </cell>
          <cell r="U1619">
            <v>0</v>
          </cell>
          <cell r="W1619">
            <v>0</v>
          </cell>
          <cell r="X1619">
            <v>0</v>
          </cell>
          <cell r="Z1619">
            <v>0</v>
          </cell>
          <cell r="AA1619">
            <v>0</v>
          </cell>
          <cell r="AC1619">
            <v>0</v>
          </cell>
          <cell r="AD1619">
            <v>0</v>
          </cell>
          <cell r="AF1619">
            <v>0</v>
          </cell>
          <cell r="AG1619">
            <v>0</v>
          </cell>
          <cell r="AI1619">
            <v>0</v>
          </cell>
          <cell r="AJ1619">
            <v>0</v>
          </cell>
          <cell r="AL1619">
            <v>0</v>
          </cell>
          <cell r="AM1619">
            <v>0</v>
          </cell>
          <cell r="AO1619">
            <v>0</v>
          </cell>
          <cell r="AP1619">
            <v>0</v>
          </cell>
          <cell r="AR1619">
            <v>0</v>
          </cell>
          <cell r="AS1619">
            <v>0</v>
          </cell>
          <cell r="BF1619" t="str">
            <v>4320</v>
          </cell>
          <cell r="BG1619" t="str">
            <v>Z000</v>
          </cell>
          <cell r="BH1619" t="str">
            <v>VSS</v>
          </cell>
        </row>
        <row r="1620">
          <cell r="K1620">
            <v>0</v>
          </cell>
          <cell r="L1620">
            <v>0</v>
          </cell>
          <cell r="N1620">
            <v>0</v>
          </cell>
          <cell r="O1620">
            <v>0</v>
          </cell>
          <cell r="Q1620">
            <v>0</v>
          </cell>
          <cell r="R1620">
            <v>0</v>
          </cell>
          <cell r="T1620">
            <v>0</v>
          </cell>
          <cell r="U1620">
            <v>0</v>
          </cell>
          <cell r="W1620">
            <v>0</v>
          </cell>
          <cell r="X1620">
            <v>0</v>
          </cell>
          <cell r="Z1620">
            <v>0</v>
          </cell>
          <cell r="AA1620">
            <v>0</v>
          </cell>
          <cell r="AC1620">
            <v>0</v>
          </cell>
          <cell r="AD1620">
            <v>0</v>
          </cell>
          <cell r="AF1620">
            <v>0</v>
          </cell>
          <cell r="AG1620">
            <v>0</v>
          </cell>
          <cell r="AI1620">
            <v>0</v>
          </cell>
          <cell r="AJ1620">
            <v>0</v>
          </cell>
          <cell r="AL1620">
            <v>0</v>
          </cell>
          <cell r="AM1620">
            <v>0</v>
          </cell>
          <cell r="AO1620">
            <v>0</v>
          </cell>
          <cell r="AP1620">
            <v>0</v>
          </cell>
          <cell r="AR1620">
            <v>0</v>
          </cell>
          <cell r="AS1620">
            <v>0</v>
          </cell>
          <cell r="BF1620" t="str">
            <v>4330</v>
          </cell>
          <cell r="BG1620" t="str">
            <v>Z000</v>
          </cell>
          <cell r="BH1620" t="str">
            <v>VSS</v>
          </cell>
        </row>
        <row r="1621">
          <cell r="K1621">
            <v>0</v>
          </cell>
          <cell r="L1621">
            <v>0</v>
          </cell>
          <cell r="N1621">
            <v>0</v>
          </cell>
          <cell r="O1621">
            <v>0</v>
          </cell>
          <cell r="Q1621">
            <v>0</v>
          </cell>
          <cell r="R1621">
            <v>0</v>
          </cell>
          <cell r="T1621">
            <v>0</v>
          </cell>
          <cell r="U1621">
            <v>0</v>
          </cell>
          <cell r="W1621">
            <v>0</v>
          </cell>
          <cell r="X1621">
            <v>0</v>
          </cell>
          <cell r="Z1621">
            <v>0</v>
          </cell>
          <cell r="AA1621">
            <v>0</v>
          </cell>
          <cell r="AC1621">
            <v>0</v>
          </cell>
          <cell r="AD1621">
            <v>0</v>
          </cell>
          <cell r="AF1621">
            <v>0</v>
          </cell>
          <cell r="AG1621">
            <v>0</v>
          </cell>
          <cell r="AI1621">
            <v>0</v>
          </cell>
          <cell r="AJ1621">
            <v>0</v>
          </cell>
          <cell r="AL1621">
            <v>0</v>
          </cell>
          <cell r="AM1621">
            <v>0</v>
          </cell>
          <cell r="AO1621">
            <v>0</v>
          </cell>
          <cell r="AP1621">
            <v>0</v>
          </cell>
          <cell r="AR1621">
            <v>6000</v>
          </cell>
          <cell r="AS1621">
            <v>0</v>
          </cell>
          <cell r="BF1621" t="str">
            <v>4340</v>
          </cell>
          <cell r="BG1621" t="str">
            <v>D006</v>
          </cell>
          <cell r="BH1621" t="str">
            <v>VSS</v>
          </cell>
        </row>
        <row r="1622">
          <cell r="K1622">
            <v>0</v>
          </cell>
          <cell r="L1622">
            <v>0</v>
          </cell>
          <cell r="N1622">
            <v>0</v>
          </cell>
          <cell r="O1622">
            <v>0</v>
          </cell>
          <cell r="Q1622">
            <v>0</v>
          </cell>
          <cell r="R1622">
            <v>0</v>
          </cell>
          <cell r="T1622">
            <v>0</v>
          </cell>
          <cell r="U1622">
            <v>0</v>
          </cell>
          <cell r="W1622">
            <v>0</v>
          </cell>
          <cell r="X1622">
            <v>0</v>
          </cell>
          <cell r="Z1622">
            <v>0</v>
          </cell>
          <cell r="AA1622">
            <v>0</v>
          </cell>
          <cell r="AC1622">
            <v>0</v>
          </cell>
          <cell r="AD1622">
            <v>0</v>
          </cell>
          <cell r="AF1622">
            <v>0</v>
          </cell>
          <cell r="AG1622">
            <v>0</v>
          </cell>
          <cell r="AI1622">
            <v>0</v>
          </cell>
          <cell r="AJ1622">
            <v>0</v>
          </cell>
          <cell r="AL1622">
            <v>0</v>
          </cell>
          <cell r="AM1622">
            <v>0</v>
          </cell>
          <cell r="AO1622">
            <v>0</v>
          </cell>
          <cell r="AP1622">
            <v>0</v>
          </cell>
          <cell r="AR1622">
            <v>0</v>
          </cell>
          <cell r="AS1622">
            <v>0</v>
          </cell>
          <cell r="BF1622" t="str">
            <v>4340</v>
          </cell>
          <cell r="BG1622" t="str">
            <v>D007</v>
          </cell>
          <cell r="BH1622" t="str">
            <v>VSS</v>
          </cell>
        </row>
        <row r="1623">
          <cell r="K1623">
            <v>0</v>
          </cell>
          <cell r="L1623">
            <v>0</v>
          </cell>
          <cell r="N1623">
            <v>0</v>
          </cell>
          <cell r="O1623">
            <v>0</v>
          </cell>
          <cell r="Q1623">
            <v>2154.85</v>
          </cell>
          <cell r="R1623">
            <v>0</v>
          </cell>
          <cell r="T1623">
            <v>0</v>
          </cell>
          <cell r="U1623">
            <v>0</v>
          </cell>
          <cell r="W1623">
            <v>0</v>
          </cell>
          <cell r="X1623">
            <v>0</v>
          </cell>
          <cell r="Z1623">
            <v>0</v>
          </cell>
          <cell r="AA1623">
            <v>0</v>
          </cell>
          <cell r="AC1623">
            <v>0</v>
          </cell>
          <cell r="AD1623">
            <v>0</v>
          </cell>
          <cell r="AF1623">
            <v>0</v>
          </cell>
          <cell r="AG1623">
            <v>0</v>
          </cell>
          <cell r="AI1623">
            <v>0</v>
          </cell>
          <cell r="AJ1623">
            <v>0</v>
          </cell>
          <cell r="AL1623">
            <v>0</v>
          </cell>
          <cell r="AM1623">
            <v>0</v>
          </cell>
          <cell r="AO1623">
            <v>1024.4500000000003</v>
          </cell>
          <cell r="AP1623">
            <v>0</v>
          </cell>
          <cell r="AR1623">
            <v>0</v>
          </cell>
          <cell r="AS1623">
            <v>0</v>
          </cell>
          <cell r="BF1623" t="str">
            <v>4340</v>
          </cell>
          <cell r="BG1623" t="str">
            <v>D008</v>
          </cell>
          <cell r="BH1623" t="str">
            <v>VSS</v>
          </cell>
        </row>
        <row r="1624">
          <cell r="K1624">
            <v>0</v>
          </cell>
          <cell r="L1624">
            <v>0</v>
          </cell>
          <cell r="N1624">
            <v>0</v>
          </cell>
          <cell r="O1624">
            <v>0</v>
          </cell>
          <cell r="Q1624">
            <v>0</v>
          </cell>
          <cell r="R1624">
            <v>0</v>
          </cell>
          <cell r="T1624">
            <v>0</v>
          </cell>
          <cell r="U1624">
            <v>0</v>
          </cell>
          <cell r="W1624">
            <v>0</v>
          </cell>
          <cell r="X1624">
            <v>0</v>
          </cell>
          <cell r="Z1624">
            <v>0</v>
          </cell>
          <cell r="AA1624">
            <v>0</v>
          </cell>
          <cell r="AC1624">
            <v>0</v>
          </cell>
          <cell r="AD1624">
            <v>0</v>
          </cell>
          <cell r="AF1624">
            <v>0</v>
          </cell>
          <cell r="AG1624">
            <v>0</v>
          </cell>
          <cell r="AI1624">
            <v>0</v>
          </cell>
          <cell r="AJ1624">
            <v>0</v>
          </cell>
          <cell r="AL1624">
            <v>0</v>
          </cell>
          <cell r="AM1624">
            <v>0</v>
          </cell>
          <cell r="AO1624">
            <v>0</v>
          </cell>
          <cell r="AP1624">
            <v>0</v>
          </cell>
          <cell r="AR1624">
            <v>0</v>
          </cell>
          <cell r="AS1624">
            <v>0</v>
          </cell>
          <cell r="BF1624" t="str">
            <v>4360</v>
          </cell>
          <cell r="BG1624" t="str">
            <v>Z000</v>
          </cell>
          <cell r="BH1624" t="str">
            <v>VSS</v>
          </cell>
        </row>
        <row r="1625">
          <cell r="K1625">
            <v>0</v>
          </cell>
          <cell r="L1625">
            <v>0</v>
          </cell>
          <cell r="N1625">
            <v>0</v>
          </cell>
          <cell r="O1625">
            <v>0</v>
          </cell>
          <cell r="Q1625">
            <v>0</v>
          </cell>
          <cell r="R1625">
            <v>0</v>
          </cell>
          <cell r="T1625">
            <v>537.81000000000495</v>
          </cell>
          <cell r="U1625">
            <v>0</v>
          </cell>
          <cell r="W1625">
            <v>0</v>
          </cell>
          <cell r="X1625">
            <v>0</v>
          </cell>
          <cell r="Z1625">
            <v>10784.829999999994</v>
          </cell>
          <cell r="AA1625">
            <v>0</v>
          </cell>
          <cell r="AC1625">
            <v>1801.6299999999974</v>
          </cell>
          <cell r="AD1625">
            <v>0</v>
          </cell>
          <cell r="AF1625">
            <v>0</v>
          </cell>
          <cell r="AG1625">
            <v>0</v>
          </cell>
          <cell r="AI1625">
            <v>0</v>
          </cell>
          <cell r="AJ1625">
            <v>0</v>
          </cell>
          <cell r="AL1625">
            <v>0</v>
          </cell>
          <cell r="AM1625">
            <v>0</v>
          </cell>
          <cell r="AO1625">
            <v>0</v>
          </cell>
          <cell r="AP1625">
            <v>0</v>
          </cell>
          <cell r="AR1625">
            <v>0</v>
          </cell>
          <cell r="AS1625">
            <v>0</v>
          </cell>
          <cell r="BF1625" t="str">
            <v>4380</v>
          </cell>
          <cell r="BG1625" t="str">
            <v>Z000</v>
          </cell>
          <cell r="BH1625" t="str">
            <v>VSS</v>
          </cell>
        </row>
        <row r="1626">
          <cell r="K1626">
            <v>0</v>
          </cell>
          <cell r="L1626">
            <v>0</v>
          </cell>
          <cell r="N1626">
            <v>0</v>
          </cell>
          <cell r="O1626">
            <v>0</v>
          </cell>
          <cell r="Q1626">
            <v>0</v>
          </cell>
          <cell r="R1626">
            <v>0</v>
          </cell>
          <cell r="T1626">
            <v>0</v>
          </cell>
          <cell r="U1626">
            <v>0</v>
          </cell>
          <cell r="W1626">
            <v>0</v>
          </cell>
          <cell r="X1626">
            <v>0</v>
          </cell>
          <cell r="Z1626">
            <v>0</v>
          </cell>
          <cell r="AA1626">
            <v>0</v>
          </cell>
          <cell r="AC1626">
            <v>0</v>
          </cell>
          <cell r="AD1626">
            <v>0</v>
          </cell>
          <cell r="AF1626">
            <v>0</v>
          </cell>
          <cell r="AG1626">
            <v>0</v>
          </cell>
          <cell r="AI1626">
            <v>0</v>
          </cell>
          <cell r="AJ1626">
            <v>0</v>
          </cell>
          <cell r="AL1626">
            <v>0</v>
          </cell>
          <cell r="AM1626">
            <v>0</v>
          </cell>
          <cell r="AO1626">
            <v>0</v>
          </cell>
          <cell r="AP1626">
            <v>0</v>
          </cell>
          <cell r="AR1626">
            <v>0</v>
          </cell>
          <cell r="AS1626">
            <v>0</v>
          </cell>
          <cell r="BF1626" t="str">
            <v>4400</v>
          </cell>
          <cell r="BG1626" t="str">
            <v>Z000</v>
          </cell>
          <cell r="BH1626" t="str">
            <v>VSS</v>
          </cell>
        </row>
        <row r="1627">
          <cell r="K1627">
            <v>0</v>
          </cell>
          <cell r="L1627">
            <v>0</v>
          </cell>
          <cell r="N1627">
            <v>42875</v>
          </cell>
          <cell r="O1627">
            <v>0</v>
          </cell>
          <cell r="Q1627">
            <v>0</v>
          </cell>
          <cell r="R1627">
            <v>0</v>
          </cell>
          <cell r="T1627">
            <v>680</v>
          </cell>
          <cell r="U1627">
            <v>0</v>
          </cell>
          <cell r="W1627">
            <v>0</v>
          </cell>
          <cell r="X1627">
            <v>0</v>
          </cell>
          <cell r="Z1627">
            <v>0</v>
          </cell>
          <cell r="AA1627">
            <v>0</v>
          </cell>
          <cell r="AC1627">
            <v>0</v>
          </cell>
          <cell r="AD1627">
            <v>0</v>
          </cell>
          <cell r="AF1627">
            <v>0</v>
          </cell>
          <cell r="AG1627">
            <v>0</v>
          </cell>
          <cell r="AI1627">
            <v>0</v>
          </cell>
          <cell r="AJ1627">
            <v>0</v>
          </cell>
          <cell r="AL1627">
            <v>0</v>
          </cell>
          <cell r="AM1627">
            <v>0</v>
          </cell>
          <cell r="AO1627">
            <v>0</v>
          </cell>
          <cell r="AP1627">
            <v>0</v>
          </cell>
          <cell r="AR1627">
            <v>0</v>
          </cell>
          <cell r="AS1627">
            <v>0</v>
          </cell>
          <cell r="BF1627" t="str">
            <v>4480</v>
          </cell>
          <cell r="BG1627" t="str">
            <v>Z000</v>
          </cell>
          <cell r="BH1627" t="str">
            <v>VSS</v>
          </cell>
        </row>
        <row r="1628">
          <cell r="K1628">
            <v>0</v>
          </cell>
          <cell r="L1628">
            <v>0</v>
          </cell>
          <cell r="N1628">
            <v>0</v>
          </cell>
          <cell r="O1628">
            <v>0</v>
          </cell>
          <cell r="Q1628">
            <v>0</v>
          </cell>
          <cell r="R1628">
            <v>0</v>
          </cell>
          <cell r="T1628">
            <v>0</v>
          </cell>
          <cell r="U1628">
            <v>0</v>
          </cell>
          <cell r="W1628">
            <v>0</v>
          </cell>
          <cell r="X1628">
            <v>0</v>
          </cell>
          <cell r="Z1628">
            <v>0</v>
          </cell>
          <cell r="AA1628">
            <v>0</v>
          </cell>
          <cell r="AC1628">
            <v>0</v>
          </cell>
          <cell r="AD1628">
            <v>0</v>
          </cell>
          <cell r="AF1628">
            <v>0</v>
          </cell>
          <cell r="AG1628">
            <v>0</v>
          </cell>
          <cell r="AI1628">
            <v>0</v>
          </cell>
          <cell r="AJ1628">
            <v>0</v>
          </cell>
          <cell r="AL1628">
            <v>0</v>
          </cell>
          <cell r="AM1628">
            <v>0</v>
          </cell>
          <cell r="AO1628">
            <v>657.9</v>
          </cell>
          <cell r="AP1628">
            <v>0</v>
          </cell>
          <cell r="AR1628">
            <v>657.9</v>
          </cell>
          <cell r="AS1628">
            <v>0</v>
          </cell>
          <cell r="BF1628" t="str">
            <v>4500</v>
          </cell>
          <cell r="BG1628" t="str">
            <v>Z000</v>
          </cell>
          <cell r="BH1628" t="str">
            <v>VSS</v>
          </cell>
        </row>
        <row r="1629">
          <cell r="K1629">
            <v>0</v>
          </cell>
          <cell r="L1629">
            <v>0</v>
          </cell>
          <cell r="N1629">
            <v>0</v>
          </cell>
          <cell r="O1629">
            <v>0</v>
          </cell>
          <cell r="Q1629">
            <v>0</v>
          </cell>
          <cell r="R1629">
            <v>0</v>
          </cell>
          <cell r="T1629">
            <v>0</v>
          </cell>
          <cell r="U1629">
            <v>0</v>
          </cell>
          <cell r="W1629">
            <v>0</v>
          </cell>
          <cell r="X1629">
            <v>0</v>
          </cell>
          <cell r="Z1629">
            <v>0</v>
          </cell>
          <cell r="AA1629">
            <v>0</v>
          </cell>
          <cell r="AC1629">
            <v>0</v>
          </cell>
          <cell r="AD1629">
            <v>0</v>
          </cell>
          <cell r="AF1629">
            <v>0</v>
          </cell>
          <cell r="AG1629">
            <v>0</v>
          </cell>
          <cell r="AI1629">
            <v>0</v>
          </cell>
          <cell r="AJ1629">
            <v>0</v>
          </cell>
          <cell r="AL1629">
            <v>0</v>
          </cell>
          <cell r="AM1629">
            <v>0</v>
          </cell>
          <cell r="AO1629">
            <v>0</v>
          </cell>
          <cell r="AP1629">
            <v>0</v>
          </cell>
          <cell r="AR1629">
            <v>0</v>
          </cell>
          <cell r="AS1629">
            <v>0</v>
          </cell>
          <cell r="BF1629" t="str">
            <v>4520</v>
          </cell>
          <cell r="BG1629" t="str">
            <v>D011</v>
          </cell>
          <cell r="BH1629" t="str">
            <v>VSS</v>
          </cell>
        </row>
        <row r="1630">
          <cell r="K1630">
            <v>0</v>
          </cell>
          <cell r="L1630">
            <v>0</v>
          </cell>
          <cell r="N1630">
            <v>0</v>
          </cell>
          <cell r="O1630">
            <v>0</v>
          </cell>
          <cell r="Q1630">
            <v>0</v>
          </cell>
          <cell r="R1630">
            <v>0</v>
          </cell>
          <cell r="T1630">
            <v>0</v>
          </cell>
          <cell r="U1630">
            <v>0</v>
          </cell>
          <cell r="W1630">
            <v>0</v>
          </cell>
          <cell r="X1630">
            <v>0</v>
          </cell>
          <cell r="Z1630">
            <v>0</v>
          </cell>
          <cell r="AA1630">
            <v>0</v>
          </cell>
          <cell r="AC1630">
            <v>0</v>
          </cell>
          <cell r="AD1630">
            <v>0</v>
          </cell>
          <cell r="AF1630">
            <v>0</v>
          </cell>
          <cell r="AG1630">
            <v>0</v>
          </cell>
          <cell r="AI1630">
            <v>0</v>
          </cell>
          <cell r="AJ1630">
            <v>0</v>
          </cell>
          <cell r="AL1630">
            <v>0</v>
          </cell>
          <cell r="AM1630">
            <v>0</v>
          </cell>
          <cell r="AO1630">
            <v>0</v>
          </cell>
          <cell r="AP1630">
            <v>0</v>
          </cell>
          <cell r="AR1630">
            <v>0</v>
          </cell>
          <cell r="AS1630">
            <v>0</v>
          </cell>
          <cell r="BF1630" t="str">
            <v>4520</v>
          </cell>
          <cell r="BG1630" t="str">
            <v>D012</v>
          </cell>
          <cell r="BH1630" t="str">
            <v>VSS</v>
          </cell>
        </row>
        <row r="1631">
          <cell r="K1631">
            <v>0</v>
          </cell>
          <cell r="L1631">
            <v>0</v>
          </cell>
          <cell r="N1631">
            <v>0</v>
          </cell>
          <cell r="O1631">
            <v>0</v>
          </cell>
          <cell r="Q1631">
            <v>0</v>
          </cell>
          <cell r="R1631">
            <v>0</v>
          </cell>
          <cell r="T1631">
            <v>0</v>
          </cell>
          <cell r="U1631">
            <v>0</v>
          </cell>
          <cell r="W1631">
            <v>0</v>
          </cell>
          <cell r="X1631">
            <v>0</v>
          </cell>
          <cell r="Z1631">
            <v>0</v>
          </cell>
          <cell r="AA1631">
            <v>0</v>
          </cell>
          <cell r="AC1631">
            <v>0</v>
          </cell>
          <cell r="AD1631">
            <v>0</v>
          </cell>
          <cell r="AF1631">
            <v>0</v>
          </cell>
          <cell r="AG1631">
            <v>0</v>
          </cell>
          <cell r="AI1631">
            <v>0</v>
          </cell>
          <cell r="AJ1631">
            <v>0</v>
          </cell>
          <cell r="AL1631">
            <v>0</v>
          </cell>
          <cell r="AM1631">
            <v>0</v>
          </cell>
          <cell r="AO1631">
            <v>0</v>
          </cell>
          <cell r="AP1631">
            <v>0</v>
          </cell>
          <cell r="AR1631">
            <v>0</v>
          </cell>
          <cell r="AS1631">
            <v>0</v>
          </cell>
          <cell r="BF1631" t="str">
            <v>4520</v>
          </cell>
          <cell r="BG1631" t="str">
            <v>D013</v>
          </cell>
          <cell r="BH1631" t="str">
            <v>VSS</v>
          </cell>
        </row>
        <row r="1632">
          <cell r="K1632">
            <v>0</v>
          </cell>
          <cell r="L1632">
            <v>0</v>
          </cell>
          <cell r="N1632">
            <v>0</v>
          </cell>
          <cell r="O1632">
            <v>0</v>
          </cell>
          <cell r="Q1632">
            <v>0</v>
          </cell>
          <cell r="R1632">
            <v>0</v>
          </cell>
          <cell r="T1632">
            <v>0</v>
          </cell>
          <cell r="U1632">
            <v>0</v>
          </cell>
          <cell r="W1632">
            <v>0</v>
          </cell>
          <cell r="X1632">
            <v>0</v>
          </cell>
          <cell r="Z1632">
            <v>0</v>
          </cell>
          <cell r="AA1632">
            <v>0</v>
          </cell>
          <cell r="AC1632">
            <v>0</v>
          </cell>
          <cell r="AD1632">
            <v>0</v>
          </cell>
          <cell r="AF1632">
            <v>0</v>
          </cell>
          <cell r="AG1632">
            <v>0</v>
          </cell>
          <cell r="AI1632">
            <v>0</v>
          </cell>
          <cell r="AJ1632">
            <v>0</v>
          </cell>
          <cell r="AL1632">
            <v>0</v>
          </cell>
          <cell r="AM1632">
            <v>0</v>
          </cell>
          <cell r="AO1632">
            <v>0</v>
          </cell>
          <cell r="AP1632">
            <v>0</v>
          </cell>
          <cell r="AR1632">
            <v>0</v>
          </cell>
          <cell r="AS1632">
            <v>0</v>
          </cell>
          <cell r="BF1632" t="str">
            <v>4520</v>
          </cell>
          <cell r="BG1632" t="str">
            <v>D014</v>
          </cell>
          <cell r="BH1632" t="str">
            <v>VSS</v>
          </cell>
        </row>
        <row r="1633">
          <cell r="K1633">
            <v>0</v>
          </cell>
          <cell r="L1633">
            <v>0</v>
          </cell>
          <cell r="N1633">
            <v>0</v>
          </cell>
          <cell r="O1633">
            <v>0</v>
          </cell>
          <cell r="Q1633">
            <v>0</v>
          </cell>
          <cell r="R1633">
            <v>0</v>
          </cell>
          <cell r="T1633">
            <v>0</v>
          </cell>
          <cell r="U1633">
            <v>0</v>
          </cell>
          <cell r="W1633">
            <v>0</v>
          </cell>
          <cell r="X1633">
            <v>0</v>
          </cell>
          <cell r="Z1633">
            <v>0</v>
          </cell>
          <cell r="AA1633">
            <v>0</v>
          </cell>
          <cell r="AC1633">
            <v>0</v>
          </cell>
          <cell r="AD1633">
            <v>0</v>
          </cell>
          <cell r="AF1633">
            <v>0</v>
          </cell>
          <cell r="AG1633">
            <v>0</v>
          </cell>
          <cell r="AI1633">
            <v>0</v>
          </cell>
          <cell r="AJ1633">
            <v>0</v>
          </cell>
          <cell r="AL1633">
            <v>0</v>
          </cell>
          <cell r="AM1633">
            <v>0</v>
          </cell>
          <cell r="AO1633">
            <v>0</v>
          </cell>
          <cell r="AP1633">
            <v>0</v>
          </cell>
          <cell r="AR1633">
            <v>0</v>
          </cell>
          <cell r="AS1633">
            <v>0</v>
          </cell>
          <cell r="BF1633" t="str">
            <v>4520</v>
          </cell>
          <cell r="BG1633" t="str">
            <v>D015</v>
          </cell>
          <cell r="BH1633" t="str">
            <v>VSS</v>
          </cell>
        </row>
        <row r="1634">
          <cell r="K1634">
            <v>0</v>
          </cell>
          <cell r="L1634">
            <v>0</v>
          </cell>
          <cell r="N1634">
            <v>0</v>
          </cell>
          <cell r="O1634">
            <v>0</v>
          </cell>
          <cell r="Q1634">
            <v>0</v>
          </cell>
          <cell r="R1634">
            <v>0</v>
          </cell>
          <cell r="T1634">
            <v>0</v>
          </cell>
          <cell r="U1634">
            <v>0</v>
          </cell>
          <cell r="W1634">
            <v>0</v>
          </cell>
          <cell r="X1634">
            <v>0</v>
          </cell>
          <cell r="Z1634">
            <v>0</v>
          </cell>
          <cell r="AA1634">
            <v>0</v>
          </cell>
          <cell r="AC1634">
            <v>0</v>
          </cell>
          <cell r="AD1634">
            <v>0</v>
          </cell>
          <cell r="AF1634">
            <v>0</v>
          </cell>
          <cell r="AG1634">
            <v>0</v>
          </cell>
          <cell r="AI1634">
            <v>0</v>
          </cell>
          <cell r="AJ1634">
            <v>0</v>
          </cell>
          <cell r="AL1634">
            <v>0</v>
          </cell>
          <cell r="AM1634">
            <v>0</v>
          </cell>
          <cell r="AO1634">
            <v>0</v>
          </cell>
          <cell r="AP1634">
            <v>0</v>
          </cell>
          <cell r="AR1634">
            <v>0</v>
          </cell>
          <cell r="AS1634">
            <v>0</v>
          </cell>
          <cell r="BF1634" t="str">
            <v>4520</v>
          </cell>
          <cell r="BG1634" t="str">
            <v>D016</v>
          </cell>
          <cell r="BH1634" t="str">
            <v>VSS</v>
          </cell>
        </row>
        <row r="1635">
          <cell r="K1635">
            <v>0</v>
          </cell>
          <cell r="L1635">
            <v>0</v>
          </cell>
          <cell r="N1635">
            <v>0</v>
          </cell>
          <cell r="O1635">
            <v>0</v>
          </cell>
          <cell r="Q1635">
            <v>0</v>
          </cell>
          <cell r="R1635">
            <v>0</v>
          </cell>
          <cell r="T1635">
            <v>0</v>
          </cell>
          <cell r="U1635">
            <v>0</v>
          </cell>
          <cell r="W1635">
            <v>0</v>
          </cell>
          <cell r="X1635">
            <v>0</v>
          </cell>
          <cell r="Z1635">
            <v>0</v>
          </cell>
          <cell r="AA1635">
            <v>0</v>
          </cell>
          <cell r="AC1635">
            <v>0</v>
          </cell>
          <cell r="AD1635">
            <v>0</v>
          </cell>
          <cell r="AF1635">
            <v>0</v>
          </cell>
          <cell r="AG1635">
            <v>0</v>
          </cell>
          <cell r="AI1635">
            <v>-1545.8300000000163</v>
          </cell>
          <cell r="AJ1635">
            <v>0</v>
          </cell>
          <cell r="AL1635">
            <v>0</v>
          </cell>
          <cell r="AM1635">
            <v>0</v>
          </cell>
          <cell r="AO1635">
            <v>0</v>
          </cell>
          <cell r="AP1635">
            <v>0</v>
          </cell>
          <cell r="AR1635">
            <v>8678.25</v>
          </cell>
          <cell r="AS1635">
            <v>0</v>
          </cell>
          <cell r="BF1635" t="str">
            <v>4560</v>
          </cell>
          <cell r="BG1635" t="str">
            <v>Z000</v>
          </cell>
          <cell r="BH1635" t="str">
            <v>VSS</v>
          </cell>
        </row>
        <row r="1636">
          <cell r="K1636">
            <v>0</v>
          </cell>
          <cell r="L1636">
            <v>0</v>
          </cell>
          <cell r="N1636">
            <v>0</v>
          </cell>
          <cell r="O1636">
            <v>0</v>
          </cell>
          <cell r="Q1636">
            <v>0</v>
          </cell>
          <cell r="R1636">
            <v>0</v>
          </cell>
          <cell r="T1636">
            <v>2802.63</v>
          </cell>
          <cell r="U1636">
            <v>0</v>
          </cell>
          <cell r="W1636">
            <v>700</v>
          </cell>
          <cell r="X1636">
            <v>0</v>
          </cell>
          <cell r="Z1636">
            <v>700</v>
          </cell>
          <cell r="AA1636">
            <v>0</v>
          </cell>
          <cell r="AC1636">
            <v>1408.83</v>
          </cell>
          <cell r="AD1636">
            <v>0</v>
          </cell>
          <cell r="AF1636">
            <v>1408.83</v>
          </cell>
          <cell r="AG1636">
            <v>0</v>
          </cell>
          <cell r="AI1636">
            <v>1408.8300000000008</v>
          </cell>
          <cell r="AJ1636">
            <v>0</v>
          </cell>
          <cell r="AL1636">
            <v>1293.7000000000007</v>
          </cell>
          <cell r="AM1636">
            <v>0</v>
          </cell>
          <cell r="AO1636">
            <v>5831.42</v>
          </cell>
          <cell r="AP1636">
            <v>0</v>
          </cell>
          <cell r="AR1636">
            <v>4781.4199999999983</v>
          </cell>
          <cell r="AS1636">
            <v>0</v>
          </cell>
          <cell r="BF1636" t="str">
            <v>4580</v>
          </cell>
          <cell r="BG1636" t="str">
            <v>Z000</v>
          </cell>
          <cell r="BH1636" t="str">
            <v>VSS</v>
          </cell>
        </row>
        <row r="1637">
          <cell r="K1637">
            <v>0</v>
          </cell>
          <cell r="L1637">
            <v>0</v>
          </cell>
          <cell r="N1637">
            <v>0</v>
          </cell>
          <cell r="O1637">
            <v>0</v>
          </cell>
          <cell r="Q1637">
            <v>0</v>
          </cell>
          <cell r="R1637">
            <v>0</v>
          </cell>
          <cell r="T1637">
            <v>0</v>
          </cell>
          <cell r="U1637">
            <v>0</v>
          </cell>
          <cell r="W1637">
            <v>0</v>
          </cell>
          <cell r="X1637">
            <v>0</v>
          </cell>
          <cell r="Z1637">
            <v>0</v>
          </cell>
          <cell r="AA1637">
            <v>0</v>
          </cell>
          <cell r="AC1637">
            <v>0</v>
          </cell>
          <cell r="AD1637">
            <v>0</v>
          </cell>
          <cell r="AF1637">
            <v>0</v>
          </cell>
          <cell r="AG1637">
            <v>0</v>
          </cell>
          <cell r="AI1637">
            <v>0</v>
          </cell>
          <cell r="AJ1637">
            <v>0</v>
          </cell>
          <cell r="AL1637">
            <v>0</v>
          </cell>
          <cell r="AM1637">
            <v>0</v>
          </cell>
          <cell r="AO1637">
            <v>0</v>
          </cell>
          <cell r="AP1637">
            <v>0</v>
          </cell>
          <cell r="AR1637">
            <v>0</v>
          </cell>
          <cell r="AS1637">
            <v>0</v>
          </cell>
          <cell r="BF1637" t="str">
            <v>4585</v>
          </cell>
          <cell r="BG1637" t="str">
            <v>D021</v>
          </cell>
          <cell r="BH1637" t="str">
            <v>VSS</v>
          </cell>
        </row>
        <row r="1638">
          <cell r="K1638">
            <v>0</v>
          </cell>
          <cell r="L1638">
            <v>0</v>
          </cell>
          <cell r="N1638">
            <v>0</v>
          </cell>
          <cell r="O1638">
            <v>0</v>
          </cell>
          <cell r="Q1638">
            <v>0</v>
          </cell>
          <cell r="R1638">
            <v>0</v>
          </cell>
          <cell r="T1638">
            <v>0</v>
          </cell>
          <cell r="U1638">
            <v>0</v>
          </cell>
          <cell r="W1638">
            <v>0</v>
          </cell>
          <cell r="X1638">
            <v>0</v>
          </cell>
          <cell r="Z1638">
            <v>0</v>
          </cell>
          <cell r="AA1638">
            <v>0</v>
          </cell>
          <cell r="AC1638">
            <v>0</v>
          </cell>
          <cell r="AD1638">
            <v>0</v>
          </cell>
          <cell r="AF1638">
            <v>0</v>
          </cell>
          <cell r="AG1638">
            <v>0</v>
          </cell>
          <cell r="AI1638">
            <v>0</v>
          </cell>
          <cell r="AJ1638">
            <v>0</v>
          </cell>
          <cell r="AL1638">
            <v>0</v>
          </cell>
          <cell r="AM1638">
            <v>0</v>
          </cell>
          <cell r="AO1638">
            <v>0</v>
          </cell>
          <cell r="AP1638">
            <v>0</v>
          </cell>
          <cell r="AR1638">
            <v>0</v>
          </cell>
          <cell r="AS1638">
            <v>0</v>
          </cell>
          <cell r="BF1638" t="str">
            <v>4585</v>
          </cell>
          <cell r="BG1638" t="str">
            <v>D022</v>
          </cell>
          <cell r="BH1638" t="str">
            <v>VSS</v>
          </cell>
        </row>
        <row r="1639">
          <cell r="K1639">
            <v>0</v>
          </cell>
          <cell r="L1639">
            <v>0</v>
          </cell>
          <cell r="N1639">
            <v>0</v>
          </cell>
          <cell r="O1639">
            <v>0</v>
          </cell>
          <cell r="Q1639">
            <v>0</v>
          </cell>
          <cell r="R1639">
            <v>0</v>
          </cell>
          <cell r="T1639">
            <v>0</v>
          </cell>
          <cell r="U1639">
            <v>0</v>
          </cell>
          <cell r="W1639">
            <v>0</v>
          </cell>
          <cell r="X1639">
            <v>0</v>
          </cell>
          <cell r="Z1639">
            <v>0</v>
          </cell>
          <cell r="AA1639">
            <v>0</v>
          </cell>
          <cell r="AC1639">
            <v>0</v>
          </cell>
          <cell r="AD1639">
            <v>0</v>
          </cell>
          <cell r="AF1639">
            <v>0</v>
          </cell>
          <cell r="AG1639">
            <v>0</v>
          </cell>
          <cell r="AI1639">
            <v>0</v>
          </cell>
          <cell r="AJ1639">
            <v>0</v>
          </cell>
          <cell r="AL1639">
            <v>0</v>
          </cell>
          <cell r="AM1639">
            <v>0</v>
          </cell>
          <cell r="AO1639">
            <v>0</v>
          </cell>
          <cell r="AP1639">
            <v>0</v>
          </cell>
          <cell r="AR1639">
            <v>0</v>
          </cell>
          <cell r="AS1639">
            <v>0</v>
          </cell>
          <cell r="BF1639" t="str">
            <v>4585</v>
          </cell>
          <cell r="BG1639" t="str">
            <v>D023</v>
          </cell>
          <cell r="BH1639" t="str">
            <v>VSS</v>
          </cell>
        </row>
        <row r="1640">
          <cell r="K1640">
            <v>0</v>
          </cell>
          <cell r="L1640">
            <v>0</v>
          </cell>
          <cell r="N1640">
            <v>0</v>
          </cell>
          <cell r="O1640">
            <v>0</v>
          </cell>
          <cell r="Q1640">
            <v>0</v>
          </cell>
          <cell r="R1640">
            <v>0</v>
          </cell>
          <cell r="T1640">
            <v>0</v>
          </cell>
          <cell r="U1640">
            <v>0</v>
          </cell>
          <cell r="W1640">
            <v>0</v>
          </cell>
          <cell r="X1640">
            <v>0</v>
          </cell>
          <cell r="Z1640">
            <v>0</v>
          </cell>
          <cell r="AA1640">
            <v>0</v>
          </cell>
          <cell r="AC1640">
            <v>0</v>
          </cell>
          <cell r="AD1640">
            <v>0</v>
          </cell>
          <cell r="AF1640">
            <v>0</v>
          </cell>
          <cell r="AG1640">
            <v>0</v>
          </cell>
          <cell r="AI1640">
            <v>0</v>
          </cell>
          <cell r="AJ1640">
            <v>0</v>
          </cell>
          <cell r="AL1640">
            <v>0</v>
          </cell>
          <cell r="AM1640">
            <v>0</v>
          </cell>
          <cell r="AO1640">
            <v>0</v>
          </cell>
          <cell r="AP1640">
            <v>0</v>
          </cell>
          <cell r="AR1640">
            <v>0</v>
          </cell>
          <cell r="AS1640">
            <v>0</v>
          </cell>
          <cell r="BF1640" t="str">
            <v>4585</v>
          </cell>
          <cell r="BG1640" t="str">
            <v>D024</v>
          </cell>
          <cell r="BH1640" t="str">
            <v>VSS</v>
          </cell>
        </row>
        <row r="1641">
          <cell r="K1641">
            <v>37300</v>
          </cell>
          <cell r="L1641">
            <v>0</v>
          </cell>
          <cell r="N1641">
            <v>22201.000000000015</v>
          </cell>
          <cell r="O1641">
            <v>0</v>
          </cell>
          <cell r="Q1641">
            <v>22100</v>
          </cell>
          <cell r="R1641">
            <v>0</v>
          </cell>
          <cell r="T1641">
            <v>48941.5</v>
          </cell>
          <cell r="U1641">
            <v>0</v>
          </cell>
          <cell r="W1641">
            <v>35028.799999999988</v>
          </cell>
          <cell r="X1641">
            <v>0</v>
          </cell>
          <cell r="Z1641">
            <v>63676</v>
          </cell>
          <cell r="AA1641">
            <v>0</v>
          </cell>
          <cell r="AC1641">
            <v>1700</v>
          </cell>
          <cell r="AD1641">
            <v>0</v>
          </cell>
          <cell r="AF1641">
            <v>38317</v>
          </cell>
          <cell r="AG1641">
            <v>0</v>
          </cell>
          <cell r="AI1641">
            <v>15380</v>
          </cell>
          <cell r="AJ1641">
            <v>0</v>
          </cell>
          <cell r="AL1641">
            <v>50115.000000000058</v>
          </cell>
          <cell r="AM1641">
            <v>0</v>
          </cell>
          <cell r="AO1641">
            <v>16678.5</v>
          </cell>
          <cell r="AP1641">
            <v>0</v>
          </cell>
          <cell r="AR1641">
            <v>95796.5</v>
          </cell>
          <cell r="AS1641">
            <v>0</v>
          </cell>
          <cell r="BF1641" t="str">
            <v>4590</v>
          </cell>
          <cell r="BG1641" t="str">
            <v>Z000</v>
          </cell>
          <cell r="BH1641" t="str">
            <v>VSS</v>
          </cell>
        </row>
        <row r="1642">
          <cell r="K1642">
            <v>0</v>
          </cell>
          <cell r="L1642">
            <v>0</v>
          </cell>
          <cell r="N1642">
            <v>0</v>
          </cell>
          <cell r="O1642">
            <v>0</v>
          </cell>
          <cell r="Q1642">
            <v>0</v>
          </cell>
          <cell r="R1642">
            <v>0</v>
          </cell>
          <cell r="T1642">
            <v>0</v>
          </cell>
          <cell r="U1642">
            <v>0</v>
          </cell>
          <cell r="W1642">
            <v>0</v>
          </cell>
          <cell r="X1642">
            <v>0</v>
          </cell>
          <cell r="Z1642">
            <v>0</v>
          </cell>
          <cell r="AA1642">
            <v>0</v>
          </cell>
          <cell r="AC1642">
            <v>0</v>
          </cell>
          <cell r="AD1642">
            <v>0</v>
          </cell>
          <cell r="AF1642">
            <v>0</v>
          </cell>
          <cell r="AG1642">
            <v>0</v>
          </cell>
          <cell r="AI1642">
            <v>0</v>
          </cell>
          <cell r="AJ1642">
            <v>0</v>
          </cell>
          <cell r="AL1642">
            <v>0</v>
          </cell>
          <cell r="AM1642">
            <v>0</v>
          </cell>
          <cell r="AO1642">
            <v>0</v>
          </cell>
          <cell r="AP1642">
            <v>0</v>
          </cell>
          <cell r="AR1642">
            <v>0</v>
          </cell>
          <cell r="AS1642">
            <v>0</v>
          </cell>
          <cell r="BF1642" t="str">
            <v>4600</v>
          </cell>
          <cell r="BG1642" t="str">
            <v>Z000</v>
          </cell>
          <cell r="BH1642" t="str">
            <v>VSS</v>
          </cell>
        </row>
        <row r="1643">
          <cell r="K1643">
            <v>100.30000000000018</v>
          </cell>
          <cell r="L1643">
            <v>0</v>
          </cell>
          <cell r="N1643">
            <v>1974.42</v>
          </cell>
          <cell r="O1643">
            <v>0</v>
          </cell>
          <cell r="Q1643">
            <v>0</v>
          </cell>
          <cell r="R1643">
            <v>0</v>
          </cell>
          <cell r="T1643">
            <v>0</v>
          </cell>
          <cell r="U1643">
            <v>0</v>
          </cell>
          <cell r="W1643">
            <v>940.75</v>
          </cell>
          <cell r="X1643">
            <v>0</v>
          </cell>
          <cell r="Z1643">
            <v>378.42000000000007</v>
          </cell>
          <cell r="AA1643">
            <v>0</v>
          </cell>
          <cell r="AC1643">
            <v>172.90999999999985</v>
          </cell>
          <cell r="AD1643">
            <v>0</v>
          </cell>
          <cell r="AF1643">
            <v>51.389999999999418</v>
          </cell>
          <cell r="AG1643">
            <v>0</v>
          </cell>
          <cell r="AI1643">
            <v>331.50000000000182</v>
          </cell>
          <cell r="AJ1643">
            <v>0</v>
          </cell>
          <cell r="AL1643">
            <v>497.19000000000233</v>
          </cell>
          <cell r="AM1643">
            <v>0</v>
          </cell>
          <cell r="AO1643">
            <v>903.18000000000029</v>
          </cell>
          <cell r="AP1643">
            <v>0</v>
          </cell>
          <cell r="AR1643">
            <v>1765.5</v>
          </cell>
          <cell r="AS1643">
            <v>0</v>
          </cell>
          <cell r="BF1643" t="str">
            <v>4620</v>
          </cell>
          <cell r="BG1643" t="str">
            <v>Z000</v>
          </cell>
          <cell r="BH1643" t="str">
            <v>VSS</v>
          </cell>
        </row>
        <row r="1644">
          <cell r="K1644">
            <v>0</v>
          </cell>
          <cell r="L1644">
            <v>0</v>
          </cell>
          <cell r="N1644">
            <v>0</v>
          </cell>
          <cell r="O1644">
            <v>0</v>
          </cell>
          <cell r="Q1644">
            <v>0</v>
          </cell>
          <cell r="R1644">
            <v>0</v>
          </cell>
          <cell r="T1644">
            <v>202.72000000000116</v>
          </cell>
          <cell r="U1644">
            <v>0</v>
          </cell>
          <cell r="W1644">
            <v>1377.1900000000023</v>
          </cell>
          <cell r="X1644">
            <v>0</v>
          </cell>
          <cell r="Z1644">
            <v>0</v>
          </cell>
          <cell r="AA1644">
            <v>0</v>
          </cell>
          <cell r="AC1644">
            <v>0</v>
          </cell>
          <cell r="AD1644">
            <v>0</v>
          </cell>
          <cell r="AF1644">
            <v>0</v>
          </cell>
          <cell r="AG1644">
            <v>0</v>
          </cell>
          <cell r="AI1644">
            <v>1475</v>
          </cell>
          <cell r="AJ1644">
            <v>0</v>
          </cell>
          <cell r="AL1644">
            <v>-7.2759576141834259E-12</v>
          </cell>
          <cell r="AM1644">
            <v>0</v>
          </cell>
          <cell r="AO1644">
            <v>0</v>
          </cell>
          <cell r="AP1644">
            <v>0</v>
          </cell>
          <cell r="AR1644">
            <v>889.16999999999825</v>
          </cell>
          <cell r="AS1644">
            <v>0</v>
          </cell>
          <cell r="BF1644" t="str">
            <v>4630</v>
          </cell>
          <cell r="BG1644" t="str">
            <v>Z000</v>
          </cell>
          <cell r="BH1644" t="str">
            <v>VSS</v>
          </cell>
        </row>
        <row r="1645">
          <cell r="K1645">
            <v>22421.279999999999</v>
          </cell>
          <cell r="L1645">
            <v>0</v>
          </cell>
          <cell r="N1645">
            <v>7640.48</v>
          </cell>
          <cell r="O1645">
            <v>0</v>
          </cell>
          <cell r="Q1645">
            <v>2099.4000000000015</v>
          </cell>
          <cell r="R1645">
            <v>0</v>
          </cell>
          <cell r="T1645">
            <v>1021.2899999999936</v>
          </cell>
          <cell r="U1645">
            <v>0</v>
          </cell>
          <cell r="W1645">
            <v>-237.75</v>
          </cell>
          <cell r="X1645">
            <v>0</v>
          </cell>
          <cell r="Z1645">
            <v>835.63000000000466</v>
          </cell>
          <cell r="AA1645">
            <v>0</v>
          </cell>
          <cell r="AC1645">
            <v>455.83000000000175</v>
          </cell>
          <cell r="AD1645">
            <v>0</v>
          </cell>
          <cell r="AF1645">
            <v>1902.8099999999977</v>
          </cell>
          <cell r="AG1645">
            <v>0</v>
          </cell>
          <cell r="AI1645">
            <v>2082.8099999999977</v>
          </cell>
          <cell r="AJ1645">
            <v>0</v>
          </cell>
          <cell r="AL1645">
            <v>1778.1600000000035</v>
          </cell>
          <cell r="AM1645">
            <v>0</v>
          </cell>
          <cell r="AO1645">
            <v>1572.9599999999991</v>
          </cell>
          <cell r="AP1645">
            <v>0</v>
          </cell>
          <cell r="AR1645">
            <v>2992.0200000000041</v>
          </cell>
          <cell r="AS1645">
            <v>0</v>
          </cell>
          <cell r="BF1645" t="str">
            <v>4660</v>
          </cell>
          <cell r="BG1645" t="str">
            <v>Z000</v>
          </cell>
          <cell r="BH1645" t="str">
            <v>VSS</v>
          </cell>
        </row>
        <row r="1646">
          <cell r="K1646">
            <v>0</v>
          </cell>
          <cell r="L1646">
            <v>0</v>
          </cell>
          <cell r="N1646">
            <v>0</v>
          </cell>
          <cell r="O1646">
            <v>0</v>
          </cell>
          <cell r="Q1646">
            <v>0</v>
          </cell>
          <cell r="R1646">
            <v>0</v>
          </cell>
          <cell r="T1646">
            <v>0</v>
          </cell>
          <cell r="U1646">
            <v>0</v>
          </cell>
          <cell r="W1646">
            <v>0</v>
          </cell>
          <cell r="X1646">
            <v>0</v>
          </cell>
          <cell r="Z1646">
            <v>0</v>
          </cell>
          <cell r="AA1646">
            <v>0</v>
          </cell>
          <cell r="AC1646">
            <v>0</v>
          </cell>
          <cell r="AD1646">
            <v>0</v>
          </cell>
          <cell r="AF1646">
            <v>0</v>
          </cell>
          <cell r="AG1646">
            <v>0</v>
          </cell>
          <cell r="AI1646">
            <v>0</v>
          </cell>
          <cell r="AJ1646">
            <v>0</v>
          </cell>
          <cell r="AL1646">
            <v>0</v>
          </cell>
          <cell r="AM1646">
            <v>0</v>
          </cell>
          <cell r="AO1646">
            <v>0</v>
          </cell>
          <cell r="AP1646">
            <v>0</v>
          </cell>
          <cell r="AR1646">
            <v>0</v>
          </cell>
          <cell r="AS1646">
            <v>0</v>
          </cell>
          <cell r="BF1646" t="str">
            <v>4670</v>
          </cell>
          <cell r="BG1646" t="str">
            <v>Z000</v>
          </cell>
          <cell r="BH1646" t="str">
            <v>VSS</v>
          </cell>
        </row>
        <row r="1647">
          <cell r="K1647">
            <v>5330.68</v>
          </cell>
          <cell r="L1647">
            <v>0</v>
          </cell>
          <cell r="N1647">
            <v>12599.949999999997</v>
          </cell>
          <cell r="O1647">
            <v>0</v>
          </cell>
          <cell r="Q1647">
            <v>4778.4399999999951</v>
          </cell>
          <cell r="R1647">
            <v>0</v>
          </cell>
          <cell r="T1647">
            <v>6126.8700000000026</v>
          </cell>
          <cell r="U1647">
            <v>0</v>
          </cell>
          <cell r="W1647">
            <v>4878.1699999999983</v>
          </cell>
          <cell r="X1647">
            <v>0</v>
          </cell>
          <cell r="Z1647">
            <v>19365.809999999998</v>
          </cell>
          <cell r="AA1647">
            <v>0</v>
          </cell>
          <cell r="AC1647">
            <v>4902.7599999999948</v>
          </cell>
          <cell r="AD1647">
            <v>0</v>
          </cell>
          <cell r="AF1647">
            <v>11371.25</v>
          </cell>
          <cell r="AG1647">
            <v>0</v>
          </cell>
          <cell r="AI1647">
            <v>4970.5599999999977</v>
          </cell>
          <cell r="AJ1647">
            <v>0</v>
          </cell>
          <cell r="AL1647">
            <v>3434.7299999999668</v>
          </cell>
          <cell r="AM1647">
            <v>0</v>
          </cell>
          <cell r="AO1647">
            <v>10986.830000000031</v>
          </cell>
          <cell r="AP1647">
            <v>0</v>
          </cell>
          <cell r="AR1647">
            <v>9563.4900000000343</v>
          </cell>
          <cell r="AS1647">
            <v>0</v>
          </cell>
          <cell r="BF1647" t="str">
            <v>4690</v>
          </cell>
          <cell r="BG1647" t="str">
            <v>Z000</v>
          </cell>
          <cell r="BH1647" t="str">
            <v>VSS</v>
          </cell>
        </row>
        <row r="1648">
          <cell r="K1648">
            <v>0</v>
          </cell>
          <cell r="L1648">
            <v>0</v>
          </cell>
          <cell r="N1648">
            <v>0</v>
          </cell>
          <cell r="O1648">
            <v>0</v>
          </cell>
          <cell r="Q1648">
            <v>0</v>
          </cell>
          <cell r="R1648">
            <v>0</v>
          </cell>
          <cell r="T1648">
            <v>0</v>
          </cell>
          <cell r="U1648">
            <v>0</v>
          </cell>
          <cell r="W1648">
            <v>0</v>
          </cell>
          <cell r="X1648">
            <v>0</v>
          </cell>
          <cell r="Z1648">
            <v>0</v>
          </cell>
          <cell r="AA1648">
            <v>0</v>
          </cell>
          <cell r="AC1648">
            <v>0</v>
          </cell>
          <cell r="AD1648">
            <v>0</v>
          </cell>
          <cell r="AF1648">
            <v>0</v>
          </cell>
          <cell r="AG1648">
            <v>0</v>
          </cell>
          <cell r="AI1648">
            <v>0</v>
          </cell>
          <cell r="AJ1648">
            <v>0</v>
          </cell>
          <cell r="AL1648">
            <v>0</v>
          </cell>
          <cell r="AM1648">
            <v>0</v>
          </cell>
          <cell r="AO1648">
            <v>0</v>
          </cell>
          <cell r="AP1648">
            <v>0</v>
          </cell>
          <cell r="AR1648">
            <v>0</v>
          </cell>
          <cell r="AS1648">
            <v>0</v>
          </cell>
          <cell r="BF1648" t="str">
            <v>4700</v>
          </cell>
          <cell r="BG1648" t="str">
            <v>D031</v>
          </cell>
          <cell r="BH1648" t="str">
            <v>VSS</v>
          </cell>
        </row>
        <row r="1649">
          <cell r="K1649">
            <v>147930.57000000007</v>
          </cell>
          <cell r="L1649">
            <v>0</v>
          </cell>
          <cell r="N1649">
            <v>166205.28000000003</v>
          </cell>
          <cell r="O1649">
            <v>0</v>
          </cell>
          <cell r="Q1649">
            <v>147870.7100000002</v>
          </cell>
          <cell r="R1649">
            <v>0</v>
          </cell>
          <cell r="T1649">
            <v>162984.37000000034</v>
          </cell>
          <cell r="U1649">
            <v>0</v>
          </cell>
          <cell r="W1649">
            <v>174772.08000000007</v>
          </cell>
          <cell r="X1649">
            <v>0</v>
          </cell>
          <cell r="Z1649">
            <v>166576.5</v>
          </cell>
          <cell r="AA1649">
            <v>0</v>
          </cell>
          <cell r="AC1649">
            <v>172764.93999999948</v>
          </cell>
          <cell r="AD1649">
            <v>0</v>
          </cell>
          <cell r="AF1649">
            <v>179501.1400000006</v>
          </cell>
          <cell r="AG1649">
            <v>0</v>
          </cell>
          <cell r="AI1649">
            <v>194436.58000000007</v>
          </cell>
          <cell r="AJ1649">
            <v>0</v>
          </cell>
          <cell r="AL1649">
            <v>182691.54000000004</v>
          </cell>
          <cell r="AM1649">
            <v>0</v>
          </cell>
          <cell r="AO1649">
            <v>225020.70000000019</v>
          </cell>
          <cell r="AP1649">
            <v>0</v>
          </cell>
          <cell r="AR1649">
            <v>213726.04999999981</v>
          </cell>
          <cell r="AS1649">
            <v>0</v>
          </cell>
          <cell r="BF1649" t="str">
            <v>4700</v>
          </cell>
          <cell r="BG1649" t="str">
            <v>D032</v>
          </cell>
          <cell r="BH1649" t="str">
            <v>VSS</v>
          </cell>
        </row>
        <row r="1650">
          <cell r="K1650">
            <v>817558.88999999966</v>
          </cell>
          <cell r="L1650">
            <v>0</v>
          </cell>
          <cell r="N1650">
            <v>564062.71</v>
          </cell>
          <cell r="O1650">
            <v>0</v>
          </cell>
          <cell r="Q1650">
            <v>452158.70000000019</v>
          </cell>
          <cell r="R1650">
            <v>0</v>
          </cell>
          <cell r="T1650">
            <v>441314.21000000089</v>
          </cell>
          <cell r="U1650">
            <v>0</v>
          </cell>
          <cell r="W1650">
            <v>446390.3499999987</v>
          </cell>
          <cell r="X1650">
            <v>0</v>
          </cell>
          <cell r="Z1650">
            <v>569929.81000000052</v>
          </cell>
          <cell r="AA1650">
            <v>0</v>
          </cell>
          <cell r="AC1650">
            <v>623932.92000000179</v>
          </cell>
          <cell r="AD1650">
            <v>0</v>
          </cell>
          <cell r="AF1650">
            <v>611938.27999999933</v>
          </cell>
          <cell r="AG1650">
            <v>0</v>
          </cell>
          <cell r="AI1650">
            <v>650400</v>
          </cell>
          <cell r="AJ1650">
            <v>0</v>
          </cell>
          <cell r="AL1650">
            <v>690860.72000000067</v>
          </cell>
          <cell r="AM1650">
            <v>0</v>
          </cell>
          <cell r="AO1650">
            <v>757636.77999999933</v>
          </cell>
          <cell r="AP1650">
            <v>0</v>
          </cell>
          <cell r="AR1650">
            <v>715753.26999999955</v>
          </cell>
          <cell r="AS1650">
            <v>0</v>
          </cell>
          <cell r="BF1650" t="str">
            <v>4740</v>
          </cell>
          <cell r="BG1650" t="str">
            <v>D041</v>
          </cell>
          <cell r="BH1650" t="str">
            <v>VSS</v>
          </cell>
        </row>
        <row r="1651">
          <cell r="K1651">
            <v>0</v>
          </cell>
          <cell r="L1651">
            <v>0</v>
          </cell>
          <cell r="N1651">
            <v>0</v>
          </cell>
          <cell r="O1651">
            <v>0</v>
          </cell>
          <cell r="Q1651">
            <v>11998.150000000001</v>
          </cell>
          <cell r="R1651">
            <v>0</v>
          </cell>
          <cell r="T1651">
            <v>0</v>
          </cell>
          <cell r="U1651">
            <v>0</v>
          </cell>
          <cell r="W1651">
            <v>0</v>
          </cell>
          <cell r="X1651">
            <v>0</v>
          </cell>
          <cell r="Z1651">
            <v>0</v>
          </cell>
          <cell r="AA1651">
            <v>0</v>
          </cell>
          <cell r="AC1651">
            <v>0</v>
          </cell>
          <cell r="AD1651">
            <v>0</v>
          </cell>
          <cell r="AF1651">
            <v>0</v>
          </cell>
          <cell r="AG1651">
            <v>0</v>
          </cell>
          <cell r="AI1651">
            <v>0</v>
          </cell>
          <cell r="AJ1651">
            <v>0</v>
          </cell>
          <cell r="AL1651">
            <v>42699.840000000004</v>
          </cell>
          <cell r="AM1651">
            <v>0</v>
          </cell>
          <cell r="AO1651">
            <v>0</v>
          </cell>
          <cell r="AP1651">
            <v>0</v>
          </cell>
          <cell r="AR1651">
            <v>5000</v>
          </cell>
          <cell r="AS1651">
            <v>0</v>
          </cell>
          <cell r="BF1651" t="str">
            <v>4740</v>
          </cell>
          <cell r="BG1651" t="str">
            <v>D042</v>
          </cell>
          <cell r="BH1651" t="str">
            <v>VSS</v>
          </cell>
        </row>
        <row r="1652">
          <cell r="K1652">
            <v>0</v>
          </cell>
          <cell r="L1652">
            <v>0</v>
          </cell>
          <cell r="N1652">
            <v>0</v>
          </cell>
          <cell r="O1652">
            <v>0</v>
          </cell>
          <cell r="Q1652">
            <v>0</v>
          </cell>
          <cell r="R1652">
            <v>0</v>
          </cell>
          <cell r="T1652">
            <v>0</v>
          </cell>
          <cell r="U1652">
            <v>0</v>
          </cell>
          <cell r="W1652">
            <v>0</v>
          </cell>
          <cell r="X1652">
            <v>0</v>
          </cell>
          <cell r="Z1652">
            <v>0</v>
          </cell>
          <cell r="AA1652">
            <v>0</v>
          </cell>
          <cell r="AC1652">
            <v>0</v>
          </cell>
          <cell r="AD1652">
            <v>0</v>
          </cell>
          <cell r="AF1652">
            <v>0</v>
          </cell>
          <cell r="AG1652">
            <v>0</v>
          </cell>
          <cell r="AI1652">
            <v>0</v>
          </cell>
          <cell r="AJ1652">
            <v>0</v>
          </cell>
          <cell r="AL1652">
            <v>0</v>
          </cell>
          <cell r="AM1652">
            <v>0</v>
          </cell>
          <cell r="AO1652">
            <v>0</v>
          </cell>
          <cell r="AP1652">
            <v>0</v>
          </cell>
          <cell r="AR1652">
            <v>0</v>
          </cell>
          <cell r="AS1652">
            <v>0</v>
          </cell>
          <cell r="BF1652" t="str">
            <v>4740</v>
          </cell>
          <cell r="BG1652" t="str">
            <v>D043</v>
          </cell>
          <cell r="BH1652" t="str">
            <v>VSS</v>
          </cell>
        </row>
        <row r="1653">
          <cell r="K1653">
            <v>0</v>
          </cell>
          <cell r="L1653">
            <v>0</v>
          </cell>
          <cell r="N1653">
            <v>0</v>
          </cell>
          <cell r="O1653">
            <v>0</v>
          </cell>
          <cell r="Q1653">
            <v>20595.82</v>
          </cell>
          <cell r="R1653">
            <v>0</v>
          </cell>
          <cell r="T1653">
            <v>27680.340000000004</v>
          </cell>
          <cell r="U1653">
            <v>0</v>
          </cell>
          <cell r="W1653">
            <v>17819.040000000008</v>
          </cell>
          <cell r="X1653">
            <v>0</v>
          </cell>
          <cell r="Z1653">
            <v>178.33999999999651</v>
          </cell>
          <cell r="AA1653">
            <v>0</v>
          </cell>
          <cell r="AC1653">
            <v>49366.67</v>
          </cell>
          <cell r="AD1653">
            <v>0</v>
          </cell>
          <cell r="AF1653">
            <v>54200.000000000015</v>
          </cell>
          <cell r="AG1653">
            <v>0</v>
          </cell>
          <cell r="AI1653">
            <v>54200</v>
          </cell>
          <cell r="AJ1653">
            <v>0</v>
          </cell>
          <cell r="AL1653">
            <v>52741.669999999984</v>
          </cell>
          <cell r="AM1653">
            <v>0</v>
          </cell>
          <cell r="AO1653">
            <v>61886.400000000023</v>
          </cell>
          <cell r="AP1653">
            <v>0</v>
          </cell>
          <cell r="AR1653">
            <v>-98998.73000000001</v>
          </cell>
          <cell r="AS1653">
            <v>0</v>
          </cell>
          <cell r="BF1653" t="str">
            <v>4740</v>
          </cell>
          <cell r="BG1653" t="str">
            <v>D044</v>
          </cell>
          <cell r="BH1653" t="str">
            <v>VSS</v>
          </cell>
        </row>
        <row r="1654">
          <cell r="K1654">
            <v>0</v>
          </cell>
          <cell r="L1654">
            <v>0</v>
          </cell>
          <cell r="N1654">
            <v>0</v>
          </cell>
          <cell r="O1654">
            <v>0</v>
          </cell>
          <cell r="Q1654">
            <v>0</v>
          </cell>
          <cell r="R1654">
            <v>0</v>
          </cell>
          <cell r="T1654">
            <v>0</v>
          </cell>
          <cell r="U1654">
            <v>0</v>
          </cell>
          <cell r="W1654">
            <v>0</v>
          </cell>
          <cell r="X1654">
            <v>0</v>
          </cell>
          <cell r="Z1654">
            <v>0</v>
          </cell>
          <cell r="AA1654">
            <v>0</v>
          </cell>
          <cell r="AC1654">
            <v>0</v>
          </cell>
          <cell r="AD1654">
            <v>0</v>
          </cell>
          <cell r="AF1654">
            <v>0</v>
          </cell>
          <cell r="AG1654">
            <v>0</v>
          </cell>
          <cell r="AI1654">
            <v>0</v>
          </cell>
          <cell r="AJ1654">
            <v>0</v>
          </cell>
          <cell r="AL1654">
            <v>0</v>
          </cell>
          <cell r="AM1654">
            <v>0</v>
          </cell>
          <cell r="AO1654">
            <v>0</v>
          </cell>
          <cell r="AP1654">
            <v>0</v>
          </cell>
          <cell r="AR1654">
            <v>0</v>
          </cell>
          <cell r="AS1654">
            <v>0</v>
          </cell>
          <cell r="BF1654" t="str">
            <v>4740</v>
          </cell>
          <cell r="BG1654" t="str">
            <v>D045</v>
          </cell>
          <cell r="BH1654" t="str">
            <v>VSS</v>
          </cell>
        </row>
        <row r="1655">
          <cell r="K1655">
            <v>0</v>
          </cell>
          <cell r="L1655">
            <v>0</v>
          </cell>
          <cell r="N1655">
            <v>0</v>
          </cell>
          <cell r="O1655">
            <v>0</v>
          </cell>
          <cell r="Q1655">
            <v>6272.4900000000052</v>
          </cell>
          <cell r="R1655">
            <v>0</v>
          </cell>
          <cell r="T1655">
            <v>11087.479999999996</v>
          </cell>
          <cell r="U1655">
            <v>0</v>
          </cell>
          <cell r="W1655">
            <v>16133.330000000002</v>
          </cell>
          <cell r="X1655">
            <v>0</v>
          </cell>
          <cell r="Z1655">
            <v>24530.199999999997</v>
          </cell>
          <cell r="AA1655">
            <v>0</v>
          </cell>
          <cell r="AC1655">
            <v>21458.950000000012</v>
          </cell>
          <cell r="AD1655">
            <v>0</v>
          </cell>
          <cell r="AF1655">
            <v>39440.629999999976</v>
          </cell>
          <cell r="AG1655">
            <v>0</v>
          </cell>
          <cell r="AI1655">
            <v>29500.869999999966</v>
          </cell>
          <cell r="AJ1655">
            <v>0</v>
          </cell>
          <cell r="AL1655">
            <v>32958.749999999971</v>
          </cell>
          <cell r="AM1655">
            <v>0</v>
          </cell>
          <cell r="AO1655">
            <v>34427.769999999931</v>
          </cell>
          <cell r="AP1655">
            <v>0</v>
          </cell>
          <cell r="AR1655">
            <v>33259.119999999995</v>
          </cell>
          <cell r="AS1655">
            <v>0</v>
          </cell>
          <cell r="BF1655" t="str">
            <v>4740</v>
          </cell>
          <cell r="BG1655" t="str">
            <v>D046</v>
          </cell>
          <cell r="BH1655" t="str">
            <v>VSS</v>
          </cell>
        </row>
        <row r="1656">
          <cell r="K1656">
            <v>0</v>
          </cell>
          <cell r="L1656">
            <v>0</v>
          </cell>
          <cell r="N1656">
            <v>0</v>
          </cell>
          <cell r="O1656">
            <v>0</v>
          </cell>
          <cell r="Q1656">
            <v>0</v>
          </cell>
          <cell r="R1656">
            <v>0</v>
          </cell>
          <cell r="T1656">
            <v>0</v>
          </cell>
          <cell r="U1656">
            <v>0</v>
          </cell>
          <cell r="W1656">
            <v>0</v>
          </cell>
          <cell r="X1656">
            <v>0</v>
          </cell>
          <cell r="Z1656">
            <v>0</v>
          </cell>
          <cell r="AA1656">
            <v>0</v>
          </cell>
          <cell r="AC1656">
            <v>0</v>
          </cell>
          <cell r="AD1656">
            <v>0</v>
          </cell>
          <cell r="AF1656">
            <v>0</v>
          </cell>
          <cell r="AG1656">
            <v>0</v>
          </cell>
          <cell r="AI1656">
            <v>0</v>
          </cell>
          <cell r="AJ1656">
            <v>0</v>
          </cell>
          <cell r="AL1656">
            <v>0</v>
          </cell>
          <cell r="AM1656">
            <v>0</v>
          </cell>
          <cell r="AO1656">
            <v>34800</v>
          </cell>
          <cell r="AP1656">
            <v>0</v>
          </cell>
          <cell r="AR1656">
            <v>0</v>
          </cell>
          <cell r="AS1656">
            <v>0</v>
          </cell>
          <cell r="BF1656" t="str">
            <v>4760</v>
          </cell>
          <cell r="BG1656" t="str">
            <v>Z000</v>
          </cell>
          <cell r="BH1656" t="str">
            <v>VSS</v>
          </cell>
        </row>
        <row r="1657">
          <cell r="K1657">
            <v>0</v>
          </cell>
          <cell r="L1657">
            <v>0</v>
          </cell>
          <cell r="N1657">
            <v>0</v>
          </cell>
          <cell r="O1657">
            <v>0</v>
          </cell>
          <cell r="Q1657">
            <v>0</v>
          </cell>
          <cell r="R1657">
            <v>0</v>
          </cell>
          <cell r="T1657">
            <v>0</v>
          </cell>
          <cell r="U1657">
            <v>0</v>
          </cell>
          <cell r="W1657">
            <v>0</v>
          </cell>
          <cell r="X1657">
            <v>0</v>
          </cell>
          <cell r="Z1657">
            <v>0</v>
          </cell>
          <cell r="AA1657">
            <v>0</v>
          </cell>
          <cell r="AC1657">
            <v>0</v>
          </cell>
          <cell r="AD1657">
            <v>0</v>
          </cell>
          <cell r="AF1657">
            <v>0</v>
          </cell>
          <cell r="AG1657">
            <v>0</v>
          </cell>
          <cell r="AI1657">
            <v>0</v>
          </cell>
          <cell r="AJ1657">
            <v>0</v>
          </cell>
          <cell r="AL1657">
            <v>1148.2799999999997</v>
          </cell>
          <cell r="AM1657">
            <v>0</v>
          </cell>
          <cell r="AO1657">
            <v>48.840000000000146</v>
          </cell>
          <cell r="AP1657">
            <v>0</v>
          </cell>
          <cell r="AR1657">
            <v>0</v>
          </cell>
          <cell r="AS1657">
            <v>0</v>
          </cell>
          <cell r="BF1657" t="str">
            <v>4800</v>
          </cell>
          <cell r="BG1657" t="str">
            <v>D101</v>
          </cell>
          <cell r="BH1657" t="str">
            <v>VSS</v>
          </cell>
        </row>
        <row r="1658">
          <cell r="K1658">
            <v>0</v>
          </cell>
          <cell r="L1658">
            <v>0</v>
          </cell>
          <cell r="N1658">
            <v>0</v>
          </cell>
          <cell r="O1658">
            <v>0</v>
          </cell>
          <cell r="Q1658">
            <v>1379.1100000000006</v>
          </cell>
          <cell r="R1658">
            <v>0</v>
          </cell>
          <cell r="T1658">
            <v>2753.1199999999953</v>
          </cell>
          <cell r="U1658">
            <v>0</v>
          </cell>
          <cell r="W1658">
            <v>862.55000000000291</v>
          </cell>
          <cell r="X1658">
            <v>0</v>
          </cell>
          <cell r="Z1658">
            <v>0</v>
          </cell>
          <cell r="AA1658">
            <v>0</v>
          </cell>
          <cell r="AC1658">
            <v>2434.7100000000064</v>
          </cell>
          <cell r="AD1658">
            <v>0</v>
          </cell>
          <cell r="AF1658">
            <v>2060.2700000000041</v>
          </cell>
          <cell r="AG1658">
            <v>0</v>
          </cell>
          <cell r="AI1658">
            <v>984.47999999999593</v>
          </cell>
          <cell r="AJ1658">
            <v>0</v>
          </cell>
          <cell r="AL1658">
            <v>2559.9400000000023</v>
          </cell>
          <cell r="AM1658">
            <v>0</v>
          </cell>
          <cell r="AO1658">
            <v>1994.9499999999971</v>
          </cell>
          <cell r="AP1658">
            <v>0</v>
          </cell>
          <cell r="AR1658">
            <v>2188.0800000000017</v>
          </cell>
          <cell r="AS1658">
            <v>0</v>
          </cell>
          <cell r="BF1658" t="str">
            <v>4800</v>
          </cell>
          <cell r="BG1658" t="str">
            <v>D102</v>
          </cell>
          <cell r="BH1658" t="str">
            <v>VSS</v>
          </cell>
        </row>
        <row r="1659">
          <cell r="K1659">
            <v>0</v>
          </cell>
          <cell r="L1659">
            <v>0</v>
          </cell>
          <cell r="N1659">
            <v>0</v>
          </cell>
          <cell r="O1659">
            <v>0</v>
          </cell>
          <cell r="Q1659">
            <v>87.839999999998327</v>
          </cell>
          <cell r="R1659">
            <v>0</v>
          </cell>
          <cell r="T1659">
            <v>130.70000000000073</v>
          </cell>
          <cell r="U1659">
            <v>0</v>
          </cell>
          <cell r="W1659">
            <v>510.22999999999956</v>
          </cell>
          <cell r="X1659">
            <v>0</v>
          </cell>
          <cell r="Z1659">
            <v>438.03000000000065</v>
          </cell>
          <cell r="AA1659">
            <v>0</v>
          </cell>
          <cell r="AC1659">
            <v>327.18000000000029</v>
          </cell>
          <cell r="AD1659">
            <v>0</v>
          </cell>
          <cell r="AF1659">
            <v>-618.16000000000167</v>
          </cell>
          <cell r="AG1659">
            <v>0</v>
          </cell>
          <cell r="AI1659">
            <v>0</v>
          </cell>
          <cell r="AJ1659">
            <v>0</v>
          </cell>
          <cell r="AL1659">
            <v>734.21000000000095</v>
          </cell>
          <cell r="AM1659">
            <v>0</v>
          </cell>
          <cell r="AO1659">
            <v>3508.9000000000015</v>
          </cell>
          <cell r="AP1659">
            <v>0</v>
          </cell>
          <cell r="AR1659">
            <v>1657.2800000000025</v>
          </cell>
          <cell r="AS1659">
            <v>0</v>
          </cell>
          <cell r="BF1659" t="str">
            <v>4800</v>
          </cell>
          <cell r="BG1659" t="str">
            <v>D103</v>
          </cell>
          <cell r="BH1659" t="str">
            <v>VSS</v>
          </cell>
        </row>
        <row r="1660">
          <cell r="K1660">
            <v>7675.9300000000076</v>
          </cell>
          <cell r="L1660">
            <v>0</v>
          </cell>
          <cell r="N1660">
            <v>14497.819999999992</v>
          </cell>
          <cell r="O1660">
            <v>0</v>
          </cell>
          <cell r="Q1660">
            <v>17631.660000000003</v>
          </cell>
          <cell r="R1660">
            <v>0</v>
          </cell>
          <cell r="T1660">
            <v>32489.549999999988</v>
          </cell>
          <cell r="U1660">
            <v>0</v>
          </cell>
          <cell r="W1660">
            <v>13250.320000000007</v>
          </cell>
          <cell r="X1660">
            <v>0</v>
          </cell>
          <cell r="Z1660">
            <v>20692.410000000033</v>
          </cell>
          <cell r="AA1660">
            <v>0</v>
          </cell>
          <cell r="AC1660">
            <v>17723.399999999965</v>
          </cell>
          <cell r="AD1660">
            <v>0</v>
          </cell>
          <cell r="AF1660">
            <v>24675.870000000024</v>
          </cell>
          <cell r="AG1660">
            <v>0</v>
          </cell>
          <cell r="AI1660">
            <v>25712.48000000004</v>
          </cell>
          <cell r="AJ1660">
            <v>0</v>
          </cell>
          <cell r="AL1660">
            <v>19250.53999999995</v>
          </cell>
          <cell r="AM1660">
            <v>0</v>
          </cell>
          <cell r="AO1660">
            <v>31507.740000000049</v>
          </cell>
          <cell r="AP1660">
            <v>0</v>
          </cell>
          <cell r="AR1660">
            <v>28830.51999999996</v>
          </cell>
          <cell r="AS1660">
            <v>0</v>
          </cell>
          <cell r="BF1660" t="str">
            <v>4800</v>
          </cell>
          <cell r="BG1660" t="str">
            <v>D104</v>
          </cell>
          <cell r="BH1660" t="str">
            <v>VSS</v>
          </cell>
        </row>
        <row r="1661">
          <cell r="K1661">
            <v>0</v>
          </cell>
          <cell r="L1661">
            <v>0</v>
          </cell>
          <cell r="N1661">
            <v>0</v>
          </cell>
          <cell r="O1661">
            <v>0</v>
          </cell>
          <cell r="Q1661">
            <v>0</v>
          </cell>
          <cell r="R1661">
            <v>0</v>
          </cell>
          <cell r="T1661">
            <v>0</v>
          </cell>
          <cell r="U1661">
            <v>0</v>
          </cell>
          <cell r="W1661">
            <v>0</v>
          </cell>
          <cell r="X1661">
            <v>0</v>
          </cell>
          <cell r="Z1661">
            <v>0</v>
          </cell>
          <cell r="AA1661">
            <v>0</v>
          </cell>
          <cell r="AC1661">
            <v>0</v>
          </cell>
          <cell r="AD1661">
            <v>0</v>
          </cell>
          <cell r="AF1661">
            <v>0</v>
          </cell>
          <cell r="AG1661">
            <v>0</v>
          </cell>
          <cell r="AI1661">
            <v>0</v>
          </cell>
          <cell r="AJ1661">
            <v>0</v>
          </cell>
          <cell r="AL1661">
            <v>0</v>
          </cell>
          <cell r="AM1661">
            <v>0</v>
          </cell>
          <cell r="AO1661">
            <v>0</v>
          </cell>
          <cell r="AP1661">
            <v>0</v>
          </cell>
          <cell r="AR1661">
            <v>0</v>
          </cell>
          <cell r="AS1661">
            <v>0</v>
          </cell>
          <cell r="BF1661" t="str">
            <v>4820</v>
          </cell>
          <cell r="BG1661" t="str">
            <v>Z000</v>
          </cell>
          <cell r="BH1661" t="str">
            <v>VSS</v>
          </cell>
        </row>
        <row r="1662">
          <cell r="K1662">
            <v>4210.4499999999971</v>
          </cell>
          <cell r="L1662">
            <v>0</v>
          </cell>
          <cell r="N1662">
            <v>7233.3199999999924</v>
          </cell>
          <cell r="O1662">
            <v>0</v>
          </cell>
          <cell r="Q1662">
            <v>2302.5600000000122</v>
          </cell>
          <cell r="R1662">
            <v>0</v>
          </cell>
          <cell r="T1662">
            <v>2494.640000000014</v>
          </cell>
          <cell r="U1662">
            <v>0</v>
          </cell>
          <cell r="W1662">
            <v>1294.859999999986</v>
          </cell>
          <cell r="X1662">
            <v>0</v>
          </cell>
          <cell r="Z1662">
            <v>51252.640000000014</v>
          </cell>
          <cell r="AA1662">
            <v>0</v>
          </cell>
          <cell r="AC1662">
            <v>2172.9899999999907</v>
          </cell>
          <cell r="AD1662">
            <v>0</v>
          </cell>
          <cell r="AF1662">
            <v>2467.2900000000081</v>
          </cell>
          <cell r="AG1662">
            <v>0</v>
          </cell>
          <cell r="AI1662">
            <v>7340</v>
          </cell>
          <cell r="AJ1662">
            <v>0</v>
          </cell>
          <cell r="AL1662">
            <v>12718.719999999987</v>
          </cell>
          <cell r="AM1662">
            <v>0</v>
          </cell>
          <cell r="AO1662">
            <v>26.320000000006985</v>
          </cell>
          <cell r="AP1662">
            <v>0</v>
          </cell>
          <cell r="AR1662">
            <v>52106.5600000001</v>
          </cell>
          <cell r="AS1662">
            <v>0</v>
          </cell>
          <cell r="BF1662" t="str">
            <v>4830</v>
          </cell>
          <cell r="BG1662" t="str">
            <v>D111</v>
          </cell>
          <cell r="BH1662" t="str">
            <v>VSS</v>
          </cell>
        </row>
        <row r="1663">
          <cell r="K1663">
            <v>346376.80999999994</v>
          </cell>
          <cell r="L1663">
            <v>0</v>
          </cell>
          <cell r="N1663">
            <v>18165</v>
          </cell>
          <cell r="O1663">
            <v>0</v>
          </cell>
          <cell r="Q1663">
            <v>-44709.139999999898</v>
          </cell>
          <cell r="R1663">
            <v>0</v>
          </cell>
          <cell r="T1663">
            <v>120072.08000000007</v>
          </cell>
          <cell r="U1663">
            <v>0</v>
          </cell>
          <cell r="W1663">
            <v>97624.689999999944</v>
          </cell>
          <cell r="X1663">
            <v>0</v>
          </cell>
          <cell r="Z1663">
            <v>25444.050000000047</v>
          </cell>
          <cell r="AA1663">
            <v>0</v>
          </cell>
          <cell r="AC1663">
            <v>127037.19999999995</v>
          </cell>
          <cell r="AD1663">
            <v>0</v>
          </cell>
          <cell r="AF1663">
            <v>66392.989999999991</v>
          </cell>
          <cell r="AG1663">
            <v>0</v>
          </cell>
          <cell r="AI1663">
            <v>76359.520000000019</v>
          </cell>
          <cell r="AJ1663">
            <v>0</v>
          </cell>
          <cell r="AL1663">
            <v>112221.24000000022</v>
          </cell>
          <cell r="AM1663">
            <v>0</v>
          </cell>
          <cell r="AO1663">
            <v>103705.25000000023</v>
          </cell>
          <cell r="AP1663">
            <v>0</v>
          </cell>
          <cell r="AR1663">
            <v>68097.980000000214</v>
          </cell>
          <cell r="AS1663">
            <v>0</v>
          </cell>
          <cell r="BF1663" t="str">
            <v>4830</v>
          </cell>
          <cell r="BG1663" t="str">
            <v>D112</v>
          </cell>
          <cell r="BH1663" t="str">
            <v>VSS</v>
          </cell>
        </row>
        <row r="1664">
          <cell r="K1664">
            <v>0</v>
          </cell>
          <cell r="L1664">
            <v>0</v>
          </cell>
          <cell r="N1664">
            <v>0</v>
          </cell>
          <cell r="O1664">
            <v>0</v>
          </cell>
          <cell r="Q1664">
            <v>0</v>
          </cell>
          <cell r="R1664">
            <v>0</v>
          </cell>
          <cell r="T1664">
            <v>2206.1399999999994</v>
          </cell>
          <cell r="U1664">
            <v>0</v>
          </cell>
          <cell r="W1664">
            <v>0</v>
          </cell>
          <cell r="X1664">
            <v>0</v>
          </cell>
          <cell r="Z1664">
            <v>0</v>
          </cell>
          <cell r="AA1664">
            <v>0</v>
          </cell>
          <cell r="AC1664">
            <v>0</v>
          </cell>
          <cell r="AD1664">
            <v>0</v>
          </cell>
          <cell r="AF1664">
            <v>11578.95</v>
          </cell>
          <cell r="AG1664">
            <v>0</v>
          </cell>
          <cell r="AI1664">
            <v>15233.16</v>
          </cell>
          <cell r="AJ1664">
            <v>0</v>
          </cell>
          <cell r="AL1664">
            <v>20175.440000000002</v>
          </cell>
          <cell r="AM1664">
            <v>0</v>
          </cell>
          <cell r="AO1664">
            <v>15125.309999999998</v>
          </cell>
          <cell r="AP1664">
            <v>0</v>
          </cell>
          <cell r="AR1664">
            <v>0</v>
          </cell>
          <cell r="AS1664">
            <v>0</v>
          </cell>
          <cell r="BF1664" t="str">
            <v>4840</v>
          </cell>
          <cell r="BG1664" t="str">
            <v>Z000</v>
          </cell>
          <cell r="BH1664" t="str">
            <v>VSS</v>
          </cell>
        </row>
        <row r="1665">
          <cell r="K1665">
            <v>0</v>
          </cell>
          <cell r="L1665">
            <v>0</v>
          </cell>
          <cell r="N1665">
            <v>0</v>
          </cell>
          <cell r="O1665">
            <v>0</v>
          </cell>
          <cell r="Q1665">
            <v>0</v>
          </cell>
          <cell r="R1665">
            <v>0</v>
          </cell>
          <cell r="T1665">
            <v>0</v>
          </cell>
          <cell r="U1665">
            <v>0</v>
          </cell>
          <cell r="W1665">
            <v>0</v>
          </cell>
          <cell r="X1665">
            <v>0</v>
          </cell>
          <cell r="Z1665">
            <v>0</v>
          </cell>
          <cell r="AA1665">
            <v>0</v>
          </cell>
          <cell r="AC1665">
            <v>0</v>
          </cell>
          <cell r="AD1665">
            <v>0</v>
          </cell>
          <cell r="AF1665">
            <v>0</v>
          </cell>
          <cell r="AG1665">
            <v>0</v>
          </cell>
          <cell r="AI1665">
            <v>0</v>
          </cell>
          <cell r="AJ1665">
            <v>0</v>
          </cell>
          <cell r="AL1665">
            <v>0</v>
          </cell>
          <cell r="AM1665">
            <v>0</v>
          </cell>
          <cell r="AO1665">
            <v>0</v>
          </cell>
          <cell r="AP1665">
            <v>0</v>
          </cell>
          <cell r="AR1665">
            <v>0</v>
          </cell>
          <cell r="AS1665">
            <v>0</v>
          </cell>
          <cell r="BF1665" t="str">
            <v>4870</v>
          </cell>
          <cell r="BG1665" t="str">
            <v>Z000</v>
          </cell>
          <cell r="BH1665" t="str">
            <v>VSS</v>
          </cell>
        </row>
        <row r="1666">
          <cell r="K1666">
            <v>0</v>
          </cell>
          <cell r="L1666">
            <v>0</v>
          </cell>
          <cell r="N1666">
            <v>0</v>
          </cell>
          <cell r="O1666">
            <v>0</v>
          </cell>
          <cell r="Q1666">
            <v>0</v>
          </cell>
          <cell r="R1666">
            <v>0</v>
          </cell>
          <cell r="T1666">
            <v>0</v>
          </cell>
          <cell r="U1666">
            <v>0</v>
          </cell>
          <cell r="W1666">
            <v>0</v>
          </cell>
          <cell r="X1666">
            <v>0</v>
          </cell>
          <cell r="Z1666">
            <v>0</v>
          </cell>
          <cell r="AA1666">
            <v>0</v>
          </cell>
          <cell r="AC1666">
            <v>0</v>
          </cell>
          <cell r="AD1666">
            <v>0</v>
          </cell>
          <cell r="AF1666">
            <v>0</v>
          </cell>
          <cell r="AG1666">
            <v>0</v>
          </cell>
          <cell r="AI1666">
            <v>0</v>
          </cell>
          <cell r="AJ1666">
            <v>0</v>
          </cell>
          <cell r="AL1666">
            <v>0</v>
          </cell>
          <cell r="AM1666">
            <v>0</v>
          </cell>
          <cell r="AO1666">
            <v>0</v>
          </cell>
          <cell r="AP1666">
            <v>0</v>
          </cell>
          <cell r="AR1666">
            <v>0</v>
          </cell>
          <cell r="AS1666">
            <v>0</v>
          </cell>
          <cell r="BF1666" t="str">
            <v>4880</v>
          </cell>
          <cell r="BG1666" t="str">
            <v>Z000</v>
          </cell>
          <cell r="BH1666" t="str">
            <v>VSS</v>
          </cell>
        </row>
        <row r="1667">
          <cell r="K1667">
            <v>0</v>
          </cell>
          <cell r="L1667">
            <v>0</v>
          </cell>
          <cell r="N1667">
            <v>0</v>
          </cell>
          <cell r="O1667">
            <v>0</v>
          </cell>
          <cell r="Q1667">
            <v>0</v>
          </cell>
          <cell r="R1667">
            <v>0</v>
          </cell>
          <cell r="T1667">
            <v>0</v>
          </cell>
          <cell r="U1667">
            <v>0</v>
          </cell>
          <cell r="W1667">
            <v>0</v>
          </cell>
          <cell r="X1667">
            <v>0</v>
          </cell>
          <cell r="Z1667">
            <v>0</v>
          </cell>
          <cell r="AA1667">
            <v>0</v>
          </cell>
          <cell r="AC1667">
            <v>0</v>
          </cell>
          <cell r="AD1667">
            <v>0</v>
          </cell>
          <cell r="AF1667">
            <v>0</v>
          </cell>
          <cell r="AG1667">
            <v>0</v>
          </cell>
          <cell r="AI1667">
            <v>0</v>
          </cell>
          <cell r="AJ1667">
            <v>0</v>
          </cell>
          <cell r="AL1667">
            <v>0</v>
          </cell>
          <cell r="AM1667">
            <v>0</v>
          </cell>
          <cell r="AO1667">
            <v>0</v>
          </cell>
          <cell r="AP1667">
            <v>0</v>
          </cell>
          <cell r="AR1667">
            <v>0</v>
          </cell>
          <cell r="AS1667">
            <v>0</v>
          </cell>
          <cell r="BF1667" t="str">
            <v>4890</v>
          </cell>
          <cell r="BG1667" t="str">
            <v>Z000</v>
          </cell>
          <cell r="BH1667" t="str">
            <v>VSS</v>
          </cell>
        </row>
        <row r="1668">
          <cell r="K1668">
            <v>0</v>
          </cell>
          <cell r="L1668">
            <v>0</v>
          </cell>
          <cell r="N1668">
            <v>0</v>
          </cell>
          <cell r="O1668">
            <v>0</v>
          </cell>
          <cell r="Q1668">
            <v>0</v>
          </cell>
          <cell r="R1668">
            <v>0</v>
          </cell>
          <cell r="T1668">
            <v>0</v>
          </cell>
          <cell r="U1668">
            <v>0</v>
          </cell>
          <cell r="W1668">
            <v>0</v>
          </cell>
          <cell r="X1668">
            <v>0</v>
          </cell>
          <cell r="Z1668">
            <v>0</v>
          </cell>
          <cell r="AA1668">
            <v>0</v>
          </cell>
          <cell r="AC1668">
            <v>0</v>
          </cell>
          <cell r="AD1668">
            <v>0</v>
          </cell>
          <cell r="AF1668">
            <v>0</v>
          </cell>
          <cell r="AG1668">
            <v>0</v>
          </cell>
          <cell r="AI1668">
            <v>0</v>
          </cell>
          <cell r="AJ1668">
            <v>0</v>
          </cell>
          <cell r="AL1668">
            <v>0</v>
          </cell>
          <cell r="AM1668">
            <v>0</v>
          </cell>
          <cell r="AO1668">
            <v>0</v>
          </cell>
          <cell r="AP1668">
            <v>0</v>
          </cell>
          <cell r="AR1668">
            <v>0</v>
          </cell>
          <cell r="AS1668">
            <v>0</v>
          </cell>
          <cell r="BF1668" t="str">
            <v>4900</v>
          </cell>
          <cell r="BG1668" t="str">
            <v>Z000</v>
          </cell>
          <cell r="BH1668" t="str">
            <v>VSS</v>
          </cell>
        </row>
        <row r="1669">
          <cell r="K1669">
            <v>0</v>
          </cell>
          <cell r="L1669">
            <v>0</v>
          </cell>
          <cell r="N1669">
            <v>0</v>
          </cell>
          <cell r="O1669">
            <v>0</v>
          </cell>
          <cell r="Q1669">
            <v>0</v>
          </cell>
          <cell r="R1669">
            <v>0</v>
          </cell>
          <cell r="T1669">
            <v>0</v>
          </cell>
          <cell r="U1669">
            <v>0</v>
          </cell>
          <cell r="W1669">
            <v>0</v>
          </cell>
          <cell r="X1669">
            <v>0</v>
          </cell>
          <cell r="Z1669">
            <v>0</v>
          </cell>
          <cell r="AA1669">
            <v>0</v>
          </cell>
          <cell r="AC1669">
            <v>0</v>
          </cell>
          <cell r="AD1669">
            <v>0</v>
          </cell>
          <cell r="AF1669">
            <v>0</v>
          </cell>
          <cell r="AG1669">
            <v>0</v>
          </cell>
          <cell r="AI1669">
            <v>0</v>
          </cell>
          <cell r="AJ1669">
            <v>0</v>
          </cell>
          <cell r="AL1669">
            <v>0</v>
          </cell>
          <cell r="AM1669">
            <v>0</v>
          </cell>
          <cell r="AO1669">
            <v>0</v>
          </cell>
          <cell r="AP1669">
            <v>0</v>
          </cell>
          <cell r="AR1669">
            <v>0</v>
          </cell>
          <cell r="AS1669">
            <v>0</v>
          </cell>
          <cell r="BF1669" t="str">
            <v>4910</v>
          </cell>
          <cell r="BG1669" t="str">
            <v>Z000</v>
          </cell>
          <cell r="BH1669" t="str">
            <v>VSS</v>
          </cell>
        </row>
        <row r="1670">
          <cell r="K1670">
            <v>0</v>
          </cell>
          <cell r="L1670">
            <v>0</v>
          </cell>
          <cell r="N1670">
            <v>0</v>
          </cell>
          <cell r="O1670">
            <v>0</v>
          </cell>
          <cell r="Q1670">
            <v>0</v>
          </cell>
          <cell r="R1670">
            <v>0</v>
          </cell>
          <cell r="T1670">
            <v>0</v>
          </cell>
          <cell r="U1670">
            <v>0</v>
          </cell>
          <cell r="W1670">
            <v>0</v>
          </cell>
          <cell r="X1670">
            <v>0</v>
          </cell>
          <cell r="Z1670">
            <v>0</v>
          </cell>
          <cell r="AA1670">
            <v>0</v>
          </cell>
          <cell r="AC1670">
            <v>0</v>
          </cell>
          <cell r="AD1670">
            <v>0</v>
          </cell>
          <cell r="AF1670">
            <v>0</v>
          </cell>
          <cell r="AG1670">
            <v>0</v>
          </cell>
          <cell r="AI1670">
            <v>0</v>
          </cell>
          <cell r="AJ1670">
            <v>0</v>
          </cell>
          <cell r="AL1670">
            <v>0</v>
          </cell>
          <cell r="AM1670">
            <v>0</v>
          </cell>
          <cell r="AO1670">
            <v>0</v>
          </cell>
          <cell r="AP1670">
            <v>0</v>
          </cell>
          <cell r="AR1670">
            <v>0</v>
          </cell>
          <cell r="AS1670">
            <v>0</v>
          </cell>
          <cell r="BF1670" t="str">
            <v>4940</v>
          </cell>
          <cell r="BG1670" t="str">
            <v>Z000</v>
          </cell>
          <cell r="BH1670" t="str">
            <v>VSS</v>
          </cell>
        </row>
        <row r="1671">
          <cell r="K1671">
            <v>0</v>
          </cell>
          <cell r="L1671">
            <v>0</v>
          </cell>
          <cell r="N1671">
            <v>0</v>
          </cell>
          <cell r="O1671">
            <v>0</v>
          </cell>
          <cell r="Q1671">
            <v>0</v>
          </cell>
          <cell r="R1671">
            <v>0</v>
          </cell>
          <cell r="T1671">
            <v>0</v>
          </cell>
          <cell r="U1671">
            <v>0</v>
          </cell>
          <cell r="W1671">
            <v>0</v>
          </cell>
          <cell r="X1671">
            <v>0</v>
          </cell>
          <cell r="Z1671">
            <v>0</v>
          </cell>
          <cell r="AA1671">
            <v>0</v>
          </cell>
          <cell r="AC1671">
            <v>0</v>
          </cell>
          <cell r="AD1671">
            <v>0</v>
          </cell>
          <cell r="AF1671">
            <v>0</v>
          </cell>
          <cell r="AG1671">
            <v>0</v>
          </cell>
          <cell r="AI1671">
            <v>0</v>
          </cell>
          <cell r="AJ1671">
            <v>0</v>
          </cell>
          <cell r="AL1671">
            <v>0</v>
          </cell>
          <cell r="AM1671">
            <v>0</v>
          </cell>
          <cell r="AO1671">
            <v>0</v>
          </cell>
          <cell r="AP1671">
            <v>0</v>
          </cell>
          <cell r="AR1671">
            <v>0</v>
          </cell>
          <cell r="AS1671">
            <v>0</v>
          </cell>
          <cell r="BF1671" t="str">
            <v>4941</v>
          </cell>
          <cell r="BG1671" t="str">
            <v>Z000</v>
          </cell>
          <cell r="BH1671" t="str">
            <v>VSS</v>
          </cell>
        </row>
        <row r="1672">
          <cell r="K1672">
            <v>0</v>
          </cell>
          <cell r="L1672">
            <v>0</v>
          </cell>
          <cell r="N1672">
            <v>0</v>
          </cell>
          <cell r="O1672">
            <v>0</v>
          </cell>
          <cell r="Q1672">
            <v>0</v>
          </cell>
          <cell r="R1672">
            <v>0</v>
          </cell>
          <cell r="T1672">
            <v>0</v>
          </cell>
          <cell r="U1672">
            <v>0</v>
          </cell>
          <cell r="W1672">
            <v>0</v>
          </cell>
          <cell r="X1672">
            <v>0</v>
          </cell>
          <cell r="Z1672">
            <v>0</v>
          </cell>
          <cell r="AA1672">
            <v>0</v>
          </cell>
          <cell r="AC1672">
            <v>0</v>
          </cell>
          <cell r="AD1672">
            <v>0</v>
          </cell>
          <cell r="AF1672">
            <v>0</v>
          </cell>
          <cell r="AG1672">
            <v>0</v>
          </cell>
          <cell r="AI1672">
            <v>0</v>
          </cell>
          <cell r="AJ1672">
            <v>0</v>
          </cell>
          <cell r="AL1672">
            <v>0</v>
          </cell>
          <cell r="AM1672">
            <v>0</v>
          </cell>
          <cell r="AO1672">
            <v>0</v>
          </cell>
          <cell r="AP1672">
            <v>0</v>
          </cell>
          <cell r="AR1672">
            <v>0</v>
          </cell>
          <cell r="AS1672">
            <v>0</v>
          </cell>
          <cell r="BF1672" t="str">
            <v>4942</v>
          </cell>
          <cell r="BG1672" t="str">
            <v>Z000</v>
          </cell>
          <cell r="BH1672" t="str">
            <v>VSS</v>
          </cell>
        </row>
        <row r="1673">
          <cell r="K1673">
            <v>0</v>
          </cell>
          <cell r="L1673">
            <v>0</v>
          </cell>
          <cell r="N1673">
            <v>0</v>
          </cell>
          <cell r="O1673">
            <v>0</v>
          </cell>
          <cell r="Q1673">
            <v>0</v>
          </cell>
          <cell r="R1673">
            <v>0</v>
          </cell>
          <cell r="T1673">
            <v>0</v>
          </cell>
          <cell r="U1673">
            <v>0</v>
          </cell>
          <cell r="W1673">
            <v>0</v>
          </cell>
          <cell r="X1673">
            <v>0</v>
          </cell>
          <cell r="Z1673">
            <v>0</v>
          </cell>
          <cell r="AA1673">
            <v>0</v>
          </cell>
          <cell r="AC1673">
            <v>0</v>
          </cell>
          <cell r="AD1673">
            <v>0</v>
          </cell>
          <cell r="AF1673">
            <v>0</v>
          </cell>
          <cell r="AG1673">
            <v>0</v>
          </cell>
          <cell r="AI1673">
            <v>0</v>
          </cell>
          <cell r="AJ1673">
            <v>0</v>
          </cell>
          <cell r="AL1673">
            <v>0</v>
          </cell>
          <cell r="AM1673">
            <v>0</v>
          </cell>
          <cell r="AO1673">
            <v>0</v>
          </cell>
          <cell r="AP1673">
            <v>0</v>
          </cell>
          <cell r="AR1673">
            <v>0</v>
          </cell>
          <cell r="AS1673">
            <v>0</v>
          </cell>
          <cell r="BF1673" t="str">
            <v>4950</v>
          </cell>
          <cell r="BG1673" t="str">
            <v>Z000</v>
          </cell>
          <cell r="BH1673" t="str">
            <v>VSS</v>
          </cell>
        </row>
        <row r="1674">
          <cell r="K1674">
            <v>0</v>
          </cell>
          <cell r="L1674">
            <v>0</v>
          </cell>
          <cell r="N1674">
            <v>0</v>
          </cell>
          <cell r="O1674">
            <v>0</v>
          </cell>
          <cell r="Q1674">
            <v>0</v>
          </cell>
          <cell r="R1674">
            <v>0</v>
          </cell>
          <cell r="T1674">
            <v>0</v>
          </cell>
          <cell r="U1674">
            <v>0</v>
          </cell>
          <cell r="W1674">
            <v>0</v>
          </cell>
          <cell r="X1674">
            <v>0</v>
          </cell>
          <cell r="Z1674">
            <v>0</v>
          </cell>
          <cell r="AA1674">
            <v>0</v>
          </cell>
          <cell r="AC1674">
            <v>0</v>
          </cell>
          <cell r="AD1674">
            <v>0</v>
          </cell>
          <cell r="AF1674">
            <v>0</v>
          </cell>
          <cell r="AG1674">
            <v>0</v>
          </cell>
          <cell r="AI1674">
            <v>0</v>
          </cell>
          <cell r="AJ1674">
            <v>0</v>
          </cell>
          <cell r="AL1674">
            <v>0</v>
          </cell>
          <cell r="AM1674">
            <v>0</v>
          </cell>
          <cell r="AO1674">
            <v>0</v>
          </cell>
          <cell r="AP1674">
            <v>0</v>
          </cell>
          <cell r="AR1674">
            <v>0</v>
          </cell>
          <cell r="AS1674">
            <v>0</v>
          </cell>
          <cell r="BF1674" t="str">
            <v>5100</v>
          </cell>
          <cell r="BG1674" t="str">
            <v>E001</v>
          </cell>
          <cell r="BH1674" t="str">
            <v>VSS</v>
          </cell>
        </row>
        <row r="1675">
          <cell r="K1675">
            <v>0</v>
          </cell>
          <cell r="L1675">
            <v>0</v>
          </cell>
          <cell r="N1675">
            <v>0</v>
          </cell>
          <cell r="O1675">
            <v>0</v>
          </cell>
          <cell r="Q1675">
            <v>0</v>
          </cell>
          <cell r="R1675">
            <v>0</v>
          </cell>
          <cell r="T1675">
            <v>0</v>
          </cell>
          <cell r="U1675">
            <v>0</v>
          </cell>
          <cell r="W1675">
            <v>0</v>
          </cell>
          <cell r="X1675">
            <v>0</v>
          </cell>
          <cell r="Z1675">
            <v>0</v>
          </cell>
          <cell r="AA1675">
            <v>0</v>
          </cell>
          <cell r="AC1675">
            <v>0</v>
          </cell>
          <cell r="AD1675">
            <v>0</v>
          </cell>
          <cell r="AF1675">
            <v>0</v>
          </cell>
          <cell r="AG1675">
            <v>0</v>
          </cell>
          <cell r="AI1675">
            <v>0</v>
          </cell>
          <cell r="AJ1675">
            <v>0</v>
          </cell>
          <cell r="AL1675">
            <v>0</v>
          </cell>
          <cell r="AM1675">
            <v>0</v>
          </cell>
          <cell r="AO1675">
            <v>0</v>
          </cell>
          <cell r="AP1675">
            <v>0</v>
          </cell>
          <cell r="AR1675">
            <v>0</v>
          </cell>
          <cell r="AS1675">
            <v>0</v>
          </cell>
          <cell r="BF1675" t="str">
            <v>5100</v>
          </cell>
          <cell r="BG1675" t="str">
            <v>E002</v>
          </cell>
          <cell r="BH1675" t="str">
            <v>VSS</v>
          </cell>
        </row>
        <row r="1676">
          <cell r="K1676">
            <v>0</v>
          </cell>
          <cell r="L1676">
            <v>0</v>
          </cell>
          <cell r="N1676">
            <v>0</v>
          </cell>
          <cell r="O1676">
            <v>0</v>
          </cell>
          <cell r="Q1676">
            <v>0</v>
          </cell>
          <cell r="R1676">
            <v>0</v>
          </cell>
          <cell r="T1676">
            <v>0</v>
          </cell>
          <cell r="U1676">
            <v>0</v>
          </cell>
          <cell r="W1676">
            <v>0</v>
          </cell>
          <cell r="X1676">
            <v>0</v>
          </cell>
          <cell r="Z1676">
            <v>0</v>
          </cell>
          <cell r="AA1676">
            <v>0</v>
          </cell>
          <cell r="AC1676">
            <v>0</v>
          </cell>
          <cell r="AD1676">
            <v>0</v>
          </cell>
          <cell r="AF1676">
            <v>0</v>
          </cell>
          <cell r="AG1676">
            <v>0</v>
          </cell>
          <cell r="AI1676">
            <v>0</v>
          </cell>
          <cell r="AJ1676">
            <v>0</v>
          </cell>
          <cell r="AL1676">
            <v>0</v>
          </cell>
          <cell r="AM1676">
            <v>0</v>
          </cell>
          <cell r="AO1676">
            <v>0</v>
          </cell>
          <cell r="AP1676">
            <v>0</v>
          </cell>
          <cell r="AR1676">
            <v>0</v>
          </cell>
          <cell r="AS1676">
            <v>0</v>
          </cell>
          <cell r="BF1676" t="str">
            <v>5200</v>
          </cell>
          <cell r="BG1676" t="str">
            <v>Z000</v>
          </cell>
          <cell r="BH1676" t="str">
            <v>VSS</v>
          </cell>
        </row>
        <row r="1677">
          <cell r="K1677">
            <v>0</v>
          </cell>
          <cell r="L1677">
            <v>0</v>
          </cell>
          <cell r="N1677">
            <v>0</v>
          </cell>
          <cell r="O1677">
            <v>0</v>
          </cell>
          <cell r="Q1677">
            <v>0</v>
          </cell>
          <cell r="R1677">
            <v>0</v>
          </cell>
          <cell r="T1677">
            <v>0</v>
          </cell>
          <cell r="U1677">
            <v>0</v>
          </cell>
          <cell r="W1677">
            <v>0</v>
          </cell>
          <cell r="X1677">
            <v>0</v>
          </cell>
          <cell r="Z1677">
            <v>0</v>
          </cell>
          <cell r="AA1677">
            <v>0</v>
          </cell>
          <cell r="AC1677">
            <v>0</v>
          </cell>
          <cell r="AD1677">
            <v>0</v>
          </cell>
          <cell r="AF1677">
            <v>0</v>
          </cell>
          <cell r="AG1677">
            <v>0</v>
          </cell>
          <cell r="AI1677">
            <v>0</v>
          </cell>
          <cell r="AJ1677">
            <v>0</v>
          </cell>
          <cell r="AL1677">
            <v>0</v>
          </cell>
          <cell r="AM1677">
            <v>0</v>
          </cell>
          <cell r="AO1677">
            <v>0</v>
          </cell>
          <cell r="AP1677">
            <v>0</v>
          </cell>
          <cell r="AR1677">
            <v>0</v>
          </cell>
          <cell r="AS1677">
            <v>0</v>
          </cell>
          <cell r="BF1677" t="str">
            <v>5400</v>
          </cell>
          <cell r="BG1677" t="str">
            <v>F001</v>
          </cell>
          <cell r="BH1677" t="str">
            <v>VSS</v>
          </cell>
        </row>
        <row r="1678">
          <cell r="K1678">
            <v>0</v>
          </cell>
          <cell r="L1678">
            <v>0</v>
          </cell>
          <cell r="N1678">
            <v>0</v>
          </cell>
          <cell r="O1678">
            <v>0</v>
          </cell>
          <cell r="Q1678">
            <v>0</v>
          </cell>
          <cell r="R1678">
            <v>0</v>
          </cell>
          <cell r="T1678">
            <v>0</v>
          </cell>
          <cell r="U1678">
            <v>0</v>
          </cell>
          <cell r="W1678">
            <v>0</v>
          </cell>
          <cell r="X1678">
            <v>0</v>
          </cell>
          <cell r="Z1678">
            <v>0</v>
          </cell>
          <cell r="AA1678">
            <v>0</v>
          </cell>
          <cell r="AC1678">
            <v>0</v>
          </cell>
          <cell r="AD1678">
            <v>0</v>
          </cell>
          <cell r="AF1678">
            <v>0</v>
          </cell>
          <cell r="AG1678">
            <v>0</v>
          </cell>
          <cell r="AI1678">
            <v>0</v>
          </cell>
          <cell r="AJ1678">
            <v>0</v>
          </cell>
          <cell r="AL1678">
            <v>0</v>
          </cell>
          <cell r="AM1678">
            <v>0</v>
          </cell>
          <cell r="AO1678">
            <v>0</v>
          </cell>
          <cell r="AP1678">
            <v>0</v>
          </cell>
          <cell r="AR1678">
            <v>0</v>
          </cell>
          <cell r="AS1678">
            <v>0</v>
          </cell>
          <cell r="BF1678" t="str">
            <v>5400</v>
          </cell>
          <cell r="BG1678" t="str">
            <v>F002</v>
          </cell>
          <cell r="BH1678" t="str">
            <v>VSS</v>
          </cell>
        </row>
        <row r="1679">
          <cell r="K1679">
            <v>0</v>
          </cell>
          <cell r="L1679">
            <v>0</v>
          </cell>
          <cell r="N1679">
            <v>0</v>
          </cell>
          <cell r="O1679">
            <v>0</v>
          </cell>
          <cell r="Q1679">
            <v>0</v>
          </cell>
          <cell r="R1679">
            <v>0</v>
          </cell>
          <cell r="T1679">
            <v>0</v>
          </cell>
          <cell r="U1679">
            <v>0</v>
          </cell>
          <cell r="W1679">
            <v>0</v>
          </cell>
          <cell r="X1679">
            <v>0</v>
          </cell>
          <cell r="Z1679">
            <v>0</v>
          </cell>
          <cell r="AA1679">
            <v>0</v>
          </cell>
          <cell r="AC1679">
            <v>0</v>
          </cell>
          <cell r="AD1679">
            <v>0</v>
          </cell>
          <cell r="AF1679">
            <v>0</v>
          </cell>
          <cell r="AG1679">
            <v>0</v>
          </cell>
          <cell r="AI1679">
            <v>0</v>
          </cell>
          <cell r="AJ1679">
            <v>0</v>
          </cell>
          <cell r="AL1679">
            <v>0</v>
          </cell>
          <cell r="AM1679">
            <v>0</v>
          </cell>
          <cell r="AO1679">
            <v>0</v>
          </cell>
          <cell r="AP1679">
            <v>0</v>
          </cell>
          <cell r="AR1679">
            <v>0</v>
          </cell>
          <cell r="AS1679">
            <v>0</v>
          </cell>
          <cell r="BF1679" t="str">
            <v>5400</v>
          </cell>
          <cell r="BG1679" t="str">
            <v>F003</v>
          </cell>
          <cell r="BH1679" t="str">
            <v>VSS</v>
          </cell>
        </row>
        <row r="1680">
          <cell r="K1680">
            <v>0</v>
          </cell>
          <cell r="L1680">
            <v>0</v>
          </cell>
          <cell r="N1680">
            <v>0</v>
          </cell>
          <cell r="O1680">
            <v>0</v>
          </cell>
          <cell r="Q1680">
            <v>0</v>
          </cell>
          <cell r="R1680">
            <v>0</v>
          </cell>
          <cell r="T1680">
            <v>0</v>
          </cell>
          <cell r="U1680">
            <v>0</v>
          </cell>
          <cell r="W1680">
            <v>0</v>
          </cell>
          <cell r="X1680">
            <v>0</v>
          </cell>
          <cell r="Z1680">
            <v>0</v>
          </cell>
          <cell r="AA1680">
            <v>0</v>
          </cell>
          <cell r="AC1680">
            <v>0</v>
          </cell>
          <cell r="AD1680">
            <v>0</v>
          </cell>
          <cell r="AF1680">
            <v>0</v>
          </cell>
          <cell r="AG1680">
            <v>0</v>
          </cell>
          <cell r="AI1680">
            <v>0</v>
          </cell>
          <cell r="AJ1680">
            <v>0</v>
          </cell>
          <cell r="AL1680">
            <v>0</v>
          </cell>
          <cell r="AM1680">
            <v>0</v>
          </cell>
          <cell r="AO1680">
            <v>0</v>
          </cell>
          <cell r="AP1680">
            <v>0</v>
          </cell>
          <cell r="AR1680">
            <v>0</v>
          </cell>
          <cell r="AS1680">
            <v>0</v>
          </cell>
          <cell r="BF1680" t="str">
            <v>5400</v>
          </cell>
          <cell r="BG1680" t="str">
            <v>F004</v>
          </cell>
          <cell r="BH1680" t="str">
            <v>VSS</v>
          </cell>
        </row>
        <row r="1681">
          <cell r="K1681">
            <v>0</v>
          </cell>
          <cell r="L1681">
            <v>0</v>
          </cell>
          <cell r="N1681">
            <v>0</v>
          </cell>
          <cell r="O1681">
            <v>0</v>
          </cell>
          <cell r="Q1681">
            <v>0</v>
          </cell>
          <cell r="R1681">
            <v>0</v>
          </cell>
          <cell r="T1681">
            <v>0</v>
          </cell>
          <cell r="U1681">
            <v>0</v>
          </cell>
          <cell r="W1681">
            <v>0</v>
          </cell>
          <cell r="X1681">
            <v>0</v>
          </cell>
          <cell r="Z1681">
            <v>0</v>
          </cell>
          <cell r="AA1681">
            <v>0</v>
          </cell>
          <cell r="AC1681">
            <v>0</v>
          </cell>
          <cell r="AD1681">
            <v>0</v>
          </cell>
          <cell r="AF1681">
            <v>0</v>
          </cell>
          <cell r="AG1681">
            <v>0</v>
          </cell>
          <cell r="AI1681">
            <v>0</v>
          </cell>
          <cell r="AJ1681">
            <v>0</v>
          </cell>
          <cell r="AL1681">
            <v>0</v>
          </cell>
          <cell r="AM1681">
            <v>0</v>
          </cell>
          <cell r="AO1681">
            <v>0</v>
          </cell>
          <cell r="AP1681">
            <v>0</v>
          </cell>
          <cell r="AR1681">
            <v>0</v>
          </cell>
          <cell r="AS1681">
            <v>0</v>
          </cell>
          <cell r="BF1681" t="str">
            <v>5400</v>
          </cell>
          <cell r="BG1681" t="str">
            <v>F005</v>
          </cell>
          <cell r="BH1681" t="str">
            <v>VSS</v>
          </cell>
        </row>
        <row r="1682">
          <cell r="K1682">
            <v>0</v>
          </cell>
          <cell r="L1682">
            <v>0</v>
          </cell>
          <cell r="N1682">
            <v>0</v>
          </cell>
          <cell r="O1682">
            <v>0</v>
          </cell>
          <cell r="Q1682">
            <v>0</v>
          </cell>
          <cell r="R1682">
            <v>0</v>
          </cell>
          <cell r="T1682">
            <v>0</v>
          </cell>
          <cell r="U1682">
            <v>0</v>
          </cell>
          <cell r="W1682">
            <v>0</v>
          </cell>
          <cell r="X1682">
            <v>0</v>
          </cell>
          <cell r="Z1682">
            <v>0</v>
          </cell>
          <cell r="AA1682">
            <v>0</v>
          </cell>
          <cell r="AC1682">
            <v>0</v>
          </cell>
          <cell r="AD1682">
            <v>0</v>
          </cell>
          <cell r="AF1682">
            <v>0</v>
          </cell>
          <cell r="AG1682">
            <v>0</v>
          </cell>
          <cell r="AI1682">
            <v>0</v>
          </cell>
          <cell r="AJ1682">
            <v>0</v>
          </cell>
          <cell r="AL1682">
            <v>0</v>
          </cell>
          <cell r="AM1682">
            <v>0</v>
          </cell>
          <cell r="AO1682">
            <v>0</v>
          </cell>
          <cell r="AP1682">
            <v>0</v>
          </cell>
          <cell r="AR1682">
            <v>0</v>
          </cell>
          <cell r="AS1682">
            <v>0</v>
          </cell>
          <cell r="BF1682" t="str">
            <v>5400</v>
          </cell>
          <cell r="BG1682" t="str">
            <v>F006</v>
          </cell>
          <cell r="BH1682" t="str">
            <v>VSS</v>
          </cell>
        </row>
        <row r="1683">
          <cell r="K1683">
            <v>0</v>
          </cell>
          <cell r="L1683">
            <v>0</v>
          </cell>
          <cell r="N1683">
            <v>0</v>
          </cell>
          <cell r="O1683">
            <v>0</v>
          </cell>
          <cell r="Q1683">
            <v>0</v>
          </cell>
          <cell r="R1683">
            <v>0</v>
          </cell>
          <cell r="T1683">
            <v>0</v>
          </cell>
          <cell r="U1683">
            <v>0</v>
          </cell>
          <cell r="W1683">
            <v>0</v>
          </cell>
          <cell r="X1683">
            <v>0</v>
          </cell>
          <cell r="Z1683">
            <v>0</v>
          </cell>
          <cell r="AA1683">
            <v>0</v>
          </cell>
          <cell r="AC1683">
            <v>0</v>
          </cell>
          <cell r="AD1683">
            <v>0</v>
          </cell>
          <cell r="AF1683">
            <v>0</v>
          </cell>
          <cell r="AG1683">
            <v>0</v>
          </cell>
          <cell r="AI1683">
            <v>0</v>
          </cell>
          <cell r="AJ1683">
            <v>0</v>
          </cell>
          <cell r="AL1683">
            <v>0</v>
          </cell>
          <cell r="AM1683">
            <v>0</v>
          </cell>
          <cell r="AO1683">
            <v>0</v>
          </cell>
          <cell r="AP1683">
            <v>0</v>
          </cell>
          <cell r="AR1683">
            <v>0</v>
          </cell>
          <cell r="AS1683">
            <v>0</v>
          </cell>
          <cell r="BF1683" t="str">
            <v>5400</v>
          </cell>
          <cell r="BG1683" t="str">
            <v>F007</v>
          </cell>
          <cell r="BH1683" t="str">
            <v>VSS</v>
          </cell>
        </row>
        <row r="1684">
          <cell r="K1684">
            <v>0</v>
          </cell>
          <cell r="L1684">
            <v>0</v>
          </cell>
          <cell r="N1684">
            <v>0</v>
          </cell>
          <cell r="O1684">
            <v>0</v>
          </cell>
          <cell r="Q1684">
            <v>0</v>
          </cell>
          <cell r="R1684">
            <v>0</v>
          </cell>
          <cell r="T1684">
            <v>0</v>
          </cell>
          <cell r="U1684">
            <v>0</v>
          </cell>
          <cell r="W1684">
            <v>0</v>
          </cell>
          <cell r="X1684">
            <v>0</v>
          </cell>
          <cell r="Z1684">
            <v>0</v>
          </cell>
          <cell r="AA1684">
            <v>0</v>
          </cell>
          <cell r="AC1684">
            <v>0</v>
          </cell>
          <cell r="AD1684">
            <v>0</v>
          </cell>
          <cell r="AF1684">
            <v>0</v>
          </cell>
          <cell r="AG1684">
            <v>0</v>
          </cell>
          <cell r="AI1684">
            <v>0</v>
          </cell>
          <cell r="AJ1684">
            <v>0</v>
          </cell>
          <cell r="AL1684">
            <v>0</v>
          </cell>
          <cell r="AM1684">
            <v>0</v>
          </cell>
          <cell r="AO1684">
            <v>0</v>
          </cell>
          <cell r="AP1684">
            <v>0</v>
          </cell>
          <cell r="AR1684">
            <v>0</v>
          </cell>
          <cell r="AS1684">
            <v>0</v>
          </cell>
          <cell r="BF1684" t="str">
            <v>5400</v>
          </cell>
          <cell r="BG1684" t="str">
            <v>F008</v>
          </cell>
          <cell r="BH1684" t="str">
            <v>VSS</v>
          </cell>
        </row>
        <row r="1685">
          <cell r="K1685">
            <v>0</v>
          </cell>
          <cell r="L1685">
            <v>0</v>
          </cell>
          <cell r="N1685">
            <v>0</v>
          </cell>
          <cell r="O1685">
            <v>0</v>
          </cell>
          <cell r="Q1685">
            <v>0</v>
          </cell>
          <cell r="R1685">
            <v>0</v>
          </cell>
          <cell r="T1685">
            <v>0</v>
          </cell>
          <cell r="U1685">
            <v>0</v>
          </cell>
          <cell r="W1685">
            <v>0</v>
          </cell>
          <cell r="X1685">
            <v>0</v>
          </cell>
          <cell r="Z1685">
            <v>0</v>
          </cell>
          <cell r="AA1685">
            <v>0</v>
          </cell>
          <cell r="AC1685">
            <v>0</v>
          </cell>
          <cell r="AD1685">
            <v>0</v>
          </cell>
          <cell r="AF1685">
            <v>0</v>
          </cell>
          <cell r="AG1685">
            <v>0</v>
          </cell>
          <cell r="AI1685">
            <v>0</v>
          </cell>
          <cell r="AJ1685">
            <v>0</v>
          </cell>
          <cell r="AL1685">
            <v>0</v>
          </cell>
          <cell r="AM1685">
            <v>0</v>
          </cell>
          <cell r="AO1685">
            <v>0</v>
          </cell>
          <cell r="AP1685">
            <v>0</v>
          </cell>
          <cell r="AR1685">
            <v>0</v>
          </cell>
          <cell r="AS1685">
            <v>0</v>
          </cell>
          <cell r="BF1685" t="str">
            <v>5400</v>
          </cell>
          <cell r="BG1685" t="str">
            <v>F009</v>
          </cell>
          <cell r="BH1685" t="str">
            <v>VSS</v>
          </cell>
        </row>
        <row r="1686">
          <cell r="K1686">
            <v>0</v>
          </cell>
          <cell r="L1686">
            <v>0</v>
          </cell>
          <cell r="N1686">
            <v>0</v>
          </cell>
          <cell r="O1686">
            <v>0</v>
          </cell>
          <cell r="Q1686">
            <v>0</v>
          </cell>
          <cell r="R1686">
            <v>0</v>
          </cell>
          <cell r="T1686">
            <v>0</v>
          </cell>
          <cell r="U1686">
            <v>0</v>
          </cell>
          <cell r="W1686">
            <v>0</v>
          </cell>
          <cell r="X1686">
            <v>0</v>
          </cell>
          <cell r="Z1686">
            <v>0</v>
          </cell>
          <cell r="AA1686">
            <v>0</v>
          </cell>
          <cell r="AC1686">
            <v>0</v>
          </cell>
          <cell r="AD1686">
            <v>0</v>
          </cell>
          <cell r="AF1686">
            <v>0</v>
          </cell>
          <cell r="AG1686">
            <v>0</v>
          </cell>
          <cell r="AI1686">
            <v>0</v>
          </cell>
          <cell r="AJ1686">
            <v>0</v>
          </cell>
          <cell r="AL1686">
            <v>0</v>
          </cell>
          <cell r="AM1686">
            <v>0</v>
          </cell>
          <cell r="AO1686">
            <v>0</v>
          </cell>
          <cell r="AP1686">
            <v>0</v>
          </cell>
          <cell r="AR1686">
            <v>0</v>
          </cell>
          <cell r="AS1686">
            <v>0</v>
          </cell>
          <cell r="BF1686" t="str">
            <v>5400</v>
          </cell>
          <cell r="BG1686" t="str">
            <v>F010</v>
          </cell>
          <cell r="BH1686" t="str">
            <v>VSS</v>
          </cell>
        </row>
        <row r="1687">
          <cell r="K1687">
            <v>0</v>
          </cell>
          <cell r="L1687">
            <v>0</v>
          </cell>
          <cell r="N1687">
            <v>0</v>
          </cell>
          <cell r="O1687">
            <v>0</v>
          </cell>
          <cell r="Q1687">
            <v>0</v>
          </cell>
          <cell r="R1687">
            <v>0</v>
          </cell>
          <cell r="T1687">
            <v>0</v>
          </cell>
          <cell r="U1687">
            <v>0</v>
          </cell>
          <cell r="W1687">
            <v>0</v>
          </cell>
          <cell r="X1687">
            <v>0</v>
          </cell>
          <cell r="Z1687">
            <v>0</v>
          </cell>
          <cell r="AA1687">
            <v>0</v>
          </cell>
          <cell r="AC1687">
            <v>0</v>
          </cell>
          <cell r="AD1687">
            <v>0</v>
          </cell>
          <cell r="AF1687">
            <v>0</v>
          </cell>
          <cell r="AG1687">
            <v>0</v>
          </cell>
          <cell r="AI1687">
            <v>0</v>
          </cell>
          <cell r="AJ1687">
            <v>0</v>
          </cell>
          <cell r="AL1687">
            <v>0</v>
          </cell>
          <cell r="AM1687">
            <v>0</v>
          </cell>
          <cell r="AO1687">
            <v>0</v>
          </cell>
          <cell r="AP1687">
            <v>0</v>
          </cell>
          <cell r="AR1687">
            <v>0</v>
          </cell>
          <cell r="AS1687">
            <v>0</v>
          </cell>
          <cell r="BF1687" t="str">
            <v>5400</v>
          </cell>
          <cell r="BG1687" t="str">
            <v>F011</v>
          </cell>
          <cell r="BH1687" t="str">
            <v>VSS</v>
          </cell>
        </row>
        <row r="1688">
          <cell r="K1688">
            <v>0</v>
          </cell>
          <cell r="L1688">
            <v>0</v>
          </cell>
          <cell r="N1688">
            <v>0</v>
          </cell>
          <cell r="O1688">
            <v>0</v>
          </cell>
          <cell r="Q1688">
            <v>0</v>
          </cell>
          <cell r="R1688">
            <v>0</v>
          </cell>
          <cell r="T1688">
            <v>0</v>
          </cell>
          <cell r="U1688">
            <v>0</v>
          </cell>
          <cell r="W1688">
            <v>0</v>
          </cell>
          <cell r="X1688">
            <v>0</v>
          </cell>
          <cell r="Z1688">
            <v>0</v>
          </cell>
          <cell r="AA1688">
            <v>0</v>
          </cell>
          <cell r="AC1688">
            <v>0</v>
          </cell>
          <cell r="AD1688">
            <v>0</v>
          </cell>
          <cell r="AF1688">
            <v>0</v>
          </cell>
          <cell r="AG1688">
            <v>0</v>
          </cell>
          <cell r="AI1688">
            <v>0</v>
          </cell>
          <cell r="AJ1688">
            <v>0</v>
          </cell>
          <cell r="AL1688">
            <v>0</v>
          </cell>
          <cell r="AM1688">
            <v>0</v>
          </cell>
          <cell r="AO1688">
            <v>0</v>
          </cell>
          <cell r="AP1688">
            <v>0</v>
          </cell>
          <cell r="AR1688">
            <v>0</v>
          </cell>
          <cell r="AS1688">
            <v>0</v>
          </cell>
          <cell r="BF1688" t="str">
            <v>5400</v>
          </cell>
          <cell r="BG1688" t="str">
            <v>F012</v>
          </cell>
          <cell r="BH1688" t="str">
            <v>VSS</v>
          </cell>
        </row>
        <row r="1689">
          <cell r="K1689">
            <v>0</v>
          </cell>
          <cell r="L1689">
            <v>0</v>
          </cell>
          <cell r="N1689">
            <v>0</v>
          </cell>
          <cell r="O1689">
            <v>0</v>
          </cell>
          <cell r="Q1689">
            <v>0</v>
          </cell>
          <cell r="R1689">
            <v>0</v>
          </cell>
          <cell r="T1689">
            <v>0</v>
          </cell>
          <cell r="U1689">
            <v>0</v>
          </cell>
          <cell r="W1689">
            <v>0</v>
          </cell>
          <cell r="X1689">
            <v>0</v>
          </cell>
          <cell r="Z1689">
            <v>0</v>
          </cell>
          <cell r="AA1689">
            <v>0</v>
          </cell>
          <cell r="AC1689">
            <v>0</v>
          </cell>
          <cell r="AD1689">
            <v>0</v>
          </cell>
          <cell r="AF1689">
            <v>0</v>
          </cell>
          <cell r="AG1689">
            <v>0</v>
          </cell>
          <cell r="AI1689">
            <v>0</v>
          </cell>
          <cell r="AJ1689">
            <v>0</v>
          </cell>
          <cell r="AL1689">
            <v>0</v>
          </cell>
          <cell r="AM1689">
            <v>0</v>
          </cell>
          <cell r="AO1689">
            <v>0</v>
          </cell>
          <cell r="AP1689">
            <v>0</v>
          </cell>
          <cell r="AR1689">
            <v>0</v>
          </cell>
          <cell r="AS1689">
            <v>0</v>
          </cell>
          <cell r="BF1689" t="str">
            <v>5400</v>
          </cell>
          <cell r="BG1689" t="str">
            <v>F013</v>
          </cell>
          <cell r="BH1689" t="str">
            <v>VSS</v>
          </cell>
        </row>
        <row r="1690">
          <cell r="K1690">
            <v>0</v>
          </cell>
          <cell r="L1690">
            <v>0</v>
          </cell>
          <cell r="N1690">
            <v>0</v>
          </cell>
          <cell r="O1690">
            <v>0</v>
          </cell>
          <cell r="Q1690">
            <v>0</v>
          </cell>
          <cell r="R1690">
            <v>0</v>
          </cell>
          <cell r="T1690">
            <v>0</v>
          </cell>
          <cell r="U1690">
            <v>0</v>
          </cell>
          <cell r="W1690">
            <v>0</v>
          </cell>
          <cell r="X1690">
            <v>0</v>
          </cell>
          <cell r="Z1690">
            <v>0</v>
          </cell>
          <cell r="AA1690">
            <v>0</v>
          </cell>
          <cell r="AC1690">
            <v>0</v>
          </cell>
          <cell r="AD1690">
            <v>0</v>
          </cell>
          <cell r="AF1690">
            <v>0</v>
          </cell>
          <cell r="AG1690">
            <v>0</v>
          </cell>
          <cell r="AI1690">
            <v>0</v>
          </cell>
          <cell r="AJ1690">
            <v>0</v>
          </cell>
          <cell r="AL1690">
            <v>0</v>
          </cell>
          <cell r="AM1690">
            <v>0</v>
          </cell>
          <cell r="AO1690">
            <v>0</v>
          </cell>
          <cell r="AP1690">
            <v>0</v>
          </cell>
          <cell r="AR1690">
            <v>0</v>
          </cell>
          <cell r="AS1690">
            <v>0</v>
          </cell>
          <cell r="BF1690" t="str">
            <v>5400</v>
          </cell>
          <cell r="BG1690" t="str">
            <v>F014</v>
          </cell>
          <cell r="BH1690" t="str">
            <v>VSS</v>
          </cell>
        </row>
        <row r="1691">
          <cell r="K1691">
            <v>0</v>
          </cell>
          <cell r="L1691">
            <v>0</v>
          </cell>
          <cell r="N1691">
            <v>0</v>
          </cell>
          <cell r="O1691">
            <v>0</v>
          </cell>
          <cell r="Q1691">
            <v>0</v>
          </cell>
          <cell r="R1691">
            <v>0</v>
          </cell>
          <cell r="T1691">
            <v>0</v>
          </cell>
          <cell r="U1691">
            <v>0</v>
          </cell>
          <cell r="W1691">
            <v>0</v>
          </cell>
          <cell r="X1691">
            <v>0</v>
          </cell>
          <cell r="Z1691">
            <v>0</v>
          </cell>
          <cell r="AA1691">
            <v>0</v>
          </cell>
          <cell r="AC1691">
            <v>0</v>
          </cell>
          <cell r="AD1691">
            <v>0</v>
          </cell>
          <cell r="AF1691">
            <v>0</v>
          </cell>
          <cell r="AG1691">
            <v>0</v>
          </cell>
          <cell r="AI1691">
            <v>0</v>
          </cell>
          <cell r="AJ1691">
            <v>0</v>
          </cell>
          <cell r="AL1691">
            <v>0</v>
          </cell>
          <cell r="AM1691">
            <v>0</v>
          </cell>
          <cell r="AO1691">
            <v>0</v>
          </cell>
          <cell r="AP1691">
            <v>0</v>
          </cell>
          <cell r="AR1691">
            <v>0</v>
          </cell>
          <cell r="AS1691">
            <v>0</v>
          </cell>
          <cell r="BF1691" t="str">
            <v>5400</v>
          </cell>
          <cell r="BG1691" t="str">
            <v>F015</v>
          </cell>
          <cell r="BH1691" t="str">
            <v>VSS</v>
          </cell>
        </row>
        <row r="1692">
          <cell r="K1692">
            <v>0</v>
          </cell>
          <cell r="L1692">
            <v>0</v>
          </cell>
          <cell r="N1692">
            <v>0</v>
          </cell>
          <cell r="O1692">
            <v>0</v>
          </cell>
          <cell r="Q1692">
            <v>0</v>
          </cell>
          <cell r="R1692">
            <v>0</v>
          </cell>
          <cell r="T1692">
            <v>0</v>
          </cell>
          <cell r="U1692">
            <v>0</v>
          </cell>
          <cell r="W1692">
            <v>0</v>
          </cell>
          <cell r="X1692">
            <v>0</v>
          </cell>
          <cell r="Z1692">
            <v>0</v>
          </cell>
          <cell r="AA1692">
            <v>0</v>
          </cell>
          <cell r="AC1692">
            <v>0</v>
          </cell>
          <cell r="AD1692">
            <v>0</v>
          </cell>
          <cell r="AF1692">
            <v>0</v>
          </cell>
          <cell r="AG1692">
            <v>0</v>
          </cell>
          <cell r="AI1692">
            <v>0</v>
          </cell>
          <cell r="AJ1692">
            <v>0</v>
          </cell>
          <cell r="AL1692">
            <v>0</v>
          </cell>
          <cell r="AM1692">
            <v>0</v>
          </cell>
          <cell r="AO1692">
            <v>0</v>
          </cell>
          <cell r="AP1692">
            <v>0</v>
          </cell>
          <cell r="AR1692">
            <v>0</v>
          </cell>
          <cell r="AS1692">
            <v>0</v>
          </cell>
          <cell r="BF1692" t="str">
            <v>5400</v>
          </cell>
          <cell r="BG1692" t="str">
            <v>F016</v>
          </cell>
          <cell r="BH1692" t="str">
            <v>VSS</v>
          </cell>
        </row>
        <row r="1693">
          <cell r="K1693">
            <v>0</v>
          </cell>
          <cell r="L1693">
            <v>0</v>
          </cell>
          <cell r="N1693">
            <v>0</v>
          </cell>
          <cell r="O1693">
            <v>0</v>
          </cell>
          <cell r="Q1693">
            <v>0</v>
          </cell>
          <cell r="R1693">
            <v>0</v>
          </cell>
          <cell r="T1693">
            <v>0</v>
          </cell>
          <cell r="U1693">
            <v>0</v>
          </cell>
          <cell r="W1693">
            <v>0</v>
          </cell>
          <cell r="X1693">
            <v>0</v>
          </cell>
          <cell r="Z1693">
            <v>0</v>
          </cell>
          <cell r="AA1693">
            <v>0</v>
          </cell>
          <cell r="AC1693">
            <v>0</v>
          </cell>
          <cell r="AD1693">
            <v>0</v>
          </cell>
          <cell r="AF1693">
            <v>0</v>
          </cell>
          <cell r="AG1693">
            <v>0</v>
          </cell>
          <cell r="AI1693">
            <v>0</v>
          </cell>
          <cell r="AJ1693">
            <v>0</v>
          </cell>
          <cell r="AL1693">
            <v>0</v>
          </cell>
          <cell r="AM1693">
            <v>0</v>
          </cell>
          <cell r="AO1693">
            <v>0</v>
          </cell>
          <cell r="AP1693">
            <v>0</v>
          </cell>
          <cell r="AR1693">
            <v>0</v>
          </cell>
          <cell r="AS1693">
            <v>0</v>
          </cell>
          <cell r="BF1693" t="str">
            <v>5400</v>
          </cell>
          <cell r="BG1693" t="str">
            <v>F017</v>
          </cell>
          <cell r="BH1693" t="str">
            <v>VSS</v>
          </cell>
        </row>
        <row r="1694">
          <cell r="K1694">
            <v>0</v>
          </cell>
          <cell r="L1694">
            <v>0</v>
          </cell>
          <cell r="N1694">
            <v>0</v>
          </cell>
          <cell r="O1694">
            <v>0</v>
          </cell>
          <cell r="Q1694">
            <v>0</v>
          </cell>
          <cell r="R1694">
            <v>0</v>
          </cell>
          <cell r="T1694">
            <v>0</v>
          </cell>
          <cell r="U1694">
            <v>0</v>
          </cell>
          <cell r="W1694">
            <v>0</v>
          </cell>
          <cell r="X1694">
            <v>0</v>
          </cell>
          <cell r="Z1694">
            <v>0</v>
          </cell>
          <cell r="AA1694">
            <v>0</v>
          </cell>
          <cell r="AC1694">
            <v>0</v>
          </cell>
          <cell r="AD1694">
            <v>0</v>
          </cell>
          <cell r="AF1694">
            <v>0</v>
          </cell>
          <cell r="AG1694">
            <v>0</v>
          </cell>
          <cell r="AI1694">
            <v>0</v>
          </cell>
          <cell r="AJ1694">
            <v>0</v>
          </cell>
          <cell r="AL1694">
            <v>0</v>
          </cell>
          <cell r="AM1694">
            <v>0</v>
          </cell>
          <cell r="AO1694">
            <v>0</v>
          </cell>
          <cell r="AP1694">
            <v>0</v>
          </cell>
          <cell r="AR1694">
            <v>0</v>
          </cell>
          <cell r="AS1694">
            <v>0</v>
          </cell>
          <cell r="BF1694" t="str">
            <v>5400</v>
          </cell>
          <cell r="BG1694" t="str">
            <v>F018</v>
          </cell>
          <cell r="BH1694" t="str">
            <v>VSS</v>
          </cell>
        </row>
        <row r="1695">
          <cell r="K1695">
            <v>0</v>
          </cell>
          <cell r="L1695">
            <v>0</v>
          </cell>
          <cell r="N1695">
            <v>0</v>
          </cell>
          <cell r="O1695">
            <v>0</v>
          </cell>
          <cell r="Q1695">
            <v>0</v>
          </cell>
          <cell r="R1695">
            <v>0</v>
          </cell>
          <cell r="T1695">
            <v>0</v>
          </cell>
          <cell r="U1695">
            <v>0</v>
          </cell>
          <cell r="W1695">
            <v>0</v>
          </cell>
          <cell r="X1695">
            <v>0</v>
          </cell>
          <cell r="Z1695">
            <v>0</v>
          </cell>
          <cell r="AA1695">
            <v>0</v>
          </cell>
          <cell r="AC1695">
            <v>0</v>
          </cell>
          <cell r="AD1695">
            <v>0</v>
          </cell>
          <cell r="AF1695">
            <v>0</v>
          </cell>
          <cell r="AG1695">
            <v>0</v>
          </cell>
          <cell r="AI1695">
            <v>0</v>
          </cell>
          <cell r="AJ1695">
            <v>0</v>
          </cell>
          <cell r="AL1695">
            <v>0</v>
          </cell>
          <cell r="AM1695">
            <v>0</v>
          </cell>
          <cell r="AO1695">
            <v>0</v>
          </cell>
          <cell r="AP1695">
            <v>0</v>
          </cell>
          <cell r="AR1695">
            <v>0</v>
          </cell>
          <cell r="AS1695">
            <v>0</v>
          </cell>
          <cell r="BF1695" t="str">
            <v>5400</v>
          </cell>
          <cell r="BG1695" t="str">
            <v>F019</v>
          </cell>
          <cell r="BH1695" t="str">
            <v>VSS</v>
          </cell>
        </row>
        <row r="1696">
          <cell r="K1696">
            <v>0</v>
          </cell>
          <cell r="L1696">
            <v>0</v>
          </cell>
          <cell r="N1696">
            <v>0</v>
          </cell>
          <cell r="O1696">
            <v>0</v>
          </cell>
          <cell r="Q1696">
            <v>0</v>
          </cell>
          <cell r="R1696">
            <v>0</v>
          </cell>
          <cell r="T1696">
            <v>0</v>
          </cell>
          <cell r="U1696">
            <v>0</v>
          </cell>
          <cell r="W1696">
            <v>0</v>
          </cell>
          <cell r="X1696">
            <v>0</v>
          </cell>
          <cell r="Z1696">
            <v>0</v>
          </cell>
          <cell r="AA1696">
            <v>0</v>
          </cell>
          <cell r="AC1696">
            <v>0</v>
          </cell>
          <cell r="AD1696">
            <v>0</v>
          </cell>
          <cell r="AF1696">
            <v>0</v>
          </cell>
          <cell r="AG1696">
            <v>0</v>
          </cell>
          <cell r="AI1696">
            <v>0</v>
          </cell>
          <cell r="AJ1696">
            <v>0</v>
          </cell>
          <cell r="AL1696">
            <v>0</v>
          </cell>
          <cell r="AM1696">
            <v>0</v>
          </cell>
          <cell r="AO1696">
            <v>0</v>
          </cell>
          <cell r="AP1696">
            <v>0</v>
          </cell>
          <cell r="AR1696">
            <v>0</v>
          </cell>
          <cell r="AS1696">
            <v>0</v>
          </cell>
          <cell r="BF1696" t="str">
            <v>5400</v>
          </cell>
          <cell r="BG1696" t="str">
            <v>F020</v>
          </cell>
          <cell r="BH1696" t="str">
            <v>VSS</v>
          </cell>
        </row>
        <row r="1697">
          <cell r="K1697">
            <v>-101330.85000000009</v>
          </cell>
          <cell r="L1697">
            <v>0</v>
          </cell>
          <cell r="N1697">
            <v>-81689.780000000028</v>
          </cell>
          <cell r="O1697">
            <v>0</v>
          </cell>
          <cell r="Q1697">
            <v>-110335.76000000001</v>
          </cell>
          <cell r="R1697">
            <v>0</v>
          </cell>
          <cell r="T1697">
            <v>-99480.160000000149</v>
          </cell>
          <cell r="U1697">
            <v>0</v>
          </cell>
          <cell r="W1697">
            <v>-99468.760000000009</v>
          </cell>
          <cell r="X1697">
            <v>0</v>
          </cell>
          <cell r="Z1697">
            <v>-108527.1100000001</v>
          </cell>
          <cell r="AA1697">
            <v>0</v>
          </cell>
          <cell r="AC1697">
            <v>0</v>
          </cell>
          <cell r="AD1697">
            <v>0</v>
          </cell>
          <cell r="AF1697">
            <v>0</v>
          </cell>
          <cell r="AG1697">
            <v>0</v>
          </cell>
          <cell r="AI1697">
            <v>0</v>
          </cell>
          <cell r="AJ1697">
            <v>0</v>
          </cell>
          <cell r="AL1697">
            <v>0</v>
          </cell>
          <cell r="AM1697">
            <v>0</v>
          </cell>
          <cell r="AO1697">
            <v>-2.3283064365386963E-10</v>
          </cell>
          <cell r="AP1697">
            <v>0</v>
          </cell>
          <cell r="AR1697">
            <v>0</v>
          </cell>
          <cell r="AS1697">
            <v>0</v>
          </cell>
          <cell r="BF1697" t="str">
            <v>5500</v>
          </cell>
          <cell r="BG1697" t="str">
            <v>G001</v>
          </cell>
          <cell r="BH1697" t="str">
            <v>VSS</v>
          </cell>
        </row>
        <row r="1698">
          <cell r="K1698">
            <v>0</v>
          </cell>
          <cell r="L1698">
            <v>0</v>
          </cell>
          <cell r="N1698">
            <v>0</v>
          </cell>
          <cell r="O1698">
            <v>0</v>
          </cell>
          <cell r="Q1698">
            <v>0</v>
          </cell>
          <cell r="R1698">
            <v>0</v>
          </cell>
          <cell r="T1698">
            <v>0</v>
          </cell>
          <cell r="U1698">
            <v>0</v>
          </cell>
          <cell r="W1698">
            <v>0</v>
          </cell>
          <cell r="X1698">
            <v>0</v>
          </cell>
          <cell r="Z1698">
            <v>0</v>
          </cell>
          <cell r="AA1698">
            <v>0</v>
          </cell>
          <cell r="AC1698">
            <v>0</v>
          </cell>
          <cell r="AD1698">
            <v>0</v>
          </cell>
          <cell r="AF1698">
            <v>0</v>
          </cell>
          <cell r="AG1698">
            <v>0</v>
          </cell>
          <cell r="AI1698">
            <v>0</v>
          </cell>
          <cell r="AJ1698">
            <v>0</v>
          </cell>
          <cell r="AL1698">
            <v>0</v>
          </cell>
          <cell r="AM1698">
            <v>0</v>
          </cell>
          <cell r="AO1698">
            <v>0</v>
          </cell>
          <cell r="AP1698">
            <v>0</v>
          </cell>
          <cell r="AR1698">
            <v>0</v>
          </cell>
          <cell r="AS1698">
            <v>0</v>
          </cell>
          <cell r="BF1698" t="str">
            <v>5500</v>
          </cell>
          <cell r="BG1698" t="str">
            <v>G002</v>
          </cell>
          <cell r="BH1698" t="str">
            <v>VSS</v>
          </cell>
        </row>
        <row r="1699">
          <cell r="K1699">
            <v>0</v>
          </cell>
          <cell r="L1699">
            <v>0</v>
          </cell>
          <cell r="N1699">
            <v>0</v>
          </cell>
          <cell r="O1699">
            <v>0</v>
          </cell>
          <cell r="Q1699">
            <v>0</v>
          </cell>
          <cell r="R1699">
            <v>0</v>
          </cell>
          <cell r="T1699">
            <v>0</v>
          </cell>
          <cell r="U1699">
            <v>0</v>
          </cell>
          <cell r="W1699">
            <v>0</v>
          </cell>
          <cell r="X1699">
            <v>0</v>
          </cell>
          <cell r="Z1699">
            <v>0</v>
          </cell>
          <cell r="AA1699">
            <v>0</v>
          </cell>
          <cell r="AC1699">
            <v>0</v>
          </cell>
          <cell r="AD1699">
            <v>0</v>
          </cell>
          <cell r="AF1699">
            <v>0</v>
          </cell>
          <cell r="AG1699">
            <v>0</v>
          </cell>
          <cell r="AI1699">
            <v>0</v>
          </cell>
          <cell r="AJ1699">
            <v>0</v>
          </cell>
          <cell r="AL1699">
            <v>0</v>
          </cell>
          <cell r="AM1699">
            <v>0</v>
          </cell>
          <cell r="AO1699">
            <v>0</v>
          </cell>
          <cell r="AP1699">
            <v>0</v>
          </cell>
          <cell r="AR1699">
            <v>0</v>
          </cell>
          <cell r="AS1699">
            <v>0</v>
          </cell>
          <cell r="BF1699" t="str">
            <v>5500</v>
          </cell>
          <cell r="BG1699" t="str">
            <v>G003</v>
          </cell>
          <cell r="BH1699" t="str">
            <v>VSS</v>
          </cell>
        </row>
        <row r="1700">
          <cell r="K1700">
            <v>0</v>
          </cell>
          <cell r="L1700">
            <v>0</v>
          </cell>
          <cell r="N1700">
            <v>0</v>
          </cell>
          <cell r="O1700">
            <v>0</v>
          </cell>
          <cell r="Q1700">
            <v>0</v>
          </cell>
          <cell r="R1700">
            <v>0</v>
          </cell>
          <cell r="T1700">
            <v>0</v>
          </cell>
          <cell r="U1700">
            <v>0</v>
          </cell>
          <cell r="W1700">
            <v>0</v>
          </cell>
          <cell r="X1700">
            <v>0</v>
          </cell>
          <cell r="Z1700">
            <v>0</v>
          </cell>
          <cell r="AA1700">
            <v>0</v>
          </cell>
          <cell r="AC1700">
            <v>0</v>
          </cell>
          <cell r="AD1700">
            <v>0</v>
          </cell>
          <cell r="AF1700">
            <v>0</v>
          </cell>
          <cell r="AG1700">
            <v>0</v>
          </cell>
          <cell r="AI1700">
            <v>0</v>
          </cell>
          <cell r="AJ1700">
            <v>0</v>
          </cell>
          <cell r="AL1700">
            <v>0</v>
          </cell>
          <cell r="AM1700">
            <v>0</v>
          </cell>
          <cell r="AO1700">
            <v>0</v>
          </cell>
          <cell r="AP1700">
            <v>0</v>
          </cell>
          <cell r="AR1700">
            <v>0</v>
          </cell>
          <cell r="AS1700">
            <v>0</v>
          </cell>
          <cell r="BF1700" t="str">
            <v>5500</v>
          </cell>
          <cell r="BG1700" t="str">
            <v>G004</v>
          </cell>
          <cell r="BH1700" t="str">
            <v>VSS</v>
          </cell>
        </row>
        <row r="1701">
          <cell r="K1701">
            <v>0</v>
          </cell>
          <cell r="L1701">
            <v>0</v>
          </cell>
          <cell r="N1701">
            <v>0</v>
          </cell>
          <cell r="O1701">
            <v>0</v>
          </cell>
          <cell r="Q1701">
            <v>0</v>
          </cell>
          <cell r="R1701">
            <v>0</v>
          </cell>
          <cell r="T1701">
            <v>0</v>
          </cell>
          <cell r="U1701">
            <v>0</v>
          </cell>
          <cell r="W1701">
            <v>0</v>
          </cell>
          <cell r="X1701">
            <v>0</v>
          </cell>
          <cell r="Z1701">
            <v>0</v>
          </cell>
          <cell r="AA1701">
            <v>0</v>
          </cell>
          <cell r="AC1701">
            <v>0</v>
          </cell>
          <cell r="AD1701">
            <v>0</v>
          </cell>
          <cell r="AF1701">
            <v>0</v>
          </cell>
          <cell r="AG1701">
            <v>0</v>
          </cell>
          <cell r="AI1701">
            <v>0</v>
          </cell>
          <cell r="AJ1701">
            <v>0</v>
          </cell>
          <cell r="AL1701">
            <v>0</v>
          </cell>
          <cell r="AM1701">
            <v>0</v>
          </cell>
          <cell r="AO1701">
            <v>0</v>
          </cell>
          <cell r="AP1701">
            <v>0</v>
          </cell>
          <cell r="AR1701">
            <v>0</v>
          </cell>
          <cell r="AS1701">
            <v>0</v>
          </cell>
          <cell r="BF1701" t="str">
            <v>5500</v>
          </cell>
          <cell r="BG1701" t="str">
            <v>G005</v>
          </cell>
          <cell r="BH1701" t="str">
            <v>VSS</v>
          </cell>
        </row>
        <row r="1702">
          <cell r="K1702">
            <v>0</v>
          </cell>
          <cell r="L1702">
            <v>0</v>
          </cell>
          <cell r="N1702">
            <v>0</v>
          </cell>
          <cell r="O1702">
            <v>0</v>
          </cell>
          <cell r="Q1702">
            <v>0</v>
          </cell>
          <cell r="R1702">
            <v>0</v>
          </cell>
          <cell r="T1702">
            <v>0</v>
          </cell>
          <cell r="U1702">
            <v>0</v>
          </cell>
          <cell r="W1702">
            <v>0</v>
          </cell>
          <cell r="X1702">
            <v>0</v>
          </cell>
          <cell r="Z1702">
            <v>0</v>
          </cell>
          <cell r="AA1702">
            <v>0</v>
          </cell>
          <cell r="AC1702">
            <v>0</v>
          </cell>
          <cell r="AD1702">
            <v>0</v>
          </cell>
          <cell r="AF1702">
            <v>0</v>
          </cell>
          <cell r="AG1702">
            <v>0</v>
          </cell>
          <cell r="AI1702">
            <v>0</v>
          </cell>
          <cell r="AJ1702">
            <v>0</v>
          </cell>
          <cell r="AL1702">
            <v>0</v>
          </cell>
          <cell r="AM1702">
            <v>0</v>
          </cell>
          <cell r="AO1702">
            <v>0</v>
          </cell>
          <cell r="AP1702">
            <v>0</v>
          </cell>
          <cell r="AR1702">
            <v>0</v>
          </cell>
          <cell r="AS1702">
            <v>0</v>
          </cell>
          <cell r="BF1702" t="str">
            <v>5500</v>
          </cell>
          <cell r="BG1702" t="str">
            <v>G006</v>
          </cell>
          <cell r="BH1702" t="str">
            <v>VSS</v>
          </cell>
        </row>
        <row r="1703">
          <cell r="K1703">
            <v>0</v>
          </cell>
          <cell r="L1703">
            <v>0</v>
          </cell>
          <cell r="N1703">
            <v>0</v>
          </cell>
          <cell r="O1703">
            <v>0</v>
          </cell>
          <cell r="Q1703">
            <v>0</v>
          </cell>
          <cell r="R1703">
            <v>0</v>
          </cell>
          <cell r="T1703">
            <v>0</v>
          </cell>
          <cell r="U1703">
            <v>0</v>
          </cell>
          <cell r="W1703">
            <v>0</v>
          </cell>
          <cell r="X1703">
            <v>0</v>
          </cell>
          <cell r="Z1703">
            <v>0</v>
          </cell>
          <cell r="AA1703">
            <v>0</v>
          </cell>
          <cell r="AC1703">
            <v>0</v>
          </cell>
          <cell r="AD1703">
            <v>0</v>
          </cell>
          <cell r="AF1703">
            <v>0</v>
          </cell>
          <cell r="AG1703">
            <v>0</v>
          </cell>
          <cell r="AI1703">
            <v>0</v>
          </cell>
          <cell r="AJ1703">
            <v>0</v>
          </cell>
          <cell r="AL1703">
            <v>0</v>
          </cell>
          <cell r="AM1703">
            <v>0</v>
          </cell>
          <cell r="AO1703">
            <v>0</v>
          </cell>
          <cell r="AP1703">
            <v>0</v>
          </cell>
          <cell r="AR1703">
            <v>0</v>
          </cell>
          <cell r="AS1703">
            <v>0</v>
          </cell>
          <cell r="BF1703" t="str">
            <v>5500</v>
          </cell>
          <cell r="BG1703" t="str">
            <v>G007</v>
          </cell>
          <cell r="BH1703" t="str">
            <v>VSS</v>
          </cell>
        </row>
        <row r="1704">
          <cell r="K1704">
            <v>0</v>
          </cell>
          <cell r="L1704">
            <v>0</v>
          </cell>
          <cell r="N1704">
            <v>0</v>
          </cell>
          <cell r="O1704">
            <v>0</v>
          </cell>
          <cell r="Q1704">
            <v>0</v>
          </cell>
          <cell r="R1704">
            <v>0</v>
          </cell>
          <cell r="T1704">
            <v>0</v>
          </cell>
          <cell r="U1704">
            <v>0</v>
          </cell>
          <cell r="W1704">
            <v>0</v>
          </cell>
          <cell r="X1704">
            <v>0</v>
          </cell>
          <cell r="Z1704">
            <v>-24944.7</v>
          </cell>
          <cell r="AA1704">
            <v>0</v>
          </cell>
          <cell r="AC1704">
            <v>-20321.240000000002</v>
          </cell>
          <cell r="AD1704">
            <v>0</v>
          </cell>
          <cell r="AF1704">
            <v>45265.94</v>
          </cell>
          <cell r="AG1704">
            <v>0</v>
          </cell>
          <cell r="AI1704">
            <v>0</v>
          </cell>
          <cell r="AJ1704">
            <v>0</v>
          </cell>
          <cell r="AL1704">
            <v>0</v>
          </cell>
          <cell r="AM1704">
            <v>0</v>
          </cell>
          <cell r="AO1704">
            <v>0</v>
          </cell>
          <cell r="AP1704">
            <v>0</v>
          </cell>
          <cell r="AR1704">
            <v>0</v>
          </cell>
          <cell r="AS1704">
            <v>0</v>
          </cell>
          <cell r="BF1704" t="str">
            <v>5500</v>
          </cell>
          <cell r="BG1704" t="str">
            <v>G008</v>
          </cell>
          <cell r="BH1704" t="str">
            <v>VSS</v>
          </cell>
        </row>
        <row r="1705">
          <cell r="K1705">
            <v>0</v>
          </cell>
          <cell r="L1705">
            <v>0</v>
          </cell>
          <cell r="N1705">
            <v>0</v>
          </cell>
          <cell r="O1705">
            <v>0</v>
          </cell>
          <cell r="Q1705">
            <v>0</v>
          </cell>
          <cell r="R1705">
            <v>0</v>
          </cell>
          <cell r="T1705">
            <v>0</v>
          </cell>
          <cell r="U1705">
            <v>0</v>
          </cell>
          <cell r="W1705">
            <v>0</v>
          </cell>
          <cell r="X1705">
            <v>0</v>
          </cell>
          <cell r="Z1705">
            <v>0</v>
          </cell>
          <cell r="AA1705">
            <v>0</v>
          </cell>
          <cell r="AC1705">
            <v>0</v>
          </cell>
          <cell r="AD1705">
            <v>0</v>
          </cell>
          <cell r="AF1705">
            <v>-1525.28</v>
          </cell>
          <cell r="AG1705">
            <v>0</v>
          </cell>
          <cell r="AI1705">
            <v>-141.82999999999993</v>
          </cell>
          <cell r="AJ1705">
            <v>0</v>
          </cell>
          <cell r="AL1705">
            <v>1521.2399999999996</v>
          </cell>
          <cell r="AM1705">
            <v>0</v>
          </cell>
          <cell r="AO1705">
            <v>1.75</v>
          </cell>
          <cell r="AP1705">
            <v>0</v>
          </cell>
          <cell r="AR1705">
            <v>144.12000000000216</v>
          </cell>
          <cell r="AS1705">
            <v>0</v>
          </cell>
          <cell r="BF1705" t="str">
            <v>5500</v>
          </cell>
          <cell r="BG1705" t="str">
            <v>G009</v>
          </cell>
          <cell r="BH1705" t="str">
            <v>VSS</v>
          </cell>
        </row>
        <row r="1706">
          <cell r="K1706">
            <v>339180</v>
          </cell>
          <cell r="L1706">
            <v>0</v>
          </cell>
          <cell r="N1706">
            <v>8290.5800000000745</v>
          </cell>
          <cell r="O1706">
            <v>0</v>
          </cell>
          <cell r="Q1706">
            <v>35200</v>
          </cell>
          <cell r="R1706">
            <v>0</v>
          </cell>
          <cell r="T1706">
            <v>31134.990000000224</v>
          </cell>
          <cell r="U1706">
            <v>0</v>
          </cell>
          <cell r="W1706">
            <v>-47100</v>
          </cell>
          <cell r="X1706">
            <v>0</v>
          </cell>
          <cell r="Z1706">
            <v>1014000</v>
          </cell>
          <cell r="AA1706">
            <v>0</v>
          </cell>
          <cell r="AC1706">
            <v>-434364.94000000041</v>
          </cell>
          <cell r="AD1706">
            <v>0</v>
          </cell>
          <cell r="AF1706">
            <v>87211.799999999814</v>
          </cell>
          <cell r="AG1706">
            <v>0</v>
          </cell>
          <cell r="AI1706">
            <v>-2412439.5600000015</v>
          </cell>
          <cell r="AJ1706">
            <v>0</v>
          </cell>
          <cell r="AL1706">
            <v>343556.58000000007</v>
          </cell>
          <cell r="AM1706">
            <v>0</v>
          </cell>
          <cell r="AO1706">
            <v>720442.47000000067</v>
          </cell>
          <cell r="AP1706">
            <v>0</v>
          </cell>
          <cell r="AR1706">
            <v>4232217.6500000004</v>
          </cell>
          <cell r="AS1706">
            <v>0</v>
          </cell>
          <cell r="BF1706" t="str">
            <v>5500</v>
          </cell>
          <cell r="BG1706" t="str">
            <v>G010</v>
          </cell>
          <cell r="BH1706" t="str">
            <v>VSS</v>
          </cell>
        </row>
        <row r="1707">
          <cell r="K1707">
            <v>0</v>
          </cell>
          <cell r="L1707">
            <v>0</v>
          </cell>
          <cell r="N1707">
            <v>0</v>
          </cell>
          <cell r="O1707">
            <v>0</v>
          </cell>
          <cell r="Q1707">
            <v>0</v>
          </cell>
          <cell r="R1707">
            <v>0</v>
          </cell>
          <cell r="T1707">
            <v>0</v>
          </cell>
          <cell r="U1707">
            <v>0</v>
          </cell>
          <cell r="W1707">
            <v>0</v>
          </cell>
          <cell r="X1707">
            <v>0</v>
          </cell>
          <cell r="Z1707">
            <v>0</v>
          </cell>
          <cell r="AA1707">
            <v>0</v>
          </cell>
          <cell r="AC1707">
            <v>0</v>
          </cell>
          <cell r="AD1707">
            <v>0</v>
          </cell>
          <cell r="AF1707">
            <v>0</v>
          </cell>
          <cell r="AG1707">
            <v>0</v>
          </cell>
          <cell r="AI1707">
            <v>0</v>
          </cell>
          <cell r="AJ1707">
            <v>0</v>
          </cell>
          <cell r="AL1707">
            <v>0</v>
          </cell>
          <cell r="AM1707">
            <v>0</v>
          </cell>
          <cell r="AO1707">
            <v>0</v>
          </cell>
          <cell r="AP1707">
            <v>0</v>
          </cell>
          <cell r="AR1707">
            <v>0</v>
          </cell>
          <cell r="AS1707">
            <v>0</v>
          </cell>
          <cell r="BF1707" t="str">
            <v>5500</v>
          </cell>
          <cell r="BG1707" t="str">
            <v>G011</v>
          </cell>
          <cell r="BH1707" t="str">
            <v>VSS</v>
          </cell>
        </row>
        <row r="1708">
          <cell r="K1708">
            <v>0</v>
          </cell>
          <cell r="L1708">
            <v>0</v>
          </cell>
          <cell r="N1708">
            <v>0</v>
          </cell>
          <cell r="O1708">
            <v>0</v>
          </cell>
          <cell r="Q1708">
            <v>0</v>
          </cell>
          <cell r="R1708">
            <v>0</v>
          </cell>
          <cell r="T1708">
            <v>0</v>
          </cell>
          <cell r="U1708">
            <v>0</v>
          </cell>
          <cell r="W1708">
            <v>0</v>
          </cell>
          <cell r="X1708">
            <v>0</v>
          </cell>
          <cell r="Z1708">
            <v>0</v>
          </cell>
          <cell r="AA1708">
            <v>0</v>
          </cell>
          <cell r="AC1708">
            <v>0</v>
          </cell>
          <cell r="AD1708">
            <v>0</v>
          </cell>
          <cell r="AF1708">
            <v>0</v>
          </cell>
          <cell r="AG1708">
            <v>0</v>
          </cell>
          <cell r="AI1708">
            <v>0</v>
          </cell>
          <cell r="AJ1708">
            <v>0</v>
          </cell>
          <cell r="AL1708">
            <v>0</v>
          </cell>
          <cell r="AM1708">
            <v>0</v>
          </cell>
          <cell r="AO1708">
            <v>0</v>
          </cell>
          <cell r="AP1708">
            <v>0</v>
          </cell>
          <cell r="AR1708">
            <v>0</v>
          </cell>
          <cell r="AS1708">
            <v>0</v>
          </cell>
          <cell r="BF1708" t="str">
            <v>5500</v>
          </cell>
          <cell r="BG1708" t="str">
            <v>G012</v>
          </cell>
          <cell r="BH1708" t="str">
            <v>VSS</v>
          </cell>
        </row>
        <row r="1709">
          <cell r="K1709">
            <v>0</v>
          </cell>
          <cell r="L1709">
            <v>0</v>
          </cell>
          <cell r="N1709">
            <v>0</v>
          </cell>
          <cell r="O1709">
            <v>0</v>
          </cell>
          <cell r="Q1709">
            <v>0</v>
          </cell>
          <cell r="R1709">
            <v>0</v>
          </cell>
          <cell r="T1709">
            <v>0</v>
          </cell>
          <cell r="U1709">
            <v>0</v>
          </cell>
          <cell r="W1709">
            <v>0</v>
          </cell>
          <cell r="X1709">
            <v>0</v>
          </cell>
          <cell r="Z1709">
            <v>0</v>
          </cell>
          <cell r="AA1709">
            <v>0</v>
          </cell>
          <cell r="AC1709">
            <v>0</v>
          </cell>
          <cell r="AD1709">
            <v>0</v>
          </cell>
          <cell r="AF1709">
            <v>0</v>
          </cell>
          <cell r="AG1709">
            <v>0</v>
          </cell>
          <cell r="AI1709">
            <v>0</v>
          </cell>
          <cell r="AJ1709">
            <v>0</v>
          </cell>
          <cell r="AL1709">
            <v>0</v>
          </cell>
          <cell r="AM1709">
            <v>0</v>
          </cell>
          <cell r="AO1709">
            <v>0</v>
          </cell>
          <cell r="AP1709">
            <v>0</v>
          </cell>
          <cell r="AR1709">
            <v>0</v>
          </cell>
          <cell r="AS1709">
            <v>0</v>
          </cell>
          <cell r="BF1709" t="str">
            <v>5600</v>
          </cell>
          <cell r="BG1709" t="str">
            <v>H001</v>
          </cell>
          <cell r="BH1709" t="str">
            <v>VSS</v>
          </cell>
        </row>
        <row r="1710">
          <cell r="K1710">
            <v>0</v>
          </cell>
          <cell r="L1710">
            <v>0</v>
          </cell>
          <cell r="N1710">
            <v>0</v>
          </cell>
          <cell r="O1710">
            <v>0</v>
          </cell>
          <cell r="Q1710">
            <v>0</v>
          </cell>
          <cell r="R1710">
            <v>0</v>
          </cell>
          <cell r="T1710">
            <v>0</v>
          </cell>
          <cell r="U1710">
            <v>0</v>
          </cell>
          <cell r="W1710">
            <v>0</v>
          </cell>
          <cell r="X1710">
            <v>0</v>
          </cell>
          <cell r="Z1710">
            <v>0</v>
          </cell>
          <cell r="AA1710">
            <v>0</v>
          </cell>
          <cell r="AC1710">
            <v>0</v>
          </cell>
          <cell r="AD1710">
            <v>0</v>
          </cell>
          <cell r="AF1710">
            <v>0</v>
          </cell>
          <cell r="AG1710">
            <v>0</v>
          </cell>
          <cell r="AI1710">
            <v>0</v>
          </cell>
          <cell r="AJ1710">
            <v>0</v>
          </cell>
          <cell r="AL1710">
            <v>0</v>
          </cell>
          <cell r="AM1710">
            <v>0</v>
          </cell>
          <cell r="AO1710">
            <v>0</v>
          </cell>
          <cell r="AP1710">
            <v>0</v>
          </cell>
          <cell r="AR1710">
            <v>0</v>
          </cell>
          <cell r="AS1710">
            <v>0</v>
          </cell>
          <cell r="BF1710" t="str">
            <v>5600</v>
          </cell>
          <cell r="BG1710" t="str">
            <v>H002</v>
          </cell>
          <cell r="BH1710" t="str">
            <v>VSS</v>
          </cell>
        </row>
        <row r="1711">
          <cell r="K1711">
            <v>0</v>
          </cell>
          <cell r="L1711">
            <v>0</v>
          </cell>
          <cell r="N1711">
            <v>0</v>
          </cell>
          <cell r="O1711">
            <v>0</v>
          </cell>
          <cell r="Q1711">
            <v>0</v>
          </cell>
          <cell r="R1711">
            <v>0</v>
          </cell>
          <cell r="T1711">
            <v>0</v>
          </cell>
          <cell r="U1711">
            <v>0</v>
          </cell>
          <cell r="W1711">
            <v>0</v>
          </cell>
          <cell r="X1711">
            <v>0</v>
          </cell>
          <cell r="Z1711">
            <v>0</v>
          </cell>
          <cell r="AA1711">
            <v>0</v>
          </cell>
          <cell r="AC1711">
            <v>0</v>
          </cell>
          <cell r="AD1711">
            <v>0</v>
          </cell>
          <cell r="AF1711">
            <v>0</v>
          </cell>
          <cell r="AG1711">
            <v>0</v>
          </cell>
          <cell r="AI1711">
            <v>0</v>
          </cell>
          <cell r="AJ1711">
            <v>0</v>
          </cell>
          <cell r="AL1711">
            <v>0</v>
          </cell>
          <cell r="AM1711">
            <v>0</v>
          </cell>
          <cell r="AO1711">
            <v>0</v>
          </cell>
          <cell r="AP1711">
            <v>0</v>
          </cell>
          <cell r="AR1711">
            <v>0</v>
          </cell>
          <cell r="AS1711">
            <v>0</v>
          </cell>
          <cell r="BF1711" t="str">
            <v>5600</v>
          </cell>
          <cell r="BG1711" t="str">
            <v>H003</v>
          </cell>
          <cell r="BH1711" t="str">
            <v>VSS</v>
          </cell>
        </row>
        <row r="1712">
          <cell r="K1712">
            <v>0</v>
          </cell>
          <cell r="L1712">
            <v>0</v>
          </cell>
          <cell r="N1712">
            <v>0</v>
          </cell>
          <cell r="O1712">
            <v>0</v>
          </cell>
          <cell r="Q1712">
            <v>0</v>
          </cell>
          <cell r="R1712">
            <v>0</v>
          </cell>
          <cell r="T1712">
            <v>0</v>
          </cell>
          <cell r="U1712">
            <v>0</v>
          </cell>
          <cell r="W1712">
            <v>0</v>
          </cell>
          <cell r="X1712">
            <v>0</v>
          </cell>
          <cell r="Z1712">
            <v>0</v>
          </cell>
          <cell r="AA1712">
            <v>0</v>
          </cell>
          <cell r="AC1712">
            <v>0</v>
          </cell>
          <cell r="AD1712">
            <v>0</v>
          </cell>
          <cell r="AF1712">
            <v>0</v>
          </cell>
          <cell r="AG1712">
            <v>0</v>
          </cell>
          <cell r="AI1712">
            <v>0</v>
          </cell>
          <cell r="AJ1712">
            <v>0</v>
          </cell>
          <cell r="AL1712">
            <v>0</v>
          </cell>
          <cell r="AM1712">
            <v>0</v>
          </cell>
          <cell r="AO1712">
            <v>0</v>
          </cell>
          <cell r="AP1712">
            <v>0</v>
          </cell>
          <cell r="AR1712">
            <v>0</v>
          </cell>
          <cell r="AS1712">
            <v>0</v>
          </cell>
          <cell r="BF1712" t="str">
            <v>5600</v>
          </cell>
          <cell r="BG1712" t="str">
            <v>H004</v>
          </cell>
          <cell r="BH1712" t="str">
            <v>VSS</v>
          </cell>
        </row>
        <row r="1713">
          <cell r="K1713">
            <v>0</v>
          </cell>
          <cell r="L1713">
            <v>0</v>
          </cell>
          <cell r="N1713">
            <v>0</v>
          </cell>
          <cell r="O1713">
            <v>0</v>
          </cell>
          <cell r="Q1713">
            <v>0</v>
          </cell>
          <cell r="R1713">
            <v>0</v>
          </cell>
          <cell r="T1713">
            <v>0</v>
          </cell>
          <cell r="U1713">
            <v>0</v>
          </cell>
          <cell r="W1713">
            <v>0</v>
          </cell>
          <cell r="X1713">
            <v>0</v>
          </cell>
          <cell r="Z1713">
            <v>0</v>
          </cell>
          <cell r="AA1713">
            <v>0</v>
          </cell>
          <cell r="AC1713">
            <v>0</v>
          </cell>
          <cell r="AD1713">
            <v>0</v>
          </cell>
          <cell r="AF1713">
            <v>0</v>
          </cell>
          <cell r="AG1713">
            <v>0</v>
          </cell>
          <cell r="AI1713">
            <v>0</v>
          </cell>
          <cell r="AJ1713">
            <v>0</v>
          </cell>
          <cell r="AL1713">
            <v>0</v>
          </cell>
          <cell r="AM1713">
            <v>0</v>
          </cell>
          <cell r="AO1713">
            <v>0</v>
          </cell>
          <cell r="AP1713">
            <v>0</v>
          </cell>
          <cell r="AR1713">
            <v>0</v>
          </cell>
          <cell r="AS1713">
            <v>0</v>
          </cell>
          <cell r="BF1713" t="str">
            <v>5600</v>
          </cell>
          <cell r="BG1713" t="str">
            <v>H005</v>
          </cell>
          <cell r="BH1713" t="str">
            <v>VSS</v>
          </cell>
        </row>
        <row r="1714">
          <cell r="K1714">
            <v>0</v>
          </cell>
          <cell r="L1714">
            <v>0</v>
          </cell>
          <cell r="N1714">
            <v>0</v>
          </cell>
          <cell r="O1714">
            <v>0</v>
          </cell>
          <cell r="Q1714">
            <v>0</v>
          </cell>
          <cell r="R1714">
            <v>0</v>
          </cell>
          <cell r="T1714">
            <v>0</v>
          </cell>
          <cell r="U1714">
            <v>0</v>
          </cell>
          <cell r="W1714">
            <v>0</v>
          </cell>
          <cell r="X1714">
            <v>0</v>
          </cell>
          <cell r="Z1714">
            <v>0</v>
          </cell>
          <cell r="AA1714">
            <v>0</v>
          </cell>
          <cell r="AC1714">
            <v>0</v>
          </cell>
          <cell r="AD1714">
            <v>0</v>
          </cell>
          <cell r="AF1714">
            <v>0</v>
          </cell>
          <cell r="AG1714">
            <v>0</v>
          </cell>
          <cell r="AI1714">
            <v>0</v>
          </cell>
          <cell r="AJ1714">
            <v>0</v>
          </cell>
          <cell r="AL1714">
            <v>0</v>
          </cell>
          <cell r="AM1714">
            <v>0</v>
          </cell>
          <cell r="AO1714">
            <v>0</v>
          </cell>
          <cell r="AP1714">
            <v>0</v>
          </cell>
          <cell r="AR1714">
            <v>0</v>
          </cell>
          <cell r="AS1714">
            <v>0</v>
          </cell>
          <cell r="BF1714" t="str">
            <v>5600</v>
          </cell>
          <cell r="BG1714" t="str">
            <v>H006</v>
          </cell>
          <cell r="BH1714" t="str">
            <v>VSS</v>
          </cell>
        </row>
        <row r="1715">
          <cell r="K1715">
            <v>0</v>
          </cell>
          <cell r="L1715">
            <v>0</v>
          </cell>
          <cell r="N1715">
            <v>0</v>
          </cell>
          <cell r="O1715">
            <v>0</v>
          </cell>
          <cell r="Q1715">
            <v>0</v>
          </cell>
          <cell r="R1715">
            <v>0</v>
          </cell>
          <cell r="T1715">
            <v>0</v>
          </cell>
          <cell r="U1715">
            <v>0</v>
          </cell>
          <cell r="W1715">
            <v>0</v>
          </cell>
          <cell r="X1715">
            <v>0</v>
          </cell>
          <cell r="Z1715">
            <v>0</v>
          </cell>
          <cell r="AA1715">
            <v>0</v>
          </cell>
          <cell r="AC1715">
            <v>0</v>
          </cell>
          <cell r="AD1715">
            <v>0</v>
          </cell>
          <cell r="AF1715">
            <v>0</v>
          </cell>
          <cell r="AG1715">
            <v>0</v>
          </cell>
          <cell r="AI1715">
            <v>0</v>
          </cell>
          <cell r="AJ1715">
            <v>0</v>
          </cell>
          <cell r="AL1715">
            <v>0</v>
          </cell>
          <cell r="AM1715">
            <v>0</v>
          </cell>
          <cell r="AO1715">
            <v>0</v>
          </cell>
          <cell r="AP1715">
            <v>0</v>
          </cell>
          <cell r="AR1715">
            <v>0</v>
          </cell>
          <cell r="AS1715">
            <v>0</v>
          </cell>
          <cell r="BF1715" t="str">
            <v>5600</v>
          </cell>
          <cell r="BG1715" t="str">
            <v>H007</v>
          </cell>
          <cell r="BH1715" t="str">
            <v>VSS</v>
          </cell>
        </row>
        <row r="1716">
          <cell r="K1716">
            <v>0</v>
          </cell>
          <cell r="L1716">
            <v>0</v>
          </cell>
          <cell r="N1716">
            <v>0</v>
          </cell>
          <cell r="O1716">
            <v>0</v>
          </cell>
          <cell r="Q1716">
            <v>0</v>
          </cell>
          <cell r="R1716">
            <v>0</v>
          </cell>
          <cell r="T1716">
            <v>0</v>
          </cell>
          <cell r="U1716">
            <v>0</v>
          </cell>
          <cell r="W1716">
            <v>0</v>
          </cell>
          <cell r="X1716">
            <v>0</v>
          </cell>
          <cell r="Z1716">
            <v>0</v>
          </cell>
          <cell r="AA1716">
            <v>0</v>
          </cell>
          <cell r="AC1716">
            <v>0</v>
          </cell>
          <cell r="AD1716">
            <v>0</v>
          </cell>
          <cell r="AF1716">
            <v>0</v>
          </cell>
          <cell r="AG1716">
            <v>0</v>
          </cell>
          <cell r="AI1716">
            <v>0</v>
          </cell>
          <cell r="AJ1716">
            <v>0</v>
          </cell>
          <cell r="AL1716">
            <v>0</v>
          </cell>
          <cell r="AM1716">
            <v>0</v>
          </cell>
          <cell r="AO1716">
            <v>0</v>
          </cell>
          <cell r="AP1716">
            <v>0</v>
          </cell>
          <cell r="AR1716">
            <v>0</v>
          </cell>
          <cell r="AS1716">
            <v>0</v>
          </cell>
          <cell r="BF1716" t="str">
            <v>5600</v>
          </cell>
          <cell r="BG1716" t="str">
            <v>H008</v>
          </cell>
          <cell r="BH1716" t="str">
            <v>VSS</v>
          </cell>
        </row>
        <row r="1717">
          <cell r="K1717">
            <v>0</v>
          </cell>
          <cell r="L1717">
            <v>0</v>
          </cell>
          <cell r="N1717">
            <v>0</v>
          </cell>
          <cell r="O1717">
            <v>0</v>
          </cell>
          <cell r="Q1717">
            <v>0</v>
          </cell>
          <cell r="R1717">
            <v>0</v>
          </cell>
          <cell r="T1717">
            <v>0</v>
          </cell>
          <cell r="U1717">
            <v>0</v>
          </cell>
          <cell r="W1717">
            <v>0</v>
          </cell>
          <cell r="X1717">
            <v>0</v>
          </cell>
          <cell r="Z1717">
            <v>0</v>
          </cell>
          <cell r="AA1717">
            <v>0</v>
          </cell>
          <cell r="AC1717">
            <v>0</v>
          </cell>
          <cell r="AD1717">
            <v>0</v>
          </cell>
          <cell r="AF1717">
            <v>0</v>
          </cell>
          <cell r="AG1717">
            <v>0</v>
          </cell>
          <cell r="AI1717">
            <v>0</v>
          </cell>
          <cell r="AJ1717">
            <v>0</v>
          </cell>
          <cell r="AL1717">
            <v>0</v>
          </cell>
          <cell r="AM1717">
            <v>0</v>
          </cell>
          <cell r="AO1717">
            <v>0</v>
          </cell>
          <cell r="AP1717">
            <v>0</v>
          </cell>
          <cell r="AR1717">
            <v>0</v>
          </cell>
          <cell r="AS1717">
            <v>0</v>
          </cell>
          <cell r="BF1717" t="str">
            <v>5700</v>
          </cell>
          <cell r="BG1717" t="str">
            <v>I001</v>
          </cell>
          <cell r="BH1717" t="str">
            <v>VSS</v>
          </cell>
        </row>
        <row r="1718">
          <cell r="K1718">
            <v>0</v>
          </cell>
          <cell r="L1718">
            <v>0</v>
          </cell>
          <cell r="N1718">
            <v>0</v>
          </cell>
          <cell r="O1718">
            <v>0</v>
          </cell>
          <cell r="Q1718">
            <v>0</v>
          </cell>
          <cell r="R1718">
            <v>0</v>
          </cell>
          <cell r="T1718">
            <v>0</v>
          </cell>
          <cell r="U1718">
            <v>0</v>
          </cell>
          <cell r="W1718">
            <v>0</v>
          </cell>
          <cell r="X1718">
            <v>0</v>
          </cell>
          <cell r="Z1718">
            <v>0</v>
          </cell>
          <cell r="AA1718">
            <v>0</v>
          </cell>
          <cell r="AC1718">
            <v>0</v>
          </cell>
          <cell r="AD1718">
            <v>0</v>
          </cell>
          <cell r="AF1718">
            <v>0</v>
          </cell>
          <cell r="AG1718">
            <v>0</v>
          </cell>
          <cell r="AI1718">
            <v>0</v>
          </cell>
          <cell r="AJ1718">
            <v>0</v>
          </cell>
          <cell r="AL1718">
            <v>0</v>
          </cell>
          <cell r="AM1718">
            <v>0</v>
          </cell>
          <cell r="AO1718">
            <v>0</v>
          </cell>
          <cell r="AP1718">
            <v>0</v>
          </cell>
          <cell r="AR1718">
            <v>0</v>
          </cell>
          <cell r="AS1718">
            <v>0</v>
          </cell>
          <cell r="BF1718" t="str">
            <v>5700</v>
          </cell>
          <cell r="BG1718" t="str">
            <v>I002</v>
          </cell>
          <cell r="BH1718" t="str">
            <v>VSS</v>
          </cell>
        </row>
        <row r="1719">
          <cell r="K1719">
            <v>0</v>
          </cell>
          <cell r="L1719">
            <v>0</v>
          </cell>
          <cell r="N1719">
            <v>0</v>
          </cell>
          <cell r="O1719">
            <v>0</v>
          </cell>
          <cell r="Q1719">
            <v>21500</v>
          </cell>
          <cell r="R1719">
            <v>0</v>
          </cell>
          <cell r="T1719">
            <v>-22219.920000000042</v>
          </cell>
          <cell r="U1719">
            <v>0</v>
          </cell>
          <cell r="W1719">
            <v>719.92000000004191</v>
          </cell>
          <cell r="X1719">
            <v>0</v>
          </cell>
          <cell r="Z1719">
            <v>0</v>
          </cell>
          <cell r="AA1719">
            <v>0</v>
          </cell>
          <cell r="AC1719">
            <v>0</v>
          </cell>
          <cell r="AD1719">
            <v>0</v>
          </cell>
          <cell r="AF1719">
            <v>0</v>
          </cell>
          <cell r="AG1719">
            <v>0</v>
          </cell>
          <cell r="AI1719">
            <v>0</v>
          </cell>
          <cell r="AJ1719">
            <v>0</v>
          </cell>
          <cell r="AL1719">
            <v>0</v>
          </cell>
          <cell r="AM1719">
            <v>0</v>
          </cell>
          <cell r="AO1719">
            <v>0</v>
          </cell>
          <cell r="AP1719">
            <v>0</v>
          </cell>
          <cell r="AR1719">
            <v>0</v>
          </cell>
          <cell r="AS1719">
            <v>0</v>
          </cell>
          <cell r="BF1719" t="str">
            <v>5700</v>
          </cell>
          <cell r="BG1719" t="str">
            <v>I003</v>
          </cell>
          <cell r="BH1719" t="str">
            <v>VSS</v>
          </cell>
        </row>
        <row r="1720">
          <cell r="K1720">
            <v>0</v>
          </cell>
          <cell r="L1720">
            <v>0</v>
          </cell>
          <cell r="N1720">
            <v>0</v>
          </cell>
          <cell r="O1720">
            <v>0</v>
          </cell>
          <cell r="Q1720">
            <v>0</v>
          </cell>
          <cell r="R1720">
            <v>0</v>
          </cell>
          <cell r="T1720">
            <v>0</v>
          </cell>
          <cell r="U1720">
            <v>0</v>
          </cell>
          <cell r="W1720">
            <v>0</v>
          </cell>
          <cell r="X1720">
            <v>0</v>
          </cell>
          <cell r="Z1720">
            <v>0</v>
          </cell>
          <cell r="AA1720">
            <v>0</v>
          </cell>
          <cell r="AC1720">
            <v>0</v>
          </cell>
          <cell r="AD1720">
            <v>0</v>
          </cell>
          <cell r="AF1720">
            <v>0</v>
          </cell>
          <cell r="AG1720">
            <v>0</v>
          </cell>
          <cell r="AI1720">
            <v>0</v>
          </cell>
          <cell r="AJ1720">
            <v>0</v>
          </cell>
          <cell r="AL1720">
            <v>0</v>
          </cell>
          <cell r="AM1720">
            <v>0</v>
          </cell>
          <cell r="AO1720">
            <v>0</v>
          </cell>
          <cell r="AP1720">
            <v>0</v>
          </cell>
          <cell r="AR1720">
            <v>0</v>
          </cell>
          <cell r="AS1720">
            <v>0</v>
          </cell>
          <cell r="BF1720" t="str">
            <v>5700</v>
          </cell>
          <cell r="BG1720" t="str">
            <v>I004</v>
          </cell>
          <cell r="BH1720" t="str">
            <v>VSS</v>
          </cell>
        </row>
        <row r="1721">
          <cell r="K1721">
            <v>0</v>
          </cell>
          <cell r="L1721">
            <v>0</v>
          </cell>
          <cell r="N1721">
            <v>0</v>
          </cell>
          <cell r="O1721">
            <v>0</v>
          </cell>
          <cell r="Q1721">
            <v>0</v>
          </cell>
          <cell r="R1721">
            <v>0</v>
          </cell>
          <cell r="T1721">
            <v>0</v>
          </cell>
          <cell r="U1721">
            <v>0</v>
          </cell>
          <cell r="W1721">
            <v>0</v>
          </cell>
          <cell r="X1721">
            <v>0</v>
          </cell>
          <cell r="Z1721">
            <v>0</v>
          </cell>
          <cell r="AA1721">
            <v>0</v>
          </cell>
          <cell r="AC1721">
            <v>0</v>
          </cell>
          <cell r="AD1721">
            <v>0</v>
          </cell>
          <cell r="AF1721">
            <v>0</v>
          </cell>
          <cell r="AG1721">
            <v>0</v>
          </cell>
          <cell r="AI1721">
            <v>7.2759576141834259E-12</v>
          </cell>
          <cell r="AJ1721">
            <v>0</v>
          </cell>
          <cell r="AL1721">
            <v>0</v>
          </cell>
          <cell r="AM1721">
            <v>0</v>
          </cell>
          <cell r="AO1721">
            <v>0</v>
          </cell>
          <cell r="AP1721">
            <v>0</v>
          </cell>
          <cell r="AR1721">
            <v>0</v>
          </cell>
          <cell r="AS1721">
            <v>0</v>
          </cell>
          <cell r="BF1721" t="str">
            <v>5700</v>
          </cell>
          <cell r="BG1721" t="str">
            <v>I005</v>
          </cell>
          <cell r="BH1721" t="str">
            <v>VSS</v>
          </cell>
        </row>
        <row r="1722">
          <cell r="K1722">
            <v>0</v>
          </cell>
          <cell r="L1722">
            <v>0</v>
          </cell>
          <cell r="N1722">
            <v>0</v>
          </cell>
          <cell r="O1722">
            <v>0</v>
          </cell>
          <cell r="Q1722">
            <v>0</v>
          </cell>
          <cell r="R1722">
            <v>0</v>
          </cell>
          <cell r="T1722">
            <v>0</v>
          </cell>
          <cell r="U1722">
            <v>0</v>
          </cell>
          <cell r="W1722">
            <v>0</v>
          </cell>
          <cell r="X1722">
            <v>0</v>
          </cell>
          <cell r="Z1722">
            <v>0</v>
          </cell>
          <cell r="AA1722">
            <v>0</v>
          </cell>
          <cell r="AC1722">
            <v>0</v>
          </cell>
          <cell r="AD1722">
            <v>0</v>
          </cell>
          <cell r="AF1722">
            <v>0</v>
          </cell>
          <cell r="AG1722">
            <v>0</v>
          </cell>
          <cell r="AI1722">
            <v>0</v>
          </cell>
          <cell r="AJ1722">
            <v>0</v>
          </cell>
          <cell r="AL1722">
            <v>0</v>
          </cell>
          <cell r="AM1722">
            <v>0</v>
          </cell>
          <cell r="AO1722">
            <v>0</v>
          </cell>
          <cell r="AP1722">
            <v>0</v>
          </cell>
          <cell r="AR1722">
            <v>0</v>
          </cell>
          <cell r="AS1722">
            <v>0</v>
          </cell>
          <cell r="BF1722" t="str">
            <v>5700</v>
          </cell>
          <cell r="BG1722" t="str">
            <v>I006</v>
          </cell>
          <cell r="BH1722" t="str">
            <v>VSS</v>
          </cell>
        </row>
        <row r="1723">
          <cell r="K1723">
            <v>0</v>
          </cell>
          <cell r="L1723">
            <v>0</v>
          </cell>
          <cell r="N1723">
            <v>0</v>
          </cell>
          <cell r="O1723">
            <v>0</v>
          </cell>
          <cell r="Q1723">
            <v>0</v>
          </cell>
          <cell r="R1723">
            <v>0</v>
          </cell>
          <cell r="T1723">
            <v>0</v>
          </cell>
          <cell r="U1723">
            <v>0</v>
          </cell>
          <cell r="W1723">
            <v>0</v>
          </cell>
          <cell r="X1723">
            <v>0</v>
          </cell>
          <cell r="Z1723">
            <v>0</v>
          </cell>
          <cell r="AA1723">
            <v>0</v>
          </cell>
          <cell r="AC1723">
            <v>0</v>
          </cell>
          <cell r="AD1723">
            <v>0</v>
          </cell>
          <cell r="AF1723">
            <v>0</v>
          </cell>
          <cell r="AG1723">
            <v>0</v>
          </cell>
          <cell r="AI1723">
            <v>0</v>
          </cell>
          <cell r="AJ1723">
            <v>0</v>
          </cell>
          <cell r="AL1723">
            <v>0</v>
          </cell>
          <cell r="AM1723">
            <v>0</v>
          </cell>
          <cell r="AO1723">
            <v>0</v>
          </cell>
          <cell r="AP1723">
            <v>0</v>
          </cell>
          <cell r="AR1723">
            <v>0</v>
          </cell>
          <cell r="AS1723">
            <v>0</v>
          </cell>
          <cell r="BF1723" t="str">
            <v>5700</v>
          </cell>
          <cell r="BG1723" t="str">
            <v>I007</v>
          </cell>
          <cell r="BH1723" t="str">
            <v>VSS</v>
          </cell>
        </row>
        <row r="1724">
          <cell r="K1724">
            <v>102539.85000000003</v>
          </cell>
          <cell r="L1724">
            <v>0</v>
          </cell>
          <cell r="N1724">
            <v>-102653.20000000001</v>
          </cell>
          <cell r="O1724">
            <v>0</v>
          </cell>
          <cell r="Q1724">
            <v>0</v>
          </cell>
          <cell r="R1724">
            <v>0</v>
          </cell>
          <cell r="T1724">
            <v>0</v>
          </cell>
          <cell r="U1724">
            <v>0</v>
          </cell>
          <cell r="W1724">
            <v>0</v>
          </cell>
          <cell r="X1724">
            <v>0</v>
          </cell>
          <cell r="Z1724">
            <v>0</v>
          </cell>
          <cell r="AA1724">
            <v>0</v>
          </cell>
          <cell r="AC1724">
            <v>0</v>
          </cell>
          <cell r="AD1724">
            <v>0</v>
          </cell>
          <cell r="AF1724">
            <v>33540.020000000019</v>
          </cell>
          <cell r="AG1724">
            <v>0</v>
          </cell>
          <cell r="AI1724">
            <v>-7174.1300000000047</v>
          </cell>
          <cell r="AJ1724">
            <v>0</v>
          </cell>
          <cell r="AL1724">
            <v>-380.97999999998137</v>
          </cell>
          <cell r="AM1724">
            <v>0</v>
          </cell>
          <cell r="AO1724">
            <v>1549.1199999999953</v>
          </cell>
          <cell r="AP1724">
            <v>0</v>
          </cell>
          <cell r="AR1724">
            <v>2088.960000000021</v>
          </cell>
          <cell r="AS1724">
            <v>0</v>
          </cell>
          <cell r="BF1724" t="str">
            <v>5700</v>
          </cell>
          <cell r="BG1724" t="str">
            <v>I008</v>
          </cell>
          <cell r="BH1724" t="str">
            <v>VSS</v>
          </cell>
        </row>
        <row r="1725">
          <cell r="K1725">
            <v>0</v>
          </cell>
          <cell r="L1725">
            <v>0</v>
          </cell>
          <cell r="N1725">
            <v>0</v>
          </cell>
          <cell r="O1725">
            <v>0</v>
          </cell>
          <cell r="Q1725">
            <v>0</v>
          </cell>
          <cell r="R1725">
            <v>0</v>
          </cell>
          <cell r="T1725">
            <v>0</v>
          </cell>
          <cell r="U1725">
            <v>0</v>
          </cell>
          <cell r="W1725">
            <v>0</v>
          </cell>
          <cell r="X1725">
            <v>0</v>
          </cell>
          <cell r="Z1725">
            <v>0</v>
          </cell>
          <cell r="AA1725">
            <v>0</v>
          </cell>
          <cell r="AC1725">
            <v>0</v>
          </cell>
          <cell r="AD1725">
            <v>0</v>
          </cell>
          <cell r="AF1725">
            <v>0</v>
          </cell>
          <cell r="AG1725">
            <v>0</v>
          </cell>
          <cell r="AI1725">
            <v>0</v>
          </cell>
          <cell r="AJ1725">
            <v>0</v>
          </cell>
          <cell r="AL1725">
            <v>0</v>
          </cell>
          <cell r="AM1725">
            <v>0</v>
          </cell>
          <cell r="AO1725">
            <v>0</v>
          </cell>
          <cell r="AP1725">
            <v>0</v>
          </cell>
          <cell r="AR1725">
            <v>0</v>
          </cell>
          <cell r="AS1725">
            <v>0</v>
          </cell>
          <cell r="BF1725" t="str">
            <v>5700</v>
          </cell>
          <cell r="BG1725" t="str">
            <v>I009</v>
          </cell>
          <cell r="BH1725" t="str">
            <v>VSS</v>
          </cell>
        </row>
        <row r="1726">
          <cell r="K1726">
            <v>0</v>
          </cell>
          <cell r="L1726">
            <v>0</v>
          </cell>
          <cell r="N1726">
            <v>0</v>
          </cell>
          <cell r="O1726">
            <v>0</v>
          </cell>
          <cell r="Q1726">
            <v>0</v>
          </cell>
          <cell r="R1726">
            <v>0</v>
          </cell>
          <cell r="T1726">
            <v>0</v>
          </cell>
          <cell r="U1726">
            <v>0</v>
          </cell>
          <cell r="W1726">
            <v>0</v>
          </cell>
          <cell r="X1726">
            <v>0</v>
          </cell>
          <cell r="Z1726">
            <v>0</v>
          </cell>
          <cell r="AA1726">
            <v>0</v>
          </cell>
          <cell r="AC1726">
            <v>0</v>
          </cell>
          <cell r="AD1726">
            <v>0</v>
          </cell>
          <cell r="AF1726">
            <v>0</v>
          </cell>
          <cell r="AG1726">
            <v>0</v>
          </cell>
          <cell r="AI1726">
            <v>0</v>
          </cell>
          <cell r="AJ1726">
            <v>0</v>
          </cell>
          <cell r="AL1726">
            <v>0</v>
          </cell>
          <cell r="AM1726">
            <v>0</v>
          </cell>
          <cell r="AO1726">
            <v>0</v>
          </cell>
          <cell r="AP1726">
            <v>0</v>
          </cell>
          <cell r="AR1726">
            <v>0</v>
          </cell>
          <cell r="AS1726">
            <v>0</v>
          </cell>
          <cell r="BF1726" t="str">
            <v>5700</v>
          </cell>
          <cell r="BG1726" t="str">
            <v>I010</v>
          </cell>
          <cell r="BH1726" t="str">
            <v>VSS</v>
          </cell>
        </row>
        <row r="1727">
          <cell r="K1727">
            <v>0</v>
          </cell>
          <cell r="L1727">
            <v>0</v>
          </cell>
          <cell r="N1727">
            <v>0</v>
          </cell>
          <cell r="O1727">
            <v>0</v>
          </cell>
          <cell r="Q1727">
            <v>0</v>
          </cell>
          <cell r="R1727">
            <v>0</v>
          </cell>
          <cell r="T1727">
            <v>0</v>
          </cell>
          <cell r="U1727">
            <v>0</v>
          </cell>
          <cell r="W1727">
            <v>0</v>
          </cell>
          <cell r="X1727">
            <v>0</v>
          </cell>
          <cell r="Z1727">
            <v>0</v>
          </cell>
          <cell r="AA1727">
            <v>0</v>
          </cell>
          <cell r="AC1727">
            <v>0</v>
          </cell>
          <cell r="AD1727">
            <v>0</v>
          </cell>
          <cell r="AF1727">
            <v>0</v>
          </cell>
          <cell r="AG1727">
            <v>0</v>
          </cell>
          <cell r="AI1727">
            <v>0</v>
          </cell>
          <cell r="AJ1727">
            <v>0</v>
          </cell>
          <cell r="AL1727">
            <v>0</v>
          </cell>
          <cell r="AM1727">
            <v>0</v>
          </cell>
          <cell r="AO1727">
            <v>0</v>
          </cell>
          <cell r="AP1727">
            <v>0</v>
          </cell>
          <cell r="AR1727">
            <v>0</v>
          </cell>
          <cell r="AS1727">
            <v>0</v>
          </cell>
          <cell r="BF1727" t="str">
            <v>5700</v>
          </cell>
          <cell r="BG1727" t="str">
            <v>I011</v>
          </cell>
          <cell r="BH1727" t="str">
            <v>VSS</v>
          </cell>
        </row>
        <row r="1728">
          <cell r="K1728">
            <v>0</v>
          </cell>
          <cell r="L1728">
            <v>0</v>
          </cell>
          <cell r="N1728">
            <v>0</v>
          </cell>
          <cell r="O1728">
            <v>0</v>
          </cell>
          <cell r="Q1728">
            <v>0</v>
          </cell>
          <cell r="R1728">
            <v>0</v>
          </cell>
          <cell r="T1728">
            <v>0</v>
          </cell>
          <cell r="U1728">
            <v>0</v>
          </cell>
          <cell r="W1728">
            <v>0</v>
          </cell>
          <cell r="X1728">
            <v>0</v>
          </cell>
          <cell r="Z1728">
            <v>0</v>
          </cell>
          <cell r="AA1728">
            <v>0</v>
          </cell>
          <cell r="AC1728">
            <v>0</v>
          </cell>
          <cell r="AD1728">
            <v>0</v>
          </cell>
          <cell r="AF1728">
            <v>0</v>
          </cell>
          <cell r="AG1728">
            <v>0</v>
          </cell>
          <cell r="AI1728">
            <v>0</v>
          </cell>
          <cell r="AJ1728">
            <v>0</v>
          </cell>
          <cell r="AL1728">
            <v>0</v>
          </cell>
          <cell r="AM1728">
            <v>0</v>
          </cell>
          <cell r="AO1728">
            <v>0</v>
          </cell>
          <cell r="AP1728">
            <v>0</v>
          </cell>
          <cell r="AR1728">
            <v>0</v>
          </cell>
          <cell r="AS1728">
            <v>0</v>
          </cell>
          <cell r="BF1728" t="str">
            <v>5700</v>
          </cell>
          <cell r="BG1728" t="str">
            <v>I012</v>
          </cell>
          <cell r="BH1728" t="str">
            <v>VSS</v>
          </cell>
        </row>
        <row r="1729">
          <cell r="K1729">
            <v>0</v>
          </cell>
          <cell r="L1729">
            <v>0</v>
          </cell>
          <cell r="N1729">
            <v>0</v>
          </cell>
          <cell r="O1729">
            <v>0</v>
          </cell>
          <cell r="Q1729">
            <v>0</v>
          </cell>
          <cell r="R1729">
            <v>0</v>
          </cell>
          <cell r="T1729">
            <v>0</v>
          </cell>
          <cell r="U1729">
            <v>0</v>
          </cell>
          <cell r="W1729">
            <v>0</v>
          </cell>
          <cell r="X1729">
            <v>0</v>
          </cell>
          <cell r="Z1729">
            <v>0</v>
          </cell>
          <cell r="AA1729">
            <v>0</v>
          </cell>
          <cell r="AC1729">
            <v>0</v>
          </cell>
          <cell r="AD1729">
            <v>0</v>
          </cell>
          <cell r="AF1729">
            <v>0</v>
          </cell>
          <cell r="AG1729">
            <v>0</v>
          </cell>
          <cell r="AI1729">
            <v>0</v>
          </cell>
          <cell r="AJ1729">
            <v>0</v>
          </cell>
          <cell r="AL1729">
            <v>0</v>
          </cell>
          <cell r="AM1729">
            <v>0</v>
          </cell>
          <cell r="AO1729">
            <v>0</v>
          </cell>
          <cell r="AP1729">
            <v>0</v>
          </cell>
          <cell r="AR1729">
            <v>0</v>
          </cell>
          <cell r="AS1729">
            <v>0</v>
          </cell>
          <cell r="BF1729" t="str">
            <v>5800</v>
          </cell>
          <cell r="BG1729" t="str">
            <v>J001</v>
          </cell>
          <cell r="BH1729" t="str">
            <v>VSS</v>
          </cell>
        </row>
        <row r="1730">
          <cell r="K1730">
            <v>0</v>
          </cell>
          <cell r="L1730">
            <v>0</v>
          </cell>
          <cell r="N1730">
            <v>0</v>
          </cell>
          <cell r="O1730">
            <v>0</v>
          </cell>
          <cell r="Q1730">
            <v>0</v>
          </cell>
          <cell r="R1730">
            <v>0</v>
          </cell>
          <cell r="T1730">
            <v>0</v>
          </cell>
          <cell r="U1730">
            <v>0</v>
          </cell>
          <cell r="W1730">
            <v>0</v>
          </cell>
          <cell r="X1730">
            <v>0</v>
          </cell>
          <cell r="Z1730">
            <v>0</v>
          </cell>
          <cell r="AA1730">
            <v>0</v>
          </cell>
          <cell r="AC1730">
            <v>0</v>
          </cell>
          <cell r="AD1730">
            <v>0</v>
          </cell>
          <cell r="AF1730">
            <v>0</v>
          </cell>
          <cell r="AG1730">
            <v>0</v>
          </cell>
          <cell r="AI1730">
            <v>0</v>
          </cell>
          <cell r="AJ1730">
            <v>0</v>
          </cell>
          <cell r="AL1730">
            <v>0</v>
          </cell>
          <cell r="AM1730">
            <v>0</v>
          </cell>
          <cell r="AO1730">
            <v>0</v>
          </cell>
          <cell r="AP1730">
            <v>0</v>
          </cell>
          <cell r="AR1730">
            <v>0</v>
          </cell>
          <cell r="AS1730">
            <v>0</v>
          </cell>
          <cell r="BF1730" t="str">
            <v>5800</v>
          </cell>
          <cell r="BG1730" t="str">
            <v>J002</v>
          </cell>
          <cell r="BH1730" t="str">
            <v>VSS</v>
          </cell>
        </row>
        <row r="1731">
          <cell r="K1731">
            <v>0</v>
          </cell>
          <cell r="L1731">
            <v>0</v>
          </cell>
          <cell r="N1731">
            <v>0</v>
          </cell>
          <cell r="O1731">
            <v>0</v>
          </cell>
          <cell r="Q1731">
            <v>0</v>
          </cell>
          <cell r="R1731">
            <v>0</v>
          </cell>
          <cell r="T1731">
            <v>0</v>
          </cell>
          <cell r="U1731">
            <v>0</v>
          </cell>
          <cell r="W1731">
            <v>0</v>
          </cell>
          <cell r="X1731">
            <v>0</v>
          </cell>
          <cell r="Z1731">
            <v>0</v>
          </cell>
          <cell r="AA1731">
            <v>0</v>
          </cell>
          <cell r="AC1731">
            <v>0</v>
          </cell>
          <cell r="AD1731">
            <v>0</v>
          </cell>
          <cell r="AF1731">
            <v>0</v>
          </cell>
          <cell r="AG1731">
            <v>0</v>
          </cell>
          <cell r="AI1731">
            <v>0</v>
          </cell>
          <cell r="AJ1731">
            <v>0</v>
          </cell>
          <cell r="AL1731">
            <v>0</v>
          </cell>
          <cell r="AM1731">
            <v>0</v>
          </cell>
          <cell r="AO1731">
            <v>0</v>
          </cell>
          <cell r="AP1731">
            <v>0</v>
          </cell>
          <cell r="AR1731">
            <v>0</v>
          </cell>
          <cell r="AS1731">
            <v>0</v>
          </cell>
          <cell r="BF1731" t="str">
            <v>5800</v>
          </cell>
          <cell r="BG1731" t="str">
            <v>J003</v>
          </cell>
          <cell r="BH1731" t="str">
            <v>VSS</v>
          </cell>
        </row>
        <row r="1732">
          <cell r="K1732">
            <v>0</v>
          </cell>
          <cell r="L1732">
            <v>0</v>
          </cell>
          <cell r="N1732">
            <v>0</v>
          </cell>
          <cell r="O1732">
            <v>0</v>
          </cell>
          <cell r="Q1732">
            <v>0</v>
          </cell>
          <cell r="R1732">
            <v>0</v>
          </cell>
          <cell r="T1732">
            <v>0</v>
          </cell>
          <cell r="U1732">
            <v>0</v>
          </cell>
          <cell r="W1732">
            <v>0</v>
          </cell>
          <cell r="X1732">
            <v>0</v>
          </cell>
          <cell r="Z1732">
            <v>0</v>
          </cell>
          <cell r="AA1732">
            <v>0</v>
          </cell>
          <cell r="AC1732">
            <v>0</v>
          </cell>
          <cell r="AD1732">
            <v>0</v>
          </cell>
          <cell r="AF1732">
            <v>0</v>
          </cell>
          <cell r="AG1732">
            <v>0</v>
          </cell>
          <cell r="AI1732">
            <v>0</v>
          </cell>
          <cell r="AJ1732">
            <v>0</v>
          </cell>
          <cell r="AL1732">
            <v>0</v>
          </cell>
          <cell r="AM1732">
            <v>0</v>
          </cell>
          <cell r="AO1732">
            <v>0</v>
          </cell>
          <cell r="AP1732">
            <v>0</v>
          </cell>
          <cell r="AR1732">
            <v>0</v>
          </cell>
          <cell r="AS1732">
            <v>0</v>
          </cell>
          <cell r="BF1732" t="str">
            <v>5800</v>
          </cell>
          <cell r="BG1732" t="str">
            <v>J004</v>
          </cell>
          <cell r="BH1732" t="str">
            <v>VSS</v>
          </cell>
        </row>
        <row r="1733">
          <cell r="K1733">
            <v>0</v>
          </cell>
          <cell r="L1733">
            <v>0</v>
          </cell>
          <cell r="N1733">
            <v>0</v>
          </cell>
          <cell r="O1733">
            <v>0</v>
          </cell>
          <cell r="Q1733">
            <v>0</v>
          </cell>
          <cell r="R1733">
            <v>0</v>
          </cell>
          <cell r="T1733">
            <v>0</v>
          </cell>
          <cell r="U1733">
            <v>0</v>
          </cell>
          <cell r="W1733">
            <v>0</v>
          </cell>
          <cell r="X1733">
            <v>0</v>
          </cell>
          <cell r="Z1733">
            <v>0</v>
          </cell>
          <cell r="AA1733">
            <v>0</v>
          </cell>
          <cell r="AC1733">
            <v>0</v>
          </cell>
          <cell r="AD1733">
            <v>0</v>
          </cell>
          <cell r="AF1733">
            <v>0</v>
          </cell>
          <cell r="AG1733">
            <v>0</v>
          </cell>
          <cell r="AI1733">
            <v>0</v>
          </cell>
          <cell r="AJ1733">
            <v>0</v>
          </cell>
          <cell r="AL1733">
            <v>0</v>
          </cell>
          <cell r="AM1733">
            <v>0</v>
          </cell>
          <cell r="AO1733">
            <v>0</v>
          </cell>
          <cell r="AP1733">
            <v>0</v>
          </cell>
          <cell r="AR1733">
            <v>0</v>
          </cell>
          <cell r="AS1733">
            <v>0</v>
          </cell>
          <cell r="BF1733" t="str">
            <v>5800</v>
          </cell>
          <cell r="BG1733" t="str">
            <v>J005</v>
          </cell>
          <cell r="BH1733" t="str">
            <v>VSS</v>
          </cell>
        </row>
        <row r="1734">
          <cell r="K1734">
            <v>0</v>
          </cell>
          <cell r="L1734">
            <v>0</v>
          </cell>
          <cell r="N1734">
            <v>0</v>
          </cell>
          <cell r="O1734">
            <v>0</v>
          </cell>
          <cell r="Q1734">
            <v>0</v>
          </cell>
          <cell r="R1734">
            <v>0</v>
          </cell>
          <cell r="T1734">
            <v>0</v>
          </cell>
          <cell r="U1734">
            <v>0</v>
          </cell>
          <cell r="W1734">
            <v>0</v>
          </cell>
          <cell r="X1734">
            <v>0</v>
          </cell>
          <cell r="Z1734">
            <v>0</v>
          </cell>
          <cell r="AA1734">
            <v>0</v>
          </cell>
          <cell r="AC1734">
            <v>0</v>
          </cell>
          <cell r="AD1734">
            <v>0</v>
          </cell>
          <cell r="AF1734">
            <v>0</v>
          </cell>
          <cell r="AG1734">
            <v>0</v>
          </cell>
          <cell r="AI1734">
            <v>0</v>
          </cell>
          <cell r="AJ1734">
            <v>0</v>
          </cell>
          <cell r="AL1734">
            <v>0</v>
          </cell>
          <cell r="AM1734">
            <v>0</v>
          </cell>
          <cell r="AO1734">
            <v>0</v>
          </cell>
          <cell r="AP1734">
            <v>0</v>
          </cell>
          <cell r="AR1734">
            <v>0</v>
          </cell>
          <cell r="AS1734">
            <v>0</v>
          </cell>
          <cell r="BF1734" t="str">
            <v>5800</v>
          </cell>
          <cell r="BG1734" t="str">
            <v>J006</v>
          </cell>
          <cell r="BH1734" t="str">
            <v>VSS</v>
          </cell>
        </row>
        <row r="1735">
          <cell r="K1735">
            <v>0</v>
          </cell>
          <cell r="L1735">
            <v>0</v>
          </cell>
          <cell r="N1735">
            <v>0</v>
          </cell>
          <cell r="O1735">
            <v>0</v>
          </cell>
          <cell r="Q1735">
            <v>0</v>
          </cell>
          <cell r="R1735">
            <v>0</v>
          </cell>
          <cell r="T1735">
            <v>0</v>
          </cell>
          <cell r="U1735">
            <v>0</v>
          </cell>
          <cell r="W1735">
            <v>0</v>
          </cell>
          <cell r="X1735">
            <v>0</v>
          </cell>
          <cell r="Z1735">
            <v>0</v>
          </cell>
          <cell r="AA1735">
            <v>0</v>
          </cell>
          <cell r="AC1735">
            <v>0</v>
          </cell>
          <cell r="AD1735">
            <v>0</v>
          </cell>
          <cell r="AF1735">
            <v>0</v>
          </cell>
          <cell r="AG1735">
            <v>0</v>
          </cell>
          <cell r="AI1735">
            <v>0</v>
          </cell>
          <cell r="AJ1735">
            <v>0</v>
          </cell>
          <cell r="AL1735">
            <v>0</v>
          </cell>
          <cell r="AM1735">
            <v>0</v>
          </cell>
          <cell r="AO1735">
            <v>0</v>
          </cell>
          <cell r="AP1735">
            <v>0</v>
          </cell>
          <cell r="AR1735">
            <v>0</v>
          </cell>
          <cell r="AS1735">
            <v>0</v>
          </cell>
          <cell r="BF1735" t="str">
            <v>5800</v>
          </cell>
          <cell r="BG1735" t="str">
            <v>J007</v>
          </cell>
          <cell r="BH1735" t="str">
            <v>VSS</v>
          </cell>
        </row>
        <row r="1736">
          <cell r="K1736">
            <v>0</v>
          </cell>
          <cell r="L1736">
            <v>0</v>
          </cell>
          <cell r="N1736">
            <v>0</v>
          </cell>
          <cell r="O1736">
            <v>0</v>
          </cell>
          <cell r="Q1736">
            <v>0</v>
          </cell>
          <cell r="R1736">
            <v>0</v>
          </cell>
          <cell r="T1736">
            <v>0</v>
          </cell>
          <cell r="U1736">
            <v>0</v>
          </cell>
          <cell r="W1736">
            <v>0</v>
          </cell>
          <cell r="X1736">
            <v>0</v>
          </cell>
          <cell r="Z1736">
            <v>0</v>
          </cell>
          <cell r="AA1736">
            <v>0</v>
          </cell>
          <cell r="AC1736">
            <v>0</v>
          </cell>
          <cell r="AD1736">
            <v>0</v>
          </cell>
          <cell r="AF1736">
            <v>0</v>
          </cell>
          <cell r="AG1736">
            <v>0</v>
          </cell>
          <cell r="AI1736">
            <v>0</v>
          </cell>
          <cell r="AJ1736">
            <v>0</v>
          </cell>
          <cell r="AL1736">
            <v>0</v>
          </cell>
          <cell r="AM1736">
            <v>0</v>
          </cell>
          <cell r="AO1736">
            <v>0</v>
          </cell>
          <cell r="AP1736">
            <v>0</v>
          </cell>
          <cell r="AR1736">
            <v>0</v>
          </cell>
          <cell r="AS1736">
            <v>0</v>
          </cell>
          <cell r="BF1736" t="str">
            <v>5801</v>
          </cell>
          <cell r="BG1736" t="str">
            <v>J008</v>
          </cell>
          <cell r="BH1736" t="str">
            <v>VSS</v>
          </cell>
        </row>
        <row r="1737">
          <cell r="K1737">
            <v>0</v>
          </cell>
          <cell r="L1737">
            <v>0</v>
          </cell>
          <cell r="N1737">
            <v>0</v>
          </cell>
          <cell r="O1737">
            <v>0</v>
          </cell>
          <cell r="Q1737">
            <v>0</v>
          </cell>
          <cell r="R1737">
            <v>0</v>
          </cell>
          <cell r="T1737">
            <v>0</v>
          </cell>
          <cell r="U1737">
            <v>0</v>
          </cell>
          <cell r="W1737">
            <v>0</v>
          </cell>
          <cell r="X1737">
            <v>0</v>
          </cell>
          <cell r="Z1737">
            <v>0</v>
          </cell>
          <cell r="AA1737">
            <v>0</v>
          </cell>
          <cell r="AC1737">
            <v>0</v>
          </cell>
          <cell r="AD1737">
            <v>0</v>
          </cell>
          <cell r="AF1737">
            <v>0</v>
          </cell>
          <cell r="AG1737">
            <v>0</v>
          </cell>
          <cell r="AI1737">
            <v>0</v>
          </cell>
          <cell r="AJ1737">
            <v>0</v>
          </cell>
          <cell r="AL1737">
            <v>0</v>
          </cell>
          <cell r="AM1737">
            <v>0</v>
          </cell>
          <cell r="AO1737">
            <v>0</v>
          </cell>
          <cell r="AP1737">
            <v>0</v>
          </cell>
          <cell r="AR1737">
            <v>0</v>
          </cell>
          <cell r="AS1737">
            <v>0</v>
          </cell>
          <cell r="BF1737" t="str">
            <v>5801</v>
          </cell>
          <cell r="BG1737" t="str">
            <v>J009</v>
          </cell>
          <cell r="BH1737" t="str">
            <v>VSS</v>
          </cell>
        </row>
        <row r="1738">
          <cell r="K1738">
            <v>0</v>
          </cell>
          <cell r="L1738">
            <v>0</v>
          </cell>
          <cell r="N1738">
            <v>0</v>
          </cell>
          <cell r="O1738">
            <v>0</v>
          </cell>
          <cell r="Q1738">
            <v>0</v>
          </cell>
          <cell r="R1738">
            <v>0</v>
          </cell>
          <cell r="T1738">
            <v>0</v>
          </cell>
          <cell r="U1738">
            <v>0</v>
          </cell>
          <cell r="W1738">
            <v>0</v>
          </cell>
          <cell r="X1738">
            <v>0</v>
          </cell>
          <cell r="Z1738">
            <v>0</v>
          </cell>
          <cell r="AA1738">
            <v>0</v>
          </cell>
          <cell r="AC1738">
            <v>0</v>
          </cell>
          <cell r="AD1738">
            <v>0</v>
          </cell>
          <cell r="AF1738">
            <v>0</v>
          </cell>
          <cell r="AG1738">
            <v>0</v>
          </cell>
          <cell r="AI1738">
            <v>0</v>
          </cell>
          <cell r="AJ1738">
            <v>0</v>
          </cell>
          <cell r="AL1738">
            <v>0</v>
          </cell>
          <cell r="AM1738">
            <v>0</v>
          </cell>
          <cell r="AO1738">
            <v>0</v>
          </cell>
          <cell r="AP1738">
            <v>0</v>
          </cell>
          <cell r="AR1738">
            <v>0</v>
          </cell>
          <cell r="AS1738">
            <v>0</v>
          </cell>
          <cell r="BF1738" t="str">
            <v>6000</v>
          </cell>
          <cell r="BG1738" t="str">
            <v>K001</v>
          </cell>
          <cell r="BH1738" t="str">
            <v>VSS</v>
          </cell>
        </row>
        <row r="1739">
          <cell r="K1739">
            <v>0</v>
          </cell>
          <cell r="L1739">
            <v>0</v>
          </cell>
          <cell r="N1739">
            <v>0</v>
          </cell>
          <cell r="O1739">
            <v>0</v>
          </cell>
          <cell r="Q1739">
            <v>0</v>
          </cell>
          <cell r="R1739">
            <v>0</v>
          </cell>
          <cell r="T1739">
            <v>0</v>
          </cell>
          <cell r="U1739">
            <v>0</v>
          </cell>
          <cell r="W1739">
            <v>0</v>
          </cell>
          <cell r="X1739">
            <v>0</v>
          </cell>
          <cell r="Z1739">
            <v>0</v>
          </cell>
          <cell r="AA1739">
            <v>0</v>
          </cell>
          <cell r="AC1739">
            <v>0</v>
          </cell>
          <cell r="AD1739">
            <v>0</v>
          </cell>
          <cell r="AF1739">
            <v>0</v>
          </cell>
          <cell r="AG1739">
            <v>0</v>
          </cell>
          <cell r="AI1739">
            <v>0</v>
          </cell>
          <cell r="AJ1739">
            <v>0</v>
          </cell>
          <cell r="AL1739">
            <v>0</v>
          </cell>
          <cell r="AM1739">
            <v>0</v>
          </cell>
          <cell r="AO1739">
            <v>0</v>
          </cell>
          <cell r="AP1739">
            <v>0</v>
          </cell>
          <cell r="AR1739">
            <v>0</v>
          </cell>
          <cell r="AS1739">
            <v>0</v>
          </cell>
          <cell r="BF1739" t="str">
            <v>6000</v>
          </cell>
          <cell r="BG1739" t="str">
            <v>K002</v>
          </cell>
          <cell r="BH1739" t="str">
            <v>VSS</v>
          </cell>
        </row>
        <row r="1740">
          <cell r="K1740">
            <v>4844</v>
          </cell>
          <cell r="L1740">
            <v>0</v>
          </cell>
          <cell r="N1740">
            <v>8520</v>
          </cell>
          <cell r="O1740">
            <v>0</v>
          </cell>
          <cell r="Q1740">
            <v>0</v>
          </cell>
          <cell r="R1740">
            <v>0</v>
          </cell>
          <cell r="T1740">
            <v>20742</v>
          </cell>
          <cell r="U1740">
            <v>0</v>
          </cell>
          <cell r="W1740">
            <v>3828</v>
          </cell>
          <cell r="X1740">
            <v>0</v>
          </cell>
          <cell r="Z1740">
            <v>9539.0000000012224</v>
          </cell>
          <cell r="AA1740">
            <v>0</v>
          </cell>
          <cell r="AC1740">
            <v>11444</v>
          </cell>
          <cell r="AD1740">
            <v>0</v>
          </cell>
          <cell r="AF1740">
            <v>26363.169999999984</v>
          </cell>
          <cell r="AG1740">
            <v>0</v>
          </cell>
          <cell r="AI1740">
            <v>15016.190000000002</v>
          </cell>
          <cell r="AJ1740">
            <v>0</v>
          </cell>
          <cell r="AL1740">
            <v>1899</v>
          </cell>
          <cell r="AM1740">
            <v>0</v>
          </cell>
          <cell r="AO1740">
            <v>0</v>
          </cell>
          <cell r="AP1740">
            <v>0</v>
          </cell>
          <cell r="AR1740">
            <v>19411</v>
          </cell>
          <cell r="AS1740">
            <v>0</v>
          </cell>
          <cell r="BF1740" t="str">
            <v>6100</v>
          </cell>
          <cell r="BG1740" t="str">
            <v>K001</v>
          </cell>
          <cell r="BH1740" t="str">
            <v>VSS</v>
          </cell>
        </row>
        <row r="1741">
          <cell r="K1741">
            <v>-2621.2099999999991</v>
          </cell>
          <cell r="L1741">
            <v>0</v>
          </cell>
          <cell r="N1741">
            <v>-2999.5499999999993</v>
          </cell>
          <cell r="O1741">
            <v>0</v>
          </cell>
          <cell r="Q1741">
            <v>-3281.1399999999994</v>
          </cell>
          <cell r="R1741">
            <v>0</v>
          </cell>
          <cell r="T1741">
            <v>-3101.8300000000017</v>
          </cell>
          <cell r="U1741">
            <v>0</v>
          </cell>
          <cell r="W1741">
            <v>-3509.5200000000004</v>
          </cell>
          <cell r="X1741">
            <v>0</v>
          </cell>
          <cell r="Z1741">
            <v>-3930.3499999999985</v>
          </cell>
          <cell r="AA1741">
            <v>0</v>
          </cell>
          <cell r="AC1741">
            <v>-4069.7099999999991</v>
          </cell>
          <cell r="AD1741">
            <v>0</v>
          </cell>
          <cell r="AF1741">
            <v>-4150.9499999999971</v>
          </cell>
          <cell r="AG1741">
            <v>0</v>
          </cell>
          <cell r="AI1741">
            <v>-5155.6900000000023</v>
          </cell>
          <cell r="AJ1741">
            <v>0</v>
          </cell>
          <cell r="AL1741">
            <v>-5284.5</v>
          </cell>
          <cell r="AM1741">
            <v>0</v>
          </cell>
          <cell r="AO1741">
            <v>-5514.4099999999962</v>
          </cell>
          <cell r="AP1741">
            <v>0</v>
          </cell>
          <cell r="AR1741">
            <v>-5555.0899999999965</v>
          </cell>
          <cell r="AS1741">
            <v>0</v>
          </cell>
          <cell r="BF1741" t="str">
            <v>6100</v>
          </cell>
          <cell r="BG1741" t="str">
            <v>K002</v>
          </cell>
          <cell r="BH1741" t="str">
            <v>VSS</v>
          </cell>
        </row>
        <row r="1742">
          <cell r="K1742">
            <v>5306.6999999999534</v>
          </cell>
          <cell r="L1742">
            <v>0</v>
          </cell>
          <cell r="N1742">
            <v>0</v>
          </cell>
          <cell r="O1742">
            <v>0</v>
          </cell>
          <cell r="Q1742">
            <v>0</v>
          </cell>
          <cell r="R1742">
            <v>0</v>
          </cell>
          <cell r="T1742">
            <v>0</v>
          </cell>
          <cell r="U1742">
            <v>0</v>
          </cell>
          <cell r="W1742">
            <v>11705</v>
          </cell>
          <cell r="X1742">
            <v>0</v>
          </cell>
          <cell r="Z1742">
            <v>0</v>
          </cell>
          <cell r="AA1742">
            <v>0</v>
          </cell>
          <cell r="AC1742">
            <v>0</v>
          </cell>
          <cell r="AD1742">
            <v>0</v>
          </cell>
          <cell r="AF1742">
            <v>0</v>
          </cell>
          <cell r="AG1742">
            <v>0</v>
          </cell>
          <cell r="AI1742">
            <v>0</v>
          </cell>
          <cell r="AJ1742">
            <v>0</v>
          </cell>
          <cell r="AL1742">
            <v>54608</v>
          </cell>
          <cell r="AM1742">
            <v>0</v>
          </cell>
          <cell r="AO1742">
            <v>50630</v>
          </cell>
          <cell r="AP1742">
            <v>0</v>
          </cell>
          <cell r="AR1742">
            <v>-28000</v>
          </cell>
          <cell r="AS1742">
            <v>0</v>
          </cell>
          <cell r="BF1742" t="str">
            <v>6200</v>
          </cell>
          <cell r="BG1742" t="str">
            <v>K001</v>
          </cell>
          <cell r="BH1742" t="str">
            <v>VSS</v>
          </cell>
        </row>
        <row r="1743">
          <cell r="K1743">
            <v>-7868.489999999998</v>
          </cell>
          <cell r="L1743">
            <v>0</v>
          </cell>
          <cell r="N1743">
            <v>-7868.4800000000032</v>
          </cell>
          <cell r="O1743">
            <v>0</v>
          </cell>
          <cell r="Q1743">
            <v>-7614.6699999999983</v>
          </cell>
          <cell r="R1743">
            <v>0</v>
          </cell>
          <cell r="T1743">
            <v>-7868.4900000000052</v>
          </cell>
          <cell r="U1743">
            <v>0</v>
          </cell>
          <cell r="W1743">
            <v>-7630.6999999999971</v>
          </cell>
          <cell r="X1743">
            <v>0</v>
          </cell>
          <cell r="Z1743">
            <v>-8034.1699999999983</v>
          </cell>
          <cell r="AA1743">
            <v>0</v>
          </cell>
          <cell r="AC1743">
            <v>-8034.1699999999983</v>
          </cell>
          <cell r="AD1743">
            <v>0</v>
          </cell>
          <cell r="AF1743">
            <v>-7256.6699999999983</v>
          </cell>
          <cell r="AG1743">
            <v>0</v>
          </cell>
          <cell r="AI1743">
            <v>-8034.1699999999983</v>
          </cell>
          <cell r="AJ1743">
            <v>0</v>
          </cell>
          <cell r="AL1743">
            <v>-7799.9399999999878</v>
          </cell>
          <cell r="AM1743">
            <v>0</v>
          </cell>
          <cell r="AO1743">
            <v>-9125.2500000000146</v>
          </cell>
          <cell r="AP1743">
            <v>0</v>
          </cell>
          <cell r="AR1743">
            <v>-8590.1399999999849</v>
          </cell>
          <cell r="AS1743">
            <v>0</v>
          </cell>
          <cell r="BF1743" t="str">
            <v>6200</v>
          </cell>
          <cell r="BG1743" t="str">
            <v>K002</v>
          </cell>
          <cell r="BH1743" t="str">
            <v>VSS</v>
          </cell>
        </row>
        <row r="1744">
          <cell r="K1744">
            <v>0</v>
          </cell>
          <cell r="L1744">
            <v>0</v>
          </cell>
          <cell r="N1744">
            <v>0</v>
          </cell>
          <cell r="O1744">
            <v>0</v>
          </cell>
          <cell r="Q1744">
            <v>0</v>
          </cell>
          <cell r="R1744">
            <v>0</v>
          </cell>
          <cell r="T1744">
            <v>0</v>
          </cell>
          <cell r="U1744">
            <v>0</v>
          </cell>
          <cell r="W1744">
            <v>0</v>
          </cell>
          <cell r="X1744">
            <v>0</v>
          </cell>
          <cell r="Z1744">
            <v>0</v>
          </cell>
          <cell r="AA1744">
            <v>0</v>
          </cell>
          <cell r="AC1744">
            <v>0</v>
          </cell>
          <cell r="AD1744">
            <v>0</v>
          </cell>
          <cell r="AF1744">
            <v>0</v>
          </cell>
          <cell r="AG1744">
            <v>0</v>
          </cell>
          <cell r="AI1744">
            <v>0</v>
          </cell>
          <cell r="AJ1744">
            <v>0</v>
          </cell>
          <cell r="AL1744">
            <v>0</v>
          </cell>
          <cell r="AM1744">
            <v>0</v>
          </cell>
          <cell r="AO1744">
            <v>0</v>
          </cell>
          <cell r="AP1744">
            <v>0</v>
          </cell>
          <cell r="AR1744">
            <v>0</v>
          </cell>
          <cell r="AS1744">
            <v>0</v>
          </cell>
          <cell r="BF1744" t="str">
            <v>6300</v>
          </cell>
          <cell r="BG1744" t="str">
            <v>K001</v>
          </cell>
          <cell r="BH1744" t="str">
            <v>VSS</v>
          </cell>
        </row>
        <row r="1745">
          <cell r="K1745">
            <v>0</v>
          </cell>
          <cell r="L1745">
            <v>0</v>
          </cell>
          <cell r="N1745">
            <v>0</v>
          </cell>
          <cell r="O1745">
            <v>0</v>
          </cell>
          <cell r="Q1745">
            <v>0</v>
          </cell>
          <cell r="R1745">
            <v>0</v>
          </cell>
          <cell r="T1745">
            <v>0</v>
          </cell>
          <cell r="U1745">
            <v>0</v>
          </cell>
          <cell r="W1745">
            <v>0</v>
          </cell>
          <cell r="X1745">
            <v>0</v>
          </cell>
          <cell r="Z1745">
            <v>0</v>
          </cell>
          <cell r="AA1745">
            <v>0</v>
          </cell>
          <cell r="AC1745">
            <v>0</v>
          </cell>
          <cell r="AD1745">
            <v>0</v>
          </cell>
          <cell r="AF1745">
            <v>0</v>
          </cell>
          <cell r="AG1745">
            <v>0</v>
          </cell>
          <cell r="AI1745">
            <v>0</v>
          </cell>
          <cell r="AJ1745">
            <v>0</v>
          </cell>
          <cell r="AL1745">
            <v>0</v>
          </cell>
          <cell r="AM1745">
            <v>0</v>
          </cell>
          <cell r="AO1745">
            <v>0</v>
          </cell>
          <cell r="AP1745">
            <v>0</v>
          </cell>
          <cell r="AR1745">
            <v>0</v>
          </cell>
          <cell r="AS1745">
            <v>0</v>
          </cell>
          <cell r="BF1745" t="str">
            <v>6300</v>
          </cell>
          <cell r="BG1745" t="str">
            <v>K002</v>
          </cell>
          <cell r="BH1745" t="str">
            <v>VSS</v>
          </cell>
        </row>
        <row r="1746">
          <cell r="K1746">
            <v>0</v>
          </cell>
          <cell r="L1746">
            <v>0</v>
          </cell>
          <cell r="N1746">
            <v>0</v>
          </cell>
          <cell r="O1746">
            <v>0</v>
          </cell>
          <cell r="Q1746">
            <v>0</v>
          </cell>
          <cell r="R1746">
            <v>0</v>
          </cell>
          <cell r="T1746">
            <v>5510</v>
          </cell>
          <cell r="U1746">
            <v>0</v>
          </cell>
          <cell r="W1746">
            <v>0</v>
          </cell>
          <cell r="X1746">
            <v>0</v>
          </cell>
          <cell r="Z1746">
            <v>0</v>
          </cell>
          <cell r="AA1746">
            <v>0</v>
          </cell>
          <cell r="AC1746">
            <v>0</v>
          </cell>
          <cell r="AD1746">
            <v>0</v>
          </cell>
          <cell r="AF1746">
            <v>0</v>
          </cell>
          <cell r="AG1746">
            <v>0</v>
          </cell>
          <cell r="AI1746">
            <v>0</v>
          </cell>
          <cell r="AJ1746">
            <v>0</v>
          </cell>
          <cell r="AL1746">
            <v>0</v>
          </cell>
          <cell r="AM1746">
            <v>0</v>
          </cell>
          <cell r="AO1746">
            <v>0</v>
          </cell>
          <cell r="AP1746">
            <v>0</v>
          </cell>
          <cell r="AR1746">
            <v>19750.879999999997</v>
          </cell>
          <cell r="AS1746">
            <v>0</v>
          </cell>
          <cell r="BF1746" t="str">
            <v>6400</v>
          </cell>
          <cell r="BG1746" t="str">
            <v>K001</v>
          </cell>
          <cell r="BH1746" t="str">
            <v>VSS</v>
          </cell>
        </row>
        <row r="1747">
          <cell r="K1747">
            <v>-1013.2200000000003</v>
          </cell>
          <cell r="L1747">
            <v>0</v>
          </cell>
          <cell r="N1747">
            <v>-1013.2200000000003</v>
          </cell>
          <cell r="O1747">
            <v>0</v>
          </cell>
          <cell r="Q1747">
            <v>-980.53000000000065</v>
          </cell>
          <cell r="R1747">
            <v>0</v>
          </cell>
          <cell r="T1747">
            <v>-1024.1000000000004</v>
          </cell>
          <cell r="U1747">
            <v>0</v>
          </cell>
          <cell r="W1747">
            <v>-1071.1100000000006</v>
          </cell>
          <cell r="X1747">
            <v>0</v>
          </cell>
          <cell r="Z1747">
            <v>-1106.8099999999995</v>
          </cell>
          <cell r="AA1747">
            <v>0</v>
          </cell>
          <cell r="AC1747">
            <v>-1106.8199999999997</v>
          </cell>
          <cell r="AD1747">
            <v>0</v>
          </cell>
          <cell r="AF1747">
            <v>-999.70000000000073</v>
          </cell>
          <cell r="AG1747">
            <v>0</v>
          </cell>
          <cell r="AI1747">
            <v>-1106.8100000000013</v>
          </cell>
          <cell r="AJ1747">
            <v>0</v>
          </cell>
          <cell r="AL1747">
            <v>-1071.1100000000006</v>
          </cell>
          <cell r="AM1747">
            <v>0</v>
          </cell>
          <cell r="AO1747">
            <v>-1106.8100000000013</v>
          </cell>
          <cell r="AP1747">
            <v>0</v>
          </cell>
          <cell r="AR1747">
            <v>-1114.4000000000015</v>
          </cell>
          <cell r="AS1747">
            <v>0</v>
          </cell>
          <cell r="BF1747" t="str">
            <v>6400</v>
          </cell>
          <cell r="BG1747" t="str">
            <v>K002</v>
          </cell>
          <cell r="BH1747" t="str">
            <v>VSS</v>
          </cell>
        </row>
        <row r="1748">
          <cell r="K1748">
            <v>0</v>
          </cell>
          <cell r="L1748">
            <v>0</v>
          </cell>
          <cell r="N1748">
            <v>0</v>
          </cell>
          <cell r="O1748">
            <v>0</v>
          </cell>
          <cell r="Q1748">
            <v>0</v>
          </cell>
          <cell r="R1748">
            <v>0</v>
          </cell>
          <cell r="T1748">
            <v>100000</v>
          </cell>
          <cell r="U1748">
            <v>0</v>
          </cell>
          <cell r="W1748">
            <v>0</v>
          </cell>
          <cell r="X1748">
            <v>0</v>
          </cell>
          <cell r="Z1748">
            <v>0</v>
          </cell>
          <cell r="AA1748">
            <v>0</v>
          </cell>
          <cell r="AC1748">
            <v>0</v>
          </cell>
          <cell r="AD1748">
            <v>0</v>
          </cell>
          <cell r="AF1748">
            <v>0</v>
          </cell>
          <cell r="AG1748">
            <v>0</v>
          </cell>
          <cell r="AI1748">
            <v>0</v>
          </cell>
          <cell r="AJ1748">
            <v>0</v>
          </cell>
          <cell r="AL1748">
            <v>123000</v>
          </cell>
          <cell r="AM1748">
            <v>0</v>
          </cell>
          <cell r="AO1748">
            <v>0</v>
          </cell>
          <cell r="AP1748">
            <v>0</v>
          </cell>
          <cell r="AR1748">
            <v>145000</v>
          </cell>
          <cell r="AS1748">
            <v>0</v>
          </cell>
          <cell r="BF1748" t="str">
            <v>6500</v>
          </cell>
          <cell r="BG1748" t="str">
            <v>K001</v>
          </cell>
          <cell r="BH1748" t="str">
            <v>VSS</v>
          </cell>
        </row>
        <row r="1749">
          <cell r="K1749">
            <v>0</v>
          </cell>
          <cell r="L1749">
            <v>0</v>
          </cell>
          <cell r="N1749">
            <v>0</v>
          </cell>
          <cell r="O1749">
            <v>0</v>
          </cell>
          <cell r="Q1749">
            <v>0</v>
          </cell>
          <cell r="R1749">
            <v>0</v>
          </cell>
          <cell r="T1749">
            <v>0</v>
          </cell>
          <cell r="U1749">
            <v>0</v>
          </cell>
          <cell r="W1749">
            <v>-4109.590000000002</v>
          </cell>
          <cell r="X1749">
            <v>0</v>
          </cell>
          <cell r="Z1749">
            <v>-4246.5800000000017</v>
          </cell>
          <cell r="AA1749">
            <v>0</v>
          </cell>
          <cell r="AC1749">
            <v>-4246.5700000000015</v>
          </cell>
          <cell r="AD1749">
            <v>0</v>
          </cell>
          <cell r="AF1749">
            <v>-3835.6199999999953</v>
          </cell>
          <cell r="AG1749">
            <v>0</v>
          </cell>
          <cell r="AI1749">
            <v>-4246.570000000007</v>
          </cell>
          <cell r="AJ1749">
            <v>0</v>
          </cell>
          <cell r="AL1749">
            <v>-4109.5899999999965</v>
          </cell>
          <cell r="AM1749">
            <v>0</v>
          </cell>
          <cell r="AO1749">
            <v>-4246.5800000000017</v>
          </cell>
          <cell r="AP1749">
            <v>0</v>
          </cell>
          <cell r="AR1749">
            <v>-4109.5899999999965</v>
          </cell>
          <cell r="AS1749">
            <v>0</v>
          </cell>
          <cell r="BF1749" t="str">
            <v>6500</v>
          </cell>
          <cell r="BG1749" t="str">
            <v>K002</v>
          </cell>
          <cell r="BH1749" t="str">
            <v>VSS</v>
          </cell>
        </row>
        <row r="1750">
          <cell r="K1750">
            <v>0</v>
          </cell>
          <cell r="L1750">
            <v>0</v>
          </cell>
          <cell r="N1750">
            <v>0</v>
          </cell>
          <cell r="O1750">
            <v>0</v>
          </cell>
          <cell r="Q1750">
            <v>0</v>
          </cell>
          <cell r="R1750">
            <v>0</v>
          </cell>
          <cell r="T1750">
            <v>0</v>
          </cell>
          <cell r="U1750">
            <v>0</v>
          </cell>
          <cell r="W1750">
            <v>0</v>
          </cell>
          <cell r="X1750">
            <v>0</v>
          </cell>
          <cell r="Z1750">
            <v>0</v>
          </cell>
          <cell r="AA1750">
            <v>0</v>
          </cell>
          <cell r="AC1750">
            <v>0</v>
          </cell>
          <cell r="AD1750">
            <v>0</v>
          </cell>
          <cell r="AF1750">
            <v>0</v>
          </cell>
          <cell r="AG1750">
            <v>0</v>
          </cell>
          <cell r="AI1750">
            <v>9435</v>
          </cell>
          <cell r="AJ1750">
            <v>0</v>
          </cell>
          <cell r="AL1750">
            <v>0</v>
          </cell>
          <cell r="AM1750">
            <v>0</v>
          </cell>
          <cell r="AO1750">
            <v>-9435</v>
          </cell>
          <cell r="AP1750">
            <v>0</v>
          </cell>
          <cell r="AR1750">
            <v>0</v>
          </cell>
          <cell r="AS1750">
            <v>0</v>
          </cell>
          <cell r="BF1750" t="str">
            <v>6600</v>
          </cell>
          <cell r="BG1750" t="str">
            <v>K001</v>
          </cell>
          <cell r="BH1750" t="str">
            <v>VSS</v>
          </cell>
        </row>
        <row r="1751">
          <cell r="K1751">
            <v>-10602.770000000019</v>
          </cell>
          <cell r="L1751">
            <v>0</v>
          </cell>
          <cell r="N1751">
            <v>-10540.429999999993</v>
          </cell>
          <cell r="O1751">
            <v>0</v>
          </cell>
          <cell r="Q1751">
            <v>-10200.409999999974</v>
          </cell>
          <cell r="R1751">
            <v>0</v>
          </cell>
          <cell r="T1751">
            <v>-10540.429999999993</v>
          </cell>
          <cell r="U1751">
            <v>0</v>
          </cell>
          <cell r="W1751">
            <v>-10200.409999999974</v>
          </cell>
          <cell r="X1751">
            <v>0</v>
          </cell>
          <cell r="Z1751">
            <v>-10540.429999999993</v>
          </cell>
          <cell r="AA1751">
            <v>0</v>
          </cell>
          <cell r="AC1751">
            <v>-10540.419999999984</v>
          </cell>
          <cell r="AD1751">
            <v>0</v>
          </cell>
          <cell r="AF1751">
            <v>-9520.390000000014</v>
          </cell>
          <cell r="AG1751">
            <v>0</v>
          </cell>
          <cell r="AI1751">
            <v>-10540.419999999984</v>
          </cell>
          <cell r="AJ1751">
            <v>0</v>
          </cell>
          <cell r="AL1751">
            <v>-10200.409999999974</v>
          </cell>
          <cell r="AM1751">
            <v>0</v>
          </cell>
          <cell r="AO1751">
            <v>-10540.429999999993</v>
          </cell>
          <cell r="AP1751">
            <v>0</v>
          </cell>
          <cell r="AR1751">
            <v>-10200.409999999974</v>
          </cell>
          <cell r="AS1751">
            <v>0</v>
          </cell>
          <cell r="BF1751" t="str">
            <v>6600</v>
          </cell>
          <cell r="BG1751" t="str">
            <v>K002</v>
          </cell>
          <cell r="BH1751" t="str">
            <v>VSS</v>
          </cell>
        </row>
        <row r="1752">
          <cell r="K1752">
            <v>0</v>
          </cell>
          <cell r="L1752">
            <v>0</v>
          </cell>
          <cell r="N1752">
            <v>61477.459999999963</v>
          </cell>
          <cell r="O1752">
            <v>0</v>
          </cell>
          <cell r="Q1752">
            <v>0</v>
          </cell>
          <cell r="R1752">
            <v>0</v>
          </cell>
          <cell r="T1752">
            <v>0</v>
          </cell>
          <cell r="U1752">
            <v>0</v>
          </cell>
          <cell r="W1752">
            <v>0</v>
          </cell>
          <cell r="X1752">
            <v>0</v>
          </cell>
          <cell r="Z1752">
            <v>1785.640000000014</v>
          </cell>
          <cell r="AA1752">
            <v>0</v>
          </cell>
          <cell r="AC1752">
            <v>6011.4700000000885</v>
          </cell>
          <cell r="AD1752">
            <v>0</v>
          </cell>
          <cell r="AF1752">
            <v>36044.479999999981</v>
          </cell>
          <cell r="AG1752">
            <v>0</v>
          </cell>
          <cell r="AI1752">
            <v>-22448.099999999977</v>
          </cell>
          <cell r="AJ1752">
            <v>0</v>
          </cell>
          <cell r="AL1752">
            <v>3963.5400000000373</v>
          </cell>
          <cell r="AM1752">
            <v>0</v>
          </cell>
          <cell r="AO1752">
            <v>-17064.550000000163</v>
          </cell>
          <cell r="AP1752">
            <v>0</v>
          </cell>
          <cell r="AR1752">
            <v>-28947.010000000126</v>
          </cell>
          <cell r="AS1752">
            <v>0</v>
          </cell>
          <cell r="BF1752" t="str">
            <v>7000</v>
          </cell>
          <cell r="BG1752" t="str">
            <v>Z000</v>
          </cell>
          <cell r="BH1752" t="str">
            <v>VSS</v>
          </cell>
        </row>
        <row r="1753">
          <cell r="K1753">
            <v>0</v>
          </cell>
          <cell r="L1753">
            <v>0</v>
          </cell>
          <cell r="N1753">
            <v>0</v>
          </cell>
          <cell r="O1753">
            <v>0</v>
          </cell>
          <cell r="Q1753">
            <v>137790.74</v>
          </cell>
          <cell r="R1753">
            <v>0</v>
          </cell>
          <cell r="T1753">
            <v>38193.520000000019</v>
          </cell>
          <cell r="U1753">
            <v>0</v>
          </cell>
          <cell r="W1753">
            <v>-42479.510000000009</v>
          </cell>
          <cell r="X1753">
            <v>0</v>
          </cell>
          <cell r="Z1753">
            <v>38991.5</v>
          </cell>
          <cell r="AA1753">
            <v>0</v>
          </cell>
          <cell r="AC1753">
            <v>52155.679999999935</v>
          </cell>
          <cell r="AD1753">
            <v>0</v>
          </cell>
          <cell r="AF1753">
            <v>-185660.39999999991</v>
          </cell>
          <cell r="AG1753">
            <v>0</v>
          </cell>
          <cell r="AI1753">
            <v>-47025</v>
          </cell>
          <cell r="AJ1753">
            <v>0</v>
          </cell>
          <cell r="AL1753">
            <v>223189.59999999986</v>
          </cell>
          <cell r="AM1753">
            <v>0</v>
          </cell>
          <cell r="AO1753">
            <v>-23263.75</v>
          </cell>
          <cell r="AP1753">
            <v>0</v>
          </cell>
          <cell r="AR1753">
            <v>-84707.969999999972</v>
          </cell>
          <cell r="AS1753">
            <v>0</v>
          </cell>
          <cell r="BF1753" t="str">
            <v>7100</v>
          </cell>
          <cell r="BG1753" t="str">
            <v>Z000</v>
          </cell>
          <cell r="BH1753" t="str">
            <v>VSS</v>
          </cell>
        </row>
        <row r="1754">
          <cell r="K1754">
            <v>0</v>
          </cell>
          <cell r="L1754">
            <v>0</v>
          </cell>
          <cell r="N1754">
            <v>0</v>
          </cell>
          <cell r="O1754">
            <v>0</v>
          </cell>
          <cell r="Q1754">
            <v>0</v>
          </cell>
          <cell r="R1754">
            <v>0</v>
          </cell>
          <cell r="T1754">
            <v>0</v>
          </cell>
          <cell r="U1754">
            <v>0</v>
          </cell>
          <cell r="W1754">
            <v>0</v>
          </cell>
          <cell r="X1754">
            <v>0</v>
          </cell>
          <cell r="Z1754">
            <v>0</v>
          </cell>
          <cell r="AA1754">
            <v>0</v>
          </cell>
          <cell r="AC1754">
            <v>0</v>
          </cell>
          <cell r="AD1754">
            <v>0</v>
          </cell>
          <cell r="AF1754">
            <v>0</v>
          </cell>
          <cell r="AG1754">
            <v>0</v>
          </cell>
          <cell r="AI1754">
            <v>0</v>
          </cell>
          <cell r="AJ1754">
            <v>0</v>
          </cell>
          <cell r="AL1754">
            <v>0</v>
          </cell>
          <cell r="AM1754">
            <v>0</v>
          </cell>
          <cell r="AO1754">
            <v>0</v>
          </cell>
          <cell r="AP1754">
            <v>0</v>
          </cell>
          <cell r="AR1754">
            <v>0</v>
          </cell>
          <cell r="AS1754">
            <v>0</v>
          </cell>
          <cell r="BF1754" t="str">
            <v>7300</v>
          </cell>
          <cell r="BG1754" t="str">
            <v>Z000</v>
          </cell>
          <cell r="BH1754" t="str">
            <v>VSS</v>
          </cell>
        </row>
        <row r="1755">
          <cell r="K1755">
            <v>0</v>
          </cell>
          <cell r="L1755">
            <v>0</v>
          </cell>
          <cell r="N1755">
            <v>0</v>
          </cell>
          <cell r="O1755">
            <v>0</v>
          </cell>
          <cell r="Q1755">
            <v>0</v>
          </cell>
          <cell r="R1755">
            <v>0</v>
          </cell>
          <cell r="T1755">
            <v>0</v>
          </cell>
          <cell r="U1755">
            <v>0</v>
          </cell>
          <cell r="W1755">
            <v>0</v>
          </cell>
          <cell r="X1755">
            <v>0</v>
          </cell>
          <cell r="Z1755">
            <v>0</v>
          </cell>
          <cell r="AA1755">
            <v>0</v>
          </cell>
          <cell r="AC1755">
            <v>0</v>
          </cell>
          <cell r="AD1755">
            <v>0</v>
          </cell>
          <cell r="AF1755">
            <v>0</v>
          </cell>
          <cell r="AG1755">
            <v>0</v>
          </cell>
          <cell r="AI1755">
            <v>0</v>
          </cell>
          <cell r="AJ1755">
            <v>0</v>
          </cell>
          <cell r="AL1755">
            <v>0</v>
          </cell>
          <cell r="AM1755">
            <v>0</v>
          </cell>
          <cell r="AO1755">
            <v>0</v>
          </cell>
          <cell r="AP1755">
            <v>0</v>
          </cell>
          <cell r="AR1755">
            <v>0</v>
          </cell>
          <cell r="AS1755">
            <v>0</v>
          </cell>
          <cell r="BF1755" t="str">
            <v>7350</v>
          </cell>
          <cell r="BG1755" t="str">
            <v>Z000</v>
          </cell>
          <cell r="BH1755" t="str">
            <v>VSS</v>
          </cell>
        </row>
        <row r="1756">
          <cell r="K1756">
            <v>0</v>
          </cell>
          <cell r="L1756">
            <v>0</v>
          </cell>
          <cell r="N1756">
            <v>0</v>
          </cell>
          <cell r="O1756">
            <v>0</v>
          </cell>
          <cell r="Q1756">
            <v>0</v>
          </cell>
          <cell r="R1756">
            <v>0</v>
          </cell>
          <cell r="T1756">
            <v>0</v>
          </cell>
          <cell r="U1756">
            <v>0</v>
          </cell>
          <cell r="W1756">
            <v>0</v>
          </cell>
          <cell r="X1756">
            <v>0</v>
          </cell>
          <cell r="Z1756">
            <v>0</v>
          </cell>
          <cell r="AA1756">
            <v>0</v>
          </cell>
          <cell r="AC1756">
            <v>0</v>
          </cell>
          <cell r="AD1756">
            <v>0</v>
          </cell>
          <cell r="AF1756">
            <v>0</v>
          </cell>
          <cell r="AG1756">
            <v>0</v>
          </cell>
          <cell r="AI1756">
            <v>0</v>
          </cell>
          <cell r="AJ1756">
            <v>0</v>
          </cell>
          <cell r="AL1756">
            <v>0</v>
          </cell>
          <cell r="AM1756">
            <v>0</v>
          </cell>
          <cell r="AO1756">
            <v>0</v>
          </cell>
          <cell r="AP1756">
            <v>0</v>
          </cell>
          <cell r="AR1756">
            <v>0</v>
          </cell>
          <cell r="AS1756">
            <v>0</v>
          </cell>
          <cell r="BF1756" t="str">
            <v>7400</v>
          </cell>
          <cell r="BG1756" t="str">
            <v>Z000</v>
          </cell>
          <cell r="BH1756" t="str">
            <v>VSS</v>
          </cell>
        </row>
        <row r="1757">
          <cell r="K1757">
            <v>0</v>
          </cell>
          <cell r="L1757">
            <v>0</v>
          </cell>
          <cell r="N1757">
            <v>0</v>
          </cell>
          <cell r="O1757">
            <v>0</v>
          </cell>
          <cell r="Q1757">
            <v>0</v>
          </cell>
          <cell r="R1757">
            <v>0</v>
          </cell>
          <cell r="T1757">
            <v>0</v>
          </cell>
          <cell r="U1757">
            <v>0</v>
          </cell>
          <cell r="W1757">
            <v>0</v>
          </cell>
          <cell r="X1757">
            <v>0</v>
          </cell>
          <cell r="Z1757">
            <v>0</v>
          </cell>
          <cell r="AA1757">
            <v>0</v>
          </cell>
          <cell r="AC1757">
            <v>0</v>
          </cell>
          <cell r="AD1757">
            <v>0</v>
          </cell>
          <cell r="AF1757">
            <v>0</v>
          </cell>
          <cell r="AG1757">
            <v>0</v>
          </cell>
          <cell r="AI1757">
            <v>0</v>
          </cell>
          <cell r="AJ1757">
            <v>0</v>
          </cell>
          <cell r="AL1757">
            <v>0</v>
          </cell>
          <cell r="AM1757">
            <v>0</v>
          </cell>
          <cell r="AO1757">
            <v>47993.75</v>
          </cell>
          <cell r="AP1757">
            <v>0</v>
          </cell>
          <cell r="AR1757">
            <v>75226.5</v>
          </cell>
          <cell r="AS1757">
            <v>0</v>
          </cell>
          <cell r="BF1757" t="str">
            <v>7500</v>
          </cell>
          <cell r="BG1757" t="str">
            <v>Z000</v>
          </cell>
          <cell r="BH1757" t="str">
            <v>VSS</v>
          </cell>
        </row>
        <row r="1758">
          <cell r="K1758">
            <v>0</v>
          </cell>
          <cell r="L1758">
            <v>0</v>
          </cell>
          <cell r="N1758">
            <v>0</v>
          </cell>
          <cell r="O1758">
            <v>0</v>
          </cell>
          <cell r="Q1758">
            <v>0</v>
          </cell>
          <cell r="R1758">
            <v>0</v>
          </cell>
          <cell r="T1758">
            <v>0</v>
          </cell>
          <cell r="U1758">
            <v>0</v>
          </cell>
          <cell r="W1758">
            <v>0</v>
          </cell>
          <cell r="X1758">
            <v>0</v>
          </cell>
          <cell r="Z1758">
            <v>0</v>
          </cell>
          <cell r="AA1758">
            <v>0</v>
          </cell>
          <cell r="AC1758">
            <v>0</v>
          </cell>
          <cell r="AD1758">
            <v>0</v>
          </cell>
          <cell r="AF1758">
            <v>0</v>
          </cell>
          <cell r="AG1758">
            <v>0</v>
          </cell>
          <cell r="AI1758">
            <v>0</v>
          </cell>
          <cell r="AJ1758">
            <v>0</v>
          </cell>
          <cell r="AL1758">
            <v>0</v>
          </cell>
          <cell r="AM1758">
            <v>0</v>
          </cell>
          <cell r="AO1758">
            <v>0</v>
          </cell>
          <cell r="AP1758">
            <v>0</v>
          </cell>
          <cell r="AR1758">
            <v>0</v>
          </cell>
          <cell r="AS1758">
            <v>0</v>
          </cell>
          <cell r="BF1758" t="str">
            <v>7600</v>
          </cell>
          <cell r="BG1758" t="str">
            <v>Z000</v>
          </cell>
          <cell r="BH1758" t="str">
            <v>VSS</v>
          </cell>
        </row>
        <row r="1759">
          <cell r="K1759">
            <v>0</v>
          </cell>
          <cell r="L1759">
            <v>0</v>
          </cell>
          <cell r="N1759">
            <v>0</v>
          </cell>
          <cell r="O1759">
            <v>0</v>
          </cell>
          <cell r="Q1759">
            <v>0</v>
          </cell>
          <cell r="R1759">
            <v>0</v>
          </cell>
          <cell r="T1759">
            <v>0</v>
          </cell>
          <cell r="U1759">
            <v>0</v>
          </cell>
          <cell r="W1759">
            <v>0</v>
          </cell>
          <cell r="X1759">
            <v>0</v>
          </cell>
          <cell r="Z1759">
            <v>0</v>
          </cell>
          <cell r="AA1759">
            <v>0</v>
          </cell>
          <cell r="AC1759">
            <v>0</v>
          </cell>
          <cell r="AD1759">
            <v>0</v>
          </cell>
          <cell r="AF1759">
            <v>0</v>
          </cell>
          <cell r="AG1759">
            <v>0</v>
          </cell>
          <cell r="AI1759">
            <v>0</v>
          </cell>
          <cell r="AJ1759">
            <v>0</v>
          </cell>
          <cell r="AL1759">
            <v>0</v>
          </cell>
          <cell r="AM1759">
            <v>0</v>
          </cell>
          <cell r="AO1759">
            <v>0</v>
          </cell>
          <cell r="AP1759">
            <v>0</v>
          </cell>
          <cell r="AR1759">
            <v>0</v>
          </cell>
          <cell r="AS1759">
            <v>0</v>
          </cell>
          <cell r="BF1759" t="str">
            <v>7700</v>
          </cell>
          <cell r="BG1759" t="str">
            <v>Z000</v>
          </cell>
          <cell r="BH1759" t="str">
            <v>VSS</v>
          </cell>
        </row>
        <row r="1760">
          <cell r="K1760">
            <v>0</v>
          </cell>
          <cell r="L1760">
            <v>0</v>
          </cell>
          <cell r="N1760">
            <v>0</v>
          </cell>
          <cell r="O1760">
            <v>0</v>
          </cell>
          <cell r="Q1760">
            <v>0</v>
          </cell>
          <cell r="R1760">
            <v>0</v>
          </cell>
          <cell r="T1760">
            <v>0</v>
          </cell>
          <cell r="U1760">
            <v>0</v>
          </cell>
          <cell r="W1760">
            <v>0</v>
          </cell>
          <cell r="X1760">
            <v>0</v>
          </cell>
          <cell r="Z1760">
            <v>0</v>
          </cell>
          <cell r="AA1760">
            <v>0</v>
          </cell>
          <cell r="AC1760">
            <v>0</v>
          </cell>
          <cell r="AD1760">
            <v>0</v>
          </cell>
          <cell r="AF1760">
            <v>0</v>
          </cell>
          <cell r="AG1760">
            <v>0</v>
          </cell>
          <cell r="AI1760">
            <v>0</v>
          </cell>
          <cell r="AJ1760">
            <v>0</v>
          </cell>
          <cell r="AL1760">
            <v>0</v>
          </cell>
          <cell r="AM1760">
            <v>0</v>
          </cell>
          <cell r="AO1760">
            <v>0</v>
          </cell>
          <cell r="AP1760">
            <v>0</v>
          </cell>
          <cell r="AR1760">
            <v>0</v>
          </cell>
          <cell r="AS1760">
            <v>0</v>
          </cell>
          <cell r="BF1760" t="str">
            <v>8002</v>
          </cell>
          <cell r="BG1760" t="str">
            <v>Z000</v>
          </cell>
          <cell r="BH1760" t="str">
            <v>VSS</v>
          </cell>
        </row>
        <row r="1761">
          <cell r="K1761">
            <v>0</v>
          </cell>
          <cell r="L1761">
            <v>0</v>
          </cell>
          <cell r="N1761">
            <v>0</v>
          </cell>
          <cell r="O1761">
            <v>0</v>
          </cell>
          <cell r="Q1761">
            <v>0</v>
          </cell>
          <cell r="R1761">
            <v>0</v>
          </cell>
          <cell r="T1761">
            <v>0</v>
          </cell>
          <cell r="U1761">
            <v>0</v>
          </cell>
          <cell r="W1761">
            <v>0</v>
          </cell>
          <cell r="X1761">
            <v>0</v>
          </cell>
          <cell r="Z1761">
            <v>0</v>
          </cell>
          <cell r="AA1761">
            <v>0</v>
          </cell>
          <cell r="AC1761">
            <v>0</v>
          </cell>
          <cell r="AD1761">
            <v>0</v>
          </cell>
          <cell r="AF1761">
            <v>0</v>
          </cell>
          <cell r="AG1761">
            <v>0</v>
          </cell>
          <cell r="AI1761">
            <v>0</v>
          </cell>
          <cell r="AJ1761">
            <v>0</v>
          </cell>
          <cell r="AL1761">
            <v>0</v>
          </cell>
          <cell r="AM1761">
            <v>0</v>
          </cell>
          <cell r="AO1761">
            <v>0</v>
          </cell>
          <cell r="AP1761">
            <v>0</v>
          </cell>
          <cell r="AR1761">
            <v>0</v>
          </cell>
          <cell r="AS1761">
            <v>0</v>
          </cell>
          <cell r="BF1761" t="str">
            <v>8003</v>
          </cell>
          <cell r="BG1761" t="str">
            <v>Z000</v>
          </cell>
          <cell r="BH1761" t="str">
            <v>VSS</v>
          </cell>
        </row>
        <row r="1762">
          <cell r="K1762">
            <v>0</v>
          </cell>
          <cell r="L1762">
            <v>0</v>
          </cell>
          <cell r="N1762">
            <v>0</v>
          </cell>
          <cell r="O1762">
            <v>0</v>
          </cell>
          <cell r="Q1762">
            <v>0</v>
          </cell>
          <cell r="R1762">
            <v>0</v>
          </cell>
          <cell r="T1762">
            <v>0</v>
          </cell>
          <cell r="U1762">
            <v>0</v>
          </cell>
          <cell r="W1762">
            <v>0</v>
          </cell>
          <cell r="X1762">
            <v>0</v>
          </cell>
          <cell r="Z1762">
            <v>0</v>
          </cell>
          <cell r="AA1762">
            <v>0</v>
          </cell>
          <cell r="AC1762">
            <v>0</v>
          </cell>
          <cell r="AD1762">
            <v>0</v>
          </cell>
          <cell r="AF1762">
            <v>0</v>
          </cell>
          <cell r="AG1762">
            <v>0</v>
          </cell>
          <cell r="AI1762">
            <v>0</v>
          </cell>
          <cell r="AJ1762">
            <v>0</v>
          </cell>
          <cell r="AL1762">
            <v>0</v>
          </cell>
          <cell r="AM1762">
            <v>0</v>
          </cell>
          <cell r="AO1762">
            <v>0</v>
          </cell>
          <cell r="AP1762">
            <v>0</v>
          </cell>
          <cell r="AR1762">
            <v>0</v>
          </cell>
          <cell r="AS1762">
            <v>0</v>
          </cell>
          <cell r="BF1762" t="str">
            <v>8200</v>
          </cell>
          <cell r="BG1762" t="str">
            <v>Z000</v>
          </cell>
          <cell r="BH1762" t="str">
            <v>VSS</v>
          </cell>
        </row>
        <row r="1763">
          <cell r="K1763">
            <v>0</v>
          </cell>
          <cell r="L1763">
            <v>0</v>
          </cell>
          <cell r="N1763">
            <v>0</v>
          </cell>
          <cell r="O1763">
            <v>0</v>
          </cell>
          <cell r="Q1763">
            <v>0</v>
          </cell>
          <cell r="R1763">
            <v>0</v>
          </cell>
          <cell r="T1763">
            <v>0</v>
          </cell>
          <cell r="U1763">
            <v>0</v>
          </cell>
          <cell r="W1763">
            <v>0</v>
          </cell>
          <cell r="X1763">
            <v>0</v>
          </cell>
          <cell r="Z1763">
            <v>0</v>
          </cell>
          <cell r="AA1763">
            <v>0</v>
          </cell>
          <cell r="AC1763">
            <v>0</v>
          </cell>
          <cell r="AD1763">
            <v>0</v>
          </cell>
          <cell r="AF1763">
            <v>0</v>
          </cell>
          <cell r="AG1763">
            <v>0</v>
          </cell>
          <cell r="AI1763">
            <v>0</v>
          </cell>
          <cell r="AJ1763">
            <v>0</v>
          </cell>
          <cell r="AL1763">
            <v>0</v>
          </cell>
          <cell r="AM1763">
            <v>0</v>
          </cell>
          <cell r="AO1763">
            <v>0</v>
          </cell>
          <cell r="AP1763">
            <v>0</v>
          </cell>
          <cell r="AR1763">
            <v>0</v>
          </cell>
          <cell r="AS1763">
            <v>0</v>
          </cell>
          <cell r="BF1763" t="str">
            <v>8201</v>
          </cell>
          <cell r="BG1763" t="str">
            <v>Z000</v>
          </cell>
          <cell r="BH1763" t="str">
            <v>VSS</v>
          </cell>
        </row>
        <row r="1764">
          <cell r="K1764">
            <v>0</v>
          </cell>
          <cell r="L1764">
            <v>0</v>
          </cell>
          <cell r="N1764">
            <v>0</v>
          </cell>
          <cell r="O1764">
            <v>0</v>
          </cell>
          <cell r="Q1764">
            <v>0</v>
          </cell>
          <cell r="R1764">
            <v>0</v>
          </cell>
          <cell r="T1764">
            <v>0</v>
          </cell>
          <cell r="U1764">
            <v>0</v>
          </cell>
          <cell r="W1764">
            <v>0</v>
          </cell>
          <cell r="X1764">
            <v>0</v>
          </cell>
          <cell r="Z1764">
            <v>0</v>
          </cell>
          <cell r="AA1764">
            <v>0</v>
          </cell>
          <cell r="AC1764">
            <v>0</v>
          </cell>
          <cell r="AD1764">
            <v>0</v>
          </cell>
          <cell r="AF1764">
            <v>0</v>
          </cell>
          <cell r="AG1764">
            <v>0</v>
          </cell>
          <cell r="AI1764">
            <v>0</v>
          </cell>
          <cell r="AJ1764">
            <v>0</v>
          </cell>
          <cell r="AL1764">
            <v>0</v>
          </cell>
          <cell r="AM1764">
            <v>0</v>
          </cell>
          <cell r="AO1764">
            <v>0</v>
          </cell>
          <cell r="AP1764">
            <v>0</v>
          </cell>
          <cell r="AR1764">
            <v>0</v>
          </cell>
          <cell r="AS1764">
            <v>0</v>
          </cell>
          <cell r="BF1764" t="str">
            <v>8300</v>
          </cell>
          <cell r="BG1764" t="str">
            <v>Z000</v>
          </cell>
          <cell r="BH1764" t="str">
            <v>VSS</v>
          </cell>
        </row>
        <row r="1765">
          <cell r="K1765">
            <v>-55689.259999999776</v>
          </cell>
          <cell r="L1765">
            <v>0</v>
          </cell>
          <cell r="N1765">
            <v>-131380.25999999978</v>
          </cell>
          <cell r="O1765">
            <v>0</v>
          </cell>
          <cell r="Q1765">
            <v>140141.62000000104</v>
          </cell>
          <cell r="R1765">
            <v>0</v>
          </cell>
          <cell r="T1765">
            <v>-246533.42000000179</v>
          </cell>
          <cell r="U1765">
            <v>0</v>
          </cell>
          <cell r="W1765">
            <v>13664.5</v>
          </cell>
          <cell r="X1765">
            <v>0</v>
          </cell>
          <cell r="Z1765">
            <v>644674.08999999985</v>
          </cell>
          <cell r="AA1765">
            <v>0</v>
          </cell>
          <cell r="AC1765">
            <v>-599391.76999999955</v>
          </cell>
          <cell r="AD1765">
            <v>0</v>
          </cell>
          <cell r="AF1765">
            <v>-60120.860000006855</v>
          </cell>
          <cell r="AG1765">
            <v>0</v>
          </cell>
          <cell r="AI1765">
            <v>25368.170000001788</v>
          </cell>
          <cell r="AJ1765">
            <v>0</v>
          </cell>
          <cell r="AL1765">
            <v>-8087.6700000055134</v>
          </cell>
          <cell r="AM1765">
            <v>0</v>
          </cell>
          <cell r="AO1765">
            <v>1046.5900000035763</v>
          </cell>
          <cell r="AP1765">
            <v>0</v>
          </cell>
          <cell r="AR1765">
            <v>460495.09000001848</v>
          </cell>
          <cell r="AS1765">
            <v>0</v>
          </cell>
          <cell r="BF1765" t="str">
            <v>8400</v>
          </cell>
          <cell r="BG1765" t="str">
            <v>N001</v>
          </cell>
          <cell r="BH1765" t="str">
            <v>VSS</v>
          </cell>
        </row>
        <row r="1766">
          <cell r="K1766">
            <v>0</v>
          </cell>
          <cell r="L1766">
            <v>0</v>
          </cell>
          <cell r="N1766">
            <v>0</v>
          </cell>
          <cell r="O1766">
            <v>0</v>
          </cell>
          <cell r="Q1766">
            <v>0</v>
          </cell>
          <cell r="R1766">
            <v>0</v>
          </cell>
          <cell r="T1766">
            <v>0</v>
          </cell>
          <cell r="U1766">
            <v>0</v>
          </cell>
          <cell r="W1766">
            <v>0</v>
          </cell>
          <cell r="X1766">
            <v>0</v>
          </cell>
          <cell r="Z1766">
            <v>0</v>
          </cell>
          <cell r="AA1766">
            <v>0</v>
          </cell>
          <cell r="AC1766">
            <v>0</v>
          </cell>
          <cell r="AD1766">
            <v>0</v>
          </cell>
          <cell r="AF1766">
            <v>0</v>
          </cell>
          <cell r="AG1766">
            <v>0</v>
          </cell>
          <cell r="AI1766">
            <v>-14183.970000000001</v>
          </cell>
          <cell r="AJ1766">
            <v>0</v>
          </cell>
          <cell r="AL1766">
            <v>0</v>
          </cell>
          <cell r="AM1766">
            <v>0</v>
          </cell>
          <cell r="AO1766">
            <v>0</v>
          </cell>
          <cell r="AP1766">
            <v>0</v>
          </cell>
          <cell r="AR1766">
            <v>0</v>
          </cell>
          <cell r="AS1766">
            <v>0</v>
          </cell>
          <cell r="BF1766" t="str">
            <v>8400</v>
          </cell>
          <cell r="BG1766" t="str">
            <v>N002</v>
          </cell>
          <cell r="BH1766" t="str">
            <v>VSS</v>
          </cell>
        </row>
        <row r="1767">
          <cell r="K1767">
            <v>-28844.790000000008</v>
          </cell>
          <cell r="L1767">
            <v>0</v>
          </cell>
          <cell r="N1767">
            <v>23216.719999999987</v>
          </cell>
          <cell r="O1767">
            <v>0</v>
          </cell>
          <cell r="Q1767">
            <v>2259.5499999999884</v>
          </cell>
          <cell r="R1767">
            <v>0</v>
          </cell>
          <cell r="T1767">
            <v>-24570.539999999979</v>
          </cell>
          <cell r="U1767">
            <v>0</v>
          </cell>
          <cell r="W1767">
            <v>46341.549999999988</v>
          </cell>
          <cell r="X1767">
            <v>0</v>
          </cell>
          <cell r="Z1767">
            <v>-13711.860000000015</v>
          </cell>
          <cell r="AA1767">
            <v>0</v>
          </cell>
          <cell r="AC1767">
            <v>-26340.829999999987</v>
          </cell>
          <cell r="AD1767">
            <v>0</v>
          </cell>
          <cell r="AF1767">
            <v>40302.530000000028</v>
          </cell>
          <cell r="AG1767">
            <v>0</v>
          </cell>
          <cell r="AI1767">
            <v>11.210000000020955</v>
          </cell>
          <cell r="AJ1767">
            <v>0</v>
          </cell>
          <cell r="AL1767">
            <v>-5346.8500000000349</v>
          </cell>
          <cell r="AM1767">
            <v>0</v>
          </cell>
          <cell r="AO1767">
            <v>-31169.190000000061</v>
          </cell>
          <cell r="AP1767">
            <v>0</v>
          </cell>
          <cell r="AR1767">
            <v>-4000.7600000000093</v>
          </cell>
          <cell r="AS1767">
            <v>0</v>
          </cell>
          <cell r="BF1767" t="str">
            <v>8400</v>
          </cell>
          <cell r="BG1767" t="str">
            <v>N003</v>
          </cell>
          <cell r="BH1767" t="str">
            <v>VSS</v>
          </cell>
        </row>
        <row r="1768">
          <cell r="K1768">
            <v>-18224.089999999997</v>
          </cell>
          <cell r="L1768">
            <v>0</v>
          </cell>
          <cell r="N1768">
            <v>20550.659999999996</v>
          </cell>
          <cell r="O1768">
            <v>0</v>
          </cell>
          <cell r="Q1768">
            <v>921.75</v>
          </cell>
          <cell r="R1768">
            <v>0</v>
          </cell>
          <cell r="T1768">
            <v>44.189999999995052</v>
          </cell>
          <cell r="U1768">
            <v>0</v>
          </cell>
          <cell r="W1768">
            <v>8376.6699999999837</v>
          </cell>
          <cell r="X1768">
            <v>0</v>
          </cell>
          <cell r="Z1768">
            <v>-8511.3999999999942</v>
          </cell>
          <cell r="AA1768">
            <v>0</v>
          </cell>
          <cell r="AC1768">
            <v>-40810.999999999985</v>
          </cell>
          <cell r="AD1768">
            <v>0</v>
          </cell>
          <cell r="AF1768">
            <v>49904.760000000009</v>
          </cell>
          <cell r="AG1768">
            <v>0</v>
          </cell>
          <cell r="AI1768">
            <v>-1685.5699999999488</v>
          </cell>
          <cell r="AJ1768">
            <v>0</v>
          </cell>
          <cell r="AL1768">
            <v>-44253.459999999963</v>
          </cell>
          <cell r="AM1768">
            <v>0</v>
          </cell>
          <cell r="AO1768">
            <v>38200.949999999983</v>
          </cell>
          <cell r="AP1768">
            <v>0</v>
          </cell>
          <cell r="AR1768">
            <v>-30384.510000000068</v>
          </cell>
          <cell r="AS1768">
            <v>0</v>
          </cell>
          <cell r="BF1768" t="str">
            <v>8400</v>
          </cell>
          <cell r="BG1768" t="str">
            <v>N004</v>
          </cell>
          <cell r="BH1768" t="str">
            <v>VSS</v>
          </cell>
        </row>
        <row r="1769">
          <cell r="K1769">
            <v>0</v>
          </cell>
          <cell r="L1769">
            <v>0</v>
          </cell>
          <cell r="N1769">
            <v>0</v>
          </cell>
          <cell r="O1769">
            <v>0</v>
          </cell>
          <cell r="Q1769">
            <v>0</v>
          </cell>
          <cell r="R1769">
            <v>0</v>
          </cell>
          <cell r="T1769">
            <v>0</v>
          </cell>
          <cell r="U1769">
            <v>0</v>
          </cell>
          <cell r="W1769">
            <v>0</v>
          </cell>
          <cell r="X1769">
            <v>0</v>
          </cell>
          <cell r="Z1769">
            <v>0</v>
          </cell>
          <cell r="AA1769">
            <v>0</v>
          </cell>
          <cell r="AC1769">
            <v>0</v>
          </cell>
          <cell r="AD1769">
            <v>0</v>
          </cell>
          <cell r="AF1769">
            <v>0</v>
          </cell>
          <cell r="AG1769">
            <v>0</v>
          </cell>
          <cell r="AI1769">
            <v>0</v>
          </cell>
          <cell r="AJ1769">
            <v>0</v>
          </cell>
          <cell r="AL1769">
            <v>0</v>
          </cell>
          <cell r="AM1769">
            <v>0</v>
          </cell>
          <cell r="AO1769">
            <v>0</v>
          </cell>
          <cell r="AP1769">
            <v>0</v>
          </cell>
          <cell r="AR1769">
            <v>0</v>
          </cell>
          <cell r="AS1769">
            <v>0</v>
          </cell>
          <cell r="BF1769" t="str">
            <v>8400</v>
          </cell>
          <cell r="BG1769" t="str">
            <v>N999</v>
          </cell>
          <cell r="BH1769" t="str">
            <v>VSS</v>
          </cell>
        </row>
        <row r="1770">
          <cell r="K1770">
            <v>0</v>
          </cell>
          <cell r="L1770">
            <v>0</v>
          </cell>
          <cell r="N1770">
            <v>0</v>
          </cell>
          <cell r="O1770">
            <v>0</v>
          </cell>
          <cell r="Q1770">
            <v>0</v>
          </cell>
          <cell r="R1770">
            <v>0</v>
          </cell>
          <cell r="T1770">
            <v>0</v>
          </cell>
          <cell r="U1770">
            <v>0</v>
          </cell>
          <cell r="W1770">
            <v>0</v>
          </cell>
          <cell r="X1770">
            <v>0</v>
          </cell>
          <cell r="Z1770">
            <v>0</v>
          </cell>
          <cell r="AA1770">
            <v>0</v>
          </cell>
          <cell r="AC1770">
            <v>0</v>
          </cell>
          <cell r="AD1770">
            <v>0</v>
          </cell>
          <cell r="AF1770">
            <v>0</v>
          </cell>
          <cell r="AG1770">
            <v>0</v>
          </cell>
          <cell r="AI1770">
            <v>0</v>
          </cell>
          <cell r="AJ1770">
            <v>0</v>
          </cell>
          <cell r="AL1770">
            <v>0</v>
          </cell>
          <cell r="AM1770">
            <v>0</v>
          </cell>
          <cell r="AO1770">
            <v>0</v>
          </cell>
          <cell r="AP1770">
            <v>0</v>
          </cell>
          <cell r="AR1770">
            <v>0</v>
          </cell>
          <cell r="AS1770">
            <v>0</v>
          </cell>
          <cell r="BF1770" t="str">
            <v>8420</v>
          </cell>
          <cell r="BG1770" t="str">
            <v>Z000</v>
          </cell>
          <cell r="BH1770" t="str">
            <v>VSS</v>
          </cell>
        </row>
        <row r="1771">
          <cell r="K1771">
            <v>0</v>
          </cell>
          <cell r="L1771">
            <v>0</v>
          </cell>
          <cell r="N1771">
            <v>0</v>
          </cell>
          <cell r="O1771">
            <v>0</v>
          </cell>
          <cell r="Q1771">
            <v>0</v>
          </cell>
          <cell r="R1771">
            <v>0</v>
          </cell>
          <cell r="T1771">
            <v>0</v>
          </cell>
          <cell r="U1771">
            <v>0</v>
          </cell>
          <cell r="W1771">
            <v>0</v>
          </cell>
          <cell r="X1771">
            <v>0</v>
          </cell>
          <cell r="Z1771">
            <v>0</v>
          </cell>
          <cell r="AA1771">
            <v>0</v>
          </cell>
          <cell r="AC1771">
            <v>0</v>
          </cell>
          <cell r="AD1771">
            <v>0</v>
          </cell>
          <cell r="AF1771">
            <v>0</v>
          </cell>
          <cell r="AG1771">
            <v>0</v>
          </cell>
          <cell r="AI1771">
            <v>0</v>
          </cell>
          <cell r="AJ1771">
            <v>0</v>
          </cell>
          <cell r="AL1771">
            <v>0</v>
          </cell>
          <cell r="AM1771">
            <v>0</v>
          </cell>
          <cell r="AO1771">
            <v>0</v>
          </cell>
          <cell r="AP1771">
            <v>0</v>
          </cell>
          <cell r="AR1771">
            <v>0</v>
          </cell>
          <cell r="AS1771">
            <v>0</v>
          </cell>
          <cell r="BF1771" t="str">
            <v>8500</v>
          </cell>
          <cell r="BG1771" t="str">
            <v>O101</v>
          </cell>
          <cell r="BH1771" t="str">
            <v>VSS</v>
          </cell>
        </row>
        <row r="1772">
          <cell r="K1772">
            <v>0</v>
          </cell>
          <cell r="L1772">
            <v>0</v>
          </cell>
          <cell r="N1772">
            <v>0</v>
          </cell>
          <cell r="O1772">
            <v>0</v>
          </cell>
          <cell r="Q1772">
            <v>0</v>
          </cell>
          <cell r="R1772">
            <v>0</v>
          </cell>
          <cell r="T1772">
            <v>0</v>
          </cell>
          <cell r="U1772">
            <v>0</v>
          </cell>
          <cell r="W1772">
            <v>0</v>
          </cell>
          <cell r="X1772">
            <v>0</v>
          </cell>
          <cell r="Z1772">
            <v>0</v>
          </cell>
          <cell r="AA1772">
            <v>0</v>
          </cell>
          <cell r="AC1772">
            <v>0</v>
          </cell>
          <cell r="AD1772">
            <v>0</v>
          </cell>
          <cell r="AF1772">
            <v>0</v>
          </cell>
          <cell r="AG1772">
            <v>0</v>
          </cell>
          <cell r="AI1772">
            <v>0</v>
          </cell>
          <cell r="AJ1772">
            <v>0</v>
          </cell>
          <cell r="AL1772">
            <v>0</v>
          </cell>
          <cell r="AM1772">
            <v>0</v>
          </cell>
          <cell r="AO1772">
            <v>0</v>
          </cell>
          <cell r="AP1772">
            <v>0</v>
          </cell>
          <cell r="AR1772">
            <v>0</v>
          </cell>
          <cell r="AS1772">
            <v>0</v>
          </cell>
          <cell r="BF1772" t="str">
            <v>8500</v>
          </cell>
          <cell r="BG1772" t="str">
            <v>O102</v>
          </cell>
          <cell r="BH1772" t="str">
            <v>VSS</v>
          </cell>
        </row>
        <row r="1773">
          <cell r="K1773">
            <v>0</v>
          </cell>
          <cell r="L1773">
            <v>0</v>
          </cell>
          <cell r="N1773">
            <v>0</v>
          </cell>
          <cell r="O1773">
            <v>0</v>
          </cell>
          <cell r="Q1773">
            <v>0</v>
          </cell>
          <cell r="R1773">
            <v>0</v>
          </cell>
          <cell r="T1773">
            <v>0</v>
          </cell>
          <cell r="U1773">
            <v>0</v>
          </cell>
          <cell r="W1773">
            <v>0</v>
          </cell>
          <cell r="X1773">
            <v>0</v>
          </cell>
          <cell r="Z1773">
            <v>0</v>
          </cell>
          <cell r="AA1773">
            <v>0</v>
          </cell>
          <cell r="AC1773">
            <v>0</v>
          </cell>
          <cell r="AD1773">
            <v>0</v>
          </cell>
          <cell r="AF1773">
            <v>0</v>
          </cell>
          <cell r="AG1773">
            <v>0</v>
          </cell>
          <cell r="AI1773">
            <v>0</v>
          </cell>
          <cell r="AJ1773">
            <v>0</v>
          </cell>
          <cell r="AL1773">
            <v>0</v>
          </cell>
          <cell r="AM1773">
            <v>0</v>
          </cell>
          <cell r="AO1773">
            <v>0</v>
          </cell>
          <cell r="AP1773">
            <v>0</v>
          </cell>
          <cell r="AR1773">
            <v>0</v>
          </cell>
          <cell r="AS1773">
            <v>0</v>
          </cell>
          <cell r="BF1773" t="str">
            <v>8500</v>
          </cell>
          <cell r="BG1773" t="str">
            <v>O103</v>
          </cell>
          <cell r="BH1773" t="str">
            <v>VSS</v>
          </cell>
        </row>
        <row r="1774">
          <cell r="K1774">
            <v>0</v>
          </cell>
          <cell r="L1774">
            <v>0</v>
          </cell>
          <cell r="N1774">
            <v>0</v>
          </cell>
          <cell r="O1774">
            <v>0</v>
          </cell>
          <cell r="Q1774">
            <v>0</v>
          </cell>
          <cell r="R1774">
            <v>0</v>
          </cell>
          <cell r="T1774">
            <v>0</v>
          </cell>
          <cell r="U1774">
            <v>0</v>
          </cell>
          <cell r="W1774">
            <v>0</v>
          </cell>
          <cell r="X1774">
            <v>0</v>
          </cell>
          <cell r="Z1774">
            <v>0</v>
          </cell>
          <cell r="AA1774">
            <v>0</v>
          </cell>
          <cell r="AC1774">
            <v>0</v>
          </cell>
          <cell r="AD1774">
            <v>0</v>
          </cell>
          <cell r="AF1774">
            <v>0</v>
          </cell>
          <cell r="AG1774">
            <v>0</v>
          </cell>
          <cell r="AI1774">
            <v>0</v>
          </cell>
          <cell r="AJ1774">
            <v>0</v>
          </cell>
          <cell r="AL1774">
            <v>0</v>
          </cell>
          <cell r="AM1774">
            <v>0</v>
          </cell>
          <cell r="AO1774">
            <v>0</v>
          </cell>
          <cell r="AP1774">
            <v>0</v>
          </cell>
          <cell r="AR1774">
            <v>0</v>
          </cell>
          <cell r="AS1774">
            <v>0</v>
          </cell>
          <cell r="BF1774" t="str">
            <v>8500</v>
          </cell>
          <cell r="BG1774" t="str">
            <v>O104</v>
          </cell>
          <cell r="BH1774" t="str">
            <v>VSS</v>
          </cell>
        </row>
        <row r="1775">
          <cell r="K1775">
            <v>0</v>
          </cell>
          <cell r="L1775">
            <v>0</v>
          </cell>
          <cell r="N1775">
            <v>0</v>
          </cell>
          <cell r="O1775">
            <v>0</v>
          </cell>
          <cell r="Q1775">
            <v>0</v>
          </cell>
          <cell r="R1775">
            <v>0</v>
          </cell>
          <cell r="T1775">
            <v>0</v>
          </cell>
          <cell r="U1775">
            <v>0</v>
          </cell>
          <cell r="W1775">
            <v>0</v>
          </cell>
          <cell r="X1775">
            <v>0</v>
          </cell>
          <cell r="Z1775">
            <v>0</v>
          </cell>
          <cell r="AA1775">
            <v>0</v>
          </cell>
          <cell r="AC1775">
            <v>0</v>
          </cell>
          <cell r="AD1775">
            <v>0</v>
          </cell>
          <cell r="AF1775">
            <v>0</v>
          </cell>
          <cell r="AG1775">
            <v>0</v>
          </cell>
          <cell r="AI1775">
            <v>0</v>
          </cell>
          <cell r="AJ1775">
            <v>0</v>
          </cell>
          <cell r="AL1775">
            <v>0</v>
          </cell>
          <cell r="AM1775">
            <v>0</v>
          </cell>
          <cell r="AO1775">
            <v>0</v>
          </cell>
          <cell r="AP1775">
            <v>0</v>
          </cell>
          <cell r="AR1775">
            <v>0</v>
          </cell>
          <cell r="AS1775">
            <v>0</v>
          </cell>
          <cell r="BF1775" t="str">
            <v>8600</v>
          </cell>
          <cell r="BG1775" t="str">
            <v>P201</v>
          </cell>
          <cell r="BH1775" t="str">
            <v>VSS</v>
          </cell>
        </row>
        <row r="1776">
          <cell r="K1776">
            <v>0</v>
          </cell>
          <cell r="L1776">
            <v>0</v>
          </cell>
          <cell r="N1776">
            <v>0</v>
          </cell>
          <cell r="O1776">
            <v>0</v>
          </cell>
          <cell r="Q1776">
            <v>0</v>
          </cell>
          <cell r="R1776">
            <v>0</v>
          </cell>
          <cell r="T1776">
            <v>0</v>
          </cell>
          <cell r="U1776">
            <v>0</v>
          </cell>
          <cell r="W1776">
            <v>0</v>
          </cell>
          <cell r="X1776">
            <v>0</v>
          </cell>
          <cell r="Z1776">
            <v>0</v>
          </cell>
          <cell r="AA1776">
            <v>0</v>
          </cell>
          <cell r="AC1776">
            <v>0</v>
          </cell>
          <cell r="AD1776">
            <v>0</v>
          </cell>
          <cell r="AF1776">
            <v>0</v>
          </cell>
          <cell r="AG1776">
            <v>0</v>
          </cell>
          <cell r="AI1776">
            <v>0</v>
          </cell>
          <cell r="AJ1776">
            <v>0</v>
          </cell>
          <cell r="AL1776">
            <v>0</v>
          </cell>
          <cell r="AM1776">
            <v>0</v>
          </cell>
          <cell r="AO1776">
            <v>0</v>
          </cell>
          <cell r="AP1776">
            <v>0</v>
          </cell>
          <cell r="AR1776">
            <v>0</v>
          </cell>
          <cell r="AS1776">
            <v>0</v>
          </cell>
          <cell r="BF1776" t="str">
            <v>8600</v>
          </cell>
          <cell r="BG1776" t="str">
            <v>P202</v>
          </cell>
          <cell r="BH1776" t="str">
            <v>VSS</v>
          </cell>
        </row>
        <row r="1777">
          <cell r="K1777">
            <v>0</v>
          </cell>
          <cell r="L1777">
            <v>0</v>
          </cell>
          <cell r="N1777">
            <v>0</v>
          </cell>
          <cell r="O1777">
            <v>0</v>
          </cell>
          <cell r="Q1777">
            <v>0</v>
          </cell>
          <cell r="R1777">
            <v>0</v>
          </cell>
          <cell r="T1777">
            <v>0</v>
          </cell>
          <cell r="U1777">
            <v>0</v>
          </cell>
          <cell r="W1777">
            <v>0</v>
          </cell>
          <cell r="X1777">
            <v>0</v>
          </cell>
          <cell r="Z1777">
            <v>0</v>
          </cell>
          <cell r="AA1777">
            <v>0</v>
          </cell>
          <cell r="AC1777">
            <v>0</v>
          </cell>
          <cell r="AD1777">
            <v>0</v>
          </cell>
          <cell r="AF1777">
            <v>0</v>
          </cell>
          <cell r="AG1777">
            <v>0</v>
          </cell>
          <cell r="AI1777">
            <v>0</v>
          </cell>
          <cell r="AJ1777">
            <v>0</v>
          </cell>
          <cell r="AL1777">
            <v>0</v>
          </cell>
          <cell r="AM1777">
            <v>0</v>
          </cell>
          <cell r="AO1777">
            <v>0</v>
          </cell>
          <cell r="AP1777">
            <v>0</v>
          </cell>
          <cell r="AR1777">
            <v>0</v>
          </cell>
          <cell r="AS1777">
            <v>0</v>
          </cell>
          <cell r="BF1777" t="str">
            <v>8600</v>
          </cell>
          <cell r="BG1777" t="str">
            <v>P203</v>
          </cell>
          <cell r="BH1777" t="str">
            <v>VSS</v>
          </cell>
        </row>
        <row r="1778">
          <cell r="K1778">
            <v>0</v>
          </cell>
          <cell r="L1778">
            <v>0</v>
          </cell>
          <cell r="N1778">
            <v>0</v>
          </cell>
          <cell r="O1778">
            <v>0</v>
          </cell>
          <cell r="Q1778">
            <v>0</v>
          </cell>
          <cell r="R1778">
            <v>0</v>
          </cell>
          <cell r="T1778">
            <v>0</v>
          </cell>
          <cell r="U1778">
            <v>0</v>
          </cell>
          <cell r="W1778">
            <v>0</v>
          </cell>
          <cell r="X1778">
            <v>0</v>
          </cell>
          <cell r="Z1778">
            <v>0</v>
          </cell>
          <cell r="AA1778">
            <v>0</v>
          </cell>
          <cell r="AC1778">
            <v>0</v>
          </cell>
          <cell r="AD1778">
            <v>0</v>
          </cell>
          <cell r="AF1778">
            <v>0</v>
          </cell>
          <cell r="AG1778">
            <v>0</v>
          </cell>
          <cell r="AI1778">
            <v>0</v>
          </cell>
          <cell r="AJ1778">
            <v>0</v>
          </cell>
          <cell r="AL1778">
            <v>0</v>
          </cell>
          <cell r="AM1778">
            <v>0</v>
          </cell>
          <cell r="AO1778">
            <v>0</v>
          </cell>
          <cell r="AP1778">
            <v>0</v>
          </cell>
          <cell r="AR1778">
            <v>0</v>
          </cell>
          <cell r="AS1778">
            <v>0</v>
          </cell>
          <cell r="BF1778" t="str">
            <v>8600</v>
          </cell>
          <cell r="BG1778" t="str">
            <v>P204</v>
          </cell>
          <cell r="BH1778" t="str">
            <v>VSS</v>
          </cell>
        </row>
        <row r="1779">
          <cell r="K1779">
            <v>0</v>
          </cell>
          <cell r="L1779">
            <v>0</v>
          </cell>
          <cell r="N1779">
            <v>0</v>
          </cell>
          <cell r="O1779">
            <v>0</v>
          </cell>
          <cell r="Q1779">
            <v>0</v>
          </cell>
          <cell r="R1779">
            <v>0</v>
          </cell>
          <cell r="T1779">
            <v>0</v>
          </cell>
          <cell r="U1779">
            <v>0</v>
          </cell>
          <cell r="W1779">
            <v>0</v>
          </cell>
          <cell r="X1779">
            <v>0</v>
          </cell>
          <cell r="Z1779">
            <v>0</v>
          </cell>
          <cell r="AA1779">
            <v>0</v>
          </cell>
          <cell r="AC1779">
            <v>0</v>
          </cell>
          <cell r="AD1779">
            <v>0</v>
          </cell>
          <cell r="AF1779">
            <v>0</v>
          </cell>
          <cell r="AG1779">
            <v>0</v>
          </cell>
          <cell r="AI1779">
            <v>0</v>
          </cell>
          <cell r="AJ1779">
            <v>0</v>
          </cell>
          <cell r="AL1779">
            <v>0</v>
          </cell>
          <cell r="AM1779">
            <v>0</v>
          </cell>
          <cell r="AO1779">
            <v>0</v>
          </cell>
          <cell r="AP1779">
            <v>0</v>
          </cell>
          <cell r="AR1779">
            <v>0</v>
          </cell>
          <cell r="AS1779">
            <v>0</v>
          </cell>
          <cell r="BF1779" t="str">
            <v>8600</v>
          </cell>
          <cell r="BG1779" t="str">
            <v>P205</v>
          </cell>
          <cell r="BH1779" t="str">
            <v>VSS</v>
          </cell>
        </row>
        <row r="1780">
          <cell r="K1780">
            <v>0</v>
          </cell>
          <cell r="L1780">
            <v>0</v>
          </cell>
          <cell r="N1780">
            <v>0</v>
          </cell>
          <cell r="O1780">
            <v>0</v>
          </cell>
          <cell r="Q1780">
            <v>0</v>
          </cell>
          <cell r="R1780">
            <v>0</v>
          </cell>
          <cell r="T1780">
            <v>0</v>
          </cell>
          <cell r="U1780">
            <v>0</v>
          </cell>
          <cell r="W1780">
            <v>0</v>
          </cell>
          <cell r="X1780">
            <v>0</v>
          </cell>
          <cell r="Z1780">
            <v>0</v>
          </cell>
          <cell r="AA1780">
            <v>0</v>
          </cell>
          <cell r="AC1780">
            <v>0</v>
          </cell>
          <cell r="AD1780">
            <v>0</v>
          </cell>
          <cell r="AF1780">
            <v>0</v>
          </cell>
          <cell r="AG1780">
            <v>0</v>
          </cell>
          <cell r="AI1780">
            <v>0</v>
          </cell>
          <cell r="AJ1780">
            <v>0</v>
          </cell>
          <cell r="AL1780">
            <v>0</v>
          </cell>
          <cell r="AM1780">
            <v>0</v>
          </cell>
          <cell r="AO1780">
            <v>0</v>
          </cell>
          <cell r="AP1780">
            <v>0</v>
          </cell>
          <cell r="AR1780">
            <v>0</v>
          </cell>
          <cell r="AS1780">
            <v>0</v>
          </cell>
          <cell r="BF1780" t="str">
            <v>8600</v>
          </cell>
          <cell r="BG1780" t="str">
            <v>P206</v>
          </cell>
          <cell r="BH1780" t="str">
            <v>VSS</v>
          </cell>
        </row>
        <row r="1781">
          <cell r="K1781">
            <v>0</v>
          </cell>
          <cell r="L1781">
            <v>0</v>
          </cell>
          <cell r="N1781">
            <v>0</v>
          </cell>
          <cell r="O1781">
            <v>0</v>
          </cell>
          <cell r="Q1781">
            <v>0</v>
          </cell>
          <cell r="R1781">
            <v>0</v>
          </cell>
          <cell r="T1781">
            <v>0</v>
          </cell>
          <cell r="U1781">
            <v>0</v>
          </cell>
          <cell r="W1781">
            <v>0</v>
          </cell>
          <cell r="X1781">
            <v>0</v>
          </cell>
          <cell r="Z1781">
            <v>0</v>
          </cell>
          <cell r="AA1781">
            <v>0</v>
          </cell>
          <cell r="AC1781">
            <v>0</v>
          </cell>
          <cell r="AD1781">
            <v>0</v>
          </cell>
          <cell r="AF1781">
            <v>0</v>
          </cell>
          <cell r="AG1781">
            <v>0</v>
          </cell>
          <cell r="AI1781">
            <v>0</v>
          </cell>
          <cell r="AJ1781">
            <v>0</v>
          </cell>
          <cell r="AL1781">
            <v>0</v>
          </cell>
          <cell r="AM1781">
            <v>0</v>
          </cell>
          <cell r="AO1781">
            <v>0</v>
          </cell>
          <cell r="AP1781">
            <v>0</v>
          </cell>
          <cell r="AR1781">
            <v>0</v>
          </cell>
          <cell r="AS1781">
            <v>0</v>
          </cell>
          <cell r="BF1781" t="str">
            <v>8600</v>
          </cell>
          <cell r="BG1781" t="str">
            <v>P207</v>
          </cell>
          <cell r="BH1781" t="str">
            <v>VSS</v>
          </cell>
        </row>
        <row r="1782">
          <cell r="K1782">
            <v>0</v>
          </cell>
          <cell r="L1782">
            <v>0</v>
          </cell>
          <cell r="N1782">
            <v>0</v>
          </cell>
          <cell r="O1782">
            <v>0</v>
          </cell>
          <cell r="Q1782">
            <v>0</v>
          </cell>
          <cell r="R1782">
            <v>0</v>
          </cell>
          <cell r="T1782">
            <v>0</v>
          </cell>
          <cell r="U1782">
            <v>0</v>
          </cell>
          <cell r="W1782">
            <v>0</v>
          </cell>
          <cell r="X1782">
            <v>0</v>
          </cell>
          <cell r="Z1782">
            <v>0</v>
          </cell>
          <cell r="AA1782">
            <v>0</v>
          </cell>
          <cell r="AC1782">
            <v>0</v>
          </cell>
          <cell r="AD1782">
            <v>0</v>
          </cell>
          <cell r="AF1782">
            <v>0</v>
          </cell>
          <cell r="AG1782">
            <v>0</v>
          </cell>
          <cell r="AI1782">
            <v>0</v>
          </cell>
          <cell r="AJ1782">
            <v>0</v>
          </cell>
          <cell r="AL1782">
            <v>0</v>
          </cell>
          <cell r="AM1782">
            <v>0</v>
          </cell>
          <cell r="AO1782">
            <v>0</v>
          </cell>
          <cell r="AP1782">
            <v>0</v>
          </cell>
          <cell r="AR1782">
            <v>0</v>
          </cell>
          <cell r="AS1782">
            <v>0</v>
          </cell>
          <cell r="BF1782" t="str">
            <v>8600</v>
          </cell>
          <cell r="BG1782" t="str">
            <v>P208</v>
          </cell>
          <cell r="BH1782" t="str">
            <v>VSS</v>
          </cell>
        </row>
        <row r="1783">
          <cell r="K1783">
            <v>0</v>
          </cell>
          <cell r="L1783">
            <v>0</v>
          </cell>
          <cell r="N1783">
            <v>0</v>
          </cell>
          <cell r="O1783">
            <v>0</v>
          </cell>
          <cell r="Q1783">
            <v>0</v>
          </cell>
          <cell r="R1783">
            <v>0</v>
          </cell>
          <cell r="T1783">
            <v>0</v>
          </cell>
          <cell r="U1783">
            <v>0</v>
          </cell>
          <cell r="W1783">
            <v>0</v>
          </cell>
          <cell r="X1783">
            <v>0</v>
          </cell>
          <cell r="Z1783">
            <v>0</v>
          </cell>
          <cell r="AA1783">
            <v>0</v>
          </cell>
          <cell r="AC1783">
            <v>0</v>
          </cell>
          <cell r="AD1783">
            <v>0</v>
          </cell>
          <cell r="AF1783">
            <v>0</v>
          </cell>
          <cell r="AG1783">
            <v>0</v>
          </cell>
          <cell r="AI1783">
            <v>0</v>
          </cell>
          <cell r="AJ1783">
            <v>0</v>
          </cell>
          <cell r="AL1783">
            <v>0</v>
          </cell>
          <cell r="AM1783">
            <v>0</v>
          </cell>
          <cell r="AO1783">
            <v>0</v>
          </cell>
          <cell r="AP1783">
            <v>0</v>
          </cell>
          <cell r="AR1783">
            <v>0</v>
          </cell>
          <cell r="AS1783">
            <v>0</v>
          </cell>
          <cell r="BF1783" t="str">
            <v>8600</v>
          </cell>
          <cell r="BG1783" t="str">
            <v>P209</v>
          </cell>
          <cell r="BH1783" t="str">
            <v>VSS</v>
          </cell>
        </row>
        <row r="1784">
          <cell r="K1784">
            <v>0</v>
          </cell>
          <cell r="L1784">
            <v>0</v>
          </cell>
          <cell r="N1784">
            <v>0</v>
          </cell>
          <cell r="O1784">
            <v>0</v>
          </cell>
          <cell r="Q1784">
            <v>0</v>
          </cell>
          <cell r="R1784">
            <v>0</v>
          </cell>
          <cell r="T1784">
            <v>0</v>
          </cell>
          <cell r="U1784">
            <v>0</v>
          </cell>
          <cell r="W1784">
            <v>0</v>
          </cell>
          <cell r="X1784">
            <v>0</v>
          </cell>
          <cell r="Z1784">
            <v>0</v>
          </cell>
          <cell r="AA1784">
            <v>0</v>
          </cell>
          <cell r="AC1784">
            <v>0</v>
          </cell>
          <cell r="AD1784">
            <v>0</v>
          </cell>
          <cell r="AF1784">
            <v>0</v>
          </cell>
          <cell r="AG1784">
            <v>0</v>
          </cell>
          <cell r="AI1784">
            <v>0</v>
          </cell>
          <cell r="AJ1784">
            <v>0</v>
          </cell>
          <cell r="AL1784">
            <v>0</v>
          </cell>
          <cell r="AM1784">
            <v>0</v>
          </cell>
          <cell r="AO1784">
            <v>0</v>
          </cell>
          <cell r="AP1784">
            <v>0</v>
          </cell>
          <cell r="AR1784">
            <v>0</v>
          </cell>
          <cell r="AS1784">
            <v>0</v>
          </cell>
          <cell r="BF1784" t="str">
            <v>8600</v>
          </cell>
          <cell r="BG1784" t="str">
            <v>P210</v>
          </cell>
          <cell r="BH1784" t="str">
            <v>VSS</v>
          </cell>
        </row>
        <row r="1785">
          <cell r="K1785">
            <v>0</v>
          </cell>
          <cell r="L1785">
            <v>0</v>
          </cell>
          <cell r="N1785">
            <v>0</v>
          </cell>
          <cell r="O1785">
            <v>0</v>
          </cell>
          <cell r="Q1785">
            <v>0</v>
          </cell>
          <cell r="R1785">
            <v>0</v>
          </cell>
          <cell r="T1785">
            <v>0</v>
          </cell>
          <cell r="U1785">
            <v>0</v>
          </cell>
          <cell r="W1785">
            <v>0</v>
          </cell>
          <cell r="X1785">
            <v>0</v>
          </cell>
          <cell r="Z1785">
            <v>0</v>
          </cell>
          <cell r="AA1785">
            <v>0</v>
          </cell>
          <cell r="AC1785">
            <v>0</v>
          </cell>
          <cell r="AD1785">
            <v>0</v>
          </cell>
          <cell r="AF1785">
            <v>0</v>
          </cell>
          <cell r="AG1785">
            <v>0</v>
          </cell>
          <cell r="AI1785">
            <v>0</v>
          </cell>
          <cell r="AJ1785">
            <v>0</v>
          </cell>
          <cell r="AL1785">
            <v>0</v>
          </cell>
          <cell r="AM1785">
            <v>0</v>
          </cell>
          <cell r="AO1785">
            <v>0</v>
          </cell>
          <cell r="AP1785">
            <v>0</v>
          </cell>
          <cell r="AR1785">
            <v>0</v>
          </cell>
          <cell r="AS1785">
            <v>0</v>
          </cell>
          <cell r="BF1785" t="str">
            <v>8600</v>
          </cell>
          <cell r="BG1785" t="str">
            <v>P211</v>
          </cell>
          <cell r="BH1785" t="str">
            <v>VSS</v>
          </cell>
        </row>
        <row r="1786">
          <cell r="K1786">
            <v>143948.5</v>
          </cell>
          <cell r="L1786">
            <v>0</v>
          </cell>
          <cell r="N1786">
            <v>31010.209999999963</v>
          </cell>
          <cell r="O1786">
            <v>0</v>
          </cell>
          <cell r="Q1786">
            <v>26531.700000000186</v>
          </cell>
          <cell r="R1786">
            <v>0</v>
          </cell>
          <cell r="T1786">
            <v>-56547.759999999776</v>
          </cell>
          <cell r="U1786">
            <v>0</v>
          </cell>
          <cell r="W1786">
            <v>12683.049999999814</v>
          </cell>
          <cell r="X1786">
            <v>0</v>
          </cell>
          <cell r="Z1786">
            <v>-127449.17000000039</v>
          </cell>
          <cell r="AA1786">
            <v>0</v>
          </cell>
          <cell r="AC1786">
            <v>-119791.44999999972</v>
          </cell>
          <cell r="AD1786">
            <v>0</v>
          </cell>
          <cell r="AF1786">
            <v>30731.029999999795</v>
          </cell>
          <cell r="AG1786">
            <v>0</v>
          </cell>
          <cell r="AI1786">
            <v>2428114.66</v>
          </cell>
          <cell r="AJ1786">
            <v>0</v>
          </cell>
          <cell r="AL1786">
            <v>25432.210000000428</v>
          </cell>
          <cell r="AM1786">
            <v>0</v>
          </cell>
          <cell r="AO1786">
            <v>-234438.04999999935</v>
          </cell>
          <cell r="AP1786">
            <v>0</v>
          </cell>
          <cell r="AR1786">
            <v>-197221.33000000007</v>
          </cell>
          <cell r="AS1786">
            <v>0</v>
          </cell>
          <cell r="BF1786" t="str">
            <v>9000</v>
          </cell>
          <cell r="BG1786" t="str">
            <v>Z000</v>
          </cell>
          <cell r="BH1786" t="str">
            <v>VSS</v>
          </cell>
        </row>
        <row r="1787">
          <cell r="K1787">
            <v>0</v>
          </cell>
          <cell r="L1787">
            <v>0</v>
          </cell>
          <cell r="N1787">
            <v>0</v>
          </cell>
          <cell r="O1787">
            <v>0</v>
          </cell>
          <cell r="Q1787">
            <v>0</v>
          </cell>
          <cell r="R1787">
            <v>0</v>
          </cell>
          <cell r="T1787">
            <v>0</v>
          </cell>
          <cell r="U1787">
            <v>0</v>
          </cell>
          <cell r="W1787">
            <v>0</v>
          </cell>
          <cell r="X1787">
            <v>0</v>
          </cell>
          <cell r="Z1787">
            <v>0</v>
          </cell>
          <cell r="AA1787">
            <v>0</v>
          </cell>
          <cell r="AC1787">
            <v>0</v>
          </cell>
          <cell r="AD1787">
            <v>0</v>
          </cell>
          <cell r="AF1787">
            <v>0</v>
          </cell>
          <cell r="AG1787">
            <v>0</v>
          </cell>
          <cell r="AI1787">
            <v>0</v>
          </cell>
          <cell r="AJ1787">
            <v>0</v>
          </cell>
          <cell r="AL1787">
            <v>0</v>
          </cell>
          <cell r="AM1787">
            <v>0</v>
          </cell>
          <cell r="AO1787">
            <v>0</v>
          </cell>
          <cell r="AP1787">
            <v>0</v>
          </cell>
          <cell r="AR1787">
            <v>0</v>
          </cell>
          <cell r="AS1787">
            <v>0</v>
          </cell>
          <cell r="BF1787" t="str">
            <v>9050</v>
          </cell>
          <cell r="BG1787" t="str">
            <v>Z000</v>
          </cell>
          <cell r="BH1787" t="str">
            <v>VSS</v>
          </cell>
        </row>
        <row r="1788">
          <cell r="K1788">
            <v>0</v>
          </cell>
          <cell r="L1788">
            <v>0</v>
          </cell>
          <cell r="N1788">
            <v>0</v>
          </cell>
          <cell r="O1788">
            <v>0</v>
          </cell>
          <cell r="Q1788">
            <v>0</v>
          </cell>
          <cell r="R1788">
            <v>0</v>
          </cell>
          <cell r="T1788">
            <v>0</v>
          </cell>
          <cell r="U1788">
            <v>0</v>
          </cell>
          <cell r="W1788">
            <v>0</v>
          </cell>
          <cell r="X1788">
            <v>0</v>
          </cell>
          <cell r="Z1788">
            <v>0</v>
          </cell>
          <cell r="AA1788">
            <v>0</v>
          </cell>
          <cell r="AC1788">
            <v>0</v>
          </cell>
          <cell r="AD1788">
            <v>0</v>
          </cell>
          <cell r="AF1788">
            <v>0</v>
          </cell>
          <cell r="AG1788">
            <v>0</v>
          </cell>
          <cell r="AI1788">
            <v>0</v>
          </cell>
          <cell r="AJ1788">
            <v>0</v>
          </cell>
          <cell r="AL1788">
            <v>0</v>
          </cell>
          <cell r="AM1788">
            <v>0</v>
          </cell>
          <cell r="AO1788">
            <v>0</v>
          </cell>
          <cell r="AP1788">
            <v>0</v>
          </cell>
          <cell r="AR1788">
            <v>0</v>
          </cell>
          <cell r="AS1788">
            <v>0</v>
          </cell>
          <cell r="BF1788" t="str">
            <v>9051</v>
          </cell>
          <cell r="BG1788" t="str">
            <v>Z000</v>
          </cell>
          <cell r="BH1788" t="str">
            <v>VSS</v>
          </cell>
        </row>
        <row r="1789">
          <cell r="K1789">
            <v>134243.31000000052</v>
          </cell>
          <cell r="L1789">
            <v>0</v>
          </cell>
          <cell r="N1789">
            <v>-118934.3599999994</v>
          </cell>
          <cell r="O1789">
            <v>0</v>
          </cell>
          <cell r="Q1789">
            <v>6107.7599999997765</v>
          </cell>
          <cell r="R1789">
            <v>0</v>
          </cell>
          <cell r="T1789">
            <v>-26297.660000000149</v>
          </cell>
          <cell r="U1789">
            <v>0</v>
          </cell>
          <cell r="W1789">
            <v>-77.060000000521541</v>
          </cell>
          <cell r="X1789">
            <v>0</v>
          </cell>
          <cell r="Z1789">
            <v>84865.009999999776</v>
          </cell>
          <cell r="AA1789">
            <v>0</v>
          </cell>
          <cell r="AC1789">
            <v>-83194</v>
          </cell>
          <cell r="AD1789">
            <v>0</v>
          </cell>
          <cell r="AF1789">
            <v>36963.810000000522</v>
          </cell>
          <cell r="AG1789">
            <v>0</v>
          </cell>
          <cell r="AI1789">
            <v>4227.7399999992922</v>
          </cell>
          <cell r="AJ1789">
            <v>0</v>
          </cell>
          <cell r="AL1789">
            <v>101714.21000000183</v>
          </cell>
          <cell r="AM1789">
            <v>0</v>
          </cell>
          <cell r="AO1789">
            <v>-141723.71999999881</v>
          </cell>
          <cell r="AP1789">
            <v>0</v>
          </cell>
          <cell r="AR1789">
            <v>7463.0499999998137</v>
          </cell>
          <cell r="AS1789">
            <v>0</v>
          </cell>
          <cell r="BF1789" t="str">
            <v>9100</v>
          </cell>
          <cell r="BG1789" t="str">
            <v>Z000</v>
          </cell>
          <cell r="BH1789" t="str">
            <v>VSS</v>
          </cell>
        </row>
        <row r="1790">
          <cell r="K1790">
            <v>33569.709999999963</v>
          </cell>
          <cell r="L1790">
            <v>0</v>
          </cell>
          <cell r="N1790">
            <v>-66751.119999999879</v>
          </cell>
          <cell r="O1790">
            <v>0</v>
          </cell>
          <cell r="Q1790">
            <v>-27524.949999999953</v>
          </cell>
          <cell r="R1790">
            <v>0</v>
          </cell>
          <cell r="T1790">
            <v>-735.96000000019558</v>
          </cell>
          <cell r="U1790">
            <v>0</v>
          </cell>
          <cell r="W1790">
            <v>4646.0600000000559</v>
          </cell>
          <cell r="X1790">
            <v>0</v>
          </cell>
          <cell r="Z1790">
            <v>-122124.20999999996</v>
          </cell>
          <cell r="AA1790">
            <v>0</v>
          </cell>
          <cell r="AC1790">
            <v>145888.04000000004</v>
          </cell>
          <cell r="AD1790">
            <v>0</v>
          </cell>
          <cell r="AF1790">
            <v>14504.930000000168</v>
          </cell>
          <cell r="AG1790">
            <v>0</v>
          </cell>
          <cell r="AI1790">
            <v>6332.8599999998696</v>
          </cell>
          <cell r="AJ1790">
            <v>0</v>
          </cell>
          <cell r="AL1790">
            <v>25007.179999999702</v>
          </cell>
          <cell r="AM1790">
            <v>0</v>
          </cell>
          <cell r="AO1790">
            <v>2993.5100000002421</v>
          </cell>
          <cell r="AP1790">
            <v>0</v>
          </cell>
          <cell r="AR1790">
            <v>-10245.689999999944</v>
          </cell>
          <cell r="AS1790">
            <v>0</v>
          </cell>
          <cell r="BF1790" t="str">
            <v>9200</v>
          </cell>
          <cell r="BG1790" t="str">
            <v>Q001</v>
          </cell>
          <cell r="BH1790" t="str">
            <v>VSS</v>
          </cell>
        </row>
        <row r="1791">
          <cell r="K1791">
            <v>633.5199999999968</v>
          </cell>
          <cell r="L1791">
            <v>0</v>
          </cell>
          <cell r="N1791">
            <v>-1006.5400000000009</v>
          </cell>
          <cell r="O1791">
            <v>0</v>
          </cell>
          <cell r="Q1791">
            <v>-41.760000000002037</v>
          </cell>
          <cell r="R1791">
            <v>0</v>
          </cell>
          <cell r="T1791">
            <v>-145.15999999999622</v>
          </cell>
          <cell r="U1791">
            <v>0</v>
          </cell>
          <cell r="W1791">
            <v>101.5199999999968</v>
          </cell>
          <cell r="X1791">
            <v>0</v>
          </cell>
          <cell r="Z1791">
            <v>-3228.1999999999971</v>
          </cell>
          <cell r="AA1791">
            <v>0</v>
          </cell>
          <cell r="AC1791">
            <v>4228.5800000000017</v>
          </cell>
          <cell r="AD1791">
            <v>0</v>
          </cell>
          <cell r="AF1791">
            <v>-108.30000000000291</v>
          </cell>
          <cell r="AG1791">
            <v>0</v>
          </cell>
          <cell r="AI1791">
            <v>43.880000000004657</v>
          </cell>
          <cell r="AJ1791">
            <v>0</v>
          </cell>
          <cell r="AL1791">
            <v>594.88000000000466</v>
          </cell>
          <cell r="AM1791">
            <v>0</v>
          </cell>
          <cell r="AO1791">
            <v>297.44000000001688</v>
          </cell>
          <cell r="AP1791">
            <v>0</v>
          </cell>
          <cell r="AR1791">
            <v>1.4551915228366852E-11</v>
          </cell>
          <cell r="AS1791">
            <v>0</v>
          </cell>
          <cell r="BF1791" t="str">
            <v>9200</v>
          </cell>
          <cell r="BG1791" t="str">
            <v>Q002</v>
          </cell>
          <cell r="BH1791" t="str">
            <v>VSS</v>
          </cell>
        </row>
        <row r="1792">
          <cell r="K1792">
            <v>-4.6566128730773926E-10</v>
          </cell>
          <cell r="L1792">
            <v>0</v>
          </cell>
          <cell r="N1792">
            <v>0</v>
          </cell>
          <cell r="O1792">
            <v>0</v>
          </cell>
          <cell r="Q1792">
            <v>0</v>
          </cell>
          <cell r="R1792">
            <v>0</v>
          </cell>
          <cell r="T1792">
            <v>0</v>
          </cell>
          <cell r="U1792">
            <v>0</v>
          </cell>
          <cell r="W1792">
            <v>0</v>
          </cell>
          <cell r="X1792">
            <v>0</v>
          </cell>
          <cell r="Z1792">
            <v>-19015.75</v>
          </cell>
          <cell r="AA1792">
            <v>0</v>
          </cell>
          <cell r="AC1792">
            <v>19015.479999999516</v>
          </cell>
          <cell r="AD1792">
            <v>0</v>
          </cell>
          <cell r="AF1792">
            <v>-9.3132257461547852E-10</v>
          </cell>
          <cell r="AG1792">
            <v>0</v>
          </cell>
          <cell r="AI1792">
            <v>9.3132257461547852E-10</v>
          </cell>
          <cell r="AJ1792">
            <v>0</v>
          </cell>
          <cell r="AL1792">
            <v>2368.9000000022352</v>
          </cell>
          <cell r="AM1792">
            <v>0</v>
          </cell>
          <cell r="AO1792">
            <v>14785.900000004098</v>
          </cell>
          <cell r="AP1792">
            <v>0</v>
          </cell>
          <cell r="AR1792">
            <v>3631.1299999989569</v>
          </cell>
          <cell r="AS1792">
            <v>0</v>
          </cell>
          <cell r="BF1792" t="str">
            <v>9200</v>
          </cell>
          <cell r="BG1792" t="str">
            <v>Q003</v>
          </cell>
          <cell r="BH1792" t="str">
            <v>VSS</v>
          </cell>
        </row>
        <row r="1793">
          <cell r="K1793">
            <v>1147.1399999999994</v>
          </cell>
          <cell r="L1793">
            <v>0</v>
          </cell>
          <cell r="N1793">
            <v>-2262.4300000000076</v>
          </cell>
          <cell r="O1793">
            <v>0</v>
          </cell>
          <cell r="Q1793">
            <v>-690.02999999999884</v>
          </cell>
          <cell r="R1793">
            <v>0</v>
          </cell>
          <cell r="T1793">
            <v>-79.429999999993015</v>
          </cell>
          <cell r="U1793">
            <v>0</v>
          </cell>
          <cell r="W1793">
            <v>150.36999999999534</v>
          </cell>
          <cell r="X1793">
            <v>0</v>
          </cell>
          <cell r="Z1793">
            <v>-4707.5100000000093</v>
          </cell>
          <cell r="AA1793">
            <v>0</v>
          </cell>
          <cell r="AC1793">
            <v>6332.6999999999971</v>
          </cell>
          <cell r="AD1793">
            <v>0</v>
          </cell>
          <cell r="AF1793">
            <v>-174.7899999999936</v>
          </cell>
          <cell r="AG1793">
            <v>0</v>
          </cell>
          <cell r="AI1793">
            <v>424.61999999999534</v>
          </cell>
          <cell r="AJ1793">
            <v>0</v>
          </cell>
          <cell r="AL1793">
            <v>604.55000000000291</v>
          </cell>
          <cell r="AM1793">
            <v>0</v>
          </cell>
          <cell r="AO1793">
            <v>374.30000000000291</v>
          </cell>
          <cell r="AP1793">
            <v>0</v>
          </cell>
          <cell r="AR1793">
            <v>-368.84999999999127</v>
          </cell>
          <cell r="AS1793">
            <v>0</v>
          </cell>
          <cell r="BF1793" t="str">
            <v>9200</v>
          </cell>
          <cell r="BG1793" t="str">
            <v>Q004</v>
          </cell>
          <cell r="BH1793" t="str">
            <v>VSS</v>
          </cell>
        </row>
        <row r="1794">
          <cell r="K1794">
            <v>733.19999999999709</v>
          </cell>
          <cell r="L1794">
            <v>0</v>
          </cell>
          <cell r="N1794">
            <v>20</v>
          </cell>
          <cell r="O1794">
            <v>0</v>
          </cell>
          <cell r="Q1794">
            <v>20</v>
          </cell>
          <cell r="R1794">
            <v>0</v>
          </cell>
          <cell r="T1794">
            <v>20</v>
          </cell>
          <cell r="U1794">
            <v>0</v>
          </cell>
          <cell r="W1794">
            <v>-4067.0999999999985</v>
          </cell>
          <cell r="X1794">
            <v>0</v>
          </cell>
          <cell r="Z1794">
            <v>20</v>
          </cell>
          <cell r="AA1794">
            <v>0</v>
          </cell>
          <cell r="AC1794">
            <v>-20</v>
          </cell>
          <cell r="AD1794">
            <v>0</v>
          </cell>
          <cell r="AF1794">
            <v>20</v>
          </cell>
          <cell r="AG1794">
            <v>0</v>
          </cell>
          <cell r="AI1794">
            <v>733.69999999998981</v>
          </cell>
          <cell r="AJ1794">
            <v>0</v>
          </cell>
          <cell r="AL1794">
            <v>-83.19999999999709</v>
          </cell>
          <cell r="AM1794">
            <v>0</v>
          </cell>
          <cell r="AO1794">
            <v>1238.6999999999971</v>
          </cell>
          <cell r="AP1794">
            <v>0</v>
          </cell>
          <cell r="AR1794">
            <v>3040.7000000000044</v>
          </cell>
          <cell r="AS1794">
            <v>0</v>
          </cell>
          <cell r="BF1794" t="str">
            <v>9200</v>
          </cell>
          <cell r="BG1794" t="str">
            <v>Q005</v>
          </cell>
          <cell r="BH1794" t="str">
            <v>VSS</v>
          </cell>
        </row>
        <row r="1795">
          <cell r="K1795">
            <v>0</v>
          </cell>
          <cell r="L1795">
            <v>0</v>
          </cell>
          <cell r="N1795">
            <v>0</v>
          </cell>
          <cell r="O1795">
            <v>0</v>
          </cell>
          <cell r="Q1795">
            <v>0</v>
          </cell>
          <cell r="R1795">
            <v>0</v>
          </cell>
          <cell r="T1795">
            <v>0</v>
          </cell>
          <cell r="U1795">
            <v>0</v>
          </cell>
          <cell r="W1795">
            <v>0</v>
          </cell>
          <cell r="X1795">
            <v>0</v>
          </cell>
          <cell r="Z1795">
            <v>0</v>
          </cell>
          <cell r="AA1795">
            <v>0</v>
          </cell>
          <cell r="AC1795">
            <v>0</v>
          </cell>
          <cell r="AD1795">
            <v>0</v>
          </cell>
          <cell r="AF1795">
            <v>0</v>
          </cell>
          <cell r="AG1795">
            <v>0</v>
          </cell>
          <cell r="AI1795">
            <v>0</v>
          </cell>
          <cell r="AJ1795">
            <v>0</v>
          </cell>
          <cell r="AL1795">
            <v>0</v>
          </cell>
          <cell r="AM1795">
            <v>0</v>
          </cell>
          <cell r="AO1795">
            <v>0</v>
          </cell>
          <cell r="AP1795">
            <v>0</v>
          </cell>
          <cell r="AR1795">
            <v>0</v>
          </cell>
          <cell r="AS1795">
            <v>0</v>
          </cell>
          <cell r="BF1795" t="str">
            <v>9300</v>
          </cell>
          <cell r="BG1795" t="str">
            <v>Z000</v>
          </cell>
          <cell r="BH1795" t="str">
            <v>VSS</v>
          </cell>
        </row>
        <row r="1796">
          <cell r="K1796">
            <v>0</v>
          </cell>
          <cell r="L1796">
            <v>0</v>
          </cell>
          <cell r="N1796">
            <v>0</v>
          </cell>
          <cell r="O1796">
            <v>0</v>
          </cell>
          <cell r="Q1796">
            <v>0</v>
          </cell>
          <cell r="R1796">
            <v>0</v>
          </cell>
          <cell r="T1796">
            <v>0</v>
          </cell>
          <cell r="U1796">
            <v>0</v>
          </cell>
          <cell r="W1796">
            <v>0</v>
          </cell>
          <cell r="X1796">
            <v>0</v>
          </cell>
          <cell r="Z1796">
            <v>0</v>
          </cell>
          <cell r="AA1796">
            <v>0</v>
          </cell>
          <cell r="AC1796">
            <v>0</v>
          </cell>
          <cell r="AD1796">
            <v>0</v>
          </cell>
          <cell r="AF1796">
            <v>0</v>
          </cell>
          <cell r="AG1796">
            <v>0</v>
          </cell>
          <cell r="AI1796">
            <v>0</v>
          </cell>
          <cell r="AJ1796">
            <v>0</v>
          </cell>
          <cell r="AL1796">
            <v>0</v>
          </cell>
          <cell r="AM1796">
            <v>0</v>
          </cell>
          <cell r="AO1796">
            <v>0</v>
          </cell>
          <cell r="AP1796">
            <v>0</v>
          </cell>
          <cell r="AR1796">
            <v>0</v>
          </cell>
          <cell r="AS1796">
            <v>0</v>
          </cell>
          <cell r="BF1796" t="str">
            <v>9400</v>
          </cell>
          <cell r="BG1796" t="str">
            <v>Z000</v>
          </cell>
          <cell r="BH1796" t="str">
            <v>VSS</v>
          </cell>
        </row>
        <row r="1797">
          <cell r="K1797">
            <v>500</v>
          </cell>
          <cell r="L1797">
            <v>0</v>
          </cell>
          <cell r="N1797">
            <v>0</v>
          </cell>
          <cell r="O1797">
            <v>0</v>
          </cell>
          <cell r="Q1797">
            <v>-680</v>
          </cell>
          <cell r="R1797">
            <v>0</v>
          </cell>
          <cell r="T1797">
            <v>180</v>
          </cell>
          <cell r="U1797">
            <v>0</v>
          </cell>
          <cell r="W1797">
            <v>0</v>
          </cell>
          <cell r="X1797">
            <v>0</v>
          </cell>
          <cell r="Z1797">
            <v>0</v>
          </cell>
          <cell r="AA1797">
            <v>0</v>
          </cell>
          <cell r="AC1797">
            <v>0</v>
          </cell>
          <cell r="AD1797">
            <v>0</v>
          </cell>
          <cell r="AF1797">
            <v>0</v>
          </cell>
          <cell r="AG1797">
            <v>0</v>
          </cell>
          <cell r="AI1797">
            <v>0</v>
          </cell>
          <cell r="AJ1797">
            <v>0</v>
          </cell>
          <cell r="AL1797">
            <v>0</v>
          </cell>
          <cell r="AM1797">
            <v>0</v>
          </cell>
          <cell r="AO1797">
            <v>0</v>
          </cell>
          <cell r="AP1797">
            <v>0</v>
          </cell>
          <cell r="AR1797">
            <v>0</v>
          </cell>
          <cell r="AS1797">
            <v>0</v>
          </cell>
          <cell r="BF1797" t="str">
            <v>9500</v>
          </cell>
          <cell r="BG1797" t="str">
            <v>Z000</v>
          </cell>
          <cell r="BH1797" t="str">
            <v>VSS</v>
          </cell>
        </row>
        <row r="1798">
          <cell r="K1798">
            <v>0</v>
          </cell>
          <cell r="L1798">
            <v>0</v>
          </cell>
          <cell r="N1798">
            <v>0</v>
          </cell>
          <cell r="O1798">
            <v>0</v>
          </cell>
          <cell r="Q1798">
            <v>0</v>
          </cell>
          <cell r="R1798">
            <v>0</v>
          </cell>
          <cell r="T1798">
            <v>0</v>
          </cell>
          <cell r="U1798">
            <v>0</v>
          </cell>
          <cell r="W1798">
            <v>0</v>
          </cell>
          <cell r="X1798">
            <v>0</v>
          </cell>
          <cell r="Z1798">
            <v>0</v>
          </cell>
          <cell r="AA1798">
            <v>0</v>
          </cell>
          <cell r="AC1798">
            <v>0</v>
          </cell>
          <cell r="AD1798">
            <v>0</v>
          </cell>
          <cell r="AF1798">
            <v>0</v>
          </cell>
          <cell r="AG1798">
            <v>0</v>
          </cell>
          <cell r="AI1798">
            <v>0</v>
          </cell>
          <cell r="AJ1798">
            <v>0</v>
          </cell>
          <cell r="AL1798">
            <v>0</v>
          </cell>
          <cell r="AM1798">
            <v>0</v>
          </cell>
          <cell r="AO1798">
            <v>0</v>
          </cell>
          <cell r="AP1798">
            <v>0</v>
          </cell>
          <cell r="AR1798">
            <v>0</v>
          </cell>
          <cell r="AS1798">
            <v>0</v>
          </cell>
          <cell r="BF1798" t="str">
            <v>9550</v>
          </cell>
          <cell r="BG1798" t="str">
            <v>Z000</v>
          </cell>
          <cell r="BH1798" t="str">
            <v>VSS</v>
          </cell>
        </row>
        <row r="1799">
          <cell r="K1799">
            <v>-36565.939999999944</v>
          </cell>
          <cell r="L1799">
            <v>0</v>
          </cell>
          <cell r="N1799">
            <v>-47248.040000000037</v>
          </cell>
          <cell r="O1799">
            <v>0</v>
          </cell>
          <cell r="Q1799">
            <v>4644.75</v>
          </cell>
          <cell r="R1799">
            <v>0</v>
          </cell>
          <cell r="T1799">
            <v>-59843.330000000075</v>
          </cell>
          <cell r="U1799">
            <v>0</v>
          </cell>
          <cell r="W1799">
            <v>-45030.059999999939</v>
          </cell>
          <cell r="X1799">
            <v>0</v>
          </cell>
          <cell r="Z1799">
            <v>17951.5</v>
          </cell>
          <cell r="AA1799">
            <v>0</v>
          </cell>
          <cell r="AC1799">
            <v>63495.409999999916</v>
          </cell>
          <cell r="AD1799">
            <v>0</v>
          </cell>
          <cell r="AF1799">
            <v>-42540.5699999996</v>
          </cell>
          <cell r="AG1799">
            <v>0</v>
          </cell>
          <cell r="AI1799">
            <v>52001.730000000214</v>
          </cell>
          <cell r="AJ1799">
            <v>0</v>
          </cell>
          <cell r="AL1799">
            <v>26513.879999999539</v>
          </cell>
          <cell r="AM1799">
            <v>0</v>
          </cell>
          <cell r="AO1799">
            <v>36606.539999999339</v>
          </cell>
          <cell r="AP1799">
            <v>0</v>
          </cell>
          <cell r="AR1799">
            <v>-468811.81000000029</v>
          </cell>
          <cell r="AS1799">
            <v>0</v>
          </cell>
          <cell r="BF1799" t="str">
            <v>9600</v>
          </cell>
          <cell r="BG1799" t="str">
            <v>Z000</v>
          </cell>
          <cell r="BH1799" t="str">
            <v>VSS</v>
          </cell>
        </row>
        <row r="1800">
          <cell r="K1800">
            <v>-118216.46999999997</v>
          </cell>
          <cell r="L1800">
            <v>0</v>
          </cell>
          <cell r="N1800">
            <v>-44768.040000000037</v>
          </cell>
          <cell r="O1800">
            <v>0</v>
          </cell>
          <cell r="Q1800">
            <v>-43205.320000000065</v>
          </cell>
          <cell r="R1800">
            <v>0</v>
          </cell>
          <cell r="T1800">
            <v>-43113.469999999972</v>
          </cell>
          <cell r="U1800">
            <v>0</v>
          </cell>
          <cell r="W1800">
            <v>-43172.030000000028</v>
          </cell>
          <cell r="X1800">
            <v>0</v>
          </cell>
          <cell r="Z1800">
            <v>-50987.719999999972</v>
          </cell>
          <cell r="AA1800">
            <v>0</v>
          </cell>
          <cell r="AC1800">
            <v>-56287.40000000014</v>
          </cell>
          <cell r="AD1800">
            <v>0</v>
          </cell>
          <cell r="AF1800">
            <v>-52837.639999999665</v>
          </cell>
          <cell r="AG1800">
            <v>0</v>
          </cell>
          <cell r="AI1800">
            <v>-52156.209999999963</v>
          </cell>
          <cell r="AJ1800">
            <v>0</v>
          </cell>
          <cell r="AL1800">
            <v>-136962.23000000021</v>
          </cell>
          <cell r="AM1800">
            <v>0</v>
          </cell>
          <cell r="AO1800">
            <v>-94146.489999999991</v>
          </cell>
          <cell r="AP1800">
            <v>0</v>
          </cell>
          <cell r="AR1800">
            <v>-94334.429999999935</v>
          </cell>
          <cell r="AS1800">
            <v>0</v>
          </cell>
          <cell r="BF1800" t="str">
            <v>9700</v>
          </cell>
          <cell r="BG1800" t="str">
            <v>Z000</v>
          </cell>
          <cell r="BH1800" t="str">
            <v>VSS</v>
          </cell>
        </row>
        <row r="1801">
          <cell r="K1801">
            <v>0</v>
          </cell>
          <cell r="L1801">
            <v>0</v>
          </cell>
          <cell r="N1801">
            <v>0</v>
          </cell>
          <cell r="O1801">
            <v>0</v>
          </cell>
          <cell r="Q1801">
            <v>0</v>
          </cell>
          <cell r="R1801">
            <v>0</v>
          </cell>
          <cell r="T1801">
            <v>0</v>
          </cell>
          <cell r="U1801">
            <v>0</v>
          </cell>
          <cell r="W1801">
            <v>0</v>
          </cell>
          <cell r="X1801">
            <v>0</v>
          </cell>
          <cell r="Z1801">
            <v>0</v>
          </cell>
          <cell r="AA1801">
            <v>0</v>
          </cell>
          <cell r="AC1801">
            <v>0</v>
          </cell>
          <cell r="AD1801">
            <v>0</v>
          </cell>
          <cell r="AF1801">
            <v>0</v>
          </cell>
          <cell r="AG1801">
            <v>0</v>
          </cell>
          <cell r="AI1801">
            <v>0</v>
          </cell>
          <cell r="AJ1801">
            <v>0</v>
          </cell>
          <cell r="AL1801">
            <v>0</v>
          </cell>
          <cell r="AM1801">
            <v>0</v>
          </cell>
          <cell r="AO1801">
            <v>0</v>
          </cell>
          <cell r="AP1801">
            <v>0</v>
          </cell>
          <cell r="AR1801">
            <v>0</v>
          </cell>
          <cell r="AS1801">
            <v>0</v>
          </cell>
          <cell r="BF1801" t="str">
            <v>9702</v>
          </cell>
          <cell r="BG1801" t="str">
            <v>Z000</v>
          </cell>
          <cell r="BH1801" t="str">
            <v>VSS</v>
          </cell>
        </row>
        <row r="1802">
          <cell r="K1802">
            <v>0</v>
          </cell>
          <cell r="L1802">
            <v>0</v>
          </cell>
          <cell r="N1802">
            <v>0</v>
          </cell>
          <cell r="O1802">
            <v>0</v>
          </cell>
          <cell r="Q1802">
            <v>0</v>
          </cell>
          <cell r="R1802">
            <v>0</v>
          </cell>
          <cell r="T1802">
            <v>0</v>
          </cell>
          <cell r="U1802">
            <v>0</v>
          </cell>
          <cell r="W1802">
            <v>0</v>
          </cell>
          <cell r="X1802">
            <v>0</v>
          </cell>
          <cell r="Z1802">
            <v>0</v>
          </cell>
          <cell r="AA1802">
            <v>0</v>
          </cell>
          <cell r="AC1802">
            <v>0</v>
          </cell>
          <cell r="AD1802">
            <v>0</v>
          </cell>
          <cell r="AF1802">
            <v>0</v>
          </cell>
          <cell r="AG1802">
            <v>0</v>
          </cell>
          <cell r="AI1802">
            <v>0</v>
          </cell>
          <cell r="AJ1802">
            <v>0</v>
          </cell>
          <cell r="AL1802">
            <v>0</v>
          </cell>
          <cell r="AM1802">
            <v>0</v>
          </cell>
          <cell r="AO1802">
            <v>0</v>
          </cell>
          <cell r="AP1802">
            <v>0</v>
          </cell>
          <cell r="AR1802">
            <v>0</v>
          </cell>
          <cell r="AS1802">
            <v>0</v>
          </cell>
          <cell r="BF1802" t="str">
            <v>9750</v>
          </cell>
          <cell r="BG1802" t="str">
            <v>Z000</v>
          </cell>
          <cell r="BH1802" t="str">
            <v>VSS</v>
          </cell>
        </row>
        <row r="1803">
          <cell r="K1803">
            <v>419854.44000000041</v>
          </cell>
          <cell r="L1803">
            <v>0</v>
          </cell>
          <cell r="N1803">
            <v>515387.83999999985</v>
          </cell>
          <cell r="O1803">
            <v>0</v>
          </cell>
          <cell r="Q1803">
            <v>549193.38000000035</v>
          </cell>
          <cell r="R1803">
            <v>0</v>
          </cell>
          <cell r="T1803">
            <v>647405.12999999942</v>
          </cell>
          <cell r="U1803">
            <v>0</v>
          </cell>
          <cell r="W1803">
            <v>646267.35000000056</v>
          </cell>
          <cell r="X1803">
            <v>0</v>
          </cell>
          <cell r="Z1803">
            <v>423625.70999999903</v>
          </cell>
          <cell r="AA1803">
            <v>0</v>
          </cell>
          <cell r="AC1803">
            <v>1298329.3699999992</v>
          </cell>
          <cell r="AD1803">
            <v>0</v>
          </cell>
          <cell r="AF1803">
            <v>1165901.8699999992</v>
          </cell>
          <cell r="AG1803">
            <v>0</v>
          </cell>
          <cell r="AI1803">
            <v>1322168.9200000009</v>
          </cell>
          <cell r="AJ1803">
            <v>0</v>
          </cell>
          <cell r="AL1803">
            <v>1700812.6500000004</v>
          </cell>
          <cell r="AM1803">
            <v>0</v>
          </cell>
          <cell r="AO1803">
            <v>1873298.8500000015</v>
          </cell>
          <cell r="AP1803">
            <v>0</v>
          </cell>
          <cell r="AR1803">
            <v>2530078.3800000008</v>
          </cell>
          <cell r="AS1803">
            <v>0</v>
          </cell>
          <cell r="BF1803" t="str">
            <v>1000</v>
          </cell>
          <cell r="BG1803" t="str">
            <v>A001</v>
          </cell>
          <cell r="BH1803" t="str">
            <v>GSA</v>
          </cell>
        </row>
        <row r="1804">
          <cell r="K1804">
            <v>754677.83000000007</v>
          </cell>
          <cell r="L1804">
            <v>0</v>
          </cell>
          <cell r="N1804">
            <v>725572.8200000003</v>
          </cell>
          <cell r="O1804">
            <v>0</v>
          </cell>
          <cell r="Q1804">
            <v>808081.63999999966</v>
          </cell>
          <cell r="R1804">
            <v>0</v>
          </cell>
          <cell r="T1804">
            <v>1023807.0900000008</v>
          </cell>
          <cell r="U1804">
            <v>0</v>
          </cell>
          <cell r="W1804">
            <v>857905.6099999994</v>
          </cell>
          <cell r="X1804">
            <v>0</v>
          </cell>
          <cell r="Z1804">
            <v>959824.08000000007</v>
          </cell>
          <cell r="AA1804">
            <v>0</v>
          </cell>
          <cell r="AC1804">
            <v>1389442.3800000008</v>
          </cell>
          <cell r="AD1804">
            <v>0</v>
          </cell>
          <cell r="AF1804">
            <v>1646621.5899999999</v>
          </cell>
          <cell r="AG1804">
            <v>0</v>
          </cell>
          <cell r="AI1804">
            <v>2120150.549999997</v>
          </cell>
          <cell r="AJ1804">
            <v>0</v>
          </cell>
          <cell r="AL1804">
            <v>2268867.6099999994</v>
          </cell>
          <cell r="AM1804">
            <v>0</v>
          </cell>
          <cell r="AO1804">
            <v>2852714.3599999994</v>
          </cell>
          <cell r="AP1804">
            <v>0</v>
          </cell>
          <cell r="AR1804">
            <v>2965137.379999999</v>
          </cell>
          <cell r="AS1804">
            <v>0</v>
          </cell>
          <cell r="BF1804" t="str">
            <v>1000</v>
          </cell>
          <cell r="BG1804" t="str">
            <v>A002</v>
          </cell>
          <cell r="BH1804" t="str">
            <v>GSA</v>
          </cell>
        </row>
        <row r="1805">
          <cell r="K1805">
            <v>223562.76999999955</v>
          </cell>
          <cell r="L1805">
            <v>0</v>
          </cell>
          <cell r="N1805">
            <v>263002.78000000026</v>
          </cell>
          <cell r="O1805">
            <v>0</v>
          </cell>
          <cell r="Q1805">
            <v>258553.85999999987</v>
          </cell>
          <cell r="R1805">
            <v>0</v>
          </cell>
          <cell r="T1805">
            <v>323801.9299999997</v>
          </cell>
          <cell r="U1805">
            <v>0</v>
          </cell>
          <cell r="W1805">
            <v>278636.02</v>
          </cell>
          <cell r="X1805">
            <v>0</v>
          </cell>
          <cell r="Z1805">
            <v>232232.87000000011</v>
          </cell>
          <cell r="AA1805">
            <v>0</v>
          </cell>
          <cell r="AC1805">
            <v>470217.81000000052</v>
          </cell>
          <cell r="AD1805">
            <v>0</v>
          </cell>
          <cell r="AF1805">
            <v>528562.53000000026</v>
          </cell>
          <cell r="AG1805">
            <v>0</v>
          </cell>
          <cell r="AI1805">
            <v>569024.3200000003</v>
          </cell>
          <cell r="AJ1805">
            <v>0</v>
          </cell>
          <cell r="AL1805">
            <v>732677.00999999978</v>
          </cell>
          <cell r="AM1805">
            <v>0</v>
          </cell>
          <cell r="AO1805">
            <v>814141.69999999925</v>
          </cell>
          <cell r="AP1805">
            <v>0</v>
          </cell>
          <cell r="AR1805">
            <v>1189383.71</v>
          </cell>
          <cell r="AS1805">
            <v>0</v>
          </cell>
          <cell r="BF1805" t="str">
            <v>1000</v>
          </cell>
          <cell r="BG1805" t="str">
            <v>A003</v>
          </cell>
          <cell r="BH1805" t="str">
            <v>GSA</v>
          </cell>
        </row>
        <row r="1806">
          <cell r="K1806">
            <v>0</v>
          </cell>
          <cell r="L1806">
            <v>0</v>
          </cell>
          <cell r="N1806">
            <v>0</v>
          </cell>
          <cell r="O1806">
            <v>0</v>
          </cell>
          <cell r="Q1806">
            <v>0</v>
          </cell>
          <cell r="R1806">
            <v>0</v>
          </cell>
          <cell r="T1806">
            <v>0</v>
          </cell>
          <cell r="U1806">
            <v>0</v>
          </cell>
          <cell r="W1806">
            <v>0</v>
          </cell>
          <cell r="X1806">
            <v>0</v>
          </cell>
          <cell r="Z1806">
            <v>0</v>
          </cell>
          <cell r="AA1806">
            <v>0</v>
          </cell>
          <cell r="AC1806">
            <v>0</v>
          </cell>
          <cell r="AD1806">
            <v>0</v>
          </cell>
          <cell r="AF1806">
            <v>0</v>
          </cell>
          <cell r="AG1806">
            <v>0</v>
          </cell>
          <cell r="AI1806">
            <v>0</v>
          </cell>
          <cell r="AJ1806">
            <v>0</v>
          </cell>
          <cell r="AL1806">
            <v>0</v>
          </cell>
          <cell r="AM1806">
            <v>0</v>
          </cell>
          <cell r="AO1806">
            <v>0</v>
          </cell>
          <cell r="AP1806">
            <v>0</v>
          </cell>
          <cell r="AR1806">
            <v>0</v>
          </cell>
          <cell r="AS1806">
            <v>0</v>
          </cell>
          <cell r="BF1806" t="str">
            <v>1000</v>
          </cell>
          <cell r="BG1806" t="str">
            <v>A004</v>
          </cell>
          <cell r="BH1806" t="str">
            <v>GSA</v>
          </cell>
        </row>
        <row r="1807">
          <cell r="K1807">
            <v>55.339999999999975</v>
          </cell>
          <cell r="L1807">
            <v>0</v>
          </cell>
          <cell r="N1807">
            <v>22.829999999999984</v>
          </cell>
          <cell r="O1807">
            <v>0</v>
          </cell>
          <cell r="Q1807">
            <v>0.30000000000001137</v>
          </cell>
          <cell r="R1807">
            <v>0</v>
          </cell>
          <cell r="T1807">
            <v>0</v>
          </cell>
          <cell r="U1807">
            <v>0</v>
          </cell>
          <cell r="W1807">
            <v>4.6554760047001764E-11</v>
          </cell>
          <cell r="X1807">
            <v>0</v>
          </cell>
          <cell r="Z1807">
            <v>-2.3283064365386963E-10</v>
          </cell>
          <cell r="AA1807">
            <v>0</v>
          </cell>
          <cell r="AC1807">
            <v>0</v>
          </cell>
          <cell r="AD1807">
            <v>0</v>
          </cell>
          <cell r="AF1807">
            <v>0</v>
          </cell>
          <cell r="AG1807">
            <v>0</v>
          </cell>
          <cell r="AI1807">
            <v>0</v>
          </cell>
          <cell r="AJ1807">
            <v>0</v>
          </cell>
          <cell r="AL1807">
            <v>0</v>
          </cell>
          <cell r="AM1807">
            <v>0</v>
          </cell>
          <cell r="AO1807">
            <v>0</v>
          </cell>
          <cell r="AP1807">
            <v>0</v>
          </cell>
          <cell r="AR1807">
            <v>0</v>
          </cell>
          <cell r="AS1807">
            <v>0</v>
          </cell>
          <cell r="BF1807" t="str">
            <v>1000</v>
          </cell>
          <cell r="BG1807" t="str">
            <v>A005</v>
          </cell>
          <cell r="BH1807" t="str">
            <v>GSA</v>
          </cell>
        </row>
        <row r="1808">
          <cell r="K1808">
            <v>0</v>
          </cell>
          <cell r="L1808">
            <v>0</v>
          </cell>
          <cell r="N1808">
            <v>0</v>
          </cell>
          <cell r="O1808">
            <v>0</v>
          </cell>
          <cell r="Q1808">
            <v>0</v>
          </cell>
          <cell r="R1808">
            <v>0</v>
          </cell>
          <cell r="T1808">
            <v>0</v>
          </cell>
          <cell r="U1808">
            <v>0</v>
          </cell>
          <cell r="W1808">
            <v>0</v>
          </cell>
          <cell r="X1808">
            <v>0</v>
          </cell>
          <cell r="Z1808">
            <v>0</v>
          </cell>
          <cell r="AA1808">
            <v>0</v>
          </cell>
          <cell r="AC1808">
            <v>0</v>
          </cell>
          <cell r="AD1808">
            <v>0</v>
          </cell>
          <cell r="AF1808">
            <v>0</v>
          </cell>
          <cell r="AG1808">
            <v>0</v>
          </cell>
          <cell r="AI1808">
            <v>0</v>
          </cell>
          <cell r="AJ1808">
            <v>0</v>
          </cell>
          <cell r="AL1808">
            <v>2.9103830456733704E-11</v>
          </cell>
          <cell r="AM1808">
            <v>0</v>
          </cell>
          <cell r="AO1808">
            <v>-2.9103830456733704E-11</v>
          </cell>
          <cell r="AP1808">
            <v>0</v>
          </cell>
          <cell r="AR1808">
            <v>0</v>
          </cell>
          <cell r="AS1808">
            <v>0</v>
          </cell>
          <cell r="BF1808" t="str">
            <v>1000</v>
          </cell>
          <cell r="BG1808" t="str">
            <v>A006</v>
          </cell>
          <cell r="BH1808" t="str">
            <v>GSA</v>
          </cell>
        </row>
        <row r="1809">
          <cell r="K1809">
            <v>0</v>
          </cell>
          <cell r="L1809">
            <v>0</v>
          </cell>
          <cell r="N1809">
            <v>0</v>
          </cell>
          <cell r="O1809">
            <v>0</v>
          </cell>
          <cell r="Q1809">
            <v>0</v>
          </cell>
          <cell r="R1809">
            <v>0</v>
          </cell>
          <cell r="T1809">
            <v>0</v>
          </cell>
          <cell r="U1809">
            <v>0</v>
          </cell>
          <cell r="W1809">
            <v>0</v>
          </cell>
          <cell r="X1809">
            <v>0</v>
          </cell>
          <cell r="Z1809">
            <v>0</v>
          </cell>
          <cell r="AA1809">
            <v>0</v>
          </cell>
          <cell r="AC1809">
            <v>0</v>
          </cell>
          <cell r="AD1809">
            <v>0</v>
          </cell>
          <cell r="AF1809">
            <v>0</v>
          </cell>
          <cell r="AG1809">
            <v>0</v>
          </cell>
          <cell r="AI1809">
            <v>0</v>
          </cell>
          <cell r="AJ1809">
            <v>0</v>
          </cell>
          <cell r="AL1809">
            <v>0</v>
          </cell>
          <cell r="AM1809">
            <v>0</v>
          </cell>
          <cell r="AO1809">
            <v>0</v>
          </cell>
          <cell r="AP1809">
            <v>0</v>
          </cell>
          <cell r="AR1809">
            <v>0</v>
          </cell>
          <cell r="AS1809">
            <v>0</v>
          </cell>
          <cell r="BF1809" t="str">
            <v>1000</v>
          </cell>
          <cell r="BG1809" t="str">
            <v>A007</v>
          </cell>
          <cell r="BH1809" t="str">
            <v>GSA</v>
          </cell>
        </row>
        <row r="1810">
          <cell r="K1810">
            <v>0</v>
          </cell>
          <cell r="L1810">
            <v>0</v>
          </cell>
          <cell r="N1810">
            <v>0</v>
          </cell>
          <cell r="O1810">
            <v>0</v>
          </cell>
          <cell r="Q1810">
            <v>16075.48</v>
          </cell>
          <cell r="R1810">
            <v>0</v>
          </cell>
          <cell r="T1810">
            <v>241713.52000000002</v>
          </cell>
          <cell r="U1810">
            <v>0</v>
          </cell>
          <cell r="W1810">
            <v>381145.32000000007</v>
          </cell>
          <cell r="X1810">
            <v>0</v>
          </cell>
          <cell r="Z1810">
            <v>220667.26</v>
          </cell>
          <cell r="AA1810">
            <v>0</v>
          </cell>
          <cell r="AC1810">
            <v>253829.1400000006</v>
          </cell>
          <cell r="AD1810">
            <v>0</v>
          </cell>
          <cell r="AF1810">
            <v>374479.9700000002</v>
          </cell>
          <cell r="AG1810">
            <v>0</v>
          </cell>
          <cell r="AI1810">
            <v>425518.41999999993</v>
          </cell>
          <cell r="AJ1810">
            <v>0</v>
          </cell>
          <cell r="AL1810">
            <v>520007.97999999952</v>
          </cell>
          <cell r="AM1810">
            <v>0</v>
          </cell>
          <cell r="AO1810">
            <v>-2433437.0900000003</v>
          </cell>
          <cell r="AP1810">
            <v>0</v>
          </cell>
          <cell r="AR1810">
            <v>0</v>
          </cell>
          <cell r="AS1810">
            <v>0</v>
          </cell>
          <cell r="BF1810" t="str">
            <v>1000</v>
          </cell>
          <cell r="BG1810" t="str">
            <v>A008</v>
          </cell>
          <cell r="BH1810" t="str">
            <v>GSA</v>
          </cell>
        </row>
        <row r="1811">
          <cell r="K1811">
            <v>0</v>
          </cell>
          <cell r="L1811">
            <v>0</v>
          </cell>
          <cell r="N1811">
            <v>0</v>
          </cell>
          <cell r="O1811">
            <v>0</v>
          </cell>
          <cell r="Q1811">
            <v>0</v>
          </cell>
          <cell r="R1811">
            <v>0</v>
          </cell>
          <cell r="T1811">
            <v>0</v>
          </cell>
          <cell r="U1811">
            <v>0</v>
          </cell>
          <cell r="W1811">
            <v>0</v>
          </cell>
          <cell r="X1811">
            <v>0</v>
          </cell>
          <cell r="Z1811">
            <v>0</v>
          </cell>
          <cell r="AA1811">
            <v>0</v>
          </cell>
          <cell r="AC1811">
            <v>0</v>
          </cell>
          <cell r="AD1811">
            <v>0</v>
          </cell>
          <cell r="AF1811">
            <v>0</v>
          </cell>
          <cell r="AG1811">
            <v>0</v>
          </cell>
          <cell r="AI1811">
            <v>0</v>
          </cell>
          <cell r="AJ1811">
            <v>0</v>
          </cell>
          <cell r="AL1811">
            <v>0</v>
          </cell>
          <cell r="AM1811">
            <v>0</v>
          </cell>
          <cell r="AO1811">
            <v>0</v>
          </cell>
          <cell r="AP1811">
            <v>0</v>
          </cell>
          <cell r="AR1811">
            <v>0</v>
          </cell>
          <cell r="AS1811">
            <v>0</v>
          </cell>
          <cell r="BF1811" t="str">
            <v>1000</v>
          </cell>
          <cell r="BG1811" t="str">
            <v>A009</v>
          </cell>
          <cell r="BH1811" t="str">
            <v>GSA</v>
          </cell>
        </row>
        <row r="1812">
          <cell r="K1812">
            <v>222332.68000000005</v>
          </cell>
          <cell r="L1812">
            <v>0</v>
          </cell>
          <cell r="N1812">
            <v>388106.52999999997</v>
          </cell>
          <cell r="O1812">
            <v>0</v>
          </cell>
          <cell r="Q1812">
            <v>214797.61</v>
          </cell>
          <cell r="R1812">
            <v>0</v>
          </cell>
          <cell r="T1812">
            <v>111169.43999999994</v>
          </cell>
          <cell r="U1812">
            <v>0</v>
          </cell>
          <cell r="W1812">
            <v>41928.899999999907</v>
          </cell>
          <cell r="X1812">
            <v>0</v>
          </cell>
          <cell r="Z1812">
            <v>48093.14000000013</v>
          </cell>
          <cell r="AA1812">
            <v>0</v>
          </cell>
          <cell r="AC1812">
            <v>116465.10000000009</v>
          </cell>
          <cell r="AD1812">
            <v>0</v>
          </cell>
          <cell r="AF1812">
            <v>311116.70000000019</v>
          </cell>
          <cell r="AG1812">
            <v>0</v>
          </cell>
          <cell r="AI1812">
            <v>874955.52</v>
          </cell>
          <cell r="AJ1812">
            <v>0</v>
          </cell>
          <cell r="AL1812">
            <v>202558.52000000002</v>
          </cell>
          <cell r="AM1812">
            <v>0</v>
          </cell>
          <cell r="AO1812">
            <v>102999.47999999998</v>
          </cell>
          <cell r="AP1812">
            <v>0</v>
          </cell>
          <cell r="AR1812">
            <v>0</v>
          </cell>
          <cell r="AS1812">
            <v>0</v>
          </cell>
          <cell r="BF1812" t="str">
            <v>1000</v>
          </cell>
          <cell r="BG1812" t="str">
            <v>A010</v>
          </cell>
          <cell r="BH1812" t="str">
            <v>GSA</v>
          </cell>
        </row>
        <row r="1813">
          <cell r="K1813">
            <v>0</v>
          </cell>
          <cell r="L1813">
            <v>0</v>
          </cell>
          <cell r="N1813">
            <v>0</v>
          </cell>
          <cell r="O1813">
            <v>0</v>
          </cell>
          <cell r="Q1813">
            <v>0</v>
          </cell>
          <cell r="R1813">
            <v>0</v>
          </cell>
          <cell r="T1813">
            <v>0</v>
          </cell>
          <cell r="U1813">
            <v>0</v>
          </cell>
          <cell r="W1813">
            <v>0</v>
          </cell>
          <cell r="X1813">
            <v>0</v>
          </cell>
          <cell r="Z1813">
            <v>0</v>
          </cell>
          <cell r="AA1813">
            <v>0</v>
          </cell>
          <cell r="AC1813">
            <v>0</v>
          </cell>
          <cell r="AD1813">
            <v>0</v>
          </cell>
          <cell r="AF1813">
            <v>0</v>
          </cell>
          <cell r="AG1813">
            <v>0</v>
          </cell>
          <cell r="AI1813">
            <v>0</v>
          </cell>
          <cell r="AJ1813">
            <v>0</v>
          </cell>
          <cell r="AL1813">
            <v>0</v>
          </cell>
          <cell r="AM1813">
            <v>0</v>
          </cell>
          <cell r="AO1813">
            <v>0</v>
          </cell>
          <cell r="AP1813">
            <v>0</v>
          </cell>
          <cell r="AR1813">
            <v>0</v>
          </cell>
          <cell r="AS1813">
            <v>0</v>
          </cell>
          <cell r="BF1813" t="str">
            <v>1005</v>
          </cell>
          <cell r="BG1813" t="str">
            <v>A081</v>
          </cell>
          <cell r="BH1813" t="str">
            <v>GSA</v>
          </cell>
        </row>
        <row r="1814">
          <cell r="K1814">
            <v>0</v>
          </cell>
          <cell r="L1814">
            <v>0</v>
          </cell>
          <cell r="N1814">
            <v>0</v>
          </cell>
          <cell r="O1814">
            <v>0</v>
          </cell>
          <cell r="Q1814">
            <v>0</v>
          </cell>
          <cell r="R1814">
            <v>0</v>
          </cell>
          <cell r="T1814">
            <v>0</v>
          </cell>
          <cell r="U1814">
            <v>0</v>
          </cell>
          <cell r="W1814">
            <v>0</v>
          </cell>
          <cell r="X1814">
            <v>0</v>
          </cell>
          <cell r="Z1814">
            <v>0</v>
          </cell>
          <cell r="AA1814">
            <v>0</v>
          </cell>
          <cell r="AC1814">
            <v>175435.06</v>
          </cell>
          <cell r="AD1814">
            <v>0</v>
          </cell>
          <cell r="AF1814">
            <v>26424.299999999988</v>
          </cell>
          <cell r="AG1814">
            <v>0</v>
          </cell>
          <cell r="AI1814">
            <v>31648.080000000016</v>
          </cell>
          <cell r="AJ1814">
            <v>0</v>
          </cell>
          <cell r="AL1814">
            <v>-1208.4200000000128</v>
          </cell>
          <cell r="AM1814">
            <v>0</v>
          </cell>
          <cell r="AO1814">
            <v>4942.4599999999919</v>
          </cell>
          <cell r="AP1814">
            <v>0</v>
          </cell>
          <cell r="AR1814">
            <v>62285.320000000007</v>
          </cell>
          <cell r="AS1814">
            <v>0</v>
          </cell>
          <cell r="BF1814" t="str">
            <v>1005</v>
          </cell>
          <cell r="BG1814" t="str">
            <v>A082</v>
          </cell>
          <cell r="BH1814" t="str">
            <v>GSA</v>
          </cell>
        </row>
        <row r="1815">
          <cell r="K1815">
            <v>0</v>
          </cell>
          <cell r="L1815">
            <v>0</v>
          </cell>
          <cell r="N1815">
            <v>0</v>
          </cell>
          <cell r="O1815">
            <v>0</v>
          </cell>
          <cell r="Q1815">
            <v>0</v>
          </cell>
          <cell r="R1815">
            <v>0</v>
          </cell>
          <cell r="T1815">
            <v>0</v>
          </cell>
          <cell r="U1815">
            <v>0</v>
          </cell>
          <cell r="W1815">
            <v>0</v>
          </cell>
          <cell r="X1815">
            <v>0</v>
          </cell>
          <cell r="Z1815">
            <v>0</v>
          </cell>
          <cell r="AA1815">
            <v>0</v>
          </cell>
          <cell r="AC1815">
            <v>0</v>
          </cell>
          <cell r="AD1815">
            <v>0</v>
          </cell>
          <cell r="AF1815">
            <v>0</v>
          </cell>
          <cell r="AG1815">
            <v>0</v>
          </cell>
          <cell r="AI1815">
            <v>0</v>
          </cell>
          <cell r="AJ1815">
            <v>0</v>
          </cell>
          <cell r="AL1815">
            <v>0</v>
          </cell>
          <cell r="AM1815">
            <v>0</v>
          </cell>
          <cell r="AO1815">
            <v>0</v>
          </cell>
          <cell r="AP1815">
            <v>0</v>
          </cell>
          <cell r="AR1815">
            <v>0</v>
          </cell>
          <cell r="AS1815">
            <v>0</v>
          </cell>
          <cell r="BF1815" t="str">
            <v>1005</v>
          </cell>
          <cell r="BG1815" t="str">
            <v>A083</v>
          </cell>
          <cell r="BH1815" t="str">
            <v>GSA</v>
          </cell>
        </row>
        <row r="1816">
          <cell r="K1816">
            <v>0</v>
          </cell>
          <cell r="L1816">
            <v>0</v>
          </cell>
          <cell r="N1816">
            <v>0</v>
          </cell>
          <cell r="O1816">
            <v>0</v>
          </cell>
          <cell r="Q1816">
            <v>0</v>
          </cell>
          <cell r="R1816">
            <v>0</v>
          </cell>
          <cell r="T1816">
            <v>0</v>
          </cell>
          <cell r="U1816">
            <v>0</v>
          </cell>
          <cell r="W1816">
            <v>0</v>
          </cell>
          <cell r="X1816">
            <v>0</v>
          </cell>
          <cell r="Z1816">
            <v>0</v>
          </cell>
          <cell r="AA1816">
            <v>0</v>
          </cell>
          <cell r="AC1816">
            <v>137.31999999999994</v>
          </cell>
          <cell r="AD1816">
            <v>0</v>
          </cell>
          <cell r="AF1816">
            <v>30.129999999999882</v>
          </cell>
          <cell r="AG1816">
            <v>0</v>
          </cell>
          <cell r="AI1816">
            <v>308.88000000000011</v>
          </cell>
          <cell r="AJ1816">
            <v>0</v>
          </cell>
          <cell r="AL1816">
            <v>11879.04</v>
          </cell>
          <cell r="AM1816">
            <v>0</v>
          </cell>
          <cell r="AO1816">
            <v>11191.12</v>
          </cell>
          <cell r="AP1816">
            <v>0</v>
          </cell>
          <cell r="AR1816">
            <v>9615.7200000000048</v>
          </cell>
          <cell r="AS1816">
            <v>0</v>
          </cell>
          <cell r="BF1816" t="str">
            <v>1005</v>
          </cell>
          <cell r="BG1816" t="str">
            <v>A084</v>
          </cell>
          <cell r="BH1816" t="str">
            <v>GSA</v>
          </cell>
        </row>
        <row r="1817">
          <cell r="K1817">
            <v>0</v>
          </cell>
          <cell r="L1817">
            <v>0</v>
          </cell>
          <cell r="N1817">
            <v>0</v>
          </cell>
          <cell r="O1817">
            <v>0</v>
          </cell>
          <cell r="Q1817">
            <v>0</v>
          </cell>
          <cell r="R1817">
            <v>0</v>
          </cell>
          <cell r="T1817">
            <v>0</v>
          </cell>
          <cell r="U1817">
            <v>0</v>
          </cell>
          <cell r="W1817">
            <v>0</v>
          </cell>
          <cell r="X1817">
            <v>0</v>
          </cell>
          <cell r="Z1817">
            <v>0</v>
          </cell>
          <cell r="AA1817">
            <v>0</v>
          </cell>
          <cell r="AC1817">
            <v>0</v>
          </cell>
          <cell r="AD1817">
            <v>0</v>
          </cell>
          <cell r="AF1817">
            <v>0</v>
          </cell>
          <cell r="AG1817">
            <v>0</v>
          </cell>
          <cell r="AI1817">
            <v>0</v>
          </cell>
          <cell r="AJ1817">
            <v>0</v>
          </cell>
          <cell r="AL1817">
            <v>0</v>
          </cell>
          <cell r="AM1817">
            <v>0</v>
          </cell>
          <cell r="AO1817">
            <v>0</v>
          </cell>
          <cell r="AP1817">
            <v>0</v>
          </cell>
          <cell r="AR1817">
            <v>0</v>
          </cell>
          <cell r="AS1817">
            <v>0</v>
          </cell>
          <cell r="BF1817" t="str">
            <v>1005</v>
          </cell>
          <cell r="BG1817" t="str">
            <v>A085</v>
          </cell>
          <cell r="BH1817" t="str">
            <v>GSA</v>
          </cell>
        </row>
        <row r="1818">
          <cell r="K1818">
            <v>0</v>
          </cell>
          <cell r="L1818">
            <v>0</v>
          </cell>
          <cell r="N1818">
            <v>0</v>
          </cell>
          <cell r="O1818">
            <v>0</v>
          </cell>
          <cell r="Q1818">
            <v>1.4210854715202004E-14</v>
          </cell>
          <cell r="R1818">
            <v>0</v>
          </cell>
          <cell r="T1818">
            <v>0</v>
          </cell>
          <cell r="U1818">
            <v>0</v>
          </cell>
          <cell r="W1818">
            <v>122.03999999999998</v>
          </cell>
          <cell r="X1818">
            <v>0</v>
          </cell>
          <cell r="Z1818">
            <v>301.09000000000015</v>
          </cell>
          <cell r="AA1818">
            <v>0</v>
          </cell>
          <cell r="AC1818">
            <v>120.40000000000009</v>
          </cell>
          <cell r="AD1818">
            <v>0</v>
          </cell>
          <cell r="AF1818">
            <v>0</v>
          </cell>
          <cell r="AG1818">
            <v>0</v>
          </cell>
          <cell r="AI1818">
            <v>306.12999999999988</v>
          </cell>
          <cell r="AJ1818">
            <v>0</v>
          </cell>
          <cell r="AL1818">
            <v>0</v>
          </cell>
          <cell r="AM1818">
            <v>0</v>
          </cell>
          <cell r="AO1818">
            <v>0</v>
          </cell>
          <cell r="AP1818">
            <v>0</v>
          </cell>
          <cell r="AR1818">
            <v>0</v>
          </cell>
          <cell r="AS1818">
            <v>0</v>
          </cell>
          <cell r="BF1818" t="str">
            <v>1005</v>
          </cell>
          <cell r="BG1818" t="str">
            <v>A086</v>
          </cell>
          <cell r="BH1818" t="str">
            <v>GSA</v>
          </cell>
        </row>
        <row r="1819">
          <cell r="K1819">
            <v>0</v>
          </cell>
          <cell r="L1819">
            <v>0</v>
          </cell>
          <cell r="N1819">
            <v>0</v>
          </cell>
          <cell r="O1819">
            <v>0</v>
          </cell>
          <cell r="Q1819">
            <v>0</v>
          </cell>
          <cell r="R1819">
            <v>0</v>
          </cell>
          <cell r="T1819">
            <v>0</v>
          </cell>
          <cell r="U1819">
            <v>0</v>
          </cell>
          <cell r="W1819">
            <v>0</v>
          </cell>
          <cell r="X1819">
            <v>0</v>
          </cell>
          <cell r="Z1819">
            <v>0</v>
          </cell>
          <cell r="AA1819">
            <v>0</v>
          </cell>
          <cell r="AC1819">
            <v>0</v>
          </cell>
          <cell r="AD1819">
            <v>0</v>
          </cell>
          <cell r="AF1819">
            <v>0</v>
          </cell>
          <cell r="AG1819">
            <v>0</v>
          </cell>
          <cell r="AI1819">
            <v>0</v>
          </cell>
          <cell r="AJ1819">
            <v>0</v>
          </cell>
          <cell r="AL1819">
            <v>0</v>
          </cell>
          <cell r="AM1819">
            <v>0</v>
          </cell>
          <cell r="AO1819">
            <v>0</v>
          </cell>
          <cell r="AP1819">
            <v>0</v>
          </cell>
          <cell r="AR1819">
            <v>0</v>
          </cell>
          <cell r="AS1819">
            <v>0</v>
          </cell>
          <cell r="BF1819" t="str">
            <v>1008</v>
          </cell>
          <cell r="BG1819" t="str">
            <v>A041</v>
          </cell>
          <cell r="BH1819" t="str">
            <v>GSA</v>
          </cell>
        </row>
        <row r="1820">
          <cell r="K1820">
            <v>0</v>
          </cell>
          <cell r="L1820">
            <v>0</v>
          </cell>
          <cell r="N1820">
            <v>0</v>
          </cell>
          <cell r="O1820">
            <v>0</v>
          </cell>
          <cell r="Q1820">
            <v>0</v>
          </cell>
          <cell r="R1820">
            <v>0</v>
          </cell>
          <cell r="T1820">
            <v>0</v>
          </cell>
          <cell r="U1820">
            <v>0</v>
          </cell>
          <cell r="W1820">
            <v>0</v>
          </cell>
          <cell r="X1820">
            <v>0</v>
          </cell>
          <cell r="Z1820">
            <v>0</v>
          </cell>
          <cell r="AA1820">
            <v>0</v>
          </cell>
          <cell r="AC1820">
            <v>0</v>
          </cell>
          <cell r="AD1820">
            <v>0</v>
          </cell>
          <cell r="AF1820">
            <v>0</v>
          </cell>
          <cell r="AG1820">
            <v>0</v>
          </cell>
          <cell r="AI1820">
            <v>0</v>
          </cell>
          <cell r="AJ1820">
            <v>0</v>
          </cell>
          <cell r="AL1820">
            <v>0</v>
          </cell>
          <cell r="AM1820">
            <v>0</v>
          </cell>
          <cell r="AO1820">
            <v>0</v>
          </cell>
          <cell r="AP1820">
            <v>0</v>
          </cell>
          <cell r="AR1820">
            <v>0</v>
          </cell>
          <cell r="AS1820">
            <v>0</v>
          </cell>
          <cell r="BF1820" t="str">
            <v>1008</v>
          </cell>
          <cell r="BG1820" t="str">
            <v>A042</v>
          </cell>
          <cell r="BH1820" t="str">
            <v>GSA</v>
          </cell>
        </row>
        <row r="1821">
          <cell r="K1821">
            <v>0</v>
          </cell>
          <cell r="L1821">
            <v>0</v>
          </cell>
          <cell r="N1821">
            <v>0</v>
          </cell>
          <cell r="O1821">
            <v>0</v>
          </cell>
          <cell r="Q1821">
            <v>0</v>
          </cell>
          <cell r="R1821">
            <v>0</v>
          </cell>
          <cell r="T1821">
            <v>0</v>
          </cell>
          <cell r="U1821">
            <v>0</v>
          </cell>
          <cell r="W1821">
            <v>0</v>
          </cell>
          <cell r="X1821">
            <v>0</v>
          </cell>
          <cell r="Z1821">
            <v>0</v>
          </cell>
          <cell r="AA1821">
            <v>0</v>
          </cell>
          <cell r="AC1821">
            <v>0</v>
          </cell>
          <cell r="AD1821">
            <v>0</v>
          </cell>
          <cell r="AF1821">
            <v>0</v>
          </cell>
          <cell r="AG1821">
            <v>0</v>
          </cell>
          <cell r="AI1821">
            <v>0</v>
          </cell>
          <cell r="AJ1821">
            <v>0</v>
          </cell>
          <cell r="AL1821">
            <v>0</v>
          </cell>
          <cell r="AM1821">
            <v>0</v>
          </cell>
          <cell r="AO1821">
            <v>0</v>
          </cell>
          <cell r="AP1821">
            <v>0</v>
          </cell>
          <cell r="AR1821">
            <v>0</v>
          </cell>
          <cell r="AS1821">
            <v>0</v>
          </cell>
          <cell r="BF1821" t="str">
            <v>1008</v>
          </cell>
          <cell r="BG1821" t="str">
            <v>A043</v>
          </cell>
          <cell r="BH1821" t="str">
            <v>GSA</v>
          </cell>
        </row>
        <row r="1822">
          <cell r="K1822">
            <v>0</v>
          </cell>
          <cell r="L1822">
            <v>0</v>
          </cell>
          <cell r="N1822">
            <v>0</v>
          </cell>
          <cell r="O1822">
            <v>0</v>
          </cell>
          <cell r="Q1822">
            <v>0</v>
          </cell>
          <cell r="R1822">
            <v>0</v>
          </cell>
          <cell r="T1822">
            <v>0</v>
          </cell>
          <cell r="U1822">
            <v>0</v>
          </cell>
          <cell r="W1822">
            <v>0</v>
          </cell>
          <cell r="X1822">
            <v>0</v>
          </cell>
          <cell r="Z1822">
            <v>0</v>
          </cell>
          <cell r="AA1822">
            <v>0</v>
          </cell>
          <cell r="AC1822">
            <v>0</v>
          </cell>
          <cell r="AD1822">
            <v>0</v>
          </cell>
          <cell r="AF1822">
            <v>0</v>
          </cell>
          <cell r="AG1822">
            <v>0</v>
          </cell>
          <cell r="AI1822">
            <v>0</v>
          </cell>
          <cell r="AJ1822">
            <v>0</v>
          </cell>
          <cell r="AL1822">
            <v>0</v>
          </cell>
          <cell r="AM1822">
            <v>0</v>
          </cell>
          <cell r="AO1822">
            <v>0</v>
          </cell>
          <cell r="AP1822">
            <v>0</v>
          </cell>
          <cell r="AR1822">
            <v>0</v>
          </cell>
          <cell r="AS1822">
            <v>0</v>
          </cell>
          <cell r="BF1822" t="str">
            <v>1008</v>
          </cell>
          <cell r="BG1822" t="str">
            <v>A044</v>
          </cell>
          <cell r="BH1822" t="str">
            <v>GSA</v>
          </cell>
        </row>
        <row r="1823">
          <cell r="K1823">
            <v>0</v>
          </cell>
          <cell r="L1823">
            <v>0</v>
          </cell>
          <cell r="N1823">
            <v>0</v>
          </cell>
          <cell r="O1823">
            <v>0</v>
          </cell>
          <cell r="Q1823">
            <v>0</v>
          </cell>
          <cell r="R1823">
            <v>0</v>
          </cell>
          <cell r="T1823">
            <v>0</v>
          </cell>
          <cell r="U1823">
            <v>0</v>
          </cell>
          <cell r="W1823">
            <v>0</v>
          </cell>
          <cell r="X1823">
            <v>0</v>
          </cell>
          <cell r="Z1823">
            <v>0</v>
          </cell>
          <cell r="AA1823">
            <v>0</v>
          </cell>
          <cell r="AC1823">
            <v>0</v>
          </cell>
          <cell r="AD1823">
            <v>0</v>
          </cell>
          <cell r="AF1823">
            <v>0</v>
          </cell>
          <cell r="AG1823">
            <v>0</v>
          </cell>
          <cell r="AI1823">
            <v>0</v>
          </cell>
          <cell r="AJ1823">
            <v>0</v>
          </cell>
          <cell r="AL1823">
            <v>0</v>
          </cell>
          <cell r="AM1823">
            <v>0</v>
          </cell>
          <cell r="AO1823">
            <v>0</v>
          </cell>
          <cell r="AP1823">
            <v>0</v>
          </cell>
          <cell r="AR1823">
            <v>0</v>
          </cell>
          <cell r="AS1823">
            <v>0</v>
          </cell>
          <cell r="BF1823" t="str">
            <v>1009</v>
          </cell>
          <cell r="BG1823" t="str">
            <v>A061</v>
          </cell>
          <cell r="BH1823" t="str">
            <v>GSA</v>
          </cell>
        </row>
        <row r="1824">
          <cell r="K1824">
            <v>0</v>
          </cell>
          <cell r="L1824">
            <v>0</v>
          </cell>
          <cell r="N1824">
            <v>0</v>
          </cell>
          <cell r="O1824">
            <v>0</v>
          </cell>
          <cell r="Q1824">
            <v>0</v>
          </cell>
          <cell r="R1824">
            <v>0</v>
          </cell>
          <cell r="T1824">
            <v>0</v>
          </cell>
          <cell r="U1824">
            <v>0</v>
          </cell>
          <cell r="W1824">
            <v>0</v>
          </cell>
          <cell r="X1824">
            <v>0</v>
          </cell>
          <cell r="Z1824">
            <v>0</v>
          </cell>
          <cell r="AA1824">
            <v>0</v>
          </cell>
          <cell r="AC1824">
            <v>0</v>
          </cell>
          <cell r="AD1824">
            <v>0</v>
          </cell>
          <cell r="AF1824">
            <v>0</v>
          </cell>
          <cell r="AG1824">
            <v>0</v>
          </cell>
          <cell r="AI1824">
            <v>0</v>
          </cell>
          <cell r="AJ1824">
            <v>0</v>
          </cell>
          <cell r="AL1824">
            <v>0</v>
          </cell>
          <cell r="AM1824">
            <v>0</v>
          </cell>
          <cell r="AO1824">
            <v>0</v>
          </cell>
          <cell r="AP1824">
            <v>0</v>
          </cell>
          <cell r="AR1824">
            <v>0</v>
          </cell>
          <cell r="AS1824">
            <v>0</v>
          </cell>
          <cell r="BF1824" t="str">
            <v>1009</v>
          </cell>
          <cell r="BG1824" t="str">
            <v>A062</v>
          </cell>
          <cell r="BH1824" t="str">
            <v>GSA</v>
          </cell>
        </row>
        <row r="1825">
          <cell r="K1825">
            <v>0</v>
          </cell>
          <cell r="L1825">
            <v>0</v>
          </cell>
          <cell r="N1825">
            <v>0</v>
          </cell>
          <cell r="O1825">
            <v>0</v>
          </cell>
          <cell r="Q1825">
            <v>0</v>
          </cell>
          <cell r="R1825">
            <v>0</v>
          </cell>
          <cell r="T1825">
            <v>0</v>
          </cell>
          <cell r="U1825">
            <v>0</v>
          </cell>
          <cell r="W1825">
            <v>0</v>
          </cell>
          <cell r="X1825">
            <v>0</v>
          </cell>
          <cell r="Z1825">
            <v>0</v>
          </cell>
          <cell r="AA1825">
            <v>0</v>
          </cell>
          <cell r="AC1825">
            <v>0</v>
          </cell>
          <cell r="AD1825">
            <v>0</v>
          </cell>
          <cell r="AF1825">
            <v>0</v>
          </cell>
          <cell r="AG1825">
            <v>0</v>
          </cell>
          <cell r="AI1825">
            <v>0</v>
          </cell>
          <cell r="AJ1825">
            <v>0</v>
          </cell>
          <cell r="AL1825">
            <v>0</v>
          </cell>
          <cell r="AM1825">
            <v>0</v>
          </cell>
          <cell r="AO1825">
            <v>0</v>
          </cell>
          <cell r="AP1825">
            <v>0</v>
          </cell>
          <cell r="AR1825">
            <v>0</v>
          </cell>
          <cell r="AS1825">
            <v>0</v>
          </cell>
          <cell r="BF1825" t="str">
            <v>1009</v>
          </cell>
          <cell r="BG1825" t="str">
            <v>A063</v>
          </cell>
          <cell r="BH1825" t="str">
            <v>GSA</v>
          </cell>
        </row>
        <row r="1826">
          <cell r="K1826">
            <v>-56559.6</v>
          </cell>
          <cell r="L1826">
            <v>0</v>
          </cell>
          <cell r="N1826">
            <v>0</v>
          </cell>
          <cell r="O1826">
            <v>0</v>
          </cell>
          <cell r="Q1826">
            <v>-7.2759576141834259E-12</v>
          </cell>
          <cell r="R1826">
            <v>0</v>
          </cell>
          <cell r="T1826">
            <v>0</v>
          </cell>
          <cell r="U1826">
            <v>0</v>
          </cell>
          <cell r="W1826">
            <v>0</v>
          </cell>
          <cell r="X1826">
            <v>0</v>
          </cell>
          <cell r="Z1826">
            <v>0</v>
          </cell>
          <cell r="AA1826">
            <v>0</v>
          </cell>
          <cell r="AC1826">
            <v>0</v>
          </cell>
          <cell r="AD1826">
            <v>0</v>
          </cell>
          <cell r="AF1826">
            <v>0</v>
          </cell>
          <cell r="AG1826">
            <v>0</v>
          </cell>
          <cell r="AI1826">
            <v>0</v>
          </cell>
          <cell r="AJ1826">
            <v>0</v>
          </cell>
          <cell r="AL1826">
            <v>0</v>
          </cell>
          <cell r="AM1826">
            <v>0</v>
          </cell>
          <cell r="AO1826">
            <v>0</v>
          </cell>
          <cell r="AP1826">
            <v>0</v>
          </cell>
          <cell r="AR1826">
            <v>0</v>
          </cell>
          <cell r="AS1826">
            <v>0</v>
          </cell>
          <cell r="BF1826" t="str">
            <v>1009</v>
          </cell>
          <cell r="BG1826" t="str">
            <v>A064</v>
          </cell>
          <cell r="BH1826" t="str">
            <v>GSA</v>
          </cell>
        </row>
        <row r="1827">
          <cell r="K1827">
            <v>0</v>
          </cell>
          <cell r="L1827">
            <v>0</v>
          </cell>
          <cell r="N1827">
            <v>0</v>
          </cell>
          <cell r="O1827">
            <v>0</v>
          </cell>
          <cell r="Q1827">
            <v>0</v>
          </cell>
          <cell r="R1827">
            <v>0</v>
          </cell>
          <cell r="T1827">
            <v>0</v>
          </cell>
          <cell r="U1827">
            <v>0</v>
          </cell>
          <cell r="W1827">
            <v>0</v>
          </cell>
          <cell r="X1827">
            <v>0</v>
          </cell>
          <cell r="Z1827">
            <v>0</v>
          </cell>
          <cell r="AA1827">
            <v>0</v>
          </cell>
          <cell r="AC1827">
            <v>0</v>
          </cell>
          <cell r="AD1827">
            <v>0</v>
          </cell>
          <cell r="AF1827">
            <v>0</v>
          </cell>
          <cell r="AG1827">
            <v>0</v>
          </cell>
          <cell r="AI1827">
            <v>0</v>
          </cell>
          <cell r="AJ1827">
            <v>0</v>
          </cell>
          <cell r="AL1827">
            <v>0</v>
          </cell>
          <cell r="AM1827">
            <v>0</v>
          </cell>
          <cell r="AO1827">
            <v>0</v>
          </cell>
          <cell r="AP1827">
            <v>0</v>
          </cell>
          <cell r="AR1827">
            <v>0</v>
          </cell>
          <cell r="AS1827">
            <v>0</v>
          </cell>
          <cell r="BF1827" t="str">
            <v>1009</v>
          </cell>
          <cell r="BG1827" t="str">
            <v>A065</v>
          </cell>
          <cell r="BH1827" t="str">
            <v>GSA</v>
          </cell>
        </row>
        <row r="1828">
          <cell r="K1828">
            <v>0</v>
          </cell>
          <cell r="L1828">
            <v>0</v>
          </cell>
          <cell r="N1828">
            <v>0</v>
          </cell>
          <cell r="O1828">
            <v>0</v>
          </cell>
          <cell r="Q1828">
            <v>0</v>
          </cell>
          <cell r="R1828">
            <v>0</v>
          </cell>
          <cell r="T1828">
            <v>0</v>
          </cell>
          <cell r="U1828">
            <v>0</v>
          </cell>
          <cell r="W1828">
            <v>0</v>
          </cell>
          <cell r="X1828">
            <v>0</v>
          </cell>
          <cell r="Z1828">
            <v>0</v>
          </cell>
          <cell r="AA1828">
            <v>0</v>
          </cell>
          <cell r="AC1828">
            <v>12608.540000000037</v>
          </cell>
          <cell r="AD1828">
            <v>0</v>
          </cell>
          <cell r="AF1828">
            <v>11528.60399600002</v>
          </cell>
          <cell r="AG1828">
            <v>0</v>
          </cell>
          <cell r="AI1828">
            <v>12905.780000000028</v>
          </cell>
          <cell r="AJ1828">
            <v>0</v>
          </cell>
          <cell r="AL1828">
            <v>10289.390000000014</v>
          </cell>
          <cell r="AM1828">
            <v>0</v>
          </cell>
          <cell r="AO1828">
            <v>11142.5</v>
          </cell>
          <cell r="AP1828">
            <v>0</v>
          </cell>
          <cell r="AR1828">
            <v>7340.5</v>
          </cell>
          <cell r="AS1828">
            <v>0</v>
          </cell>
          <cell r="BF1828" t="str">
            <v>2001</v>
          </cell>
          <cell r="BG1828" t="str">
            <v>B001</v>
          </cell>
          <cell r="BH1828" t="str">
            <v>GSA</v>
          </cell>
        </row>
        <row r="1829">
          <cell r="K1829">
            <v>0</v>
          </cell>
          <cell r="L1829">
            <v>0</v>
          </cell>
          <cell r="N1829">
            <v>0</v>
          </cell>
          <cell r="O1829">
            <v>0</v>
          </cell>
          <cell r="Q1829">
            <v>0</v>
          </cell>
          <cell r="R1829">
            <v>0</v>
          </cell>
          <cell r="T1829">
            <v>0</v>
          </cell>
          <cell r="U1829">
            <v>0</v>
          </cell>
          <cell r="W1829">
            <v>0</v>
          </cell>
          <cell r="X1829">
            <v>0</v>
          </cell>
          <cell r="Z1829">
            <v>0</v>
          </cell>
          <cell r="AA1829">
            <v>0</v>
          </cell>
          <cell r="AC1829">
            <v>0</v>
          </cell>
          <cell r="AD1829">
            <v>0</v>
          </cell>
          <cell r="AF1829">
            <v>0</v>
          </cell>
          <cell r="AG1829">
            <v>0</v>
          </cell>
          <cell r="AI1829">
            <v>0</v>
          </cell>
          <cell r="AJ1829">
            <v>0</v>
          </cell>
          <cell r="AL1829">
            <v>-2.2737367544323206E-13</v>
          </cell>
          <cell r="AM1829">
            <v>0</v>
          </cell>
          <cell r="AO1829">
            <v>0</v>
          </cell>
          <cell r="AP1829">
            <v>0</v>
          </cell>
          <cell r="AR1829">
            <v>0</v>
          </cell>
          <cell r="AS1829">
            <v>0</v>
          </cell>
          <cell r="BF1829" t="str">
            <v>2001</v>
          </cell>
          <cell r="BG1829" t="str">
            <v>B002</v>
          </cell>
          <cell r="BH1829" t="str">
            <v>GSA</v>
          </cell>
        </row>
        <row r="1830">
          <cell r="K1830">
            <v>0</v>
          </cell>
          <cell r="L1830">
            <v>0</v>
          </cell>
          <cell r="N1830">
            <v>0</v>
          </cell>
          <cell r="O1830">
            <v>0</v>
          </cell>
          <cell r="Q1830">
            <v>0</v>
          </cell>
          <cell r="R1830">
            <v>0</v>
          </cell>
          <cell r="T1830">
            <v>0</v>
          </cell>
          <cell r="U1830">
            <v>0</v>
          </cell>
          <cell r="W1830">
            <v>0</v>
          </cell>
          <cell r="X1830">
            <v>0</v>
          </cell>
          <cell r="Z1830">
            <v>0</v>
          </cell>
          <cell r="AA1830">
            <v>0</v>
          </cell>
          <cell r="AC1830">
            <v>28161.05</v>
          </cell>
          <cell r="AD1830">
            <v>0</v>
          </cell>
          <cell r="AF1830">
            <v>18226.689999999999</v>
          </cell>
          <cell r="AG1830">
            <v>0</v>
          </cell>
          <cell r="AI1830">
            <v>-24010.649999999994</v>
          </cell>
          <cell r="AJ1830">
            <v>0</v>
          </cell>
          <cell r="AL1830">
            <v>117979.56000000003</v>
          </cell>
          <cell r="AM1830">
            <v>0</v>
          </cell>
          <cell r="AO1830">
            <v>182787.49</v>
          </cell>
          <cell r="AP1830">
            <v>0</v>
          </cell>
          <cell r="AR1830">
            <v>209705.74</v>
          </cell>
          <cell r="AS1830">
            <v>0</v>
          </cell>
          <cell r="BF1830" t="str">
            <v>2001</v>
          </cell>
          <cell r="BG1830" t="str">
            <v>B003</v>
          </cell>
          <cell r="BH1830" t="str">
            <v>GSA</v>
          </cell>
        </row>
        <row r="1831">
          <cell r="K1831">
            <v>0</v>
          </cell>
          <cell r="L1831">
            <v>0</v>
          </cell>
          <cell r="N1831">
            <v>34465.86</v>
          </cell>
          <cell r="O1831">
            <v>0</v>
          </cell>
          <cell r="Q1831">
            <v>59100.810000000012</v>
          </cell>
          <cell r="R1831">
            <v>0</v>
          </cell>
          <cell r="T1831">
            <v>84364.93</v>
          </cell>
          <cell r="U1831">
            <v>0</v>
          </cell>
          <cell r="W1831">
            <v>100100.26999999999</v>
          </cell>
          <cell r="X1831">
            <v>0</v>
          </cell>
          <cell r="Z1831">
            <v>124604.45000000001</v>
          </cell>
          <cell r="AA1831">
            <v>0</v>
          </cell>
          <cell r="AC1831">
            <v>154298.51999999996</v>
          </cell>
          <cell r="AD1831">
            <v>0</v>
          </cell>
          <cell r="AF1831">
            <v>219975.40999999992</v>
          </cell>
          <cell r="AG1831">
            <v>0</v>
          </cell>
          <cell r="AI1831">
            <v>298007.89</v>
          </cell>
          <cell r="AJ1831">
            <v>0</v>
          </cell>
          <cell r="AL1831">
            <v>218104.39000000013</v>
          </cell>
          <cell r="AM1831">
            <v>0</v>
          </cell>
          <cell r="AO1831">
            <v>221672.16999999993</v>
          </cell>
          <cell r="AP1831">
            <v>0</v>
          </cell>
          <cell r="AR1831">
            <v>214163.83999999985</v>
          </cell>
          <cell r="AS1831">
            <v>0</v>
          </cell>
          <cell r="BF1831" t="str">
            <v>2001</v>
          </cell>
          <cell r="BG1831" t="str">
            <v>B004</v>
          </cell>
          <cell r="BH1831" t="str">
            <v>GSA</v>
          </cell>
        </row>
        <row r="1832">
          <cell r="K1832">
            <v>0</v>
          </cell>
          <cell r="L1832">
            <v>0</v>
          </cell>
          <cell r="N1832">
            <v>0</v>
          </cell>
          <cell r="O1832">
            <v>0</v>
          </cell>
          <cell r="Q1832">
            <v>0</v>
          </cell>
          <cell r="R1832">
            <v>0</v>
          </cell>
          <cell r="T1832">
            <v>0</v>
          </cell>
          <cell r="U1832">
            <v>0</v>
          </cell>
          <cell r="W1832">
            <v>0</v>
          </cell>
          <cell r="X1832">
            <v>0</v>
          </cell>
          <cell r="Z1832">
            <v>0</v>
          </cell>
          <cell r="AA1832">
            <v>0</v>
          </cell>
          <cell r="AC1832">
            <v>0</v>
          </cell>
          <cell r="AD1832">
            <v>0</v>
          </cell>
          <cell r="AF1832">
            <v>0</v>
          </cell>
          <cell r="AG1832">
            <v>0</v>
          </cell>
          <cell r="AI1832">
            <v>0</v>
          </cell>
          <cell r="AJ1832">
            <v>0</v>
          </cell>
          <cell r="AL1832">
            <v>0</v>
          </cell>
          <cell r="AM1832">
            <v>0</v>
          </cell>
          <cell r="AO1832">
            <v>0</v>
          </cell>
          <cell r="AP1832">
            <v>0</v>
          </cell>
          <cell r="AR1832">
            <v>0</v>
          </cell>
          <cell r="AS1832">
            <v>0</v>
          </cell>
          <cell r="BF1832" t="str">
            <v>2001</v>
          </cell>
          <cell r="BG1832" t="str">
            <v>B005</v>
          </cell>
          <cell r="BH1832" t="str">
            <v>GSA</v>
          </cell>
        </row>
        <row r="1833">
          <cell r="K1833">
            <v>1.3499999999767169</v>
          </cell>
          <cell r="L1833">
            <v>0</v>
          </cell>
          <cell r="N1833">
            <v>70.909999999974389</v>
          </cell>
          <cell r="O1833">
            <v>0</v>
          </cell>
          <cell r="Q1833">
            <v>-63.960000000020955</v>
          </cell>
          <cell r="R1833">
            <v>0</v>
          </cell>
          <cell r="T1833">
            <v>-26.049999999988358</v>
          </cell>
          <cell r="U1833">
            <v>0</v>
          </cell>
          <cell r="W1833">
            <v>0</v>
          </cell>
          <cell r="X1833">
            <v>0</v>
          </cell>
          <cell r="Z1833">
            <v>0</v>
          </cell>
          <cell r="AA1833">
            <v>0</v>
          </cell>
          <cell r="AC1833">
            <v>40.510000000009313</v>
          </cell>
          <cell r="AD1833">
            <v>0</v>
          </cell>
          <cell r="AF1833">
            <v>695.46999999997206</v>
          </cell>
          <cell r="AG1833">
            <v>0</v>
          </cell>
          <cell r="AI1833">
            <v>0</v>
          </cell>
          <cell r="AJ1833">
            <v>0</v>
          </cell>
          <cell r="AL1833">
            <v>17.190000000002328</v>
          </cell>
          <cell r="AM1833">
            <v>0</v>
          </cell>
          <cell r="AO1833">
            <v>25.460000000020955</v>
          </cell>
          <cell r="AP1833">
            <v>0</v>
          </cell>
          <cell r="AR1833">
            <v>50.049999999988358</v>
          </cell>
          <cell r="AS1833">
            <v>0</v>
          </cell>
          <cell r="BF1833" t="str">
            <v>2001</v>
          </cell>
          <cell r="BG1833" t="str">
            <v>B006</v>
          </cell>
          <cell r="BH1833" t="str">
            <v>GSA</v>
          </cell>
        </row>
        <row r="1834">
          <cell r="K1834">
            <v>0</v>
          </cell>
          <cell r="L1834">
            <v>0</v>
          </cell>
          <cell r="N1834">
            <v>0</v>
          </cell>
          <cell r="O1834">
            <v>0</v>
          </cell>
          <cell r="Q1834">
            <v>0</v>
          </cell>
          <cell r="R1834">
            <v>0</v>
          </cell>
          <cell r="T1834">
            <v>0</v>
          </cell>
          <cell r="U1834">
            <v>0</v>
          </cell>
          <cell r="W1834">
            <v>-1701.6499999999942</v>
          </cell>
          <cell r="X1834">
            <v>0</v>
          </cell>
          <cell r="Z1834">
            <v>0</v>
          </cell>
          <cell r="AA1834">
            <v>0</v>
          </cell>
          <cell r="AC1834">
            <v>0</v>
          </cell>
          <cell r="AD1834">
            <v>0</v>
          </cell>
          <cell r="AF1834">
            <v>0</v>
          </cell>
          <cell r="AG1834">
            <v>0</v>
          </cell>
          <cell r="AI1834">
            <v>0</v>
          </cell>
          <cell r="AJ1834">
            <v>0</v>
          </cell>
          <cell r="AL1834">
            <v>-3685</v>
          </cell>
          <cell r="AM1834">
            <v>0</v>
          </cell>
          <cell r="AO1834">
            <v>0</v>
          </cell>
          <cell r="AP1834">
            <v>0</v>
          </cell>
          <cell r="AR1834">
            <v>9240</v>
          </cell>
          <cell r="AS1834">
            <v>0</v>
          </cell>
          <cell r="BF1834" t="str">
            <v>2008</v>
          </cell>
          <cell r="BG1834" t="str">
            <v>Z000</v>
          </cell>
          <cell r="BH1834" t="str">
            <v>GSA</v>
          </cell>
        </row>
        <row r="1835">
          <cell r="K1835">
            <v>1002987.48</v>
          </cell>
          <cell r="L1835">
            <v>0</v>
          </cell>
          <cell r="N1835">
            <v>-248516.15999999968</v>
          </cell>
          <cell r="O1835">
            <v>0</v>
          </cell>
          <cell r="Q1835">
            <v>368547.99999999907</v>
          </cell>
          <cell r="R1835">
            <v>0</v>
          </cell>
          <cell r="T1835">
            <v>120945</v>
          </cell>
          <cell r="U1835">
            <v>0</v>
          </cell>
          <cell r="W1835">
            <v>777230.91000000015</v>
          </cell>
          <cell r="X1835">
            <v>0</v>
          </cell>
          <cell r="Z1835">
            <v>252111.91000000015</v>
          </cell>
          <cell r="AA1835">
            <v>0</v>
          </cell>
          <cell r="AC1835">
            <v>845714.52999999933</v>
          </cell>
          <cell r="AD1835">
            <v>0</v>
          </cell>
          <cell r="AF1835">
            <v>546525.31000000052</v>
          </cell>
          <cell r="AG1835">
            <v>0</v>
          </cell>
          <cell r="AI1835">
            <v>862650.22000000067</v>
          </cell>
          <cell r="AJ1835">
            <v>0</v>
          </cell>
          <cell r="AL1835">
            <v>842886.82000000123</v>
          </cell>
          <cell r="AM1835">
            <v>0</v>
          </cell>
          <cell r="AO1835">
            <v>686327.47999999858</v>
          </cell>
          <cell r="AP1835">
            <v>0</v>
          </cell>
          <cell r="AR1835">
            <v>3035459.8599999994</v>
          </cell>
          <cell r="AS1835">
            <v>0</v>
          </cell>
          <cell r="BF1835" t="str">
            <v>2010</v>
          </cell>
          <cell r="BG1835" t="str">
            <v>B021</v>
          </cell>
          <cell r="BH1835" t="str">
            <v>GSA</v>
          </cell>
        </row>
        <row r="1836">
          <cell r="K1836">
            <v>380853.36999999988</v>
          </cell>
          <cell r="L1836">
            <v>0</v>
          </cell>
          <cell r="N1836">
            <v>1434309.6499999997</v>
          </cell>
          <cell r="O1836">
            <v>0</v>
          </cell>
          <cell r="Q1836">
            <v>740797.04999999981</v>
          </cell>
          <cell r="R1836">
            <v>0</v>
          </cell>
          <cell r="T1836">
            <v>544303.43000000063</v>
          </cell>
          <cell r="U1836">
            <v>0</v>
          </cell>
          <cell r="W1836">
            <v>100888.12000000011</v>
          </cell>
          <cell r="X1836">
            <v>0</v>
          </cell>
          <cell r="Z1836">
            <v>288555.5</v>
          </cell>
          <cell r="AA1836">
            <v>0</v>
          </cell>
          <cell r="AC1836">
            <v>1500253.3100000005</v>
          </cell>
          <cell r="AD1836">
            <v>0</v>
          </cell>
          <cell r="AF1836">
            <v>1061609.1299999999</v>
          </cell>
          <cell r="AG1836">
            <v>0</v>
          </cell>
          <cell r="AI1836">
            <v>2088510.3000000026</v>
          </cell>
          <cell r="AJ1836">
            <v>0</v>
          </cell>
          <cell r="AL1836">
            <v>1619500.9299999997</v>
          </cell>
          <cell r="AM1836">
            <v>0</v>
          </cell>
          <cell r="AO1836">
            <v>354391.41000000015</v>
          </cell>
          <cell r="AP1836">
            <v>0</v>
          </cell>
          <cell r="AR1836">
            <v>877587.93999999762</v>
          </cell>
          <cell r="AS1836">
            <v>0</v>
          </cell>
          <cell r="BF1836" t="str">
            <v>2010</v>
          </cell>
          <cell r="BG1836" t="str">
            <v>B022</v>
          </cell>
          <cell r="BH1836" t="str">
            <v>GSA</v>
          </cell>
        </row>
        <row r="1837">
          <cell r="K1837">
            <v>0</v>
          </cell>
          <cell r="L1837">
            <v>0</v>
          </cell>
          <cell r="N1837">
            <v>0</v>
          </cell>
          <cell r="O1837">
            <v>0</v>
          </cell>
          <cell r="Q1837">
            <v>0</v>
          </cell>
          <cell r="R1837">
            <v>0</v>
          </cell>
          <cell r="T1837">
            <v>0</v>
          </cell>
          <cell r="U1837">
            <v>0</v>
          </cell>
          <cell r="W1837">
            <v>0</v>
          </cell>
          <cell r="X1837">
            <v>0</v>
          </cell>
          <cell r="Z1837">
            <v>0</v>
          </cell>
          <cell r="AA1837">
            <v>0</v>
          </cell>
          <cell r="AC1837">
            <v>0</v>
          </cell>
          <cell r="AD1837">
            <v>0</v>
          </cell>
          <cell r="AF1837">
            <v>0</v>
          </cell>
          <cell r="AG1837">
            <v>0</v>
          </cell>
          <cell r="AI1837">
            <v>-8235.66</v>
          </cell>
          <cell r="AJ1837">
            <v>0</v>
          </cell>
          <cell r="AL1837">
            <v>0</v>
          </cell>
          <cell r="AM1837">
            <v>0</v>
          </cell>
          <cell r="AO1837">
            <v>0</v>
          </cell>
          <cell r="AP1837">
            <v>0</v>
          </cell>
          <cell r="AR1837">
            <v>0</v>
          </cell>
          <cell r="AS1837">
            <v>0</v>
          </cell>
          <cell r="BF1837" t="str">
            <v>2010</v>
          </cell>
          <cell r="BG1837" t="str">
            <v>B023</v>
          </cell>
          <cell r="BH1837" t="str">
            <v>GSA</v>
          </cell>
        </row>
        <row r="1838">
          <cell r="K1838">
            <v>0</v>
          </cell>
          <cell r="L1838">
            <v>0</v>
          </cell>
          <cell r="N1838">
            <v>0</v>
          </cell>
          <cell r="O1838">
            <v>0</v>
          </cell>
          <cell r="Q1838">
            <v>0</v>
          </cell>
          <cell r="R1838">
            <v>0</v>
          </cell>
          <cell r="T1838">
            <v>0</v>
          </cell>
          <cell r="U1838">
            <v>0</v>
          </cell>
          <cell r="W1838">
            <v>0</v>
          </cell>
          <cell r="X1838">
            <v>0</v>
          </cell>
          <cell r="Z1838">
            <v>0</v>
          </cell>
          <cell r="AA1838">
            <v>0</v>
          </cell>
          <cell r="AC1838">
            <v>0</v>
          </cell>
          <cell r="AD1838">
            <v>0</v>
          </cell>
          <cell r="AF1838">
            <v>0</v>
          </cell>
          <cell r="AG1838">
            <v>0</v>
          </cell>
          <cell r="AI1838">
            <v>0</v>
          </cell>
          <cell r="AJ1838">
            <v>0</v>
          </cell>
          <cell r="AL1838">
            <v>0</v>
          </cell>
          <cell r="AM1838">
            <v>0</v>
          </cell>
          <cell r="AO1838">
            <v>0</v>
          </cell>
          <cell r="AP1838">
            <v>0</v>
          </cell>
          <cell r="AR1838">
            <v>0</v>
          </cell>
          <cell r="AS1838">
            <v>0</v>
          </cell>
          <cell r="BF1838" t="str">
            <v>2010</v>
          </cell>
          <cell r="BG1838" t="str">
            <v>B024</v>
          </cell>
          <cell r="BH1838" t="str">
            <v>GSA</v>
          </cell>
        </row>
        <row r="1839">
          <cell r="K1839">
            <v>131149.74</v>
          </cell>
          <cell r="L1839">
            <v>0</v>
          </cell>
          <cell r="N1839">
            <v>80542.539999999804</v>
          </cell>
          <cell r="O1839">
            <v>0</v>
          </cell>
          <cell r="Q1839">
            <v>110000</v>
          </cell>
          <cell r="R1839">
            <v>0</v>
          </cell>
          <cell r="T1839">
            <v>90000</v>
          </cell>
          <cell r="U1839">
            <v>0</v>
          </cell>
          <cell r="W1839">
            <v>90000</v>
          </cell>
          <cell r="X1839">
            <v>0</v>
          </cell>
          <cell r="Z1839">
            <v>119999.99999999977</v>
          </cell>
          <cell r="AA1839">
            <v>0</v>
          </cell>
          <cell r="AC1839">
            <v>120000</v>
          </cell>
          <cell r="AD1839">
            <v>0</v>
          </cell>
          <cell r="AF1839">
            <v>125000</v>
          </cell>
          <cell r="AG1839">
            <v>0</v>
          </cell>
          <cell r="AI1839">
            <v>151107.8900000006</v>
          </cell>
          <cell r="AJ1839">
            <v>0</v>
          </cell>
          <cell r="AL1839">
            <v>120000</v>
          </cell>
          <cell r="AM1839">
            <v>0</v>
          </cell>
          <cell r="AO1839">
            <v>128000</v>
          </cell>
          <cell r="AP1839">
            <v>0</v>
          </cell>
          <cell r="AR1839">
            <v>158000</v>
          </cell>
          <cell r="AS1839">
            <v>0</v>
          </cell>
          <cell r="BF1839" t="str">
            <v>2015</v>
          </cell>
          <cell r="BG1839" t="str">
            <v>B201</v>
          </cell>
          <cell r="BH1839" t="str">
            <v>GSA</v>
          </cell>
        </row>
        <row r="1840">
          <cell r="K1840">
            <v>25100</v>
          </cell>
          <cell r="L1840">
            <v>0</v>
          </cell>
          <cell r="N1840">
            <v>-492.02000000001863</v>
          </cell>
          <cell r="O1840">
            <v>0</v>
          </cell>
          <cell r="Q1840">
            <v>39400</v>
          </cell>
          <cell r="R1840">
            <v>0</v>
          </cell>
          <cell r="T1840">
            <v>30400</v>
          </cell>
          <cell r="U1840">
            <v>0</v>
          </cell>
          <cell r="W1840">
            <v>21322.830000000016</v>
          </cell>
          <cell r="X1840">
            <v>0</v>
          </cell>
          <cell r="Z1840">
            <v>35800</v>
          </cell>
          <cell r="AA1840">
            <v>0</v>
          </cell>
          <cell r="AC1840">
            <v>32670</v>
          </cell>
          <cell r="AD1840">
            <v>0</v>
          </cell>
          <cell r="AF1840">
            <v>50000</v>
          </cell>
          <cell r="AG1840">
            <v>0</v>
          </cell>
          <cell r="AI1840">
            <v>94796.809999999939</v>
          </cell>
          <cell r="AJ1840">
            <v>0</v>
          </cell>
          <cell r="AL1840">
            <v>63850</v>
          </cell>
          <cell r="AM1840">
            <v>0</v>
          </cell>
          <cell r="AO1840">
            <v>50800</v>
          </cell>
          <cell r="AP1840">
            <v>0</v>
          </cell>
          <cell r="AR1840">
            <v>50000</v>
          </cell>
          <cell r="AS1840">
            <v>0</v>
          </cell>
          <cell r="BF1840" t="str">
            <v>2015</v>
          </cell>
          <cell r="BG1840" t="str">
            <v>B202</v>
          </cell>
          <cell r="BH1840" t="str">
            <v>GSA</v>
          </cell>
        </row>
        <row r="1841">
          <cell r="K1841">
            <v>0</v>
          </cell>
          <cell r="L1841">
            <v>0</v>
          </cell>
          <cell r="N1841">
            <v>0</v>
          </cell>
          <cell r="O1841">
            <v>0</v>
          </cell>
          <cell r="Q1841">
            <v>0</v>
          </cell>
          <cell r="R1841">
            <v>0</v>
          </cell>
          <cell r="T1841">
            <v>0</v>
          </cell>
          <cell r="U1841">
            <v>0</v>
          </cell>
          <cell r="W1841">
            <v>0</v>
          </cell>
          <cell r="X1841">
            <v>0</v>
          </cell>
          <cell r="Z1841">
            <v>0</v>
          </cell>
          <cell r="AA1841">
            <v>0</v>
          </cell>
          <cell r="AC1841">
            <v>0</v>
          </cell>
          <cell r="AD1841">
            <v>0</v>
          </cell>
          <cell r="AF1841">
            <v>1150</v>
          </cell>
          <cell r="AG1841">
            <v>0</v>
          </cell>
          <cell r="AI1841">
            <v>3750</v>
          </cell>
          <cell r="AJ1841">
            <v>0</v>
          </cell>
          <cell r="AL1841">
            <v>900</v>
          </cell>
          <cell r="AM1841">
            <v>0</v>
          </cell>
          <cell r="AO1841">
            <v>0</v>
          </cell>
          <cell r="AP1841">
            <v>0</v>
          </cell>
          <cell r="AR1841">
            <v>5600</v>
          </cell>
          <cell r="AS1841">
            <v>0</v>
          </cell>
          <cell r="BF1841" t="str">
            <v>2015</v>
          </cell>
          <cell r="BG1841" t="str">
            <v>B203</v>
          </cell>
          <cell r="BH1841" t="str">
            <v>GSA</v>
          </cell>
        </row>
        <row r="1842">
          <cell r="K1842">
            <v>10350</v>
          </cell>
          <cell r="L1842">
            <v>0</v>
          </cell>
          <cell r="N1842">
            <v>17250</v>
          </cell>
          <cell r="O1842">
            <v>0</v>
          </cell>
          <cell r="Q1842">
            <v>20700</v>
          </cell>
          <cell r="R1842">
            <v>0</v>
          </cell>
          <cell r="T1842">
            <v>22410</v>
          </cell>
          <cell r="U1842">
            <v>0</v>
          </cell>
          <cell r="W1842">
            <v>18470</v>
          </cell>
          <cell r="X1842">
            <v>0</v>
          </cell>
          <cell r="Z1842">
            <v>17250</v>
          </cell>
          <cell r="AA1842">
            <v>0</v>
          </cell>
          <cell r="AC1842">
            <v>13800</v>
          </cell>
          <cell r="AD1842">
            <v>0</v>
          </cell>
          <cell r="AF1842">
            <v>17250</v>
          </cell>
          <cell r="AG1842">
            <v>0</v>
          </cell>
          <cell r="AI1842">
            <v>31350</v>
          </cell>
          <cell r="AJ1842">
            <v>0</v>
          </cell>
          <cell r="AL1842">
            <v>17250</v>
          </cell>
          <cell r="AM1842">
            <v>0</v>
          </cell>
          <cell r="AO1842">
            <v>32200</v>
          </cell>
          <cell r="AP1842">
            <v>0</v>
          </cell>
          <cell r="AR1842">
            <v>24750</v>
          </cell>
          <cell r="AS1842">
            <v>0</v>
          </cell>
          <cell r="BF1842" t="str">
            <v>2015</v>
          </cell>
          <cell r="BG1842" t="str">
            <v>B204</v>
          </cell>
          <cell r="BH1842" t="str">
            <v>GSA</v>
          </cell>
        </row>
        <row r="1843">
          <cell r="K1843">
            <v>5000</v>
          </cell>
          <cell r="L1843">
            <v>0</v>
          </cell>
          <cell r="N1843">
            <v>0</v>
          </cell>
          <cell r="O1843">
            <v>0</v>
          </cell>
          <cell r="Q1843">
            <v>2100</v>
          </cell>
          <cell r="R1843">
            <v>0</v>
          </cell>
          <cell r="T1843">
            <v>1700</v>
          </cell>
          <cell r="U1843">
            <v>0</v>
          </cell>
          <cell r="W1843">
            <v>1700</v>
          </cell>
          <cell r="X1843">
            <v>0</v>
          </cell>
          <cell r="Z1843">
            <v>800</v>
          </cell>
          <cell r="AA1843">
            <v>0</v>
          </cell>
          <cell r="AC1843">
            <v>36666.58</v>
          </cell>
          <cell r="AD1843">
            <v>0</v>
          </cell>
          <cell r="AF1843">
            <v>45726.240000000005</v>
          </cell>
          <cell r="AG1843">
            <v>0</v>
          </cell>
          <cell r="AI1843">
            <v>22862.47</v>
          </cell>
          <cell r="AJ1843">
            <v>0</v>
          </cell>
          <cell r="AL1843">
            <v>29534</v>
          </cell>
          <cell r="AM1843">
            <v>0</v>
          </cell>
          <cell r="AO1843">
            <v>199637.00000000003</v>
          </cell>
          <cell r="AP1843">
            <v>0</v>
          </cell>
          <cell r="AR1843">
            <v>82485.679999999993</v>
          </cell>
          <cell r="AS1843">
            <v>0</v>
          </cell>
          <cell r="BF1843" t="str">
            <v>2015</v>
          </cell>
          <cell r="BG1843" t="str">
            <v>B205</v>
          </cell>
          <cell r="BH1843" t="str">
            <v>GSA</v>
          </cell>
        </row>
        <row r="1844">
          <cell r="K1844">
            <v>0</v>
          </cell>
          <cell r="L1844">
            <v>0</v>
          </cell>
          <cell r="N1844">
            <v>0</v>
          </cell>
          <cell r="O1844">
            <v>0</v>
          </cell>
          <cell r="Q1844">
            <v>0</v>
          </cell>
          <cell r="R1844">
            <v>0</v>
          </cell>
          <cell r="T1844">
            <v>0</v>
          </cell>
          <cell r="U1844">
            <v>0</v>
          </cell>
          <cell r="W1844">
            <v>0</v>
          </cell>
          <cell r="X1844">
            <v>0</v>
          </cell>
          <cell r="Z1844">
            <v>0</v>
          </cell>
          <cell r="AA1844">
            <v>0</v>
          </cell>
          <cell r="AC1844">
            <v>0</v>
          </cell>
          <cell r="AD1844">
            <v>0</v>
          </cell>
          <cell r="AF1844">
            <v>0</v>
          </cell>
          <cell r="AG1844">
            <v>0</v>
          </cell>
          <cell r="AI1844">
            <v>0</v>
          </cell>
          <cell r="AJ1844">
            <v>0</v>
          </cell>
          <cell r="AL1844">
            <v>0</v>
          </cell>
          <cell r="AM1844">
            <v>0</v>
          </cell>
          <cell r="AO1844">
            <v>0</v>
          </cell>
          <cell r="AP1844">
            <v>0</v>
          </cell>
          <cell r="AR1844">
            <v>0</v>
          </cell>
          <cell r="AS1844">
            <v>0</v>
          </cell>
          <cell r="BF1844" t="str">
            <v>2015</v>
          </cell>
          <cell r="BG1844" t="str">
            <v>B206</v>
          </cell>
          <cell r="BH1844" t="str">
            <v>GSA</v>
          </cell>
        </row>
        <row r="1845">
          <cell r="K1845">
            <v>0</v>
          </cell>
          <cell r="L1845">
            <v>0</v>
          </cell>
          <cell r="N1845">
            <v>0</v>
          </cell>
          <cell r="O1845">
            <v>0</v>
          </cell>
          <cell r="Q1845">
            <v>0</v>
          </cell>
          <cell r="R1845">
            <v>0</v>
          </cell>
          <cell r="T1845">
            <v>0</v>
          </cell>
          <cell r="U1845">
            <v>0</v>
          </cell>
          <cell r="W1845">
            <v>0</v>
          </cell>
          <cell r="X1845">
            <v>0</v>
          </cell>
          <cell r="Z1845">
            <v>0</v>
          </cell>
          <cell r="AA1845">
            <v>0</v>
          </cell>
          <cell r="AC1845">
            <v>0</v>
          </cell>
          <cell r="AD1845">
            <v>0</v>
          </cell>
          <cell r="AF1845">
            <v>0</v>
          </cell>
          <cell r="AG1845">
            <v>0</v>
          </cell>
          <cell r="AI1845">
            <v>0</v>
          </cell>
          <cell r="AJ1845">
            <v>0</v>
          </cell>
          <cell r="AL1845">
            <v>0</v>
          </cell>
          <cell r="AM1845">
            <v>0</v>
          </cell>
          <cell r="AO1845">
            <v>0</v>
          </cell>
          <cell r="AP1845">
            <v>0</v>
          </cell>
          <cell r="AR1845">
            <v>0</v>
          </cell>
          <cell r="AS1845">
            <v>0</v>
          </cell>
          <cell r="BF1845" t="str">
            <v>2015</v>
          </cell>
          <cell r="BG1845" t="str">
            <v>B207</v>
          </cell>
          <cell r="BH1845" t="str">
            <v>GSA</v>
          </cell>
        </row>
        <row r="1846">
          <cell r="K1846">
            <v>0</v>
          </cell>
          <cell r="L1846">
            <v>0</v>
          </cell>
          <cell r="N1846">
            <v>0</v>
          </cell>
          <cell r="O1846">
            <v>0</v>
          </cell>
          <cell r="Q1846">
            <v>0</v>
          </cell>
          <cell r="R1846">
            <v>0</v>
          </cell>
          <cell r="T1846">
            <v>0</v>
          </cell>
          <cell r="U1846">
            <v>0</v>
          </cell>
          <cell r="W1846">
            <v>0</v>
          </cell>
          <cell r="X1846">
            <v>0</v>
          </cell>
          <cell r="Z1846">
            <v>0</v>
          </cell>
          <cell r="AA1846">
            <v>0</v>
          </cell>
          <cell r="AC1846">
            <v>0</v>
          </cell>
          <cell r="AD1846">
            <v>0</v>
          </cell>
          <cell r="AF1846">
            <v>0</v>
          </cell>
          <cell r="AG1846">
            <v>0</v>
          </cell>
          <cell r="AI1846">
            <v>0</v>
          </cell>
          <cell r="AJ1846">
            <v>0</v>
          </cell>
          <cell r="AL1846">
            <v>0</v>
          </cell>
          <cell r="AM1846">
            <v>0</v>
          </cell>
          <cell r="AO1846">
            <v>0</v>
          </cell>
          <cell r="AP1846">
            <v>0</v>
          </cell>
          <cell r="AR1846">
            <v>0</v>
          </cell>
          <cell r="AS1846">
            <v>0</v>
          </cell>
          <cell r="BF1846" t="str">
            <v>2015</v>
          </cell>
          <cell r="BG1846" t="str">
            <v>B208</v>
          </cell>
          <cell r="BH1846" t="str">
            <v>GSA</v>
          </cell>
        </row>
        <row r="1847">
          <cell r="K1847">
            <v>0</v>
          </cell>
          <cell r="L1847">
            <v>0</v>
          </cell>
          <cell r="N1847">
            <v>0</v>
          </cell>
          <cell r="O1847">
            <v>0</v>
          </cell>
          <cell r="Q1847">
            <v>0</v>
          </cell>
          <cell r="R1847">
            <v>0</v>
          </cell>
          <cell r="T1847">
            <v>0</v>
          </cell>
          <cell r="U1847">
            <v>0</v>
          </cell>
          <cell r="W1847">
            <v>0</v>
          </cell>
          <cell r="X1847">
            <v>0</v>
          </cell>
          <cell r="Z1847">
            <v>0</v>
          </cell>
          <cell r="AA1847">
            <v>0</v>
          </cell>
          <cell r="AC1847">
            <v>0</v>
          </cell>
          <cell r="AD1847">
            <v>0</v>
          </cell>
          <cell r="AF1847">
            <v>0</v>
          </cell>
          <cell r="AG1847">
            <v>0</v>
          </cell>
          <cell r="AI1847">
            <v>0</v>
          </cell>
          <cell r="AJ1847">
            <v>0</v>
          </cell>
          <cell r="AL1847">
            <v>0</v>
          </cell>
          <cell r="AM1847">
            <v>0</v>
          </cell>
          <cell r="AO1847">
            <v>0</v>
          </cell>
          <cell r="AP1847">
            <v>0</v>
          </cell>
          <cell r="AR1847">
            <v>0</v>
          </cell>
          <cell r="AS1847">
            <v>0</v>
          </cell>
          <cell r="BF1847" t="str">
            <v>2015</v>
          </cell>
          <cell r="BG1847" t="str">
            <v>B209</v>
          </cell>
          <cell r="BH1847" t="str">
            <v>GSA</v>
          </cell>
        </row>
        <row r="1848">
          <cell r="K1848">
            <v>0</v>
          </cell>
          <cell r="L1848">
            <v>0</v>
          </cell>
          <cell r="N1848">
            <v>0</v>
          </cell>
          <cell r="O1848">
            <v>0</v>
          </cell>
          <cell r="Q1848">
            <v>0</v>
          </cell>
          <cell r="R1848">
            <v>0</v>
          </cell>
          <cell r="T1848">
            <v>0</v>
          </cell>
          <cell r="U1848">
            <v>0</v>
          </cell>
          <cell r="W1848">
            <v>0</v>
          </cell>
          <cell r="X1848">
            <v>0</v>
          </cell>
          <cell r="Z1848">
            <v>0</v>
          </cell>
          <cell r="AA1848">
            <v>0</v>
          </cell>
          <cell r="AC1848">
            <v>0</v>
          </cell>
          <cell r="AD1848">
            <v>0</v>
          </cell>
          <cell r="AF1848">
            <v>0</v>
          </cell>
          <cell r="AG1848">
            <v>0</v>
          </cell>
          <cell r="AI1848">
            <v>0</v>
          </cell>
          <cell r="AJ1848">
            <v>0</v>
          </cell>
          <cell r="AL1848">
            <v>0</v>
          </cell>
          <cell r="AM1848">
            <v>0</v>
          </cell>
          <cell r="AO1848">
            <v>0</v>
          </cell>
          <cell r="AP1848">
            <v>0</v>
          </cell>
          <cell r="AR1848">
            <v>0</v>
          </cell>
          <cell r="AS1848">
            <v>0</v>
          </cell>
          <cell r="BF1848" t="str">
            <v>2015</v>
          </cell>
          <cell r="BG1848" t="str">
            <v>B210</v>
          </cell>
          <cell r="BH1848" t="str">
            <v>GSA</v>
          </cell>
        </row>
        <row r="1849">
          <cell r="K1849">
            <v>51570.5</v>
          </cell>
          <cell r="L1849">
            <v>0</v>
          </cell>
          <cell r="N1849">
            <v>58796.5</v>
          </cell>
          <cell r="O1849">
            <v>0</v>
          </cell>
          <cell r="Q1849">
            <v>58409</v>
          </cell>
          <cell r="R1849">
            <v>0</v>
          </cell>
          <cell r="T1849">
            <v>44429.949999999953</v>
          </cell>
          <cell r="U1849">
            <v>0</v>
          </cell>
          <cell r="W1849">
            <v>65536</v>
          </cell>
          <cell r="X1849">
            <v>0</v>
          </cell>
          <cell r="Z1849">
            <v>64535.650000000023</v>
          </cell>
          <cell r="AA1849">
            <v>0</v>
          </cell>
          <cell r="AC1849">
            <v>95990.29999999993</v>
          </cell>
          <cell r="AD1849">
            <v>0</v>
          </cell>
          <cell r="AF1849">
            <v>123334.6599999998</v>
          </cell>
          <cell r="AG1849">
            <v>0</v>
          </cell>
          <cell r="AI1849">
            <v>111480.32000000007</v>
          </cell>
          <cell r="AJ1849">
            <v>0</v>
          </cell>
          <cell r="AL1849">
            <v>137166.16000000015</v>
          </cell>
          <cell r="AM1849">
            <v>0</v>
          </cell>
          <cell r="AO1849">
            <v>151863.70999999996</v>
          </cell>
          <cell r="AP1849">
            <v>0</v>
          </cell>
          <cell r="AR1849">
            <v>146481.40000000014</v>
          </cell>
          <cell r="AS1849">
            <v>0</v>
          </cell>
          <cell r="BF1849" t="str">
            <v>2016</v>
          </cell>
          <cell r="BG1849" t="str">
            <v>B301</v>
          </cell>
          <cell r="BH1849" t="str">
            <v>GSA</v>
          </cell>
        </row>
        <row r="1850">
          <cell r="K1850">
            <v>63287.359999999928</v>
          </cell>
          <cell r="L1850">
            <v>0</v>
          </cell>
          <cell r="N1850">
            <v>46586.760000000126</v>
          </cell>
          <cell r="O1850">
            <v>0</v>
          </cell>
          <cell r="Q1850">
            <v>38858.559999999939</v>
          </cell>
          <cell r="R1850">
            <v>0</v>
          </cell>
          <cell r="T1850">
            <v>37236.559999999939</v>
          </cell>
          <cell r="U1850">
            <v>0</v>
          </cell>
          <cell r="W1850">
            <v>30649.079999972833</v>
          </cell>
          <cell r="X1850">
            <v>0</v>
          </cell>
          <cell r="Z1850">
            <v>33033.199999993376</v>
          </cell>
          <cell r="AA1850">
            <v>0</v>
          </cell>
          <cell r="AC1850">
            <v>35559.559999957739</v>
          </cell>
          <cell r="AD1850">
            <v>0</v>
          </cell>
          <cell r="AF1850">
            <v>44141.679999947431</v>
          </cell>
          <cell r="AG1850">
            <v>0</v>
          </cell>
          <cell r="AI1850">
            <v>49458.040000069886</v>
          </cell>
          <cell r="AJ1850">
            <v>0</v>
          </cell>
          <cell r="AL1850">
            <v>45571.010000085225</v>
          </cell>
          <cell r="AM1850">
            <v>0</v>
          </cell>
          <cell r="AO1850">
            <v>60954.530000078259</v>
          </cell>
          <cell r="AP1850">
            <v>0</v>
          </cell>
          <cell r="AR1850">
            <v>57097.750000090338</v>
          </cell>
          <cell r="AS1850">
            <v>0</v>
          </cell>
          <cell r="BF1850" t="str">
            <v>2016</v>
          </cell>
          <cell r="BG1850" t="str">
            <v>B302</v>
          </cell>
          <cell r="BH1850" t="str">
            <v>GSA</v>
          </cell>
        </row>
        <row r="1851">
          <cell r="K1851">
            <v>5445.989999999998</v>
          </cell>
          <cell r="L1851">
            <v>0</v>
          </cell>
          <cell r="N1851">
            <v>7347.1900000000023</v>
          </cell>
          <cell r="O1851">
            <v>0</v>
          </cell>
          <cell r="Q1851">
            <v>3745</v>
          </cell>
          <cell r="R1851">
            <v>0</v>
          </cell>
          <cell r="T1851">
            <v>5665.8000000000029</v>
          </cell>
          <cell r="U1851">
            <v>0</v>
          </cell>
          <cell r="W1851">
            <v>7360.5</v>
          </cell>
          <cell r="X1851">
            <v>0</v>
          </cell>
          <cell r="Z1851">
            <v>6795.0000000000073</v>
          </cell>
          <cell r="AA1851">
            <v>0</v>
          </cell>
          <cell r="AC1851">
            <v>13637.25</v>
          </cell>
          <cell r="AD1851">
            <v>0</v>
          </cell>
          <cell r="AF1851">
            <v>15421.350000000006</v>
          </cell>
          <cell r="AG1851">
            <v>0</v>
          </cell>
          <cell r="AI1851">
            <v>18043.350000000006</v>
          </cell>
          <cell r="AJ1851">
            <v>0</v>
          </cell>
          <cell r="AL1851">
            <v>13959.299999999988</v>
          </cell>
          <cell r="AM1851">
            <v>0</v>
          </cell>
          <cell r="AO1851">
            <v>23863.049999999988</v>
          </cell>
          <cell r="AP1851">
            <v>0</v>
          </cell>
          <cell r="AR1851">
            <v>30766.929999999993</v>
          </cell>
          <cell r="AS1851">
            <v>0</v>
          </cell>
          <cell r="BF1851" t="str">
            <v>2016</v>
          </cell>
          <cell r="BG1851" t="str">
            <v>B303</v>
          </cell>
          <cell r="BH1851" t="str">
            <v>GSA</v>
          </cell>
        </row>
        <row r="1852">
          <cell r="K1852">
            <v>22585.540000000008</v>
          </cell>
          <cell r="L1852">
            <v>0</v>
          </cell>
          <cell r="N1852">
            <v>24949.709999999992</v>
          </cell>
          <cell r="O1852">
            <v>0</v>
          </cell>
          <cell r="Q1852">
            <v>22232.469999999972</v>
          </cell>
          <cell r="R1852">
            <v>0</v>
          </cell>
          <cell r="T1852">
            <v>25755.200000000012</v>
          </cell>
          <cell r="U1852">
            <v>0</v>
          </cell>
          <cell r="W1852">
            <v>26995.619999999995</v>
          </cell>
          <cell r="X1852">
            <v>0</v>
          </cell>
          <cell r="Z1852">
            <v>27097.630000000005</v>
          </cell>
          <cell r="AA1852">
            <v>0</v>
          </cell>
          <cell r="AC1852">
            <v>32406.299999999988</v>
          </cell>
          <cell r="AD1852">
            <v>0</v>
          </cell>
          <cell r="AF1852">
            <v>41161.440000000002</v>
          </cell>
          <cell r="AG1852">
            <v>0</v>
          </cell>
          <cell r="AI1852">
            <v>49473.829999999958</v>
          </cell>
          <cell r="AJ1852">
            <v>0</v>
          </cell>
          <cell r="AL1852">
            <v>58822.200000000012</v>
          </cell>
          <cell r="AM1852">
            <v>0</v>
          </cell>
          <cell r="AO1852">
            <v>85854.88</v>
          </cell>
          <cell r="AP1852">
            <v>0</v>
          </cell>
          <cell r="AR1852">
            <v>93537.719999999972</v>
          </cell>
          <cell r="AS1852">
            <v>0</v>
          </cell>
          <cell r="BF1852" t="str">
            <v>2017</v>
          </cell>
          <cell r="BG1852" t="str">
            <v>B401</v>
          </cell>
          <cell r="BH1852" t="str">
            <v>GSA</v>
          </cell>
        </row>
        <row r="1853">
          <cell r="K1853">
            <v>27300.820000000007</v>
          </cell>
          <cell r="L1853">
            <v>0</v>
          </cell>
          <cell r="N1853">
            <v>21907.910000000003</v>
          </cell>
          <cell r="O1853">
            <v>0</v>
          </cell>
          <cell r="Q1853">
            <v>20596.5</v>
          </cell>
          <cell r="R1853">
            <v>0</v>
          </cell>
          <cell r="T1853">
            <v>24254.119999999995</v>
          </cell>
          <cell r="U1853">
            <v>0</v>
          </cell>
          <cell r="W1853">
            <v>20867.140000000014</v>
          </cell>
          <cell r="X1853">
            <v>0</v>
          </cell>
          <cell r="Z1853">
            <v>38383.229999999981</v>
          </cell>
          <cell r="AA1853">
            <v>0</v>
          </cell>
          <cell r="AC1853">
            <v>53387.72000000003</v>
          </cell>
          <cell r="AD1853">
            <v>0</v>
          </cell>
          <cell r="AF1853">
            <v>33024.049999999988</v>
          </cell>
          <cell r="AG1853">
            <v>0</v>
          </cell>
          <cell r="AI1853">
            <v>41220.859999999986</v>
          </cell>
          <cell r="AJ1853">
            <v>0</v>
          </cell>
          <cell r="AL1853">
            <v>47495.320000000007</v>
          </cell>
          <cell r="AM1853">
            <v>0</v>
          </cell>
          <cell r="AO1853">
            <v>87233.640000000014</v>
          </cell>
          <cell r="AP1853">
            <v>0</v>
          </cell>
          <cell r="AR1853">
            <v>78557.239999999991</v>
          </cell>
          <cell r="AS1853">
            <v>0</v>
          </cell>
          <cell r="BF1853" t="str">
            <v>2017</v>
          </cell>
          <cell r="BG1853" t="str">
            <v>B402</v>
          </cell>
          <cell r="BH1853" t="str">
            <v>GSA</v>
          </cell>
        </row>
        <row r="1854">
          <cell r="K1854">
            <v>0</v>
          </cell>
          <cell r="L1854">
            <v>0</v>
          </cell>
          <cell r="N1854">
            <v>0</v>
          </cell>
          <cell r="O1854">
            <v>0</v>
          </cell>
          <cell r="Q1854">
            <v>0</v>
          </cell>
          <cell r="R1854">
            <v>0</v>
          </cell>
          <cell r="T1854">
            <v>0</v>
          </cell>
          <cell r="U1854">
            <v>0</v>
          </cell>
          <cell r="W1854">
            <v>0</v>
          </cell>
          <cell r="X1854">
            <v>0</v>
          </cell>
          <cell r="Z1854">
            <v>0</v>
          </cell>
          <cell r="AA1854">
            <v>0</v>
          </cell>
          <cell r="AC1854">
            <v>0</v>
          </cell>
          <cell r="AD1854">
            <v>0</v>
          </cell>
          <cell r="AF1854">
            <v>0</v>
          </cell>
          <cell r="AG1854">
            <v>0</v>
          </cell>
          <cell r="AI1854">
            <v>0</v>
          </cell>
          <cell r="AJ1854">
            <v>0</v>
          </cell>
          <cell r="AL1854">
            <v>0</v>
          </cell>
          <cell r="AM1854">
            <v>0</v>
          </cell>
          <cell r="AO1854">
            <v>0</v>
          </cell>
          <cell r="AP1854">
            <v>0</v>
          </cell>
          <cell r="AR1854">
            <v>0</v>
          </cell>
          <cell r="AS1854">
            <v>0</v>
          </cell>
          <cell r="BF1854" t="str">
            <v>2017</v>
          </cell>
          <cell r="BG1854" t="str">
            <v>B403</v>
          </cell>
          <cell r="BH1854" t="str">
            <v>GSA</v>
          </cell>
        </row>
        <row r="1855">
          <cell r="K1855">
            <v>0</v>
          </cell>
          <cell r="L1855">
            <v>0</v>
          </cell>
          <cell r="N1855">
            <v>0</v>
          </cell>
          <cell r="O1855">
            <v>0</v>
          </cell>
          <cell r="Q1855">
            <v>0</v>
          </cell>
          <cell r="R1855">
            <v>0</v>
          </cell>
          <cell r="T1855">
            <v>0</v>
          </cell>
          <cell r="U1855">
            <v>0</v>
          </cell>
          <cell r="W1855">
            <v>0</v>
          </cell>
          <cell r="X1855">
            <v>0</v>
          </cell>
          <cell r="Z1855">
            <v>0</v>
          </cell>
          <cell r="AA1855">
            <v>0</v>
          </cell>
          <cell r="AC1855">
            <v>0</v>
          </cell>
          <cell r="AD1855">
            <v>0</v>
          </cell>
          <cell r="AF1855">
            <v>0</v>
          </cell>
          <cell r="AG1855">
            <v>0</v>
          </cell>
          <cell r="AI1855">
            <v>0</v>
          </cell>
          <cell r="AJ1855">
            <v>0</v>
          </cell>
          <cell r="AL1855">
            <v>0</v>
          </cell>
          <cell r="AM1855">
            <v>0</v>
          </cell>
          <cell r="AO1855">
            <v>0</v>
          </cell>
          <cell r="AP1855">
            <v>0</v>
          </cell>
          <cell r="AR1855">
            <v>0</v>
          </cell>
          <cell r="AS1855">
            <v>0</v>
          </cell>
          <cell r="BF1855" t="str">
            <v>3100</v>
          </cell>
          <cell r="BG1855" t="str">
            <v>C002</v>
          </cell>
          <cell r="BH1855" t="str">
            <v>GSA</v>
          </cell>
        </row>
        <row r="1856">
          <cell r="K1856">
            <v>0</v>
          </cell>
          <cell r="L1856">
            <v>0</v>
          </cell>
          <cell r="N1856">
            <v>0</v>
          </cell>
          <cell r="O1856">
            <v>0</v>
          </cell>
          <cell r="Q1856">
            <v>0</v>
          </cell>
          <cell r="R1856">
            <v>0</v>
          </cell>
          <cell r="T1856">
            <v>0</v>
          </cell>
          <cell r="U1856">
            <v>0</v>
          </cell>
          <cell r="W1856">
            <v>0</v>
          </cell>
          <cell r="X1856">
            <v>0</v>
          </cell>
          <cell r="Z1856">
            <v>0</v>
          </cell>
          <cell r="AA1856">
            <v>0</v>
          </cell>
          <cell r="AC1856">
            <v>0</v>
          </cell>
          <cell r="AD1856">
            <v>0</v>
          </cell>
          <cell r="AF1856">
            <v>0</v>
          </cell>
          <cell r="AG1856">
            <v>0</v>
          </cell>
          <cell r="AI1856">
            <v>0</v>
          </cell>
          <cell r="AJ1856">
            <v>0</v>
          </cell>
          <cell r="AL1856">
            <v>0</v>
          </cell>
          <cell r="AM1856">
            <v>0</v>
          </cell>
          <cell r="AO1856">
            <v>0</v>
          </cell>
          <cell r="AP1856">
            <v>0</v>
          </cell>
          <cell r="AR1856">
            <v>0</v>
          </cell>
          <cell r="AS1856">
            <v>0</v>
          </cell>
          <cell r="BF1856" t="str">
            <v>3100</v>
          </cell>
          <cell r="BG1856" t="str">
            <v>C003</v>
          </cell>
          <cell r="BH1856" t="str">
            <v>GSA</v>
          </cell>
        </row>
        <row r="1857">
          <cell r="K1857">
            <v>0</v>
          </cell>
          <cell r="L1857">
            <v>0</v>
          </cell>
          <cell r="N1857">
            <v>0</v>
          </cell>
          <cell r="O1857">
            <v>0</v>
          </cell>
          <cell r="Q1857">
            <v>0</v>
          </cell>
          <cell r="R1857">
            <v>0</v>
          </cell>
          <cell r="T1857">
            <v>0</v>
          </cell>
          <cell r="U1857">
            <v>0</v>
          </cell>
          <cell r="W1857">
            <v>0</v>
          </cell>
          <cell r="X1857">
            <v>0</v>
          </cell>
          <cell r="Z1857">
            <v>0</v>
          </cell>
          <cell r="AA1857">
            <v>0</v>
          </cell>
          <cell r="AC1857">
            <v>0</v>
          </cell>
          <cell r="AD1857">
            <v>0</v>
          </cell>
          <cell r="AF1857">
            <v>0</v>
          </cell>
          <cell r="AG1857">
            <v>0</v>
          </cell>
          <cell r="AI1857">
            <v>0</v>
          </cell>
          <cell r="AJ1857">
            <v>0</v>
          </cell>
          <cell r="AL1857">
            <v>0</v>
          </cell>
          <cell r="AM1857">
            <v>0</v>
          </cell>
          <cell r="AO1857">
            <v>0</v>
          </cell>
          <cell r="AP1857">
            <v>0</v>
          </cell>
          <cell r="AR1857">
            <v>0</v>
          </cell>
          <cell r="AS1857">
            <v>0</v>
          </cell>
          <cell r="BF1857" t="str">
            <v>3100</v>
          </cell>
          <cell r="BG1857" t="str">
            <v>C004</v>
          </cell>
          <cell r="BH1857" t="str">
            <v>GSA</v>
          </cell>
        </row>
        <row r="1858">
          <cell r="K1858">
            <v>0</v>
          </cell>
          <cell r="L1858">
            <v>0</v>
          </cell>
          <cell r="N1858">
            <v>0</v>
          </cell>
          <cell r="O1858">
            <v>0</v>
          </cell>
          <cell r="Q1858">
            <v>0</v>
          </cell>
          <cell r="R1858">
            <v>0</v>
          </cell>
          <cell r="T1858">
            <v>0</v>
          </cell>
          <cell r="U1858">
            <v>0</v>
          </cell>
          <cell r="W1858">
            <v>0</v>
          </cell>
          <cell r="X1858">
            <v>0</v>
          </cell>
          <cell r="Z1858">
            <v>0</v>
          </cell>
          <cell r="AA1858">
            <v>0</v>
          </cell>
          <cell r="AC1858">
            <v>0</v>
          </cell>
          <cell r="AD1858">
            <v>0</v>
          </cell>
          <cell r="AF1858">
            <v>0</v>
          </cell>
          <cell r="AG1858">
            <v>0</v>
          </cell>
          <cell r="AI1858">
            <v>0</v>
          </cell>
          <cell r="AJ1858">
            <v>0</v>
          </cell>
          <cell r="AL1858">
            <v>0</v>
          </cell>
          <cell r="AM1858">
            <v>0</v>
          </cell>
          <cell r="AO1858">
            <v>0</v>
          </cell>
          <cell r="AP1858">
            <v>0</v>
          </cell>
          <cell r="AR1858">
            <v>0</v>
          </cell>
          <cell r="AS1858">
            <v>0</v>
          </cell>
          <cell r="BF1858" t="str">
            <v>3100</v>
          </cell>
          <cell r="BG1858" t="str">
            <v>C005</v>
          </cell>
          <cell r="BH1858" t="str">
            <v>GSA</v>
          </cell>
        </row>
        <row r="1859">
          <cell r="K1859">
            <v>0</v>
          </cell>
          <cell r="L1859">
            <v>0</v>
          </cell>
          <cell r="N1859">
            <v>0</v>
          </cell>
          <cell r="O1859">
            <v>0</v>
          </cell>
          <cell r="Q1859">
            <v>0</v>
          </cell>
          <cell r="R1859">
            <v>0</v>
          </cell>
          <cell r="T1859">
            <v>0</v>
          </cell>
          <cell r="U1859">
            <v>0</v>
          </cell>
          <cell r="W1859">
            <v>0</v>
          </cell>
          <cell r="X1859">
            <v>0</v>
          </cell>
          <cell r="Z1859">
            <v>0</v>
          </cell>
          <cell r="AA1859">
            <v>0</v>
          </cell>
          <cell r="AC1859">
            <v>0</v>
          </cell>
          <cell r="AD1859">
            <v>0</v>
          </cell>
          <cell r="AF1859">
            <v>0</v>
          </cell>
          <cell r="AG1859">
            <v>0</v>
          </cell>
          <cell r="AI1859">
            <v>0</v>
          </cell>
          <cell r="AJ1859">
            <v>0</v>
          </cell>
          <cell r="AL1859">
            <v>0</v>
          </cell>
          <cell r="AM1859">
            <v>0</v>
          </cell>
          <cell r="AO1859">
            <v>0</v>
          </cell>
          <cell r="AP1859">
            <v>0</v>
          </cell>
          <cell r="AR1859">
            <v>0</v>
          </cell>
          <cell r="AS1859">
            <v>0</v>
          </cell>
          <cell r="BF1859" t="str">
            <v>3100</v>
          </cell>
          <cell r="BG1859" t="str">
            <v>C006</v>
          </cell>
          <cell r="BH1859" t="str">
            <v>GSA</v>
          </cell>
        </row>
        <row r="1860">
          <cell r="K1860">
            <v>0</v>
          </cell>
          <cell r="L1860">
            <v>0</v>
          </cell>
          <cell r="N1860">
            <v>0</v>
          </cell>
          <cell r="O1860">
            <v>0</v>
          </cell>
          <cell r="Q1860">
            <v>0</v>
          </cell>
          <cell r="R1860">
            <v>0</v>
          </cell>
          <cell r="T1860">
            <v>0</v>
          </cell>
          <cell r="U1860">
            <v>0</v>
          </cell>
          <cell r="W1860">
            <v>0</v>
          </cell>
          <cell r="X1860">
            <v>0</v>
          </cell>
          <cell r="Z1860">
            <v>0</v>
          </cell>
          <cell r="AA1860">
            <v>0</v>
          </cell>
          <cell r="AC1860">
            <v>0</v>
          </cell>
          <cell r="AD1860">
            <v>0</v>
          </cell>
          <cell r="AF1860">
            <v>0</v>
          </cell>
          <cell r="AG1860">
            <v>0</v>
          </cell>
          <cell r="AI1860">
            <v>0</v>
          </cell>
          <cell r="AJ1860">
            <v>0</v>
          </cell>
          <cell r="AL1860">
            <v>0</v>
          </cell>
          <cell r="AM1860">
            <v>0</v>
          </cell>
          <cell r="AO1860">
            <v>0</v>
          </cell>
          <cell r="AP1860">
            <v>0</v>
          </cell>
          <cell r="AR1860">
            <v>0</v>
          </cell>
          <cell r="AS1860">
            <v>0</v>
          </cell>
          <cell r="BF1860" t="str">
            <v>3150</v>
          </cell>
          <cell r="BG1860" t="str">
            <v>Z000</v>
          </cell>
          <cell r="BH1860" t="str">
            <v>GSA</v>
          </cell>
        </row>
        <row r="1861">
          <cell r="K1861">
            <v>10000</v>
          </cell>
          <cell r="L1861">
            <v>0</v>
          </cell>
          <cell r="N1861">
            <v>10000</v>
          </cell>
          <cell r="O1861">
            <v>0</v>
          </cell>
          <cell r="Q1861">
            <v>10000</v>
          </cell>
          <cell r="R1861">
            <v>0</v>
          </cell>
          <cell r="T1861">
            <v>10000</v>
          </cell>
          <cell r="U1861">
            <v>0</v>
          </cell>
          <cell r="W1861">
            <v>10000</v>
          </cell>
          <cell r="X1861">
            <v>0</v>
          </cell>
          <cell r="Z1861">
            <v>10000</v>
          </cell>
          <cell r="AA1861">
            <v>0</v>
          </cell>
          <cell r="AC1861">
            <v>43782.910000000033</v>
          </cell>
          <cell r="AD1861">
            <v>0</v>
          </cell>
          <cell r="AF1861">
            <v>43782.910000000033</v>
          </cell>
          <cell r="AG1861">
            <v>0</v>
          </cell>
          <cell r="AI1861">
            <v>43782.910000000033</v>
          </cell>
          <cell r="AJ1861">
            <v>0</v>
          </cell>
          <cell r="AL1861">
            <v>43782.900000000023</v>
          </cell>
          <cell r="AM1861">
            <v>0</v>
          </cell>
          <cell r="AO1861">
            <v>43782.910000000033</v>
          </cell>
          <cell r="AP1861">
            <v>0</v>
          </cell>
          <cell r="AR1861">
            <v>62560.410000000033</v>
          </cell>
          <cell r="AS1861">
            <v>0</v>
          </cell>
          <cell r="BF1861" t="str">
            <v>4000</v>
          </cell>
          <cell r="BG1861" t="str">
            <v>D001</v>
          </cell>
          <cell r="BH1861" t="str">
            <v>GSA</v>
          </cell>
        </row>
        <row r="1862">
          <cell r="K1862">
            <v>0</v>
          </cell>
          <cell r="L1862">
            <v>0</v>
          </cell>
          <cell r="N1862">
            <v>0</v>
          </cell>
          <cell r="O1862">
            <v>0</v>
          </cell>
          <cell r="Q1862">
            <v>0</v>
          </cell>
          <cell r="R1862">
            <v>0</v>
          </cell>
          <cell r="T1862">
            <v>0</v>
          </cell>
          <cell r="U1862">
            <v>0</v>
          </cell>
          <cell r="W1862">
            <v>0</v>
          </cell>
          <cell r="X1862">
            <v>0</v>
          </cell>
          <cell r="Z1862">
            <v>0</v>
          </cell>
          <cell r="AA1862">
            <v>0</v>
          </cell>
          <cell r="AC1862">
            <v>0</v>
          </cell>
          <cell r="AD1862">
            <v>0</v>
          </cell>
          <cell r="AF1862">
            <v>0</v>
          </cell>
          <cell r="AG1862">
            <v>0</v>
          </cell>
          <cell r="AI1862">
            <v>0</v>
          </cell>
          <cell r="AJ1862">
            <v>0</v>
          </cell>
          <cell r="AL1862">
            <v>31938</v>
          </cell>
          <cell r="AM1862">
            <v>0</v>
          </cell>
          <cell r="AO1862">
            <v>0</v>
          </cell>
          <cell r="AP1862">
            <v>0</v>
          </cell>
          <cell r="AR1862">
            <v>0</v>
          </cell>
          <cell r="AS1862">
            <v>0</v>
          </cell>
          <cell r="BF1862" t="str">
            <v>4000</v>
          </cell>
          <cell r="BG1862" t="str">
            <v>D002</v>
          </cell>
          <cell r="BH1862" t="str">
            <v>GSA</v>
          </cell>
        </row>
        <row r="1863">
          <cell r="K1863">
            <v>0</v>
          </cell>
          <cell r="L1863">
            <v>0</v>
          </cell>
          <cell r="N1863">
            <v>0</v>
          </cell>
          <cell r="O1863">
            <v>0</v>
          </cell>
          <cell r="Q1863">
            <v>0</v>
          </cell>
          <cell r="R1863">
            <v>0</v>
          </cell>
          <cell r="T1863">
            <v>0</v>
          </cell>
          <cell r="U1863">
            <v>0</v>
          </cell>
          <cell r="W1863">
            <v>0</v>
          </cell>
          <cell r="X1863">
            <v>0</v>
          </cell>
          <cell r="Z1863">
            <v>0</v>
          </cell>
          <cell r="AA1863">
            <v>0</v>
          </cell>
          <cell r="AC1863">
            <v>0</v>
          </cell>
          <cell r="AD1863">
            <v>0</v>
          </cell>
          <cell r="AF1863">
            <v>0</v>
          </cell>
          <cell r="AG1863">
            <v>0</v>
          </cell>
          <cell r="AI1863">
            <v>0</v>
          </cell>
          <cell r="AJ1863">
            <v>0</v>
          </cell>
          <cell r="AL1863">
            <v>0</v>
          </cell>
          <cell r="AM1863">
            <v>0</v>
          </cell>
          <cell r="AO1863">
            <v>0</v>
          </cell>
          <cell r="AP1863">
            <v>0</v>
          </cell>
          <cell r="AR1863">
            <v>0</v>
          </cell>
          <cell r="AS1863">
            <v>0</v>
          </cell>
          <cell r="BF1863" t="str">
            <v>4010</v>
          </cell>
          <cell r="BG1863" t="str">
            <v>Z000</v>
          </cell>
          <cell r="BH1863" t="str">
            <v>GSA</v>
          </cell>
        </row>
        <row r="1864">
          <cell r="K1864">
            <v>1553.820000000007</v>
          </cell>
          <cell r="L1864">
            <v>0</v>
          </cell>
          <cell r="N1864">
            <v>-1462.9599999999919</v>
          </cell>
          <cell r="O1864">
            <v>0</v>
          </cell>
          <cell r="Q1864">
            <v>1265.9599999999919</v>
          </cell>
          <cell r="R1864">
            <v>0</v>
          </cell>
          <cell r="T1864">
            <v>717.38000000000466</v>
          </cell>
          <cell r="U1864">
            <v>0</v>
          </cell>
          <cell r="W1864">
            <v>986.03999999997905</v>
          </cell>
          <cell r="X1864">
            <v>0</v>
          </cell>
          <cell r="Z1864">
            <v>1003.5899999999674</v>
          </cell>
          <cell r="AA1864">
            <v>0</v>
          </cell>
          <cell r="AC1864">
            <v>813.10999999995693</v>
          </cell>
          <cell r="AD1864">
            <v>0</v>
          </cell>
          <cell r="AF1864">
            <v>863.2499999999709</v>
          </cell>
          <cell r="AG1864">
            <v>0</v>
          </cell>
          <cell r="AI1864">
            <v>677.98000000001048</v>
          </cell>
          <cell r="AJ1864">
            <v>0</v>
          </cell>
          <cell r="AL1864">
            <v>1093.0400000000081</v>
          </cell>
          <cell r="AM1864">
            <v>0</v>
          </cell>
          <cell r="AO1864">
            <v>940.39999999999418</v>
          </cell>
          <cell r="AP1864">
            <v>0</v>
          </cell>
          <cell r="AR1864">
            <v>1867.0799999999872</v>
          </cell>
          <cell r="AS1864">
            <v>0</v>
          </cell>
          <cell r="BF1864" t="str">
            <v>4150</v>
          </cell>
          <cell r="BG1864" t="str">
            <v>Z000</v>
          </cell>
          <cell r="BH1864" t="str">
            <v>GSA</v>
          </cell>
        </row>
        <row r="1865">
          <cell r="K1865">
            <v>0</v>
          </cell>
          <cell r="L1865">
            <v>0</v>
          </cell>
          <cell r="N1865">
            <v>0</v>
          </cell>
          <cell r="O1865">
            <v>0</v>
          </cell>
          <cell r="Q1865">
            <v>0</v>
          </cell>
          <cell r="R1865">
            <v>0</v>
          </cell>
          <cell r="T1865">
            <v>0</v>
          </cell>
          <cell r="U1865">
            <v>0</v>
          </cell>
          <cell r="W1865">
            <v>0</v>
          </cell>
          <cell r="X1865">
            <v>0</v>
          </cell>
          <cell r="Z1865">
            <v>0</v>
          </cell>
          <cell r="AA1865">
            <v>0</v>
          </cell>
          <cell r="AC1865">
            <v>0</v>
          </cell>
          <cell r="AD1865">
            <v>0</v>
          </cell>
          <cell r="AF1865">
            <v>0</v>
          </cell>
          <cell r="AG1865">
            <v>0</v>
          </cell>
          <cell r="AI1865">
            <v>0</v>
          </cell>
          <cell r="AJ1865">
            <v>0</v>
          </cell>
          <cell r="AL1865">
            <v>0</v>
          </cell>
          <cell r="AM1865">
            <v>0</v>
          </cell>
          <cell r="AO1865">
            <v>0</v>
          </cell>
          <cell r="AP1865">
            <v>0</v>
          </cell>
          <cell r="AR1865">
            <v>0</v>
          </cell>
          <cell r="AS1865">
            <v>0</v>
          </cell>
          <cell r="BF1865" t="str">
            <v>4200</v>
          </cell>
          <cell r="BG1865" t="str">
            <v>Z000</v>
          </cell>
          <cell r="BH1865" t="str">
            <v>GSA</v>
          </cell>
        </row>
        <row r="1866">
          <cell r="K1866">
            <v>0</v>
          </cell>
          <cell r="L1866">
            <v>0</v>
          </cell>
          <cell r="N1866">
            <v>0</v>
          </cell>
          <cell r="O1866">
            <v>0</v>
          </cell>
          <cell r="Q1866">
            <v>12499.999999999998</v>
          </cell>
          <cell r="R1866">
            <v>0</v>
          </cell>
          <cell r="T1866">
            <v>0</v>
          </cell>
          <cell r="U1866">
            <v>0</v>
          </cell>
          <cell r="W1866">
            <v>0</v>
          </cell>
          <cell r="X1866">
            <v>0</v>
          </cell>
          <cell r="Z1866">
            <v>0</v>
          </cell>
          <cell r="AA1866">
            <v>0</v>
          </cell>
          <cell r="AC1866">
            <v>0</v>
          </cell>
          <cell r="AD1866">
            <v>0</v>
          </cell>
          <cell r="AF1866">
            <v>0</v>
          </cell>
          <cell r="AG1866">
            <v>0</v>
          </cell>
          <cell r="AI1866">
            <v>0</v>
          </cell>
          <cell r="AJ1866">
            <v>0</v>
          </cell>
          <cell r="AL1866">
            <v>0</v>
          </cell>
          <cell r="AM1866">
            <v>0</v>
          </cell>
          <cell r="AO1866">
            <v>0</v>
          </cell>
          <cell r="AP1866">
            <v>0</v>
          </cell>
          <cell r="AR1866">
            <v>0</v>
          </cell>
          <cell r="AS1866">
            <v>0</v>
          </cell>
          <cell r="BF1866" t="str">
            <v>4215</v>
          </cell>
          <cell r="BG1866" t="str">
            <v>Z000</v>
          </cell>
          <cell r="BH1866" t="str">
            <v>GSA</v>
          </cell>
        </row>
        <row r="1867">
          <cell r="K1867">
            <v>0</v>
          </cell>
          <cell r="L1867">
            <v>0</v>
          </cell>
          <cell r="N1867">
            <v>200</v>
          </cell>
          <cell r="O1867">
            <v>0</v>
          </cell>
          <cell r="Q1867">
            <v>0</v>
          </cell>
          <cell r="R1867">
            <v>0</v>
          </cell>
          <cell r="T1867">
            <v>0</v>
          </cell>
          <cell r="U1867">
            <v>0</v>
          </cell>
          <cell r="W1867">
            <v>0</v>
          </cell>
          <cell r="X1867">
            <v>0</v>
          </cell>
          <cell r="Z1867">
            <v>0</v>
          </cell>
          <cell r="AA1867">
            <v>0</v>
          </cell>
          <cell r="AC1867">
            <v>150</v>
          </cell>
          <cell r="AD1867">
            <v>0</v>
          </cell>
          <cell r="AF1867">
            <v>4665</v>
          </cell>
          <cell r="AG1867">
            <v>0</v>
          </cell>
          <cell r="AI1867">
            <v>2063.5999999999767</v>
          </cell>
          <cell r="AJ1867">
            <v>0</v>
          </cell>
          <cell r="AL1867">
            <v>0</v>
          </cell>
          <cell r="AM1867">
            <v>0</v>
          </cell>
          <cell r="AO1867">
            <v>0</v>
          </cell>
          <cell r="AP1867">
            <v>0</v>
          </cell>
          <cell r="AR1867">
            <v>0</v>
          </cell>
          <cell r="AS1867">
            <v>0</v>
          </cell>
          <cell r="BF1867" t="str">
            <v>4230</v>
          </cell>
          <cell r="BG1867" t="str">
            <v>Z000</v>
          </cell>
          <cell r="BH1867" t="str">
            <v>GSA</v>
          </cell>
        </row>
        <row r="1868">
          <cell r="K1868">
            <v>0</v>
          </cell>
          <cell r="L1868">
            <v>0</v>
          </cell>
          <cell r="N1868">
            <v>0</v>
          </cell>
          <cell r="O1868">
            <v>0</v>
          </cell>
          <cell r="Q1868">
            <v>0</v>
          </cell>
          <cell r="R1868">
            <v>0</v>
          </cell>
          <cell r="T1868">
            <v>0</v>
          </cell>
          <cell r="U1868">
            <v>0</v>
          </cell>
          <cell r="W1868">
            <v>0</v>
          </cell>
          <cell r="X1868">
            <v>0</v>
          </cell>
          <cell r="Z1868">
            <v>0</v>
          </cell>
          <cell r="AA1868">
            <v>0</v>
          </cell>
          <cell r="AC1868">
            <v>0</v>
          </cell>
          <cell r="AD1868">
            <v>0</v>
          </cell>
          <cell r="AF1868">
            <v>0</v>
          </cell>
          <cell r="AG1868">
            <v>0</v>
          </cell>
          <cell r="AI1868">
            <v>0</v>
          </cell>
          <cell r="AJ1868">
            <v>0</v>
          </cell>
          <cell r="AL1868">
            <v>0</v>
          </cell>
          <cell r="AM1868">
            <v>0</v>
          </cell>
          <cell r="AO1868">
            <v>0</v>
          </cell>
          <cell r="AP1868">
            <v>0</v>
          </cell>
          <cell r="AR1868">
            <v>0</v>
          </cell>
          <cell r="AS1868">
            <v>0</v>
          </cell>
          <cell r="BF1868" t="str">
            <v>4240</v>
          </cell>
          <cell r="BG1868" t="str">
            <v>Z000</v>
          </cell>
          <cell r="BH1868" t="str">
            <v>GSA</v>
          </cell>
        </row>
        <row r="1869">
          <cell r="K1869">
            <v>2771.8100000000013</v>
          </cell>
          <cell r="L1869">
            <v>0</v>
          </cell>
          <cell r="N1869">
            <v>1086.9300000000003</v>
          </cell>
          <cell r="O1869">
            <v>0</v>
          </cell>
          <cell r="Q1869">
            <v>615.2400000000016</v>
          </cell>
          <cell r="R1869">
            <v>0</v>
          </cell>
          <cell r="T1869">
            <v>610.61000000000058</v>
          </cell>
          <cell r="U1869">
            <v>0</v>
          </cell>
          <cell r="W1869">
            <v>3939.4799999999996</v>
          </cell>
          <cell r="X1869">
            <v>0</v>
          </cell>
          <cell r="Z1869">
            <v>648.87000000000262</v>
          </cell>
          <cell r="AA1869">
            <v>0</v>
          </cell>
          <cell r="AC1869">
            <v>2223.6999999999971</v>
          </cell>
          <cell r="AD1869">
            <v>0</v>
          </cell>
          <cell r="AF1869">
            <v>684.37000000000262</v>
          </cell>
          <cell r="AG1869">
            <v>0</v>
          </cell>
          <cell r="AI1869">
            <v>3290.9199999999983</v>
          </cell>
          <cell r="AJ1869">
            <v>0</v>
          </cell>
          <cell r="AL1869">
            <v>9242.9799999999959</v>
          </cell>
          <cell r="AM1869">
            <v>0</v>
          </cell>
          <cell r="AO1869">
            <v>640.19000000000233</v>
          </cell>
          <cell r="AP1869">
            <v>0</v>
          </cell>
          <cell r="AR1869">
            <v>974.97000000000116</v>
          </cell>
          <cell r="AS1869">
            <v>0</v>
          </cell>
          <cell r="BF1869" t="str">
            <v>4250</v>
          </cell>
          <cell r="BG1869" t="str">
            <v>Z000</v>
          </cell>
          <cell r="BH1869" t="str">
            <v>GSA</v>
          </cell>
        </row>
        <row r="1870">
          <cell r="K1870">
            <v>0</v>
          </cell>
          <cell r="L1870">
            <v>0</v>
          </cell>
          <cell r="N1870">
            <v>0</v>
          </cell>
          <cell r="O1870">
            <v>0</v>
          </cell>
          <cell r="Q1870">
            <v>0</v>
          </cell>
          <cell r="R1870">
            <v>0</v>
          </cell>
          <cell r="T1870">
            <v>721.93000000000006</v>
          </cell>
          <cell r="U1870">
            <v>0</v>
          </cell>
          <cell r="W1870">
            <v>1545.84</v>
          </cell>
          <cell r="X1870">
            <v>0</v>
          </cell>
          <cell r="Z1870">
            <v>0</v>
          </cell>
          <cell r="AA1870">
            <v>0</v>
          </cell>
          <cell r="AC1870">
            <v>0</v>
          </cell>
          <cell r="AD1870">
            <v>0</v>
          </cell>
          <cell r="AF1870">
            <v>0</v>
          </cell>
          <cell r="AG1870">
            <v>0</v>
          </cell>
          <cell r="AI1870">
            <v>185</v>
          </cell>
          <cell r="AJ1870">
            <v>0</v>
          </cell>
          <cell r="AL1870">
            <v>0</v>
          </cell>
          <cell r="AM1870">
            <v>0</v>
          </cell>
          <cell r="AO1870">
            <v>0</v>
          </cell>
          <cell r="AP1870">
            <v>0</v>
          </cell>
          <cell r="AR1870">
            <v>0</v>
          </cell>
          <cell r="AS1870">
            <v>0</v>
          </cell>
          <cell r="BF1870" t="str">
            <v>4275</v>
          </cell>
          <cell r="BG1870" t="str">
            <v>Z000</v>
          </cell>
          <cell r="BH1870" t="str">
            <v>GSA</v>
          </cell>
        </row>
        <row r="1871">
          <cell r="K1871">
            <v>20055.940000000002</v>
          </cell>
          <cell r="L1871">
            <v>0</v>
          </cell>
          <cell r="N1871">
            <v>-3252.8000000000029</v>
          </cell>
          <cell r="O1871">
            <v>0</v>
          </cell>
          <cell r="Q1871">
            <v>8174.25</v>
          </cell>
          <cell r="R1871">
            <v>0</v>
          </cell>
          <cell r="T1871">
            <v>8446.6999999999971</v>
          </cell>
          <cell r="U1871">
            <v>0</v>
          </cell>
          <cell r="W1871">
            <v>8476.2700000000186</v>
          </cell>
          <cell r="X1871">
            <v>0</v>
          </cell>
          <cell r="Z1871">
            <v>8446.7200000000157</v>
          </cell>
          <cell r="AA1871">
            <v>0</v>
          </cell>
          <cell r="AC1871">
            <v>8446.6999999999825</v>
          </cell>
          <cell r="AD1871">
            <v>0</v>
          </cell>
          <cell r="AF1871">
            <v>7892.6917787999846</v>
          </cell>
          <cell r="AG1871">
            <v>0</v>
          </cell>
          <cell r="AI1871">
            <v>9150.5899999999965</v>
          </cell>
          <cell r="AJ1871">
            <v>0</v>
          </cell>
          <cell r="AL1871">
            <v>9467.4399999999732</v>
          </cell>
          <cell r="AM1871">
            <v>0</v>
          </cell>
          <cell r="AO1871">
            <v>10263.860000000015</v>
          </cell>
          <cell r="AP1871">
            <v>0</v>
          </cell>
          <cell r="AR1871">
            <v>10405.01999999999</v>
          </cell>
          <cell r="AS1871">
            <v>0</v>
          </cell>
          <cell r="BF1871" t="str">
            <v>4300</v>
          </cell>
          <cell r="BG1871" t="str">
            <v>Z000</v>
          </cell>
          <cell r="BH1871" t="str">
            <v>GSA</v>
          </cell>
        </row>
        <row r="1872">
          <cell r="K1872">
            <v>0</v>
          </cell>
          <cell r="L1872">
            <v>0</v>
          </cell>
          <cell r="N1872">
            <v>0</v>
          </cell>
          <cell r="O1872">
            <v>0</v>
          </cell>
          <cell r="Q1872">
            <v>0</v>
          </cell>
          <cell r="R1872">
            <v>0</v>
          </cell>
          <cell r="T1872">
            <v>0</v>
          </cell>
          <cell r="U1872">
            <v>0</v>
          </cell>
          <cell r="W1872">
            <v>0</v>
          </cell>
          <cell r="X1872">
            <v>0</v>
          </cell>
          <cell r="Z1872">
            <v>0</v>
          </cell>
          <cell r="AA1872">
            <v>0</v>
          </cell>
          <cell r="AC1872">
            <v>0</v>
          </cell>
          <cell r="AD1872">
            <v>0</v>
          </cell>
          <cell r="AF1872">
            <v>0</v>
          </cell>
          <cell r="AG1872">
            <v>0</v>
          </cell>
          <cell r="AI1872">
            <v>0</v>
          </cell>
          <cell r="AJ1872">
            <v>0</v>
          </cell>
          <cell r="AL1872">
            <v>0</v>
          </cell>
          <cell r="AM1872">
            <v>0</v>
          </cell>
          <cell r="AO1872">
            <v>0</v>
          </cell>
          <cell r="AP1872">
            <v>0</v>
          </cell>
          <cell r="AR1872">
            <v>0</v>
          </cell>
          <cell r="AS1872">
            <v>0</v>
          </cell>
          <cell r="BF1872" t="str">
            <v>4320</v>
          </cell>
          <cell r="BG1872" t="str">
            <v>Z000</v>
          </cell>
          <cell r="BH1872" t="str">
            <v>GSA</v>
          </cell>
        </row>
        <row r="1873">
          <cell r="K1873">
            <v>0</v>
          </cell>
          <cell r="L1873">
            <v>0</v>
          </cell>
          <cell r="N1873">
            <v>0</v>
          </cell>
          <cell r="O1873">
            <v>0</v>
          </cell>
          <cell r="Q1873">
            <v>0</v>
          </cell>
          <cell r="R1873">
            <v>0</v>
          </cell>
          <cell r="T1873">
            <v>0</v>
          </cell>
          <cell r="U1873">
            <v>0</v>
          </cell>
          <cell r="W1873">
            <v>0</v>
          </cell>
          <cell r="X1873">
            <v>0</v>
          </cell>
          <cell r="Z1873">
            <v>0</v>
          </cell>
          <cell r="AA1873">
            <v>0</v>
          </cell>
          <cell r="AC1873">
            <v>0</v>
          </cell>
          <cell r="AD1873">
            <v>0</v>
          </cell>
          <cell r="AF1873">
            <v>0</v>
          </cell>
          <cell r="AG1873">
            <v>0</v>
          </cell>
          <cell r="AI1873">
            <v>0</v>
          </cell>
          <cell r="AJ1873">
            <v>0</v>
          </cell>
          <cell r="AL1873">
            <v>0</v>
          </cell>
          <cell r="AM1873">
            <v>0</v>
          </cell>
          <cell r="AO1873">
            <v>0</v>
          </cell>
          <cell r="AP1873">
            <v>0</v>
          </cell>
          <cell r="AR1873">
            <v>0</v>
          </cell>
          <cell r="AS1873">
            <v>0</v>
          </cell>
          <cell r="BF1873" t="str">
            <v>4330</v>
          </cell>
          <cell r="BG1873" t="str">
            <v>Z000</v>
          </cell>
          <cell r="BH1873" t="str">
            <v>GSA</v>
          </cell>
        </row>
        <row r="1874">
          <cell r="K1874">
            <v>0</v>
          </cell>
          <cell r="L1874">
            <v>0</v>
          </cell>
          <cell r="N1874">
            <v>0</v>
          </cell>
          <cell r="O1874">
            <v>0</v>
          </cell>
          <cell r="Q1874">
            <v>0</v>
          </cell>
          <cell r="R1874">
            <v>0</v>
          </cell>
          <cell r="T1874">
            <v>0</v>
          </cell>
          <cell r="U1874">
            <v>0</v>
          </cell>
          <cell r="W1874">
            <v>0</v>
          </cell>
          <cell r="X1874">
            <v>0</v>
          </cell>
          <cell r="Z1874">
            <v>0</v>
          </cell>
          <cell r="AA1874">
            <v>0</v>
          </cell>
          <cell r="AC1874">
            <v>0</v>
          </cell>
          <cell r="AD1874">
            <v>0</v>
          </cell>
          <cell r="AF1874">
            <v>9534.9599999999991</v>
          </cell>
          <cell r="AG1874">
            <v>0</v>
          </cell>
          <cell r="AI1874">
            <v>5000</v>
          </cell>
          <cell r="AJ1874">
            <v>0</v>
          </cell>
          <cell r="AL1874">
            <v>0</v>
          </cell>
          <cell r="AM1874">
            <v>0</v>
          </cell>
          <cell r="AO1874">
            <v>0</v>
          </cell>
          <cell r="AP1874">
            <v>0</v>
          </cell>
          <cell r="AR1874">
            <v>0</v>
          </cell>
          <cell r="AS1874">
            <v>0</v>
          </cell>
          <cell r="BF1874" t="str">
            <v>4340</v>
          </cell>
          <cell r="BG1874" t="str">
            <v>D006</v>
          </cell>
          <cell r="BH1874" t="str">
            <v>GSA</v>
          </cell>
        </row>
        <row r="1875">
          <cell r="K1875">
            <v>0</v>
          </cell>
          <cell r="L1875">
            <v>0</v>
          </cell>
          <cell r="N1875">
            <v>0</v>
          </cell>
          <cell r="O1875">
            <v>0</v>
          </cell>
          <cell r="Q1875">
            <v>0</v>
          </cell>
          <cell r="R1875">
            <v>0</v>
          </cell>
          <cell r="T1875">
            <v>0</v>
          </cell>
          <cell r="U1875">
            <v>0</v>
          </cell>
          <cell r="W1875">
            <v>0</v>
          </cell>
          <cell r="X1875">
            <v>0</v>
          </cell>
          <cell r="Z1875">
            <v>0</v>
          </cell>
          <cell r="AA1875">
            <v>0</v>
          </cell>
          <cell r="AC1875">
            <v>0</v>
          </cell>
          <cell r="AD1875">
            <v>0</v>
          </cell>
          <cell r="AF1875">
            <v>0</v>
          </cell>
          <cell r="AG1875">
            <v>0</v>
          </cell>
          <cell r="AI1875">
            <v>0</v>
          </cell>
          <cell r="AJ1875">
            <v>0</v>
          </cell>
          <cell r="AL1875">
            <v>0</v>
          </cell>
          <cell r="AM1875">
            <v>0</v>
          </cell>
          <cell r="AO1875">
            <v>0</v>
          </cell>
          <cell r="AP1875">
            <v>0</v>
          </cell>
          <cell r="AR1875">
            <v>0</v>
          </cell>
          <cell r="AS1875">
            <v>0</v>
          </cell>
          <cell r="BF1875" t="str">
            <v>4340</v>
          </cell>
          <cell r="BG1875" t="str">
            <v>D007</v>
          </cell>
          <cell r="BH1875" t="str">
            <v>GSA</v>
          </cell>
        </row>
        <row r="1876">
          <cell r="K1876">
            <v>0</v>
          </cell>
          <cell r="L1876">
            <v>0</v>
          </cell>
          <cell r="N1876">
            <v>0</v>
          </cell>
          <cell r="O1876">
            <v>0</v>
          </cell>
          <cell r="Q1876">
            <v>0</v>
          </cell>
          <cell r="R1876">
            <v>0</v>
          </cell>
          <cell r="T1876">
            <v>0</v>
          </cell>
          <cell r="U1876">
            <v>0</v>
          </cell>
          <cell r="W1876">
            <v>0</v>
          </cell>
          <cell r="X1876">
            <v>0</v>
          </cell>
          <cell r="Z1876">
            <v>0</v>
          </cell>
          <cell r="AA1876">
            <v>0</v>
          </cell>
          <cell r="AC1876">
            <v>0</v>
          </cell>
          <cell r="AD1876">
            <v>0</v>
          </cell>
          <cell r="AF1876">
            <v>0</v>
          </cell>
          <cell r="AG1876">
            <v>0</v>
          </cell>
          <cell r="AI1876">
            <v>0</v>
          </cell>
          <cell r="AJ1876">
            <v>0</v>
          </cell>
          <cell r="AL1876">
            <v>0</v>
          </cell>
          <cell r="AM1876">
            <v>0</v>
          </cell>
          <cell r="AO1876">
            <v>0</v>
          </cell>
          <cell r="AP1876">
            <v>0</v>
          </cell>
          <cell r="AR1876">
            <v>0</v>
          </cell>
          <cell r="AS1876">
            <v>0</v>
          </cell>
          <cell r="BF1876" t="str">
            <v>4340</v>
          </cell>
          <cell r="BG1876" t="str">
            <v>D008</v>
          </cell>
          <cell r="BH1876" t="str">
            <v>GSA</v>
          </cell>
        </row>
        <row r="1877">
          <cell r="K1877">
            <v>0</v>
          </cell>
          <cell r="L1877">
            <v>0</v>
          </cell>
          <cell r="N1877">
            <v>0</v>
          </cell>
          <cell r="O1877">
            <v>0</v>
          </cell>
          <cell r="Q1877">
            <v>0</v>
          </cell>
          <cell r="R1877">
            <v>0</v>
          </cell>
          <cell r="T1877">
            <v>0</v>
          </cell>
          <cell r="U1877">
            <v>0</v>
          </cell>
          <cell r="W1877">
            <v>0</v>
          </cell>
          <cell r="X1877">
            <v>0</v>
          </cell>
          <cell r="Z1877">
            <v>0</v>
          </cell>
          <cell r="AA1877">
            <v>0</v>
          </cell>
          <cell r="AC1877">
            <v>0</v>
          </cell>
          <cell r="AD1877">
            <v>0</v>
          </cell>
          <cell r="AF1877">
            <v>0</v>
          </cell>
          <cell r="AG1877">
            <v>0</v>
          </cell>
          <cell r="AI1877">
            <v>0</v>
          </cell>
          <cell r="AJ1877">
            <v>0</v>
          </cell>
          <cell r="AL1877">
            <v>0</v>
          </cell>
          <cell r="AM1877">
            <v>0</v>
          </cell>
          <cell r="AO1877">
            <v>0</v>
          </cell>
          <cell r="AP1877">
            <v>0</v>
          </cell>
          <cell r="AR1877">
            <v>0</v>
          </cell>
          <cell r="AS1877">
            <v>0</v>
          </cell>
          <cell r="BF1877" t="str">
            <v>4360</v>
          </cell>
          <cell r="BG1877" t="str">
            <v>Z000</v>
          </cell>
          <cell r="BH1877" t="str">
            <v>GSA</v>
          </cell>
        </row>
        <row r="1878">
          <cell r="K1878">
            <v>0</v>
          </cell>
          <cell r="L1878">
            <v>0</v>
          </cell>
          <cell r="N1878">
            <v>0</v>
          </cell>
          <cell r="O1878">
            <v>0</v>
          </cell>
          <cell r="Q1878">
            <v>0</v>
          </cell>
          <cell r="R1878">
            <v>0</v>
          </cell>
          <cell r="T1878">
            <v>0</v>
          </cell>
          <cell r="U1878">
            <v>0</v>
          </cell>
          <cell r="W1878">
            <v>0</v>
          </cell>
          <cell r="X1878">
            <v>0</v>
          </cell>
          <cell r="Z1878">
            <v>0</v>
          </cell>
          <cell r="AA1878">
            <v>0</v>
          </cell>
          <cell r="AC1878">
            <v>0</v>
          </cell>
          <cell r="AD1878">
            <v>0</v>
          </cell>
          <cell r="AF1878">
            <v>0</v>
          </cell>
          <cell r="AG1878">
            <v>0</v>
          </cell>
          <cell r="AI1878">
            <v>0</v>
          </cell>
          <cell r="AJ1878">
            <v>0</v>
          </cell>
          <cell r="AL1878">
            <v>0</v>
          </cell>
          <cell r="AM1878">
            <v>0</v>
          </cell>
          <cell r="AO1878">
            <v>0</v>
          </cell>
          <cell r="AP1878">
            <v>0</v>
          </cell>
          <cell r="AR1878">
            <v>0</v>
          </cell>
          <cell r="AS1878">
            <v>0</v>
          </cell>
          <cell r="BF1878" t="str">
            <v>4380</v>
          </cell>
          <cell r="BG1878" t="str">
            <v>Z000</v>
          </cell>
          <cell r="BH1878" t="str">
            <v>GSA</v>
          </cell>
        </row>
        <row r="1879">
          <cell r="K1879">
            <v>0</v>
          </cell>
          <cell r="L1879">
            <v>0</v>
          </cell>
          <cell r="N1879">
            <v>0</v>
          </cell>
          <cell r="O1879">
            <v>0</v>
          </cell>
          <cell r="Q1879">
            <v>0</v>
          </cell>
          <cell r="R1879">
            <v>0</v>
          </cell>
          <cell r="T1879">
            <v>0</v>
          </cell>
          <cell r="U1879">
            <v>0</v>
          </cell>
          <cell r="W1879">
            <v>0</v>
          </cell>
          <cell r="X1879">
            <v>0</v>
          </cell>
          <cell r="Z1879">
            <v>0</v>
          </cell>
          <cell r="AA1879">
            <v>0</v>
          </cell>
          <cell r="AC1879">
            <v>0</v>
          </cell>
          <cell r="AD1879">
            <v>0</v>
          </cell>
          <cell r="AF1879">
            <v>0</v>
          </cell>
          <cell r="AG1879">
            <v>0</v>
          </cell>
          <cell r="AI1879">
            <v>0</v>
          </cell>
          <cell r="AJ1879">
            <v>0</v>
          </cell>
          <cell r="AL1879">
            <v>0</v>
          </cell>
          <cell r="AM1879">
            <v>0</v>
          </cell>
          <cell r="AO1879">
            <v>0</v>
          </cell>
          <cell r="AP1879">
            <v>0</v>
          </cell>
          <cell r="AR1879">
            <v>0</v>
          </cell>
          <cell r="AS1879">
            <v>0</v>
          </cell>
          <cell r="BF1879" t="str">
            <v>4400</v>
          </cell>
          <cell r="BG1879" t="str">
            <v>Z000</v>
          </cell>
          <cell r="BH1879" t="str">
            <v>GSA</v>
          </cell>
        </row>
        <row r="1880">
          <cell r="K1880">
            <v>0</v>
          </cell>
          <cell r="L1880">
            <v>0</v>
          </cell>
          <cell r="N1880">
            <v>0</v>
          </cell>
          <cell r="O1880">
            <v>0</v>
          </cell>
          <cell r="Q1880">
            <v>10000</v>
          </cell>
          <cell r="R1880">
            <v>0</v>
          </cell>
          <cell r="T1880">
            <v>0</v>
          </cell>
          <cell r="U1880">
            <v>0</v>
          </cell>
          <cell r="W1880">
            <v>0</v>
          </cell>
          <cell r="X1880">
            <v>0</v>
          </cell>
          <cell r="Z1880">
            <v>0</v>
          </cell>
          <cell r="AA1880">
            <v>0</v>
          </cell>
          <cell r="AC1880">
            <v>0</v>
          </cell>
          <cell r="AD1880">
            <v>0</v>
          </cell>
          <cell r="AF1880">
            <v>0</v>
          </cell>
          <cell r="AG1880">
            <v>0</v>
          </cell>
          <cell r="AI1880">
            <v>0</v>
          </cell>
          <cell r="AJ1880">
            <v>0</v>
          </cell>
          <cell r="AL1880">
            <v>0</v>
          </cell>
          <cell r="AM1880">
            <v>0</v>
          </cell>
          <cell r="AO1880">
            <v>0</v>
          </cell>
          <cell r="AP1880">
            <v>0</v>
          </cell>
          <cell r="AR1880">
            <v>0</v>
          </cell>
          <cell r="AS1880">
            <v>0</v>
          </cell>
          <cell r="BF1880" t="str">
            <v>4480</v>
          </cell>
          <cell r="BG1880" t="str">
            <v>Z000</v>
          </cell>
          <cell r="BH1880" t="str">
            <v>GSA</v>
          </cell>
        </row>
        <row r="1881">
          <cell r="K1881">
            <v>0</v>
          </cell>
          <cell r="L1881">
            <v>0</v>
          </cell>
          <cell r="N1881">
            <v>0</v>
          </cell>
          <cell r="O1881">
            <v>0</v>
          </cell>
          <cell r="Q1881">
            <v>0</v>
          </cell>
          <cell r="R1881">
            <v>0</v>
          </cell>
          <cell r="T1881">
            <v>0</v>
          </cell>
          <cell r="U1881">
            <v>0</v>
          </cell>
          <cell r="W1881">
            <v>0</v>
          </cell>
          <cell r="X1881">
            <v>0</v>
          </cell>
          <cell r="Z1881">
            <v>0</v>
          </cell>
          <cell r="AA1881">
            <v>0</v>
          </cell>
          <cell r="AC1881">
            <v>0</v>
          </cell>
          <cell r="AD1881">
            <v>0</v>
          </cell>
          <cell r="AF1881">
            <v>0</v>
          </cell>
          <cell r="AG1881">
            <v>0</v>
          </cell>
          <cell r="AI1881">
            <v>0</v>
          </cell>
          <cell r="AJ1881">
            <v>0</v>
          </cell>
          <cell r="AL1881">
            <v>0</v>
          </cell>
          <cell r="AM1881">
            <v>0</v>
          </cell>
          <cell r="AO1881">
            <v>0</v>
          </cell>
          <cell r="AP1881">
            <v>0</v>
          </cell>
          <cell r="AR1881">
            <v>0</v>
          </cell>
          <cell r="AS1881">
            <v>0</v>
          </cell>
          <cell r="BF1881" t="str">
            <v>4500</v>
          </cell>
          <cell r="BG1881" t="str">
            <v>Z000</v>
          </cell>
          <cell r="BH1881" t="str">
            <v>GSA</v>
          </cell>
        </row>
        <row r="1882">
          <cell r="K1882">
            <v>0</v>
          </cell>
          <cell r="L1882">
            <v>0</v>
          </cell>
          <cell r="N1882">
            <v>0</v>
          </cell>
          <cell r="O1882">
            <v>0</v>
          </cell>
          <cell r="Q1882">
            <v>0</v>
          </cell>
          <cell r="R1882">
            <v>0</v>
          </cell>
          <cell r="T1882">
            <v>0</v>
          </cell>
          <cell r="U1882">
            <v>0</v>
          </cell>
          <cell r="W1882">
            <v>0</v>
          </cell>
          <cell r="X1882">
            <v>0</v>
          </cell>
          <cell r="Z1882">
            <v>0</v>
          </cell>
          <cell r="AA1882">
            <v>0</v>
          </cell>
          <cell r="AC1882">
            <v>0</v>
          </cell>
          <cell r="AD1882">
            <v>0</v>
          </cell>
          <cell r="AF1882">
            <v>0</v>
          </cell>
          <cell r="AG1882">
            <v>0</v>
          </cell>
          <cell r="AI1882">
            <v>0</v>
          </cell>
          <cell r="AJ1882">
            <v>0</v>
          </cell>
          <cell r="AL1882">
            <v>0</v>
          </cell>
          <cell r="AM1882">
            <v>0</v>
          </cell>
          <cell r="AO1882">
            <v>0</v>
          </cell>
          <cell r="AP1882">
            <v>0</v>
          </cell>
          <cell r="AR1882">
            <v>0</v>
          </cell>
          <cell r="AS1882">
            <v>0</v>
          </cell>
          <cell r="BF1882" t="str">
            <v>4520</v>
          </cell>
          <cell r="BG1882" t="str">
            <v>D011</v>
          </cell>
          <cell r="BH1882" t="str">
            <v>GSA</v>
          </cell>
        </row>
        <row r="1883">
          <cell r="K1883">
            <v>0</v>
          </cell>
          <cell r="L1883">
            <v>0</v>
          </cell>
          <cell r="N1883">
            <v>0</v>
          </cell>
          <cell r="O1883">
            <v>0</v>
          </cell>
          <cell r="Q1883">
            <v>0</v>
          </cell>
          <cell r="R1883">
            <v>0</v>
          </cell>
          <cell r="T1883">
            <v>0</v>
          </cell>
          <cell r="U1883">
            <v>0</v>
          </cell>
          <cell r="W1883">
            <v>0</v>
          </cell>
          <cell r="X1883">
            <v>0</v>
          </cell>
          <cell r="Z1883">
            <v>0</v>
          </cell>
          <cell r="AA1883">
            <v>0</v>
          </cell>
          <cell r="AC1883">
            <v>0</v>
          </cell>
          <cell r="AD1883">
            <v>0</v>
          </cell>
          <cell r="AF1883">
            <v>0</v>
          </cell>
          <cell r="AG1883">
            <v>0</v>
          </cell>
          <cell r="AI1883">
            <v>0</v>
          </cell>
          <cell r="AJ1883">
            <v>0</v>
          </cell>
          <cell r="AL1883">
            <v>0</v>
          </cell>
          <cell r="AM1883">
            <v>0</v>
          </cell>
          <cell r="AO1883">
            <v>0</v>
          </cell>
          <cell r="AP1883">
            <v>0</v>
          </cell>
          <cell r="AR1883">
            <v>0</v>
          </cell>
          <cell r="AS1883">
            <v>0</v>
          </cell>
          <cell r="BF1883" t="str">
            <v>4520</v>
          </cell>
          <cell r="BG1883" t="str">
            <v>D012</v>
          </cell>
          <cell r="BH1883" t="str">
            <v>GSA</v>
          </cell>
        </row>
        <row r="1884">
          <cell r="K1884">
            <v>0</v>
          </cell>
          <cell r="L1884">
            <v>0</v>
          </cell>
          <cell r="N1884">
            <v>0</v>
          </cell>
          <cell r="O1884">
            <v>0</v>
          </cell>
          <cell r="Q1884">
            <v>0</v>
          </cell>
          <cell r="R1884">
            <v>0</v>
          </cell>
          <cell r="T1884">
            <v>0</v>
          </cell>
          <cell r="U1884">
            <v>0</v>
          </cell>
          <cell r="W1884">
            <v>0</v>
          </cell>
          <cell r="X1884">
            <v>0</v>
          </cell>
          <cell r="Z1884">
            <v>0</v>
          </cell>
          <cell r="AA1884">
            <v>0</v>
          </cell>
          <cell r="AC1884">
            <v>0</v>
          </cell>
          <cell r="AD1884">
            <v>0</v>
          </cell>
          <cell r="AF1884">
            <v>0</v>
          </cell>
          <cell r="AG1884">
            <v>0</v>
          </cell>
          <cell r="AI1884">
            <v>0</v>
          </cell>
          <cell r="AJ1884">
            <v>0</v>
          </cell>
          <cell r="AL1884">
            <v>0</v>
          </cell>
          <cell r="AM1884">
            <v>0</v>
          </cell>
          <cell r="AO1884">
            <v>0</v>
          </cell>
          <cell r="AP1884">
            <v>0</v>
          </cell>
          <cell r="AR1884">
            <v>0</v>
          </cell>
          <cell r="AS1884">
            <v>0</v>
          </cell>
          <cell r="BF1884" t="str">
            <v>4520</v>
          </cell>
          <cell r="BG1884" t="str">
            <v>D013</v>
          </cell>
          <cell r="BH1884" t="str">
            <v>GSA</v>
          </cell>
        </row>
        <row r="1885">
          <cell r="K1885">
            <v>0</v>
          </cell>
          <cell r="L1885">
            <v>0</v>
          </cell>
          <cell r="N1885">
            <v>0</v>
          </cell>
          <cell r="O1885">
            <v>0</v>
          </cell>
          <cell r="Q1885">
            <v>0</v>
          </cell>
          <cell r="R1885">
            <v>0</v>
          </cell>
          <cell r="T1885">
            <v>0</v>
          </cell>
          <cell r="U1885">
            <v>0</v>
          </cell>
          <cell r="W1885">
            <v>0</v>
          </cell>
          <cell r="X1885">
            <v>0</v>
          </cell>
          <cell r="Z1885">
            <v>0</v>
          </cell>
          <cell r="AA1885">
            <v>0</v>
          </cell>
          <cell r="AC1885">
            <v>0</v>
          </cell>
          <cell r="AD1885">
            <v>0</v>
          </cell>
          <cell r="AF1885">
            <v>0</v>
          </cell>
          <cell r="AG1885">
            <v>0</v>
          </cell>
          <cell r="AI1885">
            <v>0</v>
          </cell>
          <cell r="AJ1885">
            <v>0</v>
          </cell>
          <cell r="AL1885">
            <v>0</v>
          </cell>
          <cell r="AM1885">
            <v>0</v>
          </cell>
          <cell r="AO1885">
            <v>0</v>
          </cell>
          <cell r="AP1885">
            <v>0</v>
          </cell>
          <cell r="AR1885">
            <v>0</v>
          </cell>
          <cell r="AS1885">
            <v>0</v>
          </cell>
          <cell r="BF1885" t="str">
            <v>4520</v>
          </cell>
          <cell r="BG1885" t="str">
            <v>D014</v>
          </cell>
          <cell r="BH1885" t="str">
            <v>GSA</v>
          </cell>
        </row>
        <row r="1886">
          <cell r="K1886">
            <v>0</v>
          </cell>
          <cell r="L1886">
            <v>0</v>
          </cell>
          <cell r="N1886">
            <v>0</v>
          </cell>
          <cell r="O1886">
            <v>0</v>
          </cell>
          <cell r="Q1886">
            <v>0</v>
          </cell>
          <cell r="R1886">
            <v>0</v>
          </cell>
          <cell r="T1886">
            <v>0</v>
          </cell>
          <cell r="U1886">
            <v>0</v>
          </cell>
          <cell r="W1886">
            <v>0</v>
          </cell>
          <cell r="X1886">
            <v>0</v>
          </cell>
          <cell r="Z1886">
            <v>0</v>
          </cell>
          <cell r="AA1886">
            <v>0</v>
          </cell>
          <cell r="AC1886">
            <v>0</v>
          </cell>
          <cell r="AD1886">
            <v>0</v>
          </cell>
          <cell r="AF1886">
            <v>0</v>
          </cell>
          <cell r="AG1886">
            <v>0</v>
          </cell>
          <cell r="AI1886">
            <v>0</v>
          </cell>
          <cell r="AJ1886">
            <v>0</v>
          </cell>
          <cell r="AL1886">
            <v>0</v>
          </cell>
          <cell r="AM1886">
            <v>0</v>
          </cell>
          <cell r="AO1886">
            <v>0</v>
          </cell>
          <cell r="AP1886">
            <v>0</v>
          </cell>
          <cell r="AR1886">
            <v>0</v>
          </cell>
          <cell r="AS1886">
            <v>0</v>
          </cell>
          <cell r="BF1886" t="str">
            <v>4520</v>
          </cell>
          <cell r="BG1886" t="str">
            <v>D015</v>
          </cell>
          <cell r="BH1886" t="str">
            <v>GSA</v>
          </cell>
        </row>
        <row r="1887">
          <cell r="K1887">
            <v>0</v>
          </cell>
          <cell r="L1887">
            <v>0</v>
          </cell>
          <cell r="N1887">
            <v>0</v>
          </cell>
          <cell r="O1887">
            <v>0</v>
          </cell>
          <cell r="Q1887">
            <v>0</v>
          </cell>
          <cell r="R1887">
            <v>0</v>
          </cell>
          <cell r="T1887">
            <v>0</v>
          </cell>
          <cell r="U1887">
            <v>0</v>
          </cell>
          <cell r="W1887">
            <v>0</v>
          </cell>
          <cell r="X1887">
            <v>0</v>
          </cell>
          <cell r="Z1887">
            <v>0</v>
          </cell>
          <cell r="AA1887">
            <v>0</v>
          </cell>
          <cell r="AC1887">
            <v>0</v>
          </cell>
          <cell r="AD1887">
            <v>0</v>
          </cell>
          <cell r="AF1887">
            <v>0</v>
          </cell>
          <cell r="AG1887">
            <v>0</v>
          </cell>
          <cell r="AI1887">
            <v>0</v>
          </cell>
          <cell r="AJ1887">
            <v>0</v>
          </cell>
          <cell r="AL1887">
            <v>0</v>
          </cell>
          <cell r="AM1887">
            <v>0</v>
          </cell>
          <cell r="AO1887">
            <v>0</v>
          </cell>
          <cell r="AP1887">
            <v>0</v>
          </cell>
          <cell r="AR1887">
            <v>0</v>
          </cell>
          <cell r="AS1887">
            <v>0</v>
          </cell>
          <cell r="BF1887" t="str">
            <v>4520</v>
          </cell>
          <cell r="BG1887" t="str">
            <v>D016</v>
          </cell>
          <cell r="BH1887" t="str">
            <v>GSA</v>
          </cell>
        </row>
        <row r="1888">
          <cell r="K1888">
            <v>9956.25</v>
          </cell>
          <cell r="L1888">
            <v>0</v>
          </cell>
          <cell r="N1888">
            <v>0</v>
          </cell>
          <cell r="O1888">
            <v>0</v>
          </cell>
          <cell r="Q1888">
            <v>0</v>
          </cell>
          <cell r="R1888">
            <v>0</v>
          </cell>
          <cell r="T1888">
            <v>9905.77</v>
          </cell>
          <cell r="U1888">
            <v>0</v>
          </cell>
          <cell r="W1888">
            <v>25050.930000000004</v>
          </cell>
          <cell r="X1888">
            <v>0</v>
          </cell>
          <cell r="Z1888">
            <v>0</v>
          </cell>
          <cell r="AA1888">
            <v>0</v>
          </cell>
          <cell r="AC1888">
            <v>1296.75</v>
          </cell>
          <cell r="AD1888">
            <v>0</v>
          </cell>
          <cell r="AF1888">
            <v>0</v>
          </cell>
          <cell r="AG1888">
            <v>0</v>
          </cell>
          <cell r="AI1888">
            <v>0</v>
          </cell>
          <cell r="AJ1888">
            <v>0</v>
          </cell>
          <cell r="AL1888">
            <v>0</v>
          </cell>
          <cell r="AM1888">
            <v>0</v>
          </cell>
          <cell r="AO1888">
            <v>0</v>
          </cell>
          <cell r="AP1888">
            <v>0</v>
          </cell>
          <cell r="AR1888">
            <v>2070.8300000000017</v>
          </cell>
          <cell r="AS1888">
            <v>0</v>
          </cell>
          <cell r="BF1888" t="str">
            <v>4560</v>
          </cell>
          <cell r="BG1888" t="str">
            <v>Z000</v>
          </cell>
          <cell r="BH1888" t="str">
            <v>GSA</v>
          </cell>
        </row>
        <row r="1889">
          <cell r="K1889">
            <v>0</v>
          </cell>
          <cell r="L1889">
            <v>0</v>
          </cell>
          <cell r="N1889">
            <v>208.68000000000029</v>
          </cell>
          <cell r="O1889">
            <v>0</v>
          </cell>
          <cell r="Q1889">
            <v>208.68999999999869</v>
          </cell>
          <cell r="R1889">
            <v>0</v>
          </cell>
          <cell r="T1889">
            <v>208.68999999999869</v>
          </cell>
          <cell r="U1889">
            <v>0</v>
          </cell>
          <cell r="W1889">
            <v>3003.3999999999978</v>
          </cell>
          <cell r="X1889">
            <v>0</v>
          </cell>
          <cell r="Z1889">
            <v>889.41999999999825</v>
          </cell>
          <cell r="AA1889">
            <v>0</v>
          </cell>
          <cell r="AC1889">
            <v>674.47999999999956</v>
          </cell>
          <cell r="AD1889">
            <v>0</v>
          </cell>
          <cell r="AF1889">
            <v>92306.150000000009</v>
          </cell>
          <cell r="AG1889">
            <v>0</v>
          </cell>
          <cell r="AI1889">
            <v>24511.410000000003</v>
          </cell>
          <cell r="AJ1889">
            <v>0</v>
          </cell>
          <cell r="AL1889">
            <v>39451.000000000029</v>
          </cell>
          <cell r="AM1889">
            <v>0</v>
          </cell>
          <cell r="AO1889">
            <v>87050.110000000073</v>
          </cell>
          <cell r="AP1889">
            <v>0</v>
          </cell>
          <cell r="AR1889">
            <v>15221.520000000019</v>
          </cell>
          <cell r="AS1889">
            <v>0</v>
          </cell>
          <cell r="BF1889" t="str">
            <v>4580</v>
          </cell>
          <cell r="BG1889" t="str">
            <v>Z000</v>
          </cell>
          <cell r="BH1889" t="str">
            <v>GSA</v>
          </cell>
        </row>
        <row r="1890">
          <cell r="K1890">
            <v>0</v>
          </cell>
          <cell r="L1890">
            <v>0</v>
          </cell>
          <cell r="N1890">
            <v>0</v>
          </cell>
          <cell r="O1890">
            <v>0</v>
          </cell>
          <cell r="Q1890">
            <v>0</v>
          </cell>
          <cell r="R1890">
            <v>0</v>
          </cell>
          <cell r="T1890">
            <v>0</v>
          </cell>
          <cell r="U1890">
            <v>0</v>
          </cell>
          <cell r="W1890">
            <v>0</v>
          </cell>
          <cell r="X1890">
            <v>0</v>
          </cell>
          <cell r="Z1890">
            <v>0</v>
          </cell>
          <cell r="AA1890">
            <v>0</v>
          </cell>
          <cell r="AC1890">
            <v>0</v>
          </cell>
          <cell r="AD1890">
            <v>0</v>
          </cell>
          <cell r="AF1890">
            <v>0</v>
          </cell>
          <cell r="AG1890">
            <v>0</v>
          </cell>
          <cell r="AI1890">
            <v>0</v>
          </cell>
          <cell r="AJ1890">
            <v>0</v>
          </cell>
          <cell r="AL1890">
            <v>0</v>
          </cell>
          <cell r="AM1890">
            <v>0</v>
          </cell>
          <cell r="AO1890">
            <v>0</v>
          </cell>
          <cell r="AP1890">
            <v>0</v>
          </cell>
          <cell r="AR1890">
            <v>0</v>
          </cell>
          <cell r="AS1890">
            <v>0</v>
          </cell>
          <cell r="BF1890" t="str">
            <v>4585</v>
          </cell>
          <cell r="BG1890" t="str">
            <v>D021</v>
          </cell>
          <cell r="BH1890" t="str">
            <v>GSA</v>
          </cell>
        </row>
        <row r="1891">
          <cell r="K1891">
            <v>0</v>
          </cell>
          <cell r="L1891">
            <v>0</v>
          </cell>
          <cell r="N1891">
            <v>0</v>
          </cell>
          <cell r="O1891">
            <v>0</v>
          </cell>
          <cell r="Q1891">
            <v>0</v>
          </cell>
          <cell r="R1891">
            <v>0</v>
          </cell>
          <cell r="T1891">
            <v>0</v>
          </cell>
          <cell r="U1891">
            <v>0</v>
          </cell>
          <cell r="W1891">
            <v>0</v>
          </cell>
          <cell r="X1891">
            <v>0</v>
          </cell>
          <cell r="Z1891">
            <v>0</v>
          </cell>
          <cell r="AA1891">
            <v>0</v>
          </cell>
          <cell r="AC1891">
            <v>0</v>
          </cell>
          <cell r="AD1891">
            <v>0</v>
          </cell>
          <cell r="AF1891">
            <v>0</v>
          </cell>
          <cell r="AG1891">
            <v>0</v>
          </cell>
          <cell r="AI1891">
            <v>0</v>
          </cell>
          <cell r="AJ1891">
            <v>0</v>
          </cell>
          <cell r="AL1891">
            <v>0</v>
          </cell>
          <cell r="AM1891">
            <v>0</v>
          </cell>
          <cell r="AO1891">
            <v>0</v>
          </cell>
          <cell r="AP1891">
            <v>0</v>
          </cell>
          <cell r="AR1891">
            <v>0</v>
          </cell>
          <cell r="AS1891">
            <v>0</v>
          </cell>
          <cell r="BF1891" t="str">
            <v>4585</v>
          </cell>
          <cell r="BG1891" t="str">
            <v>D022</v>
          </cell>
          <cell r="BH1891" t="str">
            <v>GSA</v>
          </cell>
        </row>
        <row r="1892">
          <cell r="K1892">
            <v>0</v>
          </cell>
          <cell r="L1892">
            <v>0</v>
          </cell>
          <cell r="N1892">
            <v>0</v>
          </cell>
          <cell r="O1892">
            <v>0</v>
          </cell>
          <cell r="Q1892">
            <v>0</v>
          </cell>
          <cell r="R1892">
            <v>0</v>
          </cell>
          <cell r="T1892">
            <v>0</v>
          </cell>
          <cell r="U1892">
            <v>0</v>
          </cell>
          <cell r="W1892">
            <v>0</v>
          </cell>
          <cell r="X1892">
            <v>0</v>
          </cell>
          <cell r="Z1892">
            <v>0</v>
          </cell>
          <cell r="AA1892">
            <v>0</v>
          </cell>
          <cell r="AC1892">
            <v>0</v>
          </cell>
          <cell r="AD1892">
            <v>0</v>
          </cell>
          <cell r="AF1892">
            <v>0</v>
          </cell>
          <cell r="AG1892">
            <v>0</v>
          </cell>
          <cell r="AI1892">
            <v>0</v>
          </cell>
          <cell r="AJ1892">
            <v>0</v>
          </cell>
          <cell r="AL1892">
            <v>0</v>
          </cell>
          <cell r="AM1892">
            <v>0</v>
          </cell>
          <cell r="AO1892">
            <v>0</v>
          </cell>
          <cell r="AP1892">
            <v>0</v>
          </cell>
          <cell r="AR1892">
            <v>0</v>
          </cell>
          <cell r="AS1892">
            <v>0</v>
          </cell>
          <cell r="BF1892" t="str">
            <v>4585</v>
          </cell>
          <cell r="BG1892" t="str">
            <v>D023</v>
          </cell>
          <cell r="BH1892" t="str">
            <v>GSA</v>
          </cell>
        </row>
        <row r="1893">
          <cell r="K1893">
            <v>0</v>
          </cell>
          <cell r="L1893">
            <v>0</v>
          </cell>
          <cell r="N1893">
            <v>0</v>
          </cell>
          <cell r="O1893">
            <v>0</v>
          </cell>
          <cell r="Q1893">
            <v>0</v>
          </cell>
          <cell r="R1893">
            <v>0</v>
          </cell>
          <cell r="T1893">
            <v>0</v>
          </cell>
          <cell r="U1893">
            <v>0</v>
          </cell>
          <cell r="W1893">
            <v>0</v>
          </cell>
          <cell r="X1893">
            <v>0</v>
          </cell>
          <cell r="Z1893">
            <v>0</v>
          </cell>
          <cell r="AA1893">
            <v>0</v>
          </cell>
          <cell r="AC1893">
            <v>0</v>
          </cell>
          <cell r="AD1893">
            <v>0</v>
          </cell>
          <cell r="AF1893">
            <v>0</v>
          </cell>
          <cell r="AG1893">
            <v>0</v>
          </cell>
          <cell r="AI1893">
            <v>0</v>
          </cell>
          <cell r="AJ1893">
            <v>0</v>
          </cell>
          <cell r="AL1893">
            <v>0</v>
          </cell>
          <cell r="AM1893">
            <v>0</v>
          </cell>
          <cell r="AO1893">
            <v>0</v>
          </cell>
          <cell r="AP1893">
            <v>0</v>
          </cell>
          <cell r="AR1893">
            <v>0</v>
          </cell>
          <cell r="AS1893">
            <v>0</v>
          </cell>
          <cell r="BF1893" t="str">
            <v>4585</v>
          </cell>
          <cell r="BG1893" t="str">
            <v>D024</v>
          </cell>
          <cell r="BH1893" t="str">
            <v>GSA</v>
          </cell>
        </row>
        <row r="1894">
          <cell r="K1894">
            <v>2427.0100000000093</v>
          </cell>
          <cell r="L1894">
            <v>0</v>
          </cell>
          <cell r="N1894">
            <v>3827.1100000001024</v>
          </cell>
          <cell r="O1894">
            <v>0</v>
          </cell>
          <cell r="Q1894">
            <v>79100.060000000056</v>
          </cell>
          <cell r="R1894">
            <v>0</v>
          </cell>
          <cell r="T1894">
            <v>59169.590000000084</v>
          </cell>
          <cell r="U1894">
            <v>0</v>
          </cell>
          <cell r="W1894">
            <v>63924.189999999944</v>
          </cell>
          <cell r="X1894">
            <v>0</v>
          </cell>
          <cell r="Z1894">
            <v>12229.949999999953</v>
          </cell>
          <cell r="AA1894">
            <v>0</v>
          </cell>
          <cell r="AC1894">
            <v>46597.780000000261</v>
          </cell>
          <cell r="AD1894">
            <v>0</v>
          </cell>
          <cell r="AF1894">
            <v>160818.17000000039</v>
          </cell>
          <cell r="AG1894">
            <v>0</v>
          </cell>
          <cell r="AI1894">
            <v>156376.95000000019</v>
          </cell>
          <cell r="AJ1894">
            <v>0</v>
          </cell>
          <cell r="AL1894">
            <v>283551.63000000059</v>
          </cell>
          <cell r="AM1894">
            <v>0</v>
          </cell>
          <cell r="AO1894">
            <v>407225.3900000006</v>
          </cell>
          <cell r="AP1894">
            <v>0</v>
          </cell>
          <cell r="AR1894">
            <v>549630.3900000006</v>
          </cell>
          <cell r="AS1894">
            <v>0</v>
          </cell>
          <cell r="BF1894" t="str">
            <v>4590</v>
          </cell>
          <cell r="BG1894" t="str">
            <v>Z000</v>
          </cell>
          <cell r="BH1894" t="str">
            <v>GSA</v>
          </cell>
        </row>
        <row r="1895">
          <cell r="K1895">
            <v>0</v>
          </cell>
          <cell r="L1895">
            <v>0</v>
          </cell>
          <cell r="N1895">
            <v>0</v>
          </cell>
          <cell r="O1895">
            <v>0</v>
          </cell>
          <cell r="Q1895">
            <v>0</v>
          </cell>
          <cell r="R1895">
            <v>0</v>
          </cell>
          <cell r="T1895">
            <v>0</v>
          </cell>
          <cell r="U1895">
            <v>0</v>
          </cell>
          <cell r="W1895">
            <v>0</v>
          </cell>
          <cell r="X1895">
            <v>0</v>
          </cell>
          <cell r="Z1895">
            <v>0</v>
          </cell>
          <cell r="AA1895">
            <v>0</v>
          </cell>
          <cell r="AC1895">
            <v>0</v>
          </cell>
          <cell r="AD1895">
            <v>0</v>
          </cell>
          <cell r="AF1895">
            <v>0</v>
          </cell>
          <cell r="AG1895">
            <v>0</v>
          </cell>
          <cell r="AI1895">
            <v>0</v>
          </cell>
          <cell r="AJ1895">
            <v>0</v>
          </cell>
          <cell r="AL1895">
            <v>0</v>
          </cell>
          <cell r="AM1895">
            <v>0</v>
          </cell>
          <cell r="AO1895">
            <v>0</v>
          </cell>
          <cell r="AP1895">
            <v>0</v>
          </cell>
          <cell r="AR1895">
            <v>0</v>
          </cell>
          <cell r="AS1895">
            <v>0</v>
          </cell>
          <cell r="BF1895" t="str">
            <v>4600</v>
          </cell>
          <cell r="BG1895" t="str">
            <v>Z000</v>
          </cell>
          <cell r="BH1895" t="str">
            <v>GSA</v>
          </cell>
        </row>
        <row r="1896">
          <cell r="K1896">
            <v>0</v>
          </cell>
          <cell r="L1896">
            <v>0</v>
          </cell>
          <cell r="N1896">
            <v>0</v>
          </cell>
          <cell r="O1896">
            <v>0</v>
          </cell>
          <cell r="Q1896">
            <v>0</v>
          </cell>
          <cell r="R1896">
            <v>0</v>
          </cell>
          <cell r="T1896">
            <v>0</v>
          </cell>
          <cell r="U1896">
            <v>0</v>
          </cell>
          <cell r="W1896">
            <v>0</v>
          </cell>
          <cell r="X1896">
            <v>0</v>
          </cell>
          <cell r="Z1896">
            <v>0</v>
          </cell>
          <cell r="AA1896">
            <v>0</v>
          </cell>
          <cell r="AC1896">
            <v>0</v>
          </cell>
          <cell r="AD1896">
            <v>0</v>
          </cell>
          <cell r="AF1896">
            <v>0</v>
          </cell>
          <cell r="AG1896">
            <v>0</v>
          </cell>
          <cell r="AI1896">
            <v>0</v>
          </cell>
          <cell r="AJ1896">
            <v>0</v>
          </cell>
          <cell r="AL1896">
            <v>0</v>
          </cell>
          <cell r="AM1896">
            <v>0</v>
          </cell>
          <cell r="AO1896">
            <v>0</v>
          </cell>
          <cell r="AP1896">
            <v>0</v>
          </cell>
          <cell r="AR1896">
            <v>0</v>
          </cell>
          <cell r="AS1896">
            <v>0</v>
          </cell>
          <cell r="BF1896" t="str">
            <v>4620</v>
          </cell>
          <cell r="BG1896" t="str">
            <v>Z000</v>
          </cell>
          <cell r="BH1896" t="str">
            <v>GSA</v>
          </cell>
        </row>
        <row r="1897">
          <cell r="K1897">
            <v>0</v>
          </cell>
          <cell r="L1897">
            <v>0</v>
          </cell>
          <cell r="N1897">
            <v>0</v>
          </cell>
          <cell r="O1897">
            <v>0</v>
          </cell>
          <cell r="Q1897">
            <v>0</v>
          </cell>
          <cell r="R1897">
            <v>0</v>
          </cell>
          <cell r="T1897">
            <v>0</v>
          </cell>
          <cell r="U1897">
            <v>0</v>
          </cell>
          <cell r="W1897">
            <v>0</v>
          </cell>
          <cell r="X1897">
            <v>0</v>
          </cell>
          <cell r="Z1897">
            <v>0</v>
          </cell>
          <cell r="AA1897">
            <v>0</v>
          </cell>
          <cell r="AC1897">
            <v>0</v>
          </cell>
          <cell r="AD1897">
            <v>0</v>
          </cell>
          <cell r="AF1897">
            <v>110.8799999999992</v>
          </cell>
          <cell r="AG1897">
            <v>0</v>
          </cell>
          <cell r="AI1897">
            <v>1049.119999999999</v>
          </cell>
          <cell r="AJ1897">
            <v>0</v>
          </cell>
          <cell r="AL1897">
            <v>0</v>
          </cell>
          <cell r="AM1897">
            <v>0</v>
          </cell>
          <cell r="AO1897">
            <v>0</v>
          </cell>
          <cell r="AP1897">
            <v>0</v>
          </cell>
          <cell r="AR1897">
            <v>8171.4500000000007</v>
          </cell>
          <cell r="AS1897">
            <v>0</v>
          </cell>
          <cell r="BF1897" t="str">
            <v>4630</v>
          </cell>
          <cell r="BG1897" t="str">
            <v>Z000</v>
          </cell>
          <cell r="BH1897" t="str">
            <v>GSA</v>
          </cell>
        </row>
        <row r="1898">
          <cell r="K1898">
            <v>0</v>
          </cell>
          <cell r="L1898">
            <v>0</v>
          </cell>
          <cell r="N1898">
            <v>0</v>
          </cell>
          <cell r="O1898">
            <v>0</v>
          </cell>
          <cell r="Q1898">
            <v>0</v>
          </cell>
          <cell r="R1898">
            <v>0</v>
          </cell>
          <cell r="T1898">
            <v>500</v>
          </cell>
          <cell r="U1898">
            <v>0</v>
          </cell>
          <cell r="W1898">
            <v>0</v>
          </cell>
          <cell r="X1898">
            <v>0</v>
          </cell>
          <cell r="Z1898">
            <v>0</v>
          </cell>
          <cell r="AA1898">
            <v>0</v>
          </cell>
          <cell r="AC1898">
            <v>0</v>
          </cell>
          <cell r="AD1898">
            <v>0</v>
          </cell>
          <cell r="AF1898">
            <v>0</v>
          </cell>
          <cell r="AG1898">
            <v>0</v>
          </cell>
          <cell r="AI1898">
            <v>0</v>
          </cell>
          <cell r="AJ1898">
            <v>0</v>
          </cell>
          <cell r="AL1898">
            <v>0</v>
          </cell>
          <cell r="AM1898">
            <v>0</v>
          </cell>
          <cell r="AO1898">
            <v>0</v>
          </cell>
          <cell r="AP1898">
            <v>0</v>
          </cell>
          <cell r="AR1898">
            <v>0</v>
          </cell>
          <cell r="AS1898">
            <v>0</v>
          </cell>
          <cell r="BF1898" t="str">
            <v>4660</v>
          </cell>
          <cell r="BG1898" t="str">
            <v>Z000</v>
          </cell>
          <cell r="BH1898" t="str">
            <v>GSA</v>
          </cell>
        </row>
        <row r="1899">
          <cell r="K1899">
            <v>0</v>
          </cell>
          <cell r="L1899">
            <v>0</v>
          </cell>
          <cell r="N1899">
            <v>0</v>
          </cell>
          <cell r="O1899">
            <v>0</v>
          </cell>
          <cell r="Q1899">
            <v>0</v>
          </cell>
          <cell r="R1899">
            <v>0</v>
          </cell>
          <cell r="T1899">
            <v>0</v>
          </cell>
          <cell r="U1899">
            <v>0</v>
          </cell>
          <cell r="W1899">
            <v>0</v>
          </cell>
          <cell r="X1899">
            <v>0</v>
          </cell>
          <cell r="Z1899">
            <v>0</v>
          </cell>
          <cell r="AA1899">
            <v>0</v>
          </cell>
          <cell r="AC1899">
            <v>0</v>
          </cell>
          <cell r="AD1899">
            <v>0</v>
          </cell>
          <cell r="AF1899">
            <v>0</v>
          </cell>
          <cell r="AG1899">
            <v>0</v>
          </cell>
          <cell r="AI1899">
            <v>0</v>
          </cell>
          <cell r="AJ1899">
            <v>0</v>
          </cell>
          <cell r="AL1899">
            <v>0</v>
          </cell>
          <cell r="AM1899">
            <v>0</v>
          </cell>
          <cell r="AO1899">
            <v>0</v>
          </cell>
          <cell r="AP1899">
            <v>0</v>
          </cell>
          <cell r="AR1899">
            <v>0</v>
          </cell>
          <cell r="AS1899">
            <v>0</v>
          </cell>
          <cell r="BF1899" t="str">
            <v>4670</v>
          </cell>
          <cell r="BG1899" t="str">
            <v>Z000</v>
          </cell>
          <cell r="BH1899" t="str">
            <v>GSA</v>
          </cell>
        </row>
        <row r="1900">
          <cell r="K1900">
            <v>1790.7299999999996</v>
          </cell>
          <cell r="L1900">
            <v>0</v>
          </cell>
          <cell r="N1900">
            <v>1884</v>
          </cell>
          <cell r="O1900">
            <v>0</v>
          </cell>
          <cell r="Q1900">
            <v>1014.1900000000023</v>
          </cell>
          <cell r="R1900">
            <v>0</v>
          </cell>
          <cell r="T1900">
            <v>1735.4700000000012</v>
          </cell>
          <cell r="U1900">
            <v>0</v>
          </cell>
          <cell r="W1900">
            <v>3522.8799999999974</v>
          </cell>
          <cell r="X1900">
            <v>0</v>
          </cell>
          <cell r="Z1900">
            <v>2603.4900000000016</v>
          </cell>
          <cell r="AA1900">
            <v>0</v>
          </cell>
          <cell r="AC1900">
            <v>1813.9699999999975</v>
          </cell>
          <cell r="AD1900">
            <v>0</v>
          </cell>
          <cell r="AF1900">
            <v>5181.4799999999996</v>
          </cell>
          <cell r="AG1900">
            <v>0</v>
          </cell>
          <cell r="AI1900">
            <v>4153.2099999999955</v>
          </cell>
          <cell r="AJ1900">
            <v>0</v>
          </cell>
          <cell r="AL1900">
            <v>4161.7799999999916</v>
          </cell>
          <cell r="AM1900">
            <v>0</v>
          </cell>
          <cell r="AO1900">
            <v>6426.4599999999991</v>
          </cell>
          <cell r="AP1900">
            <v>0</v>
          </cell>
          <cell r="AR1900">
            <v>2169.2000000000044</v>
          </cell>
          <cell r="AS1900">
            <v>0</v>
          </cell>
          <cell r="BF1900" t="str">
            <v>4690</v>
          </cell>
          <cell r="BG1900" t="str">
            <v>Z000</v>
          </cell>
          <cell r="BH1900" t="str">
            <v>GSA</v>
          </cell>
        </row>
        <row r="1901">
          <cell r="K1901">
            <v>0</v>
          </cell>
          <cell r="L1901">
            <v>0</v>
          </cell>
          <cell r="N1901">
            <v>0</v>
          </cell>
          <cell r="O1901">
            <v>0</v>
          </cell>
          <cell r="Q1901">
            <v>0</v>
          </cell>
          <cell r="R1901">
            <v>0</v>
          </cell>
          <cell r="T1901">
            <v>0</v>
          </cell>
          <cell r="U1901">
            <v>0</v>
          </cell>
          <cell r="W1901">
            <v>0</v>
          </cell>
          <cell r="X1901">
            <v>0</v>
          </cell>
          <cell r="Z1901">
            <v>0</v>
          </cell>
          <cell r="AA1901">
            <v>0</v>
          </cell>
          <cell r="AC1901">
            <v>0</v>
          </cell>
          <cell r="AD1901">
            <v>0</v>
          </cell>
          <cell r="AF1901">
            <v>0</v>
          </cell>
          <cell r="AG1901">
            <v>0</v>
          </cell>
          <cell r="AI1901">
            <v>0</v>
          </cell>
          <cell r="AJ1901">
            <v>0</v>
          </cell>
          <cell r="AL1901">
            <v>0</v>
          </cell>
          <cell r="AM1901">
            <v>0</v>
          </cell>
          <cell r="AO1901">
            <v>0</v>
          </cell>
          <cell r="AP1901">
            <v>0</v>
          </cell>
          <cell r="AR1901">
            <v>0</v>
          </cell>
          <cell r="AS1901">
            <v>0</v>
          </cell>
          <cell r="BF1901" t="str">
            <v>4700</v>
          </cell>
          <cell r="BG1901" t="str">
            <v>D031</v>
          </cell>
          <cell r="BH1901" t="str">
            <v>GSA</v>
          </cell>
        </row>
        <row r="1902">
          <cell r="K1902">
            <v>0</v>
          </cell>
          <cell r="L1902">
            <v>0</v>
          </cell>
          <cell r="N1902">
            <v>0</v>
          </cell>
          <cell r="O1902">
            <v>0</v>
          </cell>
          <cell r="Q1902">
            <v>0</v>
          </cell>
          <cell r="R1902">
            <v>0</v>
          </cell>
          <cell r="T1902">
            <v>60054.270000000019</v>
          </cell>
          <cell r="U1902">
            <v>0</v>
          </cell>
          <cell r="W1902">
            <v>0</v>
          </cell>
          <cell r="X1902">
            <v>0</v>
          </cell>
          <cell r="Z1902">
            <v>0</v>
          </cell>
          <cell r="AA1902">
            <v>0</v>
          </cell>
          <cell r="AC1902">
            <v>0</v>
          </cell>
          <cell r="AD1902">
            <v>0</v>
          </cell>
          <cell r="AF1902">
            <v>0</v>
          </cell>
          <cell r="AG1902">
            <v>0</v>
          </cell>
          <cell r="AI1902">
            <v>0</v>
          </cell>
          <cell r="AJ1902">
            <v>0</v>
          </cell>
          <cell r="AL1902">
            <v>0</v>
          </cell>
          <cell r="AM1902">
            <v>0</v>
          </cell>
          <cell r="AO1902">
            <v>0</v>
          </cell>
          <cell r="AP1902">
            <v>0</v>
          </cell>
          <cell r="AR1902">
            <v>0</v>
          </cell>
          <cell r="AS1902">
            <v>0</v>
          </cell>
          <cell r="BF1902" t="str">
            <v>4700</v>
          </cell>
          <cell r="BG1902" t="str">
            <v>D032</v>
          </cell>
          <cell r="BH1902" t="str">
            <v>GSA</v>
          </cell>
        </row>
        <row r="1903">
          <cell r="K1903">
            <v>276099.58000000007</v>
          </cell>
          <cell r="L1903">
            <v>0</v>
          </cell>
          <cell r="N1903">
            <v>571570.34999999963</v>
          </cell>
          <cell r="O1903">
            <v>0</v>
          </cell>
          <cell r="Q1903">
            <v>506033</v>
          </cell>
          <cell r="R1903">
            <v>0</v>
          </cell>
          <cell r="T1903">
            <v>442498.19000000041</v>
          </cell>
          <cell r="U1903">
            <v>0</v>
          </cell>
          <cell r="W1903">
            <v>487033.00000000279</v>
          </cell>
          <cell r="X1903">
            <v>0</v>
          </cell>
          <cell r="Z1903">
            <v>465033</v>
          </cell>
          <cell r="AA1903">
            <v>0</v>
          </cell>
          <cell r="AC1903">
            <v>459000.68999999948</v>
          </cell>
          <cell r="AD1903">
            <v>0</v>
          </cell>
          <cell r="AF1903">
            <v>509207.72000000067</v>
          </cell>
          <cell r="AG1903">
            <v>0</v>
          </cell>
          <cell r="AI1903">
            <v>615291.08999999985</v>
          </cell>
          <cell r="AJ1903">
            <v>0</v>
          </cell>
          <cell r="AL1903">
            <v>621351.19999999925</v>
          </cell>
          <cell r="AM1903">
            <v>0</v>
          </cell>
          <cell r="AO1903">
            <v>634704.20999999903</v>
          </cell>
          <cell r="AP1903">
            <v>0</v>
          </cell>
          <cell r="AR1903">
            <v>705590.80999999866</v>
          </cell>
          <cell r="AS1903">
            <v>0</v>
          </cell>
          <cell r="BF1903" t="str">
            <v>4740</v>
          </cell>
          <cell r="BG1903" t="str">
            <v>D041</v>
          </cell>
          <cell r="BH1903" t="str">
            <v>GSA</v>
          </cell>
        </row>
        <row r="1904">
          <cell r="K1904">
            <v>0</v>
          </cell>
          <cell r="L1904">
            <v>0</v>
          </cell>
          <cell r="N1904">
            <v>0</v>
          </cell>
          <cell r="O1904">
            <v>0</v>
          </cell>
          <cell r="Q1904">
            <v>19355.5</v>
          </cell>
          <cell r="R1904">
            <v>0</v>
          </cell>
          <cell r="T1904">
            <v>14480.5</v>
          </cell>
          <cell r="U1904">
            <v>0</v>
          </cell>
          <cell r="W1904">
            <v>25189.839999999997</v>
          </cell>
          <cell r="X1904">
            <v>0</v>
          </cell>
          <cell r="Z1904">
            <v>-1494.5</v>
          </cell>
          <cell r="AA1904">
            <v>0</v>
          </cell>
          <cell r="AC1904">
            <v>3605.5</v>
          </cell>
          <cell r="AD1904">
            <v>0</v>
          </cell>
          <cell r="AF1904">
            <v>3605.5</v>
          </cell>
          <cell r="AG1904">
            <v>0</v>
          </cell>
          <cell r="AI1904">
            <v>18730.500000000015</v>
          </cell>
          <cell r="AJ1904">
            <v>0</v>
          </cell>
          <cell r="AL1904">
            <v>68282.500000000015</v>
          </cell>
          <cell r="AM1904">
            <v>0</v>
          </cell>
          <cell r="AO1904">
            <v>39777.5</v>
          </cell>
          <cell r="AP1904">
            <v>0</v>
          </cell>
          <cell r="AR1904">
            <v>31605.5</v>
          </cell>
          <cell r="AS1904">
            <v>0</v>
          </cell>
          <cell r="BF1904" t="str">
            <v>4740</v>
          </cell>
          <cell r="BG1904" t="str">
            <v>D042</v>
          </cell>
          <cell r="BH1904" t="str">
            <v>GSA</v>
          </cell>
        </row>
        <row r="1905">
          <cell r="K1905">
            <v>0</v>
          </cell>
          <cell r="L1905">
            <v>0</v>
          </cell>
          <cell r="N1905">
            <v>0</v>
          </cell>
          <cell r="O1905">
            <v>0</v>
          </cell>
          <cell r="Q1905">
            <v>0</v>
          </cell>
          <cell r="R1905">
            <v>0</v>
          </cell>
          <cell r="T1905">
            <v>0</v>
          </cell>
          <cell r="U1905">
            <v>0</v>
          </cell>
          <cell r="W1905">
            <v>0</v>
          </cell>
          <cell r="X1905">
            <v>0</v>
          </cell>
          <cell r="Z1905">
            <v>0</v>
          </cell>
          <cell r="AA1905">
            <v>0</v>
          </cell>
          <cell r="AC1905">
            <v>0</v>
          </cell>
          <cell r="AD1905">
            <v>0</v>
          </cell>
          <cell r="AF1905">
            <v>0</v>
          </cell>
          <cell r="AG1905">
            <v>0</v>
          </cell>
          <cell r="AI1905">
            <v>0</v>
          </cell>
          <cell r="AJ1905">
            <v>0</v>
          </cell>
          <cell r="AL1905">
            <v>0</v>
          </cell>
          <cell r="AM1905">
            <v>0</v>
          </cell>
          <cell r="AO1905">
            <v>0</v>
          </cell>
          <cell r="AP1905">
            <v>0</v>
          </cell>
          <cell r="AR1905">
            <v>0</v>
          </cell>
          <cell r="AS1905">
            <v>0</v>
          </cell>
          <cell r="BF1905" t="str">
            <v>4740</v>
          </cell>
          <cell r="BG1905" t="str">
            <v>D043</v>
          </cell>
          <cell r="BH1905" t="str">
            <v>GSA</v>
          </cell>
        </row>
        <row r="1906">
          <cell r="K1906">
            <v>0</v>
          </cell>
          <cell r="L1906">
            <v>0</v>
          </cell>
          <cell r="N1906">
            <v>0</v>
          </cell>
          <cell r="O1906">
            <v>0</v>
          </cell>
          <cell r="Q1906">
            <v>43352.17</v>
          </cell>
          <cell r="R1906">
            <v>0</v>
          </cell>
          <cell r="T1906">
            <v>2317.2400000000052</v>
          </cell>
          <cell r="U1906">
            <v>0</v>
          </cell>
          <cell r="W1906">
            <v>4634.4799999999959</v>
          </cell>
          <cell r="X1906">
            <v>0</v>
          </cell>
          <cell r="Z1906">
            <v>44657.419999999984</v>
          </cell>
          <cell r="AA1906">
            <v>0</v>
          </cell>
          <cell r="AC1906">
            <v>52532.42</v>
          </cell>
          <cell r="AD1906">
            <v>0</v>
          </cell>
          <cell r="AF1906">
            <v>63032.419999999984</v>
          </cell>
          <cell r="AG1906">
            <v>0</v>
          </cell>
          <cell r="AI1906">
            <v>57215.210000000021</v>
          </cell>
          <cell r="AJ1906">
            <v>0</v>
          </cell>
          <cell r="AL1906">
            <v>58386.700000000012</v>
          </cell>
          <cell r="AM1906">
            <v>0</v>
          </cell>
          <cell r="AO1906">
            <v>59916.109999999986</v>
          </cell>
          <cell r="AP1906">
            <v>0</v>
          </cell>
          <cell r="AR1906">
            <v>125248.23999999999</v>
          </cell>
          <cell r="AS1906">
            <v>0</v>
          </cell>
          <cell r="BF1906" t="str">
            <v>4740</v>
          </cell>
          <cell r="BG1906" t="str">
            <v>D044</v>
          </cell>
          <cell r="BH1906" t="str">
            <v>GSA</v>
          </cell>
        </row>
        <row r="1907">
          <cell r="K1907">
            <v>0</v>
          </cell>
          <cell r="L1907">
            <v>0</v>
          </cell>
          <cell r="N1907">
            <v>0</v>
          </cell>
          <cell r="O1907">
            <v>0</v>
          </cell>
          <cell r="Q1907">
            <v>0</v>
          </cell>
          <cell r="R1907">
            <v>0</v>
          </cell>
          <cell r="T1907">
            <v>0</v>
          </cell>
          <cell r="U1907">
            <v>0</v>
          </cell>
          <cell r="W1907">
            <v>0</v>
          </cell>
          <cell r="X1907">
            <v>0</v>
          </cell>
          <cell r="Z1907">
            <v>0</v>
          </cell>
          <cell r="AA1907">
            <v>0</v>
          </cell>
          <cell r="AC1907">
            <v>0</v>
          </cell>
          <cell r="AD1907">
            <v>0</v>
          </cell>
          <cell r="AF1907">
            <v>0</v>
          </cell>
          <cell r="AG1907">
            <v>0</v>
          </cell>
          <cell r="AI1907">
            <v>0</v>
          </cell>
          <cell r="AJ1907">
            <v>0</v>
          </cell>
          <cell r="AL1907">
            <v>8000</v>
          </cell>
          <cell r="AM1907">
            <v>0</v>
          </cell>
          <cell r="AO1907">
            <v>16190</v>
          </cell>
          <cell r="AP1907">
            <v>0</v>
          </cell>
          <cell r="AR1907">
            <v>0</v>
          </cell>
          <cell r="AS1907">
            <v>0</v>
          </cell>
          <cell r="BF1907" t="str">
            <v>4740</v>
          </cell>
          <cell r="BG1907" t="str">
            <v>D045</v>
          </cell>
          <cell r="BH1907" t="str">
            <v>GSA</v>
          </cell>
        </row>
        <row r="1908">
          <cell r="K1908">
            <v>0</v>
          </cell>
          <cell r="L1908">
            <v>0</v>
          </cell>
          <cell r="N1908">
            <v>0</v>
          </cell>
          <cell r="O1908">
            <v>0</v>
          </cell>
          <cell r="Q1908">
            <v>7336.21</v>
          </cell>
          <cell r="R1908">
            <v>0</v>
          </cell>
          <cell r="T1908">
            <v>6593.3</v>
          </cell>
          <cell r="U1908">
            <v>0</v>
          </cell>
          <cell r="W1908">
            <v>18372.659999999996</v>
          </cell>
          <cell r="X1908">
            <v>0</v>
          </cell>
          <cell r="Z1908">
            <v>21322.21</v>
          </cell>
          <cell r="AA1908">
            <v>0</v>
          </cell>
          <cell r="AC1908">
            <v>17369.82</v>
          </cell>
          <cell r="AD1908">
            <v>0</v>
          </cell>
          <cell r="AF1908">
            <v>19947.520000000004</v>
          </cell>
          <cell r="AG1908">
            <v>0</v>
          </cell>
          <cell r="AI1908">
            <v>23293.490000000005</v>
          </cell>
          <cell r="AJ1908">
            <v>0</v>
          </cell>
          <cell r="AL1908">
            <v>24144.189999999959</v>
          </cell>
          <cell r="AM1908">
            <v>0</v>
          </cell>
          <cell r="AO1908">
            <v>24820.320000000007</v>
          </cell>
          <cell r="AP1908">
            <v>0</v>
          </cell>
          <cell r="AR1908">
            <v>26554.960000000021</v>
          </cell>
          <cell r="AS1908">
            <v>0</v>
          </cell>
          <cell r="BF1908" t="str">
            <v>4740</v>
          </cell>
          <cell r="BG1908" t="str">
            <v>D046</v>
          </cell>
          <cell r="BH1908" t="str">
            <v>GSA</v>
          </cell>
        </row>
        <row r="1909">
          <cell r="K1909">
            <v>0</v>
          </cell>
          <cell r="L1909">
            <v>0</v>
          </cell>
          <cell r="N1909">
            <v>0</v>
          </cell>
          <cell r="O1909">
            <v>0</v>
          </cell>
          <cell r="Q1909">
            <v>0</v>
          </cell>
          <cell r="R1909">
            <v>0</v>
          </cell>
          <cell r="T1909">
            <v>0</v>
          </cell>
          <cell r="U1909">
            <v>0</v>
          </cell>
          <cell r="W1909">
            <v>0</v>
          </cell>
          <cell r="X1909">
            <v>0</v>
          </cell>
          <cell r="Z1909">
            <v>0</v>
          </cell>
          <cell r="AA1909">
            <v>0</v>
          </cell>
          <cell r="AC1909">
            <v>0</v>
          </cell>
          <cell r="AD1909">
            <v>0</v>
          </cell>
          <cell r="AF1909">
            <v>0</v>
          </cell>
          <cell r="AG1909">
            <v>0</v>
          </cell>
          <cell r="AI1909">
            <v>6045.2900000000081</v>
          </cell>
          <cell r="AJ1909">
            <v>0</v>
          </cell>
          <cell r="AL1909">
            <v>0</v>
          </cell>
          <cell r="AM1909">
            <v>0</v>
          </cell>
          <cell r="AO1909">
            <v>0</v>
          </cell>
          <cell r="AP1909">
            <v>0</v>
          </cell>
          <cell r="AR1909">
            <v>0</v>
          </cell>
          <cell r="AS1909">
            <v>0</v>
          </cell>
          <cell r="BF1909" t="str">
            <v>4750</v>
          </cell>
          <cell r="BG1909" t="str">
            <v>Z000</v>
          </cell>
          <cell r="BH1909" t="str">
            <v>GSA</v>
          </cell>
        </row>
        <row r="1910">
          <cell r="K1910">
            <v>0</v>
          </cell>
          <cell r="L1910">
            <v>0</v>
          </cell>
          <cell r="N1910">
            <v>0</v>
          </cell>
          <cell r="O1910">
            <v>0</v>
          </cell>
          <cell r="Q1910">
            <v>0</v>
          </cell>
          <cell r="R1910">
            <v>0</v>
          </cell>
          <cell r="T1910">
            <v>0</v>
          </cell>
          <cell r="U1910">
            <v>0</v>
          </cell>
          <cell r="W1910">
            <v>0</v>
          </cell>
          <cell r="X1910">
            <v>0</v>
          </cell>
          <cell r="Z1910">
            <v>0</v>
          </cell>
          <cell r="AA1910">
            <v>0</v>
          </cell>
          <cell r="AC1910">
            <v>0</v>
          </cell>
          <cell r="AD1910">
            <v>0</v>
          </cell>
          <cell r="AF1910">
            <v>0</v>
          </cell>
          <cell r="AG1910">
            <v>0</v>
          </cell>
          <cell r="AI1910">
            <v>0</v>
          </cell>
          <cell r="AJ1910">
            <v>0</v>
          </cell>
          <cell r="AL1910">
            <v>0</v>
          </cell>
          <cell r="AM1910">
            <v>0</v>
          </cell>
          <cell r="AO1910">
            <v>0</v>
          </cell>
          <cell r="AP1910">
            <v>0</v>
          </cell>
          <cell r="AR1910">
            <v>0</v>
          </cell>
          <cell r="AS1910">
            <v>0</v>
          </cell>
          <cell r="BF1910" t="str">
            <v>4760</v>
          </cell>
          <cell r="BG1910" t="str">
            <v>Z000</v>
          </cell>
          <cell r="BH1910" t="str">
            <v>GSA</v>
          </cell>
        </row>
        <row r="1911">
          <cell r="K1911">
            <v>0</v>
          </cell>
          <cell r="L1911">
            <v>0</v>
          </cell>
          <cell r="N1911">
            <v>0</v>
          </cell>
          <cell r="O1911">
            <v>0</v>
          </cell>
          <cell r="Q1911">
            <v>178.90000000000146</v>
          </cell>
          <cell r="R1911">
            <v>0</v>
          </cell>
          <cell r="T1911">
            <v>1262.880000000001</v>
          </cell>
          <cell r="U1911">
            <v>0</v>
          </cell>
          <cell r="W1911">
            <v>0</v>
          </cell>
          <cell r="X1911">
            <v>0</v>
          </cell>
          <cell r="Z1911">
            <v>0</v>
          </cell>
          <cell r="AA1911">
            <v>0</v>
          </cell>
          <cell r="AC1911">
            <v>2980.3499999999985</v>
          </cell>
          <cell r="AD1911">
            <v>0</v>
          </cell>
          <cell r="AF1911">
            <v>625.26000000000204</v>
          </cell>
          <cell r="AG1911">
            <v>0</v>
          </cell>
          <cell r="AI1911">
            <v>998.64999999999418</v>
          </cell>
          <cell r="AJ1911">
            <v>0</v>
          </cell>
          <cell r="AL1911">
            <v>1134.4399999999951</v>
          </cell>
          <cell r="AM1911">
            <v>0</v>
          </cell>
          <cell r="AO1911">
            <v>1835.4100000000035</v>
          </cell>
          <cell r="AP1911">
            <v>0</v>
          </cell>
          <cell r="AR1911">
            <v>2187.5099999999911</v>
          </cell>
          <cell r="AS1911">
            <v>0</v>
          </cell>
          <cell r="BF1911" t="str">
            <v>4800</v>
          </cell>
          <cell r="BG1911" t="str">
            <v>D101</v>
          </cell>
          <cell r="BH1911" t="str">
            <v>GSA</v>
          </cell>
        </row>
        <row r="1912">
          <cell r="K1912">
            <v>0</v>
          </cell>
          <cell r="L1912">
            <v>0</v>
          </cell>
          <cell r="N1912">
            <v>0</v>
          </cell>
          <cell r="O1912">
            <v>0</v>
          </cell>
          <cell r="Q1912">
            <v>0</v>
          </cell>
          <cell r="R1912">
            <v>0</v>
          </cell>
          <cell r="T1912">
            <v>0</v>
          </cell>
          <cell r="U1912">
            <v>0</v>
          </cell>
          <cell r="W1912">
            <v>287.8</v>
          </cell>
          <cell r="X1912">
            <v>0</v>
          </cell>
          <cell r="Z1912">
            <v>0</v>
          </cell>
          <cell r="AA1912">
            <v>0</v>
          </cell>
          <cell r="AC1912">
            <v>0</v>
          </cell>
          <cell r="AD1912">
            <v>0</v>
          </cell>
          <cell r="AF1912">
            <v>0</v>
          </cell>
          <cell r="AG1912">
            <v>0</v>
          </cell>
          <cell r="AI1912">
            <v>0</v>
          </cell>
          <cell r="AJ1912">
            <v>0</v>
          </cell>
          <cell r="AL1912">
            <v>242.22999999999996</v>
          </cell>
          <cell r="AM1912">
            <v>0</v>
          </cell>
          <cell r="AO1912">
            <v>0</v>
          </cell>
          <cell r="AP1912">
            <v>0</v>
          </cell>
          <cell r="AR1912">
            <v>0</v>
          </cell>
          <cell r="AS1912">
            <v>0</v>
          </cell>
          <cell r="BF1912" t="str">
            <v>4800</v>
          </cell>
          <cell r="BG1912" t="str">
            <v>D102</v>
          </cell>
          <cell r="BH1912" t="str">
            <v>GSA</v>
          </cell>
        </row>
        <row r="1913">
          <cell r="K1913">
            <v>0</v>
          </cell>
          <cell r="L1913">
            <v>0</v>
          </cell>
          <cell r="N1913">
            <v>0</v>
          </cell>
          <cell r="O1913">
            <v>0</v>
          </cell>
          <cell r="Q1913">
            <v>4.5474735088646412E-13</v>
          </cell>
          <cell r="R1913">
            <v>0</v>
          </cell>
          <cell r="T1913">
            <v>0</v>
          </cell>
          <cell r="U1913">
            <v>0</v>
          </cell>
          <cell r="W1913">
            <v>0</v>
          </cell>
          <cell r="X1913">
            <v>0</v>
          </cell>
          <cell r="Z1913">
            <v>299</v>
          </cell>
          <cell r="AA1913">
            <v>0</v>
          </cell>
          <cell r="AC1913">
            <v>0</v>
          </cell>
          <cell r="AD1913">
            <v>0</v>
          </cell>
          <cell r="AF1913">
            <v>0</v>
          </cell>
          <cell r="AG1913">
            <v>0</v>
          </cell>
          <cell r="AI1913">
            <v>778.07000000000153</v>
          </cell>
          <cell r="AJ1913">
            <v>0</v>
          </cell>
          <cell r="AL1913">
            <v>0</v>
          </cell>
          <cell r="AM1913">
            <v>0</v>
          </cell>
          <cell r="AO1913">
            <v>0</v>
          </cell>
          <cell r="AP1913">
            <v>0</v>
          </cell>
          <cell r="AR1913">
            <v>0</v>
          </cell>
          <cell r="AS1913">
            <v>0</v>
          </cell>
          <cell r="BF1913" t="str">
            <v>4800</v>
          </cell>
          <cell r="BG1913" t="str">
            <v>D103</v>
          </cell>
          <cell r="BH1913" t="str">
            <v>GSA</v>
          </cell>
        </row>
        <row r="1914">
          <cell r="K1914">
            <v>9194.3000000000029</v>
          </cell>
          <cell r="L1914">
            <v>0</v>
          </cell>
          <cell r="N1914">
            <v>8166.6200000000099</v>
          </cell>
          <cell r="O1914">
            <v>0</v>
          </cell>
          <cell r="Q1914">
            <v>0</v>
          </cell>
          <cell r="R1914">
            <v>0</v>
          </cell>
          <cell r="T1914">
            <v>0</v>
          </cell>
          <cell r="U1914">
            <v>0</v>
          </cell>
          <cell r="W1914">
            <v>0</v>
          </cell>
          <cell r="X1914">
            <v>0</v>
          </cell>
          <cell r="Z1914">
            <v>0</v>
          </cell>
          <cell r="AA1914">
            <v>0</v>
          </cell>
          <cell r="AC1914">
            <v>3245</v>
          </cell>
          <cell r="AD1914">
            <v>0</v>
          </cell>
          <cell r="AF1914">
            <v>-7967.4700000000012</v>
          </cell>
          <cell r="AG1914">
            <v>0</v>
          </cell>
          <cell r="AI1914">
            <v>949.60000000000582</v>
          </cell>
          <cell r="AJ1914">
            <v>0</v>
          </cell>
          <cell r="AL1914">
            <v>700</v>
          </cell>
          <cell r="AM1914">
            <v>0</v>
          </cell>
          <cell r="AO1914">
            <v>700</v>
          </cell>
          <cell r="AP1914">
            <v>0</v>
          </cell>
          <cell r="AR1914">
            <v>700</v>
          </cell>
          <cell r="AS1914">
            <v>0</v>
          </cell>
          <cell r="BF1914" t="str">
            <v>4800</v>
          </cell>
          <cell r="BG1914" t="str">
            <v>D104</v>
          </cell>
          <cell r="BH1914" t="str">
            <v>GSA</v>
          </cell>
        </row>
        <row r="1915">
          <cell r="K1915">
            <v>0</v>
          </cell>
          <cell r="L1915">
            <v>0</v>
          </cell>
          <cell r="N1915">
            <v>0</v>
          </cell>
          <cell r="O1915">
            <v>0</v>
          </cell>
          <cell r="Q1915">
            <v>0</v>
          </cell>
          <cell r="R1915">
            <v>0</v>
          </cell>
          <cell r="T1915">
            <v>0</v>
          </cell>
          <cell r="U1915">
            <v>0</v>
          </cell>
          <cell r="W1915">
            <v>0</v>
          </cell>
          <cell r="X1915">
            <v>0</v>
          </cell>
          <cell r="Z1915">
            <v>0</v>
          </cell>
          <cell r="AA1915">
            <v>0</v>
          </cell>
          <cell r="AC1915">
            <v>0</v>
          </cell>
          <cell r="AD1915">
            <v>0</v>
          </cell>
          <cell r="AF1915">
            <v>0</v>
          </cell>
          <cell r="AG1915">
            <v>0</v>
          </cell>
          <cell r="AI1915">
            <v>0</v>
          </cell>
          <cell r="AJ1915">
            <v>0</v>
          </cell>
          <cell r="AL1915">
            <v>0</v>
          </cell>
          <cell r="AM1915">
            <v>0</v>
          </cell>
          <cell r="AO1915">
            <v>0</v>
          </cell>
          <cell r="AP1915">
            <v>0</v>
          </cell>
          <cell r="AR1915">
            <v>0</v>
          </cell>
          <cell r="AS1915">
            <v>0</v>
          </cell>
          <cell r="BF1915" t="str">
            <v>4820</v>
          </cell>
          <cell r="BG1915" t="str">
            <v>Z000</v>
          </cell>
          <cell r="BH1915" t="str">
            <v>GSA</v>
          </cell>
        </row>
        <row r="1916">
          <cell r="K1916">
            <v>0</v>
          </cell>
          <cell r="L1916">
            <v>0</v>
          </cell>
          <cell r="N1916">
            <v>266.23</v>
          </cell>
          <cell r="O1916">
            <v>0</v>
          </cell>
          <cell r="Q1916">
            <v>0</v>
          </cell>
          <cell r="R1916">
            <v>0</v>
          </cell>
          <cell r="T1916">
            <v>152.93000000000006</v>
          </cell>
          <cell r="U1916">
            <v>0</v>
          </cell>
          <cell r="W1916">
            <v>953</v>
          </cell>
          <cell r="X1916">
            <v>0</v>
          </cell>
          <cell r="Z1916">
            <v>200</v>
          </cell>
          <cell r="AA1916">
            <v>0</v>
          </cell>
          <cell r="AC1916">
            <v>0</v>
          </cell>
          <cell r="AD1916">
            <v>0</v>
          </cell>
          <cell r="AF1916">
            <v>0</v>
          </cell>
          <cell r="AG1916">
            <v>0</v>
          </cell>
          <cell r="AI1916">
            <v>30</v>
          </cell>
          <cell r="AJ1916">
            <v>0</v>
          </cell>
          <cell r="AL1916">
            <v>0</v>
          </cell>
          <cell r="AM1916">
            <v>0</v>
          </cell>
          <cell r="AO1916">
            <v>100</v>
          </cell>
          <cell r="AP1916">
            <v>0</v>
          </cell>
          <cell r="AR1916">
            <v>0</v>
          </cell>
          <cell r="AS1916">
            <v>0</v>
          </cell>
          <cell r="BF1916" t="str">
            <v>4830</v>
          </cell>
          <cell r="BG1916" t="str">
            <v>D111</v>
          </cell>
          <cell r="BH1916" t="str">
            <v>GSA</v>
          </cell>
        </row>
        <row r="1917">
          <cell r="K1917">
            <v>0</v>
          </cell>
          <cell r="L1917">
            <v>0</v>
          </cell>
          <cell r="N1917">
            <v>0</v>
          </cell>
          <cell r="O1917">
            <v>0</v>
          </cell>
          <cell r="Q1917">
            <v>0</v>
          </cell>
          <cell r="R1917">
            <v>0</v>
          </cell>
          <cell r="T1917">
            <v>0</v>
          </cell>
          <cell r="U1917">
            <v>0</v>
          </cell>
          <cell r="W1917">
            <v>0</v>
          </cell>
          <cell r="X1917">
            <v>0</v>
          </cell>
          <cell r="Z1917">
            <v>0</v>
          </cell>
          <cell r="AA1917">
            <v>0</v>
          </cell>
          <cell r="AC1917">
            <v>0</v>
          </cell>
          <cell r="AD1917">
            <v>0</v>
          </cell>
          <cell r="AF1917">
            <v>21606.000000000015</v>
          </cell>
          <cell r="AG1917">
            <v>0</v>
          </cell>
          <cell r="AI1917">
            <v>0</v>
          </cell>
          <cell r="AJ1917">
            <v>0</v>
          </cell>
          <cell r="AL1917">
            <v>0</v>
          </cell>
          <cell r="AM1917">
            <v>0</v>
          </cell>
          <cell r="AO1917">
            <v>0</v>
          </cell>
          <cell r="AP1917">
            <v>0</v>
          </cell>
          <cell r="AR1917">
            <v>0</v>
          </cell>
          <cell r="AS1917">
            <v>0</v>
          </cell>
          <cell r="BF1917" t="str">
            <v>4830</v>
          </cell>
          <cell r="BG1917" t="str">
            <v>D112</v>
          </cell>
          <cell r="BH1917" t="str">
            <v>GSA</v>
          </cell>
        </row>
        <row r="1918">
          <cell r="K1918">
            <v>0</v>
          </cell>
          <cell r="L1918">
            <v>0</v>
          </cell>
          <cell r="N1918">
            <v>0</v>
          </cell>
          <cell r="O1918">
            <v>0</v>
          </cell>
          <cell r="Q1918">
            <v>0</v>
          </cell>
          <cell r="R1918">
            <v>0</v>
          </cell>
          <cell r="T1918">
            <v>0</v>
          </cell>
          <cell r="U1918">
            <v>0</v>
          </cell>
          <cell r="W1918">
            <v>0</v>
          </cell>
          <cell r="X1918">
            <v>0</v>
          </cell>
          <cell r="Z1918">
            <v>0</v>
          </cell>
          <cell r="AA1918">
            <v>0</v>
          </cell>
          <cell r="AC1918">
            <v>0</v>
          </cell>
          <cell r="AD1918">
            <v>0</v>
          </cell>
          <cell r="AF1918">
            <v>0</v>
          </cell>
          <cell r="AG1918">
            <v>0</v>
          </cell>
          <cell r="AI1918">
            <v>2206.14</v>
          </cell>
          <cell r="AJ1918">
            <v>0</v>
          </cell>
          <cell r="AL1918">
            <v>0</v>
          </cell>
          <cell r="AM1918">
            <v>0</v>
          </cell>
          <cell r="AO1918">
            <v>0</v>
          </cell>
          <cell r="AP1918">
            <v>0</v>
          </cell>
          <cell r="AR1918">
            <v>0</v>
          </cell>
          <cell r="AS1918">
            <v>0</v>
          </cell>
          <cell r="BF1918" t="str">
            <v>4840</v>
          </cell>
          <cell r="BG1918" t="str">
            <v>Z000</v>
          </cell>
          <cell r="BH1918" t="str">
            <v>GSA</v>
          </cell>
        </row>
        <row r="1919">
          <cell r="K1919">
            <v>0</v>
          </cell>
          <cell r="L1919">
            <v>0</v>
          </cell>
          <cell r="N1919">
            <v>0</v>
          </cell>
          <cell r="O1919">
            <v>0</v>
          </cell>
          <cell r="Q1919">
            <v>0</v>
          </cell>
          <cell r="R1919">
            <v>0</v>
          </cell>
          <cell r="T1919">
            <v>0</v>
          </cell>
          <cell r="U1919">
            <v>0</v>
          </cell>
          <cell r="W1919">
            <v>0</v>
          </cell>
          <cell r="X1919">
            <v>0</v>
          </cell>
          <cell r="Z1919">
            <v>0</v>
          </cell>
          <cell r="AA1919">
            <v>0</v>
          </cell>
          <cell r="AC1919">
            <v>0</v>
          </cell>
          <cell r="AD1919">
            <v>0</v>
          </cell>
          <cell r="AF1919">
            <v>0</v>
          </cell>
          <cell r="AG1919">
            <v>0</v>
          </cell>
          <cell r="AI1919">
            <v>0</v>
          </cell>
          <cell r="AJ1919">
            <v>0</v>
          </cell>
          <cell r="AL1919">
            <v>0</v>
          </cell>
          <cell r="AM1919">
            <v>0</v>
          </cell>
          <cell r="AO1919">
            <v>0</v>
          </cell>
          <cell r="AP1919">
            <v>0</v>
          </cell>
          <cell r="AR1919">
            <v>0</v>
          </cell>
          <cell r="AS1919">
            <v>0</v>
          </cell>
          <cell r="BF1919" t="str">
            <v>4870</v>
          </cell>
          <cell r="BG1919" t="str">
            <v>Z000</v>
          </cell>
          <cell r="BH1919" t="str">
            <v>GSA</v>
          </cell>
        </row>
        <row r="1920">
          <cell r="K1920">
            <v>0</v>
          </cell>
          <cell r="L1920">
            <v>0</v>
          </cell>
          <cell r="N1920">
            <v>0</v>
          </cell>
          <cell r="O1920">
            <v>0</v>
          </cell>
          <cell r="Q1920">
            <v>0</v>
          </cell>
          <cell r="R1920">
            <v>0</v>
          </cell>
          <cell r="T1920">
            <v>0</v>
          </cell>
          <cell r="U1920">
            <v>0</v>
          </cell>
          <cell r="W1920">
            <v>0</v>
          </cell>
          <cell r="X1920">
            <v>0</v>
          </cell>
          <cell r="Z1920">
            <v>0</v>
          </cell>
          <cell r="AA1920">
            <v>0</v>
          </cell>
          <cell r="AC1920">
            <v>0</v>
          </cell>
          <cell r="AD1920">
            <v>0</v>
          </cell>
          <cell r="AF1920">
            <v>0</v>
          </cell>
          <cell r="AG1920">
            <v>0</v>
          </cell>
          <cell r="AI1920">
            <v>0</v>
          </cell>
          <cell r="AJ1920">
            <v>0</v>
          </cell>
          <cell r="AL1920">
            <v>0</v>
          </cell>
          <cell r="AM1920">
            <v>0</v>
          </cell>
          <cell r="AO1920">
            <v>0</v>
          </cell>
          <cell r="AP1920">
            <v>0</v>
          </cell>
          <cell r="AR1920">
            <v>0</v>
          </cell>
          <cell r="AS1920">
            <v>0</v>
          </cell>
          <cell r="BF1920" t="str">
            <v>4880</v>
          </cell>
          <cell r="BG1920" t="str">
            <v>Z000</v>
          </cell>
          <cell r="BH1920" t="str">
            <v>GSA</v>
          </cell>
        </row>
        <row r="1921">
          <cell r="K1921">
            <v>0</v>
          </cell>
          <cell r="L1921">
            <v>0</v>
          </cell>
          <cell r="N1921">
            <v>0</v>
          </cell>
          <cell r="O1921">
            <v>0</v>
          </cell>
          <cell r="Q1921">
            <v>0</v>
          </cell>
          <cell r="R1921">
            <v>0</v>
          </cell>
          <cell r="T1921">
            <v>0</v>
          </cell>
          <cell r="U1921">
            <v>0</v>
          </cell>
          <cell r="W1921">
            <v>0</v>
          </cell>
          <cell r="X1921">
            <v>0</v>
          </cell>
          <cell r="Z1921">
            <v>0</v>
          </cell>
          <cell r="AA1921">
            <v>0</v>
          </cell>
          <cell r="AC1921">
            <v>0</v>
          </cell>
          <cell r="AD1921">
            <v>0</v>
          </cell>
          <cell r="AF1921">
            <v>0</v>
          </cell>
          <cell r="AG1921">
            <v>0</v>
          </cell>
          <cell r="AI1921">
            <v>0</v>
          </cell>
          <cell r="AJ1921">
            <v>0</v>
          </cell>
          <cell r="AL1921">
            <v>0</v>
          </cell>
          <cell r="AM1921">
            <v>0</v>
          </cell>
          <cell r="AO1921">
            <v>0</v>
          </cell>
          <cell r="AP1921">
            <v>0</v>
          </cell>
          <cell r="AR1921">
            <v>0</v>
          </cell>
          <cell r="AS1921">
            <v>0</v>
          </cell>
          <cell r="BF1921" t="str">
            <v>4890</v>
          </cell>
          <cell r="BG1921" t="str">
            <v>Z000</v>
          </cell>
          <cell r="BH1921" t="str">
            <v>GSA</v>
          </cell>
        </row>
        <row r="1922">
          <cell r="K1922">
            <v>7738.4700000000012</v>
          </cell>
          <cell r="L1922">
            <v>0</v>
          </cell>
          <cell r="N1922">
            <v>4891.2300000000105</v>
          </cell>
          <cell r="O1922">
            <v>0</v>
          </cell>
          <cell r="Q1922">
            <v>7935.3399999999965</v>
          </cell>
          <cell r="R1922">
            <v>0</v>
          </cell>
          <cell r="T1922">
            <v>6578.2300000000105</v>
          </cell>
          <cell r="U1922">
            <v>0</v>
          </cell>
          <cell r="W1922">
            <v>8805.390000000014</v>
          </cell>
          <cell r="X1922">
            <v>0</v>
          </cell>
          <cell r="Z1922">
            <v>7617.6600000000035</v>
          </cell>
          <cell r="AA1922">
            <v>0</v>
          </cell>
          <cell r="AC1922">
            <v>11019.079999999987</v>
          </cell>
          <cell r="AD1922">
            <v>0</v>
          </cell>
          <cell r="AF1922">
            <v>24280.640000000014</v>
          </cell>
          <cell r="AG1922">
            <v>0</v>
          </cell>
          <cell r="AI1922">
            <v>15590.349999999977</v>
          </cell>
          <cell r="AJ1922">
            <v>0</v>
          </cell>
          <cell r="AL1922">
            <v>30025.290000000008</v>
          </cell>
          <cell r="AM1922">
            <v>0</v>
          </cell>
          <cell r="AO1922">
            <v>45736.880000000005</v>
          </cell>
          <cell r="AP1922">
            <v>0</v>
          </cell>
          <cell r="AR1922">
            <v>53233.460000000021</v>
          </cell>
          <cell r="AS1922">
            <v>0</v>
          </cell>
          <cell r="BF1922" t="str">
            <v>4900</v>
          </cell>
          <cell r="BG1922" t="str">
            <v>Z000</v>
          </cell>
          <cell r="BH1922" t="str">
            <v>GSA</v>
          </cell>
        </row>
        <row r="1923">
          <cell r="K1923">
            <v>0</v>
          </cell>
          <cell r="L1923">
            <v>0</v>
          </cell>
          <cell r="N1923">
            <v>0</v>
          </cell>
          <cell r="O1923">
            <v>0</v>
          </cell>
          <cell r="Q1923">
            <v>0</v>
          </cell>
          <cell r="R1923">
            <v>0</v>
          </cell>
          <cell r="T1923">
            <v>0</v>
          </cell>
          <cell r="U1923">
            <v>0</v>
          </cell>
          <cell r="W1923">
            <v>0</v>
          </cell>
          <cell r="X1923">
            <v>0</v>
          </cell>
          <cell r="Z1923">
            <v>0</v>
          </cell>
          <cell r="AA1923">
            <v>0</v>
          </cell>
          <cell r="AC1923">
            <v>0</v>
          </cell>
          <cell r="AD1923">
            <v>0</v>
          </cell>
          <cell r="AF1923">
            <v>0</v>
          </cell>
          <cell r="AG1923">
            <v>0</v>
          </cell>
          <cell r="AI1923">
            <v>0</v>
          </cell>
          <cell r="AJ1923">
            <v>0</v>
          </cell>
          <cell r="AL1923">
            <v>0</v>
          </cell>
          <cell r="AM1923">
            <v>0</v>
          </cell>
          <cell r="AO1923">
            <v>0</v>
          </cell>
          <cell r="AP1923">
            <v>0</v>
          </cell>
          <cell r="AR1923">
            <v>0</v>
          </cell>
          <cell r="AS1923">
            <v>0</v>
          </cell>
          <cell r="BF1923" t="str">
            <v>4910</v>
          </cell>
          <cell r="BG1923" t="str">
            <v>Z000</v>
          </cell>
          <cell r="BH1923" t="str">
            <v>GSA</v>
          </cell>
        </row>
        <row r="1924">
          <cell r="K1924">
            <v>0</v>
          </cell>
          <cell r="L1924">
            <v>0</v>
          </cell>
          <cell r="N1924">
            <v>0</v>
          </cell>
          <cell r="O1924">
            <v>0</v>
          </cell>
          <cell r="Q1924">
            <v>0</v>
          </cell>
          <cell r="R1924">
            <v>0</v>
          </cell>
          <cell r="T1924">
            <v>0</v>
          </cell>
          <cell r="U1924">
            <v>0</v>
          </cell>
          <cell r="W1924">
            <v>0</v>
          </cell>
          <cell r="X1924">
            <v>0</v>
          </cell>
          <cell r="Z1924">
            <v>0</v>
          </cell>
          <cell r="AA1924">
            <v>0</v>
          </cell>
          <cell r="AC1924">
            <v>0</v>
          </cell>
          <cell r="AD1924">
            <v>0</v>
          </cell>
          <cell r="AF1924">
            <v>0</v>
          </cell>
          <cell r="AG1924">
            <v>0</v>
          </cell>
          <cell r="AI1924">
            <v>0</v>
          </cell>
          <cell r="AJ1924">
            <v>0</v>
          </cell>
          <cell r="AL1924">
            <v>0</v>
          </cell>
          <cell r="AM1924">
            <v>0</v>
          </cell>
          <cell r="AO1924">
            <v>0</v>
          </cell>
          <cell r="AP1924">
            <v>0</v>
          </cell>
          <cell r="AR1924">
            <v>0</v>
          </cell>
          <cell r="AS1924">
            <v>0</v>
          </cell>
          <cell r="BF1924" t="str">
            <v>4940</v>
          </cell>
          <cell r="BG1924" t="str">
            <v>Z000</v>
          </cell>
          <cell r="BH1924" t="str">
            <v>GSA</v>
          </cell>
        </row>
        <row r="1925">
          <cell r="K1925">
            <v>0</v>
          </cell>
          <cell r="L1925">
            <v>0</v>
          </cell>
          <cell r="N1925">
            <v>0</v>
          </cell>
          <cell r="O1925">
            <v>0</v>
          </cell>
          <cell r="Q1925">
            <v>0</v>
          </cell>
          <cell r="R1925">
            <v>0</v>
          </cell>
          <cell r="T1925">
            <v>0</v>
          </cell>
          <cell r="U1925">
            <v>0</v>
          </cell>
          <cell r="W1925">
            <v>0</v>
          </cell>
          <cell r="X1925">
            <v>0</v>
          </cell>
          <cell r="Z1925">
            <v>0</v>
          </cell>
          <cell r="AA1925">
            <v>0</v>
          </cell>
          <cell r="AC1925">
            <v>0</v>
          </cell>
          <cell r="AD1925">
            <v>0</v>
          </cell>
          <cell r="AF1925">
            <v>0</v>
          </cell>
          <cell r="AG1925">
            <v>0</v>
          </cell>
          <cell r="AI1925">
            <v>0</v>
          </cell>
          <cell r="AJ1925">
            <v>0</v>
          </cell>
          <cell r="AL1925">
            <v>0</v>
          </cell>
          <cell r="AM1925">
            <v>0</v>
          </cell>
          <cell r="AO1925">
            <v>0</v>
          </cell>
          <cell r="AP1925">
            <v>0</v>
          </cell>
          <cell r="AR1925">
            <v>0</v>
          </cell>
          <cell r="AS1925">
            <v>0</v>
          </cell>
          <cell r="BF1925" t="str">
            <v>4941</v>
          </cell>
          <cell r="BG1925" t="str">
            <v>Z000</v>
          </cell>
          <cell r="BH1925" t="str">
            <v>GSA</v>
          </cell>
        </row>
        <row r="1926">
          <cell r="K1926">
            <v>0</v>
          </cell>
          <cell r="L1926">
            <v>0</v>
          </cell>
          <cell r="N1926">
            <v>0</v>
          </cell>
          <cell r="O1926">
            <v>0</v>
          </cell>
          <cell r="Q1926">
            <v>0</v>
          </cell>
          <cell r="R1926">
            <v>0</v>
          </cell>
          <cell r="T1926">
            <v>0</v>
          </cell>
          <cell r="U1926">
            <v>0</v>
          </cell>
          <cell r="W1926">
            <v>0</v>
          </cell>
          <cell r="X1926">
            <v>0</v>
          </cell>
          <cell r="Z1926">
            <v>0</v>
          </cell>
          <cell r="AA1926">
            <v>0</v>
          </cell>
          <cell r="AC1926">
            <v>0</v>
          </cell>
          <cell r="AD1926">
            <v>0</v>
          </cell>
          <cell r="AF1926">
            <v>0</v>
          </cell>
          <cell r="AG1926">
            <v>0</v>
          </cell>
          <cell r="AI1926">
            <v>0</v>
          </cell>
          <cell r="AJ1926">
            <v>0</v>
          </cell>
          <cell r="AL1926">
            <v>0</v>
          </cell>
          <cell r="AM1926">
            <v>0</v>
          </cell>
          <cell r="AO1926">
            <v>0</v>
          </cell>
          <cell r="AP1926">
            <v>0</v>
          </cell>
          <cell r="AR1926">
            <v>0</v>
          </cell>
          <cell r="AS1926">
            <v>0</v>
          </cell>
          <cell r="BF1926" t="str">
            <v>4942</v>
          </cell>
          <cell r="BG1926" t="str">
            <v>Z000</v>
          </cell>
          <cell r="BH1926" t="str">
            <v>GSA</v>
          </cell>
        </row>
        <row r="1927">
          <cell r="K1927">
            <v>0</v>
          </cell>
          <cell r="L1927">
            <v>0</v>
          </cell>
          <cell r="N1927">
            <v>0</v>
          </cell>
          <cell r="O1927">
            <v>0</v>
          </cell>
          <cell r="Q1927">
            <v>0</v>
          </cell>
          <cell r="R1927">
            <v>0</v>
          </cell>
          <cell r="T1927">
            <v>0</v>
          </cell>
          <cell r="U1927">
            <v>0</v>
          </cell>
          <cell r="W1927">
            <v>0</v>
          </cell>
          <cell r="X1927">
            <v>0</v>
          </cell>
          <cell r="Z1927">
            <v>0</v>
          </cell>
          <cell r="AA1927">
            <v>0</v>
          </cell>
          <cell r="AC1927">
            <v>0</v>
          </cell>
          <cell r="AD1927">
            <v>0</v>
          </cell>
          <cell r="AF1927">
            <v>0</v>
          </cell>
          <cell r="AG1927">
            <v>0</v>
          </cell>
          <cell r="AI1927">
            <v>0</v>
          </cell>
          <cell r="AJ1927">
            <v>0</v>
          </cell>
          <cell r="AL1927">
            <v>0</v>
          </cell>
          <cell r="AM1927">
            <v>0</v>
          </cell>
          <cell r="AO1927">
            <v>0</v>
          </cell>
          <cell r="AP1927">
            <v>0</v>
          </cell>
          <cell r="AR1927">
            <v>0</v>
          </cell>
          <cell r="AS1927">
            <v>0</v>
          </cell>
          <cell r="BF1927" t="str">
            <v>4950</v>
          </cell>
          <cell r="BG1927" t="str">
            <v>Z000</v>
          </cell>
          <cell r="BH1927" t="str">
            <v>GSA</v>
          </cell>
        </row>
        <row r="1928">
          <cell r="K1928">
            <v>0</v>
          </cell>
          <cell r="L1928">
            <v>0</v>
          </cell>
          <cell r="N1928">
            <v>0</v>
          </cell>
          <cell r="O1928">
            <v>0</v>
          </cell>
          <cell r="Q1928">
            <v>0</v>
          </cell>
          <cell r="R1928">
            <v>0</v>
          </cell>
          <cell r="T1928">
            <v>0</v>
          </cell>
          <cell r="U1928">
            <v>0</v>
          </cell>
          <cell r="W1928">
            <v>0</v>
          </cell>
          <cell r="X1928">
            <v>0</v>
          </cell>
          <cell r="Z1928">
            <v>0</v>
          </cell>
          <cell r="AA1928">
            <v>0</v>
          </cell>
          <cell r="AC1928">
            <v>0</v>
          </cell>
          <cell r="AD1928">
            <v>0</v>
          </cell>
          <cell r="AF1928">
            <v>0</v>
          </cell>
          <cell r="AG1928">
            <v>0</v>
          </cell>
          <cell r="AI1928">
            <v>0</v>
          </cell>
          <cell r="AJ1928">
            <v>0</v>
          </cell>
          <cell r="AL1928">
            <v>0</v>
          </cell>
          <cell r="AM1928">
            <v>0</v>
          </cell>
          <cell r="AO1928">
            <v>0</v>
          </cell>
          <cell r="AP1928">
            <v>0</v>
          </cell>
          <cell r="AR1928">
            <v>0</v>
          </cell>
          <cell r="AS1928">
            <v>0</v>
          </cell>
          <cell r="BF1928" t="str">
            <v>5100</v>
          </cell>
          <cell r="BG1928" t="str">
            <v>E001</v>
          </cell>
          <cell r="BH1928" t="str">
            <v>GSA</v>
          </cell>
        </row>
        <row r="1929">
          <cell r="K1929">
            <v>0</v>
          </cell>
          <cell r="L1929">
            <v>0</v>
          </cell>
          <cell r="N1929">
            <v>0</v>
          </cell>
          <cell r="O1929">
            <v>0</v>
          </cell>
          <cell r="Q1929">
            <v>0</v>
          </cell>
          <cell r="R1929">
            <v>0</v>
          </cell>
          <cell r="T1929">
            <v>0</v>
          </cell>
          <cell r="U1929">
            <v>0</v>
          </cell>
          <cell r="W1929">
            <v>0</v>
          </cell>
          <cell r="X1929">
            <v>0</v>
          </cell>
          <cell r="Z1929">
            <v>0</v>
          </cell>
          <cell r="AA1929">
            <v>0</v>
          </cell>
          <cell r="AC1929">
            <v>0</v>
          </cell>
          <cell r="AD1929">
            <v>0</v>
          </cell>
          <cell r="AF1929">
            <v>0</v>
          </cell>
          <cell r="AG1929">
            <v>0</v>
          </cell>
          <cell r="AI1929">
            <v>0</v>
          </cell>
          <cell r="AJ1929">
            <v>0</v>
          </cell>
          <cell r="AL1929">
            <v>0</v>
          </cell>
          <cell r="AM1929">
            <v>0</v>
          </cell>
          <cell r="AO1929">
            <v>0</v>
          </cell>
          <cell r="AP1929">
            <v>0</v>
          </cell>
          <cell r="AR1929">
            <v>0</v>
          </cell>
          <cell r="AS1929">
            <v>0</v>
          </cell>
          <cell r="BF1929" t="str">
            <v>5100</v>
          </cell>
          <cell r="BG1929" t="str">
            <v>E002</v>
          </cell>
          <cell r="BH1929" t="str">
            <v>GSA</v>
          </cell>
        </row>
        <row r="1930">
          <cell r="K1930">
            <v>0</v>
          </cell>
          <cell r="L1930">
            <v>0</v>
          </cell>
          <cell r="N1930">
            <v>0</v>
          </cell>
          <cell r="O1930">
            <v>0</v>
          </cell>
          <cell r="Q1930">
            <v>0</v>
          </cell>
          <cell r="R1930">
            <v>0</v>
          </cell>
          <cell r="T1930">
            <v>0</v>
          </cell>
          <cell r="U1930">
            <v>0</v>
          </cell>
          <cell r="W1930">
            <v>0</v>
          </cell>
          <cell r="X1930">
            <v>0</v>
          </cell>
          <cell r="Z1930">
            <v>0</v>
          </cell>
          <cell r="AA1930">
            <v>0</v>
          </cell>
          <cell r="AC1930">
            <v>0</v>
          </cell>
          <cell r="AD1930">
            <v>0</v>
          </cell>
          <cell r="AF1930">
            <v>0</v>
          </cell>
          <cell r="AG1930">
            <v>0</v>
          </cell>
          <cell r="AI1930">
            <v>0</v>
          </cell>
          <cell r="AJ1930">
            <v>0</v>
          </cell>
          <cell r="AL1930">
            <v>0</v>
          </cell>
          <cell r="AM1930">
            <v>0</v>
          </cell>
          <cell r="AO1930">
            <v>0</v>
          </cell>
          <cell r="AP1930">
            <v>0</v>
          </cell>
          <cell r="AR1930">
            <v>0</v>
          </cell>
          <cell r="AS1930">
            <v>0</v>
          </cell>
          <cell r="BF1930" t="str">
            <v>5200</v>
          </cell>
          <cell r="BG1930" t="str">
            <v>Z000</v>
          </cell>
          <cell r="BH1930" t="str">
            <v>GSA</v>
          </cell>
        </row>
        <row r="1931">
          <cell r="K1931">
            <v>0</v>
          </cell>
          <cell r="L1931">
            <v>0</v>
          </cell>
          <cell r="N1931">
            <v>0</v>
          </cell>
          <cell r="O1931">
            <v>0</v>
          </cell>
          <cell r="Q1931">
            <v>0</v>
          </cell>
          <cell r="R1931">
            <v>0</v>
          </cell>
          <cell r="T1931">
            <v>0</v>
          </cell>
          <cell r="U1931">
            <v>0</v>
          </cell>
          <cell r="W1931">
            <v>0</v>
          </cell>
          <cell r="X1931">
            <v>0</v>
          </cell>
          <cell r="Z1931">
            <v>0</v>
          </cell>
          <cell r="AA1931">
            <v>0</v>
          </cell>
          <cell r="AC1931">
            <v>0</v>
          </cell>
          <cell r="AD1931">
            <v>0</v>
          </cell>
          <cell r="AF1931">
            <v>0</v>
          </cell>
          <cell r="AG1931">
            <v>0</v>
          </cell>
          <cell r="AI1931">
            <v>0</v>
          </cell>
          <cell r="AJ1931">
            <v>0</v>
          </cell>
          <cell r="AL1931">
            <v>0</v>
          </cell>
          <cell r="AM1931">
            <v>0</v>
          </cell>
          <cell r="AO1931">
            <v>0</v>
          </cell>
          <cell r="AP1931">
            <v>0</v>
          </cell>
          <cell r="AR1931">
            <v>0</v>
          </cell>
          <cell r="AS1931">
            <v>0</v>
          </cell>
          <cell r="BF1931" t="str">
            <v>5400</v>
          </cell>
          <cell r="BG1931" t="str">
            <v>F001</v>
          </cell>
          <cell r="BH1931" t="str">
            <v>GSA</v>
          </cell>
        </row>
        <row r="1932">
          <cell r="K1932">
            <v>0</v>
          </cell>
          <cell r="L1932">
            <v>0</v>
          </cell>
          <cell r="N1932">
            <v>0</v>
          </cell>
          <cell r="O1932">
            <v>0</v>
          </cell>
          <cell r="Q1932">
            <v>0</v>
          </cell>
          <cell r="R1932">
            <v>0</v>
          </cell>
          <cell r="T1932">
            <v>0</v>
          </cell>
          <cell r="U1932">
            <v>0</v>
          </cell>
          <cell r="W1932">
            <v>0</v>
          </cell>
          <cell r="X1932">
            <v>0</v>
          </cell>
          <cell r="Z1932">
            <v>0</v>
          </cell>
          <cell r="AA1932">
            <v>0</v>
          </cell>
          <cell r="AC1932">
            <v>0</v>
          </cell>
          <cell r="AD1932">
            <v>0</v>
          </cell>
          <cell r="AF1932">
            <v>0</v>
          </cell>
          <cell r="AG1932">
            <v>0</v>
          </cell>
          <cell r="AI1932">
            <v>0</v>
          </cell>
          <cell r="AJ1932">
            <v>0</v>
          </cell>
          <cell r="AL1932">
            <v>0</v>
          </cell>
          <cell r="AM1932">
            <v>0</v>
          </cell>
          <cell r="AO1932">
            <v>0</v>
          </cell>
          <cell r="AP1932">
            <v>0</v>
          </cell>
          <cell r="AR1932">
            <v>0</v>
          </cell>
          <cell r="AS1932">
            <v>0</v>
          </cell>
          <cell r="BF1932" t="str">
            <v>5400</v>
          </cell>
          <cell r="BG1932" t="str">
            <v>F002</v>
          </cell>
          <cell r="BH1932" t="str">
            <v>GSA</v>
          </cell>
        </row>
        <row r="1933">
          <cell r="K1933">
            <v>0</v>
          </cell>
          <cell r="L1933">
            <v>0</v>
          </cell>
          <cell r="N1933">
            <v>0</v>
          </cell>
          <cell r="O1933">
            <v>0</v>
          </cell>
          <cell r="Q1933">
            <v>0</v>
          </cell>
          <cell r="R1933">
            <v>0</v>
          </cell>
          <cell r="T1933">
            <v>0</v>
          </cell>
          <cell r="U1933">
            <v>0</v>
          </cell>
          <cell r="W1933">
            <v>0</v>
          </cell>
          <cell r="X1933">
            <v>0</v>
          </cell>
          <cell r="Z1933">
            <v>0</v>
          </cell>
          <cell r="AA1933">
            <v>0</v>
          </cell>
          <cell r="AC1933">
            <v>0</v>
          </cell>
          <cell r="AD1933">
            <v>0</v>
          </cell>
          <cell r="AF1933">
            <v>0</v>
          </cell>
          <cell r="AG1933">
            <v>0</v>
          </cell>
          <cell r="AI1933">
            <v>0</v>
          </cell>
          <cell r="AJ1933">
            <v>0</v>
          </cell>
          <cell r="AL1933">
            <v>0</v>
          </cell>
          <cell r="AM1933">
            <v>0</v>
          </cell>
          <cell r="AO1933">
            <v>0</v>
          </cell>
          <cell r="AP1933">
            <v>0</v>
          </cell>
          <cell r="AR1933">
            <v>0</v>
          </cell>
          <cell r="AS1933">
            <v>0</v>
          </cell>
          <cell r="BF1933" t="str">
            <v>5400</v>
          </cell>
          <cell r="BG1933" t="str">
            <v>F003</v>
          </cell>
          <cell r="BH1933" t="str">
            <v>GSA</v>
          </cell>
        </row>
        <row r="1934">
          <cell r="K1934">
            <v>0</v>
          </cell>
          <cell r="L1934">
            <v>0</v>
          </cell>
          <cell r="N1934">
            <v>0</v>
          </cell>
          <cell r="O1934">
            <v>0</v>
          </cell>
          <cell r="Q1934">
            <v>0</v>
          </cell>
          <cell r="R1934">
            <v>0</v>
          </cell>
          <cell r="T1934">
            <v>0</v>
          </cell>
          <cell r="U1934">
            <v>0</v>
          </cell>
          <cell r="W1934">
            <v>0</v>
          </cell>
          <cell r="X1934">
            <v>0</v>
          </cell>
          <cell r="Z1934">
            <v>0</v>
          </cell>
          <cell r="AA1934">
            <v>0</v>
          </cell>
          <cell r="AC1934">
            <v>0</v>
          </cell>
          <cell r="AD1934">
            <v>0</v>
          </cell>
          <cell r="AF1934">
            <v>0</v>
          </cell>
          <cell r="AG1934">
            <v>0</v>
          </cell>
          <cell r="AI1934">
            <v>0</v>
          </cell>
          <cell r="AJ1934">
            <v>0</v>
          </cell>
          <cell r="AL1934">
            <v>0</v>
          </cell>
          <cell r="AM1934">
            <v>0</v>
          </cell>
          <cell r="AO1934">
            <v>0</v>
          </cell>
          <cell r="AP1934">
            <v>0</v>
          </cell>
          <cell r="AR1934">
            <v>0</v>
          </cell>
          <cell r="AS1934">
            <v>0</v>
          </cell>
          <cell r="BF1934" t="str">
            <v>5400</v>
          </cell>
          <cell r="BG1934" t="str">
            <v>F004</v>
          </cell>
          <cell r="BH1934" t="str">
            <v>GSA</v>
          </cell>
        </row>
        <row r="1935">
          <cell r="K1935">
            <v>0</v>
          </cell>
          <cell r="L1935">
            <v>0</v>
          </cell>
          <cell r="N1935">
            <v>0</v>
          </cell>
          <cell r="O1935">
            <v>0</v>
          </cell>
          <cell r="Q1935">
            <v>0</v>
          </cell>
          <cell r="R1935">
            <v>0</v>
          </cell>
          <cell r="T1935">
            <v>0</v>
          </cell>
          <cell r="U1935">
            <v>0</v>
          </cell>
          <cell r="W1935">
            <v>0</v>
          </cell>
          <cell r="X1935">
            <v>0</v>
          </cell>
          <cell r="Z1935">
            <v>0</v>
          </cell>
          <cell r="AA1935">
            <v>0</v>
          </cell>
          <cell r="AC1935">
            <v>0</v>
          </cell>
          <cell r="AD1935">
            <v>0</v>
          </cell>
          <cell r="AF1935">
            <v>0</v>
          </cell>
          <cell r="AG1935">
            <v>0</v>
          </cell>
          <cell r="AI1935">
            <v>0</v>
          </cell>
          <cell r="AJ1935">
            <v>0</v>
          </cell>
          <cell r="AL1935">
            <v>0</v>
          </cell>
          <cell r="AM1935">
            <v>0</v>
          </cell>
          <cell r="AO1935">
            <v>0</v>
          </cell>
          <cell r="AP1935">
            <v>0</v>
          </cell>
          <cell r="AR1935">
            <v>0</v>
          </cell>
          <cell r="AS1935">
            <v>0</v>
          </cell>
          <cell r="BF1935" t="str">
            <v>5400</v>
          </cell>
          <cell r="BG1935" t="str">
            <v>F005</v>
          </cell>
          <cell r="BH1935" t="str">
            <v>GSA</v>
          </cell>
        </row>
        <row r="1936">
          <cell r="K1936">
            <v>0</v>
          </cell>
          <cell r="L1936">
            <v>0</v>
          </cell>
          <cell r="N1936">
            <v>0</v>
          </cell>
          <cell r="O1936">
            <v>0</v>
          </cell>
          <cell r="Q1936">
            <v>0</v>
          </cell>
          <cell r="R1936">
            <v>0</v>
          </cell>
          <cell r="T1936">
            <v>0</v>
          </cell>
          <cell r="U1936">
            <v>0</v>
          </cell>
          <cell r="W1936">
            <v>0</v>
          </cell>
          <cell r="X1936">
            <v>0</v>
          </cell>
          <cell r="Z1936">
            <v>0</v>
          </cell>
          <cell r="AA1936">
            <v>0</v>
          </cell>
          <cell r="AC1936">
            <v>-20393.97</v>
          </cell>
          <cell r="AD1936">
            <v>0</v>
          </cell>
          <cell r="AF1936">
            <v>20393.97</v>
          </cell>
          <cell r="AG1936">
            <v>0</v>
          </cell>
          <cell r="AI1936">
            <v>0</v>
          </cell>
          <cell r="AJ1936">
            <v>0</v>
          </cell>
          <cell r="AL1936">
            <v>0</v>
          </cell>
          <cell r="AM1936">
            <v>0</v>
          </cell>
          <cell r="AO1936">
            <v>0</v>
          </cell>
          <cell r="AP1936">
            <v>0</v>
          </cell>
          <cell r="AR1936">
            <v>0</v>
          </cell>
          <cell r="AS1936">
            <v>0</v>
          </cell>
          <cell r="BF1936" t="str">
            <v>5400</v>
          </cell>
          <cell r="BG1936" t="str">
            <v>F006</v>
          </cell>
          <cell r="BH1936" t="str">
            <v>GSA</v>
          </cell>
        </row>
        <row r="1937">
          <cell r="K1937">
            <v>0</v>
          </cell>
          <cell r="L1937">
            <v>0</v>
          </cell>
          <cell r="N1937">
            <v>0</v>
          </cell>
          <cell r="O1937">
            <v>0</v>
          </cell>
          <cell r="Q1937">
            <v>0</v>
          </cell>
          <cell r="R1937">
            <v>0</v>
          </cell>
          <cell r="T1937">
            <v>0</v>
          </cell>
          <cell r="U1937">
            <v>0</v>
          </cell>
          <cell r="W1937">
            <v>0</v>
          </cell>
          <cell r="X1937">
            <v>0</v>
          </cell>
          <cell r="Z1937">
            <v>0</v>
          </cell>
          <cell r="AA1937">
            <v>0</v>
          </cell>
          <cell r="AC1937">
            <v>0</v>
          </cell>
          <cell r="AD1937">
            <v>0</v>
          </cell>
          <cell r="AF1937">
            <v>0</v>
          </cell>
          <cell r="AG1937">
            <v>0</v>
          </cell>
          <cell r="AI1937">
            <v>0</v>
          </cell>
          <cell r="AJ1937">
            <v>0</v>
          </cell>
          <cell r="AL1937">
            <v>0</v>
          </cell>
          <cell r="AM1937">
            <v>0</v>
          </cell>
          <cell r="AO1937">
            <v>0</v>
          </cell>
          <cell r="AP1937">
            <v>0</v>
          </cell>
          <cell r="AR1937">
            <v>0</v>
          </cell>
          <cell r="AS1937">
            <v>0</v>
          </cell>
          <cell r="BF1937" t="str">
            <v>5400</v>
          </cell>
          <cell r="BG1937" t="str">
            <v>F007</v>
          </cell>
          <cell r="BH1937" t="str">
            <v>GSA</v>
          </cell>
        </row>
        <row r="1938">
          <cell r="K1938">
            <v>0</v>
          </cell>
          <cell r="L1938">
            <v>0</v>
          </cell>
          <cell r="N1938">
            <v>0</v>
          </cell>
          <cell r="O1938">
            <v>0</v>
          </cell>
          <cell r="Q1938">
            <v>0</v>
          </cell>
          <cell r="R1938">
            <v>0</v>
          </cell>
          <cell r="T1938">
            <v>0</v>
          </cell>
          <cell r="U1938">
            <v>0</v>
          </cell>
          <cell r="W1938">
            <v>0</v>
          </cell>
          <cell r="X1938">
            <v>0</v>
          </cell>
          <cell r="Z1938">
            <v>0</v>
          </cell>
          <cell r="AA1938">
            <v>0</v>
          </cell>
          <cell r="AC1938">
            <v>0</v>
          </cell>
          <cell r="AD1938">
            <v>0</v>
          </cell>
          <cell r="AF1938">
            <v>0</v>
          </cell>
          <cell r="AG1938">
            <v>0</v>
          </cell>
          <cell r="AI1938">
            <v>0</v>
          </cell>
          <cell r="AJ1938">
            <v>0</v>
          </cell>
          <cell r="AL1938">
            <v>0</v>
          </cell>
          <cell r="AM1938">
            <v>0</v>
          </cell>
          <cell r="AO1938">
            <v>0</v>
          </cell>
          <cell r="AP1938">
            <v>0</v>
          </cell>
          <cell r="AR1938">
            <v>0</v>
          </cell>
          <cell r="AS1938">
            <v>0</v>
          </cell>
          <cell r="BF1938" t="str">
            <v>5400</v>
          </cell>
          <cell r="BG1938" t="str">
            <v>F008</v>
          </cell>
          <cell r="BH1938" t="str">
            <v>GSA</v>
          </cell>
        </row>
        <row r="1939">
          <cell r="K1939">
            <v>0</v>
          </cell>
          <cell r="L1939">
            <v>0</v>
          </cell>
          <cell r="N1939">
            <v>0</v>
          </cell>
          <cell r="O1939">
            <v>0</v>
          </cell>
          <cell r="Q1939">
            <v>0</v>
          </cell>
          <cell r="R1939">
            <v>0</v>
          </cell>
          <cell r="T1939">
            <v>0</v>
          </cell>
          <cell r="U1939">
            <v>0</v>
          </cell>
          <cell r="W1939">
            <v>0</v>
          </cell>
          <cell r="X1939">
            <v>0</v>
          </cell>
          <cell r="Z1939">
            <v>0</v>
          </cell>
          <cell r="AA1939">
            <v>0</v>
          </cell>
          <cell r="AC1939">
            <v>0</v>
          </cell>
          <cell r="AD1939">
            <v>0</v>
          </cell>
          <cell r="AF1939">
            <v>0</v>
          </cell>
          <cell r="AG1939">
            <v>0</v>
          </cell>
          <cell r="AI1939">
            <v>0</v>
          </cell>
          <cell r="AJ1939">
            <v>0</v>
          </cell>
          <cell r="AL1939">
            <v>0</v>
          </cell>
          <cell r="AM1939">
            <v>0</v>
          </cell>
          <cell r="AO1939">
            <v>0</v>
          </cell>
          <cell r="AP1939">
            <v>0</v>
          </cell>
          <cell r="AR1939">
            <v>0</v>
          </cell>
          <cell r="AS1939">
            <v>0</v>
          </cell>
          <cell r="BF1939" t="str">
            <v>5400</v>
          </cell>
          <cell r="BG1939" t="str">
            <v>F009</v>
          </cell>
          <cell r="BH1939" t="str">
            <v>GSA</v>
          </cell>
        </row>
        <row r="1940">
          <cell r="K1940">
            <v>0</v>
          </cell>
          <cell r="L1940">
            <v>0</v>
          </cell>
          <cell r="N1940">
            <v>0</v>
          </cell>
          <cell r="O1940">
            <v>0</v>
          </cell>
          <cell r="Q1940">
            <v>0</v>
          </cell>
          <cell r="R1940">
            <v>0</v>
          </cell>
          <cell r="T1940">
            <v>0</v>
          </cell>
          <cell r="U1940">
            <v>0</v>
          </cell>
          <cell r="W1940">
            <v>-1725</v>
          </cell>
          <cell r="X1940">
            <v>0</v>
          </cell>
          <cell r="Z1940">
            <v>0</v>
          </cell>
          <cell r="AA1940">
            <v>0</v>
          </cell>
          <cell r="AC1940">
            <v>0</v>
          </cell>
          <cell r="AD1940">
            <v>0</v>
          </cell>
          <cell r="AF1940">
            <v>0</v>
          </cell>
          <cell r="AG1940">
            <v>0</v>
          </cell>
          <cell r="AI1940">
            <v>0</v>
          </cell>
          <cell r="AJ1940">
            <v>0</v>
          </cell>
          <cell r="AL1940">
            <v>0</v>
          </cell>
          <cell r="AM1940">
            <v>0</v>
          </cell>
          <cell r="AO1940">
            <v>0</v>
          </cell>
          <cell r="AP1940">
            <v>0</v>
          </cell>
          <cell r="AR1940">
            <v>0</v>
          </cell>
          <cell r="AS1940">
            <v>0</v>
          </cell>
          <cell r="BF1940" t="str">
            <v>5400</v>
          </cell>
          <cell r="BG1940" t="str">
            <v>F010</v>
          </cell>
          <cell r="BH1940" t="str">
            <v>GSA</v>
          </cell>
        </row>
        <row r="1941">
          <cell r="K1941">
            <v>0</v>
          </cell>
          <cell r="L1941">
            <v>0</v>
          </cell>
          <cell r="N1941">
            <v>0</v>
          </cell>
          <cell r="O1941">
            <v>0</v>
          </cell>
          <cell r="Q1941">
            <v>0</v>
          </cell>
          <cell r="R1941">
            <v>0</v>
          </cell>
          <cell r="T1941">
            <v>0</v>
          </cell>
          <cell r="U1941">
            <v>0</v>
          </cell>
          <cell r="W1941">
            <v>0</v>
          </cell>
          <cell r="X1941">
            <v>0</v>
          </cell>
          <cell r="Z1941">
            <v>511915</v>
          </cell>
          <cell r="AA1941">
            <v>0</v>
          </cell>
          <cell r="AC1941">
            <v>6304.269999999553</v>
          </cell>
          <cell r="AD1941">
            <v>0</v>
          </cell>
          <cell r="AF1941">
            <v>5764.301998000592</v>
          </cell>
          <cell r="AG1941">
            <v>0</v>
          </cell>
          <cell r="AI1941">
            <v>6452.890000000596</v>
          </cell>
          <cell r="AJ1941">
            <v>0</v>
          </cell>
          <cell r="AL1941">
            <v>-155305.3599999994</v>
          </cell>
          <cell r="AM1941">
            <v>0</v>
          </cell>
          <cell r="AO1941">
            <v>-295380.23000000045</v>
          </cell>
          <cell r="AP1941">
            <v>0</v>
          </cell>
          <cell r="AR1941">
            <v>950.44999999925494</v>
          </cell>
          <cell r="AS1941">
            <v>0</v>
          </cell>
          <cell r="BF1941" t="str">
            <v>5400</v>
          </cell>
          <cell r="BG1941" t="str">
            <v>F011</v>
          </cell>
          <cell r="BH1941" t="str">
            <v>GSA</v>
          </cell>
        </row>
        <row r="1942">
          <cell r="K1942">
            <v>0</v>
          </cell>
          <cell r="L1942">
            <v>0</v>
          </cell>
          <cell r="N1942">
            <v>0</v>
          </cell>
          <cell r="O1942">
            <v>0</v>
          </cell>
          <cell r="Q1942">
            <v>0</v>
          </cell>
          <cell r="R1942">
            <v>0</v>
          </cell>
          <cell r="T1942">
            <v>0</v>
          </cell>
          <cell r="U1942">
            <v>0</v>
          </cell>
          <cell r="W1942">
            <v>0</v>
          </cell>
          <cell r="X1942">
            <v>0</v>
          </cell>
          <cell r="Z1942">
            <v>511915.00000000012</v>
          </cell>
          <cell r="AA1942">
            <v>0</v>
          </cell>
          <cell r="AC1942">
            <v>6304.2700000000186</v>
          </cell>
          <cell r="AD1942">
            <v>0</v>
          </cell>
          <cell r="AF1942">
            <v>5764.3019979998935</v>
          </cell>
          <cell r="AG1942">
            <v>0</v>
          </cell>
          <cell r="AI1942">
            <v>-191057.9700000002</v>
          </cell>
          <cell r="AJ1942">
            <v>0</v>
          </cell>
          <cell r="AL1942">
            <v>196728.75000000023</v>
          </cell>
          <cell r="AM1942">
            <v>0</v>
          </cell>
          <cell r="AO1942">
            <v>6522.7299999999814</v>
          </cell>
          <cell r="AP1942">
            <v>0</v>
          </cell>
          <cell r="AR1942">
            <v>2990026.31</v>
          </cell>
          <cell r="AS1942">
            <v>0</v>
          </cell>
          <cell r="BF1942" t="str">
            <v>5400</v>
          </cell>
          <cell r="BG1942" t="str">
            <v>F012</v>
          </cell>
          <cell r="BH1942" t="str">
            <v>GSA</v>
          </cell>
        </row>
        <row r="1943">
          <cell r="K1943">
            <v>0</v>
          </cell>
          <cell r="L1943">
            <v>0</v>
          </cell>
          <cell r="N1943">
            <v>0</v>
          </cell>
          <cell r="O1943">
            <v>0</v>
          </cell>
          <cell r="Q1943">
            <v>0</v>
          </cell>
          <cell r="R1943">
            <v>0</v>
          </cell>
          <cell r="T1943">
            <v>0</v>
          </cell>
          <cell r="U1943">
            <v>0</v>
          </cell>
          <cell r="W1943">
            <v>0</v>
          </cell>
          <cell r="X1943">
            <v>0</v>
          </cell>
          <cell r="Z1943">
            <v>0</v>
          </cell>
          <cell r="AA1943">
            <v>0</v>
          </cell>
          <cell r="AC1943">
            <v>0</v>
          </cell>
          <cell r="AD1943">
            <v>0</v>
          </cell>
          <cell r="AF1943">
            <v>0</v>
          </cell>
          <cell r="AG1943">
            <v>0</v>
          </cell>
          <cell r="AI1943">
            <v>0</v>
          </cell>
          <cell r="AJ1943">
            <v>0</v>
          </cell>
          <cell r="AL1943">
            <v>0</v>
          </cell>
          <cell r="AM1943">
            <v>0</v>
          </cell>
          <cell r="AO1943">
            <v>0</v>
          </cell>
          <cell r="AP1943">
            <v>0</v>
          </cell>
          <cell r="AR1943">
            <v>0</v>
          </cell>
          <cell r="AS1943">
            <v>0</v>
          </cell>
          <cell r="BF1943" t="str">
            <v>5400</v>
          </cell>
          <cell r="BG1943" t="str">
            <v>F013</v>
          </cell>
          <cell r="BH1943" t="str">
            <v>GSA</v>
          </cell>
        </row>
        <row r="1944">
          <cell r="K1944">
            <v>0</v>
          </cell>
          <cell r="L1944">
            <v>0</v>
          </cell>
          <cell r="N1944">
            <v>0</v>
          </cell>
          <cell r="O1944">
            <v>0</v>
          </cell>
          <cell r="Q1944">
            <v>0</v>
          </cell>
          <cell r="R1944">
            <v>0</v>
          </cell>
          <cell r="T1944">
            <v>0</v>
          </cell>
          <cell r="U1944">
            <v>0</v>
          </cell>
          <cell r="W1944">
            <v>0</v>
          </cell>
          <cell r="X1944">
            <v>0</v>
          </cell>
          <cell r="Z1944">
            <v>0</v>
          </cell>
          <cell r="AA1944">
            <v>0</v>
          </cell>
          <cell r="AC1944">
            <v>0</v>
          </cell>
          <cell r="AD1944">
            <v>0</v>
          </cell>
          <cell r="AF1944">
            <v>0</v>
          </cell>
          <cell r="AG1944">
            <v>0</v>
          </cell>
          <cell r="AI1944">
            <v>0</v>
          </cell>
          <cell r="AJ1944">
            <v>0</v>
          </cell>
          <cell r="AL1944">
            <v>0</v>
          </cell>
          <cell r="AM1944">
            <v>0</v>
          </cell>
          <cell r="AO1944">
            <v>0</v>
          </cell>
          <cell r="AP1944">
            <v>0</v>
          </cell>
          <cell r="AR1944">
            <v>0</v>
          </cell>
          <cell r="AS1944">
            <v>0</v>
          </cell>
          <cell r="BF1944" t="str">
            <v>5400</v>
          </cell>
          <cell r="BG1944" t="str">
            <v>F014</v>
          </cell>
          <cell r="BH1944" t="str">
            <v>GSA</v>
          </cell>
        </row>
        <row r="1945">
          <cell r="K1945">
            <v>0</v>
          </cell>
          <cell r="L1945">
            <v>0</v>
          </cell>
          <cell r="N1945">
            <v>0</v>
          </cell>
          <cell r="O1945">
            <v>0</v>
          </cell>
          <cell r="Q1945">
            <v>0</v>
          </cell>
          <cell r="R1945">
            <v>0</v>
          </cell>
          <cell r="T1945">
            <v>0</v>
          </cell>
          <cell r="U1945">
            <v>0</v>
          </cell>
          <cell r="W1945">
            <v>0</v>
          </cell>
          <cell r="X1945">
            <v>0</v>
          </cell>
          <cell r="Z1945">
            <v>0</v>
          </cell>
          <cell r="AA1945">
            <v>0</v>
          </cell>
          <cell r="AC1945">
            <v>0</v>
          </cell>
          <cell r="AD1945">
            <v>0</v>
          </cell>
          <cell r="AF1945">
            <v>0</v>
          </cell>
          <cell r="AG1945">
            <v>0</v>
          </cell>
          <cell r="AI1945">
            <v>0</v>
          </cell>
          <cell r="AJ1945">
            <v>0</v>
          </cell>
          <cell r="AL1945">
            <v>0</v>
          </cell>
          <cell r="AM1945">
            <v>0</v>
          </cell>
          <cell r="AO1945">
            <v>0</v>
          </cell>
          <cell r="AP1945">
            <v>0</v>
          </cell>
          <cell r="AR1945">
            <v>0</v>
          </cell>
          <cell r="AS1945">
            <v>0</v>
          </cell>
          <cell r="BF1945" t="str">
            <v>5400</v>
          </cell>
          <cell r="BG1945" t="str">
            <v>F015</v>
          </cell>
          <cell r="BH1945" t="str">
            <v>GSA</v>
          </cell>
        </row>
        <row r="1946">
          <cell r="K1946">
            <v>0</v>
          </cell>
          <cell r="L1946">
            <v>0</v>
          </cell>
          <cell r="N1946">
            <v>0</v>
          </cell>
          <cell r="O1946">
            <v>0</v>
          </cell>
          <cell r="Q1946">
            <v>0</v>
          </cell>
          <cell r="R1946">
            <v>0</v>
          </cell>
          <cell r="T1946">
            <v>0</v>
          </cell>
          <cell r="U1946">
            <v>0</v>
          </cell>
          <cell r="W1946">
            <v>0</v>
          </cell>
          <cell r="X1946">
            <v>0</v>
          </cell>
          <cell r="Z1946">
            <v>0</v>
          </cell>
          <cell r="AA1946">
            <v>0</v>
          </cell>
          <cell r="AC1946">
            <v>0</v>
          </cell>
          <cell r="AD1946">
            <v>0</v>
          </cell>
          <cell r="AF1946">
            <v>0</v>
          </cell>
          <cell r="AG1946">
            <v>0</v>
          </cell>
          <cell r="AI1946">
            <v>0</v>
          </cell>
          <cell r="AJ1946">
            <v>0</v>
          </cell>
          <cell r="AL1946">
            <v>0</v>
          </cell>
          <cell r="AM1946">
            <v>0</v>
          </cell>
          <cell r="AO1946">
            <v>0</v>
          </cell>
          <cell r="AP1946">
            <v>0</v>
          </cell>
          <cell r="AR1946">
            <v>0</v>
          </cell>
          <cell r="AS1946">
            <v>0</v>
          </cell>
          <cell r="BF1946" t="str">
            <v>5400</v>
          </cell>
          <cell r="BG1946" t="str">
            <v>F016</v>
          </cell>
          <cell r="BH1946" t="str">
            <v>GSA</v>
          </cell>
        </row>
        <row r="1947">
          <cell r="K1947">
            <v>0</v>
          </cell>
          <cell r="L1947">
            <v>0</v>
          </cell>
          <cell r="N1947">
            <v>0</v>
          </cell>
          <cell r="O1947">
            <v>0</v>
          </cell>
          <cell r="Q1947">
            <v>0</v>
          </cell>
          <cell r="R1947">
            <v>0</v>
          </cell>
          <cell r="T1947">
            <v>0</v>
          </cell>
          <cell r="U1947">
            <v>0</v>
          </cell>
          <cell r="W1947">
            <v>0</v>
          </cell>
          <cell r="X1947">
            <v>0</v>
          </cell>
          <cell r="Z1947">
            <v>0</v>
          </cell>
          <cell r="AA1947">
            <v>0</v>
          </cell>
          <cell r="AC1947">
            <v>0</v>
          </cell>
          <cell r="AD1947">
            <v>0</v>
          </cell>
          <cell r="AF1947">
            <v>0</v>
          </cell>
          <cell r="AG1947">
            <v>0</v>
          </cell>
          <cell r="AI1947">
            <v>0</v>
          </cell>
          <cell r="AJ1947">
            <v>0</v>
          </cell>
          <cell r="AL1947">
            <v>0</v>
          </cell>
          <cell r="AM1947">
            <v>0</v>
          </cell>
          <cell r="AO1947">
            <v>0</v>
          </cell>
          <cell r="AP1947">
            <v>0</v>
          </cell>
          <cell r="AR1947">
            <v>0</v>
          </cell>
          <cell r="AS1947">
            <v>0</v>
          </cell>
          <cell r="BF1947" t="str">
            <v>5400</v>
          </cell>
          <cell r="BG1947" t="str">
            <v>F017</v>
          </cell>
          <cell r="BH1947" t="str">
            <v>GSA</v>
          </cell>
        </row>
        <row r="1948">
          <cell r="K1948">
            <v>0</v>
          </cell>
          <cell r="L1948">
            <v>0</v>
          </cell>
          <cell r="N1948">
            <v>0</v>
          </cell>
          <cell r="O1948">
            <v>0</v>
          </cell>
          <cell r="Q1948">
            <v>0</v>
          </cell>
          <cell r="R1948">
            <v>0</v>
          </cell>
          <cell r="T1948">
            <v>0</v>
          </cell>
          <cell r="U1948">
            <v>0</v>
          </cell>
          <cell r="W1948">
            <v>0</v>
          </cell>
          <cell r="X1948">
            <v>0</v>
          </cell>
          <cell r="Z1948">
            <v>0</v>
          </cell>
          <cell r="AA1948">
            <v>0</v>
          </cell>
          <cell r="AC1948">
            <v>0</v>
          </cell>
          <cell r="AD1948">
            <v>0</v>
          </cell>
          <cell r="AF1948">
            <v>0</v>
          </cell>
          <cell r="AG1948">
            <v>0</v>
          </cell>
          <cell r="AI1948">
            <v>0</v>
          </cell>
          <cell r="AJ1948">
            <v>0</v>
          </cell>
          <cell r="AL1948">
            <v>0</v>
          </cell>
          <cell r="AM1948">
            <v>0</v>
          </cell>
          <cell r="AO1948">
            <v>0</v>
          </cell>
          <cell r="AP1948">
            <v>0</v>
          </cell>
          <cell r="AR1948">
            <v>0</v>
          </cell>
          <cell r="AS1948">
            <v>0</v>
          </cell>
          <cell r="BF1948" t="str">
            <v>5400</v>
          </cell>
          <cell r="BG1948" t="str">
            <v>F018</v>
          </cell>
          <cell r="BH1948" t="str">
            <v>GSA</v>
          </cell>
        </row>
        <row r="1949">
          <cell r="K1949">
            <v>0</v>
          </cell>
          <cell r="L1949">
            <v>0</v>
          </cell>
          <cell r="N1949">
            <v>0</v>
          </cell>
          <cell r="O1949">
            <v>0</v>
          </cell>
          <cell r="Q1949">
            <v>0</v>
          </cell>
          <cell r="R1949">
            <v>0</v>
          </cell>
          <cell r="T1949">
            <v>0</v>
          </cell>
          <cell r="U1949">
            <v>0</v>
          </cell>
          <cell r="W1949">
            <v>0</v>
          </cell>
          <cell r="X1949">
            <v>0</v>
          </cell>
          <cell r="Z1949">
            <v>0</v>
          </cell>
          <cell r="AA1949">
            <v>0</v>
          </cell>
          <cell r="AC1949">
            <v>0</v>
          </cell>
          <cell r="AD1949">
            <v>0</v>
          </cell>
          <cell r="AF1949">
            <v>0</v>
          </cell>
          <cell r="AG1949">
            <v>0</v>
          </cell>
          <cell r="AI1949">
            <v>0</v>
          </cell>
          <cell r="AJ1949">
            <v>0</v>
          </cell>
          <cell r="AL1949">
            <v>0</v>
          </cell>
          <cell r="AM1949">
            <v>0</v>
          </cell>
          <cell r="AO1949">
            <v>0</v>
          </cell>
          <cell r="AP1949">
            <v>0</v>
          </cell>
          <cell r="AR1949">
            <v>0</v>
          </cell>
          <cell r="AS1949">
            <v>0</v>
          </cell>
          <cell r="BF1949" t="str">
            <v>5400</v>
          </cell>
          <cell r="BG1949" t="str">
            <v>F019</v>
          </cell>
          <cell r="BH1949" t="str">
            <v>GSA</v>
          </cell>
        </row>
        <row r="1950">
          <cell r="K1950">
            <v>0</v>
          </cell>
          <cell r="L1950">
            <v>0</v>
          </cell>
          <cell r="N1950">
            <v>0</v>
          </cell>
          <cell r="O1950">
            <v>0</v>
          </cell>
          <cell r="Q1950">
            <v>0</v>
          </cell>
          <cell r="R1950">
            <v>0</v>
          </cell>
          <cell r="T1950">
            <v>0</v>
          </cell>
          <cell r="U1950">
            <v>0</v>
          </cell>
          <cell r="W1950">
            <v>0</v>
          </cell>
          <cell r="X1950">
            <v>0</v>
          </cell>
          <cell r="Z1950">
            <v>0</v>
          </cell>
          <cell r="AA1950">
            <v>0</v>
          </cell>
          <cell r="AC1950">
            <v>0</v>
          </cell>
          <cell r="AD1950">
            <v>0</v>
          </cell>
          <cell r="AF1950">
            <v>0</v>
          </cell>
          <cell r="AG1950">
            <v>0</v>
          </cell>
          <cell r="AI1950">
            <v>0</v>
          </cell>
          <cell r="AJ1950">
            <v>0</v>
          </cell>
          <cell r="AL1950">
            <v>0</v>
          </cell>
          <cell r="AM1950">
            <v>0</v>
          </cell>
          <cell r="AO1950">
            <v>0</v>
          </cell>
          <cell r="AP1950">
            <v>0</v>
          </cell>
          <cell r="AR1950">
            <v>0</v>
          </cell>
          <cell r="AS1950">
            <v>0</v>
          </cell>
          <cell r="BF1950" t="str">
            <v>5400</v>
          </cell>
          <cell r="BG1950" t="str">
            <v>F020</v>
          </cell>
          <cell r="BH1950" t="str">
            <v>GSA</v>
          </cell>
        </row>
        <row r="1951">
          <cell r="K1951">
            <v>0</v>
          </cell>
          <cell r="L1951">
            <v>0</v>
          </cell>
          <cell r="N1951">
            <v>0</v>
          </cell>
          <cell r="O1951">
            <v>0</v>
          </cell>
          <cell r="Q1951">
            <v>0</v>
          </cell>
          <cell r="R1951">
            <v>0</v>
          </cell>
          <cell r="T1951">
            <v>0</v>
          </cell>
          <cell r="U1951">
            <v>0</v>
          </cell>
          <cell r="W1951">
            <v>0</v>
          </cell>
          <cell r="X1951">
            <v>0</v>
          </cell>
          <cell r="Z1951">
            <v>0</v>
          </cell>
          <cell r="AA1951">
            <v>0</v>
          </cell>
          <cell r="AC1951">
            <v>0</v>
          </cell>
          <cell r="AD1951">
            <v>0</v>
          </cell>
          <cell r="AF1951">
            <v>0</v>
          </cell>
          <cell r="AG1951">
            <v>0</v>
          </cell>
          <cell r="AI1951">
            <v>6407453.2799999993</v>
          </cell>
          <cell r="AJ1951">
            <v>0</v>
          </cell>
          <cell r="AL1951">
            <v>12774336.070000002</v>
          </cell>
          <cell r="AM1951">
            <v>0</v>
          </cell>
          <cell r="AO1951">
            <v>4012937.4899999946</v>
          </cell>
          <cell r="AP1951">
            <v>0</v>
          </cell>
          <cell r="AR1951">
            <v>209705.74000000209</v>
          </cell>
          <cell r="AS1951">
            <v>0</v>
          </cell>
          <cell r="BF1951" t="str">
            <v>5500</v>
          </cell>
          <cell r="BG1951" t="str">
            <v>G001</v>
          </cell>
          <cell r="BH1951" t="str">
            <v>GSA</v>
          </cell>
        </row>
        <row r="1952">
          <cell r="K1952">
            <v>0</v>
          </cell>
          <cell r="L1952">
            <v>0</v>
          </cell>
          <cell r="N1952">
            <v>0</v>
          </cell>
          <cell r="O1952">
            <v>0</v>
          </cell>
          <cell r="Q1952">
            <v>0</v>
          </cell>
          <cell r="R1952">
            <v>0</v>
          </cell>
          <cell r="T1952">
            <v>0</v>
          </cell>
          <cell r="U1952">
            <v>0</v>
          </cell>
          <cell r="W1952">
            <v>0</v>
          </cell>
          <cell r="X1952">
            <v>0</v>
          </cell>
          <cell r="Z1952">
            <v>0</v>
          </cell>
          <cell r="AA1952">
            <v>0</v>
          </cell>
          <cell r="AC1952">
            <v>0</v>
          </cell>
          <cell r="AD1952">
            <v>0</v>
          </cell>
          <cell r="AF1952">
            <v>0</v>
          </cell>
          <cell r="AG1952">
            <v>0</v>
          </cell>
          <cell r="AI1952">
            <v>0</v>
          </cell>
          <cell r="AJ1952">
            <v>0</v>
          </cell>
          <cell r="AL1952">
            <v>0</v>
          </cell>
          <cell r="AM1952">
            <v>0</v>
          </cell>
          <cell r="AO1952">
            <v>0</v>
          </cell>
          <cell r="AP1952">
            <v>0</v>
          </cell>
          <cell r="AR1952">
            <v>0</v>
          </cell>
          <cell r="AS1952">
            <v>0</v>
          </cell>
          <cell r="BF1952" t="str">
            <v>5500</v>
          </cell>
          <cell r="BG1952" t="str">
            <v>G002</v>
          </cell>
          <cell r="BH1952" t="str">
            <v>GSA</v>
          </cell>
        </row>
        <row r="1953">
          <cell r="K1953">
            <v>0</v>
          </cell>
          <cell r="L1953">
            <v>0</v>
          </cell>
          <cell r="N1953">
            <v>0</v>
          </cell>
          <cell r="O1953">
            <v>0</v>
          </cell>
          <cell r="Q1953">
            <v>0</v>
          </cell>
          <cell r="R1953">
            <v>0</v>
          </cell>
          <cell r="T1953">
            <v>0</v>
          </cell>
          <cell r="U1953">
            <v>0</v>
          </cell>
          <cell r="W1953">
            <v>0</v>
          </cell>
          <cell r="X1953">
            <v>0</v>
          </cell>
          <cell r="Z1953">
            <v>0</v>
          </cell>
          <cell r="AA1953">
            <v>0</v>
          </cell>
          <cell r="AC1953">
            <v>0</v>
          </cell>
          <cell r="AD1953">
            <v>0</v>
          </cell>
          <cell r="AF1953">
            <v>0</v>
          </cell>
          <cell r="AG1953">
            <v>0</v>
          </cell>
          <cell r="AI1953">
            <v>0</v>
          </cell>
          <cell r="AJ1953">
            <v>0</v>
          </cell>
          <cell r="AL1953">
            <v>0</v>
          </cell>
          <cell r="AM1953">
            <v>0</v>
          </cell>
          <cell r="AO1953">
            <v>0</v>
          </cell>
          <cell r="AP1953">
            <v>0</v>
          </cell>
          <cell r="AR1953">
            <v>0</v>
          </cell>
          <cell r="AS1953">
            <v>0</v>
          </cell>
          <cell r="BF1953" t="str">
            <v>5500</v>
          </cell>
          <cell r="BG1953" t="str">
            <v>G003</v>
          </cell>
          <cell r="BH1953" t="str">
            <v>GSA</v>
          </cell>
        </row>
        <row r="1954">
          <cell r="K1954">
            <v>0</v>
          </cell>
          <cell r="L1954">
            <v>0</v>
          </cell>
          <cell r="N1954">
            <v>0</v>
          </cell>
          <cell r="O1954">
            <v>0</v>
          </cell>
          <cell r="Q1954">
            <v>0</v>
          </cell>
          <cell r="R1954">
            <v>0</v>
          </cell>
          <cell r="T1954">
            <v>0</v>
          </cell>
          <cell r="U1954">
            <v>0</v>
          </cell>
          <cell r="W1954">
            <v>0</v>
          </cell>
          <cell r="X1954">
            <v>0</v>
          </cell>
          <cell r="Z1954">
            <v>0</v>
          </cell>
          <cell r="AA1954">
            <v>0</v>
          </cell>
          <cell r="AC1954">
            <v>0</v>
          </cell>
          <cell r="AD1954">
            <v>0</v>
          </cell>
          <cell r="AF1954">
            <v>0</v>
          </cell>
          <cell r="AG1954">
            <v>0</v>
          </cell>
          <cell r="AI1954">
            <v>0</v>
          </cell>
          <cell r="AJ1954">
            <v>0</v>
          </cell>
          <cell r="AL1954">
            <v>0</v>
          </cell>
          <cell r="AM1954">
            <v>0</v>
          </cell>
          <cell r="AO1954">
            <v>0</v>
          </cell>
          <cell r="AP1954">
            <v>0</v>
          </cell>
          <cell r="AR1954">
            <v>0</v>
          </cell>
          <cell r="AS1954">
            <v>0</v>
          </cell>
          <cell r="BF1954" t="str">
            <v>5500</v>
          </cell>
          <cell r="BG1954" t="str">
            <v>G004</v>
          </cell>
          <cell r="BH1954" t="str">
            <v>GSA</v>
          </cell>
        </row>
        <row r="1955">
          <cell r="K1955">
            <v>-3420</v>
          </cell>
          <cell r="L1955">
            <v>0</v>
          </cell>
          <cell r="N1955">
            <v>0</v>
          </cell>
          <cell r="O1955">
            <v>0</v>
          </cell>
          <cell r="Q1955">
            <v>500000</v>
          </cell>
          <cell r="R1955">
            <v>0</v>
          </cell>
          <cell r="T1955">
            <v>-2755.0100000000093</v>
          </cell>
          <cell r="U1955">
            <v>0</v>
          </cell>
          <cell r="W1955">
            <v>0</v>
          </cell>
          <cell r="X1955">
            <v>0</v>
          </cell>
          <cell r="Z1955">
            <v>-20000</v>
          </cell>
          <cell r="AA1955">
            <v>0</v>
          </cell>
          <cell r="AC1955">
            <v>1103061.05</v>
          </cell>
          <cell r="AD1955">
            <v>0</v>
          </cell>
          <cell r="AF1955">
            <v>511114.18999999948</v>
          </cell>
          <cell r="AG1955">
            <v>0</v>
          </cell>
          <cell r="AI1955">
            <v>-2115061.7100000004</v>
          </cell>
          <cell r="AJ1955">
            <v>0</v>
          </cell>
          <cell r="AL1955">
            <v>0</v>
          </cell>
          <cell r="AM1955">
            <v>0</v>
          </cell>
          <cell r="AO1955">
            <v>0</v>
          </cell>
          <cell r="AP1955">
            <v>0</v>
          </cell>
          <cell r="AR1955">
            <v>0</v>
          </cell>
          <cell r="AS1955">
            <v>0</v>
          </cell>
          <cell r="BF1955" t="str">
            <v>5500</v>
          </cell>
          <cell r="BG1955" t="str">
            <v>G005</v>
          </cell>
          <cell r="BH1955" t="str">
            <v>GSA</v>
          </cell>
        </row>
        <row r="1956">
          <cell r="K1956">
            <v>0</v>
          </cell>
          <cell r="L1956">
            <v>0</v>
          </cell>
          <cell r="N1956">
            <v>0</v>
          </cell>
          <cell r="O1956">
            <v>0</v>
          </cell>
          <cell r="Q1956">
            <v>0</v>
          </cell>
          <cell r="R1956">
            <v>0</v>
          </cell>
          <cell r="T1956">
            <v>0</v>
          </cell>
          <cell r="U1956">
            <v>0</v>
          </cell>
          <cell r="W1956">
            <v>0</v>
          </cell>
          <cell r="X1956">
            <v>0</v>
          </cell>
          <cell r="Z1956">
            <v>0</v>
          </cell>
          <cell r="AA1956">
            <v>0</v>
          </cell>
          <cell r="AC1956">
            <v>0</v>
          </cell>
          <cell r="AD1956">
            <v>0</v>
          </cell>
          <cell r="AF1956">
            <v>0</v>
          </cell>
          <cell r="AG1956">
            <v>0</v>
          </cell>
          <cell r="AI1956">
            <v>0</v>
          </cell>
          <cell r="AJ1956">
            <v>0</v>
          </cell>
          <cell r="AL1956">
            <v>0</v>
          </cell>
          <cell r="AM1956">
            <v>0</v>
          </cell>
          <cell r="AO1956">
            <v>0</v>
          </cell>
          <cell r="AP1956">
            <v>0</v>
          </cell>
          <cell r="AR1956">
            <v>0</v>
          </cell>
          <cell r="AS1956">
            <v>0</v>
          </cell>
          <cell r="BF1956" t="str">
            <v>5500</v>
          </cell>
          <cell r="BG1956" t="str">
            <v>G006</v>
          </cell>
          <cell r="BH1956" t="str">
            <v>GSA</v>
          </cell>
        </row>
        <row r="1957">
          <cell r="K1957">
            <v>0</v>
          </cell>
          <cell r="L1957">
            <v>0</v>
          </cell>
          <cell r="N1957">
            <v>0</v>
          </cell>
          <cell r="O1957">
            <v>0</v>
          </cell>
          <cell r="Q1957">
            <v>0</v>
          </cell>
          <cell r="R1957">
            <v>0</v>
          </cell>
          <cell r="T1957">
            <v>0</v>
          </cell>
          <cell r="U1957">
            <v>0</v>
          </cell>
          <cell r="W1957">
            <v>0</v>
          </cell>
          <cell r="X1957">
            <v>0</v>
          </cell>
          <cell r="Z1957">
            <v>0</v>
          </cell>
          <cell r="AA1957">
            <v>0</v>
          </cell>
          <cell r="AC1957">
            <v>0</v>
          </cell>
          <cell r="AD1957">
            <v>0</v>
          </cell>
          <cell r="AF1957">
            <v>0</v>
          </cell>
          <cell r="AG1957">
            <v>0</v>
          </cell>
          <cell r="AI1957">
            <v>0</v>
          </cell>
          <cell r="AJ1957">
            <v>0</v>
          </cell>
          <cell r="AL1957">
            <v>0</v>
          </cell>
          <cell r="AM1957">
            <v>0</v>
          </cell>
          <cell r="AO1957">
            <v>0</v>
          </cell>
          <cell r="AP1957">
            <v>0</v>
          </cell>
          <cell r="AR1957">
            <v>0</v>
          </cell>
          <cell r="AS1957">
            <v>0</v>
          </cell>
          <cell r="BF1957" t="str">
            <v>5500</v>
          </cell>
          <cell r="BG1957" t="str">
            <v>G007</v>
          </cell>
          <cell r="BH1957" t="str">
            <v>GSA</v>
          </cell>
        </row>
        <row r="1958">
          <cell r="K1958">
            <v>0</v>
          </cell>
          <cell r="L1958">
            <v>0</v>
          </cell>
          <cell r="N1958">
            <v>0</v>
          </cell>
          <cell r="O1958">
            <v>0</v>
          </cell>
          <cell r="Q1958">
            <v>0</v>
          </cell>
          <cell r="R1958">
            <v>0</v>
          </cell>
          <cell r="T1958">
            <v>0</v>
          </cell>
          <cell r="U1958">
            <v>0</v>
          </cell>
          <cell r="W1958">
            <v>0</v>
          </cell>
          <cell r="X1958">
            <v>0</v>
          </cell>
          <cell r="Z1958">
            <v>0</v>
          </cell>
          <cell r="AA1958">
            <v>0</v>
          </cell>
          <cell r="AC1958">
            <v>0</v>
          </cell>
          <cell r="AD1958">
            <v>0</v>
          </cell>
          <cell r="AF1958">
            <v>0</v>
          </cell>
          <cell r="AG1958">
            <v>0</v>
          </cell>
          <cell r="AI1958">
            <v>0</v>
          </cell>
          <cell r="AJ1958">
            <v>0</v>
          </cell>
          <cell r="AL1958">
            <v>0</v>
          </cell>
          <cell r="AM1958">
            <v>0</v>
          </cell>
          <cell r="AO1958">
            <v>0</v>
          </cell>
          <cell r="AP1958">
            <v>0</v>
          </cell>
          <cell r="AR1958">
            <v>0</v>
          </cell>
          <cell r="AS1958">
            <v>0</v>
          </cell>
          <cell r="BF1958" t="str">
            <v>5500</v>
          </cell>
          <cell r="BG1958" t="str">
            <v>G008</v>
          </cell>
          <cell r="BH1958" t="str">
            <v>GSA</v>
          </cell>
        </row>
        <row r="1959">
          <cell r="K1959">
            <v>0</v>
          </cell>
          <cell r="L1959">
            <v>0</v>
          </cell>
          <cell r="N1959">
            <v>0</v>
          </cell>
          <cell r="O1959">
            <v>0</v>
          </cell>
          <cell r="Q1959">
            <v>0</v>
          </cell>
          <cell r="R1959">
            <v>0</v>
          </cell>
          <cell r="T1959">
            <v>0</v>
          </cell>
          <cell r="U1959">
            <v>0</v>
          </cell>
          <cell r="W1959">
            <v>0</v>
          </cell>
          <cell r="X1959">
            <v>0</v>
          </cell>
          <cell r="Z1959">
            <v>0</v>
          </cell>
          <cell r="AA1959">
            <v>0</v>
          </cell>
          <cell r="AC1959">
            <v>0</v>
          </cell>
          <cell r="AD1959">
            <v>0</v>
          </cell>
          <cell r="AF1959">
            <v>0</v>
          </cell>
          <cell r="AG1959">
            <v>0</v>
          </cell>
          <cell r="AI1959">
            <v>0</v>
          </cell>
          <cell r="AJ1959">
            <v>0</v>
          </cell>
          <cell r="AL1959">
            <v>0</v>
          </cell>
          <cell r="AM1959">
            <v>0</v>
          </cell>
          <cell r="AO1959">
            <v>0</v>
          </cell>
          <cell r="AP1959">
            <v>0</v>
          </cell>
          <cell r="AR1959">
            <v>0</v>
          </cell>
          <cell r="AS1959">
            <v>0</v>
          </cell>
          <cell r="BF1959" t="str">
            <v>5500</v>
          </cell>
          <cell r="BG1959" t="str">
            <v>G009</v>
          </cell>
          <cell r="BH1959" t="str">
            <v>GSA</v>
          </cell>
        </row>
        <row r="1960">
          <cell r="K1960">
            <v>0</v>
          </cell>
          <cell r="L1960">
            <v>0</v>
          </cell>
          <cell r="N1960">
            <v>0</v>
          </cell>
          <cell r="O1960">
            <v>0</v>
          </cell>
          <cell r="Q1960">
            <v>0</v>
          </cell>
          <cell r="R1960">
            <v>0</v>
          </cell>
          <cell r="T1960">
            <v>0</v>
          </cell>
          <cell r="U1960">
            <v>0</v>
          </cell>
          <cell r="W1960">
            <v>0</v>
          </cell>
          <cell r="X1960">
            <v>0</v>
          </cell>
          <cell r="Z1960">
            <v>0</v>
          </cell>
          <cell r="AA1960">
            <v>0</v>
          </cell>
          <cell r="AC1960">
            <v>0</v>
          </cell>
          <cell r="AD1960">
            <v>0</v>
          </cell>
          <cell r="AF1960">
            <v>0</v>
          </cell>
          <cell r="AG1960">
            <v>0</v>
          </cell>
          <cell r="AI1960">
            <v>0</v>
          </cell>
          <cell r="AJ1960">
            <v>0</v>
          </cell>
          <cell r="AL1960">
            <v>0</v>
          </cell>
          <cell r="AM1960">
            <v>0</v>
          </cell>
          <cell r="AO1960">
            <v>0</v>
          </cell>
          <cell r="AP1960">
            <v>0</v>
          </cell>
          <cell r="AR1960">
            <v>0</v>
          </cell>
          <cell r="AS1960">
            <v>0</v>
          </cell>
          <cell r="BF1960" t="str">
            <v>5500</v>
          </cell>
          <cell r="BG1960" t="str">
            <v>G010</v>
          </cell>
          <cell r="BH1960" t="str">
            <v>GSA</v>
          </cell>
        </row>
        <row r="1961">
          <cell r="K1961">
            <v>0</v>
          </cell>
          <cell r="L1961">
            <v>0</v>
          </cell>
          <cell r="N1961">
            <v>0</v>
          </cell>
          <cell r="O1961">
            <v>0</v>
          </cell>
          <cell r="Q1961">
            <v>0</v>
          </cell>
          <cell r="R1961">
            <v>0</v>
          </cell>
          <cell r="T1961">
            <v>0</v>
          </cell>
          <cell r="U1961">
            <v>0</v>
          </cell>
          <cell r="W1961">
            <v>0</v>
          </cell>
          <cell r="X1961">
            <v>0</v>
          </cell>
          <cell r="Z1961">
            <v>0</v>
          </cell>
          <cell r="AA1961">
            <v>0</v>
          </cell>
          <cell r="AC1961">
            <v>0</v>
          </cell>
          <cell r="AD1961">
            <v>0</v>
          </cell>
          <cell r="AF1961">
            <v>0</v>
          </cell>
          <cell r="AG1961">
            <v>0</v>
          </cell>
          <cell r="AI1961">
            <v>0</v>
          </cell>
          <cell r="AJ1961">
            <v>0</v>
          </cell>
          <cell r="AL1961">
            <v>0</v>
          </cell>
          <cell r="AM1961">
            <v>0</v>
          </cell>
          <cell r="AO1961">
            <v>0</v>
          </cell>
          <cell r="AP1961">
            <v>0</v>
          </cell>
          <cell r="AR1961">
            <v>0</v>
          </cell>
          <cell r="AS1961">
            <v>0</v>
          </cell>
          <cell r="BF1961" t="str">
            <v>5500</v>
          </cell>
          <cell r="BG1961" t="str">
            <v>G011</v>
          </cell>
          <cell r="BH1961" t="str">
            <v>GSA</v>
          </cell>
        </row>
        <row r="1962">
          <cell r="K1962">
            <v>0</v>
          </cell>
          <cell r="L1962">
            <v>0</v>
          </cell>
          <cell r="N1962">
            <v>0</v>
          </cell>
          <cell r="O1962">
            <v>0</v>
          </cell>
          <cell r="Q1962">
            <v>0</v>
          </cell>
          <cell r="R1962">
            <v>0</v>
          </cell>
          <cell r="T1962">
            <v>0</v>
          </cell>
          <cell r="U1962">
            <v>0</v>
          </cell>
          <cell r="W1962">
            <v>0</v>
          </cell>
          <cell r="X1962">
            <v>0</v>
          </cell>
          <cell r="Z1962">
            <v>0</v>
          </cell>
          <cell r="AA1962">
            <v>0</v>
          </cell>
          <cell r="AC1962">
            <v>0</v>
          </cell>
          <cell r="AD1962">
            <v>0</v>
          </cell>
          <cell r="AF1962">
            <v>0</v>
          </cell>
          <cell r="AG1962">
            <v>0</v>
          </cell>
          <cell r="AI1962">
            <v>0</v>
          </cell>
          <cell r="AJ1962">
            <v>0</v>
          </cell>
          <cell r="AL1962">
            <v>0</v>
          </cell>
          <cell r="AM1962">
            <v>0</v>
          </cell>
          <cell r="AO1962">
            <v>0</v>
          </cell>
          <cell r="AP1962">
            <v>0</v>
          </cell>
          <cell r="AR1962">
            <v>0</v>
          </cell>
          <cell r="AS1962">
            <v>0</v>
          </cell>
          <cell r="BF1962" t="str">
            <v>5500</v>
          </cell>
          <cell r="BG1962" t="str">
            <v>G012</v>
          </cell>
          <cell r="BH1962" t="str">
            <v>GSA</v>
          </cell>
        </row>
        <row r="1963">
          <cell r="K1963">
            <v>0</v>
          </cell>
          <cell r="L1963">
            <v>0</v>
          </cell>
          <cell r="N1963">
            <v>0</v>
          </cell>
          <cell r="O1963">
            <v>0</v>
          </cell>
          <cell r="Q1963">
            <v>0</v>
          </cell>
          <cell r="R1963">
            <v>0</v>
          </cell>
          <cell r="T1963">
            <v>0</v>
          </cell>
          <cell r="U1963">
            <v>0</v>
          </cell>
          <cell r="W1963">
            <v>0</v>
          </cell>
          <cell r="X1963">
            <v>0</v>
          </cell>
          <cell r="Z1963">
            <v>0</v>
          </cell>
          <cell r="AA1963">
            <v>0</v>
          </cell>
          <cell r="AC1963">
            <v>0</v>
          </cell>
          <cell r="AD1963">
            <v>0</v>
          </cell>
          <cell r="AF1963">
            <v>0</v>
          </cell>
          <cell r="AG1963">
            <v>0</v>
          </cell>
          <cell r="AI1963">
            <v>0</v>
          </cell>
          <cell r="AJ1963">
            <v>0</v>
          </cell>
          <cell r="AL1963">
            <v>0</v>
          </cell>
          <cell r="AM1963">
            <v>0</v>
          </cell>
          <cell r="AO1963">
            <v>0</v>
          </cell>
          <cell r="AP1963">
            <v>0</v>
          </cell>
          <cell r="AR1963">
            <v>0</v>
          </cell>
          <cell r="AS1963">
            <v>0</v>
          </cell>
          <cell r="BF1963" t="str">
            <v>5600</v>
          </cell>
          <cell r="BG1963" t="str">
            <v>H001</v>
          </cell>
          <cell r="BH1963" t="str">
            <v>GSA</v>
          </cell>
        </row>
        <row r="1964">
          <cell r="K1964">
            <v>0</v>
          </cell>
          <cell r="L1964">
            <v>0</v>
          </cell>
          <cell r="N1964">
            <v>0</v>
          </cell>
          <cell r="O1964">
            <v>0</v>
          </cell>
          <cell r="Q1964">
            <v>0</v>
          </cell>
          <cell r="R1964">
            <v>0</v>
          </cell>
          <cell r="T1964">
            <v>0</v>
          </cell>
          <cell r="U1964">
            <v>0</v>
          </cell>
          <cell r="W1964">
            <v>0</v>
          </cell>
          <cell r="X1964">
            <v>0</v>
          </cell>
          <cell r="Z1964">
            <v>0</v>
          </cell>
          <cell r="AA1964">
            <v>0</v>
          </cell>
          <cell r="AC1964">
            <v>0</v>
          </cell>
          <cell r="AD1964">
            <v>0</v>
          </cell>
          <cell r="AF1964">
            <v>0</v>
          </cell>
          <cell r="AG1964">
            <v>0</v>
          </cell>
          <cell r="AI1964">
            <v>0</v>
          </cell>
          <cell r="AJ1964">
            <v>0</v>
          </cell>
          <cell r="AL1964">
            <v>0</v>
          </cell>
          <cell r="AM1964">
            <v>0</v>
          </cell>
          <cell r="AO1964">
            <v>0</v>
          </cell>
          <cell r="AP1964">
            <v>0</v>
          </cell>
          <cell r="AR1964">
            <v>0</v>
          </cell>
          <cell r="AS1964">
            <v>0</v>
          </cell>
          <cell r="BF1964" t="str">
            <v>5600</v>
          </cell>
          <cell r="BG1964" t="str">
            <v>H002</v>
          </cell>
          <cell r="BH1964" t="str">
            <v>GSA</v>
          </cell>
        </row>
        <row r="1965">
          <cell r="K1965">
            <v>0</v>
          </cell>
          <cell r="L1965">
            <v>0</v>
          </cell>
          <cell r="N1965">
            <v>0</v>
          </cell>
          <cell r="O1965">
            <v>0</v>
          </cell>
          <cell r="Q1965">
            <v>0</v>
          </cell>
          <cell r="R1965">
            <v>0</v>
          </cell>
          <cell r="T1965">
            <v>0</v>
          </cell>
          <cell r="U1965">
            <v>0</v>
          </cell>
          <cell r="W1965">
            <v>0</v>
          </cell>
          <cell r="X1965">
            <v>0</v>
          </cell>
          <cell r="Z1965">
            <v>0</v>
          </cell>
          <cell r="AA1965">
            <v>0</v>
          </cell>
          <cell r="AC1965">
            <v>0</v>
          </cell>
          <cell r="AD1965">
            <v>0</v>
          </cell>
          <cell r="AF1965">
            <v>0</v>
          </cell>
          <cell r="AG1965">
            <v>0</v>
          </cell>
          <cell r="AI1965">
            <v>0</v>
          </cell>
          <cell r="AJ1965">
            <v>0</v>
          </cell>
          <cell r="AL1965">
            <v>0</v>
          </cell>
          <cell r="AM1965">
            <v>0</v>
          </cell>
          <cell r="AO1965">
            <v>0</v>
          </cell>
          <cell r="AP1965">
            <v>0</v>
          </cell>
          <cell r="AR1965">
            <v>0</v>
          </cell>
          <cell r="AS1965">
            <v>0</v>
          </cell>
          <cell r="BF1965" t="str">
            <v>5600</v>
          </cell>
          <cell r="BG1965" t="str">
            <v>H003</v>
          </cell>
          <cell r="BH1965" t="str">
            <v>GSA</v>
          </cell>
        </row>
        <row r="1966">
          <cell r="K1966">
            <v>0</v>
          </cell>
          <cell r="L1966">
            <v>0</v>
          </cell>
          <cell r="N1966">
            <v>0</v>
          </cell>
          <cell r="O1966">
            <v>0</v>
          </cell>
          <cell r="Q1966">
            <v>0</v>
          </cell>
          <cell r="R1966">
            <v>0</v>
          </cell>
          <cell r="T1966">
            <v>0</v>
          </cell>
          <cell r="U1966">
            <v>0</v>
          </cell>
          <cell r="W1966">
            <v>0</v>
          </cell>
          <cell r="X1966">
            <v>0</v>
          </cell>
          <cell r="Z1966">
            <v>0</v>
          </cell>
          <cell r="AA1966">
            <v>0</v>
          </cell>
          <cell r="AC1966">
            <v>0</v>
          </cell>
          <cell r="AD1966">
            <v>0</v>
          </cell>
          <cell r="AF1966">
            <v>0</v>
          </cell>
          <cell r="AG1966">
            <v>0</v>
          </cell>
          <cell r="AI1966">
            <v>0</v>
          </cell>
          <cell r="AJ1966">
            <v>0</v>
          </cell>
          <cell r="AL1966">
            <v>0</v>
          </cell>
          <cell r="AM1966">
            <v>0</v>
          </cell>
          <cell r="AO1966">
            <v>0</v>
          </cell>
          <cell r="AP1966">
            <v>0</v>
          </cell>
          <cell r="AR1966">
            <v>0</v>
          </cell>
          <cell r="AS1966">
            <v>0</v>
          </cell>
          <cell r="BF1966" t="str">
            <v>5600</v>
          </cell>
          <cell r="BG1966" t="str">
            <v>H004</v>
          </cell>
          <cell r="BH1966" t="str">
            <v>GSA</v>
          </cell>
        </row>
        <row r="1967">
          <cell r="K1967">
            <v>-218.15000000002328</v>
          </cell>
          <cell r="L1967">
            <v>0</v>
          </cell>
          <cell r="N1967">
            <v>-540.48999999999069</v>
          </cell>
          <cell r="O1967">
            <v>0</v>
          </cell>
          <cell r="Q1967">
            <v>-433.58000000007451</v>
          </cell>
          <cell r="R1967">
            <v>0</v>
          </cell>
          <cell r="T1967">
            <v>16373.919999999925</v>
          </cell>
          <cell r="U1967">
            <v>0</v>
          </cell>
          <cell r="W1967">
            <v>7151.3800000005867</v>
          </cell>
          <cell r="X1967">
            <v>0</v>
          </cell>
          <cell r="Z1967">
            <v>-3879.4600000004284</v>
          </cell>
          <cell r="AA1967">
            <v>0</v>
          </cell>
          <cell r="AC1967">
            <v>-17303.230000001146</v>
          </cell>
          <cell r="AD1967">
            <v>0</v>
          </cell>
          <cell r="AF1967">
            <v>1669.4799999999814</v>
          </cell>
          <cell r="AG1967">
            <v>0</v>
          </cell>
          <cell r="AI1967">
            <v>-16172.950000000186</v>
          </cell>
          <cell r="AJ1967">
            <v>0</v>
          </cell>
          <cell r="AL1967">
            <v>-7783.3400000000838</v>
          </cell>
          <cell r="AM1967">
            <v>0</v>
          </cell>
          <cell r="AO1967">
            <v>19583.990000000224</v>
          </cell>
          <cell r="AP1967">
            <v>0</v>
          </cell>
          <cell r="AR1967">
            <v>1712.8100000000559</v>
          </cell>
          <cell r="AS1967">
            <v>0</v>
          </cell>
          <cell r="BF1967" t="str">
            <v>5600</v>
          </cell>
          <cell r="BG1967" t="str">
            <v>H005</v>
          </cell>
          <cell r="BH1967" t="str">
            <v>GSA</v>
          </cell>
        </row>
        <row r="1968">
          <cell r="K1968">
            <v>-595073.97</v>
          </cell>
          <cell r="L1968">
            <v>0</v>
          </cell>
          <cell r="N1968">
            <v>-1734465.86</v>
          </cell>
          <cell r="O1968">
            <v>0</v>
          </cell>
          <cell r="Q1968">
            <v>-1170460.1699999995</v>
          </cell>
          <cell r="R1968">
            <v>0</v>
          </cell>
          <cell r="T1968">
            <v>-1164364.9300000002</v>
          </cell>
          <cell r="U1968">
            <v>0</v>
          </cell>
          <cell r="W1968">
            <v>-875310.26999999955</v>
          </cell>
          <cell r="X1968">
            <v>0</v>
          </cell>
          <cell r="Z1968">
            <v>-1214324.8000000007</v>
          </cell>
          <cell r="AA1968">
            <v>0</v>
          </cell>
          <cell r="AC1968">
            <v>-2829692.1100000013</v>
          </cell>
          <cell r="AD1968">
            <v>0</v>
          </cell>
          <cell r="AF1968">
            <v>-3839513.9800000023</v>
          </cell>
          <cell r="AG1968">
            <v>0</v>
          </cell>
          <cell r="AI1968">
            <v>439950.35000000149</v>
          </cell>
          <cell r="AJ1968">
            <v>0</v>
          </cell>
          <cell r="AL1968">
            <v>1959716.0199999996</v>
          </cell>
          <cell r="AM1968">
            <v>0</v>
          </cell>
          <cell r="AO1968">
            <v>-7474.4199999999255</v>
          </cell>
          <cell r="AP1968">
            <v>0</v>
          </cell>
          <cell r="AR1968">
            <v>542014.1400000006</v>
          </cell>
          <cell r="AS1968">
            <v>0</v>
          </cell>
          <cell r="BF1968" t="str">
            <v>5600</v>
          </cell>
          <cell r="BG1968" t="str">
            <v>H006</v>
          </cell>
          <cell r="BH1968" t="str">
            <v>GSA</v>
          </cell>
        </row>
        <row r="1969">
          <cell r="K1969">
            <v>0</v>
          </cell>
          <cell r="L1969">
            <v>0</v>
          </cell>
          <cell r="N1969">
            <v>0</v>
          </cell>
          <cell r="O1969">
            <v>0</v>
          </cell>
          <cell r="Q1969">
            <v>0</v>
          </cell>
          <cell r="R1969">
            <v>0</v>
          </cell>
          <cell r="T1969">
            <v>0</v>
          </cell>
          <cell r="U1969">
            <v>0</v>
          </cell>
          <cell r="W1969">
            <v>0</v>
          </cell>
          <cell r="X1969">
            <v>0</v>
          </cell>
          <cell r="Z1969">
            <v>0</v>
          </cell>
          <cell r="AA1969">
            <v>0</v>
          </cell>
          <cell r="AC1969">
            <v>0</v>
          </cell>
          <cell r="AD1969">
            <v>0</v>
          </cell>
          <cell r="AF1969">
            <v>0</v>
          </cell>
          <cell r="AG1969">
            <v>0</v>
          </cell>
          <cell r="AI1969">
            <v>0</v>
          </cell>
          <cell r="AJ1969">
            <v>0</v>
          </cell>
          <cell r="AL1969">
            <v>0</v>
          </cell>
          <cell r="AM1969">
            <v>0</v>
          </cell>
          <cell r="AO1969">
            <v>0</v>
          </cell>
          <cell r="AP1969">
            <v>0</v>
          </cell>
          <cell r="AR1969">
            <v>0</v>
          </cell>
          <cell r="AS1969">
            <v>0</v>
          </cell>
          <cell r="BF1969" t="str">
            <v>5600</v>
          </cell>
          <cell r="BG1969" t="str">
            <v>H007</v>
          </cell>
          <cell r="BH1969" t="str">
            <v>GSA</v>
          </cell>
        </row>
        <row r="1970">
          <cell r="K1970">
            <v>0</v>
          </cell>
          <cell r="L1970">
            <v>0</v>
          </cell>
          <cell r="N1970">
            <v>0</v>
          </cell>
          <cell r="O1970">
            <v>0</v>
          </cell>
          <cell r="Q1970">
            <v>0</v>
          </cell>
          <cell r="R1970">
            <v>0</v>
          </cell>
          <cell r="T1970">
            <v>0</v>
          </cell>
          <cell r="U1970">
            <v>0</v>
          </cell>
          <cell r="W1970">
            <v>0</v>
          </cell>
          <cell r="X1970">
            <v>0</v>
          </cell>
          <cell r="Z1970">
            <v>0</v>
          </cell>
          <cell r="AA1970">
            <v>0</v>
          </cell>
          <cell r="AC1970">
            <v>0</v>
          </cell>
          <cell r="AD1970">
            <v>0</v>
          </cell>
          <cell r="AF1970">
            <v>0</v>
          </cell>
          <cell r="AG1970">
            <v>0</v>
          </cell>
          <cell r="AI1970">
            <v>0</v>
          </cell>
          <cell r="AJ1970">
            <v>0</v>
          </cell>
          <cell r="AL1970">
            <v>0</v>
          </cell>
          <cell r="AM1970">
            <v>0</v>
          </cell>
          <cell r="AO1970">
            <v>0</v>
          </cell>
          <cell r="AP1970">
            <v>0</v>
          </cell>
          <cell r="AR1970">
            <v>0</v>
          </cell>
          <cell r="AS1970">
            <v>0</v>
          </cell>
          <cell r="BF1970" t="str">
            <v>5600</v>
          </cell>
          <cell r="BG1970" t="str">
            <v>H008</v>
          </cell>
          <cell r="BH1970" t="str">
            <v>GSA</v>
          </cell>
        </row>
        <row r="1971">
          <cell r="K1971">
            <v>0</v>
          </cell>
          <cell r="L1971">
            <v>0</v>
          </cell>
          <cell r="N1971">
            <v>0</v>
          </cell>
          <cell r="O1971">
            <v>0</v>
          </cell>
          <cell r="Q1971">
            <v>0</v>
          </cell>
          <cell r="R1971">
            <v>0</v>
          </cell>
          <cell r="T1971">
            <v>1176.6499999999996</v>
          </cell>
          <cell r="U1971">
            <v>0</v>
          </cell>
          <cell r="W1971">
            <v>-1176.6499999999996</v>
          </cell>
          <cell r="X1971">
            <v>0</v>
          </cell>
          <cell r="Z1971">
            <v>0</v>
          </cell>
          <cell r="AA1971">
            <v>0</v>
          </cell>
          <cell r="AC1971">
            <v>0</v>
          </cell>
          <cell r="AD1971">
            <v>0</v>
          </cell>
          <cell r="AF1971">
            <v>0</v>
          </cell>
          <cell r="AG1971">
            <v>0</v>
          </cell>
          <cell r="AI1971">
            <v>0</v>
          </cell>
          <cell r="AJ1971">
            <v>0</v>
          </cell>
          <cell r="AL1971">
            <v>0</v>
          </cell>
          <cell r="AM1971">
            <v>0</v>
          </cell>
          <cell r="AO1971">
            <v>0</v>
          </cell>
          <cell r="AP1971">
            <v>0</v>
          </cell>
          <cell r="AR1971">
            <v>0</v>
          </cell>
          <cell r="AS1971">
            <v>0</v>
          </cell>
          <cell r="BF1971" t="str">
            <v>5700</v>
          </cell>
          <cell r="BG1971" t="str">
            <v>I001</v>
          </cell>
          <cell r="BH1971" t="str">
            <v>GSA</v>
          </cell>
        </row>
        <row r="1972">
          <cell r="K1972">
            <v>0</v>
          </cell>
          <cell r="L1972">
            <v>0</v>
          </cell>
          <cell r="N1972">
            <v>0</v>
          </cell>
          <cell r="O1972">
            <v>0</v>
          </cell>
          <cell r="Q1972">
            <v>0</v>
          </cell>
          <cell r="R1972">
            <v>0</v>
          </cell>
          <cell r="T1972">
            <v>0</v>
          </cell>
          <cell r="U1972">
            <v>0</v>
          </cell>
          <cell r="W1972">
            <v>0</v>
          </cell>
          <cell r="X1972">
            <v>0</v>
          </cell>
          <cell r="Z1972">
            <v>0</v>
          </cell>
          <cell r="AA1972">
            <v>0</v>
          </cell>
          <cell r="AC1972">
            <v>0</v>
          </cell>
          <cell r="AD1972">
            <v>0</v>
          </cell>
          <cell r="AF1972">
            <v>0</v>
          </cell>
          <cell r="AG1972">
            <v>0</v>
          </cell>
          <cell r="AI1972">
            <v>0</v>
          </cell>
          <cell r="AJ1972">
            <v>0</v>
          </cell>
          <cell r="AL1972">
            <v>0</v>
          </cell>
          <cell r="AM1972">
            <v>0</v>
          </cell>
          <cell r="AO1972">
            <v>0</v>
          </cell>
          <cell r="AP1972">
            <v>0</v>
          </cell>
          <cell r="AR1972">
            <v>0</v>
          </cell>
          <cell r="AS1972">
            <v>0</v>
          </cell>
          <cell r="BF1972" t="str">
            <v>5700</v>
          </cell>
          <cell r="BG1972" t="str">
            <v>I002</v>
          </cell>
          <cell r="BH1972" t="str">
            <v>GSA</v>
          </cell>
        </row>
        <row r="1973">
          <cell r="K1973">
            <v>0</v>
          </cell>
          <cell r="L1973">
            <v>0</v>
          </cell>
          <cell r="N1973">
            <v>0</v>
          </cell>
          <cell r="O1973">
            <v>0</v>
          </cell>
          <cell r="Q1973">
            <v>0</v>
          </cell>
          <cell r="R1973">
            <v>0</v>
          </cell>
          <cell r="T1973">
            <v>525</v>
          </cell>
          <cell r="U1973">
            <v>0</v>
          </cell>
          <cell r="W1973">
            <v>-525</v>
          </cell>
          <cell r="X1973">
            <v>0</v>
          </cell>
          <cell r="Z1973">
            <v>0</v>
          </cell>
          <cell r="AA1973">
            <v>0</v>
          </cell>
          <cell r="AC1973">
            <v>0</v>
          </cell>
          <cell r="AD1973">
            <v>0</v>
          </cell>
          <cell r="AF1973">
            <v>0</v>
          </cell>
          <cell r="AG1973">
            <v>0</v>
          </cell>
          <cell r="AI1973">
            <v>0</v>
          </cell>
          <cell r="AJ1973">
            <v>0</v>
          </cell>
          <cell r="AL1973">
            <v>0</v>
          </cell>
          <cell r="AM1973">
            <v>0</v>
          </cell>
          <cell r="AO1973">
            <v>0</v>
          </cell>
          <cell r="AP1973">
            <v>0</v>
          </cell>
          <cell r="AR1973">
            <v>0</v>
          </cell>
          <cell r="AS1973">
            <v>0</v>
          </cell>
          <cell r="BF1973" t="str">
            <v>5700</v>
          </cell>
          <cell r="BG1973" t="str">
            <v>I003</v>
          </cell>
          <cell r="BH1973" t="str">
            <v>GSA</v>
          </cell>
        </row>
        <row r="1974">
          <cell r="K1974">
            <v>0</v>
          </cell>
          <cell r="L1974">
            <v>0</v>
          </cell>
          <cell r="N1974">
            <v>0</v>
          </cell>
          <cell r="O1974">
            <v>0</v>
          </cell>
          <cell r="Q1974">
            <v>0</v>
          </cell>
          <cell r="R1974">
            <v>0</v>
          </cell>
          <cell r="T1974">
            <v>0</v>
          </cell>
          <cell r="U1974">
            <v>0</v>
          </cell>
          <cell r="W1974">
            <v>0</v>
          </cell>
          <cell r="X1974">
            <v>0</v>
          </cell>
          <cell r="Z1974">
            <v>0</v>
          </cell>
          <cell r="AA1974">
            <v>0</v>
          </cell>
          <cell r="AC1974">
            <v>0</v>
          </cell>
          <cell r="AD1974">
            <v>0</v>
          </cell>
          <cell r="AF1974">
            <v>0</v>
          </cell>
          <cell r="AG1974">
            <v>0</v>
          </cell>
          <cell r="AI1974">
            <v>0</v>
          </cell>
          <cell r="AJ1974">
            <v>0</v>
          </cell>
          <cell r="AL1974">
            <v>0</v>
          </cell>
          <cell r="AM1974">
            <v>0</v>
          </cell>
          <cell r="AO1974">
            <v>0</v>
          </cell>
          <cell r="AP1974">
            <v>0</v>
          </cell>
          <cell r="AR1974">
            <v>0</v>
          </cell>
          <cell r="AS1974">
            <v>0</v>
          </cell>
          <cell r="BF1974" t="str">
            <v>5700</v>
          </cell>
          <cell r="BG1974" t="str">
            <v>I004</v>
          </cell>
          <cell r="BH1974" t="str">
            <v>GSA</v>
          </cell>
        </row>
        <row r="1975">
          <cell r="K1975">
            <v>0</v>
          </cell>
          <cell r="L1975">
            <v>0</v>
          </cell>
          <cell r="N1975">
            <v>0</v>
          </cell>
          <cell r="O1975">
            <v>0</v>
          </cell>
          <cell r="Q1975">
            <v>0</v>
          </cell>
          <cell r="R1975">
            <v>0</v>
          </cell>
          <cell r="T1975">
            <v>0</v>
          </cell>
          <cell r="U1975">
            <v>0</v>
          </cell>
          <cell r="W1975">
            <v>0</v>
          </cell>
          <cell r="X1975">
            <v>0</v>
          </cell>
          <cell r="Z1975">
            <v>0</v>
          </cell>
          <cell r="AA1975">
            <v>0</v>
          </cell>
          <cell r="AC1975">
            <v>0</v>
          </cell>
          <cell r="AD1975">
            <v>0</v>
          </cell>
          <cell r="AF1975">
            <v>0</v>
          </cell>
          <cell r="AG1975">
            <v>0</v>
          </cell>
          <cell r="AI1975">
            <v>0</v>
          </cell>
          <cell r="AJ1975">
            <v>0</v>
          </cell>
          <cell r="AL1975">
            <v>0</v>
          </cell>
          <cell r="AM1975">
            <v>0</v>
          </cell>
          <cell r="AO1975">
            <v>0</v>
          </cell>
          <cell r="AP1975">
            <v>0</v>
          </cell>
          <cell r="AR1975">
            <v>0</v>
          </cell>
          <cell r="AS1975">
            <v>0</v>
          </cell>
          <cell r="BF1975" t="str">
            <v>5700</v>
          </cell>
          <cell r="BG1975" t="str">
            <v>I005</v>
          </cell>
          <cell r="BH1975" t="str">
            <v>GSA</v>
          </cell>
        </row>
        <row r="1976">
          <cell r="K1976">
            <v>0</v>
          </cell>
          <cell r="L1976">
            <v>0</v>
          </cell>
          <cell r="N1976">
            <v>0</v>
          </cell>
          <cell r="O1976">
            <v>0</v>
          </cell>
          <cell r="Q1976">
            <v>-10000</v>
          </cell>
          <cell r="R1976">
            <v>0</v>
          </cell>
          <cell r="T1976">
            <v>0</v>
          </cell>
          <cell r="U1976">
            <v>0</v>
          </cell>
          <cell r="W1976">
            <v>0</v>
          </cell>
          <cell r="X1976">
            <v>0</v>
          </cell>
          <cell r="Z1976">
            <v>0</v>
          </cell>
          <cell r="AA1976">
            <v>0</v>
          </cell>
          <cell r="AC1976">
            <v>0</v>
          </cell>
          <cell r="AD1976">
            <v>0</v>
          </cell>
          <cell r="AF1976">
            <v>0</v>
          </cell>
          <cell r="AG1976">
            <v>0</v>
          </cell>
          <cell r="AI1976">
            <v>0</v>
          </cell>
          <cell r="AJ1976">
            <v>0</v>
          </cell>
          <cell r="AL1976">
            <v>0</v>
          </cell>
          <cell r="AM1976">
            <v>0</v>
          </cell>
          <cell r="AO1976">
            <v>0</v>
          </cell>
          <cell r="AP1976">
            <v>0</v>
          </cell>
          <cell r="AR1976">
            <v>0</v>
          </cell>
          <cell r="AS1976">
            <v>0</v>
          </cell>
          <cell r="BF1976" t="str">
            <v>5700</v>
          </cell>
          <cell r="BG1976" t="str">
            <v>I006</v>
          </cell>
          <cell r="BH1976" t="str">
            <v>GSA</v>
          </cell>
        </row>
        <row r="1977">
          <cell r="K1977">
            <v>0</v>
          </cell>
          <cell r="L1977">
            <v>0</v>
          </cell>
          <cell r="N1977">
            <v>0</v>
          </cell>
          <cell r="O1977">
            <v>0</v>
          </cell>
          <cell r="Q1977">
            <v>0</v>
          </cell>
          <cell r="R1977">
            <v>0</v>
          </cell>
          <cell r="T1977">
            <v>0</v>
          </cell>
          <cell r="U1977">
            <v>0</v>
          </cell>
          <cell r="W1977">
            <v>0</v>
          </cell>
          <cell r="X1977">
            <v>0</v>
          </cell>
          <cell r="Z1977">
            <v>0</v>
          </cell>
          <cell r="AA1977">
            <v>0</v>
          </cell>
          <cell r="AC1977">
            <v>0</v>
          </cell>
          <cell r="AD1977">
            <v>0</v>
          </cell>
          <cell r="AF1977">
            <v>0</v>
          </cell>
          <cell r="AG1977">
            <v>0</v>
          </cell>
          <cell r="AI1977">
            <v>0</v>
          </cell>
          <cell r="AJ1977">
            <v>0</v>
          </cell>
          <cell r="AL1977">
            <v>0</v>
          </cell>
          <cell r="AM1977">
            <v>0</v>
          </cell>
          <cell r="AO1977">
            <v>0</v>
          </cell>
          <cell r="AP1977">
            <v>0</v>
          </cell>
          <cell r="AR1977">
            <v>0</v>
          </cell>
          <cell r="AS1977">
            <v>0</v>
          </cell>
          <cell r="BF1977" t="str">
            <v>5700</v>
          </cell>
          <cell r="BG1977" t="str">
            <v>I007</v>
          </cell>
          <cell r="BH1977" t="str">
            <v>GSA</v>
          </cell>
        </row>
        <row r="1978">
          <cell r="K1978">
            <v>0</v>
          </cell>
          <cell r="L1978">
            <v>0</v>
          </cell>
          <cell r="N1978">
            <v>0</v>
          </cell>
          <cell r="O1978">
            <v>0</v>
          </cell>
          <cell r="Q1978">
            <v>0</v>
          </cell>
          <cell r="R1978">
            <v>0</v>
          </cell>
          <cell r="T1978">
            <v>0</v>
          </cell>
          <cell r="U1978">
            <v>0</v>
          </cell>
          <cell r="W1978">
            <v>0</v>
          </cell>
          <cell r="X1978">
            <v>0</v>
          </cell>
          <cell r="Z1978">
            <v>0</v>
          </cell>
          <cell r="AA1978">
            <v>0</v>
          </cell>
          <cell r="AC1978">
            <v>0</v>
          </cell>
          <cell r="AD1978">
            <v>0</v>
          </cell>
          <cell r="AF1978">
            <v>0</v>
          </cell>
          <cell r="AG1978">
            <v>0</v>
          </cell>
          <cell r="AI1978">
            <v>0</v>
          </cell>
          <cell r="AJ1978">
            <v>0</v>
          </cell>
          <cell r="AL1978">
            <v>0</v>
          </cell>
          <cell r="AM1978">
            <v>0</v>
          </cell>
          <cell r="AO1978">
            <v>0</v>
          </cell>
          <cell r="AP1978">
            <v>0</v>
          </cell>
          <cell r="AR1978">
            <v>0</v>
          </cell>
          <cell r="AS1978">
            <v>0</v>
          </cell>
          <cell r="BF1978" t="str">
            <v>5700</v>
          </cell>
          <cell r="BG1978" t="str">
            <v>I008</v>
          </cell>
          <cell r="BH1978" t="str">
            <v>GSA</v>
          </cell>
        </row>
        <row r="1979">
          <cell r="K1979">
            <v>0</v>
          </cell>
          <cell r="L1979">
            <v>0</v>
          </cell>
          <cell r="N1979">
            <v>0</v>
          </cell>
          <cell r="O1979">
            <v>0</v>
          </cell>
          <cell r="Q1979">
            <v>0</v>
          </cell>
          <cell r="R1979">
            <v>0</v>
          </cell>
          <cell r="T1979">
            <v>0</v>
          </cell>
          <cell r="U1979">
            <v>0</v>
          </cell>
          <cell r="W1979">
            <v>0</v>
          </cell>
          <cell r="X1979">
            <v>0</v>
          </cell>
          <cell r="Z1979">
            <v>0</v>
          </cell>
          <cell r="AA1979">
            <v>0</v>
          </cell>
          <cell r="AC1979">
            <v>0</v>
          </cell>
          <cell r="AD1979">
            <v>0</v>
          </cell>
          <cell r="AF1979">
            <v>0</v>
          </cell>
          <cell r="AG1979">
            <v>0</v>
          </cell>
          <cell r="AI1979">
            <v>0</v>
          </cell>
          <cell r="AJ1979">
            <v>0</v>
          </cell>
          <cell r="AL1979">
            <v>0</v>
          </cell>
          <cell r="AM1979">
            <v>0</v>
          </cell>
          <cell r="AO1979">
            <v>0</v>
          </cell>
          <cell r="AP1979">
            <v>0</v>
          </cell>
          <cell r="AR1979">
            <v>0</v>
          </cell>
          <cell r="AS1979">
            <v>0</v>
          </cell>
          <cell r="BF1979" t="str">
            <v>5700</v>
          </cell>
          <cell r="BG1979" t="str">
            <v>I009</v>
          </cell>
          <cell r="BH1979" t="str">
            <v>GSA</v>
          </cell>
        </row>
        <row r="1980">
          <cell r="K1980">
            <v>0</v>
          </cell>
          <cell r="L1980">
            <v>0</v>
          </cell>
          <cell r="N1980">
            <v>0</v>
          </cell>
          <cell r="O1980">
            <v>0</v>
          </cell>
          <cell r="Q1980">
            <v>0</v>
          </cell>
          <cell r="R1980">
            <v>0</v>
          </cell>
          <cell r="T1980">
            <v>0</v>
          </cell>
          <cell r="U1980">
            <v>0</v>
          </cell>
          <cell r="W1980">
            <v>0</v>
          </cell>
          <cell r="X1980">
            <v>0</v>
          </cell>
          <cell r="Z1980">
            <v>0</v>
          </cell>
          <cell r="AA1980">
            <v>0</v>
          </cell>
          <cell r="AC1980">
            <v>0</v>
          </cell>
          <cell r="AD1980">
            <v>0</v>
          </cell>
          <cell r="AF1980">
            <v>0</v>
          </cell>
          <cell r="AG1980">
            <v>0</v>
          </cell>
          <cell r="AI1980">
            <v>0</v>
          </cell>
          <cell r="AJ1980">
            <v>0</v>
          </cell>
          <cell r="AL1980">
            <v>0</v>
          </cell>
          <cell r="AM1980">
            <v>0</v>
          </cell>
          <cell r="AO1980">
            <v>0</v>
          </cell>
          <cell r="AP1980">
            <v>0</v>
          </cell>
          <cell r="AR1980">
            <v>0</v>
          </cell>
          <cell r="AS1980">
            <v>0</v>
          </cell>
          <cell r="BF1980" t="str">
            <v>5700</v>
          </cell>
          <cell r="BG1980" t="str">
            <v>I010</v>
          </cell>
          <cell r="BH1980" t="str">
            <v>GSA</v>
          </cell>
        </row>
        <row r="1981">
          <cell r="K1981">
            <v>339680</v>
          </cell>
          <cell r="L1981">
            <v>0</v>
          </cell>
          <cell r="N1981">
            <v>8290.5799999998417</v>
          </cell>
          <cell r="O1981">
            <v>0</v>
          </cell>
          <cell r="Q1981">
            <v>35200</v>
          </cell>
          <cell r="R1981">
            <v>0</v>
          </cell>
          <cell r="T1981">
            <v>30634.989999999991</v>
          </cell>
          <cell r="U1981">
            <v>0</v>
          </cell>
          <cell r="W1981">
            <v>-47100</v>
          </cell>
          <cell r="X1981">
            <v>0</v>
          </cell>
          <cell r="Z1981">
            <v>1014000</v>
          </cell>
          <cell r="AA1981">
            <v>0</v>
          </cell>
          <cell r="AC1981">
            <v>-434364.94000000041</v>
          </cell>
          <cell r="AD1981">
            <v>0</v>
          </cell>
          <cell r="AF1981">
            <v>87211.799999999814</v>
          </cell>
          <cell r="AG1981">
            <v>0</v>
          </cell>
          <cell r="AI1981">
            <v>-2412439.5599999996</v>
          </cell>
          <cell r="AJ1981">
            <v>0</v>
          </cell>
          <cell r="AL1981">
            <v>343556.58000000007</v>
          </cell>
          <cell r="AM1981">
            <v>0</v>
          </cell>
          <cell r="AO1981">
            <v>720442.46000000089</v>
          </cell>
          <cell r="AP1981">
            <v>0</v>
          </cell>
          <cell r="AR1981">
            <v>4232217.8800000027</v>
          </cell>
          <cell r="AS1981">
            <v>0</v>
          </cell>
          <cell r="BF1981" t="str">
            <v>5700</v>
          </cell>
          <cell r="BG1981" t="str">
            <v>I011</v>
          </cell>
          <cell r="BH1981" t="str">
            <v>GSA</v>
          </cell>
        </row>
        <row r="1982">
          <cell r="K1982">
            <v>0</v>
          </cell>
          <cell r="L1982">
            <v>0</v>
          </cell>
          <cell r="N1982">
            <v>0</v>
          </cell>
          <cell r="O1982">
            <v>0</v>
          </cell>
          <cell r="Q1982">
            <v>0</v>
          </cell>
          <cell r="R1982">
            <v>0</v>
          </cell>
          <cell r="T1982">
            <v>0</v>
          </cell>
          <cell r="U1982">
            <v>0</v>
          </cell>
          <cell r="W1982">
            <v>0</v>
          </cell>
          <cell r="X1982">
            <v>0</v>
          </cell>
          <cell r="Z1982">
            <v>0</v>
          </cell>
          <cell r="AA1982">
            <v>0</v>
          </cell>
          <cell r="AC1982">
            <v>0</v>
          </cell>
          <cell r="AD1982">
            <v>0</v>
          </cell>
          <cell r="AF1982">
            <v>0</v>
          </cell>
          <cell r="AG1982">
            <v>0</v>
          </cell>
          <cell r="AI1982">
            <v>0</v>
          </cell>
          <cell r="AJ1982">
            <v>0</v>
          </cell>
          <cell r="AL1982">
            <v>0</v>
          </cell>
          <cell r="AM1982">
            <v>0</v>
          </cell>
          <cell r="AO1982">
            <v>0</v>
          </cell>
          <cell r="AP1982">
            <v>0</v>
          </cell>
          <cell r="AR1982">
            <v>0</v>
          </cell>
          <cell r="AS1982">
            <v>0</v>
          </cell>
          <cell r="BF1982" t="str">
            <v>5700</v>
          </cell>
          <cell r="BG1982" t="str">
            <v>I012</v>
          </cell>
          <cell r="BH1982" t="str">
            <v>GSA</v>
          </cell>
        </row>
        <row r="1983">
          <cell r="K1983">
            <v>0</v>
          </cell>
          <cell r="L1983">
            <v>0</v>
          </cell>
          <cell r="N1983">
            <v>0</v>
          </cell>
          <cell r="O1983">
            <v>0</v>
          </cell>
          <cell r="Q1983">
            <v>0</v>
          </cell>
          <cell r="R1983">
            <v>0</v>
          </cell>
          <cell r="T1983">
            <v>0</v>
          </cell>
          <cell r="U1983">
            <v>0</v>
          </cell>
          <cell r="W1983">
            <v>0</v>
          </cell>
          <cell r="X1983">
            <v>0</v>
          </cell>
          <cell r="Z1983">
            <v>0</v>
          </cell>
          <cell r="AA1983">
            <v>0</v>
          </cell>
          <cell r="AC1983">
            <v>0</v>
          </cell>
          <cell r="AD1983">
            <v>0</v>
          </cell>
          <cell r="AF1983">
            <v>0</v>
          </cell>
          <cell r="AG1983">
            <v>0</v>
          </cell>
          <cell r="AI1983">
            <v>0</v>
          </cell>
          <cell r="AJ1983">
            <v>0</v>
          </cell>
          <cell r="AL1983">
            <v>0</v>
          </cell>
          <cell r="AM1983">
            <v>0</v>
          </cell>
          <cell r="AO1983">
            <v>0</v>
          </cell>
          <cell r="AP1983">
            <v>0</v>
          </cell>
          <cell r="AR1983">
            <v>0</v>
          </cell>
          <cell r="AS1983">
            <v>0</v>
          </cell>
          <cell r="BF1983" t="str">
            <v>5800</v>
          </cell>
          <cell r="BG1983" t="str">
            <v>J001</v>
          </cell>
          <cell r="BH1983" t="str">
            <v>GSA</v>
          </cell>
        </row>
        <row r="1984">
          <cell r="K1984">
            <v>0</v>
          </cell>
          <cell r="L1984">
            <v>0</v>
          </cell>
          <cell r="N1984">
            <v>0</v>
          </cell>
          <cell r="O1984">
            <v>0</v>
          </cell>
          <cell r="Q1984">
            <v>0</v>
          </cell>
          <cell r="R1984">
            <v>0</v>
          </cell>
          <cell r="T1984">
            <v>0</v>
          </cell>
          <cell r="U1984">
            <v>0</v>
          </cell>
          <cell r="W1984">
            <v>0</v>
          </cell>
          <cell r="X1984">
            <v>0</v>
          </cell>
          <cell r="Z1984">
            <v>0</v>
          </cell>
          <cell r="AA1984">
            <v>0</v>
          </cell>
          <cell r="AC1984">
            <v>0</v>
          </cell>
          <cell r="AD1984">
            <v>0</v>
          </cell>
          <cell r="AF1984">
            <v>0</v>
          </cell>
          <cell r="AG1984">
            <v>0</v>
          </cell>
          <cell r="AI1984">
            <v>0</v>
          </cell>
          <cell r="AJ1984">
            <v>0</v>
          </cell>
          <cell r="AL1984">
            <v>0</v>
          </cell>
          <cell r="AM1984">
            <v>0</v>
          </cell>
          <cell r="AO1984">
            <v>0</v>
          </cell>
          <cell r="AP1984">
            <v>0</v>
          </cell>
          <cell r="AR1984">
            <v>0</v>
          </cell>
          <cell r="AS1984">
            <v>0</v>
          </cell>
          <cell r="BF1984" t="str">
            <v>5800</v>
          </cell>
          <cell r="BG1984" t="str">
            <v>J002</v>
          </cell>
          <cell r="BH1984" t="str">
            <v>GSA</v>
          </cell>
        </row>
        <row r="1985">
          <cell r="K1985">
            <v>0</v>
          </cell>
          <cell r="L1985">
            <v>0</v>
          </cell>
          <cell r="N1985">
            <v>0</v>
          </cell>
          <cell r="O1985">
            <v>0</v>
          </cell>
          <cell r="Q1985">
            <v>0</v>
          </cell>
          <cell r="R1985">
            <v>0</v>
          </cell>
          <cell r="T1985">
            <v>0</v>
          </cell>
          <cell r="U1985">
            <v>0</v>
          </cell>
          <cell r="W1985">
            <v>0</v>
          </cell>
          <cell r="X1985">
            <v>0</v>
          </cell>
          <cell r="Z1985">
            <v>0</v>
          </cell>
          <cell r="AA1985">
            <v>0</v>
          </cell>
          <cell r="AC1985">
            <v>0</v>
          </cell>
          <cell r="AD1985">
            <v>0</v>
          </cell>
          <cell r="AF1985">
            <v>0</v>
          </cell>
          <cell r="AG1985">
            <v>0</v>
          </cell>
          <cell r="AI1985">
            <v>0</v>
          </cell>
          <cell r="AJ1985">
            <v>0</v>
          </cell>
          <cell r="AL1985">
            <v>0</v>
          </cell>
          <cell r="AM1985">
            <v>0</v>
          </cell>
          <cell r="AO1985">
            <v>0</v>
          </cell>
          <cell r="AP1985">
            <v>0</v>
          </cell>
          <cell r="AR1985">
            <v>0</v>
          </cell>
          <cell r="AS1985">
            <v>0</v>
          </cell>
          <cell r="BF1985" t="str">
            <v>5800</v>
          </cell>
          <cell r="BG1985" t="str">
            <v>J003</v>
          </cell>
          <cell r="BH1985" t="str">
            <v>GSA</v>
          </cell>
        </row>
        <row r="1986">
          <cell r="K1986">
            <v>0</v>
          </cell>
          <cell r="L1986">
            <v>0</v>
          </cell>
          <cell r="N1986">
            <v>0</v>
          </cell>
          <cell r="O1986">
            <v>0</v>
          </cell>
          <cell r="Q1986">
            <v>0</v>
          </cell>
          <cell r="R1986">
            <v>0</v>
          </cell>
          <cell r="T1986">
            <v>0</v>
          </cell>
          <cell r="U1986">
            <v>0</v>
          </cell>
          <cell r="W1986">
            <v>0</v>
          </cell>
          <cell r="X1986">
            <v>0</v>
          </cell>
          <cell r="Z1986">
            <v>0</v>
          </cell>
          <cell r="AA1986">
            <v>0</v>
          </cell>
          <cell r="AC1986">
            <v>0</v>
          </cell>
          <cell r="AD1986">
            <v>0</v>
          </cell>
          <cell r="AF1986">
            <v>0</v>
          </cell>
          <cell r="AG1986">
            <v>0</v>
          </cell>
          <cell r="AI1986">
            <v>0</v>
          </cell>
          <cell r="AJ1986">
            <v>0</v>
          </cell>
          <cell r="AL1986">
            <v>0</v>
          </cell>
          <cell r="AM1986">
            <v>0</v>
          </cell>
          <cell r="AO1986">
            <v>0</v>
          </cell>
          <cell r="AP1986">
            <v>0</v>
          </cell>
          <cell r="AR1986">
            <v>0</v>
          </cell>
          <cell r="AS1986">
            <v>0</v>
          </cell>
          <cell r="BF1986" t="str">
            <v>5800</v>
          </cell>
          <cell r="BG1986" t="str">
            <v>J004</v>
          </cell>
          <cell r="BH1986" t="str">
            <v>GSA</v>
          </cell>
        </row>
        <row r="1987">
          <cell r="K1987">
            <v>0</v>
          </cell>
          <cell r="L1987">
            <v>0</v>
          </cell>
          <cell r="N1987">
            <v>0</v>
          </cell>
          <cell r="O1987">
            <v>0</v>
          </cell>
          <cell r="Q1987">
            <v>0</v>
          </cell>
          <cell r="R1987">
            <v>0</v>
          </cell>
          <cell r="T1987">
            <v>0</v>
          </cell>
          <cell r="U1987">
            <v>0</v>
          </cell>
          <cell r="W1987">
            <v>0</v>
          </cell>
          <cell r="X1987">
            <v>0</v>
          </cell>
          <cell r="Z1987">
            <v>0</v>
          </cell>
          <cell r="AA1987">
            <v>0</v>
          </cell>
          <cell r="AC1987">
            <v>0</v>
          </cell>
          <cell r="AD1987">
            <v>0</v>
          </cell>
          <cell r="AF1987">
            <v>0</v>
          </cell>
          <cell r="AG1987">
            <v>0</v>
          </cell>
          <cell r="AI1987">
            <v>0</v>
          </cell>
          <cell r="AJ1987">
            <v>0</v>
          </cell>
          <cell r="AL1987">
            <v>0</v>
          </cell>
          <cell r="AM1987">
            <v>0</v>
          </cell>
          <cell r="AO1987">
            <v>0</v>
          </cell>
          <cell r="AP1987">
            <v>0</v>
          </cell>
          <cell r="AR1987">
            <v>0</v>
          </cell>
          <cell r="AS1987">
            <v>0</v>
          </cell>
          <cell r="BF1987" t="str">
            <v>5800</v>
          </cell>
          <cell r="BG1987" t="str">
            <v>J005</v>
          </cell>
          <cell r="BH1987" t="str">
            <v>GSA</v>
          </cell>
        </row>
        <row r="1988">
          <cell r="K1988">
            <v>0</v>
          </cell>
          <cell r="L1988">
            <v>0</v>
          </cell>
          <cell r="N1988">
            <v>0</v>
          </cell>
          <cell r="O1988">
            <v>0</v>
          </cell>
          <cell r="Q1988">
            <v>0</v>
          </cell>
          <cell r="R1988">
            <v>0</v>
          </cell>
          <cell r="T1988">
            <v>0</v>
          </cell>
          <cell r="U1988">
            <v>0</v>
          </cell>
          <cell r="W1988">
            <v>0</v>
          </cell>
          <cell r="X1988">
            <v>0</v>
          </cell>
          <cell r="Z1988">
            <v>0</v>
          </cell>
          <cell r="AA1988">
            <v>0</v>
          </cell>
          <cell r="AC1988">
            <v>0</v>
          </cell>
          <cell r="AD1988">
            <v>0</v>
          </cell>
          <cell r="AF1988">
            <v>0</v>
          </cell>
          <cell r="AG1988">
            <v>0</v>
          </cell>
          <cell r="AI1988">
            <v>0</v>
          </cell>
          <cell r="AJ1988">
            <v>0</v>
          </cell>
          <cell r="AL1988">
            <v>0</v>
          </cell>
          <cell r="AM1988">
            <v>0</v>
          </cell>
          <cell r="AO1988">
            <v>0</v>
          </cell>
          <cell r="AP1988">
            <v>0</v>
          </cell>
          <cell r="AR1988">
            <v>0</v>
          </cell>
          <cell r="AS1988">
            <v>0</v>
          </cell>
          <cell r="BF1988" t="str">
            <v>5800</v>
          </cell>
          <cell r="BG1988" t="str">
            <v>J006</v>
          </cell>
          <cell r="BH1988" t="str">
            <v>GSA</v>
          </cell>
        </row>
        <row r="1989">
          <cell r="K1989">
            <v>0</v>
          </cell>
          <cell r="L1989">
            <v>0</v>
          </cell>
          <cell r="N1989">
            <v>0</v>
          </cell>
          <cell r="O1989">
            <v>0</v>
          </cell>
          <cell r="Q1989">
            <v>0</v>
          </cell>
          <cell r="R1989">
            <v>0</v>
          </cell>
          <cell r="T1989">
            <v>0</v>
          </cell>
          <cell r="U1989">
            <v>0</v>
          </cell>
          <cell r="W1989">
            <v>0</v>
          </cell>
          <cell r="X1989">
            <v>0</v>
          </cell>
          <cell r="Z1989">
            <v>0</v>
          </cell>
          <cell r="AA1989">
            <v>0</v>
          </cell>
          <cell r="AC1989">
            <v>0</v>
          </cell>
          <cell r="AD1989">
            <v>0</v>
          </cell>
          <cell r="AF1989">
            <v>0</v>
          </cell>
          <cell r="AG1989">
            <v>0</v>
          </cell>
          <cell r="AI1989">
            <v>0</v>
          </cell>
          <cell r="AJ1989">
            <v>0</v>
          </cell>
          <cell r="AL1989">
            <v>0</v>
          </cell>
          <cell r="AM1989">
            <v>0</v>
          </cell>
          <cell r="AO1989">
            <v>0</v>
          </cell>
          <cell r="AP1989">
            <v>0</v>
          </cell>
          <cell r="AR1989">
            <v>0</v>
          </cell>
          <cell r="AS1989">
            <v>0</v>
          </cell>
          <cell r="BF1989" t="str">
            <v>5800</v>
          </cell>
          <cell r="BG1989" t="str">
            <v>J007</v>
          </cell>
          <cell r="BH1989" t="str">
            <v>GSA</v>
          </cell>
        </row>
        <row r="1990">
          <cell r="K1990">
            <v>0</v>
          </cell>
          <cell r="L1990">
            <v>0</v>
          </cell>
          <cell r="N1990">
            <v>0</v>
          </cell>
          <cell r="O1990">
            <v>0</v>
          </cell>
          <cell r="Q1990">
            <v>0</v>
          </cell>
          <cell r="R1990">
            <v>0</v>
          </cell>
          <cell r="T1990">
            <v>0</v>
          </cell>
          <cell r="U1990">
            <v>0</v>
          </cell>
          <cell r="W1990">
            <v>0</v>
          </cell>
          <cell r="X1990">
            <v>0</v>
          </cell>
          <cell r="Z1990">
            <v>0</v>
          </cell>
          <cell r="AA1990">
            <v>0</v>
          </cell>
          <cell r="AC1990">
            <v>0</v>
          </cell>
          <cell r="AD1990">
            <v>0</v>
          </cell>
          <cell r="AF1990">
            <v>0</v>
          </cell>
          <cell r="AG1990">
            <v>0</v>
          </cell>
          <cell r="AI1990">
            <v>0</v>
          </cell>
          <cell r="AJ1990">
            <v>0</v>
          </cell>
          <cell r="AL1990">
            <v>0</v>
          </cell>
          <cell r="AM1990">
            <v>0</v>
          </cell>
          <cell r="AO1990">
            <v>0</v>
          </cell>
          <cell r="AP1990">
            <v>0</v>
          </cell>
          <cell r="AR1990">
            <v>0</v>
          </cell>
          <cell r="AS1990">
            <v>0</v>
          </cell>
          <cell r="BF1990" t="str">
            <v>5801</v>
          </cell>
          <cell r="BG1990" t="str">
            <v>J008</v>
          </cell>
          <cell r="BH1990" t="str">
            <v>GSA</v>
          </cell>
        </row>
        <row r="1991">
          <cell r="K1991">
            <v>0</v>
          </cell>
          <cell r="L1991">
            <v>0</v>
          </cell>
          <cell r="N1991">
            <v>0</v>
          </cell>
          <cell r="O1991">
            <v>0</v>
          </cell>
          <cell r="Q1991">
            <v>0</v>
          </cell>
          <cell r="R1991">
            <v>0</v>
          </cell>
          <cell r="T1991">
            <v>0</v>
          </cell>
          <cell r="U1991">
            <v>0</v>
          </cell>
          <cell r="W1991">
            <v>0</v>
          </cell>
          <cell r="X1991">
            <v>0</v>
          </cell>
          <cell r="Z1991">
            <v>0</v>
          </cell>
          <cell r="AA1991">
            <v>0</v>
          </cell>
          <cell r="AC1991">
            <v>0</v>
          </cell>
          <cell r="AD1991">
            <v>0</v>
          </cell>
          <cell r="AF1991">
            <v>0</v>
          </cell>
          <cell r="AG1991">
            <v>0</v>
          </cell>
          <cell r="AI1991">
            <v>0</v>
          </cell>
          <cell r="AJ1991">
            <v>0</v>
          </cell>
          <cell r="AL1991">
            <v>0</v>
          </cell>
          <cell r="AM1991">
            <v>0</v>
          </cell>
          <cell r="AO1991">
            <v>0</v>
          </cell>
          <cell r="AP1991">
            <v>0</v>
          </cell>
          <cell r="AR1991">
            <v>0</v>
          </cell>
          <cell r="AS1991">
            <v>0</v>
          </cell>
          <cell r="BF1991" t="str">
            <v>5801</v>
          </cell>
          <cell r="BG1991" t="str">
            <v>J009</v>
          </cell>
          <cell r="BH1991" t="str">
            <v>GSA</v>
          </cell>
        </row>
        <row r="1992">
          <cell r="K1992">
            <v>0</v>
          </cell>
          <cell r="L1992">
            <v>0</v>
          </cell>
          <cell r="N1992">
            <v>0</v>
          </cell>
          <cell r="O1992">
            <v>0</v>
          </cell>
          <cell r="Q1992">
            <v>0</v>
          </cell>
          <cell r="R1992">
            <v>0</v>
          </cell>
          <cell r="T1992">
            <v>0</v>
          </cell>
          <cell r="U1992">
            <v>0</v>
          </cell>
          <cell r="W1992">
            <v>0</v>
          </cell>
          <cell r="X1992">
            <v>0</v>
          </cell>
          <cell r="Z1992">
            <v>0</v>
          </cell>
          <cell r="AA1992">
            <v>0</v>
          </cell>
          <cell r="AC1992">
            <v>0</v>
          </cell>
          <cell r="AD1992">
            <v>0</v>
          </cell>
          <cell r="AF1992">
            <v>0</v>
          </cell>
          <cell r="AG1992">
            <v>0</v>
          </cell>
          <cell r="AI1992">
            <v>0</v>
          </cell>
          <cell r="AJ1992">
            <v>0</v>
          </cell>
          <cell r="AL1992">
            <v>0</v>
          </cell>
          <cell r="AM1992">
            <v>0</v>
          </cell>
          <cell r="AO1992">
            <v>0</v>
          </cell>
          <cell r="AP1992">
            <v>0</v>
          </cell>
          <cell r="AR1992">
            <v>0</v>
          </cell>
          <cell r="AS1992">
            <v>0</v>
          </cell>
          <cell r="BF1992" t="str">
            <v>6000</v>
          </cell>
          <cell r="BG1992" t="str">
            <v>K001</v>
          </cell>
          <cell r="BH1992" t="str">
            <v>GSA</v>
          </cell>
        </row>
        <row r="1993">
          <cell r="K1993">
            <v>0</v>
          </cell>
          <cell r="L1993">
            <v>0</v>
          </cell>
          <cell r="N1993">
            <v>0</v>
          </cell>
          <cell r="O1993">
            <v>0</v>
          </cell>
          <cell r="Q1993">
            <v>0</v>
          </cell>
          <cell r="R1993">
            <v>0</v>
          </cell>
          <cell r="T1993">
            <v>0</v>
          </cell>
          <cell r="U1993">
            <v>0</v>
          </cell>
          <cell r="W1993">
            <v>0</v>
          </cell>
          <cell r="X1993">
            <v>0</v>
          </cell>
          <cell r="Z1993">
            <v>0</v>
          </cell>
          <cell r="AA1993">
            <v>0</v>
          </cell>
          <cell r="AC1993">
            <v>0</v>
          </cell>
          <cell r="AD1993">
            <v>0</v>
          </cell>
          <cell r="AF1993">
            <v>0</v>
          </cell>
          <cell r="AG1993">
            <v>0</v>
          </cell>
          <cell r="AI1993">
            <v>0</v>
          </cell>
          <cell r="AJ1993">
            <v>0</v>
          </cell>
          <cell r="AL1993">
            <v>0</v>
          </cell>
          <cell r="AM1993">
            <v>0</v>
          </cell>
          <cell r="AO1993">
            <v>0</v>
          </cell>
          <cell r="AP1993">
            <v>0</v>
          </cell>
          <cell r="AR1993">
            <v>0</v>
          </cell>
          <cell r="AS1993">
            <v>0</v>
          </cell>
          <cell r="BF1993" t="str">
            <v>6000</v>
          </cell>
          <cell r="BG1993" t="str">
            <v>K002</v>
          </cell>
          <cell r="BH1993" t="str">
            <v>GSA</v>
          </cell>
        </row>
        <row r="1994">
          <cell r="K1994">
            <v>0</v>
          </cell>
          <cell r="L1994">
            <v>0</v>
          </cell>
          <cell r="N1994">
            <v>2050</v>
          </cell>
          <cell r="O1994">
            <v>0</v>
          </cell>
          <cell r="Q1994">
            <v>0</v>
          </cell>
          <cell r="R1994">
            <v>0</v>
          </cell>
          <cell r="T1994">
            <v>0</v>
          </cell>
          <cell r="U1994">
            <v>0</v>
          </cell>
          <cell r="W1994">
            <v>0</v>
          </cell>
          <cell r="X1994">
            <v>0</v>
          </cell>
          <cell r="Z1994">
            <v>0</v>
          </cell>
          <cell r="AA1994">
            <v>0</v>
          </cell>
          <cell r="AC1994">
            <v>0</v>
          </cell>
          <cell r="AD1994">
            <v>0</v>
          </cell>
          <cell r="AF1994">
            <v>5836</v>
          </cell>
          <cell r="AG1994">
            <v>0</v>
          </cell>
          <cell r="AI1994">
            <v>17257.650000000023</v>
          </cell>
          <cell r="AJ1994">
            <v>0</v>
          </cell>
          <cell r="AL1994">
            <v>0</v>
          </cell>
          <cell r="AM1994">
            <v>0</v>
          </cell>
          <cell r="AO1994">
            <v>31076</v>
          </cell>
          <cell r="AP1994">
            <v>0</v>
          </cell>
          <cell r="AR1994">
            <v>6222</v>
          </cell>
          <cell r="AS1994">
            <v>0</v>
          </cell>
          <cell r="BF1994" t="str">
            <v>6100</v>
          </cell>
          <cell r="BG1994" t="str">
            <v>K001</v>
          </cell>
          <cell r="BH1994" t="str">
            <v>GSA</v>
          </cell>
        </row>
        <row r="1995">
          <cell r="K1995">
            <v>-19700.059999999998</v>
          </cell>
          <cell r="L1995">
            <v>0</v>
          </cell>
          <cell r="N1995">
            <v>3608.6900000000023</v>
          </cell>
          <cell r="O1995">
            <v>0</v>
          </cell>
          <cell r="Q1995">
            <v>-7814.2299999999959</v>
          </cell>
          <cell r="R1995">
            <v>0</v>
          </cell>
          <cell r="T1995">
            <v>-8074.6900000000023</v>
          </cell>
          <cell r="U1995">
            <v>0</v>
          </cell>
          <cell r="W1995">
            <v>-7814.2299999999959</v>
          </cell>
          <cell r="X1995">
            <v>0</v>
          </cell>
          <cell r="Z1995">
            <v>-8074.7000000000116</v>
          </cell>
          <cell r="AA1995">
            <v>0</v>
          </cell>
          <cell r="AC1995">
            <v>-8074.6900000000169</v>
          </cell>
          <cell r="AD1995">
            <v>0</v>
          </cell>
          <cell r="AF1995">
            <v>-7293.2807789999933</v>
          </cell>
          <cell r="AG1995">
            <v>0</v>
          </cell>
          <cell r="AI1995">
            <v>-8457.8299999999872</v>
          </cell>
          <cell r="AJ1995">
            <v>0</v>
          </cell>
          <cell r="AL1995">
            <v>-8446.859999999986</v>
          </cell>
          <cell r="AM1995">
            <v>0</v>
          </cell>
          <cell r="AO1995">
            <v>-9256.6499999999942</v>
          </cell>
          <cell r="AP1995">
            <v>0</v>
          </cell>
          <cell r="AR1995">
            <v>-9384.4500000000116</v>
          </cell>
          <cell r="AS1995">
            <v>0</v>
          </cell>
          <cell r="BF1995" t="str">
            <v>6100</v>
          </cell>
          <cell r="BG1995" t="str">
            <v>K002</v>
          </cell>
          <cell r="BH1995" t="str">
            <v>GSA</v>
          </cell>
        </row>
        <row r="1996">
          <cell r="K1996">
            <v>0</v>
          </cell>
          <cell r="L1996">
            <v>0</v>
          </cell>
          <cell r="N1996">
            <v>0</v>
          </cell>
          <cell r="O1996">
            <v>0</v>
          </cell>
          <cell r="Q1996">
            <v>0</v>
          </cell>
          <cell r="R1996">
            <v>0</v>
          </cell>
          <cell r="T1996">
            <v>0</v>
          </cell>
          <cell r="U1996">
            <v>0</v>
          </cell>
          <cell r="W1996">
            <v>0</v>
          </cell>
          <cell r="X1996">
            <v>0</v>
          </cell>
          <cell r="Z1996">
            <v>0</v>
          </cell>
          <cell r="AA1996">
            <v>0</v>
          </cell>
          <cell r="AC1996">
            <v>0</v>
          </cell>
          <cell r="AD1996">
            <v>0</v>
          </cell>
          <cell r="AF1996">
            <v>0</v>
          </cell>
          <cell r="AG1996">
            <v>0</v>
          </cell>
          <cell r="AI1996">
            <v>26801.51</v>
          </cell>
          <cell r="AJ1996">
            <v>0</v>
          </cell>
          <cell r="AL1996">
            <v>9435</v>
          </cell>
          <cell r="AM1996">
            <v>0</v>
          </cell>
          <cell r="AO1996">
            <v>0</v>
          </cell>
          <cell r="AP1996">
            <v>0</v>
          </cell>
          <cell r="AR1996">
            <v>0</v>
          </cell>
          <cell r="AS1996">
            <v>0</v>
          </cell>
          <cell r="BF1996" t="str">
            <v>6200</v>
          </cell>
          <cell r="BG1996" t="str">
            <v>K001</v>
          </cell>
          <cell r="BH1996" t="str">
            <v>GSA</v>
          </cell>
        </row>
        <row r="1997">
          <cell r="K1997">
            <v>-282.45999999999913</v>
          </cell>
          <cell r="L1997">
            <v>0</v>
          </cell>
          <cell r="N1997">
            <v>-282.46999999999935</v>
          </cell>
          <cell r="O1997">
            <v>0</v>
          </cell>
          <cell r="Q1997">
            <v>-273.35000000000036</v>
          </cell>
          <cell r="R1997">
            <v>0</v>
          </cell>
          <cell r="T1997">
            <v>-282.45999999999913</v>
          </cell>
          <cell r="U1997">
            <v>0</v>
          </cell>
          <cell r="W1997">
            <v>-575.3700000000008</v>
          </cell>
          <cell r="X1997">
            <v>0</v>
          </cell>
          <cell r="Z1997">
            <v>-282.45999999999913</v>
          </cell>
          <cell r="AA1997">
            <v>0</v>
          </cell>
          <cell r="AC1997">
            <v>-282.45999999999913</v>
          </cell>
          <cell r="AD1997">
            <v>0</v>
          </cell>
          <cell r="AF1997">
            <v>-255.12790390000009</v>
          </cell>
          <cell r="AG1997">
            <v>0</v>
          </cell>
          <cell r="AI1997">
            <v>-428.03000000000065</v>
          </cell>
          <cell r="AJ1997">
            <v>0</v>
          </cell>
          <cell r="AL1997">
            <v>-769.73999999999978</v>
          </cell>
          <cell r="AM1997">
            <v>0</v>
          </cell>
          <cell r="AO1997">
            <v>-748.00999999999931</v>
          </cell>
          <cell r="AP1997">
            <v>0</v>
          </cell>
          <cell r="AR1997">
            <v>-769.7400000000016</v>
          </cell>
          <cell r="AS1997">
            <v>0</v>
          </cell>
          <cell r="BF1997" t="str">
            <v>6200</v>
          </cell>
          <cell r="BG1997" t="str">
            <v>K002</v>
          </cell>
          <cell r="BH1997" t="str">
            <v>GSA</v>
          </cell>
        </row>
        <row r="1998">
          <cell r="K1998">
            <v>0</v>
          </cell>
          <cell r="L1998">
            <v>0</v>
          </cell>
          <cell r="N1998">
            <v>0</v>
          </cell>
          <cell r="O1998">
            <v>0</v>
          </cell>
          <cell r="Q1998">
            <v>0</v>
          </cell>
          <cell r="R1998">
            <v>0</v>
          </cell>
          <cell r="T1998">
            <v>0</v>
          </cell>
          <cell r="U1998">
            <v>0</v>
          </cell>
          <cell r="W1998">
            <v>0</v>
          </cell>
          <cell r="X1998">
            <v>0</v>
          </cell>
          <cell r="Z1998">
            <v>0</v>
          </cell>
          <cell r="AA1998">
            <v>0</v>
          </cell>
          <cell r="AC1998">
            <v>0</v>
          </cell>
          <cell r="AD1998">
            <v>0</v>
          </cell>
          <cell r="AF1998">
            <v>0</v>
          </cell>
          <cell r="AG1998">
            <v>0</v>
          </cell>
          <cell r="AI1998">
            <v>0</v>
          </cell>
          <cell r="AJ1998">
            <v>0</v>
          </cell>
          <cell r="AL1998">
            <v>0</v>
          </cell>
          <cell r="AM1998">
            <v>0</v>
          </cell>
          <cell r="AO1998">
            <v>0</v>
          </cell>
          <cell r="AP1998">
            <v>0</v>
          </cell>
          <cell r="AR1998">
            <v>0</v>
          </cell>
          <cell r="AS1998">
            <v>0</v>
          </cell>
          <cell r="BF1998" t="str">
            <v>6300</v>
          </cell>
          <cell r="BG1998" t="str">
            <v>K001</v>
          </cell>
          <cell r="BH1998" t="str">
            <v>GSA</v>
          </cell>
        </row>
        <row r="1999">
          <cell r="K1999">
            <v>0</v>
          </cell>
          <cell r="L1999">
            <v>0</v>
          </cell>
          <cell r="N1999">
            <v>0</v>
          </cell>
          <cell r="O1999">
            <v>0</v>
          </cell>
          <cell r="Q1999">
            <v>0</v>
          </cell>
          <cell r="R1999">
            <v>0</v>
          </cell>
          <cell r="T1999">
            <v>0</v>
          </cell>
          <cell r="U1999">
            <v>0</v>
          </cell>
          <cell r="W1999">
            <v>0</v>
          </cell>
          <cell r="X1999">
            <v>0</v>
          </cell>
          <cell r="Z1999">
            <v>0</v>
          </cell>
          <cell r="AA1999">
            <v>0</v>
          </cell>
          <cell r="AC1999">
            <v>0</v>
          </cell>
          <cell r="AD1999">
            <v>0</v>
          </cell>
          <cell r="AF1999">
            <v>0</v>
          </cell>
          <cell r="AG1999">
            <v>0</v>
          </cell>
          <cell r="AI1999">
            <v>0</v>
          </cell>
          <cell r="AJ1999">
            <v>0</v>
          </cell>
          <cell r="AL1999">
            <v>0</v>
          </cell>
          <cell r="AM1999">
            <v>0</v>
          </cell>
          <cell r="AO1999">
            <v>0</v>
          </cell>
          <cell r="AP1999">
            <v>0</v>
          </cell>
          <cell r="AR1999">
            <v>0</v>
          </cell>
          <cell r="AS1999">
            <v>0</v>
          </cell>
          <cell r="BF1999" t="str">
            <v>6300</v>
          </cell>
          <cell r="BG1999" t="str">
            <v>K002</v>
          </cell>
          <cell r="BH1999" t="str">
            <v>GSA</v>
          </cell>
        </row>
        <row r="2000">
          <cell r="K2000">
            <v>0</v>
          </cell>
          <cell r="L2000">
            <v>0</v>
          </cell>
          <cell r="N2000">
            <v>950</v>
          </cell>
          <cell r="O2000">
            <v>0</v>
          </cell>
          <cell r="Q2000">
            <v>0</v>
          </cell>
          <cell r="R2000">
            <v>0</v>
          </cell>
          <cell r="T2000">
            <v>3990.0000000000009</v>
          </cell>
          <cell r="U2000">
            <v>0</v>
          </cell>
          <cell r="W2000">
            <v>0</v>
          </cell>
          <cell r="X2000">
            <v>0</v>
          </cell>
          <cell r="Z2000">
            <v>0</v>
          </cell>
          <cell r="AA2000">
            <v>0</v>
          </cell>
          <cell r="AC2000">
            <v>0</v>
          </cell>
          <cell r="AD2000">
            <v>0</v>
          </cell>
          <cell r="AF2000">
            <v>5997</v>
          </cell>
          <cell r="AG2000">
            <v>0</v>
          </cell>
          <cell r="AI2000">
            <v>0</v>
          </cell>
          <cell r="AJ2000">
            <v>0</v>
          </cell>
          <cell r="AL2000">
            <v>0</v>
          </cell>
          <cell r="AM2000">
            <v>0</v>
          </cell>
          <cell r="AO2000">
            <v>0</v>
          </cell>
          <cell r="AP2000">
            <v>0</v>
          </cell>
          <cell r="AR2000">
            <v>0</v>
          </cell>
          <cell r="AS2000">
            <v>0</v>
          </cell>
          <cell r="BF2000" t="str">
            <v>6400</v>
          </cell>
          <cell r="BG2000" t="str">
            <v>K001</v>
          </cell>
          <cell r="BH2000" t="str">
            <v>GSA</v>
          </cell>
        </row>
        <row r="2001">
          <cell r="K2001">
            <v>-73.419999999999959</v>
          </cell>
          <cell r="L2001">
            <v>0</v>
          </cell>
          <cell r="N2001">
            <v>-73.419999999999959</v>
          </cell>
          <cell r="O2001">
            <v>0</v>
          </cell>
          <cell r="Q2001">
            <v>-86.669999999999959</v>
          </cell>
          <cell r="R2001">
            <v>0</v>
          </cell>
          <cell r="T2001">
            <v>-89.549999999999955</v>
          </cell>
          <cell r="U2001">
            <v>0</v>
          </cell>
          <cell r="W2001">
            <v>-86.669999999999959</v>
          </cell>
          <cell r="X2001">
            <v>0</v>
          </cell>
          <cell r="Z2001">
            <v>-89.559999999999945</v>
          </cell>
          <cell r="AA2001">
            <v>0</v>
          </cell>
          <cell r="AC2001">
            <v>-89.549999999999955</v>
          </cell>
          <cell r="AD2001">
            <v>0</v>
          </cell>
          <cell r="AF2001">
            <v>-344.28309590000003</v>
          </cell>
          <cell r="AG2001">
            <v>0</v>
          </cell>
          <cell r="AI2001">
            <v>-264.73</v>
          </cell>
          <cell r="AJ2001">
            <v>0</v>
          </cell>
          <cell r="AL2001">
            <v>-250.84000000000015</v>
          </cell>
          <cell r="AM2001">
            <v>0</v>
          </cell>
          <cell r="AO2001">
            <v>-259.19999999999982</v>
          </cell>
          <cell r="AP2001">
            <v>0</v>
          </cell>
          <cell r="AR2001">
            <v>-250.82999999999993</v>
          </cell>
          <cell r="AS2001">
            <v>0</v>
          </cell>
          <cell r="BF2001" t="str">
            <v>6400</v>
          </cell>
          <cell r="BG2001" t="str">
            <v>K002</v>
          </cell>
          <cell r="BH2001" t="str">
            <v>GSA</v>
          </cell>
        </row>
        <row r="2002">
          <cell r="K2002">
            <v>0</v>
          </cell>
          <cell r="L2002">
            <v>0</v>
          </cell>
          <cell r="N2002">
            <v>0</v>
          </cell>
          <cell r="O2002">
            <v>0</v>
          </cell>
          <cell r="Q2002">
            <v>0</v>
          </cell>
          <cell r="R2002">
            <v>0</v>
          </cell>
          <cell r="T2002">
            <v>0</v>
          </cell>
          <cell r="U2002">
            <v>0</v>
          </cell>
          <cell r="W2002">
            <v>0</v>
          </cell>
          <cell r="X2002">
            <v>0</v>
          </cell>
          <cell r="Z2002">
            <v>0</v>
          </cell>
          <cell r="AA2002">
            <v>0</v>
          </cell>
          <cell r="AC2002">
            <v>0</v>
          </cell>
          <cell r="AD2002">
            <v>0</v>
          </cell>
          <cell r="AF2002">
            <v>0</v>
          </cell>
          <cell r="AG2002">
            <v>0</v>
          </cell>
          <cell r="AI2002">
            <v>0</v>
          </cell>
          <cell r="AJ2002">
            <v>0</v>
          </cell>
          <cell r="AL2002">
            <v>0</v>
          </cell>
          <cell r="AM2002">
            <v>0</v>
          </cell>
          <cell r="AO2002">
            <v>0</v>
          </cell>
          <cell r="AP2002">
            <v>0</v>
          </cell>
          <cell r="AR2002">
            <v>0</v>
          </cell>
          <cell r="AS2002">
            <v>0</v>
          </cell>
          <cell r="BF2002" t="str">
            <v>6500</v>
          </cell>
          <cell r="BG2002" t="str">
            <v>K001</v>
          </cell>
          <cell r="BH2002" t="str">
            <v>GSA</v>
          </cell>
        </row>
        <row r="2003">
          <cell r="K2003">
            <v>0</v>
          </cell>
          <cell r="L2003">
            <v>0</v>
          </cell>
          <cell r="N2003">
            <v>0</v>
          </cell>
          <cell r="O2003">
            <v>0</v>
          </cell>
          <cell r="Q2003">
            <v>0</v>
          </cell>
          <cell r="R2003">
            <v>0</v>
          </cell>
          <cell r="T2003">
            <v>0</v>
          </cell>
          <cell r="U2003">
            <v>0</v>
          </cell>
          <cell r="W2003">
            <v>0</v>
          </cell>
          <cell r="X2003">
            <v>0</v>
          </cell>
          <cell r="Z2003">
            <v>0</v>
          </cell>
          <cell r="AA2003">
            <v>0</v>
          </cell>
          <cell r="AC2003">
            <v>0</v>
          </cell>
          <cell r="AD2003">
            <v>0</v>
          </cell>
          <cell r="AF2003">
            <v>0</v>
          </cell>
          <cell r="AG2003">
            <v>0</v>
          </cell>
          <cell r="AI2003">
            <v>0</v>
          </cell>
          <cell r="AJ2003">
            <v>0</v>
          </cell>
          <cell r="AL2003">
            <v>0</v>
          </cell>
          <cell r="AM2003">
            <v>0</v>
          </cell>
          <cell r="AO2003">
            <v>0</v>
          </cell>
          <cell r="AP2003">
            <v>0</v>
          </cell>
          <cell r="AR2003">
            <v>0</v>
          </cell>
          <cell r="AS2003">
            <v>0</v>
          </cell>
          <cell r="BF2003" t="str">
            <v>6500</v>
          </cell>
          <cell r="BG2003" t="str">
            <v>K002</v>
          </cell>
          <cell r="BH2003" t="str">
            <v>GSA</v>
          </cell>
        </row>
        <row r="2004">
          <cell r="K2004">
            <v>0</v>
          </cell>
          <cell r="L2004">
            <v>0</v>
          </cell>
          <cell r="N2004">
            <v>0</v>
          </cell>
          <cell r="O2004">
            <v>0</v>
          </cell>
          <cell r="Q2004">
            <v>0</v>
          </cell>
          <cell r="R2004">
            <v>0</v>
          </cell>
          <cell r="T2004">
            <v>0</v>
          </cell>
          <cell r="U2004">
            <v>0</v>
          </cell>
          <cell r="W2004">
            <v>0</v>
          </cell>
          <cell r="X2004">
            <v>0</v>
          </cell>
          <cell r="Z2004">
            <v>0</v>
          </cell>
          <cell r="AA2004">
            <v>0</v>
          </cell>
          <cell r="AC2004">
            <v>0</v>
          </cell>
          <cell r="AD2004">
            <v>0</v>
          </cell>
          <cell r="AF2004">
            <v>0</v>
          </cell>
          <cell r="AG2004">
            <v>0</v>
          </cell>
          <cell r="AI2004">
            <v>0</v>
          </cell>
          <cell r="AJ2004">
            <v>0</v>
          </cell>
          <cell r="AL2004">
            <v>0</v>
          </cell>
          <cell r="AM2004">
            <v>0</v>
          </cell>
          <cell r="AO2004">
            <v>0</v>
          </cell>
          <cell r="AP2004">
            <v>0</v>
          </cell>
          <cell r="AR2004">
            <v>0</v>
          </cell>
          <cell r="AS2004">
            <v>0</v>
          </cell>
          <cell r="BF2004" t="str">
            <v>6600</v>
          </cell>
          <cell r="BG2004" t="str">
            <v>K001</v>
          </cell>
          <cell r="BH2004" t="str">
            <v>GSA</v>
          </cell>
        </row>
        <row r="2005">
          <cell r="K2005">
            <v>0</v>
          </cell>
          <cell r="L2005">
            <v>0</v>
          </cell>
          <cell r="N2005">
            <v>0</v>
          </cell>
          <cell r="O2005">
            <v>0</v>
          </cell>
          <cell r="Q2005">
            <v>0</v>
          </cell>
          <cell r="R2005">
            <v>0</v>
          </cell>
          <cell r="T2005">
            <v>0</v>
          </cell>
          <cell r="U2005">
            <v>0</v>
          </cell>
          <cell r="W2005">
            <v>0</v>
          </cell>
          <cell r="X2005">
            <v>0</v>
          </cell>
          <cell r="Z2005">
            <v>0</v>
          </cell>
          <cell r="AA2005">
            <v>0</v>
          </cell>
          <cell r="AC2005">
            <v>0</v>
          </cell>
          <cell r="AD2005">
            <v>0</v>
          </cell>
          <cell r="AF2005">
            <v>0</v>
          </cell>
          <cell r="AG2005">
            <v>0</v>
          </cell>
          <cell r="AI2005">
            <v>0</v>
          </cell>
          <cell r="AJ2005">
            <v>0</v>
          </cell>
          <cell r="AL2005">
            <v>0</v>
          </cell>
          <cell r="AM2005">
            <v>0</v>
          </cell>
          <cell r="AO2005">
            <v>0</v>
          </cell>
          <cell r="AP2005">
            <v>0</v>
          </cell>
          <cell r="AR2005">
            <v>0</v>
          </cell>
          <cell r="AS2005">
            <v>0</v>
          </cell>
          <cell r="BF2005" t="str">
            <v>6600</v>
          </cell>
          <cell r="BG2005" t="str">
            <v>K002</v>
          </cell>
          <cell r="BH2005" t="str">
            <v>GSA</v>
          </cell>
        </row>
        <row r="2006">
          <cell r="K2006">
            <v>0</v>
          </cell>
          <cell r="L2006">
            <v>0</v>
          </cell>
          <cell r="N2006">
            <v>2295.5699999999924</v>
          </cell>
          <cell r="O2006">
            <v>0</v>
          </cell>
          <cell r="Q2006">
            <v>-208.69000000000233</v>
          </cell>
          <cell r="R2006">
            <v>0</v>
          </cell>
          <cell r="T2006">
            <v>5380.7299999999959</v>
          </cell>
          <cell r="U2006">
            <v>0</v>
          </cell>
          <cell r="W2006">
            <v>104685.31</v>
          </cell>
          <cell r="X2006">
            <v>0</v>
          </cell>
          <cell r="Z2006">
            <v>-52189.919999999998</v>
          </cell>
          <cell r="AA2006">
            <v>0</v>
          </cell>
          <cell r="AC2006">
            <v>-54518.839999999982</v>
          </cell>
          <cell r="AD2006">
            <v>0</v>
          </cell>
          <cell r="AF2006">
            <v>395961.12</v>
          </cell>
          <cell r="AG2006">
            <v>0</v>
          </cell>
          <cell r="AI2006">
            <v>-98507.989999999991</v>
          </cell>
          <cell r="AJ2006">
            <v>0</v>
          </cell>
          <cell r="AL2006">
            <v>186961.99</v>
          </cell>
          <cell r="AM2006">
            <v>0</v>
          </cell>
          <cell r="AO2006">
            <v>-241242.97999999998</v>
          </cell>
          <cell r="AP2006">
            <v>0</v>
          </cell>
          <cell r="AR2006">
            <v>-241242.97999999998</v>
          </cell>
          <cell r="AS2006">
            <v>0</v>
          </cell>
          <cell r="BF2006" t="str">
            <v>7000</v>
          </cell>
          <cell r="BG2006" t="str">
            <v>Z000</v>
          </cell>
          <cell r="BH2006" t="str">
            <v>GSA</v>
          </cell>
        </row>
        <row r="2007">
          <cell r="K2007">
            <v>222332.08000000002</v>
          </cell>
          <cell r="L2007">
            <v>0</v>
          </cell>
          <cell r="N2007">
            <v>338233.4800000001</v>
          </cell>
          <cell r="O2007">
            <v>0</v>
          </cell>
          <cell r="Q2007">
            <v>159724.85999999987</v>
          </cell>
          <cell r="R2007">
            <v>0</v>
          </cell>
          <cell r="T2007">
            <v>-497580.39000000013</v>
          </cell>
          <cell r="U2007">
            <v>0</v>
          </cell>
          <cell r="W2007">
            <v>-135487.89999999991</v>
          </cell>
          <cell r="X2007">
            <v>0</v>
          </cell>
          <cell r="Z2007">
            <v>-33502.510000000009</v>
          </cell>
          <cell r="AA2007">
            <v>0</v>
          </cell>
          <cell r="AC2007">
            <v>7799.6799999999348</v>
          </cell>
          <cell r="AD2007">
            <v>0</v>
          </cell>
          <cell r="AF2007">
            <v>311116.69999999972</v>
          </cell>
          <cell r="AG2007">
            <v>0</v>
          </cell>
          <cell r="AI2007">
            <v>874955.52</v>
          </cell>
          <cell r="AJ2007">
            <v>0</v>
          </cell>
          <cell r="AL2007">
            <v>202558.52000000002</v>
          </cell>
          <cell r="AM2007">
            <v>0</v>
          </cell>
          <cell r="AO2007">
            <v>102999.47999999998</v>
          </cell>
          <cell r="AP2007">
            <v>0</v>
          </cell>
          <cell r="AR2007">
            <v>-1009418.3299999998</v>
          </cell>
          <cell r="AS2007">
            <v>0</v>
          </cell>
          <cell r="BF2007" t="str">
            <v>7050</v>
          </cell>
          <cell r="BG2007" t="str">
            <v>Z000</v>
          </cell>
          <cell r="BH2007" t="str">
            <v>GSA</v>
          </cell>
        </row>
        <row r="2008">
          <cell r="K2008">
            <v>0</v>
          </cell>
          <cell r="L2008">
            <v>0</v>
          </cell>
          <cell r="N2008">
            <v>0</v>
          </cell>
          <cell r="O2008">
            <v>0</v>
          </cell>
          <cell r="Q2008">
            <v>0</v>
          </cell>
          <cell r="R2008">
            <v>0</v>
          </cell>
          <cell r="T2008">
            <v>0</v>
          </cell>
          <cell r="U2008">
            <v>0</v>
          </cell>
          <cell r="W2008">
            <v>0</v>
          </cell>
          <cell r="X2008">
            <v>0</v>
          </cell>
          <cell r="Z2008">
            <v>0</v>
          </cell>
          <cell r="AA2008">
            <v>0</v>
          </cell>
          <cell r="AC2008">
            <v>0</v>
          </cell>
          <cell r="AD2008">
            <v>0</v>
          </cell>
          <cell r="AF2008">
            <v>0</v>
          </cell>
          <cell r="AG2008">
            <v>0</v>
          </cell>
          <cell r="AI2008">
            <v>0</v>
          </cell>
          <cell r="AJ2008">
            <v>0</v>
          </cell>
          <cell r="AL2008">
            <v>0</v>
          </cell>
          <cell r="AM2008">
            <v>0</v>
          </cell>
          <cell r="AO2008">
            <v>0</v>
          </cell>
          <cell r="AP2008">
            <v>0</v>
          </cell>
          <cell r="AR2008">
            <v>0</v>
          </cell>
          <cell r="AS2008">
            <v>0</v>
          </cell>
          <cell r="BF2008" t="str">
            <v>7100</v>
          </cell>
          <cell r="BG2008" t="str">
            <v>Z000</v>
          </cell>
          <cell r="BH2008" t="str">
            <v>GSA</v>
          </cell>
        </row>
        <row r="2009">
          <cell r="K2009">
            <v>240.7799999999952</v>
          </cell>
          <cell r="L2009">
            <v>0</v>
          </cell>
          <cell r="N2009">
            <v>7180.5799999999981</v>
          </cell>
          <cell r="O2009">
            <v>0</v>
          </cell>
          <cell r="Q2009">
            <v>-4146.3700000000026</v>
          </cell>
          <cell r="R2009">
            <v>0</v>
          </cell>
          <cell r="T2009">
            <v>772.47000000000116</v>
          </cell>
          <cell r="U2009">
            <v>0</v>
          </cell>
          <cell r="W2009">
            <v>6324.0300000000061</v>
          </cell>
          <cell r="X2009">
            <v>0</v>
          </cell>
          <cell r="Z2009">
            <v>-5190.5300000000061</v>
          </cell>
          <cell r="AA2009">
            <v>0</v>
          </cell>
          <cell r="AC2009">
            <v>-5092.0800000000163</v>
          </cell>
          <cell r="AD2009">
            <v>0</v>
          </cell>
          <cell r="AF2009">
            <v>-1498.0500000000029</v>
          </cell>
          <cell r="AG2009">
            <v>0</v>
          </cell>
          <cell r="AI2009">
            <v>1125.8000000000029</v>
          </cell>
          <cell r="AJ2009">
            <v>0</v>
          </cell>
          <cell r="AL2009">
            <v>0</v>
          </cell>
          <cell r="AM2009">
            <v>0</v>
          </cell>
          <cell r="AO2009">
            <v>0</v>
          </cell>
          <cell r="AP2009">
            <v>0</v>
          </cell>
          <cell r="AR2009">
            <v>0</v>
          </cell>
          <cell r="AS2009">
            <v>0</v>
          </cell>
          <cell r="BF2009" t="str">
            <v>7300</v>
          </cell>
          <cell r="BG2009" t="str">
            <v>Z000</v>
          </cell>
          <cell r="BH2009" t="str">
            <v>GSA</v>
          </cell>
        </row>
        <row r="2010">
          <cell r="K2010">
            <v>0</v>
          </cell>
          <cell r="L2010">
            <v>0</v>
          </cell>
          <cell r="N2010">
            <v>0</v>
          </cell>
          <cell r="O2010">
            <v>0</v>
          </cell>
          <cell r="Q2010">
            <v>0</v>
          </cell>
          <cell r="R2010">
            <v>0</v>
          </cell>
          <cell r="T2010">
            <v>0</v>
          </cell>
          <cell r="U2010">
            <v>0</v>
          </cell>
          <cell r="W2010">
            <v>0</v>
          </cell>
          <cell r="X2010">
            <v>0</v>
          </cell>
          <cell r="Z2010">
            <v>0</v>
          </cell>
          <cell r="AA2010">
            <v>0</v>
          </cell>
          <cell r="AC2010">
            <v>0</v>
          </cell>
          <cell r="AD2010">
            <v>0</v>
          </cell>
          <cell r="AF2010">
            <v>0</v>
          </cell>
          <cell r="AG2010">
            <v>0</v>
          </cell>
          <cell r="AI2010">
            <v>0</v>
          </cell>
          <cell r="AJ2010">
            <v>0</v>
          </cell>
          <cell r="AL2010">
            <v>0</v>
          </cell>
          <cell r="AM2010">
            <v>0</v>
          </cell>
          <cell r="AO2010">
            <v>0</v>
          </cell>
          <cell r="AP2010">
            <v>0</v>
          </cell>
          <cell r="AR2010">
            <v>0</v>
          </cell>
          <cell r="AS2010">
            <v>0</v>
          </cell>
          <cell r="BF2010" t="str">
            <v>7350</v>
          </cell>
          <cell r="BG2010" t="str">
            <v>Z000</v>
          </cell>
          <cell r="BH2010" t="str">
            <v>GSA</v>
          </cell>
        </row>
        <row r="2011">
          <cell r="K2011">
            <v>0</v>
          </cell>
          <cell r="L2011">
            <v>0</v>
          </cell>
          <cell r="N2011">
            <v>0</v>
          </cell>
          <cell r="O2011">
            <v>0</v>
          </cell>
          <cell r="Q2011">
            <v>0</v>
          </cell>
          <cell r="R2011">
            <v>0</v>
          </cell>
          <cell r="T2011">
            <v>0</v>
          </cell>
          <cell r="U2011">
            <v>0</v>
          </cell>
          <cell r="W2011">
            <v>0</v>
          </cell>
          <cell r="X2011">
            <v>0</v>
          </cell>
          <cell r="Z2011">
            <v>0</v>
          </cell>
          <cell r="AA2011">
            <v>0</v>
          </cell>
          <cell r="AC2011">
            <v>0</v>
          </cell>
          <cell r="AD2011">
            <v>0</v>
          </cell>
          <cell r="AF2011">
            <v>0</v>
          </cell>
          <cell r="AG2011">
            <v>0</v>
          </cell>
          <cell r="AI2011">
            <v>0</v>
          </cell>
          <cell r="AJ2011">
            <v>0</v>
          </cell>
          <cell r="AL2011">
            <v>0</v>
          </cell>
          <cell r="AM2011">
            <v>0</v>
          </cell>
          <cell r="AO2011">
            <v>0</v>
          </cell>
          <cell r="AP2011">
            <v>0</v>
          </cell>
          <cell r="AR2011">
            <v>0</v>
          </cell>
          <cell r="AS2011">
            <v>0</v>
          </cell>
          <cell r="BF2011" t="str">
            <v>7400</v>
          </cell>
          <cell r="BG2011" t="str">
            <v>Z000</v>
          </cell>
          <cell r="BH2011" t="str">
            <v>GSA</v>
          </cell>
        </row>
        <row r="2012">
          <cell r="K2012">
            <v>0</v>
          </cell>
          <cell r="L2012">
            <v>0</v>
          </cell>
          <cell r="N2012">
            <v>113288</v>
          </cell>
          <cell r="O2012">
            <v>0</v>
          </cell>
          <cell r="Q2012">
            <v>-22288</v>
          </cell>
          <cell r="R2012">
            <v>0</v>
          </cell>
          <cell r="T2012">
            <v>56261.130000000005</v>
          </cell>
          <cell r="U2012">
            <v>0</v>
          </cell>
          <cell r="W2012">
            <v>39000</v>
          </cell>
          <cell r="X2012">
            <v>0</v>
          </cell>
          <cell r="Z2012">
            <v>-186261.13</v>
          </cell>
          <cell r="AA2012">
            <v>0</v>
          </cell>
          <cell r="AC2012">
            <v>0</v>
          </cell>
          <cell r="AD2012">
            <v>0</v>
          </cell>
          <cell r="AF2012">
            <v>0</v>
          </cell>
          <cell r="AG2012">
            <v>0</v>
          </cell>
          <cell r="AI2012">
            <v>0</v>
          </cell>
          <cell r="AJ2012">
            <v>0</v>
          </cell>
          <cell r="AL2012">
            <v>0</v>
          </cell>
          <cell r="AM2012">
            <v>0</v>
          </cell>
          <cell r="AO2012">
            <v>0</v>
          </cell>
          <cell r="AP2012">
            <v>0</v>
          </cell>
          <cell r="AR2012">
            <v>0</v>
          </cell>
          <cell r="AS2012">
            <v>0</v>
          </cell>
          <cell r="BF2012" t="str">
            <v>7500</v>
          </cell>
          <cell r="BG2012" t="str">
            <v>Z000</v>
          </cell>
          <cell r="BH2012" t="str">
            <v>GSA</v>
          </cell>
        </row>
        <row r="2013">
          <cell r="K2013">
            <v>0</v>
          </cell>
          <cell r="L2013">
            <v>0</v>
          </cell>
          <cell r="N2013">
            <v>0</v>
          </cell>
          <cell r="O2013">
            <v>0</v>
          </cell>
          <cell r="Q2013">
            <v>0</v>
          </cell>
          <cell r="R2013">
            <v>0</v>
          </cell>
          <cell r="T2013">
            <v>0</v>
          </cell>
          <cell r="U2013">
            <v>0</v>
          </cell>
          <cell r="W2013">
            <v>0</v>
          </cell>
          <cell r="X2013">
            <v>0</v>
          </cell>
          <cell r="Z2013">
            <v>0</v>
          </cell>
          <cell r="AA2013">
            <v>0</v>
          </cell>
          <cell r="AC2013">
            <v>0</v>
          </cell>
          <cell r="AD2013">
            <v>0</v>
          </cell>
          <cell r="AF2013">
            <v>0</v>
          </cell>
          <cell r="AG2013">
            <v>0</v>
          </cell>
          <cell r="AI2013">
            <v>0</v>
          </cell>
          <cell r="AJ2013">
            <v>0</v>
          </cell>
          <cell r="AL2013">
            <v>0</v>
          </cell>
          <cell r="AM2013">
            <v>0</v>
          </cell>
          <cell r="AO2013">
            <v>0</v>
          </cell>
          <cell r="AP2013">
            <v>0</v>
          </cell>
          <cell r="AR2013">
            <v>0</v>
          </cell>
          <cell r="AS2013">
            <v>0</v>
          </cell>
          <cell r="BF2013" t="str">
            <v>7600</v>
          </cell>
          <cell r="BG2013" t="str">
            <v>Z000</v>
          </cell>
          <cell r="BH2013" t="str">
            <v>GSA</v>
          </cell>
        </row>
        <row r="2014">
          <cell r="K2014">
            <v>0</v>
          </cell>
          <cell r="L2014">
            <v>0</v>
          </cell>
          <cell r="N2014">
            <v>0</v>
          </cell>
          <cell r="O2014">
            <v>0</v>
          </cell>
          <cell r="Q2014">
            <v>0</v>
          </cell>
          <cell r="R2014">
            <v>0</v>
          </cell>
          <cell r="T2014">
            <v>0</v>
          </cell>
          <cell r="U2014">
            <v>0</v>
          </cell>
          <cell r="W2014">
            <v>0</v>
          </cell>
          <cell r="X2014">
            <v>0</v>
          </cell>
          <cell r="Z2014">
            <v>0</v>
          </cell>
          <cell r="AA2014">
            <v>0</v>
          </cell>
          <cell r="AC2014">
            <v>0</v>
          </cell>
          <cell r="AD2014">
            <v>0</v>
          </cell>
          <cell r="AF2014">
            <v>0</v>
          </cell>
          <cell r="AG2014">
            <v>0</v>
          </cell>
          <cell r="AI2014">
            <v>0</v>
          </cell>
          <cell r="AJ2014">
            <v>0</v>
          </cell>
          <cell r="AL2014">
            <v>0</v>
          </cell>
          <cell r="AM2014">
            <v>0</v>
          </cell>
          <cell r="AO2014">
            <v>0</v>
          </cell>
          <cell r="AP2014">
            <v>0</v>
          </cell>
          <cell r="AR2014">
            <v>0</v>
          </cell>
          <cell r="AS2014">
            <v>0</v>
          </cell>
          <cell r="BF2014" t="str">
            <v>7700</v>
          </cell>
          <cell r="BG2014" t="str">
            <v>Z000</v>
          </cell>
          <cell r="BH2014" t="str">
            <v>GSA</v>
          </cell>
        </row>
        <row r="2015">
          <cell r="K2015">
            <v>0</v>
          </cell>
          <cell r="L2015">
            <v>0</v>
          </cell>
          <cell r="N2015">
            <v>0</v>
          </cell>
          <cell r="O2015">
            <v>0</v>
          </cell>
          <cell r="Q2015">
            <v>38984.569999999992</v>
          </cell>
          <cell r="R2015">
            <v>0</v>
          </cell>
          <cell r="T2015">
            <v>29211.65999999996</v>
          </cell>
          <cell r="U2015">
            <v>0</v>
          </cell>
          <cell r="W2015">
            <v>-68196.229999999981</v>
          </cell>
          <cell r="X2015">
            <v>0</v>
          </cell>
          <cell r="Z2015">
            <v>0</v>
          </cell>
          <cell r="AA2015">
            <v>0</v>
          </cell>
          <cell r="AC2015">
            <v>0</v>
          </cell>
          <cell r="AD2015">
            <v>0</v>
          </cell>
          <cell r="AF2015">
            <v>0</v>
          </cell>
          <cell r="AG2015">
            <v>0</v>
          </cell>
          <cell r="AI2015">
            <v>0</v>
          </cell>
          <cell r="AJ2015">
            <v>0</v>
          </cell>
          <cell r="AL2015">
            <v>0</v>
          </cell>
          <cell r="AM2015">
            <v>0</v>
          </cell>
          <cell r="AO2015">
            <v>0</v>
          </cell>
          <cell r="AP2015">
            <v>0</v>
          </cell>
          <cell r="AR2015">
            <v>0</v>
          </cell>
          <cell r="AS2015">
            <v>0</v>
          </cell>
          <cell r="BF2015" t="str">
            <v>8002</v>
          </cell>
          <cell r="BG2015" t="str">
            <v>Z000</v>
          </cell>
          <cell r="BH2015" t="str">
            <v>GSA</v>
          </cell>
        </row>
        <row r="2016">
          <cell r="K2016">
            <v>0</v>
          </cell>
          <cell r="L2016">
            <v>0</v>
          </cell>
          <cell r="N2016">
            <v>0</v>
          </cell>
          <cell r="O2016">
            <v>0</v>
          </cell>
          <cell r="Q2016">
            <v>0</v>
          </cell>
          <cell r="R2016">
            <v>0</v>
          </cell>
          <cell r="T2016">
            <v>110829.83999999613</v>
          </cell>
          <cell r="U2016">
            <v>0</v>
          </cell>
          <cell r="W2016">
            <v>-308784.94999971986</v>
          </cell>
          <cell r="X2016">
            <v>0</v>
          </cell>
          <cell r="Z2016">
            <v>414010.90000011772</v>
          </cell>
          <cell r="AA2016">
            <v>0</v>
          </cell>
          <cell r="AC2016">
            <v>-90877.190000012517</v>
          </cell>
          <cell r="AD2016">
            <v>0</v>
          </cell>
          <cell r="AF2016">
            <v>373456.79999998212</v>
          </cell>
          <cell r="AG2016">
            <v>0</v>
          </cell>
          <cell r="AI2016">
            <v>-169000.99999978393</v>
          </cell>
          <cell r="AJ2016">
            <v>0</v>
          </cell>
          <cell r="AL2016">
            <v>157780.09999987483</v>
          </cell>
          <cell r="AM2016">
            <v>0</v>
          </cell>
          <cell r="AO2016">
            <v>-5922.8999997377396</v>
          </cell>
          <cell r="AP2016">
            <v>0</v>
          </cell>
          <cell r="AR2016">
            <v>-1318084.9300003052</v>
          </cell>
          <cell r="AS2016">
            <v>0</v>
          </cell>
          <cell r="BF2016" t="str">
            <v>8003</v>
          </cell>
          <cell r="BG2016" t="str">
            <v>Z000</v>
          </cell>
          <cell r="BH2016" t="str">
            <v>GSA</v>
          </cell>
        </row>
        <row r="2017">
          <cell r="K2017">
            <v>2480814.5700000003</v>
          </cell>
          <cell r="L2017">
            <v>0</v>
          </cell>
          <cell r="N2017">
            <v>777652.33999998122</v>
          </cell>
          <cell r="O2017">
            <v>0</v>
          </cell>
          <cell r="Q2017">
            <v>2007522.2699999884</v>
          </cell>
          <cell r="R2017">
            <v>0</v>
          </cell>
          <cell r="T2017">
            <v>1796030.319999963</v>
          </cell>
          <cell r="U2017">
            <v>0</v>
          </cell>
          <cell r="W2017">
            <v>938437.60999816656</v>
          </cell>
          <cell r="X2017">
            <v>0</v>
          </cell>
          <cell r="Z2017">
            <v>2186583.5199980885</v>
          </cell>
          <cell r="AA2017">
            <v>0</v>
          </cell>
          <cell r="AC2017">
            <v>5297003.3499978781</v>
          </cell>
          <cell r="AD2017">
            <v>0</v>
          </cell>
          <cell r="AF2017">
            <v>4607999.8399980366</v>
          </cell>
          <cell r="AG2017">
            <v>0</v>
          </cell>
          <cell r="AI2017">
            <v>5155981.8000007421</v>
          </cell>
          <cell r="AJ2017">
            <v>0</v>
          </cell>
          <cell r="AL2017">
            <v>5590128.0732010305</v>
          </cell>
          <cell r="AM2017">
            <v>0</v>
          </cell>
          <cell r="AO2017">
            <v>7329066.459997803</v>
          </cell>
          <cell r="AP2017">
            <v>0</v>
          </cell>
          <cell r="AR2017">
            <v>7663799.2157947719</v>
          </cell>
          <cell r="AS2017">
            <v>0</v>
          </cell>
          <cell r="BF2017" t="str">
            <v>8200</v>
          </cell>
          <cell r="BG2017" t="str">
            <v>Z000</v>
          </cell>
          <cell r="BH2017" t="str">
            <v>GSA</v>
          </cell>
        </row>
        <row r="2018">
          <cell r="K2018">
            <v>0</v>
          </cell>
          <cell r="L2018">
            <v>0</v>
          </cell>
          <cell r="N2018">
            <v>0</v>
          </cell>
          <cell r="O2018">
            <v>0</v>
          </cell>
          <cell r="Q2018">
            <v>0</v>
          </cell>
          <cell r="R2018">
            <v>0</v>
          </cell>
          <cell r="T2018">
            <v>1628.7399999999907</v>
          </cell>
          <cell r="U2018">
            <v>0</v>
          </cell>
          <cell r="W2018">
            <v>-1628.7399999999907</v>
          </cell>
          <cell r="X2018">
            <v>0</v>
          </cell>
          <cell r="Z2018">
            <v>0</v>
          </cell>
          <cell r="AA2018">
            <v>0</v>
          </cell>
          <cell r="AC2018">
            <v>0</v>
          </cell>
          <cell r="AD2018">
            <v>0</v>
          </cell>
          <cell r="AF2018">
            <v>0</v>
          </cell>
          <cell r="AG2018">
            <v>0</v>
          </cell>
          <cell r="AI2018">
            <v>0</v>
          </cell>
          <cell r="AJ2018">
            <v>0</v>
          </cell>
          <cell r="AL2018">
            <v>0</v>
          </cell>
          <cell r="AM2018">
            <v>0</v>
          </cell>
          <cell r="AO2018">
            <v>0</v>
          </cell>
          <cell r="AP2018">
            <v>0</v>
          </cell>
          <cell r="AR2018">
            <v>0</v>
          </cell>
          <cell r="AS2018">
            <v>0</v>
          </cell>
          <cell r="BF2018" t="str">
            <v>8201</v>
          </cell>
          <cell r="BG2018" t="str">
            <v>Z000</v>
          </cell>
          <cell r="BH2018" t="str">
            <v>GSA</v>
          </cell>
        </row>
        <row r="2019">
          <cell r="K2019">
            <v>1009659.4100000006</v>
          </cell>
          <cell r="L2019">
            <v>0</v>
          </cell>
          <cell r="N2019">
            <v>-245409</v>
          </cell>
          <cell r="O2019">
            <v>0</v>
          </cell>
          <cell r="Q2019">
            <v>368548</v>
          </cell>
          <cell r="R2019">
            <v>0</v>
          </cell>
          <cell r="T2019">
            <v>120945.00000000186</v>
          </cell>
          <cell r="U2019">
            <v>0</v>
          </cell>
          <cell r="W2019">
            <v>777230.91000000015</v>
          </cell>
          <cell r="X2019">
            <v>0</v>
          </cell>
          <cell r="Z2019">
            <v>252111.91000000015</v>
          </cell>
          <cell r="AA2019">
            <v>0</v>
          </cell>
          <cell r="AC2019">
            <v>845714.52999999933</v>
          </cell>
          <cell r="AD2019">
            <v>0</v>
          </cell>
          <cell r="AF2019">
            <v>546525.30999999866</v>
          </cell>
          <cell r="AG2019">
            <v>0</v>
          </cell>
          <cell r="AI2019">
            <v>862650.21999999881</v>
          </cell>
          <cell r="AJ2019">
            <v>0</v>
          </cell>
          <cell r="AL2019">
            <v>842886.8200000003</v>
          </cell>
          <cell r="AM2019">
            <v>0</v>
          </cell>
          <cell r="AO2019">
            <v>1395110.3000000007</v>
          </cell>
          <cell r="AP2019">
            <v>0</v>
          </cell>
          <cell r="AR2019">
            <v>3035459.8599999994</v>
          </cell>
          <cell r="AS2019">
            <v>0</v>
          </cell>
          <cell r="BF2019" t="str">
            <v>8300</v>
          </cell>
          <cell r="BG2019" t="str">
            <v>Z000</v>
          </cell>
          <cell r="BH2019" t="str">
            <v>GSA</v>
          </cell>
        </row>
        <row r="2020">
          <cell r="K2020">
            <v>0</v>
          </cell>
          <cell r="L2020">
            <v>0</v>
          </cell>
          <cell r="N2020">
            <v>0</v>
          </cell>
          <cell r="O2020">
            <v>0</v>
          </cell>
          <cell r="Q2020">
            <v>595.1699999999837</v>
          </cell>
          <cell r="R2020">
            <v>0</v>
          </cell>
          <cell r="T2020">
            <v>-595.17000000004191</v>
          </cell>
          <cell r="U2020">
            <v>0</v>
          </cell>
          <cell r="W2020">
            <v>0</v>
          </cell>
          <cell r="X2020">
            <v>0</v>
          </cell>
          <cell r="Z2020">
            <v>0</v>
          </cell>
          <cell r="AA2020">
            <v>0</v>
          </cell>
          <cell r="AC2020">
            <v>0</v>
          </cell>
          <cell r="AD2020">
            <v>0</v>
          </cell>
          <cell r="AF2020">
            <v>0</v>
          </cell>
          <cell r="AG2020">
            <v>0</v>
          </cell>
          <cell r="AI2020">
            <v>0</v>
          </cell>
          <cell r="AJ2020">
            <v>0</v>
          </cell>
          <cell r="AL2020">
            <v>0</v>
          </cell>
          <cell r="AM2020">
            <v>0</v>
          </cell>
          <cell r="AO2020">
            <v>0</v>
          </cell>
          <cell r="AP2020">
            <v>0</v>
          </cell>
          <cell r="AR2020">
            <v>5.8207660913467407E-11</v>
          </cell>
          <cell r="AS2020">
            <v>0</v>
          </cell>
          <cell r="BF2020" t="str">
            <v>8400</v>
          </cell>
          <cell r="BG2020" t="str">
            <v>N001</v>
          </cell>
          <cell r="BH2020" t="str">
            <v>GSA</v>
          </cell>
        </row>
        <row r="2021">
          <cell r="K2021">
            <v>-146718.21999999974</v>
          </cell>
          <cell r="L2021">
            <v>0</v>
          </cell>
          <cell r="N2021">
            <v>24300.629999999888</v>
          </cell>
          <cell r="O2021">
            <v>0</v>
          </cell>
          <cell r="Q2021">
            <v>-54026.660000000149</v>
          </cell>
          <cell r="R2021">
            <v>0</v>
          </cell>
          <cell r="T2021">
            <v>22210.830000000075</v>
          </cell>
          <cell r="U2021">
            <v>0</v>
          </cell>
          <cell r="W2021">
            <v>1413.320000000298</v>
          </cell>
          <cell r="X2021">
            <v>0</v>
          </cell>
          <cell r="Z2021">
            <v>62749.460000002757</v>
          </cell>
          <cell r="AA2021">
            <v>0</v>
          </cell>
          <cell r="AC2021">
            <v>-103892.58000000007</v>
          </cell>
          <cell r="AD2021">
            <v>0</v>
          </cell>
          <cell r="AF2021">
            <v>-24627.839999999851</v>
          </cell>
          <cell r="AG2021">
            <v>0</v>
          </cell>
          <cell r="AI2021">
            <v>38000.160000000149</v>
          </cell>
          <cell r="AJ2021">
            <v>0</v>
          </cell>
          <cell r="AL2021">
            <v>216224.12999999896</v>
          </cell>
          <cell r="AM2021">
            <v>0</v>
          </cell>
          <cell r="AO2021">
            <v>-22617.019999992102</v>
          </cell>
          <cell r="AP2021">
            <v>0</v>
          </cell>
          <cell r="AR2021">
            <v>-88494.789999991655</v>
          </cell>
          <cell r="AS2021">
            <v>0</v>
          </cell>
          <cell r="BF2021" t="str">
            <v>8400</v>
          </cell>
          <cell r="BG2021" t="str">
            <v>N002</v>
          </cell>
          <cell r="BH2021" t="str">
            <v>GSA</v>
          </cell>
        </row>
        <row r="2022">
          <cell r="K2022">
            <v>1009.0200000000186</v>
          </cell>
          <cell r="L2022">
            <v>0</v>
          </cell>
          <cell r="N2022">
            <v>625.60999999986961</v>
          </cell>
          <cell r="O2022">
            <v>0</v>
          </cell>
          <cell r="Q2022">
            <v>920.06000000005588</v>
          </cell>
          <cell r="R2022">
            <v>0</v>
          </cell>
          <cell r="T2022">
            <v>-2437.2000000001863</v>
          </cell>
          <cell r="U2022">
            <v>0</v>
          </cell>
          <cell r="W2022">
            <v>184.35999999986961</v>
          </cell>
          <cell r="X2022">
            <v>0</v>
          </cell>
          <cell r="Z2022">
            <v>3697.5</v>
          </cell>
          <cell r="AA2022">
            <v>0</v>
          </cell>
          <cell r="AC2022">
            <v>-55.5</v>
          </cell>
          <cell r="AD2022">
            <v>0</v>
          </cell>
          <cell r="AF2022">
            <v>-4464.1000000000931</v>
          </cell>
          <cell r="AG2022">
            <v>0</v>
          </cell>
          <cell r="AI2022">
            <v>-55.5</v>
          </cell>
          <cell r="AJ2022">
            <v>0</v>
          </cell>
          <cell r="AL2022">
            <v>-55.5</v>
          </cell>
          <cell r="AM2022">
            <v>0</v>
          </cell>
          <cell r="AO2022">
            <v>-55.950000000186265</v>
          </cell>
          <cell r="AP2022">
            <v>0</v>
          </cell>
          <cell r="AR2022">
            <v>0</v>
          </cell>
          <cell r="AS2022">
            <v>0</v>
          </cell>
          <cell r="BF2022" t="str">
            <v>8400</v>
          </cell>
          <cell r="BG2022" t="str">
            <v>N003</v>
          </cell>
          <cell r="BH2022" t="str">
            <v>GSA</v>
          </cell>
        </row>
        <row r="2023">
          <cell r="K2023">
            <v>-1325698.2399999872</v>
          </cell>
          <cell r="L2023">
            <v>0</v>
          </cell>
          <cell r="N2023">
            <v>300372.63000003994</v>
          </cell>
          <cell r="O2023">
            <v>0</v>
          </cell>
          <cell r="Q2023">
            <v>88166.510000035167</v>
          </cell>
          <cell r="R2023">
            <v>0</v>
          </cell>
          <cell r="T2023">
            <v>104716.98000000417</v>
          </cell>
          <cell r="U2023">
            <v>0</v>
          </cell>
          <cell r="W2023">
            <v>150144.81000104547</v>
          </cell>
          <cell r="X2023">
            <v>0</v>
          </cell>
          <cell r="Z2023">
            <v>-567761.00999708474</v>
          </cell>
          <cell r="AA2023">
            <v>0</v>
          </cell>
          <cell r="AC2023">
            <v>100574.9600020349</v>
          </cell>
          <cell r="AD2023">
            <v>0</v>
          </cell>
          <cell r="AF2023">
            <v>826513.31000193954</v>
          </cell>
          <cell r="AG2023">
            <v>0</v>
          </cell>
          <cell r="AI2023">
            <v>-1438069.439999789</v>
          </cell>
          <cell r="AJ2023">
            <v>0</v>
          </cell>
          <cell r="AL2023">
            <v>842661.08000016212</v>
          </cell>
          <cell r="AM2023">
            <v>0</v>
          </cell>
          <cell r="AO2023">
            <v>3295730.2600007355</v>
          </cell>
          <cell r="AP2023">
            <v>0</v>
          </cell>
          <cell r="AR2023">
            <v>-3758614.4957999289</v>
          </cell>
          <cell r="AS2023">
            <v>0</v>
          </cell>
          <cell r="BF2023" t="str">
            <v>8400</v>
          </cell>
          <cell r="BG2023" t="str">
            <v>N004</v>
          </cell>
          <cell r="BH2023" t="str">
            <v>GSA</v>
          </cell>
        </row>
        <row r="2024">
          <cell r="K2024">
            <v>59330.809999998659</v>
          </cell>
          <cell r="L2024">
            <v>0</v>
          </cell>
          <cell r="N2024">
            <v>-34566.839999999851</v>
          </cell>
          <cell r="O2024">
            <v>0</v>
          </cell>
          <cell r="Q2024">
            <v>-24483.70000000298</v>
          </cell>
          <cell r="R2024">
            <v>0</v>
          </cell>
          <cell r="T2024">
            <v>211375</v>
          </cell>
          <cell r="U2024">
            <v>0</v>
          </cell>
          <cell r="W2024">
            <v>-209915.45999999717</v>
          </cell>
          <cell r="X2024">
            <v>0</v>
          </cell>
          <cell r="Z2024">
            <v>2916.8400000110269</v>
          </cell>
          <cell r="AA2024">
            <v>0</v>
          </cell>
          <cell r="AC2024">
            <v>256033.07000001147</v>
          </cell>
          <cell r="AD2024">
            <v>0</v>
          </cell>
          <cell r="AF2024">
            <v>-245808.77000001073</v>
          </cell>
          <cell r="AG2024">
            <v>0</v>
          </cell>
          <cell r="AI2024">
            <v>-12421.519999980927</v>
          </cell>
          <cell r="AJ2024">
            <v>0</v>
          </cell>
          <cell r="AL2024">
            <v>212984.86999999732</v>
          </cell>
          <cell r="AM2024">
            <v>0</v>
          </cell>
          <cell r="AO2024">
            <v>-119272.47999998927</v>
          </cell>
          <cell r="AP2024">
            <v>0</v>
          </cell>
          <cell r="AR2024">
            <v>82738.84999999404</v>
          </cell>
          <cell r="AS2024">
            <v>0</v>
          </cell>
          <cell r="BF2024" t="str">
            <v>8400</v>
          </cell>
          <cell r="BG2024" t="str">
            <v>N005</v>
          </cell>
          <cell r="BH2024" t="str">
            <v>GSA</v>
          </cell>
        </row>
        <row r="2025">
          <cell r="K2025">
            <v>-77233.590000001714</v>
          </cell>
          <cell r="L2025">
            <v>0</v>
          </cell>
          <cell r="N2025">
            <v>56861.160000000149</v>
          </cell>
          <cell r="O2025">
            <v>0</v>
          </cell>
          <cell r="Q2025">
            <v>-107273.52999999933</v>
          </cell>
          <cell r="R2025">
            <v>0</v>
          </cell>
          <cell r="T2025">
            <v>15943.120000001043</v>
          </cell>
          <cell r="U2025">
            <v>0</v>
          </cell>
          <cell r="W2025">
            <v>-11385.460000000894</v>
          </cell>
          <cell r="X2025">
            <v>0</v>
          </cell>
          <cell r="Z2025">
            <v>71137.389999998733</v>
          </cell>
          <cell r="AA2025">
            <v>0</v>
          </cell>
          <cell r="AC2025">
            <v>-143965.84999999963</v>
          </cell>
          <cell r="AD2025">
            <v>0</v>
          </cell>
          <cell r="AF2025">
            <v>80761.929999999702</v>
          </cell>
          <cell r="AG2025">
            <v>0</v>
          </cell>
          <cell r="AI2025">
            <v>21893.420000001788</v>
          </cell>
          <cell r="AJ2025">
            <v>0</v>
          </cell>
          <cell r="AL2025">
            <v>116895.00999999791</v>
          </cell>
          <cell r="AM2025">
            <v>0</v>
          </cell>
          <cell r="AO2025">
            <v>-440521.95000000298</v>
          </cell>
          <cell r="AP2025">
            <v>0</v>
          </cell>
          <cell r="AR2025">
            <v>-80092.109999995679</v>
          </cell>
          <cell r="AS2025">
            <v>0</v>
          </cell>
          <cell r="BF2025" t="str">
            <v>8400</v>
          </cell>
          <cell r="BG2025" t="str">
            <v>N006</v>
          </cell>
          <cell r="BH2025" t="str">
            <v>GSA</v>
          </cell>
        </row>
        <row r="2026">
          <cell r="K2026">
            <v>-86120.120000000112</v>
          </cell>
          <cell r="L2026">
            <v>0</v>
          </cell>
          <cell r="N2026">
            <v>82381.330000000075</v>
          </cell>
          <cell r="O2026">
            <v>0</v>
          </cell>
          <cell r="Q2026">
            <v>-109399.50000000093</v>
          </cell>
          <cell r="R2026">
            <v>0</v>
          </cell>
          <cell r="T2026">
            <v>11164.089999999851</v>
          </cell>
          <cell r="U2026">
            <v>0</v>
          </cell>
          <cell r="W2026">
            <v>43034.640000000596</v>
          </cell>
          <cell r="X2026">
            <v>0</v>
          </cell>
          <cell r="Z2026">
            <v>37904.409999998286</v>
          </cell>
          <cell r="AA2026">
            <v>0</v>
          </cell>
          <cell r="AC2026">
            <v>-116663.95999999903</v>
          </cell>
          <cell r="AD2026">
            <v>0</v>
          </cell>
          <cell r="AF2026">
            <v>-130141.53999999911</v>
          </cell>
          <cell r="AG2026">
            <v>0</v>
          </cell>
          <cell r="AI2026">
            <v>156168.57999999821</v>
          </cell>
          <cell r="AJ2026">
            <v>0</v>
          </cell>
          <cell r="AL2026">
            <v>116262.76999999583</v>
          </cell>
          <cell r="AM2026">
            <v>0</v>
          </cell>
          <cell r="AO2026">
            <v>50847.960000000894</v>
          </cell>
          <cell r="AP2026">
            <v>0</v>
          </cell>
          <cell r="AR2026">
            <v>-73372.019999995828</v>
          </cell>
          <cell r="AS2026">
            <v>0</v>
          </cell>
          <cell r="BF2026" t="str">
            <v>8400</v>
          </cell>
          <cell r="BG2026" t="str">
            <v>N007</v>
          </cell>
          <cell r="BH2026" t="str">
            <v>GSA</v>
          </cell>
        </row>
        <row r="2027">
          <cell r="K2027">
            <v>0</v>
          </cell>
          <cell r="L2027">
            <v>0</v>
          </cell>
          <cell r="N2027">
            <v>0</v>
          </cell>
          <cell r="O2027">
            <v>0</v>
          </cell>
          <cell r="Q2027">
            <v>0</v>
          </cell>
          <cell r="R2027">
            <v>0</v>
          </cell>
          <cell r="T2027">
            <v>0</v>
          </cell>
          <cell r="U2027">
            <v>0</v>
          </cell>
          <cell r="W2027">
            <v>0</v>
          </cell>
          <cell r="X2027">
            <v>0</v>
          </cell>
          <cell r="Z2027">
            <v>0</v>
          </cell>
          <cell r="AA2027">
            <v>0</v>
          </cell>
          <cell r="AC2027">
            <v>0</v>
          </cell>
          <cell r="AD2027">
            <v>0</v>
          </cell>
          <cell r="AF2027">
            <v>17.25</v>
          </cell>
          <cell r="AG2027">
            <v>0</v>
          </cell>
          <cell r="AI2027">
            <v>-17.25</v>
          </cell>
          <cell r="AJ2027">
            <v>0</v>
          </cell>
          <cell r="AL2027">
            <v>0</v>
          </cell>
          <cell r="AM2027">
            <v>0</v>
          </cell>
          <cell r="AO2027">
            <v>0</v>
          </cell>
          <cell r="AP2027">
            <v>0</v>
          </cell>
          <cell r="AR2027">
            <v>0</v>
          </cell>
          <cell r="AS2027">
            <v>0</v>
          </cell>
          <cell r="BF2027" t="str">
            <v>8400</v>
          </cell>
          <cell r="BG2027" t="str">
            <v>N008</v>
          </cell>
          <cell r="BH2027" t="str">
            <v>GSA</v>
          </cell>
        </row>
        <row r="2028">
          <cell r="K2028">
            <v>0</v>
          </cell>
          <cell r="L2028">
            <v>0</v>
          </cell>
          <cell r="N2028">
            <v>0</v>
          </cell>
          <cell r="O2028">
            <v>0</v>
          </cell>
          <cell r="Q2028">
            <v>0</v>
          </cell>
          <cell r="R2028">
            <v>0</v>
          </cell>
          <cell r="T2028">
            <v>0</v>
          </cell>
          <cell r="U2028">
            <v>0</v>
          </cell>
          <cell r="W2028">
            <v>0</v>
          </cell>
          <cell r="X2028">
            <v>0</v>
          </cell>
          <cell r="Z2028">
            <v>0</v>
          </cell>
          <cell r="AA2028">
            <v>0</v>
          </cell>
          <cell r="AC2028">
            <v>0</v>
          </cell>
          <cell r="AD2028">
            <v>0</v>
          </cell>
          <cell r="AF2028">
            <v>0</v>
          </cell>
          <cell r="AG2028">
            <v>0</v>
          </cell>
          <cell r="AI2028">
            <v>8235.6600000000326</v>
          </cell>
          <cell r="AJ2028">
            <v>0</v>
          </cell>
          <cell r="AL2028">
            <v>0</v>
          </cell>
          <cell r="AM2028">
            <v>0</v>
          </cell>
          <cell r="AO2028">
            <v>0</v>
          </cell>
          <cell r="AP2028">
            <v>0</v>
          </cell>
          <cell r="AR2028">
            <v>0</v>
          </cell>
          <cell r="AS2028">
            <v>0</v>
          </cell>
          <cell r="BF2028" t="str">
            <v>8400</v>
          </cell>
          <cell r="BG2028" t="str">
            <v>N009</v>
          </cell>
          <cell r="BH2028" t="str">
            <v>GSA</v>
          </cell>
        </row>
        <row r="2029">
          <cell r="K2029">
            <v>0</v>
          </cell>
          <cell r="L2029">
            <v>0</v>
          </cell>
          <cell r="N2029">
            <v>0</v>
          </cell>
          <cell r="O2029">
            <v>0</v>
          </cell>
          <cell r="Q2029">
            <v>0</v>
          </cell>
          <cell r="R2029">
            <v>0</v>
          </cell>
          <cell r="T2029">
            <v>0</v>
          </cell>
          <cell r="U2029">
            <v>0</v>
          </cell>
          <cell r="W2029">
            <v>0</v>
          </cell>
          <cell r="X2029">
            <v>0</v>
          </cell>
          <cell r="Z2029">
            <v>0</v>
          </cell>
          <cell r="AA2029">
            <v>0</v>
          </cell>
          <cell r="AC2029">
            <v>0</v>
          </cell>
          <cell r="AD2029">
            <v>0</v>
          </cell>
          <cell r="AF2029">
            <v>0</v>
          </cell>
          <cell r="AG2029">
            <v>0</v>
          </cell>
          <cell r="AI2029">
            <v>0</v>
          </cell>
          <cell r="AJ2029">
            <v>0</v>
          </cell>
          <cell r="AL2029">
            <v>0</v>
          </cell>
          <cell r="AM2029">
            <v>0</v>
          </cell>
          <cell r="AO2029">
            <v>0</v>
          </cell>
          <cell r="AP2029">
            <v>0</v>
          </cell>
          <cell r="AR2029">
            <v>0</v>
          </cell>
          <cell r="AS2029">
            <v>0</v>
          </cell>
          <cell r="BF2029" t="str">
            <v>8400</v>
          </cell>
          <cell r="BG2029" t="str">
            <v>N010</v>
          </cell>
          <cell r="BH2029" t="str">
            <v>GSA</v>
          </cell>
        </row>
        <row r="2030">
          <cell r="K2030">
            <v>0</v>
          </cell>
          <cell r="L2030">
            <v>0</v>
          </cell>
          <cell r="N2030">
            <v>0</v>
          </cell>
          <cell r="O2030">
            <v>0</v>
          </cell>
          <cell r="Q2030">
            <v>0</v>
          </cell>
          <cell r="R2030">
            <v>0</v>
          </cell>
          <cell r="T2030">
            <v>0</v>
          </cell>
          <cell r="U2030">
            <v>0</v>
          </cell>
          <cell r="W2030">
            <v>0</v>
          </cell>
          <cell r="X2030">
            <v>0</v>
          </cell>
          <cell r="Z2030">
            <v>0</v>
          </cell>
          <cell r="AA2030">
            <v>0</v>
          </cell>
          <cell r="AC2030">
            <v>0</v>
          </cell>
          <cell r="AD2030">
            <v>0</v>
          </cell>
          <cell r="AF2030">
            <v>500</v>
          </cell>
          <cell r="AG2030">
            <v>0</v>
          </cell>
          <cell r="AI2030">
            <v>-250</v>
          </cell>
          <cell r="AJ2030">
            <v>0</v>
          </cell>
          <cell r="AL2030">
            <v>0</v>
          </cell>
          <cell r="AM2030">
            <v>0</v>
          </cell>
          <cell r="AO2030">
            <v>-1964.0499999999956</v>
          </cell>
          <cell r="AP2030">
            <v>0</v>
          </cell>
          <cell r="AR2030">
            <v>1714.0500000000029</v>
          </cell>
          <cell r="AS2030">
            <v>0</v>
          </cell>
          <cell r="BF2030" t="str">
            <v>8400</v>
          </cell>
          <cell r="BG2030" t="str">
            <v>N011</v>
          </cell>
          <cell r="BH2030" t="str">
            <v>GSA</v>
          </cell>
        </row>
        <row r="2031">
          <cell r="K2031">
            <v>-85388.7</v>
          </cell>
          <cell r="L2031">
            <v>0</v>
          </cell>
          <cell r="N2031">
            <v>45351.09</v>
          </cell>
          <cell r="O2031">
            <v>0</v>
          </cell>
          <cell r="Q2031">
            <v>-5055.6000000000058</v>
          </cell>
          <cell r="R2031">
            <v>0</v>
          </cell>
          <cell r="T2031">
            <v>4613.0299999999988</v>
          </cell>
          <cell r="U2031">
            <v>0</v>
          </cell>
          <cell r="W2031">
            <v>1230.679999999993</v>
          </cell>
          <cell r="X2031">
            <v>0</v>
          </cell>
          <cell r="Z2031">
            <v>-5281.820000000007</v>
          </cell>
          <cell r="AA2031">
            <v>0</v>
          </cell>
          <cell r="AC2031">
            <v>5556.4799999999232</v>
          </cell>
          <cell r="AD2031">
            <v>0</v>
          </cell>
          <cell r="AF2031">
            <v>-1209.3199999999779</v>
          </cell>
          <cell r="AG2031">
            <v>0</v>
          </cell>
          <cell r="AI2031">
            <v>-3736.9599999999919</v>
          </cell>
          <cell r="AJ2031">
            <v>0</v>
          </cell>
          <cell r="AL2031">
            <v>992.19999999998254</v>
          </cell>
          <cell r="AM2031">
            <v>0</v>
          </cell>
          <cell r="AO2031">
            <v>-8642.1000000000349</v>
          </cell>
          <cell r="AP2031">
            <v>0</v>
          </cell>
          <cell r="AR2031">
            <v>-8531.7800000000279</v>
          </cell>
          <cell r="AS2031">
            <v>0</v>
          </cell>
          <cell r="BF2031" t="str">
            <v>8400</v>
          </cell>
          <cell r="BG2031" t="str">
            <v>N012</v>
          </cell>
          <cell r="BH2031" t="str">
            <v>GSA</v>
          </cell>
        </row>
        <row r="2032">
          <cell r="K2032">
            <v>-85.149999999999977</v>
          </cell>
          <cell r="L2032">
            <v>0</v>
          </cell>
          <cell r="N2032">
            <v>-84.000000000000114</v>
          </cell>
          <cell r="O2032">
            <v>0</v>
          </cell>
          <cell r="Q2032">
            <v>-84.440000000000055</v>
          </cell>
          <cell r="R2032">
            <v>0</v>
          </cell>
          <cell r="T2032">
            <v>403.5</v>
          </cell>
          <cell r="U2032">
            <v>0</v>
          </cell>
          <cell r="W2032">
            <v>-112.74000000000001</v>
          </cell>
          <cell r="X2032">
            <v>0</v>
          </cell>
          <cell r="Z2032">
            <v>-99.6099999999999</v>
          </cell>
          <cell r="AA2032">
            <v>0</v>
          </cell>
          <cell r="AC2032">
            <v>-105.82999999999993</v>
          </cell>
          <cell r="AD2032">
            <v>0</v>
          </cell>
          <cell r="AF2032">
            <v>151.09000000000015</v>
          </cell>
          <cell r="AG2032">
            <v>0</v>
          </cell>
          <cell r="AI2032">
            <v>2086424.3999999522</v>
          </cell>
          <cell r="AJ2032">
            <v>0</v>
          </cell>
          <cell r="AL2032">
            <v>-236319.97000042908</v>
          </cell>
          <cell r="AM2032">
            <v>0</v>
          </cell>
          <cell r="AO2032">
            <v>-1347929.5799996853</v>
          </cell>
          <cell r="AP2032">
            <v>0</v>
          </cell>
          <cell r="AR2032">
            <v>2893787.2400006205</v>
          </cell>
          <cell r="AS2032">
            <v>0</v>
          </cell>
          <cell r="BF2032" t="str">
            <v>8400</v>
          </cell>
          <cell r="BG2032" t="str">
            <v>N013</v>
          </cell>
          <cell r="BH2032" t="str">
            <v>GSA</v>
          </cell>
        </row>
        <row r="2033">
          <cell r="K2033">
            <v>10007.39</v>
          </cell>
          <cell r="L2033">
            <v>0</v>
          </cell>
          <cell r="N2033">
            <v>3.8999999999996362</v>
          </cell>
          <cell r="O2033">
            <v>0</v>
          </cell>
          <cell r="Q2033">
            <v>8.2299999999995634</v>
          </cell>
          <cell r="R2033">
            <v>0</v>
          </cell>
          <cell r="T2033">
            <v>8.5100000000002183</v>
          </cell>
          <cell r="U2033">
            <v>0</v>
          </cell>
          <cell r="W2033">
            <v>-2.1399999999994179</v>
          </cell>
          <cell r="X2033">
            <v>0</v>
          </cell>
          <cell r="Z2033">
            <v>3.3299999999999272</v>
          </cell>
          <cell r="AA2033">
            <v>0</v>
          </cell>
          <cell r="AC2033">
            <v>0.21999999999934516</v>
          </cell>
          <cell r="AD2033">
            <v>0</v>
          </cell>
          <cell r="AF2033">
            <v>-6.8299999999981083</v>
          </cell>
          <cell r="AG2033">
            <v>0</v>
          </cell>
          <cell r="AI2033">
            <v>-3.9400000000005093</v>
          </cell>
          <cell r="AJ2033">
            <v>0</v>
          </cell>
          <cell r="AL2033">
            <v>6766583.8000000007</v>
          </cell>
          <cell r="AM2033">
            <v>0</v>
          </cell>
          <cell r="AO2033">
            <v>-5247460.82</v>
          </cell>
          <cell r="AP2033">
            <v>0</v>
          </cell>
          <cell r="AR2033">
            <v>-324314.35000000335</v>
          </cell>
          <cell r="AS2033">
            <v>0</v>
          </cell>
          <cell r="BF2033" t="str">
            <v>8400</v>
          </cell>
          <cell r="BG2033" t="str">
            <v>N014</v>
          </cell>
          <cell r="BH2033" t="str">
            <v>GSA</v>
          </cell>
        </row>
        <row r="2034">
          <cell r="K2034">
            <v>0</v>
          </cell>
          <cell r="L2034">
            <v>0</v>
          </cell>
          <cell r="N2034">
            <v>0</v>
          </cell>
          <cell r="O2034">
            <v>0</v>
          </cell>
          <cell r="Q2034">
            <v>20877.47000000003</v>
          </cell>
          <cell r="R2034">
            <v>0</v>
          </cell>
          <cell r="T2034">
            <v>12666.109999999811</v>
          </cell>
          <cell r="U2034">
            <v>0</v>
          </cell>
          <cell r="W2034">
            <v>4778.4799999981187</v>
          </cell>
          <cell r="X2034">
            <v>0</v>
          </cell>
          <cell r="Z2034">
            <v>27778.660000000848</v>
          </cell>
          <cell r="AA2034">
            <v>0</v>
          </cell>
          <cell r="AC2034">
            <v>-22532.930000001099</v>
          </cell>
          <cell r="AD2034">
            <v>0</v>
          </cell>
          <cell r="AF2034">
            <v>-195880.87000000058</v>
          </cell>
          <cell r="AG2034">
            <v>0</v>
          </cell>
          <cell r="AI2034">
            <v>167631.54999999981</v>
          </cell>
          <cell r="AJ2034">
            <v>0</v>
          </cell>
          <cell r="AL2034">
            <v>95129.869999997318</v>
          </cell>
          <cell r="AM2034">
            <v>0</v>
          </cell>
          <cell r="AO2034">
            <v>-6554.5099999997765</v>
          </cell>
          <cell r="AP2034">
            <v>0</v>
          </cell>
          <cell r="AR2034">
            <v>9940.2700000014156</v>
          </cell>
          <cell r="AS2034">
            <v>0</v>
          </cell>
          <cell r="BF2034" t="str">
            <v>8400</v>
          </cell>
          <cell r="BG2034" t="str">
            <v>N015</v>
          </cell>
          <cell r="BH2034" t="str">
            <v>GSA</v>
          </cell>
        </row>
        <row r="2035">
          <cell r="K2035">
            <v>-57000</v>
          </cell>
          <cell r="L2035">
            <v>0</v>
          </cell>
          <cell r="N2035">
            <v>0</v>
          </cell>
          <cell r="O2035">
            <v>0</v>
          </cell>
          <cell r="Q2035">
            <v>57000</v>
          </cell>
          <cell r="R2035">
            <v>0</v>
          </cell>
          <cell r="T2035">
            <v>0</v>
          </cell>
          <cell r="U2035">
            <v>0</v>
          </cell>
          <cell r="W2035">
            <v>-10500</v>
          </cell>
          <cell r="X2035">
            <v>0</v>
          </cell>
          <cell r="Z2035">
            <v>10500</v>
          </cell>
          <cell r="AA2035">
            <v>0</v>
          </cell>
          <cell r="AC2035">
            <v>0</v>
          </cell>
          <cell r="AD2035">
            <v>0</v>
          </cell>
          <cell r="AF2035">
            <v>0</v>
          </cell>
          <cell r="AG2035">
            <v>0</v>
          </cell>
          <cell r="AI2035">
            <v>1059485</v>
          </cell>
          <cell r="AJ2035">
            <v>0</v>
          </cell>
          <cell r="AL2035">
            <v>-1059485</v>
          </cell>
          <cell r="AM2035">
            <v>0</v>
          </cell>
          <cell r="AO2035">
            <v>3125760</v>
          </cell>
          <cell r="AP2035">
            <v>0</v>
          </cell>
          <cell r="AR2035">
            <v>-3125760</v>
          </cell>
          <cell r="AS2035">
            <v>0</v>
          </cell>
          <cell r="BF2035" t="str">
            <v>8400</v>
          </cell>
          <cell r="BG2035" t="str">
            <v>N999</v>
          </cell>
          <cell r="BH2035" t="str">
            <v>GSA</v>
          </cell>
        </row>
        <row r="2036">
          <cell r="K2036">
            <v>0</v>
          </cell>
          <cell r="L2036">
            <v>0</v>
          </cell>
          <cell r="N2036">
            <v>0</v>
          </cell>
          <cell r="O2036">
            <v>0</v>
          </cell>
          <cell r="Q2036">
            <v>0</v>
          </cell>
          <cell r="R2036">
            <v>0</v>
          </cell>
          <cell r="T2036">
            <v>0</v>
          </cell>
          <cell r="U2036">
            <v>0</v>
          </cell>
          <cell r="W2036">
            <v>0</v>
          </cell>
          <cell r="X2036">
            <v>0</v>
          </cell>
          <cell r="Z2036">
            <v>0</v>
          </cell>
          <cell r="AA2036">
            <v>0</v>
          </cell>
          <cell r="AC2036">
            <v>0</v>
          </cell>
          <cell r="AD2036">
            <v>0</v>
          </cell>
          <cell r="AF2036">
            <v>0</v>
          </cell>
          <cell r="AG2036">
            <v>0</v>
          </cell>
          <cell r="AI2036">
            <v>0</v>
          </cell>
          <cell r="AJ2036">
            <v>0</v>
          </cell>
          <cell r="AL2036">
            <v>0</v>
          </cell>
          <cell r="AM2036">
            <v>0</v>
          </cell>
          <cell r="AO2036">
            <v>0</v>
          </cell>
          <cell r="AP2036">
            <v>0</v>
          </cell>
          <cell r="AR2036">
            <v>0</v>
          </cell>
          <cell r="AS2036">
            <v>0</v>
          </cell>
          <cell r="BF2036" t="str">
            <v>8420</v>
          </cell>
          <cell r="BG2036" t="str">
            <v>Z000</v>
          </cell>
          <cell r="BH2036" t="str">
            <v>GSA</v>
          </cell>
        </row>
        <row r="2037">
          <cell r="K2037">
            <v>0</v>
          </cell>
          <cell r="L2037">
            <v>0</v>
          </cell>
          <cell r="N2037">
            <v>0</v>
          </cell>
          <cell r="O2037">
            <v>0</v>
          </cell>
          <cell r="Q2037">
            <v>0</v>
          </cell>
          <cell r="R2037">
            <v>0</v>
          </cell>
          <cell r="T2037">
            <v>0</v>
          </cell>
          <cell r="U2037">
            <v>0</v>
          </cell>
          <cell r="W2037">
            <v>0</v>
          </cell>
          <cell r="X2037">
            <v>0</v>
          </cell>
          <cell r="Z2037">
            <v>0</v>
          </cell>
          <cell r="AA2037">
            <v>0</v>
          </cell>
          <cell r="AC2037">
            <v>0</v>
          </cell>
          <cell r="AD2037">
            <v>0</v>
          </cell>
          <cell r="AF2037">
            <v>0</v>
          </cell>
          <cell r="AG2037">
            <v>0</v>
          </cell>
          <cell r="AI2037">
            <v>0</v>
          </cell>
          <cell r="AJ2037">
            <v>0</v>
          </cell>
          <cell r="AL2037">
            <v>0</v>
          </cell>
          <cell r="AM2037">
            <v>0</v>
          </cell>
          <cell r="AO2037">
            <v>0</v>
          </cell>
          <cell r="AP2037">
            <v>0</v>
          </cell>
          <cell r="AR2037">
            <v>0</v>
          </cell>
          <cell r="AS2037">
            <v>0</v>
          </cell>
          <cell r="BF2037" t="str">
            <v>8500</v>
          </cell>
          <cell r="BG2037" t="str">
            <v>O101</v>
          </cell>
          <cell r="BH2037" t="str">
            <v>GSA</v>
          </cell>
        </row>
        <row r="2038">
          <cell r="K2038">
            <v>0</v>
          </cell>
          <cell r="L2038">
            <v>0</v>
          </cell>
          <cell r="N2038">
            <v>0</v>
          </cell>
          <cell r="O2038">
            <v>0</v>
          </cell>
          <cell r="Q2038">
            <v>0</v>
          </cell>
          <cell r="R2038">
            <v>0</v>
          </cell>
          <cell r="T2038">
            <v>0</v>
          </cell>
          <cell r="U2038">
            <v>0</v>
          </cell>
          <cell r="W2038">
            <v>0</v>
          </cell>
          <cell r="X2038">
            <v>0</v>
          </cell>
          <cell r="Z2038">
            <v>0</v>
          </cell>
          <cell r="AA2038">
            <v>0</v>
          </cell>
          <cell r="AC2038">
            <v>0</v>
          </cell>
          <cell r="AD2038">
            <v>0</v>
          </cell>
          <cell r="AF2038">
            <v>0</v>
          </cell>
          <cell r="AG2038">
            <v>0</v>
          </cell>
          <cell r="AI2038">
            <v>0</v>
          </cell>
          <cell r="AJ2038">
            <v>0</v>
          </cell>
          <cell r="AL2038">
            <v>0</v>
          </cell>
          <cell r="AM2038">
            <v>0</v>
          </cell>
          <cell r="AO2038">
            <v>0</v>
          </cell>
          <cell r="AP2038">
            <v>0</v>
          </cell>
          <cell r="AR2038">
            <v>0</v>
          </cell>
          <cell r="AS2038">
            <v>0</v>
          </cell>
          <cell r="BF2038" t="str">
            <v>8500</v>
          </cell>
          <cell r="BG2038" t="str">
            <v>O102</v>
          </cell>
          <cell r="BH2038" t="str">
            <v>GSA</v>
          </cell>
        </row>
        <row r="2039">
          <cell r="K2039">
            <v>0</v>
          </cell>
          <cell r="L2039">
            <v>0</v>
          </cell>
          <cell r="N2039">
            <v>0</v>
          </cell>
          <cell r="O2039">
            <v>0</v>
          </cell>
          <cell r="Q2039">
            <v>0</v>
          </cell>
          <cell r="R2039">
            <v>0</v>
          </cell>
          <cell r="T2039">
            <v>0</v>
          </cell>
          <cell r="U2039">
            <v>0</v>
          </cell>
          <cell r="W2039">
            <v>0</v>
          </cell>
          <cell r="X2039">
            <v>0</v>
          </cell>
          <cell r="Z2039">
            <v>0</v>
          </cell>
          <cell r="AA2039">
            <v>0</v>
          </cell>
          <cell r="AC2039">
            <v>0</v>
          </cell>
          <cell r="AD2039">
            <v>0</v>
          </cell>
          <cell r="AF2039">
            <v>0</v>
          </cell>
          <cell r="AG2039">
            <v>0</v>
          </cell>
          <cell r="AI2039">
            <v>0</v>
          </cell>
          <cell r="AJ2039">
            <v>0</v>
          </cell>
          <cell r="AL2039">
            <v>0</v>
          </cell>
          <cell r="AM2039">
            <v>0</v>
          </cell>
          <cell r="AO2039">
            <v>0</v>
          </cell>
          <cell r="AP2039">
            <v>0</v>
          </cell>
          <cell r="AR2039">
            <v>0</v>
          </cell>
          <cell r="AS2039">
            <v>0</v>
          </cell>
          <cell r="BF2039" t="str">
            <v>8600</v>
          </cell>
          <cell r="BG2039" t="str">
            <v>P201</v>
          </cell>
          <cell r="BH2039" t="str">
            <v>GSA</v>
          </cell>
        </row>
        <row r="2040">
          <cell r="K2040">
            <v>0</v>
          </cell>
          <cell r="L2040">
            <v>0</v>
          </cell>
          <cell r="N2040">
            <v>0</v>
          </cell>
          <cell r="O2040">
            <v>0</v>
          </cell>
          <cell r="Q2040">
            <v>0</v>
          </cell>
          <cell r="R2040">
            <v>0</v>
          </cell>
          <cell r="T2040">
            <v>0</v>
          </cell>
          <cell r="U2040">
            <v>0</v>
          </cell>
          <cell r="W2040">
            <v>0</v>
          </cell>
          <cell r="X2040">
            <v>0</v>
          </cell>
          <cell r="Z2040">
            <v>0</v>
          </cell>
          <cell r="AA2040">
            <v>0</v>
          </cell>
          <cell r="AC2040">
            <v>0</v>
          </cell>
          <cell r="AD2040">
            <v>0</v>
          </cell>
          <cell r="AF2040">
            <v>0</v>
          </cell>
          <cell r="AG2040">
            <v>0</v>
          </cell>
          <cell r="AI2040">
            <v>0</v>
          </cell>
          <cell r="AJ2040">
            <v>0</v>
          </cell>
          <cell r="AL2040">
            <v>0</v>
          </cell>
          <cell r="AM2040">
            <v>0</v>
          </cell>
          <cell r="AO2040">
            <v>0</v>
          </cell>
          <cell r="AP2040">
            <v>0</v>
          </cell>
          <cell r="AR2040">
            <v>0</v>
          </cell>
          <cell r="AS2040">
            <v>0</v>
          </cell>
          <cell r="BF2040" t="str">
            <v>8600</v>
          </cell>
          <cell r="BG2040" t="str">
            <v>P202</v>
          </cell>
          <cell r="BH2040" t="str">
            <v>GSA</v>
          </cell>
        </row>
        <row r="2041">
          <cell r="K2041">
            <v>0</v>
          </cell>
          <cell r="L2041">
            <v>0</v>
          </cell>
          <cell r="N2041">
            <v>0</v>
          </cell>
          <cell r="O2041">
            <v>0</v>
          </cell>
          <cell r="Q2041">
            <v>0</v>
          </cell>
          <cell r="R2041">
            <v>0</v>
          </cell>
          <cell r="T2041">
            <v>0</v>
          </cell>
          <cell r="U2041">
            <v>0</v>
          </cell>
          <cell r="W2041">
            <v>0</v>
          </cell>
          <cell r="X2041">
            <v>0</v>
          </cell>
          <cell r="Z2041">
            <v>0</v>
          </cell>
          <cell r="AA2041">
            <v>0</v>
          </cell>
          <cell r="AC2041">
            <v>0</v>
          </cell>
          <cell r="AD2041">
            <v>0</v>
          </cell>
          <cell r="AF2041">
            <v>0</v>
          </cell>
          <cell r="AG2041">
            <v>0</v>
          </cell>
          <cell r="AI2041">
            <v>0</v>
          </cell>
          <cell r="AJ2041">
            <v>0</v>
          </cell>
          <cell r="AL2041">
            <v>0</v>
          </cell>
          <cell r="AM2041">
            <v>0</v>
          </cell>
          <cell r="AO2041">
            <v>0</v>
          </cell>
          <cell r="AP2041">
            <v>0</v>
          </cell>
          <cell r="AR2041">
            <v>0</v>
          </cell>
          <cell r="AS2041">
            <v>0</v>
          </cell>
          <cell r="BF2041" t="str">
            <v>8600</v>
          </cell>
          <cell r="BG2041" t="str">
            <v>P203</v>
          </cell>
          <cell r="BH2041" t="str">
            <v>GSA</v>
          </cell>
        </row>
        <row r="2042">
          <cell r="K2042">
            <v>0</v>
          </cell>
          <cell r="L2042">
            <v>0</v>
          </cell>
          <cell r="N2042">
            <v>0</v>
          </cell>
          <cell r="O2042">
            <v>0</v>
          </cell>
          <cell r="Q2042">
            <v>0</v>
          </cell>
          <cell r="R2042">
            <v>0</v>
          </cell>
          <cell r="T2042">
            <v>0</v>
          </cell>
          <cell r="U2042">
            <v>0</v>
          </cell>
          <cell r="W2042">
            <v>0</v>
          </cell>
          <cell r="X2042">
            <v>0</v>
          </cell>
          <cell r="Z2042">
            <v>0</v>
          </cell>
          <cell r="AA2042">
            <v>0</v>
          </cell>
          <cell r="AC2042">
            <v>0</v>
          </cell>
          <cell r="AD2042">
            <v>0</v>
          </cell>
          <cell r="AF2042">
            <v>0</v>
          </cell>
          <cell r="AG2042">
            <v>0</v>
          </cell>
          <cell r="AI2042">
            <v>0</v>
          </cell>
          <cell r="AJ2042">
            <v>0</v>
          </cell>
          <cell r="AL2042">
            <v>0</v>
          </cell>
          <cell r="AM2042">
            <v>0</v>
          </cell>
          <cell r="AO2042">
            <v>0</v>
          </cell>
          <cell r="AP2042">
            <v>0</v>
          </cell>
          <cell r="AR2042">
            <v>0</v>
          </cell>
          <cell r="AS2042">
            <v>0</v>
          </cell>
          <cell r="BF2042" t="str">
            <v>8600</v>
          </cell>
          <cell r="BG2042" t="str">
            <v>P204</v>
          </cell>
          <cell r="BH2042" t="str">
            <v>GSA</v>
          </cell>
        </row>
        <row r="2043">
          <cell r="K2043">
            <v>0</v>
          </cell>
          <cell r="L2043">
            <v>0</v>
          </cell>
          <cell r="N2043">
            <v>0</v>
          </cell>
          <cell r="O2043">
            <v>0</v>
          </cell>
          <cell r="Q2043">
            <v>0</v>
          </cell>
          <cell r="R2043">
            <v>0</v>
          </cell>
          <cell r="T2043">
            <v>0</v>
          </cell>
          <cell r="U2043">
            <v>0</v>
          </cell>
          <cell r="W2043">
            <v>0</v>
          </cell>
          <cell r="X2043">
            <v>0</v>
          </cell>
          <cell r="Z2043">
            <v>0</v>
          </cell>
          <cell r="AA2043">
            <v>0</v>
          </cell>
          <cell r="AC2043">
            <v>0</v>
          </cell>
          <cell r="AD2043">
            <v>0</v>
          </cell>
          <cell r="AF2043">
            <v>0</v>
          </cell>
          <cell r="AG2043">
            <v>0</v>
          </cell>
          <cell r="AI2043">
            <v>0</v>
          </cell>
          <cell r="AJ2043">
            <v>0</v>
          </cell>
          <cell r="AL2043">
            <v>0</v>
          </cell>
          <cell r="AM2043">
            <v>0</v>
          </cell>
          <cell r="AO2043">
            <v>0</v>
          </cell>
          <cell r="AP2043">
            <v>0</v>
          </cell>
          <cell r="AR2043">
            <v>0</v>
          </cell>
          <cell r="AS2043">
            <v>0</v>
          </cell>
          <cell r="BF2043" t="str">
            <v>8600</v>
          </cell>
          <cell r="BG2043" t="str">
            <v>P205</v>
          </cell>
          <cell r="BH2043" t="str">
            <v>GSA</v>
          </cell>
        </row>
        <row r="2044">
          <cell r="K2044">
            <v>0</v>
          </cell>
          <cell r="L2044">
            <v>0</v>
          </cell>
          <cell r="N2044">
            <v>0</v>
          </cell>
          <cell r="O2044">
            <v>0</v>
          </cell>
          <cell r="Q2044">
            <v>0</v>
          </cell>
          <cell r="R2044">
            <v>0</v>
          </cell>
          <cell r="T2044">
            <v>0</v>
          </cell>
          <cell r="U2044">
            <v>0</v>
          </cell>
          <cell r="W2044">
            <v>0</v>
          </cell>
          <cell r="X2044">
            <v>0</v>
          </cell>
          <cell r="Z2044">
            <v>0</v>
          </cell>
          <cell r="AA2044">
            <v>0</v>
          </cell>
          <cell r="AC2044">
            <v>0</v>
          </cell>
          <cell r="AD2044">
            <v>0</v>
          </cell>
          <cell r="AF2044">
            <v>0</v>
          </cell>
          <cell r="AG2044">
            <v>0</v>
          </cell>
          <cell r="AI2044">
            <v>0</v>
          </cell>
          <cell r="AJ2044">
            <v>0</v>
          </cell>
          <cell r="AL2044">
            <v>0</v>
          </cell>
          <cell r="AM2044">
            <v>0</v>
          </cell>
          <cell r="AO2044">
            <v>0</v>
          </cell>
          <cell r="AP2044">
            <v>0</v>
          </cell>
          <cell r="AR2044">
            <v>0</v>
          </cell>
          <cell r="AS2044">
            <v>0</v>
          </cell>
          <cell r="BF2044" t="str">
            <v>8600</v>
          </cell>
          <cell r="BG2044" t="str">
            <v>P206</v>
          </cell>
          <cell r="BH2044" t="str">
            <v>GSA</v>
          </cell>
        </row>
        <row r="2045">
          <cell r="K2045">
            <v>0</v>
          </cell>
          <cell r="L2045">
            <v>0</v>
          </cell>
          <cell r="N2045">
            <v>0</v>
          </cell>
          <cell r="O2045">
            <v>0</v>
          </cell>
          <cell r="Q2045">
            <v>0</v>
          </cell>
          <cell r="R2045">
            <v>0</v>
          </cell>
          <cell r="T2045">
            <v>0</v>
          </cell>
          <cell r="U2045">
            <v>0</v>
          </cell>
          <cell r="W2045">
            <v>0</v>
          </cell>
          <cell r="X2045">
            <v>0</v>
          </cell>
          <cell r="Z2045">
            <v>0</v>
          </cell>
          <cell r="AA2045">
            <v>0</v>
          </cell>
          <cell r="AC2045">
            <v>0</v>
          </cell>
          <cell r="AD2045">
            <v>0</v>
          </cell>
          <cell r="AF2045">
            <v>0</v>
          </cell>
          <cell r="AG2045">
            <v>0</v>
          </cell>
          <cell r="AI2045">
            <v>0</v>
          </cell>
          <cell r="AJ2045">
            <v>0</v>
          </cell>
          <cell r="AL2045">
            <v>0</v>
          </cell>
          <cell r="AM2045">
            <v>0</v>
          </cell>
          <cell r="AO2045">
            <v>0</v>
          </cell>
          <cell r="AP2045">
            <v>0</v>
          </cell>
          <cell r="AR2045">
            <v>0</v>
          </cell>
          <cell r="AS2045">
            <v>0</v>
          </cell>
          <cell r="BF2045" t="str">
            <v>8600</v>
          </cell>
          <cell r="BG2045" t="str">
            <v>P207</v>
          </cell>
          <cell r="BH2045" t="str">
            <v>GSA</v>
          </cell>
        </row>
        <row r="2046">
          <cell r="K2046">
            <v>0</v>
          </cell>
          <cell r="L2046">
            <v>0</v>
          </cell>
          <cell r="N2046">
            <v>0</v>
          </cell>
          <cell r="O2046">
            <v>0</v>
          </cell>
          <cell r="Q2046">
            <v>0</v>
          </cell>
          <cell r="R2046">
            <v>0</v>
          </cell>
          <cell r="T2046">
            <v>0</v>
          </cell>
          <cell r="U2046">
            <v>0</v>
          </cell>
          <cell r="W2046">
            <v>0</v>
          </cell>
          <cell r="X2046">
            <v>0</v>
          </cell>
          <cell r="Z2046">
            <v>0</v>
          </cell>
          <cell r="AA2046">
            <v>0</v>
          </cell>
          <cell r="AC2046">
            <v>0</v>
          </cell>
          <cell r="AD2046">
            <v>0</v>
          </cell>
          <cell r="AF2046">
            <v>0</v>
          </cell>
          <cell r="AG2046">
            <v>0</v>
          </cell>
          <cell r="AI2046">
            <v>0</v>
          </cell>
          <cell r="AJ2046">
            <v>0</v>
          </cell>
          <cell r="AL2046">
            <v>0</v>
          </cell>
          <cell r="AM2046">
            <v>0</v>
          </cell>
          <cell r="AO2046">
            <v>0</v>
          </cell>
          <cell r="AP2046">
            <v>0</v>
          </cell>
          <cell r="AR2046">
            <v>0</v>
          </cell>
          <cell r="AS2046">
            <v>0</v>
          </cell>
          <cell r="BF2046" t="str">
            <v>8600</v>
          </cell>
          <cell r="BG2046" t="str">
            <v>P208</v>
          </cell>
          <cell r="BH2046" t="str">
            <v>GSA</v>
          </cell>
        </row>
        <row r="2047">
          <cell r="K2047">
            <v>0</v>
          </cell>
          <cell r="L2047">
            <v>0</v>
          </cell>
          <cell r="N2047">
            <v>0</v>
          </cell>
          <cell r="O2047">
            <v>0</v>
          </cell>
          <cell r="Q2047">
            <v>0</v>
          </cell>
          <cell r="R2047">
            <v>0</v>
          </cell>
          <cell r="T2047">
            <v>0</v>
          </cell>
          <cell r="U2047">
            <v>0</v>
          </cell>
          <cell r="W2047">
            <v>0</v>
          </cell>
          <cell r="X2047">
            <v>0</v>
          </cell>
          <cell r="Z2047">
            <v>0</v>
          </cell>
          <cell r="AA2047">
            <v>0</v>
          </cell>
          <cell r="AC2047">
            <v>0</v>
          </cell>
          <cell r="AD2047">
            <v>0</v>
          </cell>
          <cell r="AF2047">
            <v>0</v>
          </cell>
          <cell r="AG2047">
            <v>0</v>
          </cell>
          <cell r="AI2047">
            <v>0</v>
          </cell>
          <cell r="AJ2047">
            <v>0</v>
          </cell>
          <cell r="AL2047">
            <v>0</v>
          </cell>
          <cell r="AM2047">
            <v>0</v>
          </cell>
          <cell r="AO2047">
            <v>0</v>
          </cell>
          <cell r="AP2047">
            <v>0</v>
          </cell>
          <cell r="AR2047">
            <v>0</v>
          </cell>
          <cell r="AS2047">
            <v>0</v>
          </cell>
          <cell r="BF2047" t="str">
            <v>8600</v>
          </cell>
          <cell r="BG2047" t="str">
            <v>P209</v>
          </cell>
          <cell r="BH2047" t="str">
            <v>GSA</v>
          </cell>
        </row>
        <row r="2048">
          <cell r="K2048">
            <v>0</v>
          </cell>
          <cell r="L2048">
            <v>0</v>
          </cell>
          <cell r="N2048">
            <v>0</v>
          </cell>
          <cell r="O2048">
            <v>0</v>
          </cell>
          <cell r="Q2048">
            <v>0</v>
          </cell>
          <cell r="R2048">
            <v>0</v>
          </cell>
          <cell r="T2048">
            <v>0</v>
          </cell>
          <cell r="U2048">
            <v>0</v>
          </cell>
          <cell r="W2048">
            <v>0</v>
          </cell>
          <cell r="X2048">
            <v>0</v>
          </cell>
          <cell r="Z2048">
            <v>0</v>
          </cell>
          <cell r="AA2048">
            <v>0</v>
          </cell>
          <cell r="AC2048">
            <v>0</v>
          </cell>
          <cell r="AD2048">
            <v>0</v>
          </cell>
          <cell r="AF2048">
            <v>0</v>
          </cell>
          <cell r="AG2048">
            <v>0</v>
          </cell>
          <cell r="AI2048">
            <v>0</v>
          </cell>
          <cell r="AJ2048">
            <v>0</v>
          </cell>
          <cell r="AL2048">
            <v>0</v>
          </cell>
          <cell r="AM2048">
            <v>0</v>
          </cell>
          <cell r="AO2048">
            <v>0</v>
          </cell>
          <cell r="AP2048">
            <v>0</v>
          </cell>
          <cell r="AR2048">
            <v>0</v>
          </cell>
          <cell r="AS2048">
            <v>0</v>
          </cell>
          <cell r="BF2048" t="str">
            <v>8600</v>
          </cell>
          <cell r="BG2048" t="str">
            <v>P210</v>
          </cell>
          <cell r="BH2048" t="str">
            <v>GSA</v>
          </cell>
        </row>
        <row r="2049">
          <cell r="K2049">
            <v>0</v>
          </cell>
          <cell r="L2049">
            <v>0</v>
          </cell>
          <cell r="N2049">
            <v>0</v>
          </cell>
          <cell r="O2049">
            <v>0</v>
          </cell>
          <cell r="Q2049">
            <v>0</v>
          </cell>
          <cell r="R2049">
            <v>0</v>
          </cell>
          <cell r="T2049">
            <v>0</v>
          </cell>
          <cell r="U2049">
            <v>0</v>
          </cell>
          <cell r="W2049">
            <v>0</v>
          </cell>
          <cell r="X2049">
            <v>0</v>
          </cell>
          <cell r="Z2049">
            <v>0</v>
          </cell>
          <cell r="AA2049">
            <v>0</v>
          </cell>
          <cell r="AC2049">
            <v>0</v>
          </cell>
          <cell r="AD2049">
            <v>0</v>
          </cell>
          <cell r="AF2049">
            <v>0</v>
          </cell>
          <cell r="AG2049">
            <v>0</v>
          </cell>
          <cell r="AI2049">
            <v>0</v>
          </cell>
          <cell r="AJ2049">
            <v>0</v>
          </cell>
          <cell r="AL2049">
            <v>0</v>
          </cell>
          <cell r="AM2049">
            <v>0</v>
          </cell>
          <cell r="AO2049">
            <v>0</v>
          </cell>
          <cell r="AP2049">
            <v>0</v>
          </cell>
          <cell r="AR2049">
            <v>0</v>
          </cell>
          <cell r="AS2049">
            <v>0</v>
          </cell>
          <cell r="BF2049" t="str">
            <v>8600</v>
          </cell>
          <cell r="BG2049" t="str">
            <v>P211</v>
          </cell>
          <cell r="BH2049" t="str">
            <v>GSA</v>
          </cell>
        </row>
        <row r="2050">
          <cell r="K2050">
            <v>278345.98</v>
          </cell>
          <cell r="L2050">
            <v>0</v>
          </cell>
          <cell r="N2050">
            <v>253367.18999999994</v>
          </cell>
          <cell r="O2050">
            <v>0</v>
          </cell>
          <cell r="Q2050">
            <v>-389309.18000000017</v>
          </cell>
          <cell r="R2050">
            <v>0</v>
          </cell>
          <cell r="T2050">
            <v>12317.240000000224</v>
          </cell>
          <cell r="U2050">
            <v>0</v>
          </cell>
          <cell r="W2050">
            <v>16124.540000000037</v>
          </cell>
          <cell r="X2050">
            <v>0</v>
          </cell>
          <cell r="Z2050">
            <v>-310391.89999999944</v>
          </cell>
          <cell r="AA2050">
            <v>0</v>
          </cell>
          <cell r="AC2050">
            <v>93706.109999999404</v>
          </cell>
          <cell r="AD2050">
            <v>0</v>
          </cell>
          <cell r="AF2050">
            <v>182708.01999999955</v>
          </cell>
          <cell r="AG2050">
            <v>0</v>
          </cell>
          <cell r="AI2050">
            <v>125048.54000000004</v>
          </cell>
          <cell r="AJ2050">
            <v>0</v>
          </cell>
          <cell r="AL2050">
            <v>134188.63000000082</v>
          </cell>
          <cell r="AM2050">
            <v>0</v>
          </cell>
          <cell r="AO2050">
            <v>354307.66999999993</v>
          </cell>
          <cell r="AP2050">
            <v>0</v>
          </cell>
          <cell r="AR2050">
            <v>24549.990000000224</v>
          </cell>
          <cell r="AS2050">
            <v>0</v>
          </cell>
          <cell r="BF2050" t="str">
            <v>9000</v>
          </cell>
          <cell r="BG2050" t="str">
            <v>Z000</v>
          </cell>
          <cell r="BH2050" t="str">
            <v>GSA</v>
          </cell>
        </row>
        <row r="2051">
          <cell r="K2051">
            <v>0</v>
          </cell>
          <cell r="L2051">
            <v>0</v>
          </cell>
          <cell r="N2051">
            <v>0</v>
          </cell>
          <cell r="O2051">
            <v>0</v>
          </cell>
          <cell r="Q2051">
            <v>0</v>
          </cell>
          <cell r="R2051">
            <v>0</v>
          </cell>
          <cell r="T2051">
            <v>0</v>
          </cell>
          <cell r="U2051">
            <v>0</v>
          </cell>
          <cell r="W2051">
            <v>0</v>
          </cell>
          <cell r="X2051">
            <v>0</v>
          </cell>
          <cell r="Z2051">
            <v>0</v>
          </cell>
          <cell r="AA2051">
            <v>0</v>
          </cell>
          <cell r="AC2051">
            <v>0</v>
          </cell>
          <cell r="AD2051">
            <v>0</v>
          </cell>
          <cell r="AF2051">
            <v>-4311.8599999999933</v>
          </cell>
          <cell r="AG2051">
            <v>0</v>
          </cell>
          <cell r="AI2051">
            <v>0</v>
          </cell>
          <cell r="AJ2051">
            <v>0</v>
          </cell>
          <cell r="AL2051">
            <v>4867.7700000000041</v>
          </cell>
          <cell r="AM2051">
            <v>0</v>
          </cell>
          <cell r="AO2051">
            <v>-4867.7700000000041</v>
          </cell>
          <cell r="AP2051">
            <v>0</v>
          </cell>
          <cell r="AR2051">
            <v>0</v>
          </cell>
          <cell r="AS2051">
            <v>0</v>
          </cell>
          <cell r="BF2051" t="str">
            <v>9050</v>
          </cell>
          <cell r="BG2051" t="str">
            <v>Z000</v>
          </cell>
          <cell r="BH2051" t="str">
            <v>GSA</v>
          </cell>
        </row>
        <row r="2052">
          <cell r="K2052">
            <v>0</v>
          </cell>
          <cell r="L2052">
            <v>0</v>
          </cell>
          <cell r="N2052">
            <v>0</v>
          </cell>
          <cell r="O2052">
            <v>0</v>
          </cell>
          <cell r="Q2052">
            <v>-5800</v>
          </cell>
          <cell r="R2052">
            <v>0</v>
          </cell>
          <cell r="T2052">
            <v>-49249.230000001378</v>
          </cell>
          <cell r="U2052">
            <v>0</v>
          </cell>
          <cell r="W2052">
            <v>-301128.72000000533</v>
          </cell>
          <cell r="X2052">
            <v>0</v>
          </cell>
          <cell r="Z2052">
            <v>140830.89000000805</v>
          </cell>
          <cell r="AA2052">
            <v>0</v>
          </cell>
          <cell r="AC2052">
            <v>-84421.10000000149</v>
          </cell>
          <cell r="AD2052">
            <v>0</v>
          </cell>
          <cell r="AF2052">
            <v>-957102.83000002429</v>
          </cell>
          <cell r="AG2052">
            <v>0</v>
          </cell>
          <cell r="AI2052">
            <v>1482144.5300000235</v>
          </cell>
          <cell r="AJ2052">
            <v>0</v>
          </cell>
          <cell r="AL2052">
            <v>-238194.68999990076</v>
          </cell>
          <cell r="AM2052">
            <v>0</v>
          </cell>
          <cell r="AO2052">
            <v>-35795.530000001192</v>
          </cell>
          <cell r="AP2052">
            <v>0</v>
          </cell>
          <cell r="AR2052">
            <v>987366.48000000417</v>
          </cell>
          <cell r="AS2052">
            <v>0</v>
          </cell>
          <cell r="BF2052" t="str">
            <v>9051</v>
          </cell>
          <cell r="BG2052" t="str">
            <v>Z000</v>
          </cell>
          <cell r="BH2052" t="str">
            <v>GSA</v>
          </cell>
        </row>
        <row r="2053">
          <cell r="K2053">
            <v>23049.669999999925</v>
          </cell>
          <cell r="L2053">
            <v>0</v>
          </cell>
          <cell r="N2053">
            <v>-35355.120000000112</v>
          </cell>
          <cell r="O2053">
            <v>0</v>
          </cell>
          <cell r="Q2053">
            <v>92436.120000000112</v>
          </cell>
          <cell r="R2053">
            <v>0</v>
          </cell>
          <cell r="T2053">
            <v>-50229.759999999776</v>
          </cell>
          <cell r="U2053">
            <v>0</v>
          </cell>
          <cell r="W2053">
            <v>116460.03999999911</v>
          </cell>
          <cell r="X2053">
            <v>0</v>
          </cell>
          <cell r="Z2053">
            <v>-67701.580000001006</v>
          </cell>
          <cell r="AA2053">
            <v>0</v>
          </cell>
          <cell r="AC2053">
            <v>61443.269999999553</v>
          </cell>
          <cell r="AD2053">
            <v>0</v>
          </cell>
          <cell r="AF2053">
            <v>419921.04000000376</v>
          </cell>
          <cell r="AG2053">
            <v>0</v>
          </cell>
          <cell r="AI2053">
            <v>-465471.51000000164</v>
          </cell>
          <cell r="AJ2053">
            <v>0</v>
          </cell>
          <cell r="AL2053">
            <v>647207.73000000231</v>
          </cell>
          <cell r="AM2053">
            <v>0</v>
          </cell>
          <cell r="AO2053">
            <v>-131948.04999999702</v>
          </cell>
          <cell r="AP2053">
            <v>0</v>
          </cell>
          <cell r="AR2053">
            <v>-82509.510000001639</v>
          </cell>
          <cell r="AS2053">
            <v>0</v>
          </cell>
          <cell r="BF2053" t="str">
            <v>9100</v>
          </cell>
          <cell r="BG2053" t="str">
            <v>Z000</v>
          </cell>
          <cell r="BH2053" t="str">
            <v>GSA</v>
          </cell>
        </row>
        <row r="2054">
          <cell r="K2054">
            <v>-21575.579999999958</v>
          </cell>
          <cell r="L2054">
            <v>0</v>
          </cell>
          <cell r="N2054">
            <v>77235.12</v>
          </cell>
          <cell r="O2054">
            <v>0</v>
          </cell>
          <cell r="Q2054">
            <v>4979.0199999999022</v>
          </cell>
          <cell r="R2054">
            <v>0</v>
          </cell>
          <cell r="T2054">
            <v>-27282.280000000028</v>
          </cell>
          <cell r="U2054">
            <v>0</v>
          </cell>
          <cell r="W2054">
            <v>9931.2800000000279</v>
          </cell>
          <cell r="X2054">
            <v>0</v>
          </cell>
          <cell r="Z2054">
            <v>-113546.79000000004</v>
          </cell>
          <cell r="AA2054">
            <v>0</v>
          </cell>
          <cell r="AC2054">
            <v>100382</v>
          </cell>
          <cell r="AD2054">
            <v>0</v>
          </cell>
          <cell r="AF2054">
            <v>22347.510000000009</v>
          </cell>
          <cell r="AG2054">
            <v>0</v>
          </cell>
          <cell r="AI2054">
            <v>17622.570000000065</v>
          </cell>
          <cell r="AJ2054">
            <v>0</v>
          </cell>
          <cell r="AL2054">
            <v>15494.65000000014</v>
          </cell>
          <cell r="AM2054">
            <v>0</v>
          </cell>
          <cell r="AO2054">
            <v>-6275.6499999999069</v>
          </cell>
          <cell r="AP2054">
            <v>0</v>
          </cell>
          <cell r="AR2054">
            <v>12487.549999999814</v>
          </cell>
          <cell r="AS2054">
            <v>0</v>
          </cell>
          <cell r="BF2054" t="str">
            <v>9200</v>
          </cell>
          <cell r="BG2054" t="str">
            <v>Q001</v>
          </cell>
          <cell r="BH2054" t="str">
            <v>GSA</v>
          </cell>
        </row>
        <row r="2055">
          <cell r="K2055">
            <v>-409.74000000000524</v>
          </cell>
          <cell r="L2055">
            <v>0</v>
          </cell>
          <cell r="N2055">
            <v>1385.4799999999959</v>
          </cell>
          <cell r="O2055">
            <v>0</v>
          </cell>
          <cell r="Q2055">
            <v>73.379999999997381</v>
          </cell>
          <cell r="R2055">
            <v>0</v>
          </cell>
          <cell r="T2055">
            <v>-57.439999999995052</v>
          </cell>
          <cell r="U2055">
            <v>0</v>
          </cell>
          <cell r="W2055">
            <v>936.43999999998778</v>
          </cell>
          <cell r="X2055">
            <v>0</v>
          </cell>
          <cell r="Z2055">
            <v>-5043.4599999999919</v>
          </cell>
          <cell r="AA2055">
            <v>0</v>
          </cell>
          <cell r="AC2055">
            <v>4379.8999999999942</v>
          </cell>
          <cell r="AD2055">
            <v>0</v>
          </cell>
          <cell r="AF2055">
            <v>708.02000000001863</v>
          </cell>
          <cell r="AG2055">
            <v>0</v>
          </cell>
          <cell r="AI2055">
            <v>862.34000000001106</v>
          </cell>
          <cell r="AJ2055">
            <v>0</v>
          </cell>
          <cell r="AL2055">
            <v>483.78000000001339</v>
          </cell>
          <cell r="AM2055">
            <v>0</v>
          </cell>
          <cell r="AO2055">
            <v>152.16000000001804</v>
          </cell>
          <cell r="AP2055">
            <v>0</v>
          </cell>
          <cell r="AR2055">
            <v>1393</v>
          </cell>
          <cell r="AS2055">
            <v>0</v>
          </cell>
          <cell r="BF2055" t="str">
            <v>9200</v>
          </cell>
          <cell r="BG2055" t="str">
            <v>Q002</v>
          </cell>
          <cell r="BH2055" t="str">
            <v>GSA</v>
          </cell>
        </row>
        <row r="2056">
          <cell r="K2056">
            <v>2764</v>
          </cell>
          <cell r="L2056">
            <v>0</v>
          </cell>
          <cell r="N2056">
            <v>320.21999999973923</v>
          </cell>
          <cell r="O2056">
            <v>0</v>
          </cell>
          <cell r="Q2056">
            <v>5767.2800000007264</v>
          </cell>
          <cell r="R2056">
            <v>0</v>
          </cell>
          <cell r="T2056">
            <v>-6087.5300000002608</v>
          </cell>
          <cell r="U2056">
            <v>0</v>
          </cell>
          <cell r="W2056">
            <v>-85053.070000002161</v>
          </cell>
          <cell r="X2056">
            <v>0</v>
          </cell>
          <cell r="Z2056">
            <v>81659.320000000298</v>
          </cell>
          <cell r="AA2056">
            <v>0</v>
          </cell>
          <cell r="AC2056">
            <v>299.99999999906868</v>
          </cell>
          <cell r="AD2056">
            <v>0</v>
          </cell>
          <cell r="AF2056">
            <v>-1840.0000000009313</v>
          </cell>
          <cell r="AG2056">
            <v>0</v>
          </cell>
          <cell r="AI2056">
            <v>-194.4400000013411</v>
          </cell>
          <cell r="AJ2056">
            <v>0</v>
          </cell>
          <cell r="AL2056">
            <v>-2137.5599999986589</v>
          </cell>
          <cell r="AM2056">
            <v>0</v>
          </cell>
          <cell r="AO2056">
            <v>7265.750000002794</v>
          </cell>
          <cell r="AP2056">
            <v>0</v>
          </cell>
          <cell r="AR2056">
            <v>3.7252902984619141E-9</v>
          </cell>
          <cell r="AS2056">
            <v>0</v>
          </cell>
          <cell r="BF2056" t="str">
            <v>9200</v>
          </cell>
          <cell r="BG2056" t="str">
            <v>Q003</v>
          </cell>
          <cell r="BH2056" t="str">
            <v>GSA</v>
          </cell>
        </row>
        <row r="2057">
          <cell r="K2057">
            <v>-760.75</v>
          </cell>
          <cell r="L2057">
            <v>0</v>
          </cell>
          <cell r="N2057">
            <v>2628.5800000000017</v>
          </cell>
          <cell r="O2057">
            <v>0</v>
          </cell>
          <cell r="Q2057">
            <v>147.48999999999796</v>
          </cell>
          <cell r="R2057">
            <v>0</v>
          </cell>
          <cell r="T2057">
            <v>-714.09000000000378</v>
          </cell>
          <cell r="U2057">
            <v>0</v>
          </cell>
          <cell r="W2057">
            <v>638.17000000000553</v>
          </cell>
          <cell r="X2057">
            <v>0</v>
          </cell>
          <cell r="Z2057">
            <v>-5177.9599999999919</v>
          </cell>
          <cell r="AA2057">
            <v>0</v>
          </cell>
          <cell r="AC2057">
            <v>4807.1999999999971</v>
          </cell>
          <cell r="AD2057">
            <v>0</v>
          </cell>
          <cell r="AF2057">
            <v>624.41000000000349</v>
          </cell>
          <cell r="AG2057">
            <v>0</v>
          </cell>
          <cell r="AI2057">
            <v>991.72999999999593</v>
          </cell>
          <cell r="AJ2057">
            <v>0</v>
          </cell>
          <cell r="AL2057">
            <v>337.02999999999884</v>
          </cell>
          <cell r="AM2057">
            <v>0</v>
          </cell>
          <cell r="AO2057">
            <v>-15.549999999988358</v>
          </cell>
          <cell r="AP2057">
            <v>0</v>
          </cell>
          <cell r="AR2057">
            <v>-10651.529999999984</v>
          </cell>
          <cell r="AS2057">
            <v>0</v>
          </cell>
          <cell r="BF2057" t="str">
            <v>9200</v>
          </cell>
          <cell r="BG2057" t="str">
            <v>Q004</v>
          </cell>
          <cell r="BH2057" t="str">
            <v>GSA</v>
          </cell>
        </row>
        <row r="2058">
          <cell r="K2058">
            <v>2545.739999999998</v>
          </cell>
          <cell r="L2058">
            <v>0</v>
          </cell>
          <cell r="N2058">
            <v>2009.9500000000007</v>
          </cell>
          <cell r="O2058">
            <v>0</v>
          </cell>
          <cell r="Q2058">
            <v>-11618.119999999999</v>
          </cell>
          <cell r="R2058">
            <v>0</v>
          </cell>
          <cell r="T2058">
            <v>2777.6100000000006</v>
          </cell>
          <cell r="U2058">
            <v>0</v>
          </cell>
          <cell r="W2058">
            <v>-6942.2799999999188</v>
          </cell>
          <cell r="X2058">
            <v>0</v>
          </cell>
          <cell r="Z2058">
            <v>5630.339999999851</v>
          </cell>
          <cell r="AA2058">
            <v>0</v>
          </cell>
          <cell r="AC2058">
            <v>-4465.6699999999255</v>
          </cell>
          <cell r="AD2058">
            <v>0</v>
          </cell>
          <cell r="AF2058">
            <v>6473.6299999998882</v>
          </cell>
          <cell r="AG2058">
            <v>0</v>
          </cell>
          <cell r="AI2058">
            <v>4167.6999999997206</v>
          </cell>
          <cell r="AJ2058">
            <v>0</v>
          </cell>
          <cell r="AL2058">
            <v>-802.21000000089407</v>
          </cell>
          <cell r="AM2058">
            <v>0</v>
          </cell>
          <cell r="AO2058">
            <v>8549.7700000000186</v>
          </cell>
          <cell r="AP2058">
            <v>0</v>
          </cell>
          <cell r="AR2058">
            <v>15100.610000000801</v>
          </cell>
          <cell r="AS2058">
            <v>0</v>
          </cell>
          <cell r="BF2058" t="str">
            <v>9200</v>
          </cell>
          <cell r="BG2058" t="str">
            <v>Q005</v>
          </cell>
          <cell r="BH2058" t="str">
            <v>GSA</v>
          </cell>
        </row>
        <row r="2059">
          <cell r="K2059">
            <v>0</v>
          </cell>
          <cell r="L2059">
            <v>0</v>
          </cell>
          <cell r="N2059">
            <v>0</v>
          </cell>
          <cell r="O2059">
            <v>0</v>
          </cell>
          <cell r="Q2059">
            <v>0</v>
          </cell>
          <cell r="R2059">
            <v>0</v>
          </cell>
          <cell r="T2059">
            <v>0</v>
          </cell>
          <cell r="U2059">
            <v>0</v>
          </cell>
          <cell r="W2059">
            <v>0</v>
          </cell>
          <cell r="X2059">
            <v>0</v>
          </cell>
          <cell r="Z2059">
            <v>0</v>
          </cell>
          <cell r="AA2059">
            <v>0</v>
          </cell>
          <cell r="AC2059">
            <v>0</v>
          </cell>
          <cell r="AD2059">
            <v>0</v>
          </cell>
          <cell r="AF2059">
            <v>0</v>
          </cell>
          <cell r="AG2059">
            <v>0</v>
          </cell>
          <cell r="AI2059">
            <v>0</v>
          </cell>
          <cell r="AJ2059">
            <v>0</v>
          </cell>
          <cell r="AL2059">
            <v>0</v>
          </cell>
          <cell r="AM2059">
            <v>0</v>
          </cell>
          <cell r="AO2059">
            <v>0</v>
          </cell>
          <cell r="AP2059">
            <v>0</v>
          </cell>
          <cell r="AR2059">
            <v>0</v>
          </cell>
          <cell r="AS2059">
            <v>0</v>
          </cell>
          <cell r="BF2059" t="str">
            <v>9300</v>
          </cell>
          <cell r="BG2059" t="str">
            <v>Z000</v>
          </cell>
          <cell r="BH2059" t="str">
            <v>GSA</v>
          </cell>
        </row>
        <row r="2060">
          <cell r="K2060">
            <v>0</v>
          </cell>
          <cell r="L2060">
            <v>0</v>
          </cell>
          <cell r="N2060">
            <v>0</v>
          </cell>
          <cell r="O2060">
            <v>0</v>
          </cell>
          <cell r="Q2060">
            <v>0</v>
          </cell>
          <cell r="R2060">
            <v>0</v>
          </cell>
          <cell r="T2060">
            <v>0</v>
          </cell>
          <cell r="U2060">
            <v>0</v>
          </cell>
          <cell r="W2060">
            <v>0</v>
          </cell>
          <cell r="X2060">
            <v>0</v>
          </cell>
          <cell r="Z2060">
            <v>0</v>
          </cell>
          <cell r="AA2060">
            <v>0</v>
          </cell>
          <cell r="AC2060">
            <v>0</v>
          </cell>
          <cell r="AD2060">
            <v>0</v>
          </cell>
          <cell r="AF2060">
            <v>0</v>
          </cell>
          <cell r="AG2060">
            <v>0</v>
          </cell>
          <cell r="AI2060">
            <v>0</v>
          </cell>
          <cell r="AJ2060">
            <v>0</v>
          </cell>
          <cell r="AL2060">
            <v>0</v>
          </cell>
          <cell r="AM2060">
            <v>0</v>
          </cell>
          <cell r="AO2060">
            <v>0</v>
          </cell>
          <cell r="AP2060">
            <v>0</v>
          </cell>
          <cell r="AR2060">
            <v>0</v>
          </cell>
          <cell r="AS2060">
            <v>0</v>
          </cell>
          <cell r="BF2060" t="str">
            <v>9400</v>
          </cell>
          <cell r="BG2060" t="str">
            <v>Z000</v>
          </cell>
          <cell r="BH2060" t="str">
            <v>GSA</v>
          </cell>
        </row>
        <row r="2061">
          <cell r="K2061">
            <v>0</v>
          </cell>
          <cell r="L2061">
            <v>0</v>
          </cell>
          <cell r="N2061">
            <v>0</v>
          </cell>
          <cell r="O2061">
            <v>0</v>
          </cell>
          <cell r="Q2061">
            <v>0</v>
          </cell>
          <cell r="R2061">
            <v>0</v>
          </cell>
          <cell r="T2061">
            <v>0</v>
          </cell>
          <cell r="U2061">
            <v>0</v>
          </cell>
          <cell r="W2061">
            <v>0</v>
          </cell>
          <cell r="X2061">
            <v>0</v>
          </cell>
          <cell r="Z2061">
            <v>0</v>
          </cell>
          <cell r="AA2061">
            <v>0</v>
          </cell>
          <cell r="AC2061">
            <v>0</v>
          </cell>
          <cell r="AD2061">
            <v>0</v>
          </cell>
          <cell r="AF2061">
            <v>-8.9999999850988388E-2</v>
          </cell>
          <cell r="AG2061">
            <v>0</v>
          </cell>
          <cell r="AI2061">
            <v>0</v>
          </cell>
          <cell r="AJ2061">
            <v>0</v>
          </cell>
          <cell r="AL2061">
            <v>0</v>
          </cell>
          <cell r="AM2061">
            <v>0</v>
          </cell>
          <cell r="AO2061">
            <v>0</v>
          </cell>
          <cell r="AP2061">
            <v>0</v>
          </cell>
          <cell r="AR2061">
            <v>0</v>
          </cell>
          <cell r="AS2061">
            <v>0</v>
          </cell>
          <cell r="BF2061" t="str">
            <v>9500</v>
          </cell>
          <cell r="BG2061" t="str">
            <v>Z000</v>
          </cell>
          <cell r="BH2061" t="str">
            <v>GSA</v>
          </cell>
        </row>
        <row r="2062">
          <cell r="K2062">
            <v>0</v>
          </cell>
          <cell r="L2062">
            <v>0</v>
          </cell>
          <cell r="N2062">
            <v>0</v>
          </cell>
          <cell r="O2062">
            <v>0</v>
          </cell>
          <cell r="Q2062">
            <v>0</v>
          </cell>
          <cell r="R2062">
            <v>0</v>
          </cell>
          <cell r="T2062">
            <v>0</v>
          </cell>
          <cell r="U2062">
            <v>0</v>
          </cell>
          <cell r="W2062">
            <v>0</v>
          </cell>
          <cell r="X2062">
            <v>0</v>
          </cell>
          <cell r="Z2062">
            <v>0</v>
          </cell>
          <cell r="AA2062">
            <v>0</v>
          </cell>
          <cell r="AC2062">
            <v>0</v>
          </cell>
          <cell r="AD2062">
            <v>0</v>
          </cell>
          <cell r="AF2062">
            <v>0</v>
          </cell>
          <cell r="AG2062">
            <v>0</v>
          </cell>
          <cell r="AI2062">
            <v>0</v>
          </cell>
          <cell r="AJ2062">
            <v>0</v>
          </cell>
          <cell r="AL2062">
            <v>0</v>
          </cell>
          <cell r="AM2062">
            <v>0</v>
          </cell>
          <cell r="AO2062">
            <v>0</v>
          </cell>
          <cell r="AP2062">
            <v>0</v>
          </cell>
          <cell r="AR2062">
            <v>0</v>
          </cell>
          <cell r="AS2062">
            <v>0</v>
          </cell>
          <cell r="BF2062" t="str">
            <v>9550</v>
          </cell>
          <cell r="BG2062" t="str">
            <v>Z000</v>
          </cell>
          <cell r="BH2062" t="str">
            <v>GSA</v>
          </cell>
        </row>
        <row r="2063">
          <cell r="K2063">
            <v>-67079.560000000056</v>
          </cell>
          <cell r="L2063">
            <v>0</v>
          </cell>
          <cell r="N2063">
            <v>119761.53000000003</v>
          </cell>
          <cell r="O2063">
            <v>0</v>
          </cell>
          <cell r="Q2063">
            <v>45416.960000000894</v>
          </cell>
          <cell r="R2063">
            <v>0</v>
          </cell>
          <cell r="T2063">
            <v>-19734.689999999944</v>
          </cell>
          <cell r="U2063">
            <v>0</v>
          </cell>
          <cell r="W2063">
            <v>-120713.64999996568</v>
          </cell>
          <cell r="X2063">
            <v>0</v>
          </cell>
          <cell r="Z2063">
            <v>151603.55999997957</v>
          </cell>
          <cell r="AA2063">
            <v>0</v>
          </cell>
          <cell r="AC2063">
            <v>-16473.600000136532</v>
          </cell>
          <cell r="AD2063">
            <v>0</v>
          </cell>
          <cell r="AF2063">
            <v>209612.91999982996</v>
          </cell>
          <cell r="AG2063">
            <v>0</v>
          </cell>
          <cell r="AI2063">
            <v>-95059.720000180416</v>
          </cell>
          <cell r="AJ2063">
            <v>0</v>
          </cell>
          <cell r="AL2063">
            <v>330772.0999998115</v>
          </cell>
          <cell r="AM2063">
            <v>0</v>
          </cell>
          <cell r="AO2063">
            <v>-230301.26000015158</v>
          </cell>
          <cell r="AP2063">
            <v>0</v>
          </cell>
          <cell r="AR2063">
            <v>522785.33000040706</v>
          </cell>
          <cell r="AS2063">
            <v>0</v>
          </cell>
          <cell r="BF2063" t="str">
            <v>9600</v>
          </cell>
          <cell r="BG2063" t="str">
            <v>Z000</v>
          </cell>
          <cell r="BH2063" t="str">
            <v>GSA</v>
          </cell>
        </row>
        <row r="2064">
          <cell r="K2064">
            <v>0</v>
          </cell>
          <cell r="L2064">
            <v>0</v>
          </cell>
          <cell r="N2064">
            <v>0</v>
          </cell>
          <cell r="O2064">
            <v>0</v>
          </cell>
          <cell r="Q2064">
            <v>0</v>
          </cell>
          <cell r="R2064">
            <v>0</v>
          </cell>
          <cell r="T2064">
            <v>0</v>
          </cell>
          <cell r="U2064">
            <v>0</v>
          </cell>
          <cell r="W2064">
            <v>0</v>
          </cell>
          <cell r="X2064">
            <v>0</v>
          </cell>
          <cell r="Z2064">
            <v>0</v>
          </cell>
          <cell r="AA2064">
            <v>0</v>
          </cell>
          <cell r="AC2064">
            <v>0</v>
          </cell>
          <cell r="AD2064">
            <v>0</v>
          </cell>
          <cell r="AF2064">
            <v>0</v>
          </cell>
          <cell r="AG2064">
            <v>0</v>
          </cell>
          <cell r="AI2064">
            <v>0</v>
          </cell>
          <cell r="AJ2064">
            <v>0</v>
          </cell>
          <cell r="AL2064">
            <v>0</v>
          </cell>
          <cell r="AM2064">
            <v>0</v>
          </cell>
          <cell r="AO2064">
            <v>0</v>
          </cell>
          <cell r="AP2064">
            <v>0</v>
          </cell>
          <cell r="AR2064">
            <v>0</v>
          </cell>
          <cell r="AS2064">
            <v>0</v>
          </cell>
          <cell r="BF2064" t="str">
            <v>9700</v>
          </cell>
          <cell r="BG2064" t="str">
            <v>Z000</v>
          </cell>
          <cell r="BH2064" t="str">
            <v>GSA</v>
          </cell>
        </row>
        <row r="2065">
          <cell r="K2065">
            <v>0</v>
          </cell>
          <cell r="L2065">
            <v>0</v>
          </cell>
          <cell r="N2065">
            <v>0</v>
          </cell>
          <cell r="O2065">
            <v>0</v>
          </cell>
          <cell r="Q2065">
            <v>0</v>
          </cell>
          <cell r="R2065">
            <v>0</v>
          </cell>
          <cell r="T2065">
            <v>0</v>
          </cell>
          <cell r="U2065">
            <v>0</v>
          </cell>
          <cell r="W2065">
            <v>0</v>
          </cell>
          <cell r="X2065">
            <v>0</v>
          </cell>
          <cell r="Z2065">
            <v>0</v>
          </cell>
          <cell r="AA2065">
            <v>0</v>
          </cell>
          <cell r="AC2065">
            <v>0</v>
          </cell>
          <cell r="AD2065">
            <v>0</v>
          </cell>
          <cell r="AF2065">
            <v>0</v>
          </cell>
          <cell r="AG2065">
            <v>0</v>
          </cell>
          <cell r="AI2065">
            <v>0</v>
          </cell>
          <cell r="AJ2065">
            <v>0</v>
          </cell>
          <cell r="AL2065">
            <v>0</v>
          </cell>
          <cell r="AM2065">
            <v>0</v>
          </cell>
          <cell r="AO2065">
            <v>0</v>
          </cell>
          <cell r="AP2065">
            <v>0</v>
          </cell>
          <cell r="AR2065">
            <v>0</v>
          </cell>
          <cell r="AS2065">
            <v>0</v>
          </cell>
          <cell r="BF2065" t="str">
            <v>9702</v>
          </cell>
          <cell r="BG2065" t="str">
            <v>Z000</v>
          </cell>
          <cell r="BH2065" t="str">
            <v>GSA</v>
          </cell>
        </row>
        <row r="2066">
          <cell r="K2066">
            <v>0</v>
          </cell>
          <cell r="L2066">
            <v>0</v>
          </cell>
          <cell r="N2066">
            <v>0</v>
          </cell>
          <cell r="O2066">
            <v>0</v>
          </cell>
          <cell r="Q2066">
            <v>0</v>
          </cell>
          <cell r="R2066">
            <v>0</v>
          </cell>
          <cell r="T2066">
            <v>0</v>
          </cell>
          <cell r="U2066">
            <v>0</v>
          </cell>
          <cell r="W2066">
            <v>0</v>
          </cell>
          <cell r="X2066">
            <v>0</v>
          </cell>
          <cell r="Z2066">
            <v>0</v>
          </cell>
          <cell r="AA2066">
            <v>0</v>
          </cell>
          <cell r="AC2066">
            <v>0</v>
          </cell>
          <cell r="AD2066">
            <v>0</v>
          </cell>
          <cell r="AF2066">
            <v>0</v>
          </cell>
          <cell r="AG2066">
            <v>0</v>
          </cell>
          <cell r="AI2066">
            <v>0</v>
          </cell>
          <cell r="AJ2066">
            <v>0</v>
          </cell>
          <cell r="AL2066">
            <v>0</v>
          </cell>
          <cell r="AM2066">
            <v>0</v>
          </cell>
          <cell r="AO2066">
            <v>0</v>
          </cell>
          <cell r="AP2066">
            <v>0</v>
          </cell>
          <cell r="AR2066">
            <v>0</v>
          </cell>
          <cell r="AS2066">
            <v>0</v>
          </cell>
          <cell r="BF2066" t="str">
            <v>9750</v>
          </cell>
          <cell r="BG2066" t="str">
            <v>Z000</v>
          </cell>
          <cell r="BH2066" t="str">
            <v>GSA</v>
          </cell>
        </row>
        <row r="2069">
          <cell r="K2069">
            <v>0</v>
          </cell>
          <cell r="L2069">
            <v>0</v>
          </cell>
          <cell r="N2069">
            <v>0</v>
          </cell>
          <cell r="O2069">
            <v>0</v>
          </cell>
          <cell r="Q2069">
            <v>0</v>
          </cell>
          <cell r="R2069">
            <v>0</v>
          </cell>
          <cell r="T2069">
            <v>0</v>
          </cell>
          <cell r="U2069">
            <v>0</v>
          </cell>
          <cell r="W2069">
            <v>0</v>
          </cell>
          <cell r="X2069">
            <v>0</v>
          </cell>
          <cell r="Z2069">
            <v>0</v>
          </cell>
          <cell r="AA2069">
            <v>0</v>
          </cell>
          <cell r="AC2069">
            <v>0</v>
          </cell>
          <cell r="AD2069">
            <v>0</v>
          </cell>
          <cell r="AF2069">
            <v>0</v>
          </cell>
          <cell r="AG2069">
            <v>0</v>
          </cell>
          <cell r="AI2069">
            <v>0</v>
          </cell>
          <cell r="AJ2069">
            <v>0</v>
          </cell>
          <cell r="AL2069">
            <v>0</v>
          </cell>
          <cell r="AM2069">
            <v>0</v>
          </cell>
          <cell r="AO2069">
            <v>0</v>
          </cell>
          <cell r="AP2069">
            <v>0</v>
          </cell>
          <cell r="AR2069">
            <v>0</v>
          </cell>
          <cell r="AS2069">
            <v>0</v>
          </cell>
          <cell r="BF2069" t="str">
            <v>1000</v>
          </cell>
          <cell r="BG2069" t="str">
            <v>A001</v>
          </cell>
          <cell r="BH2069" t="str">
            <v>ISA</v>
          </cell>
        </row>
        <row r="2070">
          <cell r="K2070">
            <v>0</v>
          </cell>
          <cell r="L2070">
            <v>0</v>
          </cell>
          <cell r="N2070">
            <v>0</v>
          </cell>
          <cell r="O2070">
            <v>0</v>
          </cell>
          <cell r="Q2070">
            <v>0</v>
          </cell>
          <cell r="R2070">
            <v>0</v>
          </cell>
          <cell r="T2070">
            <v>0</v>
          </cell>
          <cell r="U2070">
            <v>0</v>
          </cell>
          <cell r="W2070">
            <v>0</v>
          </cell>
          <cell r="X2070">
            <v>0</v>
          </cell>
          <cell r="Z2070">
            <v>0</v>
          </cell>
          <cell r="AA2070">
            <v>0</v>
          </cell>
          <cell r="AC2070">
            <v>0</v>
          </cell>
          <cell r="AD2070">
            <v>0</v>
          </cell>
          <cell r="AF2070">
            <v>0</v>
          </cell>
          <cell r="AG2070">
            <v>0</v>
          </cell>
          <cell r="AI2070">
            <v>0</v>
          </cell>
          <cell r="AJ2070">
            <v>0</v>
          </cell>
          <cell r="AL2070">
            <v>0</v>
          </cell>
          <cell r="AM2070">
            <v>0</v>
          </cell>
          <cell r="AO2070">
            <v>0</v>
          </cell>
          <cell r="AP2070">
            <v>0</v>
          </cell>
          <cell r="AR2070">
            <v>0</v>
          </cell>
          <cell r="AS2070">
            <v>0</v>
          </cell>
          <cell r="BF2070" t="str">
            <v>1000</v>
          </cell>
          <cell r="BG2070" t="str">
            <v>A002</v>
          </cell>
          <cell r="BH2070" t="str">
            <v>ISA</v>
          </cell>
        </row>
        <row r="2071">
          <cell r="K2071">
            <v>0</v>
          </cell>
          <cell r="L2071">
            <v>0</v>
          </cell>
          <cell r="N2071">
            <v>0</v>
          </cell>
          <cell r="O2071">
            <v>0</v>
          </cell>
          <cell r="Q2071">
            <v>0</v>
          </cell>
          <cell r="R2071">
            <v>0</v>
          </cell>
          <cell r="T2071">
            <v>0</v>
          </cell>
          <cell r="U2071">
            <v>0</v>
          </cell>
          <cell r="W2071">
            <v>0</v>
          </cell>
          <cell r="X2071">
            <v>0</v>
          </cell>
          <cell r="Z2071">
            <v>0</v>
          </cell>
          <cell r="AA2071">
            <v>0</v>
          </cell>
          <cell r="AC2071">
            <v>0</v>
          </cell>
          <cell r="AD2071">
            <v>0</v>
          </cell>
          <cell r="AF2071">
            <v>0</v>
          </cell>
          <cell r="AG2071">
            <v>0</v>
          </cell>
          <cell r="AI2071">
            <v>0</v>
          </cell>
          <cell r="AJ2071">
            <v>0</v>
          </cell>
          <cell r="AL2071">
            <v>0</v>
          </cell>
          <cell r="AM2071">
            <v>0</v>
          </cell>
          <cell r="AO2071">
            <v>0</v>
          </cell>
          <cell r="AP2071">
            <v>0</v>
          </cell>
          <cell r="AR2071">
            <v>0</v>
          </cell>
          <cell r="AS2071">
            <v>0</v>
          </cell>
          <cell r="BF2071" t="str">
            <v>1000</v>
          </cell>
          <cell r="BG2071" t="str">
            <v>A003</v>
          </cell>
          <cell r="BH2071" t="str">
            <v>ISA</v>
          </cell>
        </row>
        <row r="2072">
          <cell r="K2072">
            <v>0</v>
          </cell>
          <cell r="L2072">
            <v>0</v>
          </cell>
          <cell r="N2072">
            <v>0</v>
          </cell>
          <cell r="O2072">
            <v>0</v>
          </cell>
          <cell r="Q2072">
            <v>0</v>
          </cell>
          <cell r="R2072">
            <v>0</v>
          </cell>
          <cell r="T2072">
            <v>0</v>
          </cell>
          <cell r="U2072">
            <v>0</v>
          </cell>
          <cell r="W2072">
            <v>0</v>
          </cell>
          <cell r="X2072">
            <v>0</v>
          </cell>
          <cell r="Z2072">
            <v>0</v>
          </cell>
          <cell r="AA2072">
            <v>0</v>
          </cell>
          <cell r="AC2072">
            <v>0</v>
          </cell>
          <cell r="AD2072">
            <v>0</v>
          </cell>
          <cell r="AF2072">
            <v>0</v>
          </cell>
          <cell r="AG2072">
            <v>0</v>
          </cell>
          <cell r="AI2072">
            <v>0</v>
          </cell>
          <cell r="AJ2072">
            <v>0</v>
          </cell>
          <cell r="AL2072">
            <v>0</v>
          </cell>
          <cell r="AM2072">
            <v>0</v>
          </cell>
          <cell r="AO2072">
            <v>0</v>
          </cell>
          <cell r="AP2072">
            <v>0</v>
          </cell>
          <cell r="AR2072">
            <v>0</v>
          </cell>
          <cell r="AS2072">
            <v>0</v>
          </cell>
          <cell r="BF2072" t="str">
            <v>1000</v>
          </cell>
          <cell r="BG2072" t="str">
            <v>A004</v>
          </cell>
          <cell r="BH2072" t="str">
            <v>ISA</v>
          </cell>
        </row>
        <row r="2073">
          <cell r="K2073">
            <v>0</v>
          </cell>
          <cell r="L2073">
            <v>0</v>
          </cell>
          <cell r="N2073">
            <v>0</v>
          </cell>
          <cell r="O2073">
            <v>0</v>
          </cell>
          <cell r="Q2073">
            <v>0</v>
          </cell>
          <cell r="R2073">
            <v>0</v>
          </cell>
          <cell r="T2073">
            <v>0</v>
          </cell>
          <cell r="U2073">
            <v>0</v>
          </cell>
          <cell r="W2073">
            <v>0</v>
          </cell>
          <cell r="X2073">
            <v>0</v>
          </cell>
          <cell r="Z2073">
            <v>0</v>
          </cell>
          <cell r="AA2073">
            <v>0</v>
          </cell>
          <cell r="AC2073">
            <v>0</v>
          </cell>
          <cell r="AD2073">
            <v>0</v>
          </cell>
          <cell r="AF2073">
            <v>0</v>
          </cell>
          <cell r="AG2073">
            <v>0</v>
          </cell>
          <cell r="AI2073">
            <v>0</v>
          </cell>
          <cell r="AJ2073">
            <v>0</v>
          </cell>
          <cell r="AL2073">
            <v>0</v>
          </cell>
          <cell r="AM2073">
            <v>0</v>
          </cell>
          <cell r="AO2073">
            <v>0</v>
          </cell>
          <cell r="AP2073">
            <v>0</v>
          </cell>
          <cell r="AR2073">
            <v>0</v>
          </cell>
          <cell r="AS2073">
            <v>0</v>
          </cell>
          <cell r="BF2073" t="str">
            <v>1000</v>
          </cell>
          <cell r="BG2073" t="str">
            <v>A005</v>
          </cell>
          <cell r="BH2073" t="str">
            <v>ISA</v>
          </cell>
        </row>
        <row r="2074">
          <cell r="K2074">
            <v>0</v>
          </cell>
          <cell r="L2074">
            <v>0</v>
          </cell>
          <cell r="N2074">
            <v>0</v>
          </cell>
          <cell r="O2074">
            <v>0</v>
          </cell>
          <cell r="Q2074">
            <v>0</v>
          </cell>
          <cell r="R2074">
            <v>0</v>
          </cell>
          <cell r="T2074">
            <v>0</v>
          </cell>
          <cell r="U2074">
            <v>0</v>
          </cell>
          <cell r="W2074">
            <v>0</v>
          </cell>
          <cell r="X2074">
            <v>0</v>
          </cell>
          <cell r="Z2074">
            <v>0</v>
          </cell>
          <cell r="AA2074">
            <v>0</v>
          </cell>
          <cell r="AC2074">
            <v>0</v>
          </cell>
          <cell r="AD2074">
            <v>0</v>
          </cell>
          <cell r="AF2074">
            <v>0</v>
          </cell>
          <cell r="AG2074">
            <v>0</v>
          </cell>
          <cell r="AI2074">
            <v>0</v>
          </cell>
          <cell r="AJ2074">
            <v>0</v>
          </cell>
          <cell r="AL2074">
            <v>0</v>
          </cell>
          <cell r="AM2074">
            <v>0</v>
          </cell>
          <cell r="AO2074">
            <v>0</v>
          </cell>
          <cell r="AP2074">
            <v>0</v>
          </cell>
          <cell r="AR2074">
            <v>0</v>
          </cell>
          <cell r="AS2074">
            <v>0</v>
          </cell>
          <cell r="BF2074" t="str">
            <v>1000</v>
          </cell>
          <cell r="BG2074" t="str">
            <v>A006</v>
          </cell>
          <cell r="BH2074" t="str">
            <v>ISA</v>
          </cell>
        </row>
        <row r="2075">
          <cell r="K2075">
            <v>0</v>
          </cell>
          <cell r="L2075">
            <v>0</v>
          </cell>
          <cell r="N2075">
            <v>0</v>
          </cell>
          <cell r="O2075">
            <v>0</v>
          </cell>
          <cell r="Q2075">
            <v>0</v>
          </cell>
          <cell r="R2075">
            <v>0</v>
          </cell>
          <cell r="T2075">
            <v>0</v>
          </cell>
          <cell r="U2075">
            <v>0</v>
          </cell>
          <cell r="W2075">
            <v>0</v>
          </cell>
          <cell r="X2075">
            <v>0</v>
          </cell>
          <cell r="Z2075">
            <v>0</v>
          </cell>
          <cell r="AA2075">
            <v>0</v>
          </cell>
          <cell r="AC2075">
            <v>0</v>
          </cell>
          <cell r="AD2075">
            <v>0</v>
          </cell>
          <cell r="AF2075">
            <v>0</v>
          </cell>
          <cell r="AG2075">
            <v>0</v>
          </cell>
          <cell r="AI2075">
            <v>0</v>
          </cell>
          <cell r="AJ2075">
            <v>0</v>
          </cell>
          <cell r="AL2075">
            <v>0</v>
          </cell>
          <cell r="AM2075">
            <v>0</v>
          </cell>
          <cell r="AO2075">
            <v>0</v>
          </cell>
          <cell r="AP2075">
            <v>0</v>
          </cell>
          <cell r="AR2075">
            <v>0</v>
          </cell>
          <cell r="AS2075">
            <v>0</v>
          </cell>
          <cell r="BF2075" t="str">
            <v>1000</v>
          </cell>
          <cell r="BG2075" t="str">
            <v>A007</v>
          </cell>
          <cell r="BH2075" t="str">
            <v>ISA</v>
          </cell>
        </row>
        <row r="2076">
          <cell r="K2076">
            <v>0</v>
          </cell>
          <cell r="L2076">
            <v>0</v>
          </cell>
          <cell r="N2076">
            <v>0</v>
          </cell>
          <cell r="O2076">
            <v>0</v>
          </cell>
          <cell r="Q2076">
            <v>0</v>
          </cell>
          <cell r="R2076">
            <v>0</v>
          </cell>
          <cell r="T2076">
            <v>0</v>
          </cell>
          <cell r="U2076">
            <v>0</v>
          </cell>
          <cell r="W2076">
            <v>0</v>
          </cell>
          <cell r="X2076">
            <v>0</v>
          </cell>
          <cell r="Z2076">
            <v>0</v>
          </cell>
          <cell r="AA2076">
            <v>0</v>
          </cell>
          <cell r="AC2076">
            <v>0</v>
          </cell>
          <cell r="AD2076">
            <v>0</v>
          </cell>
          <cell r="AF2076">
            <v>0</v>
          </cell>
          <cell r="AG2076">
            <v>0</v>
          </cell>
          <cell r="AI2076">
            <v>0</v>
          </cell>
          <cell r="AJ2076">
            <v>0</v>
          </cell>
          <cell r="AL2076">
            <v>0</v>
          </cell>
          <cell r="AM2076">
            <v>0</v>
          </cell>
          <cell r="AO2076">
            <v>0</v>
          </cell>
          <cell r="AP2076">
            <v>0</v>
          </cell>
          <cell r="AR2076">
            <v>0</v>
          </cell>
          <cell r="AS2076">
            <v>0</v>
          </cell>
          <cell r="BF2076" t="str">
            <v>1000</v>
          </cell>
          <cell r="BG2076" t="str">
            <v>A008</v>
          </cell>
          <cell r="BH2076" t="str">
            <v>ISA</v>
          </cell>
        </row>
        <row r="2077">
          <cell r="K2077">
            <v>0</v>
          </cell>
          <cell r="L2077">
            <v>0</v>
          </cell>
          <cell r="N2077">
            <v>0</v>
          </cell>
          <cell r="O2077">
            <v>0</v>
          </cell>
          <cell r="Q2077">
            <v>0</v>
          </cell>
          <cell r="R2077">
            <v>0</v>
          </cell>
          <cell r="T2077">
            <v>0</v>
          </cell>
          <cell r="U2077">
            <v>0</v>
          </cell>
          <cell r="W2077">
            <v>0</v>
          </cell>
          <cell r="X2077">
            <v>0</v>
          </cell>
          <cell r="Z2077">
            <v>0</v>
          </cell>
          <cell r="AA2077">
            <v>0</v>
          </cell>
          <cell r="AC2077">
            <v>0</v>
          </cell>
          <cell r="AD2077">
            <v>0</v>
          </cell>
          <cell r="AF2077">
            <v>0</v>
          </cell>
          <cell r="AG2077">
            <v>0</v>
          </cell>
          <cell r="AI2077">
            <v>0</v>
          </cell>
          <cell r="AJ2077">
            <v>0</v>
          </cell>
          <cell r="AL2077">
            <v>0</v>
          </cell>
          <cell r="AM2077">
            <v>0</v>
          </cell>
          <cell r="AO2077">
            <v>0</v>
          </cell>
          <cell r="AP2077">
            <v>0</v>
          </cell>
          <cell r="AR2077">
            <v>0</v>
          </cell>
          <cell r="AS2077">
            <v>0</v>
          </cell>
          <cell r="BF2077" t="str">
            <v>1000</v>
          </cell>
          <cell r="BG2077" t="str">
            <v>A009</v>
          </cell>
          <cell r="BH2077" t="str">
            <v>ISA</v>
          </cell>
        </row>
        <row r="2078">
          <cell r="K2078">
            <v>0</v>
          </cell>
          <cell r="L2078">
            <v>0</v>
          </cell>
          <cell r="N2078">
            <v>0</v>
          </cell>
          <cell r="O2078">
            <v>0</v>
          </cell>
          <cell r="Q2078">
            <v>0</v>
          </cell>
          <cell r="R2078">
            <v>0</v>
          </cell>
          <cell r="T2078">
            <v>0</v>
          </cell>
          <cell r="U2078">
            <v>0</v>
          </cell>
          <cell r="W2078">
            <v>0</v>
          </cell>
          <cell r="X2078">
            <v>0</v>
          </cell>
          <cell r="Z2078">
            <v>0</v>
          </cell>
          <cell r="AA2078">
            <v>0</v>
          </cell>
          <cell r="AC2078">
            <v>0</v>
          </cell>
          <cell r="AD2078">
            <v>0</v>
          </cell>
          <cell r="AF2078">
            <v>0</v>
          </cell>
          <cell r="AG2078">
            <v>0</v>
          </cell>
          <cell r="AI2078">
            <v>0</v>
          </cell>
          <cell r="AJ2078">
            <v>0</v>
          </cell>
          <cell r="AL2078">
            <v>0</v>
          </cell>
          <cell r="AM2078">
            <v>0</v>
          </cell>
          <cell r="AO2078">
            <v>0</v>
          </cell>
          <cell r="AP2078">
            <v>0</v>
          </cell>
          <cell r="AR2078">
            <v>0</v>
          </cell>
          <cell r="AS2078">
            <v>0</v>
          </cell>
          <cell r="BF2078" t="str">
            <v>1000</v>
          </cell>
          <cell r="BG2078" t="str">
            <v>A010</v>
          </cell>
          <cell r="BH2078" t="str">
            <v>ISA</v>
          </cell>
        </row>
        <row r="2079">
          <cell r="K2079">
            <v>0</v>
          </cell>
          <cell r="L2079">
            <v>0</v>
          </cell>
          <cell r="N2079">
            <v>0</v>
          </cell>
          <cell r="O2079">
            <v>0</v>
          </cell>
          <cell r="Q2079">
            <v>0</v>
          </cell>
          <cell r="R2079">
            <v>0</v>
          </cell>
          <cell r="T2079">
            <v>0</v>
          </cell>
          <cell r="U2079">
            <v>0</v>
          </cell>
          <cell r="W2079">
            <v>0</v>
          </cell>
          <cell r="X2079">
            <v>0</v>
          </cell>
          <cell r="Z2079">
            <v>0</v>
          </cell>
          <cell r="AA2079">
            <v>0</v>
          </cell>
          <cell r="AC2079">
            <v>0</v>
          </cell>
          <cell r="AD2079">
            <v>0</v>
          </cell>
          <cell r="AF2079">
            <v>0</v>
          </cell>
          <cell r="AG2079">
            <v>0</v>
          </cell>
          <cell r="AI2079">
            <v>0</v>
          </cell>
          <cell r="AJ2079">
            <v>0</v>
          </cell>
          <cell r="AL2079">
            <v>0</v>
          </cell>
          <cell r="AM2079">
            <v>0</v>
          </cell>
          <cell r="AO2079">
            <v>0</v>
          </cell>
          <cell r="AP2079">
            <v>0</v>
          </cell>
          <cell r="AR2079">
            <v>0</v>
          </cell>
          <cell r="AS2079">
            <v>0</v>
          </cell>
          <cell r="BF2079" t="str">
            <v>1001</v>
          </cell>
          <cell r="BG2079" t="str">
            <v>A021</v>
          </cell>
          <cell r="BH2079" t="str">
            <v>ISA</v>
          </cell>
        </row>
        <row r="2080">
          <cell r="K2080">
            <v>0</v>
          </cell>
          <cell r="L2080">
            <v>0</v>
          </cell>
          <cell r="N2080">
            <v>0</v>
          </cell>
          <cell r="O2080">
            <v>0</v>
          </cell>
          <cell r="Q2080">
            <v>0</v>
          </cell>
          <cell r="R2080">
            <v>0</v>
          </cell>
          <cell r="T2080">
            <v>0</v>
          </cell>
          <cell r="U2080">
            <v>0</v>
          </cell>
          <cell r="W2080">
            <v>0</v>
          </cell>
          <cell r="X2080">
            <v>0</v>
          </cell>
          <cell r="Z2080">
            <v>0</v>
          </cell>
          <cell r="AA2080">
            <v>0</v>
          </cell>
          <cell r="AC2080">
            <v>0</v>
          </cell>
          <cell r="AD2080">
            <v>0</v>
          </cell>
          <cell r="AF2080">
            <v>0</v>
          </cell>
          <cell r="AG2080">
            <v>0</v>
          </cell>
          <cell r="AI2080">
            <v>0</v>
          </cell>
          <cell r="AJ2080">
            <v>0</v>
          </cell>
          <cell r="AL2080">
            <v>0</v>
          </cell>
          <cell r="AM2080">
            <v>0</v>
          </cell>
          <cell r="AO2080">
            <v>0</v>
          </cell>
          <cell r="AP2080">
            <v>0</v>
          </cell>
          <cell r="AR2080">
            <v>0</v>
          </cell>
          <cell r="AS2080">
            <v>0</v>
          </cell>
          <cell r="BF2080" t="str">
            <v>1005</v>
          </cell>
          <cell r="BG2080" t="str">
            <v>A081</v>
          </cell>
          <cell r="BH2080" t="str">
            <v>ISA</v>
          </cell>
        </row>
        <row r="2081">
          <cell r="K2081">
            <v>0</v>
          </cell>
          <cell r="L2081">
            <v>0</v>
          </cell>
          <cell r="N2081">
            <v>0</v>
          </cell>
          <cell r="O2081">
            <v>0</v>
          </cell>
          <cell r="Q2081">
            <v>0</v>
          </cell>
          <cell r="R2081">
            <v>0</v>
          </cell>
          <cell r="T2081">
            <v>0</v>
          </cell>
          <cell r="U2081">
            <v>0</v>
          </cell>
          <cell r="W2081">
            <v>0</v>
          </cell>
          <cell r="X2081">
            <v>0</v>
          </cell>
          <cell r="Z2081">
            <v>0</v>
          </cell>
          <cell r="AA2081">
            <v>0</v>
          </cell>
          <cell r="AC2081">
            <v>0</v>
          </cell>
          <cell r="AD2081">
            <v>0</v>
          </cell>
          <cell r="AF2081">
            <v>0</v>
          </cell>
          <cell r="AG2081">
            <v>0</v>
          </cell>
          <cell r="AI2081">
            <v>0</v>
          </cell>
          <cell r="AJ2081">
            <v>0</v>
          </cell>
          <cell r="AL2081">
            <v>0</v>
          </cell>
          <cell r="AM2081">
            <v>0</v>
          </cell>
          <cell r="AO2081">
            <v>0</v>
          </cell>
          <cell r="AP2081">
            <v>0</v>
          </cell>
          <cell r="AR2081">
            <v>0</v>
          </cell>
          <cell r="AS2081">
            <v>0</v>
          </cell>
          <cell r="BF2081" t="str">
            <v>1005</v>
          </cell>
          <cell r="BG2081" t="str">
            <v>A082</v>
          </cell>
          <cell r="BH2081" t="str">
            <v>ISA</v>
          </cell>
        </row>
        <row r="2082">
          <cell r="K2082">
            <v>0</v>
          </cell>
          <cell r="L2082">
            <v>0</v>
          </cell>
          <cell r="N2082">
            <v>0</v>
          </cell>
          <cell r="O2082">
            <v>0</v>
          </cell>
          <cell r="Q2082">
            <v>0</v>
          </cell>
          <cell r="R2082">
            <v>0</v>
          </cell>
          <cell r="T2082">
            <v>0</v>
          </cell>
          <cell r="U2082">
            <v>0</v>
          </cell>
          <cell r="W2082">
            <v>0</v>
          </cell>
          <cell r="X2082">
            <v>0</v>
          </cell>
          <cell r="Z2082">
            <v>0</v>
          </cell>
          <cell r="AA2082">
            <v>0</v>
          </cell>
          <cell r="AC2082">
            <v>0</v>
          </cell>
          <cell r="AD2082">
            <v>0</v>
          </cell>
          <cell r="AF2082">
            <v>0</v>
          </cell>
          <cell r="AG2082">
            <v>0</v>
          </cell>
          <cell r="AI2082">
            <v>0</v>
          </cell>
          <cell r="AJ2082">
            <v>0</v>
          </cell>
          <cell r="AL2082">
            <v>0</v>
          </cell>
          <cell r="AM2082">
            <v>0</v>
          </cell>
          <cell r="AO2082">
            <v>0</v>
          </cell>
          <cell r="AP2082">
            <v>0</v>
          </cell>
          <cell r="AR2082">
            <v>0</v>
          </cell>
          <cell r="AS2082">
            <v>0</v>
          </cell>
          <cell r="BF2082" t="str">
            <v>1005</v>
          </cell>
          <cell r="BG2082" t="str">
            <v>A083</v>
          </cell>
          <cell r="BH2082" t="str">
            <v>ISA</v>
          </cell>
        </row>
        <row r="2083">
          <cell r="K2083">
            <v>0</v>
          </cell>
          <cell r="L2083">
            <v>0</v>
          </cell>
          <cell r="N2083">
            <v>0</v>
          </cell>
          <cell r="O2083">
            <v>0</v>
          </cell>
          <cell r="Q2083">
            <v>0</v>
          </cell>
          <cell r="R2083">
            <v>0</v>
          </cell>
          <cell r="T2083">
            <v>0</v>
          </cell>
          <cell r="U2083">
            <v>0</v>
          </cell>
          <cell r="W2083">
            <v>0</v>
          </cell>
          <cell r="X2083">
            <v>0</v>
          </cell>
          <cell r="Z2083">
            <v>0</v>
          </cell>
          <cell r="AA2083">
            <v>0</v>
          </cell>
          <cell r="AC2083">
            <v>0</v>
          </cell>
          <cell r="AD2083">
            <v>0</v>
          </cell>
          <cell r="AF2083">
            <v>0</v>
          </cell>
          <cell r="AG2083">
            <v>0</v>
          </cell>
          <cell r="AI2083">
            <v>0</v>
          </cell>
          <cell r="AJ2083">
            <v>0</v>
          </cell>
          <cell r="AL2083">
            <v>0</v>
          </cell>
          <cell r="AM2083">
            <v>0</v>
          </cell>
          <cell r="AO2083">
            <v>0</v>
          </cell>
          <cell r="AP2083">
            <v>0</v>
          </cell>
          <cell r="AR2083">
            <v>0</v>
          </cell>
          <cell r="AS2083">
            <v>0</v>
          </cell>
          <cell r="BF2083" t="str">
            <v>1005</v>
          </cell>
          <cell r="BG2083" t="str">
            <v>A084</v>
          </cell>
          <cell r="BH2083" t="str">
            <v>ISA</v>
          </cell>
        </row>
        <row r="2084">
          <cell r="K2084">
            <v>0</v>
          </cell>
          <cell r="L2084">
            <v>0</v>
          </cell>
          <cell r="N2084">
            <v>0</v>
          </cell>
          <cell r="O2084">
            <v>0</v>
          </cell>
          <cell r="Q2084">
            <v>0</v>
          </cell>
          <cell r="R2084">
            <v>0</v>
          </cell>
          <cell r="T2084">
            <v>0</v>
          </cell>
          <cell r="U2084">
            <v>0</v>
          </cell>
          <cell r="W2084">
            <v>0</v>
          </cell>
          <cell r="X2084">
            <v>0</v>
          </cell>
          <cell r="Z2084">
            <v>0</v>
          </cell>
          <cell r="AA2084">
            <v>0</v>
          </cell>
          <cell r="AC2084">
            <v>0</v>
          </cell>
          <cell r="AD2084">
            <v>0</v>
          </cell>
          <cell r="AF2084">
            <v>0</v>
          </cell>
          <cell r="AG2084">
            <v>0</v>
          </cell>
          <cell r="AI2084">
            <v>0</v>
          </cell>
          <cell r="AJ2084">
            <v>0</v>
          </cell>
          <cell r="AL2084">
            <v>0</v>
          </cell>
          <cell r="AM2084">
            <v>0</v>
          </cell>
          <cell r="AO2084">
            <v>0</v>
          </cell>
          <cell r="AP2084">
            <v>0</v>
          </cell>
          <cell r="AR2084">
            <v>0</v>
          </cell>
          <cell r="AS2084">
            <v>0</v>
          </cell>
          <cell r="BF2084" t="str">
            <v>1005</v>
          </cell>
          <cell r="BG2084" t="str">
            <v>A085</v>
          </cell>
          <cell r="BH2084" t="str">
            <v>ISA</v>
          </cell>
        </row>
        <row r="2085">
          <cell r="K2085">
            <v>0</v>
          </cell>
          <cell r="L2085">
            <v>0</v>
          </cell>
          <cell r="N2085">
            <v>0</v>
          </cell>
          <cell r="O2085">
            <v>0</v>
          </cell>
          <cell r="Q2085">
            <v>0</v>
          </cell>
          <cell r="R2085">
            <v>0</v>
          </cell>
          <cell r="T2085">
            <v>0</v>
          </cell>
          <cell r="U2085">
            <v>0</v>
          </cell>
          <cell r="W2085">
            <v>0</v>
          </cell>
          <cell r="X2085">
            <v>0</v>
          </cell>
          <cell r="Z2085">
            <v>0</v>
          </cell>
          <cell r="AA2085">
            <v>0</v>
          </cell>
          <cell r="AC2085">
            <v>0</v>
          </cell>
          <cell r="AD2085">
            <v>0</v>
          </cell>
          <cell r="AF2085">
            <v>0</v>
          </cell>
          <cell r="AG2085">
            <v>0</v>
          </cell>
          <cell r="AI2085">
            <v>0</v>
          </cell>
          <cell r="AJ2085">
            <v>0</v>
          </cell>
          <cell r="AL2085">
            <v>0</v>
          </cell>
          <cell r="AM2085">
            <v>0</v>
          </cell>
          <cell r="AO2085">
            <v>0</v>
          </cell>
          <cell r="AP2085">
            <v>0</v>
          </cell>
          <cell r="AR2085">
            <v>0</v>
          </cell>
          <cell r="AS2085">
            <v>0</v>
          </cell>
          <cell r="BF2085" t="str">
            <v>1005</v>
          </cell>
          <cell r="BG2085" t="str">
            <v>A086</v>
          </cell>
          <cell r="BH2085" t="str">
            <v>ISA</v>
          </cell>
        </row>
        <row r="2086">
          <cell r="K2086">
            <v>0</v>
          </cell>
          <cell r="L2086">
            <v>0</v>
          </cell>
          <cell r="N2086">
            <v>0</v>
          </cell>
          <cell r="O2086">
            <v>0</v>
          </cell>
          <cell r="Q2086">
            <v>0</v>
          </cell>
          <cell r="R2086">
            <v>0</v>
          </cell>
          <cell r="T2086">
            <v>0</v>
          </cell>
          <cell r="U2086">
            <v>0</v>
          </cell>
          <cell r="W2086">
            <v>0</v>
          </cell>
          <cell r="X2086">
            <v>0</v>
          </cell>
          <cell r="Z2086">
            <v>0</v>
          </cell>
          <cell r="AA2086">
            <v>0</v>
          </cell>
          <cell r="AC2086">
            <v>0</v>
          </cell>
          <cell r="AD2086">
            <v>0</v>
          </cell>
          <cell r="AF2086">
            <v>0</v>
          </cell>
          <cell r="AG2086">
            <v>0</v>
          </cell>
          <cell r="AI2086">
            <v>0</v>
          </cell>
          <cell r="AJ2086">
            <v>0</v>
          </cell>
          <cell r="AL2086">
            <v>0</v>
          </cell>
          <cell r="AM2086">
            <v>0</v>
          </cell>
          <cell r="AO2086">
            <v>0</v>
          </cell>
          <cell r="AP2086">
            <v>0</v>
          </cell>
          <cell r="AR2086">
            <v>0</v>
          </cell>
          <cell r="AS2086">
            <v>0</v>
          </cell>
          <cell r="BF2086" t="str">
            <v>1008</v>
          </cell>
          <cell r="BG2086" t="str">
            <v>A041</v>
          </cell>
          <cell r="BH2086" t="str">
            <v>ISA</v>
          </cell>
        </row>
        <row r="2087">
          <cell r="K2087">
            <v>0</v>
          </cell>
          <cell r="L2087">
            <v>0</v>
          </cell>
          <cell r="N2087">
            <v>0</v>
          </cell>
          <cell r="O2087">
            <v>0</v>
          </cell>
          <cell r="Q2087">
            <v>0</v>
          </cell>
          <cell r="R2087">
            <v>0</v>
          </cell>
          <cell r="T2087">
            <v>0</v>
          </cell>
          <cell r="U2087">
            <v>0</v>
          </cell>
          <cell r="W2087">
            <v>0</v>
          </cell>
          <cell r="X2087">
            <v>0</v>
          </cell>
          <cell r="Z2087">
            <v>0</v>
          </cell>
          <cell r="AA2087">
            <v>0</v>
          </cell>
          <cell r="AC2087">
            <v>0</v>
          </cell>
          <cell r="AD2087">
            <v>0</v>
          </cell>
          <cell r="AF2087">
            <v>0</v>
          </cell>
          <cell r="AG2087">
            <v>0</v>
          </cell>
          <cell r="AI2087">
            <v>0</v>
          </cell>
          <cell r="AJ2087">
            <v>0</v>
          </cell>
          <cell r="AL2087">
            <v>0</v>
          </cell>
          <cell r="AM2087">
            <v>0</v>
          </cell>
          <cell r="AO2087">
            <v>0</v>
          </cell>
          <cell r="AP2087">
            <v>0</v>
          </cell>
          <cell r="AR2087">
            <v>0</v>
          </cell>
          <cell r="AS2087">
            <v>0</v>
          </cell>
          <cell r="BF2087" t="str">
            <v>1008</v>
          </cell>
          <cell r="BG2087" t="str">
            <v>A042</v>
          </cell>
          <cell r="BH2087" t="str">
            <v>ISA</v>
          </cell>
        </row>
        <row r="2088">
          <cell r="K2088">
            <v>0</v>
          </cell>
          <cell r="L2088">
            <v>0</v>
          </cell>
          <cell r="N2088">
            <v>0</v>
          </cell>
          <cell r="O2088">
            <v>0</v>
          </cell>
          <cell r="Q2088">
            <v>0</v>
          </cell>
          <cell r="R2088">
            <v>0</v>
          </cell>
          <cell r="T2088">
            <v>0</v>
          </cell>
          <cell r="U2088">
            <v>0</v>
          </cell>
          <cell r="W2088">
            <v>0</v>
          </cell>
          <cell r="X2088">
            <v>0</v>
          </cell>
          <cell r="Z2088">
            <v>0</v>
          </cell>
          <cell r="AA2088">
            <v>0</v>
          </cell>
          <cell r="AC2088">
            <v>0</v>
          </cell>
          <cell r="AD2088">
            <v>0</v>
          </cell>
          <cell r="AF2088">
            <v>0</v>
          </cell>
          <cell r="AG2088">
            <v>0</v>
          </cell>
          <cell r="AI2088">
            <v>0</v>
          </cell>
          <cell r="AJ2088">
            <v>0</v>
          </cell>
          <cell r="AL2088">
            <v>0</v>
          </cell>
          <cell r="AM2088">
            <v>0</v>
          </cell>
          <cell r="AO2088">
            <v>0</v>
          </cell>
          <cell r="AP2088">
            <v>0</v>
          </cell>
          <cell r="AR2088">
            <v>0</v>
          </cell>
          <cell r="AS2088">
            <v>0</v>
          </cell>
          <cell r="BF2088" t="str">
            <v>1008</v>
          </cell>
          <cell r="BG2088" t="str">
            <v>A043</v>
          </cell>
          <cell r="BH2088" t="str">
            <v>ISA</v>
          </cell>
        </row>
        <row r="2089">
          <cell r="K2089">
            <v>0</v>
          </cell>
          <cell r="L2089">
            <v>0</v>
          </cell>
          <cell r="N2089">
            <v>0</v>
          </cell>
          <cell r="O2089">
            <v>0</v>
          </cell>
          <cell r="Q2089">
            <v>0</v>
          </cell>
          <cell r="R2089">
            <v>0</v>
          </cell>
          <cell r="T2089">
            <v>0</v>
          </cell>
          <cell r="U2089">
            <v>0</v>
          </cell>
          <cell r="W2089">
            <v>0</v>
          </cell>
          <cell r="X2089">
            <v>0</v>
          </cell>
          <cell r="Z2089">
            <v>0</v>
          </cell>
          <cell r="AA2089">
            <v>0</v>
          </cell>
          <cell r="AC2089">
            <v>0</v>
          </cell>
          <cell r="AD2089">
            <v>0</v>
          </cell>
          <cell r="AF2089">
            <v>0</v>
          </cell>
          <cell r="AG2089">
            <v>0</v>
          </cell>
          <cell r="AI2089">
            <v>0</v>
          </cell>
          <cell r="AJ2089">
            <v>0</v>
          </cell>
          <cell r="AL2089">
            <v>0</v>
          </cell>
          <cell r="AM2089">
            <v>0</v>
          </cell>
          <cell r="AO2089">
            <v>0</v>
          </cell>
          <cell r="AP2089">
            <v>0</v>
          </cell>
          <cell r="AR2089">
            <v>0</v>
          </cell>
          <cell r="AS2089">
            <v>0</v>
          </cell>
          <cell r="BF2089" t="str">
            <v>1008</v>
          </cell>
          <cell r="BG2089" t="str">
            <v>A044</v>
          </cell>
          <cell r="BH2089" t="str">
            <v>ISA</v>
          </cell>
        </row>
        <row r="2090">
          <cell r="K2090">
            <v>0</v>
          </cell>
          <cell r="L2090">
            <v>0</v>
          </cell>
          <cell r="N2090">
            <v>0</v>
          </cell>
          <cell r="O2090">
            <v>0</v>
          </cell>
          <cell r="Q2090">
            <v>0</v>
          </cell>
          <cell r="R2090">
            <v>0</v>
          </cell>
          <cell r="T2090">
            <v>0</v>
          </cell>
          <cell r="U2090">
            <v>0</v>
          </cell>
          <cell r="W2090">
            <v>0</v>
          </cell>
          <cell r="X2090">
            <v>0</v>
          </cell>
          <cell r="Z2090">
            <v>0</v>
          </cell>
          <cell r="AA2090">
            <v>0</v>
          </cell>
          <cell r="AC2090">
            <v>0</v>
          </cell>
          <cell r="AD2090">
            <v>0</v>
          </cell>
          <cell r="AF2090">
            <v>0</v>
          </cell>
          <cell r="AG2090">
            <v>0</v>
          </cell>
          <cell r="AI2090">
            <v>0</v>
          </cell>
          <cell r="AJ2090">
            <v>0</v>
          </cell>
          <cell r="AL2090">
            <v>0</v>
          </cell>
          <cell r="AM2090">
            <v>0</v>
          </cell>
          <cell r="AO2090">
            <v>0</v>
          </cell>
          <cell r="AP2090">
            <v>0</v>
          </cell>
          <cell r="AR2090">
            <v>0</v>
          </cell>
          <cell r="AS2090">
            <v>0</v>
          </cell>
          <cell r="BF2090" t="str">
            <v>1009</v>
          </cell>
          <cell r="BG2090" t="str">
            <v>A061</v>
          </cell>
          <cell r="BH2090" t="str">
            <v>ISA</v>
          </cell>
        </row>
        <row r="2091">
          <cell r="K2091">
            <v>0</v>
          </cell>
          <cell r="L2091">
            <v>0</v>
          </cell>
          <cell r="N2091">
            <v>0</v>
          </cell>
          <cell r="O2091">
            <v>0</v>
          </cell>
          <cell r="Q2091">
            <v>0</v>
          </cell>
          <cell r="R2091">
            <v>0</v>
          </cell>
          <cell r="T2091">
            <v>0</v>
          </cell>
          <cell r="U2091">
            <v>0</v>
          </cell>
          <cell r="W2091">
            <v>0</v>
          </cell>
          <cell r="X2091">
            <v>0</v>
          </cell>
          <cell r="Z2091">
            <v>0</v>
          </cell>
          <cell r="AA2091">
            <v>0</v>
          </cell>
          <cell r="AC2091">
            <v>0</v>
          </cell>
          <cell r="AD2091">
            <v>0</v>
          </cell>
          <cell r="AF2091">
            <v>0</v>
          </cell>
          <cell r="AG2091">
            <v>0</v>
          </cell>
          <cell r="AI2091">
            <v>0</v>
          </cell>
          <cell r="AJ2091">
            <v>0</v>
          </cell>
          <cell r="AL2091">
            <v>0</v>
          </cell>
          <cell r="AM2091">
            <v>0</v>
          </cell>
          <cell r="AO2091">
            <v>0</v>
          </cell>
          <cell r="AP2091">
            <v>0</v>
          </cell>
          <cell r="AR2091">
            <v>0</v>
          </cell>
          <cell r="AS2091">
            <v>0</v>
          </cell>
          <cell r="BF2091" t="str">
            <v>1009</v>
          </cell>
          <cell r="BG2091" t="str">
            <v>A062</v>
          </cell>
          <cell r="BH2091" t="str">
            <v>ISA</v>
          </cell>
        </row>
        <row r="2092">
          <cell r="K2092">
            <v>0</v>
          </cell>
          <cell r="L2092">
            <v>0</v>
          </cell>
          <cell r="N2092">
            <v>0</v>
          </cell>
          <cell r="O2092">
            <v>0</v>
          </cell>
          <cell r="Q2092">
            <v>0</v>
          </cell>
          <cell r="R2092">
            <v>0</v>
          </cell>
          <cell r="T2092">
            <v>0</v>
          </cell>
          <cell r="U2092">
            <v>0</v>
          </cell>
          <cell r="W2092">
            <v>0</v>
          </cell>
          <cell r="X2092">
            <v>0</v>
          </cell>
          <cell r="Z2092">
            <v>0</v>
          </cell>
          <cell r="AA2092">
            <v>0</v>
          </cell>
          <cell r="AC2092">
            <v>0</v>
          </cell>
          <cell r="AD2092">
            <v>0</v>
          </cell>
          <cell r="AF2092">
            <v>0</v>
          </cell>
          <cell r="AG2092">
            <v>0</v>
          </cell>
          <cell r="AI2092">
            <v>0</v>
          </cell>
          <cell r="AJ2092">
            <v>0</v>
          </cell>
          <cell r="AL2092">
            <v>0</v>
          </cell>
          <cell r="AM2092">
            <v>0</v>
          </cell>
          <cell r="AO2092">
            <v>0</v>
          </cell>
          <cell r="AP2092">
            <v>0</v>
          </cell>
          <cell r="AR2092">
            <v>0</v>
          </cell>
          <cell r="AS2092">
            <v>0</v>
          </cell>
          <cell r="BF2092" t="str">
            <v>1009</v>
          </cell>
          <cell r="BG2092" t="str">
            <v>A063</v>
          </cell>
          <cell r="BH2092" t="str">
            <v>ISA</v>
          </cell>
        </row>
        <row r="2093">
          <cell r="K2093">
            <v>0</v>
          </cell>
          <cell r="L2093">
            <v>0</v>
          </cell>
          <cell r="N2093">
            <v>0</v>
          </cell>
          <cell r="O2093">
            <v>0</v>
          </cell>
          <cell r="Q2093">
            <v>0</v>
          </cell>
          <cell r="R2093">
            <v>0</v>
          </cell>
          <cell r="T2093">
            <v>0</v>
          </cell>
          <cell r="U2093">
            <v>0</v>
          </cell>
          <cell r="W2093">
            <v>0</v>
          </cell>
          <cell r="X2093">
            <v>0</v>
          </cell>
          <cell r="Z2093">
            <v>0</v>
          </cell>
          <cell r="AA2093">
            <v>0</v>
          </cell>
          <cell r="AC2093">
            <v>0</v>
          </cell>
          <cell r="AD2093">
            <v>0</v>
          </cell>
          <cell r="AF2093">
            <v>0</v>
          </cell>
          <cell r="AG2093">
            <v>0</v>
          </cell>
          <cell r="AI2093">
            <v>0</v>
          </cell>
          <cell r="AJ2093">
            <v>0</v>
          </cell>
          <cell r="AL2093">
            <v>0</v>
          </cell>
          <cell r="AM2093">
            <v>0</v>
          </cell>
          <cell r="AO2093">
            <v>0</v>
          </cell>
          <cell r="AP2093">
            <v>0</v>
          </cell>
          <cell r="AR2093">
            <v>0</v>
          </cell>
          <cell r="AS2093">
            <v>0</v>
          </cell>
          <cell r="BF2093" t="str">
            <v>1009</v>
          </cell>
          <cell r="BG2093" t="str">
            <v>A064</v>
          </cell>
          <cell r="BH2093" t="str">
            <v>ISA</v>
          </cell>
        </row>
        <row r="2094">
          <cell r="K2094">
            <v>0</v>
          </cell>
          <cell r="L2094">
            <v>0</v>
          </cell>
          <cell r="N2094">
            <v>0</v>
          </cell>
          <cell r="O2094">
            <v>0</v>
          </cell>
          <cell r="Q2094">
            <v>0</v>
          </cell>
          <cell r="R2094">
            <v>0</v>
          </cell>
          <cell r="T2094">
            <v>0</v>
          </cell>
          <cell r="U2094">
            <v>0</v>
          </cell>
          <cell r="W2094">
            <v>0</v>
          </cell>
          <cell r="X2094">
            <v>0</v>
          </cell>
          <cell r="Z2094">
            <v>0</v>
          </cell>
          <cell r="AA2094">
            <v>0</v>
          </cell>
          <cell r="AC2094">
            <v>0</v>
          </cell>
          <cell r="AD2094">
            <v>0</v>
          </cell>
          <cell r="AF2094">
            <v>0</v>
          </cell>
          <cell r="AG2094">
            <v>0</v>
          </cell>
          <cell r="AI2094">
            <v>0</v>
          </cell>
          <cell r="AJ2094">
            <v>0</v>
          </cell>
          <cell r="AL2094">
            <v>0</v>
          </cell>
          <cell r="AM2094">
            <v>0</v>
          </cell>
          <cell r="AO2094">
            <v>0</v>
          </cell>
          <cell r="AP2094">
            <v>0</v>
          </cell>
          <cell r="AR2094">
            <v>0</v>
          </cell>
          <cell r="AS2094">
            <v>0</v>
          </cell>
          <cell r="BF2094" t="str">
            <v>1009</v>
          </cell>
          <cell r="BG2094" t="str">
            <v>A065</v>
          </cell>
          <cell r="BH2094" t="str">
            <v>ISA</v>
          </cell>
        </row>
        <row r="2095">
          <cell r="K2095">
            <v>0</v>
          </cell>
          <cell r="L2095">
            <v>0</v>
          </cell>
          <cell r="N2095">
            <v>0</v>
          </cell>
          <cell r="O2095">
            <v>0</v>
          </cell>
          <cell r="Q2095">
            <v>0</v>
          </cell>
          <cell r="R2095">
            <v>0</v>
          </cell>
          <cell r="T2095">
            <v>0</v>
          </cell>
          <cell r="U2095">
            <v>0</v>
          </cell>
          <cell r="W2095">
            <v>0</v>
          </cell>
          <cell r="X2095">
            <v>0</v>
          </cell>
          <cell r="Z2095">
            <v>0</v>
          </cell>
          <cell r="AA2095">
            <v>0</v>
          </cell>
          <cell r="AC2095">
            <v>0</v>
          </cell>
          <cell r="AD2095">
            <v>0</v>
          </cell>
          <cell r="AF2095">
            <v>0</v>
          </cell>
          <cell r="AG2095">
            <v>0</v>
          </cell>
          <cell r="AI2095">
            <v>0</v>
          </cell>
          <cell r="AJ2095">
            <v>0</v>
          </cell>
          <cell r="AL2095">
            <v>0</v>
          </cell>
          <cell r="AM2095">
            <v>0</v>
          </cell>
          <cell r="AO2095">
            <v>0</v>
          </cell>
          <cell r="AP2095">
            <v>0</v>
          </cell>
          <cell r="AR2095">
            <v>0</v>
          </cell>
          <cell r="AS2095">
            <v>0</v>
          </cell>
          <cell r="BF2095" t="str">
            <v>2001</v>
          </cell>
          <cell r="BG2095" t="str">
            <v>B001</v>
          </cell>
          <cell r="BH2095" t="str">
            <v>ISA</v>
          </cell>
        </row>
        <row r="2096">
          <cell r="K2096">
            <v>0</v>
          </cell>
          <cell r="L2096">
            <v>0</v>
          </cell>
          <cell r="N2096">
            <v>0</v>
          </cell>
          <cell r="O2096">
            <v>0</v>
          </cell>
          <cell r="Q2096">
            <v>0</v>
          </cell>
          <cell r="R2096">
            <v>0</v>
          </cell>
          <cell r="T2096">
            <v>0</v>
          </cell>
          <cell r="U2096">
            <v>0</v>
          </cell>
          <cell r="W2096">
            <v>0</v>
          </cell>
          <cell r="X2096">
            <v>0</v>
          </cell>
          <cell r="Z2096">
            <v>0</v>
          </cell>
          <cell r="AA2096">
            <v>0</v>
          </cell>
          <cell r="AC2096">
            <v>0</v>
          </cell>
          <cell r="AD2096">
            <v>0</v>
          </cell>
          <cell r="AF2096">
            <v>0</v>
          </cell>
          <cell r="AG2096">
            <v>0</v>
          </cell>
          <cell r="AI2096">
            <v>0</v>
          </cell>
          <cell r="AJ2096">
            <v>0</v>
          </cell>
          <cell r="AL2096">
            <v>0</v>
          </cell>
          <cell r="AM2096">
            <v>0</v>
          </cell>
          <cell r="AO2096">
            <v>0</v>
          </cell>
          <cell r="AP2096">
            <v>0</v>
          </cell>
          <cell r="AR2096">
            <v>0</v>
          </cell>
          <cell r="AS2096">
            <v>0</v>
          </cell>
          <cell r="BF2096" t="str">
            <v>2001</v>
          </cell>
          <cell r="BG2096" t="str">
            <v>B002</v>
          </cell>
          <cell r="BH2096" t="str">
            <v>ISA</v>
          </cell>
        </row>
        <row r="2097">
          <cell r="K2097">
            <v>0</v>
          </cell>
          <cell r="L2097">
            <v>0</v>
          </cell>
          <cell r="N2097">
            <v>0</v>
          </cell>
          <cell r="O2097">
            <v>0</v>
          </cell>
          <cell r="Q2097">
            <v>0</v>
          </cell>
          <cell r="R2097">
            <v>0</v>
          </cell>
          <cell r="T2097">
            <v>0</v>
          </cell>
          <cell r="U2097">
            <v>0</v>
          </cell>
          <cell r="W2097">
            <v>0</v>
          </cell>
          <cell r="X2097">
            <v>0</v>
          </cell>
          <cell r="Z2097">
            <v>0</v>
          </cell>
          <cell r="AA2097">
            <v>0</v>
          </cell>
          <cell r="AC2097">
            <v>0</v>
          </cell>
          <cell r="AD2097">
            <v>0</v>
          </cell>
          <cell r="AF2097">
            <v>0</v>
          </cell>
          <cell r="AG2097">
            <v>0</v>
          </cell>
          <cell r="AI2097">
            <v>0</v>
          </cell>
          <cell r="AJ2097">
            <v>0</v>
          </cell>
          <cell r="AL2097">
            <v>0</v>
          </cell>
          <cell r="AM2097">
            <v>0</v>
          </cell>
          <cell r="AO2097">
            <v>0</v>
          </cell>
          <cell r="AP2097">
            <v>0</v>
          </cell>
          <cell r="AR2097">
            <v>0</v>
          </cell>
          <cell r="AS2097">
            <v>0</v>
          </cell>
          <cell r="BF2097" t="str">
            <v>2001</v>
          </cell>
          <cell r="BG2097" t="str">
            <v>B003</v>
          </cell>
          <cell r="BH2097" t="str">
            <v>ISA</v>
          </cell>
        </row>
        <row r="2098">
          <cell r="K2098">
            <v>0</v>
          </cell>
          <cell r="L2098">
            <v>0</v>
          </cell>
          <cell r="N2098">
            <v>0</v>
          </cell>
          <cell r="O2098">
            <v>0</v>
          </cell>
          <cell r="Q2098">
            <v>0</v>
          </cell>
          <cell r="R2098">
            <v>0</v>
          </cell>
          <cell r="T2098">
            <v>0</v>
          </cell>
          <cell r="U2098">
            <v>0</v>
          </cell>
          <cell r="W2098">
            <v>0</v>
          </cell>
          <cell r="X2098">
            <v>0</v>
          </cell>
          <cell r="Z2098">
            <v>0</v>
          </cell>
          <cell r="AA2098">
            <v>0</v>
          </cell>
          <cell r="AC2098">
            <v>0</v>
          </cell>
          <cell r="AD2098">
            <v>0</v>
          </cell>
          <cell r="AF2098">
            <v>0</v>
          </cell>
          <cell r="AG2098">
            <v>0</v>
          </cell>
          <cell r="AI2098">
            <v>0</v>
          </cell>
          <cell r="AJ2098">
            <v>0</v>
          </cell>
          <cell r="AL2098">
            <v>0</v>
          </cell>
          <cell r="AM2098">
            <v>0</v>
          </cell>
          <cell r="AO2098">
            <v>0</v>
          </cell>
          <cell r="AP2098">
            <v>0</v>
          </cell>
          <cell r="AR2098">
            <v>0</v>
          </cell>
          <cell r="AS2098">
            <v>0</v>
          </cell>
          <cell r="BF2098" t="str">
            <v>2001</v>
          </cell>
          <cell r="BG2098" t="str">
            <v>B004</v>
          </cell>
          <cell r="BH2098" t="str">
            <v>ISA</v>
          </cell>
        </row>
        <row r="2099">
          <cell r="K2099">
            <v>0</v>
          </cell>
          <cell r="L2099">
            <v>0</v>
          </cell>
          <cell r="N2099">
            <v>0</v>
          </cell>
          <cell r="O2099">
            <v>0</v>
          </cell>
          <cell r="Q2099">
            <v>0</v>
          </cell>
          <cell r="R2099">
            <v>0</v>
          </cell>
          <cell r="T2099">
            <v>0</v>
          </cell>
          <cell r="U2099">
            <v>0</v>
          </cell>
          <cell r="W2099">
            <v>0</v>
          </cell>
          <cell r="X2099">
            <v>0</v>
          </cell>
          <cell r="Z2099">
            <v>0</v>
          </cell>
          <cell r="AA2099">
            <v>0</v>
          </cell>
          <cell r="AC2099">
            <v>0</v>
          </cell>
          <cell r="AD2099">
            <v>0</v>
          </cell>
          <cell r="AF2099">
            <v>0</v>
          </cell>
          <cell r="AG2099">
            <v>0</v>
          </cell>
          <cell r="AI2099">
            <v>0</v>
          </cell>
          <cell r="AJ2099">
            <v>0</v>
          </cell>
          <cell r="AL2099">
            <v>0</v>
          </cell>
          <cell r="AM2099">
            <v>0</v>
          </cell>
          <cell r="AO2099">
            <v>0</v>
          </cell>
          <cell r="AP2099">
            <v>0</v>
          </cell>
          <cell r="AR2099">
            <v>0</v>
          </cell>
          <cell r="AS2099">
            <v>0</v>
          </cell>
          <cell r="BF2099" t="str">
            <v>2001</v>
          </cell>
          <cell r="BG2099" t="str">
            <v>B005</v>
          </cell>
          <cell r="BH2099" t="str">
            <v>ISA</v>
          </cell>
        </row>
        <row r="2100">
          <cell r="K2100">
            <v>0</v>
          </cell>
          <cell r="L2100">
            <v>0</v>
          </cell>
          <cell r="N2100">
            <v>0</v>
          </cell>
          <cell r="O2100">
            <v>0</v>
          </cell>
          <cell r="Q2100">
            <v>0</v>
          </cell>
          <cell r="R2100">
            <v>0</v>
          </cell>
          <cell r="T2100">
            <v>0</v>
          </cell>
          <cell r="U2100">
            <v>0</v>
          </cell>
          <cell r="W2100">
            <v>0</v>
          </cell>
          <cell r="X2100">
            <v>0</v>
          </cell>
          <cell r="Z2100">
            <v>0</v>
          </cell>
          <cell r="AA2100">
            <v>0</v>
          </cell>
          <cell r="AC2100">
            <v>0</v>
          </cell>
          <cell r="AD2100">
            <v>0</v>
          </cell>
          <cell r="AF2100">
            <v>0</v>
          </cell>
          <cell r="AG2100">
            <v>0</v>
          </cell>
          <cell r="AI2100">
            <v>0</v>
          </cell>
          <cell r="AJ2100">
            <v>0</v>
          </cell>
          <cell r="AL2100">
            <v>0</v>
          </cell>
          <cell r="AM2100">
            <v>0</v>
          </cell>
          <cell r="AO2100">
            <v>0</v>
          </cell>
          <cell r="AP2100">
            <v>0</v>
          </cell>
          <cell r="AR2100">
            <v>0</v>
          </cell>
          <cell r="AS2100">
            <v>0</v>
          </cell>
          <cell r="BF2100" t="str">
            <v>2001</v>
          </cell>
          <cell r="BG2100" t="str">
            <v>B006</v>
          </cell>
          <cell r="BH2100" t="str">
            <v>ISA</v>
          </cell>
        </row>
        <row r="2101">
          <cell r="K2101">
            <v>0</v>
          </cell>
          <cell r="L2101">
            <v>0</v>
          </cell>
          <cell r="N2101">
            <v>0</v>
          </cell>
          <cell r="O2101">
            <v>0</v>
          </cell>
          <cell r="Q2101">
            <v>0</v>
          </cell>
          <cell r="R2101">
            <v>0</v>
          </cell>
          <cell r="T2101">
            <v>0</v>
          </cell>
          <cell r="U2101">
            <v>0</v>
          </cell>
          <cell r="W2101">
            <v>0</v>
          </cell>
          <cell r="X2101">
            <v>0</v>
          </cell>
          <cell r="Z2101">
            <v>0</v>
          </cell>
          <cell r="AA2101">
            <v>0</v>
          </cell>
          <cell r="AC2101">
            <v>0</v>
          </cell>
          <cell r="AD2101">
            <v>0</v>
          </cell>
          <cell r="AF2101">
            <v>0</v>
          </cell>
          <cell r="AG2101">
            <v>0</v>
          </cell>
          <cell r="AI2101">
            <v>0</v>
          </cell>
          <cell r="AJ2101">
            <v>0</v>
          </cell>
          <cell r="AL2101">
            <v>0</v>
          </cell>
          <cell r="AM2101">
            <v>0</v>
          </cell>
          <cell r="AO2101">
            <v>0</v>
          </cell>
          <cell r="AP2101">
            <v>0</v>
          </cell>
          <cell r="AR2101">
            <v>0</v>
          </cell>
          <cell r="AS2101">
            <v>0</v>
          </cell>
          <cell r="BF2101" t="str">
            <v>2008</v>
          </cell>
          <cell r="BG2101" t="str">
            <v>Z000</v>
          </cell>
          <cell r="BH2101" t="str">
            <v>ISA</v>
          </cell>
        </row>
        <row r="2102">
          <cell r="K2102">
            <v>0</v>
          </cell>
          <cell r="L2102">
            <v>0</v>
          </cell>
          <cell r="N2102">
            <v>0</v>
          </cell>
          <cell r="O2102">
            <v>0</v>
          </cell>
          <cell r="Q2102">
            <v>0</v>
          </cell>
          <cell r="R2102">
            <v>0</v>
          </cell>
          <cell r="T2102">
            <v>0</v>
          </cell>
          <cell r="U2102">
            <v>0</v>
          </cell>
          <cell r="W2102">
            <v>0</v>
          </cell>
          <cell r="X2102">
            <v>0</v>
          </cell>
          <cell r="Z2102">
            <v>0</v>
          </cell>
          <cell r="AA2102">
            <v>0</v>
          </cell>
          <cell r="AC2102">
            <v>0</v>
          </cell>
          <cell r="AD2102">
            <v>0</v>
          </cell>
          <cell r="AF2102">
            <v>0</v>
          </cell>
          <cell r="AG2102">
            <v>0</v>
          </cell>
          <cell r="AI2102">
            <v>0</v>
          </cell>
          <cell r="AJ2102">
            <v>0</v>
          </cell>
          <cell r="AL2102">
            <v>0</v>
          </cell>
          <cell r="AM2102">
            <v>0</v>
          </cell>
          <cell r="AO2102">
            <v>0</v>
          </cell>
          <cell r="AP2102">
            <v>0</v>
          </cell>
          <cell r="AR2102">
            <v>0</v>
          </cell>
          <cell r="AS2102">
            <v>0</v>
          </cell>
          <cell r="BF2102" t="str">
            <v>2010</v>
          </cell>
          <cell r="BG2102" t="str">
            <v>B021</v>
          </cell>
          <cell r="BH2102" t="str">
            <v>ISA</v>
          </cell>
        </row>
        <row r="2103">
          <cell r="K2103">
            <v>0</v>
          </cell>
          <cell r="L2103">
            <v>0</v>
          </cell>
          <cell r="N2103">
            <v>0</v>
          </cell>
          <cell r="O2103">
            <v>0</v>
          </cell>
          <cell r="Q2103">
            <v>0</v>
          </cell>
          <cell r="R2103">
            <v>0</v>
          </cell>
          <cell r="T2103">
            <v>0</v>
          </cell>
          <cell r="U2103">
            <v>0</v>
          </cell>
          <cell r="W2103">
            <v>0</v>
          </cell>
          <cell r="X2103">
            <v>0</v>
          </cell>
          <cell r="Z2103">
            <v>0</v>
          </cell>
          <cell r="AA2103">
            <v>0</v>
          </cell>
          <cell r="AC2103">
            <v>0</v>
          </cell>
          <cell r="AD2103">
            <v>0</v>
          </cell>
          <cell r="AF2103">
            <v>0</v>
          </cell>
          <cell r="AG2103">
            <v>0</v>
          </cell>
          <cell r="AI2103">
            <v>0</v>
          </cell>
          <cell r="AJ2103">
            <v>0</v>
          </cell>
          <cell r="AL2103">
            <v>0</v>
          </cell>
          <cell r="AM2103">
            <v>0</v>
          </cell>
          <cell r="AO2103">
            <v>0</v>
          </cell>
          <cell r="AP2103">
            <v>0</v>
          </cell>
          <cell r="AR2103">
            <v>0</v>
          </cell>
          <cell r="AS2103">
            <v>0</v>
          </cell>
          <cell r="BF2103" t="str">
            <v>2010</v>
          </cell>
          <cell r="BG2103" t="str">
            <v>B022</v>
          </cell>
          <cell r="BH2103" t="str">
            <v>ISA</v>
          </cell>
        </row>
        <row r="2104">
          <cell r="K2104">
            <v>0</v>
          </cell>
          <cell r="L2104">
            <v>0</v>
          </cell>
          <cell r="N2104">
            <v>0</v>
          </cell>
          <cell r="O2104">
            <v>0</v>
          </cell>
          <cell r="Q2104">
            <v>0</v>
          </cell>
          <cell r="R2104">
            <v>0</v>
          </cell>
          <cell r="T2104">
            <v>0</v>
          </cell>
          <cell r="U2104">
            <v>0</v>
          </cell>
          <cell r="W2104">
            <v>0</v>
          </cell>
          <cell r="X2104">
            <v>0</v>
          </cell>
          <cell r="Z2104">
            <v>0</v>
          </cell>
          <cell r="AA2104">
            <v>0</v>
          </cell>
          <cell r="AC2104">
            <v>0</v>
          </cell>
          <cell r="AD2104">
            <v>0</v>
          </cell>
          <cell r="AF2104">
            <v>0</v>
          </cell>
          <cell r="AG2104">
            <v>0</v>
          </cell>
          <cell r="AI2104">
            <v>0</v>
          </cell>
          <cell r="AJ2104">
            <v>0</v>
          </cell>
          <cell r="AL2104">
            <v>0</v>
          </cell>
          <cell r="AM2104">
            <v>0</v>
          </cell>
          <cell r="AO2104">
            <v>0</v>
          </cell>
          <cell r="AP2104">
            <v>0</v>
          </cell>
          <cell r="AR2104">
            <v>0</v>
          </cell>
          <cell r="AS2104">
            <v>0</v>
          </cell>
          <cell r="BF2104" t="str">
            <v>2010</v>
          </cell>
          <cell r="BG2104" t="str">
            <v>B023</v>
          </cell>
          <cell r="BH2104" t="str">
            <v>ISA</v>
          </cell>
        </row>
        <row r="2105">
          <cell r="K2105">
            <v>0</v>
          </cell>
          <cell r="L2105">
            <v>0</v>
          </cell>
          <cell r="N2105">
            <v>0</v>
          </cell>
          <cell r="O2105">
            <v>0</v>
          </cell>
          <cell r="Q2105">
            <v>0</v>
          </cell>
          <cell r="R2105">
            <v>0</v>
          </cell>
          <cell r="T2105">
            <v>0</v>
          </cell>
          <cell r="U2105">
            <v>0</v>
          </cell>
          <cell r="W2105">
            <v>0</v>
          </cell>
          <cell r="X2105">
            <v>0</v>
          </cell>
          <cell r="Z2105">
            <v>0</v>
          </cell>
          <cell r="AA2105">
            <v>0</v>
          </cell>
          <cell r="AC2105">
            <v>0</v>
          </cell>
          <cell r="AD2105">
            <v>0</v>
          </cell>
          <cell r="AF2105">
            <v>0</v>
          </cell>
          <cell r="AG2105">
            <v>0</v>
          </cell>
          <cell r="AI2105">
            <v>0</v>
          </cell>
          <cell r="AJ2105">
            <v>0</v>
          </cell>
          <cell r="AL2105">
            <v>0</v>
          </cell>
          <cell r="AM2105">
            <v>0</v>
          </cell>
          <cell r="AO2105">
            <v>0</v>
          </cell>
          <cell r="AP2105">
            <v>0</v>
          </cell>
          <cell r="AR2105">
            <v>0</v>
          </cell>
          <cell r="AS2105">
            <v>0</v>
          </cell>
          <cell r="BF2105" t="str">
            <v>2010</v>
          </cell>
          <cell r="BG2105" t="str">
            <v>B024</v>
          </cell>
          <cell r="BH2105" t="str">
            <v>ISA</v>
          </cell>
        </row>
        <row r="2106">
          <cell r="K2106">
            <v>0</v>
          </cell>
          <cell r="L2106">
            <v>0</v>
          </cell>
          <cell r="N2106">
            <v>0</v>
          </cell>
          <cell r="O2106">
            <v>0</v>
          </cell>
          <cell r="Q2106">
            <v>0</v>
          </cell>
          <cell r="R2106">
            <v>0</v>
          </cell>
          <cell r="T2106">
            <v>0</v>
          </cell>
          <cell r="U2106">
            <v>0</v>
          </cell>
          <cell r="W2106">
            <v>0</v>
          </cell>
          <cell r="X2106">
            <v>0</v>
          </cell>
          <cell r="Z2106">
            <v>0</v>
          </cell>
          <cell r="AA2106">
            <v>0</v>
          </cell>
          <cell r="AC2106">
            <v>0</v>
          </cell>
          <cell r="AD2106">
            <v>0</v>
          </cell>
          <cell r="AF2106">
            <v>0</v>
          </cell>
          <cell r="AG2106">
            <v>0</v>
          </cell>
          <cell r="AI2106">
            <v>0</v>
          </cell>
          <cell r="AJ2106">
            <v>0</v>
          </cell>
          <cell r="AL2106">
            <v>0</v>
          </cell>
          <cell r="AM2106">
            <v>0</v>
          </cell>
          <cell r="AO2106">
            <v>0</v>
          </cell>
          <cell r="AP2106">
            <v>0</v>
          </cell>
          <cell r="AR2106">
            <v>0</v>
          </cell>
          <cell r="AS2106">
            <v>0</v>
          </cell>
          <cell r="BF2106" t="str">
            <v>2015</v>
          </cell>
          <cell r="BG2106" t="str">
            <v>B201</v>
          </cell>
          <cell r="BH2106" t="str">
            <v>ISA</v>
          </cell>
        </row>
        <row r="2107">
          <cell r="K2107">
            <v>0</v>
          </cell>
          <cell r="L2107">
            <v>0</v>
          </cell>
          <cell r="N2107">
            <v>0</v>
          </cell>
          <cell r="O2107">
            <v>0</v>
          </cell>
          <cell r="Q2107">
            <v>0</v>
          </cell>
          <cell r="R2107">
            <v>0</v>
          </cell>
          <cell r="T2107">
            <v>0</v>
          </cell>
          <cell r="U2107">
            <v>0</v>
          </cell>
          <cell r="W2107">
            <v>0</v>
          </cell>
          <cell r="X2107">
            <v>0</v>
          </cell>
          <cell r="Z2107">
            <v>0</v>
          </cell>
          <cell r="AA2107">
            <v>0</v>
          </cell>
          <cell r="AC2107">
            <v>0</v>
          </cell>
          <cell r="AD2107">
            <v>0</v>
          </cell>
          <cell r="AF2107">
            <v>0</v>
          </cell>
          <cell r="AG2107">
            <v>0</v>
          </cell>
          <cell r="AI2107">
            <v>0</v>
          </cell>
          <cell r="AJ2107">
            <v>0</v>
          </cell>
          <cell r="AL2107">
            <v>0</v>
          </cell>
          <cell r="AM2107">
            <v>0</v>
          </cell>
          <cell r="AO2107">
            <v>0</v>
          </cell>
          <cell r="AP2107">
            <v>0</v>
          </cell>
          <cell r="AR2107">
            <v>0</v>
          </cell>
          <cell r="AS2107">
            <v>0</v>
          </cell>
          <cell r="BF2107" t="str">
            <v>2015</v>
          </cell>
          <cell r="BG2107" t="str">
            <v>B202</v>
          </cell>
          <cell r="BH2107" t="str">
            <v>ISA</v>
          </cell>
        </row>
        <row r="2108">
          <cell r="K2108">
            <v>0</v>
          </cell>
          <cell r="L2108">
            <v>0</v>
          </cell>
          <cell r="N2108">
            <v>0</v>
          </cell>
          <cell r="O2108">
            <v>0</v>
          </cell>
          <cell r="Q2108">
            <v>0</v>
          </cell>
          <cell r="R2108">
            <v>0</v>
          </cell>
          <cell r="T2108">
            <v>0</v>
          </cell>
          <cell r="U2108">
            <v>0</v>
          </cell>
          <cell r="W2108">
            <v>0</v>
          </cell>
          <cell r="X2108">
            <v>0</v>
          </cell>
          <cell r="Z2108">
            <v>0</v>
          </cell>
          <cell r="AA2108">
            <v>0</v>
          </cell>
          <cell r="AC2108">
            <v>0</v>
          </cell>
          <cell r="AD2108">
            <v>0</v>
          </cell>
          <cell r="AF2108">
            <v>0</v>
          </cell>
          <cell r="AG2108">
            <v>0</v>
          </cell>
          <cell r="AI2108">
            <v>0</v>
          </cell>
          <cell r="AJ2108">
            <v>0</v>
          </cell>
          <cell r="AL2108">
            <v>0</v>
          </cell>
          <cell r="AM2108">
            <v>0</v>
          </cell>
          <cell r="AO2108">
            <v>0</v>
          </cell>
          <cell r="AP2108">
            <v>0</v>
          </cell>
          <cell r="AR2108">
            <v>0</v>
          </cell>
          <cell r="AS2108">
            <v>0</v>
          </cell>
          <cell r="BF2108" t="str">
            <v>2015</v>
          </cell>
          <cell r="BG2108" t="str">
            <v>B203</v>
          </cell>
          <cell r="BH2108" t="str">
            <v>ISA</v>
          </cell>
        </row>
        <row r="2109">
          <cell r="K2109">
            <v>0</v>
          </cell>
          <cell r="L2109">
            <v>0</v>
          </cell>
          <cell r="N2109">
            <v>0</v>
          </cell>
          <cell r="O2109">
            <v>0</v>
          </cell>
          <cell r="Q2109">
            <v>0</v>
          </cell>
          <cell r="R2109">
            <v>0</v>
          </cell>
          <cell r="T2109">
            <v>0</v>
          </cell>
          <cell r="U2109">
            <v>0</v>
          </cell>
          <cell r="W2109">
            <v>0</v>
          </cell>
          <cell r="X2109">
            <v>0</v>
          </cell>
          <cell r="Z2109">
            <v>0</v>
          </cell>
          <cell r="AA2109">
            <v>0</v>
          </cell>
          <cell r="AC2109">
            <v>0</v>
          </cell>
          <cell r="AD2109">
            <v>0</v>
          </cell>
          <cell r="AF2109">
            <v>0</v>
          </cell>
          <cell r="AG2109">
            <v>0</v>
          </cell>
          <cell r="AI2109">
            <v>0</v>
          </cell>
          <cell r="AJ2109">
            <v>0</v>
          </cell>
          <cell r="AL2109">
            <v>0</v>
          </cell>
          <cell r="AM2109">
            <v>0</v>
          </cell>
          <cell r="AO2109">
            <v>0</v>
          </cell>
          <cell r="AP2109">
            <v>0</v>
          </cell>
          <cell r="AR2109">
            <v>0</v>
          </cell>
          <cell r="AS2109">
            <v>0</v>
          </cell>
          <cell r="BF2109" t="str">
            <v>2015</v>
          </cell>
          <cell r="BG2109" t="str">
            <v>B204</v>
          </cell>
          <cell r="BH2109" t="str">
            <v>ISA</v>
          </cell>
        </row>
        <row r="2110">
          <cell r="K2110">
            <v>0</v>
          </cell>
          <cell r="L2110">
            <v>0</v>
          </cell>
          <cell r="N2110">
            <v>0</v>
          </cell>
          <cell r="O2110">
            <v>0</v>
          </cell>
          <cell r="Q2110">
            <v>0</v>
          </cell>
          <cell r="R2110">
            <v>0</v>
          </cell>
          <cell r="T2110">
            <v>0</v>
          </cell>
          <cell r="U2110">
            <v>0</v>
          </cell>
          <cell r="W2110">
            <v>0</v>
          </cell>
          <cell r="X2110">
            <v>0</v>
          </cell>
          <cell r="Z2110">
            <v>0</v>
          </cell>
          <cell r="AA2110">
            <v>0</v>
          </cell>
          <cell r="AC2110">
            <v>0</v>
          </cell>
          <cell r="AD2110">
            <v>0</v>
          </cell>
          <cell r="AF2110">
            <v>0</v>
          </cell>
          <cell r="AG2110">
            <v>0</v>
          </cell>
          <cell r="AI2110">
            <v>0</v>
          </cell>
          <cell r="AJ2110">
            <v>0</v>
          </cell>
          <cell r="AL2110">
            <v>0</v>
          </cell>
          <cell r="AM2110">
            <v>0</v>
          </cell>
          <cell r="AO2110">
            <v>0</v>
          </cell>
          <cell r="AP2110">
            <v>0</v>
          </cell>
          <cell r="AR2110">
            <v>0</v>
          </cell>
          <cell r="AS2110">
            <v>0</v>
          </cell>
          <cell r="BF2110" t="str">
            <v>2015</v>
          </cell>
          <cell r="BG2110" t="str">
            <v>B205</v>
          </cell>
          <cell r="BH2110" t="str">
            <v>ISA</v>
          </cell>
        </row>
        <row r="2111">
          <cell r="K2111">
            <v>0</v>
          </cell>
          <cell r="L2111">
            <v>0</v>
          </cell>
          <cell r="N2111">
            <v>0</v>
          </cell>
          <cell r="O2111">
            <v>0</v>
          </cell>
          <cell r="Q2111">
            <v>0</v>
          </cell>
          <cell r="R2111">
            <v>0</v>
          </cell>
          <cell r="T2111">
            <v>0</v>
          </cell>
          <cell r="U2111">
            <v>0</v>
          </cell>
          <cell r="W2111">
            <v>0</v>
          </cell>
          <cell r="X2111">
            <v>0</v>
          </cell>
          <cell r="Z2111">
            <v>0</v>
          </cell>
          <cell r="AA2111">
            <v>0</v>
          </cell>
          <cell r="AC2111">
            <v>0</v>
          </cell>
          <cell r="AD2111">
            <v>0</v>
          </cell>
          <cell r="AF2111">
            <v>0</v>
          </cell>
          <cell r="AG2111">
            <v>0</v>
          </cell>
          <cell r="AI2111">
            <v>0</v>
          </cell>
          <cell r="AJ2111">
            <v>0</v>
          </cell>
          <cell r="AL2111">
            <v>0</v>
          </cell>
          <cell r="AM2111">
            <v>0</v>
          </cell>
          <cell r="AO2111">
            <v>0</v>
          </cell>
          <cell r="AP2111">
            <v>0</v>
          </cell>
          <cell r="AR2111">
            <v>0</v>
          </cell>
          <cell r="AS2111">
            <v>0</v>
          </cell>
          <cell r="BF2111" t="str">
            <v>2015</v>
          </cell>
          <cell r="BG2111" t="str">
            <v>B206</v>
          </cell>
          <cell r="BH2111" t="str">
            <v>ISA</v>
          </cell>
        </row>
        <row r="2112">
          <cell r="K2112">
            <v>0</v>
          </cell>
          <cell r="L2112">
            <v>0</v>
          </cell>
          <cell r="N2112">
            <v>0</v>
          </cell>
          <cell r="O2112">
            <v>0</v>
          </cell>
          <cell r="Q2112">
            <v>0</v>
          </cell>
          <cell r="R2112">
            <v>0</v>
          </cell>
          <cell r="T2112">
            <v>0</v>
          </cell>
          <cell r="U2112">
            <v>0</v>
          </cell>
          <cell r="W2112">
            <v>0</v>
          </cell>
          <cell r="X2112">
            <v>0</v>
          </cell>
          <cell r="Z2112">
            <v>0</v>
          </cell>
          <cell r="AA2112">
            <v>0</v>
          </cell>
          <cell r="AC2112">
            <v>0</v>
          </cell>
          <cell r="AD2112">
            <v>0</v>
          </cell>
          <cell r="AF2112">
            <v>0</v>
          </cell>
          <cell r="AG2112">
            <v>0</v>
          </cell>
          <cell r="AI2112">
            <v>0</v>
          </cell>
          <cell r="AJ2112">
            <v>0</v>
          </cell>
          <cell r="AL2112">
            <v>0</v>
          </cell>
          <cell r="AM2112">
            <v>0</v>
          </cell>
          <cell r="AO2112">
            <v>0</v>
          </cell>
          <cell r="AP2112">
            <v>0</v>
          </cell>
          <cell r="AR2112">
            <v>0</v>
          </cell>
          <cell r="AS2112">
            <v>0</v>
          </cell>
          <cell r="BF2112" t="str">
            <v>2015</v>
          </cell>
          <cell r="BG2112" t="str">
            <v>B207</v>
          </cell>
          <cell r="BH2112" t="str">
            <v>ISA</v>
          </cell>
        </row>
        <row r="2113">
          <cell r="K2113">
            <v>0</v>
          </cell>
          <cell r="L2113">
            <v>0</v>
          </cell>
          <cell r="N2113">
            <v>0</v>
          </cell>
          <cell r="O2113">
            <v>0</v>
          </cell>
          <cell r="Q2113">
            <v>0</v>
          </cell>
          <cell r="R2113">
            <v>0</v>
          </cell>
          <cell r="T2113">
            <v>0</v>
          </cell>
          <cell r="U2113">
            <v>0</v>
          </cell>
          <cell r="W2113">
            <v>0</v>
          </cell>
          <cell r="X2113">
            <v>0</v>
          </cell>
          <cell r="Z2113">
            <v>0</v>
          </cell>
          <cell r="AA2113">
            <v>0</v>
          </cell>
          <cell r="AC2113">
            <v>0</v>
          </cell>
          <cell r="AD2113">
            <v>0</v>
          </cell>
          <cell r="AF2113">
            <v>0</v>
          </cell>
          <cell r="AG2113">
            <v>0</v>
          </cell>
          <cell r="AI2113">
            <v>0</v>
          </cell>
          <cell r="AJ2113">
            <v>0</v>
          </cell>
          <cell r="AL2113">
            <v>0</v>
          </cell>
          <cell r="AM2113">
            <v>0</v>
          </cell>
          <cell r="AO2113">
            <v>0</v>
          </cell>
          <cell r="AP2113">
            <v>0</v>
          </cell>
          <cell r="AR2113">
            <v>0</v>
          </cell>
          <cell r="AS2113">
            <v>0</v>
          </cell>
          <cell r="BF2113" t="str">
            <v>2015</v>
          </cell>
          <cell r="BG2113" t="str">
            <v>B208</v>
          </cell>
          <cell r="BH2113" t="str">
            <v>ISA</v>
          </cell>
        </row>
        <row r="2114">
          <cell r="K2114">
            <v>0</v>
          </cell>
          <cell r="L2114">
            <v>0</v>
          </cell>
          <cell r="N2114">
            <v>0</v>
          </cell>
          <cell r="O2114">
            <v>0</v>
          </cell>
          <cell r="Q2114">
            <v>0</v>
          </cell>
          <cell r="R2114">
            <v>0</v>
          </cell>
          <cell r="T2114">
            <v>0</v>
          </cell>
          <cell r="U2114">
            <v>0</v>
          </cell>
          <cell r="W2114">
            <v>0</v>
          </cell>
          <cell r="X2114">
            <v>0</v>
          </cell>
          <cell r="Z2114">
            <v>0</v>
          </cell>
          <cell r="AA2114">
            <v>0</v>
          </cell>
          <cell r="AC2114">
            <v>0</v>
          </cell>
          <cell r="AD2114">
            <v>0</v>
          </cell>
          <cell r="AF2114">
            <v>0</v>
          </cell>
          <cell r="AG2114">
            <v>0</v>
          </cell>
          <cell r="AI2114">
            <v>0</v>
          </cell>
          <cell r="AJ2114">
            <v>0</v>
          </cell>
          <cell r="AL2114">
            <v>0</v>
          </cell>
          <cell r="AM2114">
            <v>0</v>
          </cell>
          <cell r="AO2114">
            <v>0</v>
          </cell>
          <cell r="AP2114">
            <v>0</v>
          </cell>
          <cell r="AR2114">
            <v>0</v>
          </cell>
          <cell r="AS2114">
            <v>0</v>
          </cell>
          <cell r="BF2114" t="str">
            <v>2015</v>
          </cell>
          <cell r="BG2114" t="str">
            <v>B209</v>
          </cell>
          <cell r="BH2114" t="str">
            <v>ISA</v>
          </cell>
        </row>
        <row r="2115">
          <cell r="K2115">
            <v>0</v>
          </cell>
          <cell r="L2115">
            <v>0</v>
          </cell>
          <cell r="N2115">
            <v>0</v>
          </cell>
          <cell r="O2115">
            <v>0</v>
          </cell>
          <cell r="Q2115">
            <v>0</v>
          </cell>
          <cell r="R2115">
            <v>0</v>
          </cell>
          <cell r="T2115">
            <v>0</v>
          </cell>
          <cell r="U2115">
            <v>0</v>
          </cell>
          <cell r="W2115">
            <v>0</v>
          </cell>
          <cell r="X2115">
            <v>0</v>
          </cell>
          <cell r="Z2115">
            <v>0</v>
          </cell>
          <cell r="AA2115">
            <v>0</v>
          </cell>
          <cell r="AC2115">
            <v>0</v>
          </cell>
          <cell r="AD2115">
            <v>0</v>
          </cell>
          <cell r="AF2115">
            <v>0</v>
          </cell>
          <cell r="AG2115">
            <v>0</v>
          </cell>
          <cell r="AI2115">
            <v>0</v>
          </cell>
          <cell r="AJ2115">
            <v>0</v>
          </cell>
          <cell r="AL2115">
            <v>0</v>
          </cell>
          <cell r="AM2115">
            <v>0</v>
          </cell>
          <cell r="AO2115">
            <v>0</v>
          </cell>
          <cell r="AP2115">
            <v>0</v>
          </cell>
          <cell r="AR2115">
            <v>0</v>
          </cell>
          <cell r="AS2115">
            <v>0</v>
          </cell>
          <cell r="BF2115" t="str">
            <v>2015</v>
          </cell>
          <cell r="BG2115" t="str">
            <v>B210</v>
          </cell>
          <cell r="BH2115" t="str">
            <v>ISA</v>
          </cell>
        </row>
        <row r="2116">
          <cell r="K2116">
            <v>0</v>
          </cell>
          <cell r="L2116">
            <v>0</v>
          </cell>
          <cell r="N2116">
            <v>0</v>
          </cell>
          <cell r="O2116">
            <v>0</v>
          </cell>
          <cell r="Q2116">
            <v>0</v>
          </cell>
          <cell r="R2116">
            <v>0</v>
          </cell>
          <cell r="T2116">
            <v>0</v>
          </cell>
          <cell r="U2116">
            <v>0</v>
          </cell>
          <cell r="W2116">
            <v>0</v>
          </cell>
          <cell r="X2116">
            <v>0</v>
          </cell>
          <cell r="Z2116">
            <v>0</v>
          </cell>
          <cell r="AA2116">
            <v>0</v>
          </cell>
          <cell r="AC2116">
            <v>0</v>
          </cell>
          <cell r="AD2116">
            <v>0</v>
          </cell>
          <cell r="AF2116">
            <v>0</v>
          </cell>
          <cell r="AG2116">
            <v>0</v>
          </cell>
          <cell r="AI2116">
            <v>0</v>
          </cell>
          <cell r="AJ2116">
            <v>0</v>
          </cell>
          <cell r="AL2116">
            <v>0</v>
          </cell>
          <cell r="AM2116">
            <v>0</v>
          </cell>
          <cell r="AO2116">
            <v>0</v>
          </cell>
          <cell r="AP2116">
            <v>0</v>
          </cell>
          <cell r="AR2116">
            <v>0</v>
          </cell>
          <cell r="AS2116">
            <v>0</v>
          </cell>
          <cell r="BF2116" t="str">
            <v>2016</v>
          </cell>
          <cell r="BG2116" t="str">
            <v>B301</v>
          </cell>
          <cell r="BH2116" t="str">
            <v>ISA</v>
          </cell>
        </row>
        <row r="2117">
          <cell r="K2117">
            <v>0</v>
          </cell>
          <cell r="L2117">
            <v>0</v>
          </cell>
          <cell r="N2117">
            <v>0</v>
          </cell>
          <cell r="O2117">
            <v>0</v>
          </cell>
          <cell r="Q2117">
            <v>0</v>
          </cell>
          <cell r="R2117">
            <v>0</v>
          </cell>
          <cell r="T2117">
            <v>0</v>
          </cell>
          <cell r="U2117">
            <v>0</v>
          </cell>
          <cell r="W2117">
            <v>0</v>
          </cell>
          <cell r="X2117">
            <v>0</v>
          </cell>
          <cell r="Z2117">
            <v>0</v>
          </cell>
          <cell r="AA2117">
            <v>0</v>
          </cell>
          <cell r="AC2117">
            <v>0</v>
          </cell>
          <cell r="AD2117">
            <v>0</v>
          </cell>
          <cell r="AF2117">
            <v>0</v>
          </cell>
          <cell r="AG2117">
            <v>0</v>
          </cell>
          <cell r="AI2117">
            <v>0</v>
          </cell>
          <cell r="AJ2117">
            <v>0</v>
          </cell>
          <cell r="AL2117">
            <v>0</v>
          </cell>
          <cell r="AM2117">
            <v>0</v>
          </cell>
          <cell r="AO2117">
            <v>0</v>
          </cell>
          <cell r="AP2117">
            <v>0</v>
          </cell>
          <cell r="AR2117">
            <v>0</v>
          </cell>
          <cell r="AS2117">
            <v>0</v>
          </cell>
          <cell r="BF2117" t="str">
            <v>2016</v>
          </cell>
          <cell r="BG2117" t="str">
            <v>B302</v>
          </cell>
          <cell r="BH2117" t="str">
            <v>ISA</v>
          </cell>
        </row>
        <row r="2118">
          <cell r="K2118">
            <v>0</v>
          </cell>
          <cell r="L2118">
            <v>0</v>
          </cell>
          <cell r="N2118">
            <v>0</v>
          </cell>
          <cell r="O2118">
            <v>0</v>
          </cell>
          <cell r="Q2118">
            <v>0</v>
          </cell>
          <cell r="R2118">
            <v>0</v>
          </cell>
          <cell r="T2118">
            <v>0</v>
          </cell>
          <cell r="U2118">
            <v>0</v>
          </cell>
          <cell r="W2118">
            <v>0</v>
          </cell>
          <cell r="X2118">
            <v>0</v>
          </cell>
          <cell r="Z2118">
            <v>0</v>
          </cell>
          <cell r="AA2118">
            <v>0</v>
          </cell>
          <cell r="AC2118">
            <v>0</v>
          </cell>
          <cell r="AD2118">
            <v>0</v>
          </cell>
          <cell r="AF2118">
            <v>0</v>
          </cell>
          <cell r="AG2118">
            <v>0</v>
          </cell>
          <cell r="AI2118">
            <v>0</v>
          </cell>
          <cell r="AJ2118">
            <v>0</v>
          </cell>
          <cell r="AL2118">
            <v>0</v>
          </cell>
          <cell r="AM2118">
            <v>0</v>
          </cell>
          <cell r="AO2118">
            <v>0</v>
          </cell>
          <cell r="AP2118">
            <v>0</v>
          </cell>
          <cell r="AR2118">
            <v>0</v>
          </cell>
          <cell r="AS2118">
            <v>0</v>
          </cell>
          <cell r="BF2118" t="str">
            <v>2016</v>
          </cell>
          <cell r="BG2118" t="str">
            <v>B303</v>
          </cell>
          <cell r="BH2118" t="str">
            <v>ISA</v>
          </cell>
        </row>
        <row r="2119">
          <cell r="K2119">
            <v>0</v>
          </cell>
          <cell r="L2119">
            <v>0</v>
          </cell>
          <cell r="N2119">
            <v>0</v>
          </cell>
          <cell r="O2119">
            <v>0</v>
          </cell>
          <cell r="Q2119">
            <v>0</v>
          </cell>
          <cell r="R2119">
            <v>0</v>
          </cell>
          <cell r="T2119">
            <v>0</v>
          </cell>
          <cell r="U2119">
            <v>0</v>
          </cell>
          <cell r="W2119">
            <v>0</v>
          </cell>
          <cell r="X2119">
            <v>0</v>
          </cell>
          <cell r="Z2119">
            <v>0</v>
          </cell>
          <cell r="AA2119">
            <v>0</v>
          </cell>
          <cell r="AC2119">
            <v>0</v>
          </cell>
          <cell r="AD2119">
            <v>0</v>
          </cell>
          <cell r="AF2119">
            <v>0</v>
          </cell>
          <cell r="AG2119">
            <v>0</v>
          </cell>
          <cell r="AI2119">
            <v>0</v>
          </cell>
          <cell r="AJ2119">
            <v>0</v>
          </cell>
          <cell r="AL2119">
            <v>0</v>
          </cell>
          <cell r="AM2119">
            <v>0</v>
          </cell>
          <cell r="AO2119">
            <v>0</v>
          </cell>
          <cell r="AP2119">
            <v>0</v>
          </cell>
          <cell r="AR2119">
            <v>0</v>
          </cell>
          <cell r="AS2119">
            <v>0</v>
          </cell>
          <cell r="BF2119" t="str">
            <v>2017</v>
          </cell>
          <cell r="BG2119" t="str">
            <v>B401</v>
          </cell>
          <cell r="BH2119" t="str">
            <v>ISA</v>
          </cell>
        </row>
        <row r="2120">
          <cell r="K2120">
            <v>0</v>
          </cell>
          <cell r="L2120">
            <v>0</v>
          </cell>
          <cell r="N2120">
            <v>0</v>
          </cell>
          <cell r="O2120">
            <v>0</v>
          </cell>
          <cell r="Q2120">
            <v>0</v>
          </cell>
          <cell r="R2120">
            <v>0</v>
          </cell>
          <cell r="T2120">
            <v>0</v>
          </cell>
          <cell r="U2120">
            <v>0</v>
          </cell>
          <cell r="W2120">
            <v>0</v>
          </cell>
          <cell r="X2120">
            <v>0</v>
          </cell>
          <cell r="Z2120">
            <v>0</v>
          </cell>
          <cell r="AA2120">
            <v>0</v>
          </cell>
          <cell r="AC2120">
            <v>0</v>
          </cell>
          <cell r="AD2120">
            <v>0</v>
          </cell>
          <cell r="AF2120">
            <v>0</v>
          </cell>
          <cell r="AG2120">
            <v>0</v>
          </cell>
          <cell r="AI2120">
            <v>0</v>
          </cell>
          <cell r="AJ2120">
            <v>0</v>
          </cell>
          <cell r="AL2120">
            <v>0</v>
          </cell>
          <cell r="AM2120">
            <v>0</v>
          </cell>
          <cell r="AO2120">
            <v>0</v>
          </cell>
          <cell r="AP2120">
            <v>0</v>
          </cell>
          <cell r="AR2120">
            <v>0</v>
          </cell>
          <cell r="AS2120">
            <v>0</v>
          </cell>
          <cell r="BF2120" t="str">
            <v>2017</v>
          </cell>
          <cell r="BG2120" t="str">
            <v>B402</v>
          </cell>
          <cell r="BH2120" t="str">
            <v>ISA</v>
          </cell>
        </row>
        <row r="2121">
          <cell r="K2121">
            <v>0</v>
          </cell>
          <cell r="L2121">
            <v>0</v>
          </cell>
          <cell r="N2121">
            <v>0</v>
          </cell>
          <cell r="O2121">
            <v>0</v>
          </cell>
          <cell r="Q2121">
            <v>0</v>
          </cell>
          <cell r="R2121">
            <v>0</v>
          </cell>
          <cell r="T2121">
            <v>0</v>
          </cell>
          <cell r="U2121">
            <v>0</v>
          </cell>
          <cell r="W2121">
            <v>0</v>
          </cell>
          <cell r="X2121">
            <v>0</v>
          </cell>
          <cell r="Z2121">
            <v>0</v>
          </cell>
          <cell r="AA2121">
            <v>0</v>
          </cell>
          <cell r="AC2121">
            <v>0</v>
          </cell>
          <cell r="AD2121">
            <v>0</v>
          </cell>
          <cell r="AF2121">
            <v>0</v>
          </cell>
          <cell r="AG2121">
            <v>0</v>
          </cell>
          <cell r="AI2121">
            <v>0</v>
          </cell>
          <cell r="AJ2121">
            <v>0</v>
          </cell>
          <cell r="AL2121">
            <v>0</v>
          </cell>
          <cell r="AM2121">
            <v>0</v>
          </cell>
          <cell r="AO2121">
            <v>0</v>
          </cell>
          <cell r="AP2121">
            <v>0</v>
          </cell>
          <cell r="AR2121">
            <v>0</v>
          </cell>
          <cell r="AS2121">
            <v>0</v>
          </cell>
          <cell r="BF2121" t="str">
            <v>2017</v>
          </cell>
          <cell r="BG2121" t="str">
            <v>B403</v>
          </cell>
          <cell r="BH2121" t="str">
            <v>ISA</v>
          </cell>
        </row>
        <row r="2122">
          <cell r="K2122">
            <v>0</v>
          </cell>
          <cell r="L2122">
            <v>0</v>
          </cell>
          <cell r="N2122">
            <v>0</v>
          </cell>
          <cell r="O2122">
            <v>0</v>
          </cell>
          <cell r="Q2122">
            <v>0</v>
          </cell>
          <cell r="R2122">
            <v>0</v>
          </cell>
          <cell r="T2122">
            <v>0</v>
          </cell>
          <cell r="U2122">
            <v>0</v>
          </cell>
          <cell r="W2122">
            <v>0</v>
          </cell>
          <cell r="X2122">
            <v>0</v>
          </cell>
          <cell r="Z2122">
            <v>0</v>
          </cell>
          <cell r="AA2122">
            <v>0</v>
          </cell>
          <cell r="AC2122">
            <v>0</v>
          </cell>
          <cell r="AD2122">
            <v>0</v>
          </cell>
          <cell r="AF2122">
            <v>0</v>
          </cell>
          <cell r="AG2122">
            <v>0</v>
          </cell>
          <cell r="AI2122">
            <v>0</v>
          </cell>
          <cell r="AJ2122">
            <v>0</v>
          </cell>
          <cell r="AL2122">
            <v>0</v>
          </cell>
          <cell r="AM2122">
            <v>0</v>
          </cell>
          <cell r="AO2122">
            <v>0</v>
          </cell>
          <cell r="AP2122">
            <v>0</v>
          </cell>
          <cell r="AR2122">
            <v>0</v>
          </cell>
          <cell r="AS2122">
            <v>0</v>
          </cell>
          <cell r="BF2122" t="str">
            <v>3100</v>
          </cell>
          <cell r="BG2122" t="str">
            <v>C001</v>
          </cell>
          <cell r="BH2122" t="str">
            <v>ISA</v>
          </cell>
        </row>
        <row r="2123">
          <cell r="K2123">
            <v>0</v>
          </cell>
          <cell r="L2123">
            <v>0</v>
          </cell>
          <cell r="N2123">
            <v>0</v>
          </cell>
          <cell r="O2123">
            <v>0</v>
          </cell>
          <cell r="Q2123">
            <v>0</v>
          </cell>
          <cell r="R2123">
            <v>0</v>
          </cell>
          <cell r="T2123">
            <v>0</v>
          </cell>
          <cell r="U2123">
            <v>0</v>
          </cell>
          <cell r="W2123">
            <v>0</v>
          </cell>
          <cell r="X2123">
            <v>0</v>
          </cell>
          <cell r="Z2123">
            <v>0</v>
          </cell>
          <cell r="AA2123">
            <v>0</v>
          </cell>
          <cell r="AC2123">
            <v>0</v>
          </cell>
          <cell r="AD2123">
            <v>0</v>
          </cell>
          <cell r="AF2123">
            <v>0</v>
          </cell>
          <cell r="AG2123">
            <v>0</v>
          </cell>
          <cell r="AI2123">
            <v>0</v>
          </cell>
          <cell r="AJ2123">
            <v>0</v>
          </cell>
          <cell r="AL2123">
            <v>0</v>
          </cell>
          <cell r="AM2123">
            <v>0</v>
          </cell>
          <cell r="AO2123">
            <v>0</v>
          </cell>
          <cell r="AP2123">
            <v>0</v>
          </cell>
          <cell r="AR2123">
            <v>0</v>
          </cell>
          <cell r="AS2123">
            <v>0</v>
          </cell>
          <cell r="BF2123" t="str">
            <v>3100</v>
          </cell>
          <cell r="BG2123" t="str">
            <v>C002</v>
          </cell>
          <cell r="BH2123" t="str">
            <v>ISA</v>
          </cell>
        </row>
        <row r="2124">
          <cell r="K2124">
            <v>0</v>
          </cell>
          <cell r="L2124">
            <v>0</v>
          </cell>
          <cell r="N2124">
            <v>0</v>
          </cell>
          <cell r="O2124">
            <v>0</v>
          </cell>
          <cell r="Q2124">
            <v>0</v>
          </cell>
          <cell r="R2124">
            <v>0</v>
          </cell>
          <cell r="T2124">
            <v>0</v>
          </cell>
          <cell r="U2124">
            <v>0</v>
          </cell>
          <cell r="W2124">
            <v>0</v>
          </cell>
          <cell r="X2124">
            <v>0</v>
          </cell>
          <cell r="Z2124">
            <v>0</v>
          </cell>
          <cell r="AA2124">
            <v>0</v>
          </cell>
          <cell r="AC2124">
            <v>0</v>
          </cell>
          <cell r="AD2124">
            <v>0</v>
          </cell>
          <cell r="AF2124">
            <v>0</v>
          </cell>
          <cell r="AG2124">
            <v>0</v>
          </cell>
          <cell r="AI2124">
            <v>0</v>
          </cell>
          <cell r="AJ2124">
            <v>0</v>
          </cell>
          <cell r="AL2124">
            <v>0</v>
          </cell>
          <cell r="AM2124">
            <v>0</v>
          </cell>
          <cell r="AO2124">
            <v>0</v>
          </cell>
          <cell r="AP2124">
            <v>0</v>
          </cell>
          <cell r="AR2124">
            <v>0</v>
          </cell>
          <cell r="AS2124">
            <v>0</v>
          </cell>
          <cell r="BF2124" t="str">
            <v>3100</v>
          </cell>
          <cell r="BG2124" t="str">
            <v>C003</v>
          </cell>
          <cell r="BH2124" t="str">
            <v>ISA</v>
          </cell>
        </row>
        <row r="2125">
          <cell r="K2125">
            <v>0</v>
          </cell>
          <cell r="L2125">
            <v>0</v>
          </cell>
          <cell r="N2125">
            <v>0</v>
          </cell>
          <cell r="O2125">
            <v>0</v>
          </cell>
          <cell r="Q2125">
            <v>0</v>
          </cell>
          <cell r="R2125">
            <v>0</v>
          </cell>
          <cell r="T2125">
            <v>0</v>
          </cell>
          <cell r="U2125">
            <v>0</v>
          </cell>
          <cell r="W2125">
            <v>0</v>
          </cell>
          <cell r="X2125">
            <v>0</v>
          </cell>
          <cell r="Z2125">
            <v>0</v>
          </cell>
          <cell r="AA2125">
            <v>0</v>
          </cell>
          <cell r="AC2125">
            <v>0</v>
          </cell>
          <cell r="AD2125">
            <v>0</v>
          </cell>
          <cell r="AF2125">
            <v>0</v>
          </cell>
          <cell r="AG2125">
            <v>0</v>
          </cell>
          <cell r="AI2125">
            <v>0</v>
          </cell>
          <cell r="AJ2125">
            <v>0</v>
          </cell>
          <cell r="AL2125">
            <v>0</v>
          </cell>
          <cell r="AM2125">
            <v>0</v>
          </cell>
          <cell r="AO2125">
            <v>0</v>
          </cell>
          <cell r="AP2125">
            <v>0</v>
          </cell>
          <cell r="AR2125">
            <v>0</v>
          </cell>
          <cell r="AS2125">
            <v>0</v>
          </cell>
          <cell r="BF2125" t="str">
            <v>3100</v>
          </cell>
          <cell r="BG2125" t="str">
            <v>C004</v>
          </cell>
          <cell r="BH2125" t="str">
            <v>ISA</v>
          </cell>
        </row>
        <row r="2126">
          <cell r="K2126">
            <v>0</v>
          </cell>
          <cell r="L2126">
            <v>0</v>
          </cell>
          <cell r="N2126">
            <v>0</v>
          </cell>
          <cell r="O2126">
            <v>0</v>
          </cell>
          <cell r="Q2126">
            <v>0</v>
          </cell>
          <cell r="R2126">
            <v>0</v>
          </cell>
          <cell r="T2126">
            <v>0</v>
          </cell>
          <cell r="U2126">
            <v>0</v>
          </cell>
          <cell r="W2126">
            <v>0</v>
          </cell>
          <cell r="X2126">
            <v>0</v>
          </cell>
          <cell r="Z2126">
            <v>0</v>
          </cell>
          <cell r="AA2126">
            <v>0</v>
          </cell>
          <cell r="AC2126">
            <v>0</v>
          </cell>
          <cell r="AD2126">
            <v>0</v>
          </cell>
          <cell r="AF2126">
            <v>0</v>
          </cell>
          <cell r="AG2126">
            <v>0</v>
          </cell>
          <cell r="AI2126">
            <v>0</v>
          </cell>
          <cell r="AJ2126">
            <v>0</v>
          </cell>
          <cell r="AL2126">
            <v>0</v>
          </cell>
          <cell r="AM2126">
            <v>0</v>
          </cell>
          <cell r="AO2126">
            <v>0</v>
          </cell>
          <cell r="AP2126">
            <v>0</v>
          </cell>
          <cell r="AR2126">
            <v>0</v>
          </cell>
          <cell r="AS2126">
            <v>0</v>
          </cell>
          <cell r="BF2126" t="str">
            <v>3100</v>
          </cell>
          <cell r="BG2126" t="str">
            <v>C005</v>
          </cell>
          <cell r="BH2126" t="str">
            <v>ISA</v>
          </cell>
        </row>
        <row r="2127">
          <cell r="K2127">
            <v>0</v>
          </cell>
          <cell r="L2127">
            <v>0</v>
          </cell>
          <cell r="N2127">
            <v>0</v>
          </cell>
          <cell r="O2127">
            <v>0</v>
          </cell>
          <cell r="Q2127">
            <v>0</v>
          </cell>
          <cell r="R2127">
            <v>0</v>
          </cell>
          <cell r="T2127">
            <v>0</v>
          </cell>
          <cell r="U2127">
            <v>0</v>
          </cell>
          <cell r="W2127">
            <v>0</v>
          </cell>
          <cell r="X2127">
            <v>0</v>
          </cell>
          <cell r="Z2127">
            <v>0</v>
          </cell>
          <cell r="AA2127">
            <v>0</v>
          </cell>
          <cell r="AC2127">
            <v>0</v>
          </cell>
          <cell r="AD2127">
            <v>0</v>
          </cell>
          <cell r="AF2127">
            <v>0</v>
          </cell>
          <cell r="AG2127">
            <v>0</v>
          </cell>
          <cell r="AI2127">
            <v>0</v>
          </cell>
          <cell r="AJ2127">
            <v>0</v>
          </cell>
          <cell r="AL2127">
            <v>0</v>
          </cell>
          <cell r="AM2127">
            <v>0</v>
          </cell>
          <cell r="AO2127">
            <v>0</v>
          </cell>
          <cell r="AP2127">
            <v>0</v>
          </cell>
          <cell r="AR2127">
            <v>0</v>
          </cell>
          <cell r="AS2127">
            <v>0</v>
          </cell>
          <cell r="BF2127" t="str">
            <v>3100</v>
          </cell>
          <cell r="BG2127" t="str">
            <v>C006</v>
          </cell>
          <cell r="BH2127" t="str">
            <v>ISA</v>
          </cell>
        </row>
        <row r="2128">
          <cell r="K2128">
            <v>0</v>
          </cell>
          <cell r="L2128">
            <v>0</v>
          </cell>
          <cell r="N2128">
            <v>0</v>
          </cell>
          <cell r="O2128">
            <v>0</v>
          </cell>
          <cell r="Q2128">
            <v>0</v>
          </cell>
          <cell r="R2128">
            <v>0</v>
          </cell>
          <cell r="T2128">
            <v>0</v>
          </cell>
          <cell r="U2128">
            <v>0</v>
          </cell>
          <cell r="W2128">
            <v>0</v>
          </cell>
          <cell r="X2128">
            <v>0</v>
          </cell>
          <cell r="Z2128">
            <v>0</v>
          </cell>
          <cell r="AA2128">
            <v>0</v>
          </cell>
          <cell r="AC2128">
            <v>0</v>
          </cell>
          <cell r="AD2128">
            <v>0</v>
          </cell>
          <cell r="AF2128">
            <v>0</v>
          </cell>
          <cell r="AG2128">
            <v>0</v>
          </cell>
          <cell r="AI2128">
            <v>0</v>
          </cell>
          <cell r="AJ2128">
            <v>0</v>
          </cell>
          <cell r="AL2128">
            <v>0</v>
          </cell>
          <cell r="AM2128">
            <v>0</v>
          </cell>
          <cell r="AO2128">
            <v>0</v>
          </cell>
          <cell r="AP2128">
            <v>0</v>
          </cell>
          <cell r="AR2128">
            <v>0</v>
          </cell>
          <cell r="AS2128">
            <v>0</v>
          </cell>
          <cell r="BF2128" t="str">
            <v>3150</v>
          </cell>
          <cell r="BG2128" t="str">
            <v>Z000</v>
          </cell>
          <cell r="BH2128" t="str">
            <v>ISA</v>
          </cell>
        </row>
        <row r="2129">
          <cell r="K2129">
            <v>0</v>
          </cell>
          <cell r="L2129">
            <v>0</v>
          </cell>
          <cell r="N2129">
            <v>0</v>
          </cell>
          <cell r="O2129">
            <v>0</v>
          </cell>
          <cell r="Q2129">
            <v>0</v>
          </cell>
          <cell r="R2129">
            <v>0</v>
          </cell>
          <cell r="T2129">
            <v>0</v>
          </cell>
          <cell r="U2129">
            <v>0</v>
          </cell>
          <cell r="W2129">
            <v>0</v>
          </cell>
          <cell r="X2129">
            <v>0</v>
          </cell>
          <cell r="Z2129">
            <v>0</v>
          </cell>
          <cell r="AA2129">
            <v>0</v>
          </cell>
          <cell r="AC2129">
            <v>0</v>
          </cell>
          <cell r="AD2129">
            <v>0</v>
          </cell>
          <cell r="AF2129">
            <v>0</v>
          </cell>
          <cell r="AG2129">
            <v>0</v>
          </cell>
          <cell r="AI2129">
            <v>0</v>
          </cell>
          <cell r="AJ2129">
            <v>0</v>
          </cell>
          <cell r="AL2129">
            <v>0</v>
          </cell>
          <cell r="AM2129">
            <v>0</v>
          </cell>
          <cell r="AO2129">
            <v>0</v>
          </cell>
          <cell r="AP2129">
            <v>0</v>
          </cell>
          <cell r="AR2129">
            <v>0</v>
          </cell>
          <cell r="AS2129">
            <v>0</v>
          </cell>
          <cell r="BF2129" t="str">
            <v>4000</v>
          </cell>
          <cell r="BG2129" t="str">
            <v>D001</v>
          </cell>
          <cell r="BH2129" t="str">
            <v>ISA</v>
          </cell>
        </row>
        <row r="2130">
          <cell r="K2130">
            <v>0</v>
          </cell>
          <cell r="L2130">
            <v>0</v>
          </cell>
          <cell r="N2130">
            <v>0</v>
          </cell>
          <cell r="O2130">
            <v>0</v>
          </cell>
          <cell r="Q2130">
            <v>0</v>
          </cell>
          <cell r="R2130">
            <v>0</v>
          </cell>
          <cell r="T2130">
            <v>0</v>
          </cell>
          <cell r="U2130">
            <v>0</v>
          </cell>
          <cell r="W2130">
            <v>0</v>
          </cell>
          <cell r="X2130">
            <v>0</v>
          </cell>
          <cell r="Z2130">
            <v>0</v>
          </cell>
          <cell r="AA2130">
            <v>0</v>
          </cell>
          <cell r="AC2130">
            <v>0</v>
          </cell>
          <cell r="AD2130">
            <v>0</v>
          </cell>
          <cell r="AF2130">
            <v>0</v>
          </cell>
          <cell r="AG2130">
            <v>0</v>
          </cell>
          <cell r="AI2130">
            <v>0</v>
          </cell>
          <cell r="AJ2130">
            <v>0</v>
          </cell>
          <cell r="AL2130">
            <v>0</v>
          </cell>
          <cell r="AM2130">
            <v>0</v>
          </cell>
          <cell r="AO2130">
            <v>0</v>
          </cell>
          <cell r="AP2130">
            <v>0</v>
          </cell>
          <cell r="AR2130">
            <v>0</v>
          </cell>
          <cell r="AS2130">
            <v>0</v>
          </cell>
          <cell r="BF2130" t="str">
            <v>4000</v>
          </cell>
          <cell r="BG2130" t="str">
            <v>D002</v>
          </cell>
          <cell r="BH2130" t="str">
            <v>ISA</v>
          </cell>
        </row>
        <row r="2131">
          <cell r="K2131">
            <v>0</v>
          </cell>
          <cell r="L2131">
            <v>0</v>
          </cell>
          <cell r="N2131">
            <v>0</v>
          </cell>
          <cell r="O2131">
            <v>0</v>
          </cell>
          <cell r="Q2131">
            <v>0</v>
          </cell>
          <cell r="R2131">
            <v>0</v>
          </cell>
          <cell r="T2131">
            <v>0</v>
          </cell>
          <cell r="U2131">
            <v>0</v>
          </cell>
          <cell r="W2131">
            <v>0</v>
          </cell>
          <cell r="X2131">
            <v>0</v>
          </cell>
          <cell r="Z2131">
            <v>0</v>
          </cell>
          <cell r="AA2131">
            <v>0</v>
          </cell>
          <cell r="AC2131">
            <v>0</v>
          </cell>
          <cell r="AD2131">
            <v>0</v>
          </cell>
          <cell r="AF2131">
            <v>0</v>
          </cell>
          <cell r="AG2131">
            <v>0</v>
          </cell>
          <cell r="AI2131">
            <v>0</v>
          </cell>
          <cell r="AJ2131">
            <v>0</v>
          </cell>
          <cell r="AL2131">
            <v>0</v>
          </cell>
          <cell r="AM2131">
            <v>0</v>
          </cell>
          <cell r="AO2131">
            <v>0</v>
          </cell>
          <cell r="AP2131">
            <v>0</v>
          </cell>
          <cell r="AR2131">
            <v>0</v>
          </cell>
          <cell r="AS2131">
            <v>0</v>
          </cell>
          <cell r="BF2131" t="str">
            <v>4010</v>
          </cell>
          <cell r="BG2131" t="str">
            <v>Z000</v>
          </cell>
          <cell r="BH2131" t="str">
            <v>ISA</v>
          </cell>
        </row>
        <row r="2132">
          <cell r="K2132">
            <v>0</v>
          </cell>
          <cell r="L2132">
            <v>0</v>
          </cell>
          <cell r="N2132">
            <v>0</v>
          </cell>
          <cell r="O2132">
            <v>0</v>
          </cell>
          <cell r="Q2132">
            <v>0</v>
          </cell>
          <cell r="R2132">
            <v>0</v>
          </cell>
          <cell r="T2132">
            <v>0</v>
          </cell>
          <cell r="U2132">
            <v>0</v>
          </cell>
          <cell r="W2132">
            <v>0</v>
          </cell>
          <cell r="X2132">
            <v>0</v>
          </cell>
          <cell r="Z2132">
            <v>0</v>
          </cell>
          <cell r="AA2132">
            <v>0</v>
          </cell>
          <cell r="AC2132">
            <v>0</v>
          </cell>
          <cell r="AD2132">
            <v>0</v>
          </cell>
          <cell r="AF2132">
            <v>0</v>
          </cell>
          <cell r="AG2132">
            <v>0</v>
          </cell>
          <cell r="AI2132">
            <v>0</v>
          </cell>
          <cell r="AJ2132">
            <v>0</v>
          </cell>
          <cell r="AL2132">
            <v>0</v>
          </cell>
          <cell r="AM2132">
            <v>0</v>
          </cell>
          <cell r="AO2132">
            <v>0</v>
          </cell>
          <cell r="AP2132">
            <v>0</v>
          </cell>
          <cell r="AR2132">
            <v>0</v>
          </cell>
          <cell r="AS2132">
            <v>0</v>
          </cell>
          <cell r="BF2132" t="str">
            <v>4150</v>
          </cell>
          <cell r="BG2132" t="str">
            <v>Z000</v>
          </cell>
          <cell r="BH2132" t="str">
            <v>ISA</v>
          </cell>
        </row>
        <row r="2133">
          <cell r="K2133">
            <v>0</v>
          </cell>
          <cell r="L2133">
            <v>0</v>
          </cell>
          <cell r="N2133">
            <v>0</v>
          </cell>
          <cell r="O2133">
            <v>0</v>
          </cell>
          <cell r="Q2133">
            <v>0</v>
          </cell>
          <cell r="R2133">
            <v>0</v>
          </cell>
          <cell r="T2133">
            <v>0</v>
          </cell>
          <cell r="U2133">
            <v>0</v>
          </cell>
          <cell r="W2133">
            <v>0</v>
          </cell>
          <cell r="X2133">
            <v>0</v>
          </cell>
          <cell r="Z2133">
            <v>0</v>
          </cell>
          <cell r="AA2133">
            <v>0</v>
          </cell>
          <cell r="AC2133">
            <v>0</v>
          </cell>
          <cell r="AD2133">
            <v>0</v>
          </cell>
          <cell r="AF2133">
            <v>0</v>
          </cell>
          <cell r="AG2133">
            <v>0</v>
          </cell>
          <cell r="AI2133">
            <v>0</v>
          </cell>
          <cell r="AJ2133">
            <v>0</v>
          </cell>
          <cell r="AL2133">
            <v>0</v>
          </cell>
          <cell r="AM2133">
            <v>0</v>
          </cell>
          <cell r="AO2133">
            <v>0</v>
          </cell>
          <cell r="AP2133">
            <v>0</v>
          </cell>
          <cell r="AR2133">
            <v>0</v>
          </cell>
          <cell r="AS2133">
            <v>0</v>
          </cell>
          <cell r="BF2133" t="str">
            <v>4200</v>
          </cell>
          <cell r="BG2133" t="str">
            <v>Z000</v>
          </cell>
          <cell r="BH2133" t="str">
            <v>ISA</v>
          </cell>
        </row>
        <row r="2134">
          <cell r="K2134">
            <v>0</v>
          </cell>
          <cell r="L2134">
            <v>0</v>
          </cell>
          <cell r="N2134">
            <v>0</v>
          </cell>
          <cell r="O2134">
            <v>0</v>
          </cell>
          <cell r="Q2134">
            <v>0</v>
          </cell>
          <cell r="R2134">
            <v>0</v>
          </cell>
          <cell r="T2134">
            <v>0</v>
          </cell>
          <cell r="U2134">
            <v>0</v>
          </cell>
          <cell r="W2134">
            <v>0</v>
          </cell>
          <cell r="X2134">
            <v>0</v>
          </cell>
          <cell r="Z2134">
            <v>0</v>
          </cell>
          <cell r="AA2134">
            <v>0</v>
          </cell>
          <cell r="AC2134">
            <v>0</v>
          </cell>
          <cell r="AD2134">
            <v>0</v>
          </cell>
          <cell r="AF2134">
            <v>0</v>
          </cell>
          <cell r="AG2134">
            <v>0</v>
          </cell>
          <cell r="AI2134">
            <v>0</v>
          </cell>
          <cell r="AJ2134">
            <v>0</v>
          </cell>
          <cell r="AL2134">
            <v>0</v>
          </cell>
          <cell r="AM2134">
            <v>0</v>
          </cell>
          <cell r="AO2134">
            <v>0</v>
          </cell>
          <cell r="AP2134">
            <v>0</v>
          </cell>
          <cell r="AR2134">
            <v>0</v>
          </cell>
          <cell r="AS2134">
            <v>0</v>
          </cell>
          <cell r="BF2134" t="str">
            <v>4215</v>
          </cell>
          <cell r="BG2134" t="str">
            <v>Z000</v>
          </cell>
          <cell r="BH2134" t="str">
            <v>ISA</v>
          </cell>
        </row>
        <row r="2135">
          <cell r="K2135">
            <v>0</v>
          </cell>
          <cell r="L2135">
            <v>0</v>
          </cell>
          <cell r="N2135">
            <v>0</v>
          </cell>
          <cell r="O2135">
            <v>0</v>
          </cell>
          <cell r="Q2135">
            <v>0</v>
          </cell>
          <cell r="R2135">
            <v>0</v>
          </cell>
          <cell r="T2135">
            <v>0</v>
          </cell>
          <cell r="U2135">
            <v>0</v>
          </cell>
          <cell r="W2135">
            <v>0</v>
          </cell>
          <cell r="X2135">
            <v>0</v>
          </cell>
          <cell r="Z2135">
            <v>0</v>
          </cell>
          <cell r="AA2135">
            <v>0</v>
          </cell>
          <cell r="AC2135">
            <v>0</v>
          </cell>
          <cell r="AD2135">
            <v>0</v>
          </cell>
          <cell r="AF2135">
            <v>0</v>
          </cell>
          <cell r="AG2135">
            <v>0</v>
          </cell>
          <cell r="AI2135">
            <v>0</v>
          </cell>
          <cell r="AJ2135">
            <v>0</v>
          </cell>
          <cell r="AL2135">
            <v>0</v>
          </cell>
          <cell r="AM2135">
            <v>0</v>
          </cell>
          <cell r="AO2135">
            <v>0</v>
          </cell>
          <cell r="AP2135">
            <v>0</v>
          </cell>
          <cell r="AR2135">
            <v>0</v>
          </cell>
          <cell r="AS2135">
            <v>0</v>
          </cell>
          <cell r="BF2135" t="str">
            <v>4230</v>
          </cell>
          <cell r="BG2135" t="str">
            <v>Z000</v>
          </cell>
          <cell r="BH2135" t="str">
            <v>ISA</v>
          </cell>
        </row>
        <row r="2136">
          <cell r="K2136">
            <v>0</v>
          </cell>
          <cell r="L2136">
            <v>0</v>
          </cell>
          <cell r="N2136">
            <v>0</v>
          </cell>
          <cell r="O2136">
            <v>0</v>
          </cell>
          <cell r="Q2136">
            <v>0</v>
          </cell>
          <cell r="R2136">
            <v>0</v>
          </cell>
          <cell r="T2136">
            <v>0</v>
          </cell>
          <cell r="U2136">
            <v>0</v>
          </cell>
          <cell r="W2136">
            <v>0</v>
          </cell>
          <cell r="X2136">
            <v>0</v>
          </cell>
          <cell r="Z2136">
            <v>0</v>
          </cell>
          <cell r="AA2136">
            <v>0</v>
          </cell>
          <cell r="AC2136">
            <v>0</v>
          </cell>
          <cell r="AD2136">
            <v>0</v>
          </cell>
          <cell r="AF2136">
            <v>0</v>
          </cell>
          <cell r="AG2136">
            <v>0</v>
          </cell>
          <cell r="AI2136">
            <v>0</v>
          </cell>
          <cell r="AJ2136">
            <v>0</v>
          </cell>
          <cell r="AL2136">
            <v>0</v>
          </cell>
          <cell r="AM2136">
            <v>0</v>
          </cell>
          <cell r="AO2136">
            <v>0</v>
          </cell>
          <cell r="AP2136">
            <v>0</v>
          </cell>
          <cell r="AR2136">
            <v>0</v>
          </cell>
          <cell r="AS2136">
            <v>0</v>
          </cell>
          <cell r="BF2136" t="str">
            <v>4240</v>
          </cell>
          <cell r="BG2136" t="str">
            <v>Z000</v>
          </cell>
          <cell r="BH2136" t="str">
            <v>ISA</v>
          </cell>
        </row>
        <row r="2137">
          <cell r="K2137">
            <v>0</v>
          </cell>
          <cell r="L2137">
            <v>0</v>
          </cell>
          <cell r="N2137">
            <v>0</v>
          </cell>
          <cell r="O2137">
            <v>0</v>
          </cell>
          <cell r="Q2137">
            <v>0</v>
          </cell>
          <cell r="R2137">
            <v>0</v>
          </cell>
          <cell r="T2137">
            <v>0</v>
          </cell>
          <cell r="U2137">
            <v>0</v>
          </cell>
          <cell r="W2137">
            <v>0</v>
          </cell>
          <cell r="X2137">
            <v>0</v>
          </cell>
          <cell r="Z2137">
            <v>0</v>
          </cell>
          <cell r="AA2137">
            <v>0</v>
          </cell>
          <cell r="AC2137">
            <v>0</v>
          </cell>
          <cell r="AD2137">
            <v>0</v>
          </cell>
          <cell r="AF2137">
            <v>0</v>
          </cell>
          <cell r="AG2137">
            <v>0</v>
          </cell>
          <cell r="AI2137">
            <v>0</v>
          </cell>
          <cell r="AJ2137">
            <v>0</v>
          </cell>
          <cell r="AL2137">
            <v>0</v>
          </cell>
          <cell r="AM2137">
            <v>0</v>
          </cell>
          <cell r="AO2137">
            <v>0</v>
          </cell>
          <cell r="AP2137">
            <v>0</v>
          </cell>
          <cell r="AR2137">
            <v>0</v>
          </cell>
          <cell r="AS2137">
            <v>0</v>
          </cell>
          <cell r="BF2137" t="str">
            <v>4250</v>
          </cell>
          <cell r="BG2137" t="str">
            <v>Z000</v>
          </cell>
          <cell r="BH2137" t="str">
            <v>ISA</v>
          </cell>
        </row>
        <row r="2138">
          <cell r="K2138">
            <v>0</v>
          </cell>
          <cell r="L2138">
            <v>0</v>
          </cell>
          <cell r="N2138">
            <v>0</v>
          </cell>
          <cell r="O2138">
            <v>0</v>
          </cell>
          <cell r="Q2138">
            <v>0</v>
          </cell>
          <cell r="R2138">
            <v>0</v>
          </cell>
          <cell r="T2138">
            <v>0</v>
          </cell>
          <cell r="U2138">
            <v>0</v>
          </cell>
          <cell r="W2138">
            <v>0</v>
          </cell>
          <cell r="X2138">
            <v>0</v>
          </cell>
          <cell r="Z2138">
            <v>0</v>
          </cell>
          <cell r="AA2138">
            <v>0</v>
          </cell>
          <cell r="AC2138">
            <v>0</v>
          </cell>
          <cell r="AD2138">
            <v>0</v>
          </cell>
          <cell r="AF2138">
            <v>0</v>
          </cell>
          <cell r="AG2138">
            <v>0</v>
          </cell>
          <cell r="AI2138">
            <v>0</v>
          </cell>
          <cell r="AJ2138">
            <v>0</v>
          </cell>
          <cell r="AL2138">
            <v>0</v>
          </cell>
          <cell r="AM2138">
            <v>0</v>
          </cell>
          <cell r="AO2138">
            <v>0</v>
          </cell>
          <cell r="AP2138">
            <v>0</v>
          </cell>
          <cell r="AR2138">
            <v>0</v>
          </cell>
          <cell r="AS2138">
            <v>0</v>
          </cell>
          <cell r="BF2138" t="str">
            <v>4275</v>
          </cell>
          <cell r="BG2138" t="str">
            <v>Z000</v>
          </cell>
          <cell r="BH2138" t="str">
            <v>ISA</v>
          </cell>
        </row>
        <row r="2139">
          <cell r="K2139">
            <v>0</v>
          </cell>
          <cell r="L2139">
            <v>0</v>
          </cell>
          <cell r="N2139">
            <v>0</v>
          </cell>
          <cell r="O2139">
            <v>0</v>
          </cell>
          <cell r="Q2139">
            <v>0</v>
          </cell>
          <cell r="R2139">
            <v>0</v>
          </cell>
          <cell r="T2139">
            <v>0</v>
          </cell>
          <cell r="U2139">
            <v>0</v>
          </cell>
          <cell r="W2139">
            <v>0</v>
          </cell>
          <cell r="X2139">
            <v>0</v>
          </cell>
          <cell r="Z2139">
            <v>0</v>
          </cell>
          <cell r="AA2139">
            <v>0</v>
          </cell>
          <cell r="AC2139">
            <v>0</v>
          </cell>
          <cell r="AD2139">
            <v>0</v>
          </cell>
          <cell r="AF2139">
            <v>0</v>
          </cell>
          <cell r="AG2139">
            <v>0</v>
          </cell>
          <cell r="AI2139">
            <v>0</v>
          </cell>
          <cell r="AJ2139">
            <v>0</v>
          </cell>
          <cell r="AL2139">
            <v>0</v>
          </cell>
          <cell r="AM2139">
            <v>0</v>
          </cell>
          <cell r="AO2139">
            <v>0</v>
          </cell>
          <cell r="AP2139">
            <v>0</v>
          </cell>
          <cell r="AR2139">
            <v>0</v>
          </cell>
          <cell r="AS2139">
            <v>0</v>
          </cell>
          <cell r="BF2139" t="str">
            <v>4300</v>
          </cell>
          <cell r="BG2139" t="str">
            <v>Z000</v>
          </cell>
          <cell r="BH2139" t="str">
            <v>ISA</v>
          </cell>
        </row>
        <row r="2140">
          <cell r="K2140">
            <v>0</v>
          </cell>
          <cell r="L2140">
            <v>0</v>
          </cell>
          <cell r="N2140">
            <v>0</v>
          </cell>
          <cell r="O2140">
            <v>0</v>
          </cell>
          <cell r="Q2140">
            <v>0</v>
          </cell>
          <cell r="R2140">
            <v>0</v>
          </cell>
          <cell r="T2140">
            <v>0</v>
          </cell>
          <cell r="U2140">
            <v>0</v>
          </cell>
          <cell r="W2140">
            <v>0</v>
          </cell>
          <cell r="X2140">
            <v>0</v>
          </cell>
          <cell r="Z2140">
            <v>0</v>
          </cell>
          <cell r="AA2140">
            <v>0</v>
          </cell>
          <cell r="AC2140">
            <v>0</v>
          </cell>
          <cell r="AD2140">
            <v>0</v>
          </cell>
          <cell r="AF2140">
            <v>0</v>
          </cell>
          <cell r="AG2140">
            <v>0</v>
          </cell>
          <cell r="AI2140">
            <v>0</v>
          </cell>
          <cell r="AJ2140">
            <v>0</v>
          </cell>
          <cell r="AL2140">
            <v>0</v>
          </cell>
          <cell r="AM2140">
            <v>0</v>
          </cell>
          <cell r="AO2140">
            <v>0</v>
          </cell>
          <cell r="AP2140">
            <v>0</v>
          </cell>
          <cell r="AR2140">
            <v>0</v>
          </cell>
          <cell r="AS2140">
            <v>0</v>
          </cell>
          <cell r="BF2140" t="str">
            <v>4320</v>
          </cell>
          <cell r="BG2140" t="str">
            <v>Z000</v>
          </cell>
          <cell r="BH2140" t="str">
            <v>ISA</v>
          </cell>
        </row>
        <row r="2141">
          <cell r="K2141">
            <v>0</v>
          </cell>
          <cell r="L2141">
            <v>0</v>
          </cell>
          <cell r="N2141">
            <v>0</v>
          </cell>
          <cell r="O2141">
            <v>0</v>
          </cell>
          <cell r="Q2141">
            <v>0</v>
          </cell>
          <cell r="R2141">
            <v>0</v>
          </cell>
          <cell r="T2141">
            <v>0</v>
          </cell>
          <cell r="U2141">
            <v>0</v>
          </cell>
          <cell r="W2141">
            <v>0</v>
          </cell>
          <cell r="X2141">
            <v>0</v>
          </cell>
          <cell r="Z2141">
            <v>0</v>
          </cell>
          <cell r="AA2141">
            <v>0</v>
          </cell>
          <cell r="AC2141">
            <v>0</v>
          </cell>
          <cell r="AD2141">
            <v>0</v>
          </cell>
          <cell r="AF2141">
            <v>0</v>
          </cell>
          <cell r="AG2141">
            <v>0</v>
          </cell>
          <cell r="AI2141">
            <v>0</v>
          </cell>
          <cell r="AJ2141">
            <v>0</v>
          </cell>
          <cell r="AL2141">
            <v>0</v>
          </cell>
          <cell r="AM2141">
            <v>0</v>
          </cell>
          <cell r="AO2141">
            <v>0</v>
          </cell>
          <cell r="AP2141">
            <v>0</v>
          </cell>
          <cell r="AR2141">
            <v>0</v>
          </cell>
          <cell r="AS2141">
            <v>0</v>
          </cell>
          <cell r="BF2141" t="str">
            <v>4330</v>
          </cell>
          <cell r="BG2141" t="str">
            <v>Z000</v>
          </cell>
          <cell r="BH2141" t="str">
            <v>ISA</v>
          </cell>
        </row>
        <row r="2142">
          <cell r="K2142">
            <v>0</v>
          </cell>
          <cell r="L2142">
            <v>0</v>
          </cell>
          <cell r="N2142">
            <v>0</v>
          </cell>
          <cell r="O2142">
            <v>0</v>
          </cell>
          <cell r="Q2142">
            <v>0</v>
          </cell>
          <cell r="R2142">
            <v>0</v>
          </cell>
          <cell r="T2142">
            <v>0</v>
          </cell>
          <cell r="U2142">
            <v>0</v>
          </cell>
          <cell r="W2142">
            <v>0</v>
          </cell>
          <cell r="X2142">
            <v>0</v>
          </cell>
          <cell r="Z2142">
            <v>0</v>
          </cell>
          <cell r="AA2142">
            <v>0</v>
          </cell>
          <cell r="AC2142">
            <v>0</v>
          </cell>
          <cell r="AD2142">
            <v>0</v>
          </cell>
          <cell r="AF2142">
            <v>0</v>
          </cell>
          <cell r="AG2142">
            <v>0</v>
          </cell>
          <cell r="AI2142">
            <v>0</v>
          </cell>
          <cell r="AJ2142">
            <v>0</v>
          </cell>
          <cell r="AL2142">
            <v>0</v>
          </cell>
          <cell r="AM2142">
            <v>0</v>
          </cell>
          <cell r="AO2142">
            <v>0</v>
          </cell>
          <cell r="AP2142">
            <v>0</v>
          </cell>
          <cell r="AR2142">
            <v>0</v>
          </cell>
          <cell r="AS2142">
            <v>0</v>
          </cell>
          <cell r="BF2142" t="str">
            <v>4340</v>
          </cell>
          <cell r="BG2142" t="str">
            <v>D006</v>
          </cell>
          <cell r="BH2142" t="str">
            <v>ISA</v>
          </cell>
        </row>
        <row r="2143">
          <cell r="K2143">
            <v>0</v>
          </cell>
          <cell r="L2143">
            <v>0</v>
          </cell>
          <cell r="N2143">
            <v>0</v>
          </cell>
          <cell r="O2143">
            <v>0</v>
          </cell>
          <cell r="Q2143">
            <v>0</v>
          </cell>
          <cell r="R2143">
            <v>0</v>
          </cell>
          <cell r="T2143">
            <v>0</v>
          </cell>
          <cell r="U2143">
            <v>0</v>
          </cell>
          <cell r="W2143">
            <v>0</v>
          </cell>
          <cell r="X2143">
            <v>0</v>
          </cell>
          <cell r="Z2143">
            <v>0</v>
          </cell>
          <cell r="AA2143">
            <v>0</v>
          </cell>
          <cell r="AC2143">
            <v>0</v>
          </cell>
          <cell r="AD2143">
            <v>0</v>
          </cell>
          <cell r="AF2143">
            <v>0</v>
          </cell>
          <cell r="AG2143">
            <v>0</v>
          </cell>
          <cell r="AI2143">
            <v>0</v>
          </cell>
          <cell r="AJ2143">
            <v>0</v>
          </cell>
          <cell r="AL2143">
            <v>0</v>
          </cell>
          <cell r="AM2143">
            <v>0</v>
          </cell>
          <cell r="AO2143">
            <v>0</v>
          </cell>
          <cell r="AP2143">
            <v>0</v>
          </cell>
          <cell r="AR2143">
            <v>0</v>
          </cell>
          <cell r="AS2143">
            <v>0</v>
          </cell>
          <cell r="BF2143" t="str">
            <v>4340</v>
          </cell>
          <cell r="BG2143" t="str">
            <v>D007</v>
          </cell>
          <cell r="BH2143" t="str">
            <v>ISA</v>
          </cell>
        </row>
        <row r="2144">
          <cell r="K2144">
            <v>0</v>
          </cell>
          <cell r="L2144">
            <v>0</v>
          </cell>
          <cell r="N2144">
            <v>0</v>
          </cell>
          <cell r="O2144">
            <v>0</v>
          </cell>
          <cell r="Q2144">
            <v>0</v>
          </cell>
          <cell r="R2144">
            <v>0</v>
          </cell>
          <cell r="T2144">
            <v>0</v>
          </cell>
          <cell r="U2144">
            <v>0</v>
          </cell>
          <cell r="W2144">
            <v>0</v>
          </cell>
          <cell r="X2144">
            <v>0</v>
          </cell>
          <cell r="Z2144">
            <v>0</v>
          </cell>
          <cell r="AA2144">
            <v>0</v>
          </cell>
          <cell r="AC2144">
            <v>0</v>
          </cell>
          <cell r="AD2144">
            <v>0</v>
          </cell>
          <cell r="AF2144">
            <v>0</v>
          </cell>
          <cell r="AG2144">
            <v>0</v>
          </cell>
          <cell r="AI2144">
            <v>0</v>
          </cell>
          <cell r="AJ2144">
            <v>0</v>
          </cell>
          <cell r="AL2144">
            <v>0</v>
          </cell>
          <cell r="AM2144">
            <v>0</v>
          </cell>
          <cell r="AO2144">
            <v>0</v>
          </cell>
          <cell r="AP2144">
            <v>0</v>
          </cell>
          <cell r="AR2144">
            <v>0</v>
          </cell>
          <cell r="AS2144">
            <v>0</v>
          </cell>
          <cell r="BF2144" t="str">
            <v>4340</v>
          </cell>
          <cell r="BG2144" t="str">
            <v>D008</v>
          </cell>
          <cell r="BH2144" t="str">
            <v>ISA</v>
          </cell>
        </row>
        <row r="2145">
          <cell r="K2145">
            <v>0</v>
          </cell>
          <cell r="L2145">
            <v>0</v>
          </cell>
          <cell r="N2145">
            <v>0</v>
          </cell>
          <cell r="O2145">
            <v>0</v>
          </cell>
          <cell r="Q2145">
            <v>0</v>
          </cell>
          <cell r="R2145">
            <v>0</v>
          </cell>
          <cell r="T2145">
            <v>0</v>
          </cell>
          <cell r="U2145">
            <v>0</v>
          </cell>
          <cell r="W2145">
            <v>0</v>
          </cell>
          <cell r="X2145">
            <v>0</v>
          </cell>
          <cell r="Z2145">
            <v>0</v>
          </cell>
          <cell r="AA2145">
            <v>0</v>
          </cell>
          <cell r="AC2145">
            <v>0</v>
          </cell>
          <cell r="AD2145">
            <v>0</v>
          </cell>
          <cell r="AF2145">
            <v>0</v>
          </cell>
          <cell r="AG2145">
            <v>0</v>
          </cell>
          <cell r="AI2145">
            <v>0</v>
          </cell>
          <cell r="AJ2145">
            <v>0</v>
          </cell>
          <cell r="AL2145">
            <v>0</v>
          </cell>
          <cell r="AM2145">
            <v>0</v>
          </cell>
          <cell r="AO2145">
            <v>0</v>
          </cell>
          <cell r="AP2145">
            <v>0</v>
          </cell>
          <cell r="AR2145">
            <v>0</v>
          </cell>
          <cell r="AS2145">
            <v>0</v>
          </cell>
          <cell r="BF2145" t="str">
            <v>4360</v>
          </cell>
          <cell r="BG2145" t="str">
            <v>Z000</v>
          </cell>
          <cell r="BH2145" t="str">
            <v>ISA</v>
          </cell>
        </row>
        <row r="2146">
          <cell r="K2146">
            <v>0</v>
          </cell>
          <cell r="L2146">
            <v>0</v>
          </cell>
          <cell r="N2146">
            <v>0</v>
          </cell>
          <cell r="O2146">
            <v>0</v>
          </cell>
          <cell r="Q2146">
            <v>0</v>
          </cell>
          <cell r="R2146">
            <v>0</v>
          </cell>
          <cell r="T2146">
            <v>0</v>
          </cell>
          <cell r="U2146">
            <v>0</v>
          </cell>
          <cell r="W2146">
            <v>0</v>
          </cell>
          <cell r="X2146">
            <v>0</v>
          </cell>
          <cell r="Z2146">
            <v>0</v>
          </cell>
          <cell r="AA2146">
            <v>0</v>
          </cell>
          <cell r="AC2146">
            <v>0</v>
          </cell>
          <cell r="AD2146">
            <v>0</v>
          </cell>
          <cell r="AF2146">
            <v>0</v>
          </cell>
          <cell r="AG2146">
            <v>0</v>
          </cell>
          <cell r="AI2146">
            <v>0</v>
          </cell>
          <cell r="AJ2146">
            <v>0</v>
          </cell>
          <cell r="AL2146">
            <v>0</v>
          </cell>
          <cell r="AM2146">
            <v>0</v>
          </cell>
          <cell r="AO2146">
            <v>0</v>
          </cell>
          <cell r="AP2146">
            <v>0</v>
          </cell>
          <cell r="AR2146">
            <v>0</v>
          </cell>
          <cell r="AS2146">
            <v>0</v>
          </cell>
          <cell r="BF2146" t="str">
            <v>4380</v>
          </cell>
          <cell r="BG2146" t="str">
            <v>Z000</v>
          </cell>
          <cell r="BH2146" t="str">
            <v>ISA</v>
          </cell>
        </row>
        <row r="2147">
          <cell r="K2147">
            <v>0</v>
          </cell>
          <cell r="L2147">
            <v>0</v>
          </cell>
          <cell r="N2147">
            <v>0</v>
          </cell>
          <cell r="O2147">
            <v>0</v>
          </cell>
          <cell r="Q2147">
            <v>0</v>
          </cell>
          <cell r="R2147">
            <v>0</v>
          </cell>
          <cell r="T2147">
            <v>0</v>
          </cell>
          <cell r="U2147">
            <v>0</v>
          </cell>
          <cell r="W2147">
            <v>0</v>
          </cell>
          <cell r="X2147">
            <v>0</v>
          </cell>
          <cell r="Z2147">
            <v>0</v>
          </cell>
          <cell r="AA2147">
            <v>0</v>
          </cell>
          <cell r="AC2147">
            <v>0</v>
          </cell>
          <cell r="AD2147">
            <v>0</v>
          </cell>
          <cell r="AF2147">
            <v>0</v>
          </cell>
          <cell r="AG2147">
            <v>0</v>
          </cell>
          <cell r="AI2147">
            <v>0</v>
          </cell>
          <cell r="AJ2147">
            <v>0</v>
          </cell>
          <cell r="AL2147">
            <v>0</v>
          </cell>
          <cell r="AM2147">
            <v>0</v>
          </cell>
          <cell r="AO2147">
            <v>0</v>
          </cell>
          <cell r="AP2147">
            <v>0</v>
          </cell>
          <cell r="AR2147">
            <v>0</v>
          </cell>
          <cell r="AS2147">
            <v>0</v>
          </cell>
          <cell r="BF2147" t="str">
            <v>4400</v>
          </cell>
          <cell r="BG2147" t="str">
            <v>Z000</v>
          </cell>
          <cell r="BH2147" t="str">
            <v>ISA</v>
          </cell>
        </row>
        <row r="2148">
          <cell r="K2148">
            <v>0</v>
          </cell>
          <cell r="L2148">
            <v>0</v>
          </cell>
          <cell r="N2148">
            <v>0</v>
          </cell>
          <cell r="O2148">
            <v>0</v>
          </cell>
          <cell r="Q2148">
            <v>0</v>
          </cell>
          <cell r="R2148">
            <v>0</v>
          </cell>
          <cell r="T2148">
            <v>0</v>
          </cell>
          <cell r="U2148">
            <v>0</v>
          </cell>
          <cell r="W2148">
            <v>0</v>
          </cell>
          <cell r="X2148">
            <v>0</v>
          </cell>
          <cell r="Z2148">
            <v>0</v>
          </cell>
          <cell r="AA2148">
            <v>0</v>
          </cell>
          <cell r="AC2148">
            <v>0</v>
          </cell>
          <cell r="AD2148">
            <v>0</v>
          </cell>
          <cell r="AF2148">
            <v>0</v>
          </cell>
          <cell r="AG2148">
            <v>0</v>
          </cell>
          <cell r="AI2148">
            <v>0</v>
          </cell>
          <cell r="AJ2148">
            <v>0</v>
          </cell>
          <cell r="AL2148">
            <v>0</v>
          </cell>
          <cell r="AM2148">
            <v>0</v>
          </cell>
          <cell r="AO2148">
            <v>0</v>
          </cell>
          <cell r="AP2148">
            <v>0</v>
          </cell>
          <cell r="AR2148">
            <v>0</v>
          </cell>
          <cell r="AS2148">
            <v>0</v>
          </cell>
          <cell r="BF2148" t="str">
            <v>4480</v>
          </cell>
          <cell r="BG2148" t="str">
            <v>Z000</v>
          </cell>
          <cell r="BH2148" t="str">
            <v>ISA</v>
          </cell>
        </row>
        <row r="2149">
          <cell r="K2149">
            <v>0</v>
          </cell>
          <cell r="L2149">
            <v>0</v>
          </cell>
          <cell r="N2149">
            <v>0</v>
          </cell>
          <cell r="O2149">
            <v>0</v>
          </cell>
          <cell r="Q2149">
            <v>0</v>
          </cell>
          <cell r="R2149">
            <v>0</v>
          </cell>
          <cell r="T2149">
            <v>0</v>
          </cell>
          <cell r="U2149">
            <v>0</v>
          </cell>
          <cell r="W2149">
            <v>0</v>
          </cell>
          <cell r="X2149">
            <v>0</v>
          </cell>
          <cell r="Z2149">
            <v>0</v>
          </cell>
          <cell r="AA2149">
            <v>0</v>
          </cell>
          <cell r="AC2149">
            <v>0</v>
          </cell>
          <cell r="AD2149">
            <v>0</v>
          </cell>
          <cell r="AF2149">
            <v>0</v>
          </cell>
          <cell r="AG2149">
            <v>0</v>
          </cell>
          <cell r="AI2149">
            <v>0</v>
          </cell>
          <cell r="AJ2149">
            <v>0</v>
          </cell>
          <cell r="AL2149">
            <v>0</v>
          </cell>
          <cell r="AM2149">
            <v>0</v>
          </cell>
          <cell r="AO2149">
            <v>0</v>
          </cell>
          <cell r="AP2149">
            <v>0</v>
          </cell>
          <cell r="AR2149">
            <v>0</v>
          </cell>
          <cell r="AS2149">
            <v>0</v>
          </cell>
          <cell r="BF2149" t="str">
            <v>4500</v>
          </cell>
          <cell r="BG2149" t="str">
            <v>Z000</v>
          </cell>
          <cell r="BH2149" t="str">
            <v>ISA</v>
          </cell>
        </row>
        <row r="2150">
          <cell r="K2150">
            <v>0</v>
          </cell>
          <cell r="L2150">
            <v>0</v>
          </cell>
          <cell r="N2150">
            <v>0</v>
          </cell>
          <cell r="O2150">
            <v>0</v>
          </cell>
          <cell r="Q2150">
            <v>0</v>
          </cell>
          <cell r="R2150">
            <v>0</v>
          </cell>
          <cell r="T2150">
            <v>0</v>
          </cell>
          <cell r="U2150">
            <v>0</v>
          </cell>
          <cell r="W2150">
            <v>0</v>
          </cell>
          <cell r="X2150">
            <v>0</v>
          </cell>
          <cell r="Z2150">
            <v>0</v>
          </cell>
          <cell r="AA2150">
            <v>0</v>
          </cell>
          <cell r="AC2150">
            <v>0</v>
          </cell>
          <cell r="AD2150">
            <v>0</v>
          </cell>
          <cell r="AF2150">
            <v>0</v>
          </cell>
          <cell r="AG2150">
            <v>0</v>
          </cell>
          <cell r="AI2150">
            <v>0</v>
          </cell>
          <cell r="AJ2150">
            <v>0</v>
          </cell>
          <cell r="AL2150">
            <v>0</v>
          </cell>
          <cell r="AM2150">
            <v>0</v>
          </cell>
          <cell r="AO2150">
            <v>0</v>
          </cell>
          <cell r="AP2150">
            <v>0</v>
          </cell>
          <cell r="AR2150">
            <v>0</v>
          </cell>
          <cell r="AS2150">
            <v>0</v>
          </cell>
          <cell r="BF2150" t="str">
            <v>4520</v>
          </cell>
          <cell r="BG2150" t="str">
            <v>D011</v>
          </cell>
          <cell r="BH2150" t="str">
            <v>ISA</v>
          </cell>
        </row>
        <row r="2151">
          <cell r="K2151">
            <v>0</v>
          </cell>
          <cell r="L2151">
            <v>0</v>
          </cell>
          <cell r="N2151">
            <v>0</v>
          </cell>
          <cell r="O2151">
            <v>0</v>
          </cell>
          <cell r="Q2151">
            <v>0</v>
          </cell>
          <cell r="R2151">
            <v>0</v>
          </cell>
          <cell r="T2151">
            <v>0</v>
          </cell>
          <cell r="U2151">
            <v>0</v>
          </cell>
          <cell r="W2151">
            <v>0</v>
          </cell>
          <cell r="X2151">
            <v>0</v>
          </cell>
          <cell r="Z2151">
            <v>0</v>
          </cell>
          <cell r="AA2151">
            <v>0</v>
          </cell>
          <cell r="AC2151">
            <v>0</v>
          </cell>
          <cell r="AD2151">
            <v>0</v>
          </cell>
          <cell r="AF2151">
            <v>0</v>
          </cell>
          <cell r="AG2151">
            <v>0</v>
          </cell>
          <cell r="AI2151">
            <v>0</v>
          </cell>
          <cell r="AJ2151">
            <v>0</v>
          </cell>
          <cell r="AL2151">
            <v>0</v>
          </cell>
          <cell r="AM2151">
            <v>0</v>
          </cell>
          <cell r="AO2151">
            <v>0</v>
          </cell>
          <cell r="AP2151">
            <v>0</v>
          </cell>
          <cell r="AR2151">
            <v>0</v>
          </cell>
          <cell r="AS2151">
            <v>0</v>
          </cell>
          <cell r="BF2151" t="str">
            <v>4520</v>
          </cell>
          <cell r="BG2151" t="str">
            <v>D012</v>
          </cell>
          <cell r="BH2151" t="str">
            <v>ISA</v>
          </cell>
        </row>
        <row r="2152">
          <cell r="K2152">
            <v>0</v>
          </cell>
          <cell r="L2152">
            <v>0</v>
          </cell>
          <cell r="N2152">
            <v>0</v>
          </cell>
          <cell r="O2152">
            <v>0</v>
          </cell>
          <cell r="Q2152">
            <v>0</v>
          </cell>
          <cell r="R2152">
            <v>0</v>
          </cell>
          <cell r="T2152">
            <v>0</v>
          </cell>
          <cell r="U2152">
            <v>0</v>
          </cell>
          <cell r="W2152">
            <v>0</v>
          </cell>
          <cell r="X2152">
            <v>0</v>
          </cell>
          <cell r="Z2152">
            <v>0</v>
          </cell>
          <cell r="AA2152">
            <v>0</v>
          </cell>
          <cell r="AC2152">
            <v>0</v>
          </cell>
          <cell r="AD2152">
            <v>0</v>
          </cell>
          <cell r="AF2152">
            <v>0</v>
          </cell>
          <cell r="AG2152">
            <v>0</v>
          </cell>
          <cell r="AI2152">
            <v>0</v>
          </cell>
          <cell r="AJ2152">
            <v>0</v>
          </cell>
          <cell r="AL2152">
            <v>0</v>
          </cell>
          <cell r="AM2152">
            <v>0</v>
          </cell>
          <cell r="AO2152">
            <v>0</v>
          </cell>
          <cell r="AP2152">
            <v>0</v>
          </cell>
          <cell r="AR2152">
            <v>0</v>
          </cell>
          <cell r="AS2152">
            <v>0</v>
          </cell>
          <cell r="BF2152" t="str">
            <v>4520</v>
          </cell>
          <cell r="BG2152" t="str">
            <v>D013</v>
          </cell>
          <cell r="BH2152" t="str">
            <v>ISA</v>
          </cell>
        </row>
        <row r="2153">
          <cell r="K2153">
            <v>0</v>
          </cell>
          <cell r="L2153">
            <v>0</v>
          </cell>
          <cell r="N2153">
            <v>0</v>
          </cell>
          <cell r="O2153">
            <v>0</v>
          </cell>
          <cell r="Q2153">
            <v>0</v>
          </cell>
          <cell r="R2153">
            <v>0</v>
          </cell>
          <cell r="T2153">
            <v>0</v>
          </cell>
          <cell r="U2153">
            <v>0</v>
          </cell>
          <cell r="W2153">
            <v>0</v>
          </cell>
          <cell r="X2153">
            <v>0</v>
          </cell>
          <cell r="Z2153">
            <v>0</v>
          </cell>
          <cell r="AA2153">
            <v>0</v>
          </cell>
          <cell r="AC2153">
            <v>0</v>
          </cell>
          <cell r="AD2153">
            <v>0</v>
          </cell>
          <cell r="AF2153">
            <v>0</v>
          </cell>
          <cell r="AG2153">
            <v>0</v>
          </cell>
          <cell r="AI2153">
            <v>0</v>
          </cell>
          <cell r="AJ2153">
            <v>0</v>
          </cell>
          <cell r="AL2153">
            <v>0</v>
          </cell>
          <cell r="AM2153">
            <v>0</v>
          </cell>
          <cell r="AO2153">
            <v>0</v>
          </cell>
          <cell r="AP2153">
            <v>0</v>
          </cell>
          <cell r="AR2153">
            <v>0</v>
          </cell>
          <cell r="AS2153">
            <v>0</v>
          </cell>
          <cell r="BF2153" t="str">
            <v>4520</v>
          </cell>
          <cell r="BG2153" t="str">
            <v>D014</v>
          </cell>
          <cell r="BH2153" t="str">
            <v>ISA</v>
          </cell>
        </row>
        <row r="2154">
          <cell r="K2154">
            <v>0</v>
          </cell>
          <cell r="L2154">
            <v>0</v>
          </cell>
          <cell r="N2154">
            <v>0</v>
          </cell>
          <cell r="O2154">
            <v>0</v>
          </cell>
          <cell r="Q2154">
            <v>0</v>
          </cell>
          <cell r="R2154">
            <v>0</v>
          </cell>
          <cell r="T2154">
            <v>0</v>
          </cell>
          <cell r="U2154">
            <v>0</v>
          </cell>
          <cell r="W2154">
            <v>0</v>
          </cell>
          <cell r="X2154">
            <v>0</v>
          </cell>
          <cell r="Z2154">
            <v>0</v>
          </cell>
          <cell r="AA2154">
            <v>0</v>
          </cell>
          <cell r="AC2154">
            <v>0</v>
          </cell>
          <cell r="AD2154">
            <v>0</v>
          </cell>
          <cell r="AF2154">
            <v>0</v>
          </cell>
          <cell r="AG2154">
            <v>0</v>
          </cell>
          <cell r="AI2154">
            <v>0</v>
          </cell>
          <cell r="AJ2154">
            <v>0</v>
          </cell>
          <cell r="AL2154">
            <v>0</v>
          </cell>
          <cell r="AM2154">
            <v>0</v>
          </cell>
          <cell r="AO2154">
            <v>0</v>
          </cell>
          <cell r="AP2154">
            <v>0</v>
          </cell>
          <cell r="AR2154">
            <v>0</v>
          </cell>
          <cell r="AS2154">
            <v>0</v>
          </cell>
          <cell r="BF2154" t="str">
            <v>4520</v>
          </cell>
          <cell r="BG2154" t="str">
            <v>D015</v>
          </cell>
          <cell r="BH2154" t="str">
            <v>ISA</v>
          </cell>
        </row>
        <row r="2155">
          <cell r="K2155">
            <v>0</v>
          </cell>
          <cell r="L2155">
            <v>0</v>
          </cell>
          <cell r="N2155">
            <v>0</v>
          </cell>
          <cell r="O2155">
            <v>0</v>
          </cell>
          <cell r="Q2155">
            <v>0</v>
          </cell>
          <cell r="R2155">
            <v>0</v>
          </cell>
          <cell r="T2155">
            <v>0</v>
          </cell>
          <cell r="U2155">
            <v>0</v>
          </cell>
          <cell r="W2155">
            <v>0</v>
          </cell>
          <cell r="X2155">
            <v>0</v>
          </cell>
          <cell r="Z2155">
            <v>0</v>
          </cell>
          <cell r="AA2155">
            <v>0</v>
          </cell>
          <cell r="AC2155">
            <v>0</v>
          </cell>
          <cell r="AD2155">
            <v>0</v>
          </cell>
          <cell r="AF2155">
            <v>0</v>
          </cell>
          <cell r="AG2155">
            <v>0</v>
          </cell>
          <cell r="AI2155">
            <v>0</v>
          </cell>
          <cell r="AJ2155">
            <v>0</v>
          </cell>
          <cell r="AL2155">
            <v>0</v>
          </cell>
          <cell r="AM2155">
            <v>0</v>
          </cell>
          <cell r="AO2155">
            <v>0</v>
          </cell>
          <cell r="AP2155">
            <v>0</v>
          </cell>
          <cell r="AR2155">
            <v>0</v>
          </cell>
          <cell r="AS2155">
            <v>0</v>
          </cell>
          <cell r="BF2155" t="str">
            <v>4520</v>
          </cell>
          <cell r="BG2155" t="str">
            <v>D016</v>
          </cell>
          <cell r="BH2155" t="str">
            <v>ISA</v>
          </cell>
        </row>
        <row r="2156">
          <cell r="K2156">
            <v>0</v>
          </cell>
          <cell r="L2156">
            <v>0</v>
          </cell>
          <cell r="N2156">
            <v>0</v>
          </cell>
          <cell r="O2156">
            <v>0</v>
          </cell>
          <cell r="Q2156">
            <v>0</v>
          </cell>
          <cell r="R2156">
            <v>0</v>
          </cell>
          <cell r="T2156">
            <v>0</v>
          </cell>
          <cell r="U2156">
            <v>0</v>
          </cell>
          <cell r="W2156">
            <v>0</v>
          </cell>
          <cell r="X2156">
            <v>0</v>
          </cell>
          <cell r="Z2156">
            <v>0</v>
          </cell>
          <cell r="AA2156">
            <v>0</v>
          </cell>
          <cell r="AC2156">
            <v>0</v>
          </cell>
          <cell r="AD2156">
            <v>0</v>
          </cell>
          <cell r="AF2156">
            <v>0</v>
          </cell>
          <cell r="AG2156">
            <v>0</v>
          </cell>
          <cell r="AI2156">
            <v>0</v>
          </cell>
          <cell r="AJ2156">
            <v>0</v>
          </cell>
          <cell r="AL2156">
            <v>0</v>
          </cell>
          <cell r="AM2156">
            <v>0</v>
          </cell>
          <cell r="AO2156">
            <v>0</v>
          </cell>
          <cell r="AP2156">
            <v>0</v>
          </cell>
          <cell r="AR2156">
            <v>0</v>
          </cell>
          <cell r="AS2156">
            <v>0</v>
          </cell>
          <cell r="BF2156" t="str">
            <v>4560</v>
          </cell>
          <cell r="BG2156" t="str">
            <v>Z000</v>
          </cell>
          <cell r="BH2156" t="str">
            <v>ISA</v>
          </cell>
        </row>
        <row r="2157">
          <cell r="K2157">
            <v>0</v>
          </cell>
          <cell r="L2157">
            <v>0</v>
          </cell>
          <cell r="N2157">
            <v>0</v>
          </cell>
          <cell r="O2157">
            <v>0</v>
          </cell>
          <cell r="Q2157">
            <v>0</v>
          </cell>
          <cell r="R2157">
            <v>0</v>
          </cell>
          <cell r="T2157">
            <v>0</v>
          </cell>
          <cell r="U2157">
            <v>0</v>
          </cell>
          <cell r="W2157">
            <v>0</v>
          </cell>
          <cell r="X2157">
            <v>0</v>
          </cell>
          <cell r="Z2157">
            <v>0</v>
          </cell>
          <cell r="AA2157">
            <v>0</v>
          </cell>
          <cell r="AC2157">
            <v>0</v>
          </cell>
          <cell r="AD2157">
            <v>0</v>
          </cell>
          <cell r="AF2157">
            <v>0</v>
          </cell>
          <cell r="AG2157">
            <v>0</v>
          </cell>
          <cell r="AI2157">
            <v>0</v>
          </cell>
          <cell r="AJ2157">
            <v>0</v>
          </cell>
          <cell r="AL2157">
            <v>0</v>
          </cell>
          <cell r="AM2157">
            <v>0</v>
          </cell>
          <cell r="AO2157">
            <v>0</v>
          </cell>
          <cell r="AP2157">
            <v>0</v>
          </cell>
          <cell r="AR2157">
            <v>0</v>
          </cell>
          <cell r="AS2157">
            <v>0</v>
          </cell>
          <cell r="BF2157" t="str">
            <v>4580</v>
          </cell>
          <cell r="BG2157" t="str">
            <v>Z000</v>
          </cell>
          <cell r="BH2157" t="str">
            <v>ISA</v>
          </cell>
        </row>
        <row r="2158">
          <cell r="K2158">
            <v>0</v>
          </cell>
          <cell r="L2158">
            <v>0</v>
          </cell>
          <cell r="N2158">
            <v>0</v>
          </cell>
          <cell r="O2158">
            <v>0</v>
          </cell>
          <cell r="Q2158">
            <v>0</v>
          </cell>
          <cell r="R2158">
            <v>0</v>
          </cell>
          <cell r="T2158">
            <v>0</v>
          </cell>
          <cell r="U2158">
            <v>0</v>
          </cell>
          <cell r="W2158">
            <v>0</v>
          </cell>
          <cell r="X2158">
            <v>0</v>
          </cell>
          <cell r="Z2158">
            <v>0</v>
          </cell>
          <cell r="AA2158">
            <v>0</v>
          </cell>
          <cell r="AC2158">
            <v>0</v>
          </cell>
          <cell r="AD2158">
            <v>0</v>
          </cell>
          <cell r="AF2158">
            <v>0</v>
          </cell>
          <cell r="AG2158">
            <v>0</v>
          </cell>
          <cell r="AI2158">
            <v>0</v>
          </cell>
          <cell r="AJ2158">
            <v>0</v>
          </cell>
          <cell r="AL2158">
            <v>0</v>
          </cell>
          <cell r="AM2158">
            <v>0</v>
          </cell>
          <cell r="AO2158">
            <v>0</v>
          </cell>
          <cell r="AP2158">
            <v>0</v>
          </cell>
          <cell r="AR2158">
            <v>0</v>
          </cell>
          <cell r="AS2158">
            <v>0</v>
          </cell>
          <cell r="BF2158" t="str">
            <v>4585</v>
          </cell>
          <cell r="BG2158" t="str">
            <v>D021</v>
          </cell>
          <cell r="BH2158" t="str">
            <v>ISA</v>
          </cell>
        </row>
        <row r="2159">
          <cell r="K2159">
            <v>0</v>
          </cell>
          <cell r="L2159">
            <v>0</v>
          </cell>
          <cell r="N2159">
            <v>0</v>
          </cell>
          <cell r="O2159">
            <v>0</v>
          </cell>
          <cell r="Q2159">
            <v>0</v>
          </cell>
          <cell r="R2159">
            <v>0</v>
          </cell>
          <cell r="T2159">
            <v>0</v>
          </cell>
          <cell r="U2159">
            <v>0</v>
          </cell>
          <cell r="W2159">
            <v>0</v>
          </cell>
          <cell r="X2159">
            <v>0</v>
          </cell>
          <cell r="Z2159">
            <v>0</v>
          </cell>
          <cell r="AA2159">
            <v>0</v>
          </cell>
          <cell r="AC2159">
            <v>0</v>
          </cell>
          <cell r="AD2159">
            <v>0</v>
          </cell>
          <cell r="AF2159">
            <v>0</v>
          </cell>
          <cell r="AG2159">
            <v>0</v>
          </cell>
          <cell r="AI2159">
            <v>0</v>
          </cell>
          <cell r="AJ2159">
            <v>0</v>
          </cell>
          <cell r="AL2159">
            <v>0</v>
          </cell>
          <cell r="AM2159">
            <v>0</v>
          </cell>
          <cell r="AO2159">
            <v>0</v>
          </cell>
          <cell r="AP2159">
            <v>0</v>
          </cell>
          <cell r="AR2159">
            <v>0</v>
          </cell>
          <cell r="AS2159">
            <v>0</v>
          </cell>
          <cell r="BF2159" t="str">
            <v>4585</v>
          </cell>
          <cell r="BG2159" t="str">
            <v>D022</v>
          </cell>
          <cell r="BH2159" t="str">
            <v>ISA</v>
          </cell>
        </row>
        <row r="2160">
          <cell r="K2160">
            <v>0</v>
          </cell>
          <cell r="L2160">
            <v>0</v>
          </cell>
          <cell r="N2160">
            <v>0</v>
          </cell>
          <cell r="O2160">
            <v>0</v>
          </cell>
          <cell r="Q2160">
            <v>0</v>
          </cell>
          <cell r="R2160">
            <v>0</v>
          </cell>
          <cell r="T2160">
            <v>0</v>
          </cell>
          <cell r="U2160">
            <v>0</v>
          </cell>
          <cell r="W2160">
            <v>0</v>
          </cell>
          <cell r="X2160">
            <v>0</v>
          </cell>
          <cell r="Z2160">
            <v>0</v>
          </cell>
          <cell r="AA2160">
            <v>0</v>
          </cell>
          <cell r="AC2160">
            <v>0</v>
          </cell>
          <cell r="AD2160">
            <v>0</v>
          </cell>
          <cell r="AF2160">
            <v>0</v>
          </cell>
          <cell r="AG2160">
            <v>0</v>
          </cell>
          <cell r="AI2160">
            <v>0</v>
          </cell>
          <cell r="AJ2160">
            <v>0</v>
          </cell>
          <cell r="AL2160">
            <v>0</v>
          </cell>
          <cell r="AM2160">
            <v>0</v>
          </cell>
          <cell r="AO2160">
            <v>0</v>
          </cell>
          <cell r="AP2160">
            <v>0</v>
          </cell>
          <cell r="AR2160">
            <v>0</v>
          </cell>
          <cell r="AS2160">
            <v>0</v>
          </cell>
          <cell r="BF2160" t="str">
            <v>4585</v>
          </cell>
          <cell r="BG2160" t="str">
            <v>D023</v>
          </cell>
          <cell r="BH2160" t="str">
            <v>ISA</v>
          </cell>
        </row>
        <row r="2161">
          <cell r="K2161">
            <v>0</v>
          </cell>
          <cell r="L2161">
            <v>0</v>
          </cell>
          <cell r="N2161">
            <v>0</v>
          </cell>
          <cell r="O2161">
            <v>0</v>
          </cell>
          <cell r="Q2161">
            <v>0</v>
          </cell>
          <cell r="R2161">
            <v>0</v>
          </cell>
          <cell r="T2161">
            <v>0</v>
          </cell>
          <cell r="U2161">
            <v>0</v>
          </cell>
          <cell r="W2161">
            <v>0</v>
          </cell>
          <cell r="X2161">
            <v>0</v>
          </cell>
          <cell r="Z2161">
            <v>0</v>
          </cell>
          <cell r="AA2161">
            <v>0</v>
          </cell>
          <cell r="AC2161">
            <v>0</v>
          </cell>
          <cell r="AD2161">
            <v>0</v>
          </cell>
          <cell r="AF2161">
            <v>0</v>
          </cell>
          <cell r="AG2161">
            <v>0</v>
          </cell>
          <cell r="AI2161">
            <v>0</v>
          </cell>
          <cell r="AJ2161">
            <v>0</v>
          </cell>
          <cell r="AL2161">
            <v>0</v>
          </cell>
          <cell r="AM2161">
            <v>0</v>
          </cell>
          <cell r="AO2161">
            <v>0</v>
          </cell>
          <cell r="AP2161">
            <v>0</v>
          </cell>
          <cell r="AR2161">
            <v>0</v>
          </cell>
          <cell r="AS2161">
            <v>0</v>
          </cell>
          <cell r="BF2161" t="str">
            <v>4585</v>
          </cell>
          <cell r="BG2161" t="str">
            <v>D024</v>
          </cell>
          <cell r="BH2161" t="str">
            <v>ISA</v>
          </cell>
        </row>
        <row r="2162">
          <cell r="K2162">
            <v>0</v>
          </cell>
          <cell r="L2162">
            <v>0</v>
          </cell>
          <cell r="N2162">
            <v>0</v>
          </cell>
          <cell r="O2162">
            <v>0</v>
          </cell>
          <cell r="Q2162">
            <v>0</v>
          </cell>
          <cell r="R2162">
            <v>0</v>
          </cell>
          <cell r="T2162">
            <v>0</v>
          </cell>
          <cell r="U2162">
            <v>0</v>
          </cell>
          <cell r="W2162">
            <v>0</v>
          </cell>
          <cell r="X2162">
            <v>0</v>
          </cell>
          <cell r="Z2162">
            <v>0</v>
          </cell>
          <cell r="AA2162">
            <v>0</v>
          </cell>
          <cell r="AC2162">
            <v>0</v>
          </cell>
          <cell r="AD2162">
            <v>0</v>
          </cell>
          <cell r="AF2162">
            <v>0</v>
          </cell>
          <cell r="AG2162">
            <v>0</v>
          </cell>
          <cell r="AI2162">
            <v>0</v>
          </cell>
          <cell r="AJ2162">
            <v>0</v>
          </cell>
          <cell r="AL2162">
            <v>0</v>
          </cell>
          <cell r="AM2162">
            <v>0</v>
          </cell>
          <cell r="AO2162">
            <v>0</v>
          </cell>
          <cell r="AP2162">
            <v>0</v>
          </cell>
          <cell r="AR2162">
            <v>0</v>
          </cell>
          <cell r="AS2162">
            <v>0</v>
          </cell>
          <cell r="BF2162" t="str">
            <v>4590</v>
          </cell>
          <cell r="BG2162" t="str">
            <v>Z000</v>
          </cell>
          <cell r="BH2162" t="str">
            <v>ISA</v>
          </cell>
        </row>
        <row r="2163">
          <cell r="K2163">
            <v>0</v>
          </cell>
          <cell r="L2163">
            <v>0</v>
          </cell>
          <cell r="N2163">
            <v>0</v>
          </cell>
          <cell r="O2163">
            <v>0</v>
          </cell>
          <cell r="Q2163">
            <v>0</v>
          </cell>
          <cell r="R2163">
            <v>0</v>
          </cell>
          <cell r="T2163">
            <v>0</v>
          </cell>
          <cell r="U2163">
            <v>0</v>
          </cell>
          <cell r="W2163">
            <v>0</v>
          </cell>
          <cell r="X2163">
            <v>0</v>
          </cell>
          <cell r="Z2163">
            <v>0</v>
          </cell>
          <cell r="AA2163">
            <v>0</v>
          </cell>
          <cell r="AC2163">
            <v>0</v>
          </cell>
          <cell r="AD2163">
            <v>0</v>
          </cell>
          <cell r="AF2163">
            <v>0</v>
          </cell>
          <cell r="AG2163">
            <v>0</v>
          </cell>
          <cell r="AI2163">
            <v>0</v>
          </cell>
          <cell r="AJ2163">
            <v>0</v>
          </cell>
          <cell r="AL2163">
            <v>0</v>
          </cell>
          <cell r="AM2163">
            <v>0</v>
          </cell>
          <cell r="AO2163">
            <v>0</v>
          </cell>
          <cell r="AP2163">
            <v>0</v>
          </cell>
          <cell r="AR2163">
            <v>0</v>
          </cell>
          <cell r="AS2163">
            <v>0</v>
          </cell>
          <cell r="BF2163" t="str">
            <v>4600</v>
          </cell>
          <cell r="BG2163" t="str">
            <v>Z000</v>
          </cell>
          <cell r="BH2163" t="str">
            <v>ISA</v>
          </cell>
        </row>
        <row r="2164">
          <cell r="K2164">
            <v>0</v>
          </cell>
          <cell r="L2164">
            <v>0</v>
          </cell>
          <cell r="N2164">
            <v>0</v>
          </cell>
          <cell r="O2164">
            <v>0</v>
          </cell>
          <cell r="Q2164">
            <v>0</v>
          </cell>
          <cell r="R2164">
            <v>0</v>
          </cell>
          <cell r="T2164">
            <v>0</v>
          </cell>
          <cell r="U2164">
            <v>0</v>
          </cell>
          <cell r="W2164">
            <v>0</v>
          </cell>
          <cell r="X2164">
            <v>0</v>
          </cell>
          <cell r="Z2164">
            <v>0</v>
          </cell>
          <cell r="AA2164">
            <v>0</v>
          </cell>
          <cell r="AC2164">
            <v>0</v>
          </cell>
          <cell r="AD2164">
            <v>0</v>
          </cell>
          <cell r="AF2164">
            <v>0</v>
          </cell>
          <cell r="AG2164">
            <v>0</v>
          </cell>
          <cell r="AI2164">
            <v>0</v>
          </cell>
          <cell r="AJ2164">
            <v>0</v>
          </cell>
          <cell r="AL2164">
            <v>0</v>
          </cell>
          <cell r="AM2164">
            <v>0</v>
          </cell>
          <cell r="AO2164">
            <v>0</v>
          </cell>
          <cell r="AP2164">
            <v>0</v>
          </cell>
          <cell r="AR2164">
            <v>0</v>
          </cell>
          <cell r="AS2164">
            <v>0</v>
          </cell>
          <cell r="BF2164" t="str">
            <v>4620</v>
          </cell>
          <cell r="BG2164" t="str">
            <v>Z000</v>
          </cell>
          <cell r="BH2164" t="str">
            <v>ISA</v>
          </cell>
        </row>
        <row r="2165">
          <cell r="K2165">
            <v>0</v>
          </cell>
          <cell r="L2165">
            <v>0</v>
          </cell>
          <cell r="N2165">
            <v>0</v>
          </cell>
          <cell r="O2165">
            <v>0</v>
          </cell>
          <cell r="Q2165">
            <v>0</v>
          </cell>
          <cell r="R2165">
            <v>0</v>
          </cell>
          <cell r="T2165">
            <v>0</v>
          </cell>
          <cell r="U2165">
            <v>0</v>
          </cell>
          <cell r="W2165">
            <v>0</v>
          </cell>
          <cell r="X2165">
            <v>0</v>
          </cell>
          <cell r="Z2165">
            <v>0</v>
          </cell>
          <cell r="AA2165">
            <v>0</v>
          </cell>
          <cell r="AC2165">
            <v>0</v>
          </cell>
          <cell r="AD2165">
            <v>0</v>
          </cell>
          <cell r="AF2165">
            <v>0</v>
          </cell>
          <cell r="AG2165">
            <v>0</v>
          </cell>
          <cell r="AI2165">
            <v>0</v>
          </cell>
          <cell r="AJ2165">
            <v>0</v>
          </cell>
          <cell r="AL2165">
            <v>0</v>
          </cell>
          <cell r="AM2165">
            <v>0</v>
          </cell>
          <cell r="AO2165">
            <v>0</v>
          </cell>
          <cell r="AP2165">
            <v>0</v>
          </cell>
          <cell r="AR2165">
            <v>0</v>
          </cell>
          <cell r="AS2165">
            <v>0</v>
          </cell>
          <cell r="BF2165" t="str">
            <v>4630</v>
          </cell>
          <cell r="BG2165" t="str">
            <v>Z000</v>
          </cell>
          <cell r="BH2165" t="str">
            <v>ISA</v>
          </cell>
        </row>
        <row r="2166">
          <cell r="K2166">
            <v>0</v>
          </cell>
          <cell r="L2166">
            <v>0</v>
          </cell>
          <cell r="N2166">
            <v>0</v>
          </cell>
          <cell r="O2166">
            <v>0</v>
          </cell>
          <cell r="Q2166">
            <v>0</v>
          </cell>
          <cell r="R2166">
            <v>0</v>
          </cell>
          <cell r="T2166">
            <v>0</v>
          </cell>
          <cell r="U2166">
            <v>0</v>
          </cell>
          <cell r="W2166">
            <v>0</v>
          </cell>
          <cell r="X2166">
            <v>0</v>
          </cell>
          <cell r="Z2166">
            <v>0</v>
          </cell>
          <cell r="AA2166">
            <v>0</v>
          </cell>
          <cell r="AC2166">
            <v>0</v>
          </cell>
          <cell r="AD2166">
            <v>0</v>
          </cell>
          <cell r="AF2166">
            <v>0</v>
          </cell>
          <cell r="AG2166">
            <v>0</v>
          </cell>
          <cell r="AI2166">
            <v>0</v>
          </cell>
          <cell r="AJ2166">
            <v>0</v>
          </cell>
          <cell r="AL2166">
            <v>0</v>
          </cell>
          <cell r="AM2166">
            <v>0</v>
          </cell>
          <cell r="AO2166">
            <v>0</v>
          </cell>
          <cell r="AP2166">
            <v>0</v>
          </cell>
          <cell r="AR2166">
            <v>0</v>
          </cell>
          <cell r="AS2166">
            <v>0</v>
          </cell>
          <cell r="BF2166" t="str">
            <v>4660</v>
          </cell>
          <cell r="BG2166" t="str">
            <v>Z000</v>
          </cell>
          <cell r="BH2166" t="str">
            <v>ISA</v>
          </cell>
        </row>
        <row r="2167">
          <cell r="K2167">
            <v>0</v>
          </cell>
          <cell r="L2167">
            <v>0</v>
          </cell>
          <cell r="N2167">
            <v>0</v>
          </cell>
          <cell r="O2167">
            <v>0</v>
          </cell>
          <cell r="Q2167">
            <v>0</v>
          </cell>
          <cell r="R2167">
            <v>0</v>
          </cell>
          <cell r="T2167">
            <v>0</v>
          </cell>
          <cell r="U2167">
            <v>0</v>
          </cell>
          <cell r="W2167">
            <v>0</v>
          </cell>
          <cell r="X2167">
            <v>0</v>
          </cell>
          <cell r="Z2167">
            <v>0</v>
          </cell>
          <cell r="AA2167">
            <v>0</v>
          </cell>
          <cell r="AC2167">
            <v>0</v>
          </cell>
          <cell r="AD2167">
            <v>0</v>
          </cell>
          <cell r="AF2167">
            <v>0</v>
          </cell>
          <cell r="AG2167">
            <v>0</v>
          </cell>
          <cell r="AI2167">
            <v>0</v>
          </cell>
          <cell r="AJ2167">
            <v>0</v>
          </cell>
          <cell r="AL2167">
            <v>0</v>
          </cell>
          <cell r="AM2167">
            <v>0</v>
          </cell>
          <cell r="AO2167">
            <v>0</v>
          </cell>
          <cell r="AP2167">
            <v>0</v>
          </cell>
          <cell r="AR2167">
            <v>0</v>
          </cell>
          <cell r="AS2167">
            <v>0</v>
          </cell>
          <cell r="BF2167" t="str">
            <v>4670</v>
          </cell>
          <cell r="BG2167" t="str">
            <v>Z000</v>
          </cell>
          <cell r="BH2167" t="str">
            <v>ISA</v>
          </cell>
        </row>
        <row r="2168">
          <cell r="K2168">
            <v>0</v>
          </cell>
          <cell r="L2168">
            <v>0</v>
          </cell>
          <cell r="N2168">
            <v>0</v>
          </cell>
          <cell r="O2168">
            <v>0</v>
          </cell>
          <cell r="Q2168">
            <v>0</v>
          </cell>
          <cell r="R2168">
            <v>0</v>
          </cell>
          <cell r="T2168">
            <v>0</v>
          </cell>
          <cell r="U2168">
            <v>0</v>
          </cell>
          <cell r="W2168">
            <v>0</v>
          </cell>
          <cell r="X2168">
            <v>0</v>
          </cell>
          <cell r="Z2168">
            <v>0</v>
          </cell>
          <cell r="AA2168">
            <v>0</v>
          </cell>
          <cell r="AC2168">
            <v>0</v>
          </cell>
          <cell r="AD2168">
            <v>0</v>
          </cell>
          <cell r="AF2168">
            <v>0</v>
          </cell>
          <cell r="AG2168">
            <v>0</v>
          </cell>
          <cell r="AI2168">
            <v>0</v>
          </cell>
          <cell r="AJ2168">
            <v>0</v>
          </cell>
          <cell r="AL2168">
            <v>0</v>
          </cell>
          <cell r="AM2168">
            <v>0</v>
          </cell>
          <cell r="AO2168">
            <v>0</v>
          </cell>
          <cell r="AP2168">
            <v>0</v>
          </cell>
          <cell r="AR2168">
            <v>0</v>
          </cell>
          <cell r="AS2168">
            <v>0</v>
          </cell>
          <cell r="BF2168" t="str">
            <v>4690</v>
          </cell>
          <cell r="BG2168" t="str">
            <v>Z000</v>
          </cell>
          <cell r="BH2168" t="str">
            <v>ISA</v>
          </cell>
        </row>
        <row r="2169">
          <cell r="K2169">
            <v>0</v>
          </cell>
          <cell r="L2169">
            <v>0</v>
          </cell>
          <cell r="N2169">
            <v>0</v>
          </cell>
          <cell r="O2169">
            <v>0</v>
          </cell>
          <cell r="Q2169">
            <v>0</v>
          </cell>
          <cell r="R2169">
            <v>0</v>
          </cell>
          <cell r="T2169">
            <v>0</v>
          </cell>
          <cell r="U2169">
            <v>0</v>
          </cell>
          <cell r="W2169">
            <v>0</v>
          </cell>
          <cell r="X2169">
            <v>0</v>
          </cell>
          <cell r="Z2169">
            <v>0</v>
          </cell>
          <cell r="AA2169">
            <v>0</v>
          </cell>
          <cell r="AC2169">
            <v>0</v>
          </cell>
          <cell r="AD2169">
            <v>0</v>
          </cell>
          <cell r="AF2169">
            <v>0</v>
          </cell>
          <cell r="AG2169">
            <v>0</v>
          </cell>
          <cell r="AI2169">
            <v>0</v>
          </cell>
          <cell r="AJ2169">
            <v>0</v>
          </cell>
          <cell r="AL2169">
            <v>0</v>
          </cell>
          <cell r="AM2169">
            <v>0</v>
          </cell>
          <cell r="AO2169">
            <v>0</v>
          </cell>
          <cell r="AP2169">
            <v>0</v>
          </cell>
          <cell r="AR2169">
            <v>0</v>
          </cell>
          <cell r="AS2169">
            <v>0</v>
          </cell>
          <cell r="BF2169" t="str">
            <v>4700</v>
          </cell>
          <cell r="BG2169" t="str">
            <v>D031</v>
          </cell>
          <cell r="BH2169" t="str">
            <v>ISA</v>
          </cell>
        </row>
        <row r="2170">
          <cell r="K2170">
            <v>0</v>
          </cell>
          <cell r="L2170">
            <v>0</v>
          </cell>
          <cell r="N2170">
            <v>0</v>
          </cell>
          <cell r="O2170">
            <v>0</v>
          </cell>
          <cell r="Q2170">
            <v>0</v>
          </cell>
          <cell r="R2170">
            <v>0</v>
          </cell>
          <cell r="T2170">
            <v>0</v>
          </cell>
          <cell r="U2170">
            <v>0</v>
          </cell>
          <cell r="W2170">
            <v>0</v>
          </cell>
          <cell r="X2170">
            <v>0</v>
          </cell>
          <cell r="Z2170">
            <v>0</v>
          </cell>
          <cell r="AA2170">
            <v>0</v>
          </cell>
          <cell r="AC2170">
            <v>0</v>
          </cell>
          <cell r="AD2170">
            <v>0</v>
          </cell>
          <cell r="AF2170">
            <v>0</v>
          </cell>
          <cell r="AG2170">
            <v>0</v>
          </cell>
          <cell r="AI2170">
            <v>0</v>
          </cell>
          <cell r="AJ2170">
            <v>0</v>
          </cell>
          <cell r="AL2170">
            <v>0</v>
          </cell>
          <cell r="AM2170">
            <v>0</v>
          </cell>
          <cell r="AO2170">
            <v>0</v>
          </cell>
          <cell r="AP2170">
            <v>0</v>
          </cell>
          <cell r="AR2170">
            <v>0</v>
          </cell>
          <cell r="AS2170">
            <v>0</v>
          </cell>
          <cell r="BF2170" t="str">
            <v>4700</v>
          </cell>
          <cell r="BG2170" t="str">
            <v>D032</v>
          </cell>
          <cell r="BH2170" t="str">
            <v>ISA</v>
          </cell>
        </row>
        <row r="2171">
          <cell r="K2171">
            <v>0</v>
          </cell>
          <cell r="L2171">
            <v>0</v>
          </cell>
          <cell r="N2171">
            <v>0</v>
          </cell>
          <cell r="O2171">
            <v>0</v>
          </cell>
          <cell r="Q2171">
            <v>0</v>
          </cell>
          <cell r="R2171">
            <v>0</v>
          </cell>
          <cell r="T2171">
            <v>0</v>
          </cell>
          <cell r="U2171">
            <v>0</v>
          </cell>
          <cell r="W2171">
            <v>0</v>
          </cell>
          <cell r="X2171">
            <v>0</v>
          </cell>
          <cell r="Z2171">
            <v>0</v>
          </cell>
          <cell r="AA2171">
            <v>0</v>
          </cell>
          <cell r="AC2171">
            <v>0</v>
          </cell>
          <cell r="AD2171">
            <v>0</v>
          </cell>
          <cell r="AF2171">
            <v>0</v>
          </cell>
          <cell r="AG2171">
            <v>0</v>
          </cell>
          <cell r="AI2171">
            <v>0</v>
          </cell>
          <cell r="AJ2171">
            <v>0</v>
          </cell>
          <cell r="AL2171">
            <v>0</v>
          </cell>
          <cell r="AM2171">
            <v>0</v>
          </cell>
          <cell r="AO2171">
            <v>0</v>
          </cell>
          <cell r="AP2171">
            <v>0</v>
          </cell>
          <cell r="AR2171">
            <v>0</v>
          </cell>
          <cell r="AS2171">
            <v>0</v>
          </cell>
          <cell r="BF2171" t="str">
            <v>4740</v>
          </cell>
          <cell r="BG2171" t="str">
            <v>D041</v>
          </cell>
          <cell r="BH2171" t="str">
            <v>ISA</v>
          </cell>
        </row>
        <row r="2172">
          <cell r="K2172">
            <v>0</v>
          </cell>
          <cell r="L2172">
            <v>0</v>
          </cell>
          <cell r="N2172">
            <v>0</v>
          </cell>
          <cell r="O2172">
            <v>0</v>
          </cell>
          <cell r="Q2172">
            <v>0</v>
          </cell>
          <cell r="R2172">
            <v>0</v>
          </cell>
          <cell r="T2172">
            <v>0</v>
          </cell>
          <cell r="U2172">
            <v>0</v>
          </cell>
          <cell r="W2172">
            <v>0</v>
          </cell>
          <cell r="X2172">
            <v>0</v>
          </cell>
          <cell r="Z2172">
            <v>0</v>
          </cell>
          <cell r="AA2172">
            <v>0</v>
          </cell>
          <cell r="AC2172">
            <v>0</v>
          </cell>
          <cell r="AD2172">
            <v>0</v>
          </cell>
          <cell r="AF2172">
            <v>0</v>
          </cell>
          <cell r="AG2172">
            <v>0</v>
          </cell>
          <cell r="AI2172">
            <v>0</v>
          </cell>
          <cell r="AJ2172">
            <v>0</v>
          </cell>
          <cell r="AL2172">
            <v>0</v>
          </cell>
          <cell r="AM2172">
            <v>0</v>
          </cell>
          <cell r="AO2172">
            <v>0</v>
          </cell>
          <cell r="AP2172">
            <v>0</v>
          </cell>
          <cell r="AR2172">
            <v>0</v>
          </cell>
          <cell r="AS2172">
            <v>0</v>
          </cell>
          <cell r="BF2172" t="str">
            <v>4740</v>
          </cell>
          <cell r="BG2172" t="str">
            <v>D042</v>
          </cell>
          <cell r="BH2172" t="str">
            <v>ISA</v>
          </cell>
        </row>
        <row r="2173">
          <cell r="K2173">
            <v>0</v>
          </cell>
          <cell r="L2173">
            <v>0</v>
          </cell>
          <cell r="N2173">
            <v>0</v>
          </cell>
          <cell r="O2173">
            <v>0</v>
          </cell>
          <cell r="Q2173">
            <v>0</v>
          </cell>
          <cell r="R2173">
            <v>0</v>
          </cell>
          <cell r="T2173">
            <v>0</v>
          </cell>
          <cell r="U2173">
            <v>0</v>
          </cell>
          <cell r="W2173">
            <v>0</v>
          </cell>
          <cell r="X2173">
            <v>0</v>
          </cell>
          <cell r="Z2173">
            <v>0</v>
          </cell>
          <cell r="AA2173">
            <v>0</v>
          </cell>
          <cell r="AC2173">
            <v>0</v>
          </cell>
          <cell r="AD2173">
            <v>0</v>
          </cell>
          <cell r="AF2173">
            <v>0</v>
          </cell>
          <cell r="AG2173">
            <v>0</v>
          </cell>
          <cell r="AI2173">
            <v>0</v>
          </cell>
          <cell r="AJ2173">
            <v>0</v>
          </cell>
          <cell r="AL2173">
            <v>0</v>
          </cell>
          <cell r="AM2173">
            <v>0</v>
          </cell>
          <cell r="AO2173">
            <v>0</v>
          </cell>
          <cell r="AP2173">
            <v>0</v>
          </cell>
          <cell r="AR2173">
            <v>0</v>
          </cell>
          <cell r="AS2173">
            <v>0</v>
          </cell>
          <cell r="BF2173" t="str">
            <v>4740</v>
          </cell>
          <cell r="BG2173" t="str">
            <v>D043</v>
          </cell>
          <cell r="BH2173" t="str">
            <v>ISA</v>
          </cell>
        </row>
        <row r="2174">
          <cell r="K2174">
            <v>0</v>
          </cell>
          <cell r="L2174">
            <v>0</v>
          </cell>
          <cell r="N2174">
            <v>0</v>
          </cell>
          <cell r="O2174">
            <v>0</v>
          </cell>
          <cell r="Q2174">
            <v>0</v>
          </cell>
          <cell r="R2174">
            <v>0</v>
          </cell>
          <cell r="T2174">
            <v>0</v>
          </cell>
          <cell r="U2174">
            <v>0</v>
          </cell>
          <cell r="W2174">
            <v>0</v>
          </cell>
          <cell r="X2174">
            <v>0</v>
          </cell>
          <cell r="Z2174">
            <v>0</v>
          </cell>
          <cell r="AA2174">
            <v>0</v>
          </cell>
          <cell r="AC2174">
            <v>0</v>
          </cell>
          <cell r="AD2174">
            <v>0</v>
          </cell>
          <cell r="AF2174">
            <v>0</v>
          </cell>
          <cell r="AG2174">
            <v>0</v>
          </cell>
          <cell r="AI2174">
            <v>0</v>
          </cell>
          <cell r="AJ2174">
            <v>0</v>
          </cell>
          <cell r="AL2174">
            <v>0</v>
          </cell>
          <cell r="AM2174">
            <v>0</v>
          </cell>
          <cell r="AO2174">
            <v>0</v>
          </cell>
          <cell r="AP2174">
            <v>0</v>
          </cell>
          <cell r="AR2174">
            <v>0</v>
          </cell>
          <cell r="AS2174">
            <v>0</v>
          </cell>
          <cell r="BF2174" t="str">
            <v>4740</v>
          </cell>
          <cell r="BG2174" t="str">
            <v>D044</v>
          </cell>
          <cell r="BH2174" t="str">
            <v>ISA</v>
          </cell>
        </row>
        <row r="2175">
          <cell r="K2175">
            <v>0</v>
          </cell>
          <cell r="L2175">
            <v>0</v>
          </cell>
          <cell r="N2175">
            <v>0</v>
          </cell>
          <cell r="O2175">
            <v>0</v>
          </cell>
          <cell r="Q2175">
            <v>0</v>
          </cell>
          <cell r="R2175">
            <v>0</v>
          </cell>
          <cell r="T2175">
            <v>0</v>
          </cell>
          <cell r="U2175">
            <v>0</v>
          </cell>
          <cell r="W2175">
            <v>0</v>
          </cell>
          <cell r="X2175">
            <v>0</v>
          </cell>
          <cell r="Z2175">
            <v>0</v>
          </cell>
          <cell r="AA2175">
            <v>0</v>
          </cell>
          <cell r="AC2175">
            <v>0</v>
          </cell>
          <cell r="AD2175">
            <v>0</v>
          </cell>
          <cell r="AF2175">
            <v>0</v>
          </cell>
          <cell r="AG2175">
            <v>0</v>
          </cell>
          <cell r="AI2175">
            <v>0</v>
          </cell>
          <cell r="AJ2175">
            <v>0</v>
          </cell>
          <cell r="AL2175">
            <v>0</v>
          </cell>
          <cell r="AM2175">
            <v>0</v>
          </cell>
          <cell r="AO2175">
            <v>0</v>
          </cell>
          <cell r="AP2175">
            <v>0</v>
          </cell>
          <cell r="AR2175">
            <v>0</v>
          </cell>
          <cell r="AS2175">
            <v>0</v>
          </cell>
          <cell r="BF2175" t="str">
            <v>4740</v>
          </cell>
          <cell r="BG2175" t="str">
            <v>D045</v>
          </cell>
          <cell r="BH2175" t="str">
            <v>ISA</v>
          </cell>
        </row>
        <row r="2176">
          <cell r="K2176">
            <v>0</v>
          </cell>
          <cell r="L2176">
            <v>0</v>
          </cell>
          <cell r="N2176">
            <v>0</v>
          </cell>
          <cell r="O2176">
            <v>0</v>
          </cell>
          <cell r="Q2176">
            <v>0</v>
          </cell>
          <cell r="R2176">
            <v>0</v>
          </cell>
          <cell r="T2176">
            <v>0</v>
          </cell>
          <cell r="U2176">
            <v>0</v>
          </cell>
          <cell r="W2176">
            <v>0</v>
          </cell>
          <cell r="X2176">
            <v>0</v>
          </cell>
          <cell r="Z2176">
            <v>0</v>
          </cell>
          <cell r="AA2176">
            <v>0</v>
          </cell>
          <cell r="AC2176">
            <v>0</v>
          </cell>
          <cell r="AD2176">
            <v>0</v>
          </cell>
          <cell r="AF2176">
            <v>0</v>
          </cell>
          <cell r="AG2176">
            <v>0</v>
          </cell>
          <cell r="AI2176">
            <v>0</v>
          </cell>
          <cell r="AJ2176">
            <v>0</v>
          </cell>
          <cell r="AL2176">
            <v>0</v>
          </cell>
          <cell r="AM2176">
            <v>0</v>
          </cell>
          <cell r="AO2176">
            <v>0</v>
          </cell>
          <cell r="AP2176">
            <v>0</v>
          </cell>
          <cell r="AR2176">
            <v>0</v>
          </cell>
          <cell r="AS2176">
            <v>0</v>
          </cell>
          <cell r="BF2176" t="str">
            <v>4760</v>
          </cell>
          <cell r="BG2176" t="str">
            <v>Z000</v>
          </cell>
          <cell r="BH2176" t="str">
            <v>ISA</v>
          </cell>
        </row>
        <row r="2177">
          <cell r="K2177">
            <v>0</v>
          </cell>
          <cell r="L2177">
            <v>0</v>
          </cell>
          <cell r="N2177">
            <v>0</v>
          </cell>
          <cell r="O2177">
            <v>0</v>
          </cell>
          <cell r="Q2177">
            <v>0</v>
          </cell>
          <cell r="R2177">
            <v>0</v>
          </cell>
          <cell r="T2177">
            <v>0</v>
          </cell>
          <cell r="U2177">
            <v>0</v>
          </cell>
          <cell r="W2177">
            <v>0</v>
          </cell>
          <cell r="X2177">
            <v>0</v>
          </cell>
          <cell r="Z2177">
            <v>0</v>
          </cell>
          <cell r="AA2177">
            <v>0</v>
          </cell>
          <cell r="AC2177">
            <v>0</v>
          </cell>
          <cell r="AD2177">
            <v>0</v>
          </cell>
          <cell r="AF2177">
            <v>0</v>
          </cell>
          <cell r="AG2177">
            <v>0</v>
          </cell>
          <cell r="AI2177">
            <v>0</v>
          </cell>
          <cell r="AJ2177">
            <v>0</v>
          </cell>
          <cell r="AL2177">
            <v>0</v>
          </cell>
          <cell r="AM2177">
            <v>0</v>
          </cell>
          <cell r="AO2177">
            <v>0</v>
          </cell>
          <cell r="AP2177">
            <v>0</v>
          </cell>
          <cell r="AR2177">
            <v>0</v>
          </cell>
          <cell r="AS2177">
            <v>0</v>
          </cell>
          <cell r="BF2177" t="str">
            <v>4800</v>
          </cell>
          <cell r="BG2177" t="str">
            <v>D101</v>
          </cell>
          <cell r="BH2177" t="str">
            <v>ISA</v>
          </cell>
        </row>
        <row r="2178">
          <cell r="K2178">
            <v>0</v>
          </cell>
          <cell r="L2178">
            <v>0</v>
          </cell>
          <cell r="N2178">
            <v>0</v>
          </cell>
          <cell r="O2178">
            <v>0</v>
          </cell>
          <cell r="Q2178">
            <v>0</v>
          </cell>
          <cell r="R2178">
            <v>0</v>
          </cell>
          <cell r="T2178">
            <v>0</v>
          </cell>
          <cell r="U2178">
            <v>0</v>
          </cell>
          <cell r="W2178">
            <v>0</v>
          </cell>
          <cell r="X2178">
            <v>0</v>
          </cell>
          <cell r="Z2178">
            <v>0</v>
          </cell>
          <cell r="AA2178">
            <v>0</v>
          </cell>
          <cell r="AC2178">
            <v>0</v>
          </cell>
          <cell r="AD2178">
            <v>0</v>
          </cell>
          <cell r="AF2178">
            <v>0</v>
          </cell>
          <cell r="AG2178">
            <v>0</v>
          </cell>
          <cell r="AI2178">
            <v>0</v>
          </cell>
          <cell r="AJ2178">
            <v>0</v>
          </cell>
          <cell r="AL2178">
            <v>0</v>
          </cell>
          <cell r="AM2178">
            <v>0</v>
          </cell>
          <cell r="AO2178">
            <v>0</v>
          </cell>
          <cell r="AP2178">
            <v>0</v>
          </cell>
          <cell r="AR2178">
            <v>0</v>
          </cell>
          <cell r="AS2178">
            <v>0</v>
          </cell>
          <cell r="BF2178" t="str">
            <v>4800</v>
          </cell>
          <cell r="BG2178" t="str">
            <v>D102</v>
          </cell>
          <cell r="BH2178" t="str">
            <v>ISA</v>
          </cell>
        </row>
        <row r="2179">
          <cell r="K2179">
            <v>0</v>
          </cell>
          <cell r="L2179">
            <v>0</v>
          </cell>
          <cell r="N2179">
            <v>0</v>
          </cell>
          <cell r="O2179">
            <v>0</v>
          </cell>
          <cell r="Q2179">
            <v>0</v>
          </cell>
          <cell r="R2179">
            <v>0</v>
          </cell>
          <cell r="T2179">
            <v>0</v>
          </cell>
          <cell r="U2179">
            <v>0</v>
          </cell>
          <cell r="W2179">
            <v>0</v>
          </cell>
          <cell r="X2179">
            <v>0</v>
          </cell>
          <cell r="Z2179">
            <v>0</v>
          </cell>
          <cell r="AA2179">
            <v>0</v>
          </cell>
          <cell r="AC2179">
            <v>0</v>
          </cell>
          <cell r="AD2179">
            <v>0</v>
          </cell>
          <cell r="AF2179">
            <v>0</v>
          </cell>
          <cell r="AG2179">
            <v>0</v>
          </cell>
          <cell r="AI2179">
            <v>0</v>
          </cell>
          <cell r="AJ2179">
            <v>0</v>
          </cell>
          <cell r="AL2179">
            <v>0</v>
          </cell>
          <cell r="AM2179">
            <v>0</v>
          </cell>
          <cell r="AO2179">
            <v>0</v>
          </cell>
          <cell r="AP2179">
            <v>0</v>
          </cell>
          <cell r="AR2179">
            <v>0</v>
          </cell>
          <cell r="AS2179">
            <v>0</v>
          </cell>
          <cell r="BF2179" t="str">
            <v>4800</v>
          </cell>
          <cell r="BG2179" t="str">
            <v>D103</v>
          </cell>
          <cell r="BH2179" t="str">
            <v>ISA</v>
          </cell>
        </row>
        <row r="2180">
          <cell r="K2180">
            <v>0</v>
          </cell>
          <cell r="L2180">
            <v>0</v>
          </cell>
          <cell r="N2180">
            <v>0</v>
          </cell>
          <cell r="O2180">
            <v>0</v>
          </cell>
          <cell r="Q2180">
            <v>0</v>
          </cell>
          <cell r="R2180">
            <v>0</v>
          </cell>
          <cell r="T2180">
            <v>0</v>
          </cell>
          <cell r="U2180">
            <v>0</v>
          </cell>
          <cell r="W2180">
            <v>0</v>
          </cell>
          <cell r="X2180">
            <v>0</v>
          </cell>
          <cell r="Z2180">
            <v>0</v>
          </cell>
          <cell r="AA2180">
            <v>0</v>
          </cell>
          <cell r="AC2180">
            <v>0</v>
          </cell>
          <cell r="AD2180">
            <v>0</v>
          </cell>
          <cell r="AF2180">
            <v>0</v>
          </cell>
          <cell r="AG2180">
            <v>0</v>
          </cell>
          <cell r="AI2180">
            <v>0</v>
          </cell>
          <cell r="AJ2180">
            <v>0</v>
          </cell>
          <cell r="AL2180">
            <v>0</v>
          </cell>
          <cell r="AM2180">
            <v>0</v>
          </cell>
          <cell r="AO2180">
            <v>0</v>
          </cell>
          <cell r="AP2180">
            <v>0</v>
          </cell>
          <cell r="AR2180">
            <v>0</v>
          </cell>
          <cell r="AS2180">
            <v>0</v>
          </cell>
          <cell r="BF2180" t="str">
            <v>4800</v>
          </cell>
          <cell r="BG2180">
            <v>0</v>
          </cell>
          <cell r="BH2180" t="str">
            <v>ISA</v>
          </cell>
        </row>
        <row r="2181">
          <cell r="K2181">
            <v>0</v>
          </cell>
          <cell r="L2181">
            <v>0</v>
          </cell>
          <cell r="N2181">
            <v>0</v>
          </cell>
          <cell r="O2181">
            <v>0</v>
          </cell>
          <cell r="Q2181">
            <v>0</v>
          </cell>
          <cell r="R2181">
            <v>0</v>
          </cell>
          <cell r="T2181">
            <v>0</v>
          </cell>
          <cell r="U2181">
            <v>0</v>
          </cell>
          <cell r="W2181">
            <v>0</v>
          </cell>
          <cell r="X2181">
            <v>0</v>
          </cell>
          <cell r="Z2181">
            <v>0</v>
          </cell>
          <cell r="AA2181">
            <v>0</v>
          </cell>
          <cell r="AC2181">
            <v>0</v>
          </cell>
          <cell r="AD2181">
            <v>0</v>
          </cell>
          <cell r="AF2181">
            <v>0</v>
          </cell>
          <cell r="AG2181">
            <v>0</v>
          </cell>
          <cell r="AI2181">
            <v>0</v>
          </cell>
          <cell r="AJ2181">
            <v>0</v>
          </cell>
          <cell r="AL2181">
            <v>0</v>
          </cell>
          <cell r="AM2181">
            <v>0</v>
          </cell>
          <cell r="AO2181">
            <v>0</v>
          </cell>
          <cell r="AP2181">
            <v>0</v>
          </cell>
          <cell r="AR2181">
            <v>0</v>
          </cell>
          <cell r="AS2181">
            <v>0</v>
          </cell>
          <cell r="BF2181" t="str">
            <v>4820</v>
          </cell>
          <cell r="BG2181" t="str">
            <v>Z000</v>
          </cell>
          <cell r="BH2181" t="str">
            <v>ISA</v>
          </cell>
        </row>
        <row r="2182">
          <cell r="K2182">
            <v>0</v>
          </cell>
          <cell r="L2182">
            <v>0</v>
          </cell>
          <cell r="N2182">
            <v>0</v>
          </cell>
          <cell r="O2182">
            <v>0</v>
          </cell>
          <cell r="Q2182">
            <v>0</v>
          </cell>
          <cell r="R2182">
            <v>0</v>
          </cell>
          <cell r="T2182">
            <v>0</v>
          </cell>
          <cell r="U2182">
            <v>0</v>
          </cell>
          <cell r="W2182">
            <v>0</v>
          </cell>
          <cell r="X2182">
            <v>0</v>
          </cell>
          <cell r="Z2182">
            <v>0</v>
          </cell>
          <cell r="AA2182">
            <v>0</v>
          </cell>
          <cell r="AC2182">
            <v>0</v>
          </cell>
          <cell r="AD2182">
            <v>0</v>
          </cell>
          <cell r="AF2182">
            <v>0</v>
          </cell>
          <cell r="AG2182">
            <v>0</v>
          </cell>
          <cell r="AI2182">
            <v>0</v>
          </cell>
          <cell r="AJ2182">
            <v>0</v>
          </cell>
          <cell r="AL2182">
            <v>0</v>
          </cell>
          <cell r="AM2182">
            <v>0</v>
          </cell>
          <cell r="AO2182">
            <v>0</v>
          </cell>
          <cell r="AP2182">
            <v>0</v>
          </cell>
          <cell r="AR2182">
            <v>0</v>
          </cell>
          <cell r="AS2182">
            <v>0</v>
          </cell>
          <cell r="BF2182" t="str">
            <v>4830</v>
          </cell>
          <cell r="BG2182" t="str">
            <v>D111</v>
          </cell>
          <cell r="BH2182" t="str">
            <v>ISA</v>
          </cell>
        </row>
        <row r="2183">
          <cell r="K2183">
            <v>0</v>
          </cell>
          <cell r="L2183">
            <v>0</v>
          </cell>
          <cell r="N2183">
            <v>0</v>
          </cell>
          <cell r="O2183">
            <v>0</v>
          </cell>
          <cell r="Q2183">
            <v>0</v>
          </cell>
          <cell r="R2183">
            <v>0</v>
          </cell>
          <cell r="T2183">
            <v>0</v>
          </cell>
          <cell r="U2183">
            <v>0</v>
          </cell>
          <cell r="W2183">
            <v>0</v>
          </cell>
          <cell r="X2183">
            <v>0</v>
          </cell>
          <cell r="Z2183">
            <v>0</v>
          </cell>
          <cell r="AA2183">
            <v>0</v>
          </cell>
          <cell r="AC2183">
            <v>0</v>
          </cell>
          <cell r="AD2183">
            <v>0</v>
          </cell>
          <cell r="AF2183">
            <v>0</v>
          </cell>
          <cell r="AG2183">
            <v>0</v>
          </cell>
          <cell r="AI2183">
            <v>0</v>
          </cell>
          <cell r="AJ2183">
            <v>0</v>
          </cell>
          <cell r="AL2183">
            <v>0</v>
          </cell>
          <cell r="AM2183">
            <v>0</v>
          </cell>
          <cell r="AO2183">
            <v>0</v>
          </cell>
          <cell r="AP2183">
            <v>0</v>
          </cell>
          <cell r="AR2183">
            <v>0</v>
          </cell>
          <cell r="AS2183">
            <v>0</v>
          </cell>
          <cell r="BF2183" t="str">
            <v>4830</v>
          </cell>
          <cell r="BG2183" t="str">
            <v>D112</v>
          </cell>
          <cell r="BH2183" t="str">
            <v>ISA</v>
          </cell>
        </row>
        <row r="2184">
          <cell r="K2184">
            <v>0</v>
          </cell>
          <cell r="L2184">
            <v>0</v>
          </cell>
          <cell r="N2184">
            <v>0</v>
          </cell>
          <cell r="O2184">
            <v>0</v>
          </cell>
          <cell r="Q2184">
            <v>0</v>
          </cell>
          <cell r="R2184">
            <v>0</v>
          </cell>
          <cell r="T2184">
            <v>0</v>
          </cell>
          <cell r="U2184">
            <v>0</v>
          </cell>
          <cell r="W2184">
            <v>0</v>
          </cell>
          <cell r="X2184">
            <v>0</v>
          </cell>
          <cell r="Z2184">
            <v>0</v>
          </cell>
          <cell r="AA2184">
            <v>0</v>
          </cell>
          <cell r="AC2184">
            <v>0</v>
          </cell>
          <cell r="AD2184">
            <v>0</v>
          </cell>
          <cell r="AF2184">
            <v>0</v>
          </cell>
          <cell r="AG2184">
            <v>0</v>
          </cell>
          <cell r="AI2184">
            <v>0</v>
          </cell>
          <cell r="AJ2184">
            <v>0</v>
          </cell>
          <cell r="AL2184">
            <v>0</v>
          </cell>
          <cell r="AM2184">
            <v>0</v>
          </cell>
          <cell r="AO2184">
            <v>0</v>
          </cell>
          <cell r="AP2184">
            <v>0</v>
          </cell>
          <cell r="AR2184">
            <v>0</v>
          </cell>
          <cell r="AS2184">
            <v>0</v>
          </cell>
          <cell r="BF2184" t="str">
            <v>4840</v>
          </cell>
          <cell r="BG2184" t="str">
            <v>Z000</v>
          </cell>
          <cell r="BH2184" t="str">
            <v>ISA</v>
          </cell>
        </row>
        <row r="2185">
          <cell r="K2185">
            <v>0</v>
          </cell>
          <cell r="L2185">
            <v>0</v>
          </cell>
          <cell r="N2185">
            <v>0</v>
          </cell>
          <cell r="O2185">
            <v>0</v>
          </cell>
          <cell r="Q2185">
            <v>0</v>
          </cell>
          <cell r="R2185">
            <v>0</v>
          </cell>
          <cell r="T2185">
            <v>0</v>
          </cell>
          <cell r="U2185">
            <v>0</v>
          </cell>
          <cell r="W2185">
            <v>0</v>
          </cell>
          <cell r="X2185">
            <v>0</v>
          </cell>
          <cell r="Z2185">
            <v>0</v>
          </cell>
          <cell r="AA2185">
            <v>0</v>
          </cell>
          <cell r="AC2185">
            <v>0</v>
          </cell>
          <cell r="AD2185">
            <v>0</v>
          </cell>
          <cell r="AF2185">
            <v>0</v>
          </cell>
          <cell r="AG2185">
            <v>0</v>
          </cell>
          <cell r="AI2185">
            <v>0</v>
          </cell>
          <cell r="AJ2185">
            <v>0</v>
          </cell>
          <cell r="AL2185">
            <v>0</v>
          </cell>
          <cell r="AM2185">
            <v>0</v>
          </cell>
          <cell r="AO2185">
            <v>0</v>
          </cell>
          <cell r="AP2185">
            <v>0</v>
          </cell>
          <cell r="AR2185">
            <v>0</v>
          </cell>
          <cell r="AS2185">
            <v>0</v>
          </cell>
          <cell r="BF2185" t="str">
            <v>4870</v>
          </cell>
          <cell r="BG2185" t="str">
            <v>Z000</v>
          </cell>
          <cell r="BH2185" t="str">
            <v>ISA</v>
          </cell>
        </row>
        <row r="2186">
          <cell r="K2186">
            <v>0</v>
          </cell>
          <cell r="L2186">
            <v>0</v>
          </cell>
          <cell r="N2186">
            <v>0</v>
          </cell>
          <cell r="O2186">
            <v>0</v>
          </cell>
          <cell r="Q2186">
            <v>0</v>
          </cell>
          <cell r="R2186">
            <v>0</v>
          </cell>
          <cell r="T2186">
            <v>0</v>
          </cell>
          <cell r="U2186">
            <v>0</v>
          </cell>
          <cell r="W2186">
            <v>0</v>
          </cell>
          <cell r="X2186">
            <v>0</v>
          </cell>
          <cell r="Z2186">
            <v>0</v>
          </cell>
          <cell r="AA2186">
            <v>0</v>
          </cell>
          <cell r="AC2186">
            <v>0</v>
          </cell>
          <cell r="AD2186">
            <v>0</v>
          </cell>
          <cell r="AF2186">
            <v>0</v>
          </cell>
          <cell r="AG2186">
            <v>0</v>
          </cell>
          <cell r="AI2186">
            <v>0</v>
          </cell>
          <cell r="AJ2186">
            <v>0</v>
          </cell>
          <cell r="AL2186">
            <v>0</v>
          </cell>
          <cell r="AM2186">
            <v>0</v>
          </cell>
          <cell r="AO2186">
            <v>0</v>
          </cell>
          <cell r="AP2186">
            <v>0</v>
          </cell>
          <cell r="AR2186">
            <v>0</v>
          </cell>
          <cell r="AS2186">
            <v>0</v>
          </cell>
          <cell r="BF2186" t="str">
            <v>4880</v>
          </cell>
          <cell r="BG2186" t="str">
            <v>Z000</v>
          </cell>
          <cell r="BH2186" t="str">
            <v>ISA</v>
          </cell>
        </row>
        <row r="2187">
          <cell r="K2187">
            <v>0</v>
          </cell>
          <cell r="L2187">
            <v>0</v>
          </cell>
          <cell r="N2187">
            <v>0</v>
          </cell>
          <cell r="O2187">
            <v>0</v>
          </cell>
          <cell r="Q2187">
            <v>0</v>
          </cell>
          <cell r="R2187">
            <v>0</v>
          </cell>
          <cell r="T2187">
            <v>0</v>
          </cell>
          <cell r="U2187">
            <v>0</v>
          </cell>
          <cell r="W2187">
            <v>0</v>
          </cell>
          <cell r="X2187">
            <v>0</v>
          </cell>
          <cell r="Z2187">
            <v>0</v>
          </cell>
          <cell r="AA2187">
            <v>0</v>
          </cell>
          <cell r="AC2187">
            <v>0</v>
          </cell>
          <cell r="AD2187">
            <v>0</v>
          </cell>
          <cell r="AF2187">
            <v>0</v>
          </cell>
          <cell r="AG2187">
            <v>0</v>
          </cell>
          <cell r="AI2187">
            <v>0</v>
          </cell>
          <cell r="AJ2187">
            <v>0</v>
          </cell>
          <cell r="AL2187">
            <v>0</v>
          </cell>
          <cell r="AM2187">
            <v>0</v>
          </cell>
          <cell r="AO2187">
            <v>0</v>
          </cell>
          <cell r="AP2187">
            <v>0</v>
          </cell>
          <cell r="AR2187">
            <v>0</v>
          </cell>
          <cell r="AS2187">
            <v>0</v>
          </cell>
          <cell r="BF2187" t="str">
            <v>4890</v>
          </cell>
          <cell r="BG2187" t="str">
            <v>Z000</v>
          </cell>
          <cell r="BH2187" t="str">
            <v>ISA</v>
          </cell>
        </row>
        <row r="2188">
          <cell r="K2188">
            <v>0</v>
          </cell>
          <cell r="L2188">
            <v>0</v>
          </cell>
          <cell r="N2188">
            <v>0</v>
          </cell>
          <cell r="O2188">
            <v>0</v>
          </cell>
          <cell r="Q2188">
            <v>0</v>
          </cell>
          <cell r="R2188">
            <v>0</v>
          </cell>
          <cell r="T2188">
            <v>0</v>
          </cell>
          <cell r="U2188">
            <v>0</v>
          </cell>
          <cell r="W2188">
            <v>0</v>
          </cell>
          <cell r="X2188">
            <v>0</v>
          </cell>
          <cell r="Z2188">
            <v>0</v>
          </cell>
          <cell r="AA2188">
            <v>0</v>
          </cell>
          <cell r="AC2188">
            <v>0</v>
          </cell>
          <cell r="AD2188">
            <v>0</v>
          </cell>
          <cell r="AF2188">
            <v>0</v>
          </cell>
          <cell r="AG2188">
            <v>0</v>
          </cell>
          <cell r="AI2188">
            <v>0</v>
          </cell>
          <cell r="AJ2188">
            <v>0</v>
          </cell>
          <cell r="AL2188">
            <v>0</v>
          </cell>
          <cell r="AM2188">
            <v>0</v>
          </cell>
          <cell r="AO2188">
            <v>0</v>
          </cell>
          <cell r="AP2188">
            <v>0</v>
          </cell>
          <cell r="AR2188">
            <v>0</v>
          </cell>
          <cell r="AS2188">
            <v>0</v>
          </cell>
          <cell r="BF2188" t="str">
            <v>4900</v>
          </cell>
          <cell r="BG2188" t="str">
            <v>Z000</v>
          </cell>
          <cell r="BH2188" t="str">
            <v>ISA</v>
          </cell>
        </row>
        <row r="2189">
          <cell r="K2189">
            <v>0</v>
          </cell>
          <cell r="L2189">
            <v>0</v>
          </cell>
          <cell r="N2189">
            <v>0</v>
          </cell>
          <cell r="O2189">
            <v>0</v>
          </cell>
          <cell r="Q2189">
            <v>0</v>
          </cell>
          <cell r="R2189">
            <v>0</v>
          </cell>
          <cell r="T2189">
            <v>0</v>
          </cell>
          <cell r="U2189">
            <v>0</v>
          </cell>
          <cell r="W2189">
            <v>0</v>
          </cell>
          <cell r="X2189">
            <v>0</v>
          </cell>
          <cell r="Z2189">
            <v>0</v>
          </cell>
          <cell r="AA2189">
            <v>0</v>
          </cell>
          <cell r="AC2189">
            <v>0</v>
          </cell>
          <cell r="AD2189">
            <v>0</v>
          </cell>
          <cell r="AF2189">
            <v>0</v>
          </cell>
          <cell r="AG2189">
            <v>0</v>
          </cell>
          <cell r="AI2189">
            <v>0</v>
          </cell>
          <cell r="AJ2189">
            <v>0</v>
          </cell>
          <cell r="AL2189">
            <v>0</v>
          </cell>
          <cell r="AM2189">
            <v>0</v>
          </cell>
          <cell r="AO2189">
            <v>0</v>
          </cell>
          <cell r="AP2189">
            <v>0</v>
          </cell>
          <cell r="AR2189">
            <v>0</v>
          </cell>
          <cell r="AS2189">
            <v>0</v>
          </cell>
          <cell r="BF2189" t="str">
            <v>4910</v>
          </cell>
          <cell r="BG2189" t="str">
            <v>Z000</v>
          </cell>
          <cell r="BH2189" t="str">
            <v>ISA</v>
          </cell>
        </row>
        <row r="2190">
          <cell r="K2190">
            <v>0</v>
          </cell>
          <cell r="L2190">
            <v>0</v>
          </cell>
          <cell r="N2190">
            <v>0</v>
          </cell>
          <cell r="O2190">
            <v>0</v>
          </cell>
          <cell r="Q2190">
            <v>0</v>
          </cell>
          <cell r="R2190">
            <v>0</v>
          </cell>
          <cell r="T2190">
            <v>0</v>
          </cell>
          <cell r="U2190">
            <v>0</v>
          </cell>
          <cell r="W2190">
            <v>0</v>
          </cell>
          <cell r="X2190">
            <v>0</v>
          </cell>
          <cell r="Z2190">
            <v>0</v>
          </cell>
          <cell r="AA2190">
            <v>0</v>
          </cell>
          <cell r="AC2190">
            <v>0</v>
          </cell>
          <cell r="AD2190">
            <v>0</v>
          </cell>
          <cell r="AF2190">
            <v>0</v>
          </cell>
          <cell r="AG2190">
            <v>0</v>
          </cell>
          <cell r="AI2190">
            <v>0</v>
          </cell>
          <cell r="AJ2190">
            <v>0</v>
          </cell>
          <cell r="AL2190">
            <v>0</v>
          </cell>
          <cell r="AM2190">
            <v>0</v>
          </cell>
          <cell r="AO2190">
            <v>0</v>
          </cell>
          <cell r="AP2190">
            <v>0</v>
          </cell>
          <cell r="AR2190">
            <v>0</v>
          </cell>
          <cell r="AS2190">
            <v>0</v>
          </cell>
          <cell r="BF2190" t="str">
            <v>4940</v>
          </cell>
          <cell r="BG2190" t="str">
            <v>Z000</v>
          </cell>
          <cell r="BH2190" t="str">
            <v>ISA</v>
          </cell>
        </row>
        <row r="2191">
          <cell r="K2191">
            <v>0</v>
          </cell>
          <cell r="L2191">
            <v>0</v>
          </cell>
          <cell r="N2191">
            <v>0</v>
          </cell>
          <cell r="O2191">
            <v>0</v>
          </cell>
          <cell r="Q2191">
            <v>0</v>
          </cell>
          <cell r="R2191">
            <v>0</v>
          </cell>
          <cell r="T2191">
            <v>0</v>
          </cell>
          <cell r="U2191">
            <v>0</v>
          </cell>
          <cell r="W2191">
            <v>0</v>
          </cell>
          <cell r="X2191">
            <v>0</v>
          </cell>
          <cell r="Z2191">
            <v>0</v>
          </cell>
          <cell r="AA2191">
            <v>0</v>
          </cell>
          <cell r="AC2191">
            <v>0</v>
          </cell>
          <cell r="AD2191">
            <v>0</v>
          </cell>
          <cell r="AF2191">
            <v>0</v>
          </cell>
          <cell r="AG2191">
            <v>0</v>
          </cell>
          <cell r="AI2191">
            <v>0</v>
          </cell>
          <cell r="AJ2191">
            <v>0</v>
          </cell>
          <cell r="AL2191">
            <v>0</v>
          </cell>
          <cell r="AM2191">
            <v>0</v>
          </cell>
          <cell r="AO2191">
            <v>0</v>
          </cell>
          <cell r="AP2191">
            <v>0</v>
          </cell>
          <cell r="AR2191">
            <v>0</v>
          </cell>
          <cell r="AS2191">
            <v>0</v>
          </cell>
          <cell r="BF2191" t="str">
            <v>4941</v>
          </cell>
          <cell r="BG2191" t="str">
            <v>Z000</v>
          </cell>
          <cell r="BH2191" t="str">
            <v>ISA</v>
          </cell>
        </row>
        <row r="2192">
          <cell r="K2192">
            <v>0</v>
          </cell>
          <cell r="L2192">
            <v>0</v>
          </cell>
          <cell r="N2192">
            <v>0</v>
          </cell>
          <cell r="O2192">
            <v>0</v>
          </cell>
          <cell r="Q2192">
            <v>0</v>
          </cell>
          <cell r="R2192">
            <v>0</v>
          </cell>
          <cell r="T2192">
            <v>0</v>
          </cell>
          <cell r="U2192">
            <v>0</v>
          </cell>
          <cell r="W2192">
            <v>0</v>
          </cell>
          <cell r="X2192">
            <v>0</v>
          </cell>
          <cell r="Z2192">
            <v>0</v>
          </cell>
          <cell r="AA2192">
            <v>0</v>
          </cell>
          <cell r="AC2192">
            <v>0</v>
          </cell>
          <cell r="AD2192">
            <v>0</v>
          </cell>
          <cell r="AF2192">
            <v>0</v>
          </cell>
          <cell r="AG2192">
            <v>0</v>
          </cell>
          <cell r="AI2192">
            <v>0</v>
          </cell>
          <cell r="AJ2192">
            <v>0</v>
          </cell>
          <cell r="AL2192">
            <v>0</v>
          </cell>
          <cell r="AM2192">
            <v>0</v>
          </cell>
          <cell r="AO2192">
            <v>0</v>
          </cell>
          <cell r="AP2192">
            <v>0</v>
          </cell>
          <cell r="AR2192">
            <v>0</v>
          </cell>
          <cell r="AS2192">
            <v>0</v>
          </cell>
          <cell r="BF2192" t="str">
            <v>4942</v>
          </cell>
          <cell r="BG2192" t="str">
            <v>Z000</v>
          </cell>
          <cell r="BH2192" t="str">
            <v>ISA</v>
          </cell>
        </row>
        <row r="2193">
          <cell r="K2193">
            <v>0</v>
          </cell>
          <cell r="L2193">
            <v>0</v>
          </cell>
          <cell r="N2193">
            <v>0</v>
          </cell>
          <cell r="O2193">
            <v>0</v>
          </cell>
          <cell r="Q2193">
            <v>0</v>
          </cell>
          <cell r="R2193">
            <v>0</v>
          </cell>
          <cell r="T2193">
            <v>0</v>
          </cell>
          <cell r="U2193">
            <v>0</v>
          </cell>
          <cell r="W2193">
            <v>0</v>
          </cell>
          <cell r="X2193">
            <v>0</v>
          </cell>
          <cell r="Z2193">
            <v>0</v>
          </cell>
          <cell r="AA2193">
            <v>0</v>
          </cell>
          <cell r="AC2193">
            <v>0</v>
          </cell>
          <cell r="AD2193">
            <v>0</v>
          </cell>
          <cell r="AF2193">
            <v>0</v>
          </cell>
          <cell r="AG2193">
            <v>0</v>
          </cell>
          <cell r="AI2193">
            <v>0</v>
          </cell>
          <cell r="AJ2193">
            <v>0</v>
          </cell>
          <cell r="AL2193">
            <v>0</v>
          </cell>
          <cell r="AM2193">
            <v>0</v>
          </cell>
          <cell r="AO2193">
            <v>0</v>
          </cell>
          <cell r="AP2193">
            <v>0</v>
          </cell>
          <cell r="AR2193">
            <v>0</v>
          </cell>
          <cell r="AS2193">
            <v>0</v>
          </cell>
          <cell r="BF2193" t="str">
            <v>4950</v>
          </cell>
          <cell r="BG2193" t="str">
            <v>Z000</v>
          </cell>
          <cell r="BH2193" t="str">
            <v>ISA</v>
          </cell>
        </row>
        <row r="2194">
          <cell r="K2194">
            <v>0</v>
          </cell>
          <cell r="L2194">
            <v>0</v>
          </cell>
          <cell r="N2194">
            <v>0</v>
          </cell>
          <cell r="O2194">
            <v>0</v>
          </cell>
          <cell r="Q2194">
            <v>0</v>
          </cell>
          <cell r="R2194">
            <v>0</v>
          </cell>
          <cell r="T2194">
            <v>0</v>
          </cell>
          <cell r="U2194">
            <v>0</v>
          </cell>
          <cell r="W2194">
            <v>0</v>
          </cell>
          <cell r="X2194">
            <v>0</v>
          </cell>
          <cell r="Z2194">
            <v>0</v>
          </cell>
          <cell r="AA2194">
            <v>0</v>
          </cell>
          <cell r="AC2194">
            <v>0</v>
          </cell>
          <cell r="AD2194">
            <v>0</v>
          </cell>
          <cell r="AF2194">
            <v>0</v>
          </cell>
          <cell r="AG2194">
            <v>0</v>
          </cell>
          <cell r="AI2194">
            <v>0</v>
          </cell>
          <cell r="AJ2194">
            <v>0</v>
          </cell>
          <cell r="AL2194">
            <v>0</v>
          </cell>
          <cell r="AM2194">
            <v>0</v>
          </cell>
          <cell r="AO2194">
            <v>0</v>
          </cell>
          <cell r="AP2194">
            <v>0</v>
          </cell>
          <cell r="AR2194">
            <v>0</v>
          </cell>
          <cell r="AS2194">
            <v>0</v>
          </cell>
          <cell r="BF2194" t="str">
            <v>5100</v>
          </cell>
          <cell r="BG2194" t="str">
            <v>E001</v>
          </cell>
          <cell r="BH2194" t="str">
            <v>ISA</v>
          </cell>
        </row>
        <row r="2195">
          <cell r="K2195">
            <v>0</v>
          </cell>
          <cell r="L2195">
            <v>0</v>
          </cell>
          <cell r="N2195">
            <v>0</v>
          </cell>
          <cell r="O2195">
            <v>0</v>
          </cell>
          <cell r="Q2195">
            <v>0</v>
          </cell>
          <cell r="R2195">
            <v>0</v>
          </cell>
          <cell r="T2195">
            <v>0</v>
          </cell>
          <cell r="U2195">
            <v>0</v>
          </cell>
          <cell r="W2195">
            <v>0</v>
          </cell>
          <cell r="X2195">
            <v>0</v>
          </cell>
          <cell r="Z2195">
            <v>0</v>
          </cell>
          <cell r="AA2195">
            <v>0</v>
          </cell>
          <cell r="AC2195">
            <v>0</v>
          </cell>
          <cell r="AD2195">
            <v>0</v>
          </cell>
          <cell r="AF2195">
            <v>0</v>
          </cell>
          <cell r="AG2195">
            <v>0</v>
          </cell>
          <cell r="AI2195">
            <v>0</v>
          </cell>
          <cell r="AJ2195">
            <v>0</v>
          </cell>
          <cell r="AL2195">
            <v>0</v>
          </cell>
          <cell r="AM2195">
            <v>0</v>
          </cell>
          <cell r="AO2195">
            <v>0</v>
          </cell>
          <cell r="AP2195">
            <v>0</v>
          </cell>
          <cell r="AR2195">
            <v>0</v>
          </cell>
          <cell r="AS2195">
            <v>0</v>
          </cell>
          <cell r="BF2195" t="str">
            <v>5100</v>
          </cell>
          <cell r="BG2195" t="str">
            <v>E002</v>
          </cell>
          <cell r="BH2195" t="str">
            <v>ISA</v>
          </cell>
        </row>
        <row r="2196">
          <cell r="K2196">
            <v>0</v>
          </cell>
          <cell r="L2196">
            <v>0</v>
          </cell>
          <cell r="N2196">
            <v>0</v>
          </cell>
          <cell r="O2196">
            <v>0</v>
          </cell>
          <cell r="Q2196">
            <v>0</v>
          </cell>
          <cell r="R2196">
            <v>0</v>
          </cell>
          <cell r="T2196">
            <v>0</v>
          </cell>
          <cell r="U2196">
            <v>0</v>
          </cell>
          <cell r="W2196">
            <v>0</v>
          </cell>
          <cell r="X2196">
            <v>0</v>
          </cell>
          <cell r="Z2196">
            <v>0</v>
          </cell>
          <cell r="AA2196">
            <v>0</v>
          </cell>
          <cell r="AC2196">
            <v>0</v>
          </cell>
          <cell r="AD2196">
            <v>0</v>
          </cell>
          <cell r="AF2196">
            <v>0</v>
          </cell>
          <cell r="AG2196">
            <v>0</v>
          </cell>
          <cell r="AI2196">
            <v>0</v>
          </cell>
          <cell r="AJ2196">
            <v>0</v>
          </cell>
          <cell r="AL2196">
            <v>0</v>
          </cell>
          <cell r="AM2196">
            <v>0</v>
          </cell>
          <cell r="AO2196">
            <v>0</v>
          </cell>
          <cell r="AP2196">
            <v>0</v>
          </cell>
          <cell r="AR2196">
            <v>0</v>
          </cell>
          <cell r="AS2196">
            <v>0</v>
          </cell>
          <cell r="BF2196" t="str">
            <v>5200</v>
          </cell>
          <cell r="BG2196" t="str">
            <v>Z000</v>
          </cell>
          <cell r="BH2196" t="str">
            <v>ISA</v>
          </cell>
        </row>
        <row r="2197">
          <cell r="K2197">
            <v>0</v>
          </cell>
          <cell r="L2197">
            <v>0</v>
          </cell>
          <cell r="N2197">
            <v>0</v>
          </cell>
          <cell r="O2197">
            <v>0</v>
          </cell>
          <cell r="Q2197">
            <v>0</v>
          </cell>
          <cell r="R2197">
            <v>0</v>
          </cell>
          <cell r="T2197">
            <v>0</v>
          </cell>
          <cell r="U2197">
            <v>0</v>
          </cell>
          <cell r="W2197">
            <v>0</v>
          </cell>
          <cell r="X2197">
            <v>0</v>
          </cell>
          <cell r="Z2197">
            <v>0</v>
          </cell>
          <cell r="AA2197">
            <v>0</v>
          </cell>
          <cell r="AC2197">
            <v>0</v>
          </cell>
          <cell r="AD2197">
            <v>0</v>
          </cell>
          <cell r="AF2197">
            <v>0</v>
          </cell>
          <cell r="AG2197">
            <v>0</v>
          </cell>
          <cell r="AI2197">
            <v>0</v>
          </cell>
          <cell r="AJ2197">
            <v>0</v>
          </cell>
          <cell r="AL2197">
            <v>0</v>
          </cell>
          <cell r="AM2197">
            <v>0</v>
          </cell>
          <cell r="AO2197">
            <v>0</v>
          </cell>
          <cell r="AP2197">
            <v>0</v>
          </cell>
          <cell r="AR2197">
            <v>0</v>
          </cell>
          <cell r="AS2197">
            <v>0</v>
          </cell>
          <cell r="BF2197" t="str">
            <v>5400</v>
          </cell>
          <cell r="BG2197" t="str">
            <v>F001</v>
          </cell>
          <cell r="BH2197" t="str">
            <v>ISA</v>
          </cell>
        </row>
        <row r="2198">
          <cell r="K2198">
            <v>0</v>
          </cell>
          <cell r="L2198">
            <v>0</v>
          </cell>
          <cell r="N2198">
            <v>0</v>
          </cell>
          <cell r="O2198">
            <v>0</v>
          </cell>
          <cell r="Q2198">
            <v>0</v>
          </cell>
          <cell r="R2198">
            <v>0</v>
          </cell>
          <cell r="T2198">
            <v>0</v>
          </cell>
          <cell r="U2198">
            <v>0</v>
          </cell>
          <cell r="W2198">
            <v>0</v>
          </cell>
          <cell r="X2198">
            <v>0</v>
          </cell>
          <cell r="Z2198">
            <v>0</v>
          </cell>
          <cell r="AA2198">
            <v>0</v>
          </cell>
          <cell r="AC2198">
            <v>0</v>
          </cell>
          <cell r="AD2198">
            <v>0</v>
          </cell>
          <cell r="AF2198">
            <v>0</v>
          </cell>
          <cell r="AG2198">
            <v>0</v>
          </cell>
          <cell r="AI2198">
            <v>0</v>
          </cell>
          <cell r="AJ2198">
            <v>0</v>
          </cell>
          <cell r="AL2198">
            <v>0</v>
          </cell>
          <cell r="AM2198">
            <v>0</v>
          </cell>
          <cell r="AO2198">
            <v>0</v>
          </cell>
          <cell r="AP2198">
            <v>0</v>
          </cell>
          <cell r="AR2198">
            <v>0</v>
          </cell>
          <cell r="AS2198">
            <v>0</v>
          </cell>
          <cell r="BF2198" t="str">
            <v>5400</v>
          </cell>
          <cell r="BG2198" t="str">
            <v>F002</v>
          </cell>
          <cell r="BH2198" t="str">
            <v>ISA</v>
          </cell>
        </row>
        <row r="2199">
          <cell r="K2199">
            <v>0</v>
          </cell>
          <cell r="L2199">
            <v>0</v>
          </cell>
          <cell r="N2199">
            <v>0</v>
          </cell>
          <cell r="O2199">
            <v>0</v>
          </cell>
          <cell r="Q2199">
            <v>0</v>
          </cell>
          <cell r="R2199">
            <v>0</v>
          </cell>
          <cell r="T2199">
            <v>0</v>
          </cell>
          <cell r="U2199">
            <v>0</v>
          </cell>
          <cell r="W2199">
            <v>0</v>
          </cell>
          <cell r="X2199">
            <v>0</v>
          </cell>
          <cell r="Z2199">
            <v>0</v>
          </cell>
          <cell r="AA2199">
            <v>0</v>
          </cell>
          <cell r="AC2199">
            <v>0</v>
          </cell>
          <cell r="AD2199">
            <v>0</v>
          </cell>
          <cell r="AF2199">
            <v>0</v>
          </cell>
          <cell r="AG2199">
            <v>0</v>
          </cell>
          <cell r="AI2199">
            <v>0</v>
          </cell>
          <cell r="AJ2199">
            <v>0</v>
          </cell>
          <cell r="AL2199">
            <v>0</v>
          </cell>
          <cell r="AM2199">
            <v>0</v>
          </cell>
          <cell r="AO2199">
            <v>0</v>
          </cell>
          <cell r="AP2199">
            <v>0</v>
          </cell>
          <cell r="AR2199">
            <v>0</v>
          </cell>
          <cell r="AS2199">
            <v>0</v>
          </cell>
          <cell r="BF2199" t="str">
            <v>5400</v>
          </cell>
          <cell r="BG2199" t="str">
            <v>F003</v>
          </cell>
          <cell r="BH2199" t="str">
            <v>ISA</v>
          </cell>
        </row>
        <row r="2200">
          <cell r="K2200">
            <v>0</v>
          </cell>
          <cell r="L2200">
            <v>0</v>
          </cell>
          <cell r="N2200">
            <v>0</v>
          </cell>
          <cell r="O2200">
            <v>0</v>
          </cell>
          <cell r="Q2200">
            <v>0</v>
          </cell>
          <cell r="R2200">
            <v>0</v>
          </cell>
          <cell r="T2200">
            <v>0</v>
          </cell>
          <cell r="U2200">
            <v>0</v>
          </cell>
          <cell r="W2200">
            <v>0</v>
          </cell>
          <cell r="X2200">
            <v>0</v>
          </cell>
          <cell r="Z2200">
            <v>0</v>
          </cell>
          <cell r="AA2200">
            <v>0</v>
          </cell>
          <cell r="AC2200">
            <v>0</v>
          </cell>
          <cell r="AD2200">
            <v>0</v>
          </cell>
          <cell r="AF2200">
            <v>0</v>
          </cell>
          <cell r="AG2200">
            <v>0</v>
          </cell>
          <cell r="AI2200">
            <v>0</v>
          </cell>
          <cell r="AJ2200">
            <v>0</v>
          </cell>
          <cell r="AL2200">
            <v>0</v>
          </cell>
          <cell r="AM2200">
            <v>0</v>
          </cell>
          <cell r="AO2200">
            <v>0</v>
          </cell>
          <cell r="AP2200">
            <v>0</v>
          </cell>
          <cell r="AR2200">
            <v>0</v>
          </cell>
          <cell r="AS2200">
            <v>0</v>
          </cell>
          <cell r="BF2200" t="str">
            <v>5400</v>
          </cell>
          <cell r="BG2200" t="str">
            <v>F004</v>
          </cell>
          <cell r="BH2200" t="str">
            <v>ISA</v>
          </cell>
        </row>
        <row r="2201">
          <cell r="K2201">
            <v>0</v>
          </cell>
          <cell r="L2201">
            <v>0</v>
          </cell>
          <cell r="N2201">
            <v>0</v>
          </cell>
          <cell r="O2201">
            <v>0</v>
          </cell>
          <cell r="Q2201">
            <v>0</v>
          </cell>
          <cell r="R2201">
            <v>0</v>
          </cell>
          <cell r="T2201">
            <v>0</v>
          </cell>
          <cell r="U2201">
            <v>0</v>
          </cell>
          <cell r="W2201">
            <v>0</v>
          </cell>
          <cell r="X2201">
            <v>0</v>
          </cell>
          <cell r="Z2201">
            <v>0</v>
          </cell>
          <cell r="AA2201">
            <v>0</v>
          </cell>
          <cell r="AC2201">
            <v>0</v>
          </cell>
          <cell r="AD2201">
            <v>0</v>
          </cell>
          <cell r="AF2201">
            <v>0</v>
          </cell>
          <cell r="AG2201">
            <v>0</v>
          </cell>
          <cell r="AI2201">
            <v>0</v>
          </cell>
          <cell r="AJ2201">
            <v>0</v>
          </cell>
          <cell r="AL2201">
            <v>0</v>
          </cell>
          <cell r="AM2201">
            <v>0</v>
          </cell>
          <cell r="AO2201">
            <v>0</v>
          </cell>
          <cell r="AP2201">
            <v>0</v>
          </cell>
          <cell r="AR2201">
            <v>0</v>
          </cell>
          <cell r="AS2201">
            <v>0</v>
          </cell>
          <cell r="BF2201" t="str">
            <v>5400</v>
          </cell>
          <cell r="BG2201" t="str">
            <v>F005</v>
          </cell>
          <cell r="BH2201" t="str">
            <v>ISA</v>
          </cell>
        </row>
        <row r="2202">
          <cell r="K2202">
            <v>0</v>
          </cell>
          <cell r="L2202">
            <v>0</v>
          </cell>
          <cell r="N2202">
            <v>0</v>
          </cell>
          <cell r="O2202">
            <v>0</v>
          </cell>
          <cell r="Q2202">
            <v>0</v>
          </cell>
          <cell r="R2202">
            <v>0</v>
          </cell>
          <cell r="T2202">
            <v>0</v>
          </cell>
          <cell r="U2202">
            <v>0</v>
          </cell>
          <cell r="W2202">
            <v>0</v>
          </cell>
          <cell r="X2202">
            <v>0</v>
          </cell>
          <cell r="Z2202">
            <v>0</v>
          </cell>
          <cell r="AA2202">
            <v>0</v>
          </cell>
          <cell r="AC2202">
            <v>0</v>
          </cell>
          <cell r="AD2202">
            <v>0</v>
          </cell>
          <cell r="AF2202">
            <v>0</v>
          </cell>
          <cell r="AG2202">
            <v>0</v>
          </cell>
          <cell r="AI2202">
            <v>0</v>
          </cell>
          <cell r="AJ2202">
            <v>0</v>
          </cell>
          <cell r="AL2202">
            <v>0</v>
          </cell>
          <cell r="AM2202">
            <v>0</v>
          </cell>
          <cell r="AO2202">
            <v>0</v>
          </cell>
          <cell r="AP2202">
            <v>0</v>
          </cell>
          <cell r="AR2202">
            <v>0</v>
          </cell>
          <cell r="AS2202">
            <v>0</v>
          </cell>
          <cell r="BF2202" t="str">
            <v>5400</v>
          </cell>
          <cell r="BG2202" t="str">
            <v>F006</v>
          </cell>
          <cell r="BH2202" t="str">
            <v>ISA</v>
          </cell>
        </row>
        <row r="2203">
          <cell r="K2203">
            <v>0</v>
          </cell>
          <cell r="L2203">
            <v>0</v>
          </cell>
          <cell r="N2203">
            <v>0</v>
          </cell>
          <cell r="O2203">
            <v>0</v>
          </cell>
          <cell r="Q2203">
            <v>0</v>
          </cell>
          <cell r="R2203">
            <v>0</v>
          </cell>
          <cell r="T2203">
            <v>0</v>
          </cell>
          <cell r="U2203">
            <v>0</v>
          </cell>
          <cell r="W2203">
            <v>0</v>
          </cell>
          <cell r="X2203">
            <v>0</v>
          </cell>
          <cell r="Z2203">
            <v>0</v>
          </cell>
          <cell r="AA2203">
            <v>0</v>
          </cell>
          <cell r="AC2203">
            <v>0</v>
          </cell>
          <cell r="AD2203">
            <v>0</v>
          </cell>
          <cell r="AF2203">
            <v>0</v>
          </cell>
          <cell r="AG2203">
            <v>0</v>
          </cell>
          <cell r="AI2203">
            <v>0</v>
          </cell>
          <cell r="AJ2203">
            <v>0</v>
          </cell>
          <cell r="AL2203">
            <v>0</v>
          </cell>
          <cell r="AM2203">
            <v>0</v>
          </cell>
          <cell r="AO2203">
            <v>0</v>
          </cell>
          <cell r="AP2203">
            <v>0</v>
          </cell>
          <cell r="AR2203">
            <v>0</v>
          </cell>
          <cell r="AS2203">
            <v>0</v>
          </cell>
          <cell r="BF2203" t="str">
            <v>5400</v>
          </cell>
          <cell r="BG2203" t="str">
            <v>F007</v>
          </cell>
          <cell r="BH2203" t="str">
            <v>ISA</v>
          </cell>
        </row>
        <row r="2204">
          <cell r="K2204">
            <v>0</v>
          </cell>
          <cell r="L2204">
            <v>0</v>
          </cell>
          <cell r="N2204">
            <v>0</v>
          </cell>
          <cell r="O2204">
            <v>0</v>
          </cell>
          <cell r="Q2204">
            <v>0</v>
          </cell>
          <cell r="R2204">
            <v>0</v>
          </cell>
          <cell r="T2204">
            <v>0</v>
          </cell>
          <cell r="U2204">
            <v>0</v>
          </cell>
          <cell r="W2204">
            <v>0</v>
          </cell>
          <cell r="X2204">
            <v>0</v>
          </cell>
          <cell r="Z2204">
            <v>0</v>
          </cell>
          <cell r="AA2204">
            <v>0</v>
          </cell>
          <cell r="AC2204">
            <v>0</v>
          </cell>
          <cell r="AD2204">
            <v>0</v>
          </cell>
          <cell r="AF2204">
            <v>0</v>
          </cell>
          <cell r="AG2204">
            <v>0</v>
          </cell>
          <cell r="AI2204">
            <v>0</v>
          </cell>
          <cell r="AJ2204">
            <v>0</v>
          </cell>
          <cell r="AL2204">
            <v>0</v>
          </cell>
          <cell r="AM2204">
            <v>0</v>
          </cell>
          <cell r="AO2204">
            <v>0</v>
          </cell>
          <cell r="AP2204">
            <v>0</v>
          </cell>
          <cell r="AR2204">
            <v>0</v>
          </cell>
          <cell r="AS2204">
            <v>0</v>
          </cell>
          <cell r="BF2204" t="str">
            <v>5400</v>
          </cell>
          <cell r="BG2204" t="str">
            <v>F008</v>
          </cell>
          <cell r="BH2204" t="str">
            <v>ISA</v>
          </cell>
        </row>
        <row r="2205">
          <cell r="K2205">
            <v>0</v>
          </cell>
          <cell r="L2205">
            <v>0</v>
          </cell>
          <cell r="N2205">
            <v>0</v>
          </cell>
          <cell r="O2205">
            <v>0</v>
          </cell>
          <cell r="Q2205">
            <v>0</v>
          </cell>
          <cell r="R2205">
            <v>0</v>
          </cell>
          <cell r="T2205">
            <v>0</v>
          </cell>
          <cell r="U2205">
            <v>0</v>
          </cell>
          <cell r="W2205">
            <v>0</v>
          </cell>
          <cell r="X2205">
            <v>0</v>
          </cell>
          <cell r="Z2205">
            <v>0</v>
          </cell>
          <cell r="AA2205">
            <v>0</v>
          </cell>
          <cell r="AC2205">
            <v>0</v>
          </cell>
          <cell r="AD2205">
            <v>0</v>
          </cell>
          <cell r="AF2205">
            <v>0</v>
          </cell>
          <cell r="AG2205">
            <v>0</v>
          </cell>
          <cell r="AI2205">
            <v>0</v>
          </cell>
          <cell r="AJ2205">
            <v>0</v>
          </cell>
          <cell r="AL2205">
            <v>0</v>
          </cell>
          <cell r="AM2205">
            <v>0</v>
          </cell>
          <cell r="AO2205">
            <v>0</v>
          </cell>
          <cell r="AP2205">
            <v>0</v>
          </cell>
          <cell r="AR2205">
            <v>0</v>
          </cell>
          <cell r="AS2205">
            <v>0</v>
          </cell>
          <cell r="BF2205" t="str">
            <v>5400</v>
          </cell>
          <cell r="BG2205" t="str">
            <v>F009</v>
          </cell>
          <cell r="BH2205" t="str">
            <v>ISA</v>
          </cell>
        </row>
        <row r="2206">
          <cell r="K2206">
            <v>0</v>
          </cell>
          <cell r="L2206">
            <v>0</v>
          </cell>
          <cell r="N2206">
            <v>0</v>
          </cell>
          <cell r="O2206">
            <v>0</v>
          </cell>
          <cell r="Q2206">
            <v>0</v>
          </cell>
          <cell r="R2206">
            <v>0</v>
          </cell>
          <cell r="T2206">
            <v>0</v>
          </cell>
          <cell r="U2206">
            <v>0</v>
          </cell>
          <cell r="W2206">
            <v>0</v>
          </cell>
          <cell r="X2206">
            <v>0</v>
          </cell>
          <cell r="Z2206">
            <v>0</v>
          </cell>
          <cell r="AA2206">
            <v>0</v>
          </cell>
          <cell r="AC2206">
            <v>0</v>
          </cell>
          <cell r="AD2206">
            <v>0</v>
          </cell>
          <cell r="AF2206">
            <v>0</v>
          </cell>
          <cell r="AG2206">
            <v>0</v>
          </cell>
          <cell r="AI2206">
            <v>0</v>
          </cell>
          <cell r="AJ2206">
            <v>0</v>
          </cell>
          <cell r="AL2206">
            <v>0</v>
          </cell>
          <cell r="AM2206">
            <v>0</v>
          </cell>
          <cell r="AO2206">
            <v>0</v>
          </cell>
          <cell r="AP2206">
            <v>0</v>
          </cell>
          <cell r="AR2206">
            <v>0</v>
          </cell>
          <cell r="AS2206">
            <v>0</v>
          </cell>
          <cell r="BF2206" t="str">
            <v>5400</v>
          </cell>
          <cell r="BG2206" t="str">
            <v>F010</v>
          </cell>
          <cell r="BH2206" t="str">
            <v>ISA</v>
          </cell>
        </row>
        <row r="2207">
          <cell r="K2207">
            <v>0</v>
          </cell>
          <cell r="L2207">
            <v>0</v>
          </cell>
          <cell r="N2207">
            <v>0</v>
          </cell>
          <cell r="O2207">
            <v>0</v>
          </cell>
          <cell r="Q2207">
            <v>0</v>
          </cell>
          <cell r="R2207">
            <v>0</v>
          </cell>
          <cell r="T2207">
            <v>0</v>
          </cell>
          <cell r="U2207">
            <v>0</v>
          </cell>
          <cell r="W2207">
            <v>0</v>
          </cell>
          <cell r="X2207">
            <v>0</v>
          </cell>
          <cell r="Z2207">
            <v>0</v>
          </cell>
          <cell r="AA2207">
            <v>0</v>
          </cell>
          <cell r="AC2207">
            <v>0</v>
          </cell>
          <cell r="AD2207">
            <v>0</v>
          </cell>
          <cell r="AF2207">
            <v>0</v>
          </cell>
          <cell r="AG2207">
            <v>0</v>
          </cell>
          <cell r="AI2207">
            <v>0</v>
          </cell>
          <cell r="AJ2207">
            <v>0</v>
          </cell>
          <cell r="AL2207">
            <v>0</v>
          </cell>
          <cell r="AM2207">
            <v>0</v>
          </cell>
          <cell r="AO2207">
            <v>0</v>
          </cell>
          <cell r="AP2207">
            <v>0</v>
          </cell>
          <cell r="AR2207">
            <v>0</v>
          </cell>
          <cell r="AS2207">
            <v>0</v>
          </cell>
          <cell r="BF2207" t="str">
            <v>5400</v>
          </cell>
          <cell r="BG2207" t="str">
            <v>F011</v>
          </cell>
          <cell r="BH2207" t="str">
            <v>ISA</v>
          </cell>
        </row>
        <row r="2208">
          <cell r="K2208">
            <v>0</v>
          </cell>
          <cell r="L2208">
            <v>0</v>
          </cell>
          <cell r="N2208">
            <v>0</v>
          </cell>
          <cell r="O2208">
            <v>0</v>
          </cell>
          <cell r="Q2208">
            <v>0</v>
          </cell>
          <cell r="R2208">
            <v>0</v>
          </cell>
          <cell r="T2208">
            <v>0</v>
          </cell>
          <cell r="U2208">
            <v>0</v>
          </cell>
          <cell r="W2208">
            <v>0</v>
          </cell>
          <cell r="X2208">
            <v>0</v>
          </cell>
          <cell r="Z2208">
            <v>0</v>
          </cell>
          <cell r="AA2208">
            <v>0</v>
          </cell>
          <cell r="AC2208">
            <v>0</v>
          </cell>
          <cell r="AD2208">
            <v>0</v>
          </cell>
          <cell r="AF2208">
            <v>0</v>
          </cell>
          <cell r="AG2208">
            <v>0</v>
          </cell>
          <cell r="AI2208">
            <v>0</v>
          </cell>
          <cell r="AJ2208">
            <v>0</v>
          </cell>
          <cell r="AL2208">
            <v>0</v>
          </cell>
          <cell r="AM2208">
            <v>0</v>
          </cell>
          <cell r="AO2208">
            <v>0</v>
          </cell>
          <cell r="AP2208">
            <v>0</v>
          </cell>
          <cell r="AR2208">
            <v>0</v>
          </cell>
          <cell r="AS2208">
            <v>0</v>
          </cell>
          <cell r="BF2208" t="str">
            <v>5400</v>
          </cell>
          <cell r="BG2208" t="str">
            <v>F012</v>
          </cell>
          <cell r="BH2208" t="str">
            <v>ISA</v>
          </cell>
        </row>
        <row r="2209">
          <cell r="K2209">
            <v>0</v>
          </cell>
          <cell r="L2209">
            <v>0</v>
          </cell>
          <cell r="N2209">
            <v>0</v>
          </cell>
          <cell r="O2209">
            <v>0</v>
          </cell>
          <cell r="Q2209">
            <v>0</v>
          </cell>
          <cell r="R2209">
            <v>0</v>
          </cell>
          <cell r="T2209">
            <v>0</v>
          </cell>
          <cell r="U2209">
            <v>0</v>
          </cell>
          <cell r="W2209">
            <v>0</v>
          </cell>
          <cell r="X2209">
            <v>0</v>
          </cell>
          <cell r="Z2209">
            <v>0</v>
          </cell>
          <cell r="AA2209">
            <v>0</v>
          </cell>
          <cell r="AC2209">
            <v>0</v>
          </cell>
          <cell r="AD2209">
            <v>0</v>
          </cell>
          <cell r="AF2209">
            <v>0</v>
          </cell>
          <cell r="AG2209">
            <v>0</v>
          </cell>
          <cell r="AI2209">
            <v>0</v>
          </cell>
          <cell r="AJ2209">
            <v>0</v>
          </cell>
          <cell r="AL2209">
            <v>0</v>
          </cell>
          <cell r="AM2209">
            <v>0</v>
          </cell>
          <cell r="AO2209">
            <v>0</v>
          </cell>
          <cell r="AP2209">
            <v>0</v>
          </cell>
          <cell r="AR2209">
            <v>0</v>
          </cell>
          <cell r="AS2209">
            <v>0</v>
          </cell>
          <cell r="BF2209" t="str">
            <v>5400</v>
          </cell>
          <cell r="BG2209" t="str">
            <v>F013</v>
          </cell>
          <cell r="BH2209" t="str">
            <v>ISA</v>
          </cell>
        </row>
        <row r="2210">
          <cell r="K2210">
            <v>0</v>
          </cell>
          <cell r="L2210">
            <v>0</v>
          </cell>
          <cell r="N2210">
            <v>0</v>
          </cell>
          <cell r="O2210">
            <v>0</v>
          </cell>
          <cell r="Q2210">
            <v>0</v>
          </cell>
          <cell r="R2210">
            <v>0</v>
          </cell>
          <cell r="T2210">
            <v>0</v>
          </cell>
          <cell r="U2210">
            <v>0</v>
          </cell>
          <cell r="W2210">
            <v>0</v>
          </cell>
          <cell r="X2210">
            <v>0</v>
          </cell>
          <cell r="Z2210">
            <v>0</v>
          </cell>
          <cell r="AA2210">
            <v>0</v>
          </cell>
          <cell r="AC2210">
            <v>0</v>
          </cell>
          <cell r="AD2210">
            <v>0</v>
          </cell>
          <cell r="AF2210">
            <v>0</v>
          </cell>
          <cell r="AG2210">
            <v>0</v>
          </cell>
          <cell r="AI2210">
            <v>0</v>
          </cell>
          <cell r="AJ2210">
            <v>0</v>
          </cell>
          <cell r="AL2210">
            <v>0</v>
          </cell>
          <cell r="AM2210">
            <v>0</v>
          </cell>
          <cell r="AO2210">
            <v>0</v>
          </cell>
          <cell r="AP2210">
            <v>0</v>
          </cell>
          <cell r="AR2210">
            <v>0</v>
          </cell>
          <cell r="AS2210">
            <v>0</v>
          </cell>
          <cell r="BF2210" t="str">
            <v>5400</v>
          </cell>
          <cell r="BG2210" t="str">
            <v>F014</v>
          </cell>
          <cell r="BH2210" t="str">
            <v>ISA</v>
          </cell>
        </row>
        <row r="2211">
          <cell r="K2211">
            <v>0</v>
          </cell>
          <cell r="L2211">
            <v>0</v>
          </cell>
          <cell r="N2211">
            <v>0</v>
          </cell>
          <cell r="O2211">
            <v>0</v>
          </cell>
          <cell r="Q2211">
            <v>0</v>
          </cell>
          <cell r="R2211">
            <v>0</v>
          </cell>
          <cell r="T2211">
            <v>0</v>
          </cell>
          <cell r="U2211">
            <v>0</v>
          </cell>
          <cell r="W2211">
            <v>0</v>
          </cell>
          <cell r="X2211">
            <v>0</v>
          </cell>
          <cell r="Z2211">
            <v>0</v>
          </cell>
          <cell r="AA2211">
            <v>0</v>
          </cell>
          <cell r="AC2211">
            <v>0</v>
          </cell>
          <cell r="AD2211">
            <v>0</v>
          </cell>
          <cell r="AF2211">
            <v>0</v>
          </cell>
          <cell r="AG2211">
            <v>0</v>
          </cell>
          <cell r="AI2211">
            <v>0</v>
          </cell>
          <cell r="AJ2211">
            <v>0</v>
          </cell>
          <cell r="AL2211">
            <v>0</v>
          </cell>
          <cell r="AM2211">
            <v>0</v>
          </cell>
          <cell r="AO2211">
            <v>0</v>
          </cell>
          <cell r="AP2211">
            <v>0</v>
          </cell>
          <cell r="AR2211">
            <v>0</v>
          </cell>
          <cell r="AS2211">
            <v>0</v>
          </cell>
          <cell r="BF2211" t="str">
            <v>5400</v>
          </cell>
          <cell r="BG2211" t="str">
            <v>F015</v>
          </cell>
          <cell r="BH2211" t="str">
            <v>ISA</v>
          </cell>
        </row>
        <row r="2212">
          <cell r="K2212">
            <v>0</v>
          </cell>
          <cell r="L2212">
            <v>0</v>
          </cell>
          <cell r="N2212">
            <v>0</v>
          </cell>
          <cell r="O2212">
            <v>0</v>
          </cell>
          <cell r="Q2212">
            <v>0</v>
          </cell>
          <cell r="R2212">
            <v>0</v>
          </cell>
          <cell r="T2212">
            <v>0</v>
          </cell>
          <cell r="U2212">
            <v>0</v>
          </cell>
          <cell r="W2212">
            <v>0</v>
          </cell>
          <cell r="X2212">
            <v>0</v>
          </cell>
          <cell r="Z2212">
            <v>0</v>
          </cell>
          <cell r="AA2212">
            <v>0</v>
          </cell>
          <cell r="AC2212">
            <v>0</v>
          </cell>
          <cell r="AD2212">
            <v>0</v>
          </cell>
          <cell r="AF2212">
            <v>0</v>
          </cell>
          <cell r="AG2212">
            <v>0</v>
          </cell>
          <cell r="AI2212">
            <v>0</v>
          </cell>
          <cell r="AJ2212">
            <v>0</v>
          </cell>
          <cell r="AL2212">
            <v>0</v>
          </cell>
          <cell r="AM2212">
            <v>0</v>
          </cell>
          <cell r="AO2212">
            <v>0</v>
          </cell>
          <cell r="AP2212">
            <v>0</v>
          </cell>
          <cell r="AR2212">
            <v>0</v>
          </cell>
          <cell r="AS2212">
            <v>0</v>
          </cell>
          <cell r="BF2212" t="str">
            <v>5400</v>
          </cell>
          <cell r="BG2212" t="str">
            <v>F016</v>
          </cell>
          <cell r="BH2212" t="str">
            <v>ISA</v>
          </cell>
        </row>
        <row r="2213">
          <cell r="K2213">
            <v>0</v>
          </cell>
          <cell r="L2213">
            <v>0</v>
          </cell>
          <cell r="N2213">
            <v>0</v>
          </cell>
          <cell r="O2213">
            <v>0</v>
          </cell>
          <cell r="Q2213">
            <v>0</v>
          </cell>
          <cell r="R2213">
            <v>0</v>
          </cell>
          <cell r="T2213">
            <v>0</v>
          </cell>
          <cell r="U2213">
            <v>0</v>
          </cell>
          <cell r="W2213">
            <v>0</v>
          </cell>
          <cell r="X2213">
            <v>0</v>
          </cell>
          <cell r="Z2213">
            <v>0</v>
          </cell>
          <cell r="AA2213">
            <v>0</v>
          </cell>
          <cell r="AC2213">
            <v>0</v>
          </cell>
          <cell r="AD2213">
            <v>0</v>
          </cell>
          <cell r="AF2213">
            <v>0</v>
          </cell>
          <cell r="AG2213">
            <v>0</v>
          </cell>
          <cell r="AI2213">
            <v>0</v>
          </cell>
          <cell r="AJ2213">
            <v>0</v>
          </cell>
          <cell r="AL2213">
            <v>0</v>
          </cell>
          <cell r="AM2213">
            <v>0</v>
          </cell>
          <cell r="AO2213">
            <v>0</v>
          </cell>
          <cell r="AP2213">
            <v>0</v>
          </cell>
          <cell r="AR2213">
            <v>0</v>
          </cell>
          <cell r="AS2213">
            <v>0</v>
          </cell>
          <cell r="BF2213" t="str">
            <v>5400</v>
          </cell>
          <cell r="BG2213" t="str">
            <v>F017</v>
          </cell>
          <cell r="BH2213" t="str">
            <v>ISA</v>
          </cell>
        </row>
        <row r="2214">
          <cell r="K2214">
            <v>0</v>
          </cell>
          <cell r="L2214">
            <v>0</v>
          </cell>
          <cell r="N2214">
            <v>0</v>
          </cell>
          <cell r="O2214">
            <v>0</v>
          </cell>
          <cell r="Q2214">
            <v>0</v>
          </cell>
          <cell r="R2214">
            <v>0</v>
          </cell>
          <cell r="T2214">
            <v>0</v>
          </cell>
          <cell r="U2214">
            <v>0</v>
          </cell>
          <cell r="W2214">
            <v>0</v>
          </cell>
          <cell r="X2214">
            <v>0</v>
          </cell>
          <cell r="Z2214">
            <v>0</v>
          </cell>
          <cell r="AA2214">
            <v>0</v>
          </cell>
          <cell r="AC2214">
            <v>0</v>
          </cell>
          <cell r="AD2214">
            <v>0</v>
          </cell>
          <cell r="AF2214">
            <v>0</v>
          </cell>
          <cell r="AG2214">
            <v>0</v>
          </cell>
          <cell r="AI2214">
            <v>0</v>
          </cell>
          <cell r="AJ2214">
            <v>0</v>
          </cell>
          <cell r="AL2214">
            <v>0</v>
          </cell>
          <cell r="AM2214">
            <v>0</v>
          </cell>
          <cell r="AO2214">
            <v>0</v>
          </cell>
          <cell r="AP2214">
            <v>0</v>
          </cell>
          <cell r="AR2214">
            <v>0</v>
          </cell>
          <cell r="AS2214">
            <v>0</v>
          </cell>
          <cell r="BF2214" t="str">
            <v>5400</v>
          </cell>
          <cell r="BG2214" t="str">
            <v>F018</v>
          </cell>
          <cell r="BH2214" t="str">
            <v>ISA</v>
          </cell>
        </row>
        <row r="2215">
          <cell r="K2215">
            <v>0</v>
          </cell>
          <cell r="L2215">
            <v>0</v>
          </cell>
          <cell r="N2215">
            <v>0</v>
          </cell>
          <cell r="O2215">
            <v>0</v>
          </cell>
          <cell r="Q2215">
            <v>0</v>
          </cell>
          <cell r="R2215">
            <v>0</v>
          </cell>
          <cell r="T2215">
            <v>0</v>
          </cell>
          <cell r="U2215">
            <v>0</v>
          </cell>
          <cell r="W2215">
            <v>0</v>
          </cell>
          <cell r="X2215">
            <v>0</v>
          </cell>
          <cell r="Z2215">
            <v>0</v>
          </cell>
          <cell r="AA2215">
            <v>0</v>
          </cell>
          <cell r="AC2215">
            <v>0</v>
          </cell>
          <cell r="AD2215">
            <v>0</v>
          </cell>
          <cell r="AF2215">
            <v>0</v>
          </cell>
          <cell r="AG2215">
            <v>0</v>
          </cell>
          <cell r="AI2215">
            <v>0</v>
          </cell>
          <cell r="AJ2215">
            <v>0</v>
          </cell>
          <cell r="AL2215">
            <v>0</v>
          </cell>
          <cell r="AM2215">
            <v>0</v>
          </cell>
          <cell r="AO2215">
            <v>0</v>
          </cell>
          <cell r="AP2215">
            <v>0</v>
          </cell>
          <cell r="AR2215">
            <v>0</v>
          </cell>
          <cell r="AS2215">
            <v>0</v>
          </cell>
          <cell r="BF2215" t="str">
            <v>5400</v>
          </cell>
          <cell r="BG2215" t="str">
            <v>F019</v>
          </cell>
          <cell r="BH2215" t="str">
            <v>ISA</v>
          </cell>
        </row>
        <row r="2216">
          <cell r="K2216">
            <v>0</v>
          </cell>
          <cell r="L2216">
            <v>0</v>
          </cell>
          <cell r="N2216">
            <v>0</v>
          </cell>
          <cell r="O2216">
            <v>0</v>
          </cell>
          <cell r="Q2216">
            <v>0</v>
          </cell>
          <cell r="R2216">
            <v>0</v>
          </cell>
          <cell r="T2216">
            <v>0</v>
          </cell>
          <cell r="U2216">
            <v>0</v>
          </cell>
          <cell r="W2216">
            <v>0</v>
          </cell>
          <cell r="X2216">
            <v>0</v>
          </cell>
          <cell r="Z2216">
            <v>0</v>
          </cell>
          <cell r="AA2216">
            <v>0</v>
          </cell>
          <cell r="AC2216">
            <v>0</v>
          </cell>
          <cell r="AD2216">
            <v>0</v>
          </cell>
          <cell r="AF2216">
            <v>0</v>
          </cell>
          <cell r="AG2216">
            <v>0</v>
          </cell>
          <cell r="AI2216">
            <v>0</v>
          </cell>
          <cell r="AJ2216">
            <v>0</v>
          </cell>
          <cell r="AL2216">
            <v>0</v>
          </cell>
          <cell r="AM2216">
            <v>0</v>
          </cell>
          <cell r="AO2216">
            <v>0</v>
          </cell>
          <cell r="AP2216">
            <v>0</v>
          </cell>
          <cell r="AR2216">
            <v>0</v>
          </cell>
          <cell r="AS2216">
            <v>0</v>
          </cell>
          <cell r="BF2216" t="str">
            <v>5400</v>
          </cell>
          <cell r="BG2216" t="str">
            <v>F020</v>
          </cell>
          <cell r="BH2216" t="str">
            <v>ISA</v>
          </cell>
        </row>
        <row r="2217">
          <cell r="K2217">
            <v>0</v>
          </cell>
          <cell r="L2217">
            <v>0</v>
          </cell>
          <cell r="N2217">
            <v>0</v>
          </cell>
          <cell r="O2217">
            <v>0</v>
          </cell>
          <cell r="Q2217">
            <v>0</v>
          </cell>
          <cell r="R2217">
            <v>0</v>
          </cell>
          <cell r="T2217">
            <v>0</v>
          </cell>
          <cell r="U2217">
            <v>0</v>
          </cell>
          <cell r="W2217">
            <v>0</v>
          </cell>
          <cell r="X2217">
            <v>0</v>
          </cell>
          <cell r="Z2217">
            <v>0</v>
          </cell>
          <cell r="AA2217">
            <v>0</v>
          </cell>
          <cell r="AC2217">
            <v>0</v>
          </cell>
          <cell r="AD2217">
            <v>0</v>
          </cell>
          <cell r="AF2217">
            <v>0</v>
          </cell>
          <cell r="AG2217">
            <v>0</v>
          </cell>
          <cell r="AI2217">
            <v>0</v>
          </cell>
          <cell r="AJ2217">
            <v>0</v>
          </cell>
          <cell r="AL2217">
            <v>0</v>
          </cell>
          <cell r="AM2217">
            <v>0</v>
          </cell>
          <cell r="AO2217">
            <v>0</v>
          </cell>
          <cell r="AP2217">
            <v>0</v>
          </cell>
          <cell r="AR2217">
            <v>0</v>
          </cell>
          <cell r="AS2217">
            <v>0</v>
          </cell>
          <cell r="BF2217" t="str">
            <v>5400</v>
          </cell>
          <cell r="BG2217" t="str">
            <v>F021</v>
          </cell>
          <cell r="BH2217" t="str">
            <v>ISA</v>
          </cell>
        </row>
        <row r="2218">
          <cell r="K2218">
            <v>0</v>
          </cell>
          <cell r="L2218">
            <v>0</v>
          </cell>
          <cell r="N2218">
            <v>0</v>
          </cell>
          <cell r="O2218">
            <v>0</v>
          </cell>
          <cell r="Q2218">
            <v>0</v>
          </cell>
          <cell r="R2218">
            <v>0</v>
          </cell>
          <cell r="T2218">
            <v>0</v>
          </cell>
          <cell r="U2218">
            <v>0</v>
          </cell>
          <cell r="W2218">
            <v>0</v>
          </cell>
          <cell r="X2218">
            <v>0</v>
          </cell>
          <cell r="Z2218">
            <v>0</v>
          </cell>
          <cell r="AA2218">
            <v>0</v>
          </cell>
          <cell r="AC2218">
            <v>0</v>
          </cell>
          <cell r="AD2218">
            <v>0</v>
          </cell>
          <cell r="AF2218">
            <v>0</v>
          </cell>
          <cell r="AG2218">
            <v>0</v>
          </cell>
          <cell r="AI2218">
            <v>0</v>
          </cell>
          <cell r="AJ2218">
            <v>0</v>
          </cell>
          <cell r="AL2218">
            <v>0</v>
          </cell>
          <cell r="AM2218">
            <v>0</v>
          </cell>
          <cell r="AO2218">
            <v>0</v>
          </cell>
          <cell r="AP2218">
            <v>0</v>
          </cell>
          <cell r="AR2218">
            <v>0</v>
          </cell>
          <cell r="AS2218">
            <v>0</v>
          </cell>
          <cell r="BF2218" t="str">
            <v>5500</v>
          </cell>
          <cell r="BG2218" t="str">
            <v>G001</v>
          </cell>
          <cell r="BH2218" t="str">
            <v>ISA</v>
          </cell>
        </row>
        <row r="2219">
          <cell r="K2219">
            <v>0</v>
          </cell>
          <cell r="L2219">
            <v>0</v>
          </cell>
          <cell r="N2219">
            <v>0</v>
          </cell>
          <cell r="O2219">
            <v>0</v>
          </cell>
          <cell r="Q2219">
            <v>0</v>
          </cell>
          <cell r="R2219">
            <v>0</v>
          </cell>
          <cell r="T2219">
            <v>0</v>
          </cell>
          <cell r="U2219">
            <v>0</v>
          </cell>
          <cell r="W2219">
            <v>0</v>
          </cell>
          <cell r="X2219">
            <v>0</v>
          </cell>
          <cell r="Z2219">
            <v>0</v>
          </cell>
          <cell r="AA2219">
            <v>0</v>
          </cell>
          <cell r="AC2219">
            <v>0</v>
          </cell>
          <cell r="AD2219">
            <v>0</v>
          </cell>
          <cell r="AF2219">
            <v>0</v>
          </cell>
          <cell r="AG2219">
            <v>0</v>
          </cell>
          <cell r="AI2219">
            <v>0</v>
          </cell>
          <cell r="AJ2219">
            <v>0</v>
          </cell>
          <cell r="AL2219">
            <v>0</v>
          </cell>
          <cell r="AM2219">
            <v>0</v>
          </cell>
          <cell r="AO2219">
            <v>0</v>
          </cell>
          <cell r="AP2219">
            <v>0</v>
          </cell>
          <cell r="AR2219">
            <v>0</v>
          </cell>
          <cell r="AS2219">
            <v>0</v>
          </cell>
          <cell r="BF2219" t="str">
            <v>5500</v>
          </cell>
          <cell r="BG2219" t="str">
            <v>G002</v>
          </cell>
          <cell r="BH2219" t="str">
            <v>ISA</v>
          </cell>
        </row>
        <row r="2220">
          <cell r="K2220">
            <v>0</v>
          </cell>
          <cell r="L2220">
            <v>0</v>
          </cell>
          <cell r="N2220">
            <v>0</v>
          </cell>
          <cell r="O2220">
            <v>0</v>
          </cell>
          <cell r="Q2220">
            <v>0</v>
          </cell>
          <cell r="R2220">
            <v>0</v>
          </cell>
          <cell r="T2220">
            <v>0</v>
          </cell>
          <cell r="U2220">
            <v>0</v>
          </cell>
          <cell r="W2220">
            <v>0</v>
          </cell>
          <cell r="X2220">
            <v>0</v>
          </cell>
          <cell r="Z2220">
            <v>0</v>
          </cell>
          <cell r="AA2220">
            <v>0</v>
          </cell>
          <cell r="AC2220">
            <v>0</v>
          </cell>
          <cell r="AD2220">
            <v>0</v>
          </cell>
          <cell r="AF2220">
            <v>0</v>
          </cell>
          <cell r="AG2220">
            <v>0</v>
          </cell>
          <cell r="AI2220">
            <v>0</v>
          </cell>
          <cell r="AJ2220">
            <v>0</v>
          </cell>
          <cell r="AL2220">
            <v>0</v>
          </cell>
          <cell r="AM2220">
            <v>0</v>
          </cell>
          <cell r="AO2220">
            <v>0</v>
          </cell>
          <cell r="AP2220">
            <v>0</v>
          </cell>
          <cell r="AR2220">
            <v>0</v>
          </cell>
          <cell r="AS2220">
            <v>0</v>
          </cell>
          <cell r="BF2220" t="str">
            <v>5500</v>
          </cell>
          <cell r="BG2220" t="str">
            <v>G003</v>
          </cell>
          <cell r="BH2220" t="str">
            <v>ISA</v>
          </cell>
        </row>
        <row r="2221">
          <cell r="K2221">
            <v>0</v>
          </cell>
          <cell r="L2221">
            <v>0</v>
          </cell>
          <cell r="N2221">
            <v>0</v>
          </cell>
          <cell r="O2221">
            <v>0</v>
          </cell>
          <cell r="Q2221">
            <v>0</v>
          </cell>
          <cell r="R2221">
            <v>0</v>
          </cell>
          <cell r="T2221">
            <v>0</v>
          </cell>
          <cell r="U2221">
            <v>0</v>
          </cell>
          <cell r="W2221">
            <v>0</v>
          </cell>
          <cell r="X2221">
            <v>0</v>
          </cell>
          <cell r="Z2221">
            <v>0</v>
          </cell>
          <cell r="AA2221">
            <v>0</v>
          </cell>
          <cell r="AC2221">
            <v>0</v>
          </cell>
          <cell r="AD2221">
            <v>0</v>
          </cell>
          <cell r="AF2221">
            <v>0</v>
          </cell>
          <cell r="AG2221">
            <v>0</v>
          </cell>
          <cell r="AI2221">
            <v>0</v>
          </cell>
          <cell r="AJ2221">
            <v>0</v>
          </cell>
          <cell r="AL2221">
            <v>0</v>
          </cell>
          <cell r="AM2221">
            <v>0</v>
          </cell>
          <cell r="AO2221">
            <v>0</v>
          </cell>
          <cell r="AP2221">
            <v>0</v>
          </cell>
          <cell r="AR2221">
            <v>0</v>
          </cell>
          <cell r="AS2221">
            <v>0</v>
          </cell>
          <cell r="BF2221" t="str">
            <v>5500</v>
          </cell>
          <cell r="BG2221" t="str">
            <v>G004</v>
          </cell>
          <cell r="BH2221" t="str">
            <v>ISA</v>
          </cell>
        </row>
        <row r="2222">
          <cell r="K2222">
            <v>0</v>
          </cell>
          <cell r="L2222">
            <v>0</v>
          </cell>
          <cell r="N2222">
            <v>0</v>
          </cell>
          <cell r="O2222">
            <v>0</v>
          </cell>
          <cell r="Q2222">
            <v>0</v>
          </cell>
          <cell r="R2222">
            <v>0</v>
          </cell>
          <cell r="T2222">
            <v>0</v>
          </cell>
          <cell r="U2222">
            <v>0</v>
          </cell>
          <cell r="W2222">
            <v>0</v>
          </cell>
          <cell r="X2222">
            <v>0</v>
          </cell>
          <cell r="Z2222">
            <v>0</v>
          </cell>
          <cell r="AA2222">
            <v>0</v>
          </cell>
          <cell r="AC2222">
            <v>0</v>
          </cell>
          <cell r="AD2222">
            <v>0</v>
          </cell>
          <cell r="AF2222">
            <v>0</v>
          </cell>
          <cell r="AG2222">
            <v>0</v>
          </cell>
          <cell r="AI2222">
            <v>0</v>
          </cell>
          <cell r="AJ2222">
            <v>0</v>
          </cell>
          <cell r="AL2222">
            <v>0</v>
          </cell>
          <cell r="AM2222">
            <v>0</v>
          </cell>
          <cell r="AO2222">
            <v>0</v>
          </cell>
          <cell r="AP2222">
            <v>0</v>
          </cell>
          <cell r="AR2222">
            <v>0</v>
          </cell>
          <cell r="AS2222">
            <v>0</v>
          </cell>
          <cell r="BF2222" t="str">
            <v>5500</v>
          </cell>
          <cell r="BG2222" t="str">
            <v>G005</v>
          </cell>
          <cell r="BH2222" t="str">
            <v>ISA</v>
          </cell>
        </row>
        <row r="2223">
          <cell r="K2223">
            <v>0</v>
          </cell>
          <cell r="L2223">
            <v>0</v>
          </cell>
          <cell r="N2223">
            <v>0</v>
          </cell>
          <cell r="O2223">
            <v>0</v>
          </cell>
          <cell r="Q2223">
            <v>0</v>
          </cell>
          <cell r="R2223">
            <v>0</v>
          </cell>
          <cell r="T2223">
            <v>0</v>
          </cell>
          <cell r="U2223">
            <v>0</v>
          </cell>
          <cell r="W2223">
            <v>0</v>
          </cell>
          <cell r="X2223">
            <v>0</v>
          </cell>
          <cell r="Z2223">
            <v>0</v>
          </cell>
          <cell r="AA2223">
            <v>0</v>
          </cell>
          <cell r="AC2223">
            <v>0</v>
          </cell>
          <cell r="AD2223">
            <v>0</v>
          </cell>
          <cell r="AF2223">
            <v>0</v>
          </cell>
          <cell r="AG2223">
            <v>0</v>
          </cell>
          <cell r="AI2223">
            <v>0</v>
          </cell>
          <cell r="AJ2223">
            <v>0</v>
          </cell>
          <cell r="AL2223">
            <v>0</v>
          </cell>
          <cell r="AM2223">
            <v>0</v>
          </cell>
          <cell r="AO2223">
            <v>0</v>
          </cell>
          <cell r="AP2223">
            <v>0</v>
          </cell>
          <cell r="AR2223">
            <v>0</v>
          </cell>
          <cell r="AS2223">
            <v>0</v>
          </cell>
          <cell r="BF2223" t="str">
            <v>5500</v>
          </cell>
          <cell r="BG2223" t="str">
            <v>G006</v>
          </cell>
          <cell r="BH2223" t="str">
            <v>ISA</v>
          </cell>
        </row>
        <row r="2224">
          <cell r="K2224">
            <v>0</v>
          </cell>
          <cell r="L2224">
            <v>0</v>
          </cell>
          <cell r="N2224">
            <v>0</v>
          </cell>
          <cell r="O2224">
            <v>0</v>
          </cell>
          <cell r="Q2224">
            <v>0</v>
          </cell>
          <cell r="R2224">
            <v>0</v>
          </cell>
          <cell r="T2224">
            <v>0</v>
          </cell>
          <cell r="U2224">
            <v>0</v>
          </cell>
          <cell r="W2224">
            <v>0</v>
          </cell>
          <cell r="X2224">
            <v>0</v>
          </cell>
          <cell r="Z2224">
            <v>0</v>
          </cell>
          <cell r="AA2224">
            <v>0</v>
          </cell>
          <cell r="AC2224">
            <v>0</v>
          </cell>
          <cell r="AD2224">
            <v>0</v>
          </cell>
          <cell r="AF2224">
            <v>0</v>
          </cell>
          <cell r="AG2224">
            <v>0</v>
          </cell>
          <cell r="AI2224">
            <v>0</v>
          </cell>
          <cell r="AJ2224">
            <v>0</v>
          </cell>
          <cell r="AL2224">
            <v>0</v>
          </cell>
          <cell r="AM2224">
            <v>0</v>
          </cell>
          <cell r="AO2224">
            <v>0</v>
          </cell>
          <cell r="AP2224">
            <v>0</v>
          </cell>
          <cell r="AR2224">
            <v>0</v>
          </cell>
          <cell r="AS2224">
            <v>0</v>
          </cell>
          <cell r="BF2224" t="str">
            <v>5500</v>
          </cell>
          <cell r="BG2224" t="str">
            <v>G007</v>
          </cell>
          <cell r="BH2224" t="str">
            <v>ISA</v>
          </cell>
        </row>
        <row r="2225">
          <cell r="K2225">
            <v>0</v>
          </cell>
          <cell r="L2225">
            <v>0</v>
          </cell>
          <cell r="N2225">
            <v>0</v>
          </cell>
          <cell r="O2225">
            <v>0</v>
          </cell>
          <cell r="Q2225">
            <v>0</v>
          </cell>
          <cell r="R2225">
            <v>0</v>
          </cell>
          <cell r="T2225">
            <v>0</v>
          </cell>
          <cell r="U2225">
            <v>0</v>
          </cell>
          <cell r="W2225">
            <v>0</v>
          </cell>
          <cell r="X2225">
            <v>0</v>
          </cell>
          <cell r="Z2225">
            <v>0</v>
          </cell>
          <cell r="AA2225">
            <v>0</v>
          </cell>
          <cell r="AC2225">
            <v>0</v>
          </cell>
          <cell r="AD2225">
            <v>0</v>
          </cell>
          <cell r="AF2225">
            <v>0</v>
          </cell>
          <cell r="AG2225">
            <v>0</v>
          </cell>
          <cell r="AI2225">
            <v>0</v>
          </cell>
          <cell r="AJ2225">
            <v>0</v>
          </cell>
          <cell r="AL2225">
            <v>0</v>
          </cell>
          <cell r="AM2225">
            <v>0</v>
          </cell>
          <cell r="AO2225">
            <v>0</v>
          </cell>
          <cell r="AP2225">
            <v>0</v>
          </cell>
          <cell r="AR2225">
            <v>0</v>
          </cell>
          <cell r="AS2225">
            <v>0</v>
          </cell>
          <cell r="BF2225" t="str">
            <v>5500</v>
          </cell>
          <cell r="BG2225" t="str">
            <v>G008</v>
          </cell>
          <cell r="BH2225" t="str">
            <v>ISA</v>
          </cell>
        </row>
        <row r="2226">
          <cell r="K2226">
            <v>0</v>
          </cell>
          <cell r="L2226">
            <v>0</v>
          </cell>
          <cell r="N2226">
            <v>0</v>
          </cell>
          <cell r="O2226">
            <v>0</v>
          </cell>
          <cell r="Q2226">
            <v>0</v>
          </cell>
          <cell r="R2226">
            <v>0</v>
          </cell>
          <cell r="T2226">
            <v>0</v>
          </cell>
          <cell r="U2226">
            <v>0</v>
          </cell>
          <cell r="W2226">
            <v>0</v>
          </cell>
          <cell r="X2226">
            <v>0</v>
          </cell>
          <cell r="Z2226">
            <v>0</v>
          </cell>
          <cell r="AA2226">
            <v>0</v>
          </cell>
          <cell r="AC2226">
            <v>0</v>
          </cell>
          <cell r="AD2226">
            <v>0</v>
          </cell>
          <cell r="AF2226">
            <v>0</v>
          </cell>
          <cell r="AG2226">
            <v>0</v>
          </cell>
          <cell r="AI2226">
            <v>0</v>
          </cell>
          <cell r="AJ2226">
            <v>0</v>
          </cell>
          <cell r="AL2226">
            <v>0</v>
          </cell>
          <cell r="AM2226">
            <v>0</v>
          </cell>
          <cell r="AO2226">
            <v>0</v>
          </cell>
          <cell r="AP2226">
            <v>0</v>
          </cell>
          <cell r="AR2226">
            <v>0</v>
          </cell>
          <cell r="AS2226">
            <v>0</v>
          </cell>
          <cell r="BF2226" t="str">
            <v>5500</v>
          </cell>
          <cell r="BG2226" t="str">
            <v>G009</v>
          </cell>
          <cell r="BH2226" t="str">
            <v>ISA</v>
          </cell>
        </row>
        <row r="2227">
          <cell r="K2227">
            <v>0</v>
          </cell>
          <cell r="L2227">
            <v>0</v>
          </cell>
          <cell r="N2227">
            <v>0</v>
          </cell>
          <cell r="O2227">
            <v>0</v>
          </cell>
          <cell r="Q2227">
            <v>0</v>
          </cell>
          <cell r="R2227">
            <v>0</v>
          </cell>
          <cell r="T2227">
            <v>0</v>
          </cell>
          <cell r="U2227">
            <v>0</v>
          </cell>
          <cell r="W2227">
            <v>0</v>
          </cell>
          <cell r="X2227">
            <v>0</v>
          </cell>
          <cell r="Z2227">
            <v>0</v>
          </cell>
          <cell r="AA2227">
            <v>0</v>
          </cell>
          <cell r="AC2227">
            <v>0</v>
          </cell>
          <cell r="AD2227">
            <v>0</v>
          </cell>
          <cell r="AF2227">
            <v>0</v>
          </cell>
          <cell r="AG2227">
            <v>0</v>
          </cell>
          <cell r="AI2227">
            <v>0</v>
          </cell>
          <cell r="AJ2227">
            <v>0</v>
          </cell>
          <cell r="AL2227">
            <v>0</v>
          </cell>
          <cell r="AM2227">
            <v>0</v>
          </cell>
          <cell r="AO2227">
            <v>0</v>
          </cell>
          <cell r="AP2227">
            <v>0</v>
          </cell>
          <cell r="AR2227">
            <v>0</v>
          </cell>
          <cell r="AS2227">
            <v>0</v>
          </cell>
          <cell r="BF2227" t="str">
            <v>5500</v>
          </cell>
          <cell r="BG2227" t="str">
            <v>G010</v>
          </cell>
          <cell r="BH2227" t="str">
            <v>ISA</v>
          </cell>
        </row>
        <row r="2228">
          <cell r="K2228">
            <v>0</v>
          </cell>
          <cell r="L2228">
            <v>0</v>
          </cell>
          <cell r="N2228">
            <v>0</v>
          </cell>
          <cell r="O2228">
            <v>0</v>
          </cell>
          <cell r="Q2228">
            <v>0</v>
          </cell>
          <cell r="R2228">
            <v>0</v>
          </cell>
          <cell r="T2228">
            <v>0</v>
          </cell>
          <cell r="U2228">
            <v>0</v>
          </cell>
          <cell r="W2228">
            <v>0</v>
          </cell>
          <cell r="X2228">
            <v>0</v>
          </cell>
          <cell r="Z2228">
            <v>0</v>
          </cell>
          <cell r="AA2228">
            <v>0</v>
          </cell>
          <cell r="AC2228">
            <v>0</v>
          </cell>
          <cell r="AD2228">
            <v>0</v>
          </cell>
          <cell r="AF2228">
            <v>0</v>
          </cell>
          <cell r="AG2228">
            <v>0</v>
          </cell>
          <cell r="AI2228">
            <v>0</v>
          </cell>
          <cell r="AJ2228">
            <v>0</v>
          </cell>
          <cell r="AL2228">
            <v>0</v>
          </cell>
          <cell r="AM2228">
            <v>0</v>
          </cell>
          <cell r="AO2228">
            <v>0</v>
          </cell>
          <cell r="AP2228">
            <v>0</v>
          </cell>
          <cell r="AR2228">
            <v>0</v>
          </cell>
          <cell r="AS2228">
            <v>0</v>
          </cell>
          <cell r="BF2228" t="str">
            <v>5500</v>
          </cell>
          <cell r="BG2228" t="str">
            <v>G011</v>
          </cell>
          <cell r="BH2228" t="str">
            <v>ISA</v>
          </cell>
        </row>
        <row r="2229">
          <cell r="K2229">
            <v>0</v>
          </cell>
          <cell r="L2229">
            <v>0</v>
          </cell>
          <cell r="N2229">
            <v>0</v>
          </cell>
          <cell r="O2229">
            <v>0</v>
          </cell>
          <cell r="Q2229">
            <v>0</v>
          </cell>
          <cell r="R2229">
            <v>0</v>
          </cell>
          <cell r="T2229">
            <v>0</v>
          </cell>
          <cell r="U2229">
            <v>0</v>
          </cell>
          <cell r="W2229">
            <v>0</v>
          </cell>
          <cell r="X2229">
            <v>0</v>
          </cell>
          <cell r="Z2229">
            <v>0</v>
          </cell>
          <cell r="AA2229">
            <v>0</v>
          </cell>
          <cell r="AC2229">
            <v>0</v>
          </cell>
          <cell r="AD2229">
            <v>0</v>
          </cell>
          <cell r="AF2229">
            <v>0</v>
          </cell>
          <cell r="AG2229">
            <v>0</v>
          </cell>
          <cell r="AI2229">
            <v>0</v>
          </cell>
          <cell r="AJ2229">
            <v>0</v>
          </cell>
          <cell r="AL2229">
            <v>0</v>
          </cell>
          <cell r="AM2229">
            <v>0</v>
          </cell>
          <cell r="AO2229">
            <v>0</v>
          </cell>
          <cell r="AP2229">
            <v>0</v>
          </cell>
          <cell r="AR2229">
            <v>0</v>
          </cell>
          <cell r="AS2229">
            <v>0</v>
          </cell>
          <cell r="BF2229" t="str">
            <v>5500</v>
          </cell>
          <cell r="BG2229" t="str">
            <v>G012</v>
          </cell>
          <cell r="BH2229" t="str">
            <v>ISA</v>
          </cell>
        </row>
        <row r="2230">
          <cell r="K2230">
            <v>0</v>
          </cell>
          <cell r="L2230">
            <v>0</v>
          </cell>
          <cell r="N2230">
            <v>0</v>
          </cell>
          <cell r="O2230">
            <v>0</v>
          </cell>
          <cell r="Q2230">
            <v>0</v>
          </cell>
          <cell r="R2230">
            <v>0</v>
          </cell>
          <cell r="T2230">
            <v>0</v>
          </cell>
          <cell r="U2230">
            <v>0</v>
          </cell>
          <cell r="W2230">
            <v>0</v>
          </cell>
          <cell r="X2230">
            <v>0</v>
          </cell>
          <cell r="Z2230">
            <v>0</v>
          </cell>
          <cell r="AA2230">
            <v>0</v>
          </cell>
          <cell r="AC2230">
            <v>0</v>
          </cell>
          <cell r="AD2230">
            <v>0</v>
          </cell>
          <cell r="AF2230">
            <v>0</v>
          </cell>
          <cell r="AG2230">
            <v>0</v>
          </cell>
          <cell r="AI2230">
            <v>0</v>
          </cell>
          <cell r="AJ2230">
            <v>0</v>
          </cell>
          <cell r="AL2230">
            <v>0</v>
          </cell>
          <cell r="AM2230">
            <v>0</v>
          </cell>
          <cell r="AO2230">
            <v>0</v>
          </cell>
          <cell r="AP2230">
            <v>0</v>
          </cell>
          <cell r="AR2230">
            <v>0</v>
          </cell>
          <cell r="AS2230">
            <v>0</v>
          </cell>
          <cell r="BF2230" t="str">
            <v>5600</v>
          </cell>
          <cell r="BG2230" t="str">
            <v>H001</v>
          </cell>
          <cell r="BH2230" t="str">
            <v>ISA</v>
          </cell>
        </row>
        <row r="2231">
          <cell r="K2231">
            <v>0</v>
          </cell>
          <cell r="L2231">
            <v>0</v>
          </cell>
          <cell r="N2231">
            <v>0</v>
          </cell>
          <cell r="O2231">
            <v>0</v>
          </cell>
          <cell r="Q2231">
            <v>0</v>
          </cell>
          <cell r="R2231">
            <v>0</v>
          </cell>
          <cell r="T2231">
            <v>0</v>
          </cell>
          <cell r="U2231">
            <v>0</v>
          </cell>
          <cell r="W2231">
            <v>0</v>
          </cell>
          <cell r="X2231">
            <v>0</v>
          </cell>
          <cell r="Z2231">
            <v>0</v>
          </cell>
          <cell r="AA2231">
            <v>0</v>
          </cell>
          <cell r="AC2231">
            <v>0</v>
          </cell>
          <cell r="AD2231">
            <v>0</v>
          </cell>
          <cell r="AF2231">
            <v>0</v>
          </cell>
          <cell r="AG2231">
            <v>0</v>
          </cell>
          <cell r="AI2231">
            <v>0</v>
          </cell>
          <cell r="AJ2231">
            <v>0</v>
          </cell>
          <cell r="AL2231">
            <v>0</v>
          </cell>
          <cell r="AM2231">
            <v>0</v>
          </cell>
          <cell r="AO2231">
            <v>0</v>
          </cell>
          <cell r="AP2231">
            <v>0</v>
          </cell>
          <cell r="AR2231">
            <v>0</v>
          </cell>
          <cell r="AS2231">
            <v>0</v>
          </cell>
          <cell r="BF2231" t="str">
            <v>5600</v>
          </cell>
          <cell r="BG2231" t="str">
            <v>H002</v>
          </cell>
          <cell r="BH2231" t="str">
            <v>ISA</v>
          </cell>
        </row>
        <row r="2232">
          <cell r="K2232">
            <v>0</v>
          </cell>
          <cell r="L2232">
            <v>0</v>
          </cell>
          <cell r="N2232">
            <v>0</v>
          </cell>
          <cell r="O2232">
            <v>0</v>
          </cell>
          <cell r="Q2232">
            <v>0</v>
          </cell>
          <cell r="R2232">
            <v>0</v>
          </cell>
          <cell r="T2232">
            <v>0</v>
          </cell>
          <cell r="U2232">
            <v>0</v>
          </cell>
          <cell r="W2232">
            <v>0</v>
          </cell>
          <cell r="X2232">
            <v>0</v>
          </cell>
          <cell r="Z2232">
            <v>0</v>
          </cell>
          <cell r="AA2232">
            <v>0</v>
          </cell>
          <cell r="AC2232">
            <v>0</v>
          </cell>
          <cell r="AD2232">
            <v>0</v>
          </cell>
          <cell r="AF2232">
            <v>0</v>
          </cell>
          <cell r="AG2232">
            <v>0</v>
          </cell>
          <cell r="AI2232">
            <v>0</v>
          </cell>
          <cell r="AJ2232">
            <v>0</v>
          </cell>
          <cell r="AL2232">
            <v>0</v>
          </cell>
          <cell r="AM2232">
            <v>0</v>
          </cell>
          <cell r="AO2232">
            <v>0</v>
          </cell>
          <cell r="AP2232">
            <v>0</v>
          </cell>
          <cell r="AR2232">
            <v>0</v>
          </cell>
          <cell r="AS2232">
            <v>0</v>
          </cell>
          <cell r="BF2232" t="str">
            <v>5600</v>
          </cell>
          <cell r="BG2232" t="str">
            <v>H003</v>
          </cell>
          <cell r="BH2232" t="str">
            <v>ISA</v>
          </cell>
        </row>
        <row r="2233">
          <cell r="K2233">
            <v>0</v>
          </cell>
          <cell r="L2233">
            <v>0</v>
          </cell>
          <cell r="N2233">
            <v>0</v>
          </cell>
          <cell r="O2233">
            <v>0</v>
          </cell>
          <cell r="Q2233">
            <v>0</v>
          </cell>
          <cell r="R2233">
            <v>0</v>
          </cell>
          <cell r="T2233">
            <v>0</v>
          </cell>
          <cell r="U2233">
            <v>0</v>
          </cell>
          <cell r="W2233">
            <v>0</v>
          </cell>
          <cell r="X2233">
            <v>0</v>
          </cell>
          <cell r="Z2233">
            <v>0</v>
          </cell>
          <cell r="AA2233">
            <v>0</v>
          </cell>
          <cell r="AC2233">
            <v>0</v>
          </cell>
          <cell r="AD2233">
            <v>0</v>
          </cell>
          <cell r="AF2233">
            <v>0</v>
          </cell>
          <cell r="AG2233">
            <v>0</v>
          </cell>
          <cell r="AI2233">
            <v>0</v>
          </cell>
          <cell r="AJ2233">
            <v>0</v>
          </cell>
          <cell r="AL2233">
            <v>0</v>
          </cell>
          <cell r="AM2233">
            <v>0</v>
          </cell>
          <cell r="AO2233">
            <v>0</v>
          </cell>
          <cell r="AP2233">
            <v>0</v>
          </cell>
          <cell r="AR2233">
            <v>0</v>
          </cell>
          <cell r="AS2233">
            <v>0</v>
          </cell>
          <cell r="BF2233" t="str">
            <v>5600</v>
          </cell>
          <cell r="BG2233" t="str">
            <v>H004</v>
          </cell>
          <cell r="BH2233" t="str">
            <v>ISA</v>
          </cell>
        </row>
        <row r="2234">
          <cell r="K2234">
            <v>0</v>
          </cell>
          <cell r="L2234">
            <v>0</v>
          </cell>
          <cell r="N2234">
            <v>0</v>
          </cell>
          <cell r="O2234">
            <v>0</v>
          </cell>
          <cell r="Q2234">
            <v>0</v>
          </cell>
          <cell r="R2234">
            <v>0</v>
          </cell>
          <cell r="T2234">
            <v>0</v>
          </cell>
          <cell r="U2234">
            <v>0</v>
          </cell>
          <cell r="W2234">
            <v>0</v>
          </cell>
          <cell r="X2234">
            <v>0</v>
          </cell>
          <cell r="Z2234">
            <v>0</v>
          </cell>
          <cell r="AA2234">
            <v>0</v>
          </cell>
          <cell r="AC2234">
            <v>0</v>
          </cell>
          <cell r="AD2234">
            <v>0</v>
          </cell>
          <cell r="AF2234">
            <v>0</v>
          </cell>
          <cell r="AG2234">
            <v>0</v>
          </cell>
          <cell r="AI2234">
            <v>0</v>
          </cell>
          <cell r="AJ2234">
            <v>0</v>
          </cell>
          <cell r="AL2234">
            <v>0</v>
          </cell>
          <cell r="AM2234">
            <v>0</v>
          </cell>
          <cell r="AO2234">
            <v>0</v>
          </cell>
          <cell r="AP2234">
            <v>0</v>
          </cell>
          <cell r="AR2234">
            <v>0</v>
          </cell>
          <cell r="AS2234">
            <v>0</v>
          </cell>
          <cell r="BF2234" t="str">
            <v>5600</v>
          </cell>
          <cell r="BG2234" t="str">
            <v>H005</v>
          </cell>
          <cell r="BH2234" t="str">
            <v>ISA</v>
          </cell>
        </row>
        <row r="2235">
          <cell r="K2235">
            <v>0</v>
          </cell>
          <cell r="L2235">
            <v>0</v>
          </cell>
          <cell r="N2235">
            <v>0</v>
          </cell>
          <cell r="O2235">
            <v>0</v>
          </cell>
          <cell r="Q2235">
            <v>0</v>
          </cell>
          <cell r="R2235">
            <v>0</v>
          </cell>
          <cell r="T2235">
            <v>0</v>
          </cell>
          <cell r="U2235">
            <v>0</v>
          </cell>
          <cell r="W2235">
            <v>0</v>
          </cell>
          <cell r="X2235">
            <v>0</v>
          </cell>
          <cell r="Z2235">
            <v>0</v>
          </cell>
          <cell r="AA2235">
            <v>0</v>
          </cell>
          <cell r="AC2235">
            <v>0</v>
          </cell>
          <cell r="AD2235">
            <v>0</v>
          </cell>
          <cell r="AF2235">
            <v>0</v>
          </cell>
          <cell r="AG2235">
            <v>0</v>
          </cell>
          <cell r="AI2235">
            <v>0</v>
          </cell>
          <cell r="AJ2235">
            <v>0</v>
          </cell>
          <cell r="AL2235">
            <v>0</v>
          </cell>
          <cell r="AM2235">
            <v>0</v>
          </cell>
          <cell r="AO2235">
            <v>0</v>
          </cell>
          <cell r="AP2235">
            <v>0</v>
          </cell>
          <cell r="AR2235">
            <v>0</v>
          </cell>
          <cell r="AS2235">
            <v>0</v>
          </cell>
          <cell r="BF2235" t="str">
            <v>5600</v>
          </cell>
          <cell r="BG2235" t="str">
            <v>H006</v>
          </cell>
          <cell r="BH2235" t="str">
            <v>ISA</v>
          </cell>
        </row>
        <row r="2236">
          <cell r="K2236">
            <v>0</v>
          </cell>
          <cell r="L2236">
            <v>0</v>
          </cell>
          <cell r="N2236">
            <v>0</v>
          </cell>
          <cell r="O2236">
            <v>0</v>
          </cell>
          <cell r="Q2236">
            <v>0</v>
          </cell>
          <cell r="R2236">
            <v>0</v>
          </cell>
          <cell r="T2236">
            <v>0</v>
          </cell>
          <cell r="U2236">
            <v>0</v>
          </cell>
          <cell r="W2236">
            <v>0</v>
          </cell>
          <cell r="X2236">
            <v>0</v>
          </cell>
          <cell r="Z2236">
            <v>0</v>
          </cell>
          <cell r="AA2236">
            <v>0</v>
          </cell>
          <cell r="AC2236">
            <v>0</v>
          </cell>
          <cell r="AD2236">
            <v>0</v>
          </cell>
          <cell r="AF2236">
            <v>0</v>
          </cell>
          <cell r="AG2236">
            <v>0</v>
          </cell>
          <cell r="AI2236">
            <v>0</v>
          </cell>
          <cell r="AJ2236">
            <v>0</v>
          </cell>
          <cell r="AL2236">
            <v>0</v>
          </cell>
          <cell r="AM2236">
            <v>0</v>
          </cell>
          <cell r="AO2236">
            <v>0</v>
          </cell>
          <cell r="AP2236">
            <v>0</v>
          </cell>
          <cell r="AR2236">
            <v>0</v>
          </cell>
          <cell r="AS2236">
            <v>0</v>
          </cell>
          <cell r="BF2236" t="str">
            <v>5600</v>
          </cell>
          <cell r="BG2236" t="str">
            <v>H007</v>
          </cell>
          <cell r="BH2236" t="str">
            <v>ISA</v>
          </cell>
        </row>
        <row r="2237">
          <cell r="K2237">
            <v>0</v>
          </cell>
          <cell r="L2237">
            <v>0</v>
          </cell>
          <cell r="N2237">
            <v>0</v>
          </cell>
          <cell r="O2237">
            <v>0</v>
          </cell>
          <cell r="Q2237">
            <v>0</v>
          </cell>
          <cell r="R2237">
            <v>0</v>
          </cell>
          <cell r="T2237">
            <v>0</v>
          </cell>
          <cell r="U2237">
            <v>0</v>
          </cell>
          <cell r="W2237">
            <v>0</v>
          </cell>
          <cell r="X2237">
            <v>0</v>
          </cell>
          <cell r="Z2237">
            <v>0</v>
          </cell>
          <cell r="AA2237">
            <v>0</v>
          </cell>
          <cell r="AC2237">
            <v>0</v>
          </cell>
          <cell r="AD2237">
            <v>0</v>
          </cell>
          <cell r="AF2237">
            <v>0</v>
          </cell>
          <cell r="AG2237">
            <v>0</v>
          </cell>
          <cell r="AI2237">
            <v>0</v>
          </cell>
          <cell r="AJ2237">
            <v>0</v>
          </cell>
          <cell r="AL2237">
            <v>0</v>
          </cell>
          <cell r="AM2237">
            <v>0</v>
          </cell>
          <cell r="AO2237">
            <v>0</v>
          </cell>
          <cell r="AP2237">
            <v>0</v>
          </cell>
          <cell r="AR2237">
            <v>0</v>
          </cell>
          <cell r="AS2237">
            <v>0</v>
          </cell>
          <cell r="BF2237" t="str">
            <v>5600</v>
          </cell>
          <cell r="BG2237" t="str">
            <v>H008</v>
          </cell>
          <cell r="BH2237" t="str">
            <v>ISA</v>
          </cell>
        </row>
        <row r="2238">
          <cell r="K2238">
            <v>0</v>
          </cell>
          <cell r="L2238">
            <v>0</v>
          </cell>
          <cell r="N2238">
            <v>0</v>
          </cell>
          <cell r="O2238">
            <v>0</v>
          </cell>
          <cell r="Q2238">
            <v>0</v>
          </cell>
          <cell r="R2238">
            <v>0</v>
          </cell>
          <cell r="T2238">
            <v>0</v>
          </cell>
          <cell r="U2238">
            <v>0</v>
          </cell>
          <cell r="W2238">
            <v>0</v>
          </cell>
          <cell r="X2238">
            <v>0</v>
          </cell>
          <cell r="Z2238">
            <v>0</v>
          </cell>
          <cell r="AA2238">
            <v>0</v>
          </cell>
          <cell r="AC2238">
            <v>0</v>
          </cell>
          <cell r="AD2238">
            <v>0</v>
          </cell>
          <cell r="AF2238">
            <v>0</v>
          </cell>
          <cell r="AG2238">
            <v>0</v>
          </cell>
          <cell r="AI2238">
            <v>0</v>
          </cell>
          <cell r="AJ2238">
            <v>0</v>
          </cell>
          <cell r="AL2238">
            <v>0</v>
          </cell>
          <cell r="AM2238">
            <v>0</v>
          </cell>
          <cell r="AO2238">
            <v>0</v>
          </cell>
          <cell r="AP2238">
            <v>0</v>
          </cell>
          <cell r="AR2238">
            <v>0</v>
          </cell>
          <cell r="AS2238">
            <v>0</v>
          </cell>
          <cell r="BF2238" t="str">
            <v>5700</v>
          </cell>
          <cell r="BG2238" t="str">
            <v>I001</v>
          </cell>
          <cell r="BH2238" t="str">
            <v>ISA</v>
          </cell>
        </row>
        <row r="2239">
          <cell r="K2239">
            <v>0</v>
          </cell>
          <cell r="L2239">
            <v>0</v>
          </cell>
          <cell r="N2239">
            <v>0</v>
          </cell>
          <cell r="O2239">
            <v>0</v>
          </cell>
          <cell r="Q2239">
            <v>0</v>
          </cell>
          <cell r="R2239">
            <v>0</v>
          </cell>
          <cell r="T2239">
            <v>0</v>
          </cell>
          <cell r="U2239">
            <v>0</v>
          </cell>
          <cell r="W2239">
            <v>0</v>
          </cell>
          <cell r="X2239">
            <v>0</v>
          </cell>
          <cell r="Z2239">
            <v>0</v>
          </cell>
          <cell r="AA2239">
            <v>0</v>
          </cell>
          <cell r="AC2239">
            <v>0</v>
          </cell>
          <cell r="AD2239">
            <v>0</v>
          </cell>
          <cell r="AF2239">
            <v>0</v>
          </cell>
          <cell r="AG2239">
            <v>0</v>
          </cell>
          <cell r="AI2239">
            <v>0</v>
          </cell>
          <cell r="AJ2239">
            <v>0</v>
          </cell>
          <cell r="AL2239">
            <v>0</v>
          </cell>
          <cell r="AM2239">
            <v>0</v>
          </cell>
          <cell r="AO2239">
            <v>0</v>
          </cell>
          <cell r="AP2239">
            <v>0</v>
          </cell>
          <cell r="AR2239">
            <v>0</v>
          </cell>
          <cell r="AS2239">
            <v>0</v>
          </cell>
          <cell r="BF2239" t="str">
            <v>5700</v>
          </cell>
          <cell r="BG2239" t="str">
            <v>I002</v>
          </cell>
          <cell r="BH2239" t="str">
            <v>ISA</v>
          </cell>
        </row>
        <row r="2240">
          <cell r="K2240">
            <v>0</v>
          </cell>
          <cell r="L2240">
            <v>0</v>
          </cell>
          <cell r="N2240">
            <v>0</v>
          </cell>
          <cell r="O2240">
            <v>0</v>
          </cell>
          <cell r="Q2240">
            <v>0</v>
          </cell>
          <cell r="R2240">
            <v>0</v>
          </cell>
          <cell r="T2240">
            <v>0</v>
          </cell>
          <cell r="U2240">
            <v>0</v>
          </cell>
          <cell r="W2240">
            <v>0</v>
          </cell>
          <cell r="X2240">
            <v>0</v>
          </cell>
          <cell r="Z2240">
            <v>0</v>
          </cell>
          <cell r="AA2240">
            <v>0</v>
          </cell>
          <cell r="AC2240">
            <v>0</v>
          </cell>
          <cell r="AD2240">
            <v>0</v>
          </cell>
          <cell r="AF2240">
            <v>0</v>
          </cell>
          <cell r="AG2240">
            <v>0</v>
          </cell>
          <cell r="AI2240">
            <v>0</v>
          </cell>
          <cell r="AJ2240">
            <v>0</v>
          </cell>
          <cell r="AL2240">
            <v>0</v>
          </cell>
          <cell r="AM2240">
            <v>0</v>
          </cell>
          <cell r="AO2240">
            <v>0</v>
          </cell>
          <cell r="AP2240">
            <v>0</v>
          </cell>
          <cell r="AR2240">
            <v>0</v>
          </cell>
          <cell r="AS2240">
            <v>0</v>
          </cell>
          <cell r="BF2240" t="str">
            <v>5700</v>
          </cell>
          <cell r="BG2240" t="str">
            <v>I003</v>
          </cell>
          <cell r="BH2240" t="str">
            <v>ISA</v>
          </cell>
        </row>
        <row r="2241">
          <cell r="K2241">
            <v>0</v>
          </cell>
          <cell r="L2241">
            <v>0</v>
          </cell>
          <cell r="N2241">
            <v>0</v>
          </cell>
          <cell r="O2241">
            <v>0</v>
          </cell>
          <cell r="Q2241">
            <v>0</v>
          </cell>
          <cell r="R2241">
            <v>0</v>
          </cell>
          <cell r="T2241">
            <v>0</v>
          </cell>
          <cell r="U2241">
            <v>0</v>
          </cell>
          <cell r="W2241">
            <v>0</v>
          </cell>
          <cell r="X2241">
            <v>0</v>
          </cell>
          <cell r="Z2241">
            <v>0</v>
          </cell>
          <cell r="AA2241">
            <v>0</v>
          </cell>
          <cell r="AC2241">
            <v>0</v>
          </cell>
          <cell r="AD2241">
            <v>0</v>
          </cell>
          <cell r="AF2241">
            <v>0</v>
          </cell>
          <cell r="AG2241">
            <v>0</v>
          </cell>
          <cell r="AI2241">
            <v>0</v>
          </cell>
          <cell r="AJ2241">
            <v>0</v>
          </cell>
          <cell r="AL2241">
            <v>0</v>
          </cell>
          <cell r="AM2241">
            <v>0</v>
          </cell>
          <cell r="AO2241">
            <v>0</v>
          </cell>
          <cell r="AP2241">
            <v>0</v>
          </cell>
          <cell r="AR2241">
            <v>0</v>
          </cell>
          <cell r="AS2241">
            <v>0</v>
          </cell>
          <cell r="BF2241" t="str">
            <v>5700</v>
          </cell>
          <cell r="BG2241" t="str">
            <v>I004</v>
          </cell>
          <cell r="BH2241" t="str">
            <v>ISA</v>
          </cell>
        </row>
        <row r="2242">
          <cell r="K2242">
            <v>0</v>
          </cell>
          <cell r="L2242">
            <v>0</v>
          </cell>
          <cell r="N2242">
            <v>0</v>
          </cell>
          <cell r="O2242">
            <v>0</v>
          </cell>
          <cell r="Q2242">
            <v>0</v>
          </cell>
          <cell r="R2242">
            <v>0</v>
          </cell>
          <cell r="T2242">
            <v>0</v>
          </cell>
          <cell r="U2242">
            <v>0</v>
          </cell>
          <cell r="W2242">
            <v>0</v>
          </cell>
          <cell r="X2242">
            <v>0</v>
          </cell>
          <cell r="Z2242">
            <v>0</v>
          </cell>
          <cell r="AA2242">
            <v>0</v>
          </cell>
          <cell r="AC2242">
            <v>0</v>
          </cell>
          <cell r="AD2242">
            <v>0</v>
          </cell>
          <cell r="AF2242">
            <v>0</v>
          </cell>
          <cell r="AG2242">
            <v>0</v>
          </cell>
          <cell r="AI2242">
            <v>0</v>
          </cell>
          <cell r="AJ2242">
            <v>0</v>
          </cell>
          <cell r="AL2242">
            <v>0</v>
          </cell>
          <cell r="AM2242">
            <v>0</v>
          </cell>
          <cell r="AO2242">
            <v>0</v>
          </cell>
          <cell r="AP2242">
            <v>0</v>
          </cell>
          <cell r="AR2242">
            <v>0</v>
          </cell>
          <cell r="AS2242">
            <v>0</v>
          </cell>
          <cell r="BF2242" t="str">
            <v>5700</v>
          </cell>
          <cell r="BG2242" t="str">
            <v>I005</v>
          </cell>
          <cell r="BH2242" t="str">
            <v>ISA</v>
          </cell>
        </row>
        <row r="2243">
          <cell r="K2243">
            <v>0</v>
          </cell>
          <cell r="L2243">
            <v>0</v>
          </cell>
          <cell r="N2243">
            <v>0</v>
          </cell>
          <cell r="O2243">
            <v>0</v>
          </cell>
          <cell r="Q2243">
            <v>0</v>
          </cell>
          <cell r="R2243">
            <v>0</v>
          </cell>
          <cell r="T2243">
            <v>0</v>
          </cell>
          <cell r="U2243">
            <v>0</v>
          </cell>
          <cell r="W2243">
            <v>0</v>
          </cell>
          <cell r="X2243">
            <v>0</v>
          </cell>
          <cell r="Z2243">
            <v>0</v>
          </cell>
          <cell r="AA2243">
            <v>0</v>
          </cell>
          <cell r="AC2243">
            <v>0</v>
          </cell>
          <cell r="AD2243">
            <v>0</v>
          </cell>
          <cell r="AF2243">
            <v>0</v>
          </cell>
          <cell r="AG2243">
            <v>0</v>
          </cell>
          <cell r="AI2243">
            <v>0</v>
          </cell>
          <cell r="AJ2243">
            <v>0</v>
          </cell>
          <cell r="AL2243">
            <v>0</v>
          </cell>
          <cell r="AM2243">
            <v>0</v>
          </cell>
          <cell r="AO2243">
            <v>0</v>
          </cell>
          <cell r="AP2243">
            <v>0</v>
          </cell>
          <cell r="AR2243">
            <v>0</v>
          </cell>
          <cell r="AS2243">
            <v>0</v>
          </cell>
          <cell r="BF2243" t="str">
            <v>5700</v>
          </cell>
          <cell r="BG2243" t="str">
            <v>I006</v>
          </cell>
          <cell r="BH2243" t="str">
            <v>ISA</v>
          </cell>
        </row>
        <row r="2244">
          <cell r="K2244">
            <v>0</v>
          </cell>
          <cell r="L2244">
            <v>0</v>
          </cell>
          <cell r="N2244">
            <v>0</v>
          </cell>
          <cell r="O2244">
            <v>0</v>
          </cell>
          <cell r="Q2244">
            <v>0</v>
          </cell>
          <cell r="R2244">
            <v>0</v>
          </cell>
          <cell r="T2244">
            <v>0</v>
          </cell>
          <cell r="U2244">
            <v>0</v>
          </cell>
          <cell r="W2244">
            <v>0</v>
          </cell>
          <cell r="X2244">
            <v>0</v>
          </cell>
          <cell r="Z2244">
            <v>0</v>
          </cell>
          <cell r="AA2244">
            <v>0</v>
          </cell>
          <cell r="AC2244">
            <v>0</v>
          </cell>
          <cell r="AD2244">
            <v>0</v>
          </cell>
          <cell r="AF2244">
            <v>0</v>
          </cell>
          <cell r="AG2244">
            <v>0</v>
          </cell>
          <cell r="AI2244">
            <v>0</v>
          </cell>
          <cell r="AJ2244">
            <v>0</v>
          </cell>
          <cell r="AL2244">
            <v>0</v>
          </cell>
          <cell r="AM2244">
            <v>0</v>
          </cell>
          <cell r="AO2244">
            <v>0</v>
          </cell>
          <cell r="AP2244">
            <v>0</v>
          </cell>
          <cell r="AR2244">
            <v>0</v>
          </cell>
          <cell r="AS2244">
            <v>0</v>
          </cell>
          <cell r="BF2244" t="str">
            <v>5700</v>
          </cell>
          <cell r="BG2244" t="str">
            <v>I007</v>
          </cell>
          <cell r="BH2244" t="str">
            <v>ISA</v>
          </cell>
        </row>
        <row r="2245">
          <cell r="K2245">
            <v>0</v>
          </cell>
          <cell r="L2245">
            <v>0</v>
          </cell>
          <cell r="N2245">
            <v>0</v>
          </cell>
          <cell r="O2245">
            <v>0</v>
          </cell>
          <cell r="Q2245">
            <v>0</v>
          </cell>
          <cell r="R2245">
            <v>0</v>
          </cell>
          <cell r="T2245">
            <v>0</v>
          </cell>
          <cell r="U2245">
            <v>0</v>
          </cell>
          <cell r="W2245">
            <v>0</v>
          </cell>
          <cell r="X2245">
            <v>0</v>
          </cell>
          <cell r="Z2245">
            <v>0</v>
          </cell>
          <cell r="AA2245">
            <v>0</v>
          </cell>
          <cell r="AC2245">
            <v>0</v>
          </cell>
          <cell r="AD2245">
            <v>0</v>
          </cell>
          <cell r="AF2245">
            <v>0</v>
          </cell>
          <cell r="AG2245">
            <v>0</v>
          </cell>
          <cell r="AI2245">
            <v>0</v>
          </cell>
          <cell r="AJ2245">
            <v>0</v>
          </cell>
          <cell r="AL2245">
            <v>0</v>
          </cell>
          <cell r="AM2245">
            <v>0</v>
          </cell>
          <cell r="AO2245">
            <v>0</v>
          </cell>
          <cell r="AP2245">
            <v>0</v>
          </cell>
          <cell r="AR2245">
            <v>0</v>
          </cell>
          <cell r="AS2245">
            <v>0</v>
          </cell>
          <cell r="BF2245" t="str">
            <v>5700</v>
          </cell>
          <cell r="BG2245" t="str">
            <v>I008</v>
          </cell>
          <cell r="BH2245" t="str">
            <v>ISA</v>
          </cell>
        </row>
        <row r="2246">
          <cell r="K2246">
            <v>0</v>
          </cell>
          <cell r="L2246">
            <v>0</v>
          </cell>
          <cell r="N2246">
            <v>0</v>
          </cell>
          <cell r="O2246">
            <v>0</v>
          </cell>
          <cell r="Q2246">
            <v>0</v>
          </cell>
          <cell r="R2246">
            <v>0</v>
          </cell>
          <cell r="T2246">
            <v>0</v>
          </cell>
          <cell r="U2246">
            <v>0</v>
          </cell>
          <cell r="W2246">
            <v>0</v>
          </cell>
          <cell r="X2246">
            <v>0</v>
          </cell>
          <cell r="Z2246">
            <v>0</v>
          </cell>
          <cell r="AA2246">
            <v>0</v>
          </cell>
          <cell r="AC2246">
            <v>0</v>
          </cell>
          <cell r="AD2246">
            <v>0</v>
          </cell>
          <cell r="AF2246">
            <v>0</v>
          </cell>
          <cell r="AG2246">
            <v>0</v>
          </cell>
          <cell r="AI2246">
            <v>0</v>
          </cell>
          <cell r="AJ2246">
            <v>0</v>
          </cell>
          <cell r="AL2246">
            <v>0</v>
          </cell>
          <cell r="AM2246">
            <v>0</v>
          </cell>
          <cell r="AO2246">
            <v>0</v>
          </cell>
          <cell r="AP2246">
            <v>0</v>
          </cell>
          <cell r="AR2246">
            <v>0</v>
          </cell>
          <cell r="AS2246">
            <v>0</v>
          </cell>
          <cell r="BF2246" t="str">
            <v>5700</v>
          </cell>
          <cell r="BG2246" t="str">
            <v>I009</v>
          </cell>
          <cell r="BH2246" t="str">
            <v>ISA</v>
          </cell>
        </row>
        <row r="2247">
          <cell r="K2247">
            <v>0</v>
          </cell>
          <cell r="L2247">
            <v>0</v>
          </cell>
          <cell r="N2247">
            <v>0</v>
          </cell>
          <cell r="O2247">
            <v>0</v>
          </cell>
          <cell r="Q2247">
            <v>0</v>
          </cell>
          <cell r="R2247">
            <v>0</v>
          </cell>
          <cell r="T2247">
            <v>0</v>
          </cell>
          <cell r="U2247">
            <v>0</v>
          </cell>
          <cell r="W2247">
            <v>0</v>
          </cell>
          <cell r="X2247">
            <v>0</v>
          </cell>
          <cell r="Z2247">
            <v>0</v>
          </cell>
          <cell r="AA2247">
            <v>0</v>
          </cell>
          <cell r="AC2247">
            <v>0</v>
          </cell>
          <cell r="AD2247">
            <v>0</v>
          </cell>
          <cell r="AF2247">
            <v>0</v>
          </cell>
          <cell r="AG2247">
            <v>0</v>
          </cell>
          <cell r="AI2247">
            <v>0</v>
          </cell>
          <cell r="AJ2247">
            <v>0</v>
          </cell>
          <cell r="AL2247">
            <v>0</v>
          </cell>
          <cell r="AM2247">
            <v>0</v>
          </cell>
          <cell r="AO2247">
            <v>0</v>
          </cell>
          <cell r="AP2247">
            <v>0</v>
          </cell>
          <cell r="AR2247">
            <v>0</v>
          </cell>
          <cell r="AS2247">
            <v>0</v>
          </cell>
          <cell r="BF2247" t="str">
            <v>5700</v>
          </cell>
          <cell r="BG2247" t="str">
            <v>I010</v>
          </cell>
          <cell r="BH2247" t="str">
            <v>ISA</v>
          </cell>
        </row>
        <row r="2248">
          <cell r="K2248">
            <v>0</v>
          </cell>
          <cell r="L2248">
            <v>0</v>
          </cell>
          <cell r="N2248">
            <v>0</v>
          </cell>
          <cell r="O2248">
            <v>0</v>
          </cell>
          <cell r="Q2248">
            <v>0</v>
          </cell>
          <cell r="R2248">
            <v>0</v>
          </cell>
          <cell r="T2248">
            <v>0</v>
          </cell>
          <cell r="U2248">
            <v>0</v>
          </cell>
          <cell r="W2248">
            <v>0</v>
          </cell>
          <cell r="X2248">
            <v>0</v>
          </cell>
          <cell r="Z2248">
            <v>0</v>
          </cell>
          <cell r="AA2248">
            <v>0</v>
          </cell>
          <cell r="AC2248">
            <v>0</v>
          </cell>
          <cell r="AD2248">
            <v>0</v>
          </cell>
          <cell r="AF2248">
            <v>0</v>
          </cell>
          <cell r="AG2248">
            <v>0</v>
          </cell>
          <cell r="AI2248">
            <v>0</v>
          </cell>
          <cell r="AJ2248">
            <v>0</v>
          </cell>
          <cell r="AL2248">
            <v>0</v>
          </cell>
          <cell r="AM2248">
            <v>0</v>
          </cell>
          <cell r="AO2248">
            <v>0</v>
          </cell>
          <cell r="AP2248">
            <v>0</v>
          </cell>
          <cell r="AR2248">
            <v>0</v>
          </cell>
          <cell r="AS2248">
            <v>0</v>
          </cell>
          <cell r="BF2248" t="str">
            <v>5700</v>
          </cell>
          <cell r="BG2248" t="str">
            <v>I011</v>
          </cell>
          <cell r="BH2248" t="str">
            <v>ISA</v>
          </cell>
        </row>
        <row r="2249">
          <cell r="K2249">
            <v>0</v>
          </cell>
          <cell r="L2249">
            <v>0</v>
          </cell>
          <cell r="N2249">
            <v>0</v>
          </cell>
          <cell r="O2249">
            <v>0</v>
          </cell>
          <cell r="Q2249">
            <v>0</v>
          </cell>
          <cell r="R2249">
            <v>0</v>
          </cell>
          <cell r="T2249">
            <v>0</v>
          </cell>
          <cell r="U2249">
            <v>0</v>
          </cell>
          <cell r="W2249">
            <v>0</v>
          </cell>
          <cell r="X2249">
            <v>0</v>
          </cell>
          <cell r="Z2249">
            <v>0</v>
          </cell>
          <cell r="AA2249">
            <v>0</v>
          </cell>
          <cell r="AC2249">
            <v>0</v>
          </cell>
          <cell r="AD2249">
            <v>0</v>
          </cell>
          <cell r="AF2249">
            <v>0</v>
          </cell>
          <cell r="AG2249">
            <v>0</v>
          </cell>
          <cell r="AI2249">
            <v>0</v>
          </cell>
          <cell r="AJ2249">
            <v>0</v>
          </cell>
          <cell r="AL2249">
            <v>0</v>
          </cell>
          <cell r="AM2249">
            <v>0</v>
          </cell>
          <cell r="AO2249">
            <v>0</v>
          </cell>
          <cell r="AP2249">
            <v>0</v>
          </cell>
          <cell r="AR2249">
            <v>0</v>
          </cell>
          <cell r="AS2249">
            <v>0</v>
          </cell>
          <cell r="BF2249" t="str">
            <v>5700</v>
          </cell>
          <cell r="BG2249" t="str">
            <v>I012</v>
          </cell>
          <cell r="BH2249" t="str">
            <v>ISA</v>
          </cell>
        </row>
        <row r="2250">
          <cell r="K2250">
            <v>0</v>
          </cell>
          <cell r="L2250">
            <v>0</v>
          </cell>
          <cell r="N2250">
            <v>0</v>
          </cell>
          <cell r="O2250">
            <v>0</v>
          </cell>
          <cell r="Q2250">
            <v>0</v>
          </cell>
          <cell r="R2250">
            <v>0</v>
          </cell>
          <cell r="T2250">
            <v>0</v>
          </cell>
          <cell r="U2250">
            <v>0</v>
          </cell>
          <cell r="W2250">
            <v>0</v>
          </cell>
          <cell r="X2250">
            <v>0</v>
          </cell>
          <cell r="Z2250">
            <v>0</v>
          </cell>
          <cell r="AA2250">
            <v>0</v>
          </cell>
          <cell r="AC2250">
            <v>0</v>
          </cell>
          <cell r="AD2250">
            <v>0</v>
          </cell>
          <cell r="AF2250">
            <v>0</v>
          </cell>
          <cell r="AG2250">
            <v>0</v>
          </cell>
          <cell r="AI2250">
            <v>0</v>
          </cell>
          <cell r="AJ2250">
            <v>0</v>
          </cell>
          <cell r="AL2250">
            <v>0</v>
          </cell>
          <cell r="AM2250">
            <v>0</v>
          </cell>
          <cell r="AO2250">
            <v>0</v>
          </cell>
          <cell r="AP2250">
            <v>0</v>
          </cell>
          <cell r="AR2250">
            <v>0</v>
          </cell>
          <cell r="AS2250">
            <v>0</v>
          </cell>
          <cell r="BF2250" t="str">
            <v>5700</v>
          </cell>
          <cell r="BG2250" t="str">
            <v>I013</v>
          </cell>
          <cell r="BH2250" t="str">
            <v>ISA</v>
          </cell>
        </row>
        <row r="2251">
          <cell r="K2251">
            <v>0</v>
          </cell>
          <cell r="L2251">
            <v>0</v>
          </cell>
          <cell r="N2251">
            <v>0</v>
          </cell>
          <cell r="O2251">
            <v>0</v>
          </cell>
          <cell r="Q2251">
            <v>0</v>
          </cell>
          <cell r="R2251">
            <v>0</v>
          </cell>
          <cell r="T2251">
            <v>0</v>
          </cell>
          <cell r="U2251">
            <v>0</v>
          </cell>
          <cell r="W2251">
            <v>0</v>
          </cell>
          <cell r="X2251">
            <v>0</v>
          </cell>
          <cell r="Z2251">
            <v>0</v>
          </cell>
          <cell r="AA2251">
            <v>0</v>
          </cell>
          <cell r="AC2251">
            <v>0</v>
          </cell>
          <cell r="AD2251">
            <v>0</v>
          </cell>
          <cell r="AF2251">
            <v>0</v>
          </cell>
          <cell r="AG2251">
            <v>0</v>
          </cell>
          <cell r="AI2251">
            <v>0</v>
          </cell>
          <cell r="AJ2251">
            <v>0</v>
          </cell>
          <cell r="AL2251">
            <v>0</v>
          </cell>
          <cell r="AM2251">
            <v>0</v>
          </cell>
          <cell r="AO2251">
            <v>0</v>
          </cell>
          <cell r="AP2251">
            <v>0</v>
          </cell>
          <cell r="AR2251">
            <v>0</v>
          </cell>
          <cell r="AS2251">
            <v>0</v>
          </cell>
          <cell r="BF2251" t="str">
            <v>5700</v>
          </cell>
          <cell r="BG2251" t="str">
            <v>I014</v>
          </cell>
          <cell r="BH2251" t="str">
            <v>ISA</v>
          </cell>
        </row>
        <row r="2252">
          <cell r="K2252">
            <v>0</v>
          </cell>
          <cell r="L2252">
            <v>0</v>
          </cell>
          <cell r="N2252">
            <v>0</v>
          </cell>
          <cell r="O2252">
            <v>0</v>
          </cell>
          <cell r="Q2252">
            <v>0</v>
          </cell>
          <cell r="R2252">
            <v>0</v>
          </cell>
          <cell r="T2252">
            <v>0</v>
          </cell>
          <cell r="U2252">
            <v>0</v>
          </cell>
          <cell r="W2252">
            <v>0</v>
          </cell>
          <cell r="X2252">
            <v>0</v>
          </cell>
          <cell r="Z2252">
            <v>0</v>
          </cell>
          <cell r="AA2252">
            <v>0</v>
          </cell>
          <cell r="AC2252">
            <v>0</v>
          </cell>
          <cell r="AD2252">
            <v>0</v>
          </cell>
          <cell r="AF2252">
            <v>0</v>
          </cell>
          <cell r="AG2252">
            <v>0</v>
          </cell>
          <cell r="AI2252">
            <v>0</v>
          </cell>
          <cell r="AJ2252">
            <v>0</v>
          </cell>
          <cell r="AL2252">
            <v>0</v>
          </cell>
          <cell r="AM2252">
            <v>0</v>
          </cell>
          <cell r="AO2252">
            <v>0</v>
          </cell>
          <cell r="AP2252">
            <v>0</v>
          </cell>
          <cell r="AR2252">
            <v>0</v>
          </cell>
          <cell r="AS2252">
            <v>0</v>
          </cell>
          <cell r="BF2252" t="str">
            <v>5800</v>
          </cell>
          <cell r="BG2252" t="str">
            <v>J001</v>
          </cell>
          <cell r="BH2252" t="str">
            <v>ISA</v>
          </cell>
        </row>
        <row r="2253">
          <cell r="K2253">
            <v>0</v>
          </cell>
          <cell r="L2253">
            <v>0</v>
          </cell>
          <cell r="N2253">
            <v>0</v>
          </cell>
          <cell r="O2253">
            <v>0</v>
          </cell>
          <cell r="Q2253">
            <v>0</v>
          </cell>
          <cell r="R2253">
            <v>0</v>
          </cell>
          <cell r="T2253">
            <v>0</v>
          </cell>
          <cell r="U2253">
            <v>0</v>
          </cell>
          <cell r="W2253">
            <v>0</v>
          </cell>
          <cell r="X2253">
            <v>0</v>
          </cell>
          <cell r="Z2253">
            <v>0</v>
          </cell>
          <cell r="AA2253">
            <v>0</v>
          </cell>
          <cell r="AC2253">
            <v>0</v>
          </cell>
          <cell r="AD2253">
            <v>0</v>
          </cell>
          <cell r="AF2253">
            <v>0</v>
          </cell>
          <cell r="AG2253">
            <v>0</v>
          </cell>
          <cell r="AI2253">
            <v>0</v>
          </cell>
          <cell r="AJ2253">
            <v>0</v>
          </cell>
          <cell r="AL2253">
            <v>0</v>
          </cell>
          <cell r="AM2253">
            <v>0</v>
          </cell>
          <cell r="AO2253">
            <v>0</v>
          </cell>
          <cell r="AP2253">
            <v>0</v>
          </cell>
          <cell r="AR2253">
            <v>0</v>
          </cell>
          <cell r="AS2253">
            <v>0</v>
          </cell>
          <cell r="BF2253" t="str">
            <v>5800</v>
          </cell>
          <cell r="BG2253" t="str">
            <v>J002</v>
          </cell>
          <cell r="BH2253" t="str">
            <v>ISA</v>
          </cell>
        </row>
        <row r="2254">
          <cell r="K2254">
            <v>0</v>
          </cell>
          <cell r="L2254">
            <v>0</v>
          </cell>
          <cell r="N2254">
            <v>0</v>
          </cell>
          <cell r="O2254">
            <v>0</v>
          </cell>
          <cell r="Q2254">
            <v>0</v>
          </cell>
          <cell r="R2254">
            <v>0</v>
          </cell>
          <cell r="T2254">
            <v>0</v>
          </cell>
          <cell r="U2254">
            <v>0</v>
          </cell>
          <cell r="W2254">
            <v>0</v>
          </cell>
          <cell r="X2254">
            <v>0</v>
          </cell>
          <cell r="Z2254">
            <v>0</v>
          </cell>
          <cell r="AA2254">
            <v>0</v>
          </cell>
          <cell r="AC2254">
            <v>0</v>
          </cell>
          <cell r="AD2254">
            <v>0</v>
          </cell>
          <cell r="AF2254">
            <v>0</v>
          </cell>
          <cell r="AG2254">
            <v>0</v>
          </cell>
          <cell r="AI2254">
            <v>0</v>
          </cell>
          <cell r="AJ2254">
            <v>0</v>
          </cell>
          <cell r="AL2254">
            <v>0</v>
          </cell>
          <cell r="AM2254">
            <v>0</v>
          </cell>
          <cell r="AO2254">
            <v>0</v>
          </cell>
          <cell r="AP2254">
            <v>0</v>
          </cell>
          <cell r="AR2254">
            <v>0</v>
          </cell>
          <cell r="AS2254">
            <v>0</v>
          </cell>
          <cell r="BF2254" t="str">
            <v>5800</v>
          </cell>
          <cell r="BG2254" t="str">
            <v>J003</v>
          </cell>
          <cell r="BH2254" t="str">
            <v>ISA</v>
          </cell>
        </row>
        <row r="2255">
          <cell r="K2255">
            <v>0</v>
          </cell>
          <cell r="L2255">
            <v>0</v>
          </cell>
          <cell r="N2255">
            <v>0</v>
          </cell>
          <cell r="O2255">
            <v>0</v>
          </cell>
          <cell r="Q2255">
            <v>0</v>
          </cell>
          <cell r="R2255">
            <v>0</v>
          </cell>
          <cell r="T2255">
            <v>0</v>
          </cell>
          <cell r="U2255">
            <v>0</v>
          </cell>
          <cell r="W2255">
            <v>0</v>
          </cell>
          <cell r="X2255">
            <v>0</v>
          </cell>
          <cell r="Z2255">
            <v>0</v>
          </cell>
          <cell r="AA2255">
            <v>0</v>
          </cell>
          <cell r="AC2255">
            <v>0</v>
          </cell>
          <cell r="AD2255">
            <v>0</v>
          </cell>
          <cell r="AF2255">
            <v>0</v>
          </cell>
          <cell r="AG2255">
            <v>0</v>
          </cell>
          <cell r="AI2255">
            <v>0</v>
          </cell>
          <cell r="AJ2255">
            <v>0</v>
          </cell>
          <cell r="AL2255">
            <v>0</v>
          </cell>
          <cell r="AM2255">
            <v>0</v>
          </cell>
          <cell r="AO2255">
            <v>0</v>
          </cell>
          <cell r="AP2255">
            <v>0</v>
          </cell>
          <cell r="AR2255">
            <v>0</v>
          </cell>
          <cell r="AS2255">
            <v>0</v>
          </cell>
          <cell r="BF2255" t="str">
            <v>5800</v>
          </cell>
          <cell r="BG2255" t="str">
            <v>J004</v>
          </cell>
          <cell r="BH2255" t="str">
            <v>ISA</v>
          </cell>
        </row>
        <row r="2256">
          <cell r="K2256">
            <v>0</v>
          </cell>
          <cell r="L2256">
            <v>0</v>
          </cell>
          <cell r="N2256">
            <v>0</v>
          </cell>
          <cell r="O2256">
            <v>0</v>
          </cell>
          <cell r="Q2256">
            <v>0</v>
          </cell>
          <cell r="R2256">
            <v>0</v>
          </cell>
          <cell r="T2256">
            <v>0</v>
          </cell>
          <cell r="U2256">
            <v>0</v>
          </cell>
          <cell r="W2256">
            <v>0</v>
          </cell>
          <cell r="X2256">
            <v>0</v>
          </cell>
          <cell r="Z2256">
            <v>0</v>
          </cell>
          <cell r="AA2256">
            <v>0</v>
          </cell>
          <cell r="AC2256">
            <v>0</v>
          </cell>
          <cell r="AD2256">
            <v>0</v>
          </cell>
          <cell r="AF2256">
            <v>0</v>
          </cell>
          <cell r="AG2256">
            <v>0</v>
          </cell>
          <cell r="AI2256">
            <v>0</v>
          </cell>
          <cell r="AJ2256">
            <v>0</v>
          </cell>
          <cell r="AL2256">
            <v>0</v>
          </cell>
          <cell r="AM2256">
            <v>0</v>
          </cell>
          <cell r="AO2256">
            <v>0</v>
          </cell>
          <cell r="AP2256">
            <v>0</v>
          </cell>
          <cell r="AR2256">
            <v>0</v>
          </cell>
          <cell r="AS2256">
            <v>0</v>
          </cell>
          <cell r="BF2256" t="str">
            <v>5800</v>
          </cell>
          <cell r="BG2256" t="str">
            <v>J005</v>
          </cell>
          <cell r="BH2256" t="str">
            <v>ISA</v>
          </cell>
        </row>
        <row r="2257">
          <cell r="K2257">
            <v>0</v>
          </cell>
          <cell r="L2257">
            <v>0</v>
          </cell>
          <cell r="N2257">
            <v>0</v>
          </cell>
          <cell r="O2257">
            <v>0</v>
          </cell>
          <cell r="Q2257">
            <v>0</v>
          </cell>
          <cell r="R2257">
            <v>0</v>
          </cell>
          <cell r="T2257">
            <v>0</v>
          </cell>
          <cell r="U2257">
            <v>0</v>
          </cell>
          <cell r="W2257">
            <v>0</v>
          </cell>
          <cell r="X2257">
            <v>0</v>
          </cell>
          <cell r="Z2257">
            <v>0</v>
          </cell>
          <cell r="AA2257">
            <v>0</v>
          </cell>
          <cell r="AC2257">
            <v>0</v>
          </cell>
          <cell r="AD2257">
            <v>0</v>
          </cell>
          <cell r="AF2257">
            <v>0</v>
          </cell>
          <cell r="AG2257">
            <v>0</v>
          </cell>
          <cell r="AI2257">
            <v>0</v>
          </cell>
          <cell r="AJ2257">
            <v>0</v>
          </cell>
          <cell r="AL2257">
            <v>0</v>
          </cell>
          <cell r="AM2257">
            <v>0</v>
          </cell>
          <cell r="AO2257">
            <v>0</v>
          </cell>
          <cell r="AP2257">
            <v>0</v>
          </cell>
          <cell r="AR2257">
            <v>0</v>
          </cell>
          <cell r="AS2257">
            <v>0</v>
          </cell>
          <cell r="BF2257" t="str">
            <v>5800</v>
          </cell>
          <cell r="BG2257" t="str">
            <v>J006</v>
          </cell>
          <cell r="BH2257" t="str">
            <v>ISA</v>
          </cell>
        </row>
        <row r="2258">
          <cell r="K2258">
            <v>0</v>
          </cell>
          <cell r="L2258">
            <v>0</v>
          </cell>
          <cell r="N2258">
            <v>0</v>
          </cell>
          <cell r="O2258">
            <v>0</v>
          </cell>
          <cell r="Q2258">
            <v>0</v>
          </cell>
          <cell r="R2258">
            <v>0</v>
          </cell>
          <cell r="T2258">
            <v>0</v>
          </cell>
          <cell r="U2258">
            <v>0</v>
          </cell>
          <cell r="W2258">
            <v>0</v>
          </cell>
          <cell r="X2258">
            <v>0</v>
          </cell>
          <cell r="Z2258">
            <v>0</v>
          </cell>
          <cell r="AA2258">
            <v>0</v>
          </cell>
          <cell r="AC2258">
            <v>0</v>
          </cell>
          <cell r="AD2258">
            <v>0</v>
          </cell>
          <cell r="AF2258">
            <v>0</v>
          </cell>
          <cell r="AG2258">
            <v>0</v>
          </cell>
          <cell r="AI2258">
            <v>0</v>
          </cell>
          <cell r="AJ2258">
            <v>0</v>
          </cell>
          <cell r="AL2258">
            <v>0</v>
          </cell>
          <cell r="AM2258">
            <v>0</v>
          </cell>
          <cell r="AO2258">
            <v>0</v>
          </cell>
          <cell r="AP2258">
            <v>0</v>
          </cell>
          <cell r="AR2258">
            <v>0</v>
          </cell>
          <cell r="AS2258">
            <v>0</v>
          </cell>
          <cell r="BF2258" t="str">
            <v>5800</v>
          </cell>
          <cell r="BG2258" t="str">
            <v>J007</v>
          </cell>
          <cell r="BH2258" t="str">
            <v>ISA</v>
          </cell>
        </row>
        <row r="2259">
          <cell r="K2259">
            <v>0</v>
          </cell>
          <cell r="L2259">
            <v>0</v>
          </cell>
          <cell r="N2259">
            <v>0</v>
          </cell>
          <cell r="O2259">
            <v>0</v>
          </cell>
          <cell r="Q2259">
            <v>0</v>
          </cell>
          <cell r="R2259">
            <v>0</v>
          </cell>
          <cell r="T2259">
            <v>0</v>
          </cell>
          <cell r="U2259">
            <v>0</v>
          </cell>
          <cell r="W2259">
            <v>0</v>
          </cell>
          <cell r="X2259">
            <v>0</v>
          </cell>
          <cell r="Z2259">
            <v>0</v>
          </cell>
          <cell r="AA2259">
            <v>0</v>
          </cell>
          <cell r="AC2259">
            <v>0</v>
          </cell>
          <cell r="AD2259">
            <v>0</v>
          </cell>
          <cell r="AF2259">
            <v>0</v>
          </cell>
          <cell r="AG2259">
            <v>0</v>
          </cell>
          <cell r="AI2259">
            <v>0</v>
          </cell>
          <cell r="AJ2259">
            <v>0</v>
          </cell>
          <cell r="AL2259">
            <v>0</v>
          </cell>
          <cell r="AM2259">
            <v>0</v>
          </cell>
          <cell r="AO2259">
            <v>0</v>
          </cell>
          <cell r="AP2259">
            <v>0</v>
          </cell>
          <cell r="AR2259">
            <v>0</v>
          </cell>
          <cell r="AS2259">
            <v>0</v>
          </cell>
          <cell r="BF2259" t="str">
            <v>5800</v>
          </cell>
          <cell r="BG2259" t="str">
            <v>J012</v>
          </cell>
          <cell r="BH2259" t="str">
            <v>ISA</v>
          </cell>
        </row>
        <row r="2260">
          <cell r="K2260">
            <v>0</v>
          </cell>
          <cell r="L2260">
            <v>0</v>
          </cell>
          <cell r="N2260">
            <v>0</v>
          </cell>
          <cell r="O2260">
            <v>0</v>
          </cell>
          <cell r="Q2260">
            <v>0</v>
          </cell>
          <cell r="R2260">
            <v>0</v>
          </cell>
          <cell r="T2260">
            <v>0</v>
          </cell>
          <cell r="U2260">
            <v>0</v>
          </cell>
          <cell r="W2260">
            <v>0</v>
          </cell>
          <cell r="X2260">
            <v>0</v>
          </cell>
          <cell r="Z2260">
            <v>0</v>
          </cell>
          <cell r="AA2260">
            <v>0</v>
          </cell>
          <cell r="AC2260">
            <v>0</v>
          </cell>
          <cell r="AD2260">
            <v>0</v>
          </cell>
          <cell r="AF2260">
            <v>0</v>
          </cell>
          <cell r="AG2260">
            <v>0</v>
          </cell>
          <cell r="AI2260">
            <v>0</v>
          </cell>
          <cell r="AJ2260">
            <v>0</v>
          </cell>
          <cell r="AL2260">
            <v>0</v>
          </cell>
          <cell r="AM2260">
            <v>0</v>
          </cell>
          <cell r="AO2260">
            <v>0</v>
          </cell>
          <cell r="AP2260">
            <v>0</v>
          </cell>
          <cell r="AR2260">
            <v>0</v>
          </cell>
          <cell r="AS2260">
            <v>0</v>
          </cell>
          <cell r="BF2260" t="str">
            <v>5801</v>
          </cell>
          <cell r="BG2260" t="str">
            <v>J008</v>
          </cell>
          <cell r="BH2260" t="str">
            <v>ISA</v>
          </cell>
        </row>
        <row r="2261">
          <cell r="K2261">
            <v>0</v>
          </cell>
          <cell r="L2261">
            <v>0</v>
          </cell>
          <cell r="N2261">
            <v>0</v>
          </cell>
          <cell r="O2261">
            <v>0</v>
          </cell>
          <cell r="Q2261">
            <v>0</v>
          </cell>
          <cell r="R2261">
            <v>0</v>
          </cell>
          <cell r="T2261">
            <v>0</v>
          </cell>
          <cell r="U2261">
            <v>0</v>
          </cell>
          <cell r="W2261">
            <v>0</v>
          </cell>
          <cell r="X2261">
            <v>0</v>
          </cell>
          <cell r="Z2261">
            <v>0</v>
          </cell>
          <cell r="AA2261">
            <v>0</v>
          </cell>
          <cell r="AC2261">
            <v>0</v>
          </cell>
          <cell r="AD2261">
            <v>0</v>
          </cell>
          <cell r="AF2261">
            <v>0</v>
          </cell>
          <cell r="AG2261">
            <v>0</v>
          </cell>
          <cell r="AI2261">
            <v>0</v>
          </cell>
          <cell r="AJ2261">
            <v>0</v>
          </cell>
          <cell r="AL2261">
            <v>0</v>
          </cell>
          <cell r="AM2261">
            <v>0</v>
          </cell>
          <cell r="AO2261">
            <v>0</v>
          </cell>
          <cell r="AP2261">
            <v>0</v>
          </cell>
          <cell r="AR2261">
            <v>0</v>
          </cell>
          <cell r="AS2261">
            <v>0</v>
          </cell>
          <cell r="BF2261" t="str">
            <v>5801</v>
          </cell>
          <cell r="BG2261" t="str">
            <v>J009</v>
          </cell>
          <cell r="BH2261" t="str">
            <v>ISA</v>
          </cell>
        </row>
        <row r="2262">
          <cell r="K2262">
            <v>0</v>
          </cell>
          <cell r="L2262">
            <v>0</v>
          </cell>
          <cell r="N2262">
            <v>0</v>
          </cell>
          <cell r="O2262">
            <v>0</v>
          </cell>
          <cell r="Q2262">
            <v>0</v>
          </cell>
          <cell r="R2262">
            <v>0</v>
          </cell>
          <cell r="T2262">
            <v>0</v>
          </cell>
          <cell r="U2262">
            <v>0</v>
          </cell>
          <cell r="W2262">
            <v>0</v>
          </cell>
          <cell r="X2262">
            <v>0</v>
          </cell>
          <cell r="Z2262">
            <v>0</v>
          </cell>
          <cell r="AA2262">
            <v>0</v>
          </cell>
          <cell r="AC2262">
            <v>0</v>
          </cell>
          <cell r="AD2262">
            <v>0</v>
          </cell>
          <cell r="AF2262">
            <v>0</v>
          </cell>
          <cell r="AG2262">
            <v>0</v>
          </cell>
          <cell r="AI2262">
            <v>0</v>
          </cell>
          <cell r="AJ2262">
            <v>0</v>
          </cell>
          <cell r="AL2262">
            <v>0</v>
          </cell>
          <cell r="AM2262">
            <v>0</v>
          </cell>
          <cell r="AO2262">
            <v>0</v>
          </cell>
          <cell r="AP2262">
            <v>0</v>
          </cell>
          <cell r="AR2262">
            <v>0</v>
          </cell>
          <cell r="AS2262">
            <v>0</v>
          </cell>
          <cell r="BF2262" t="str">
            <v>5801</v>
          </cell>
          <cell r="BG2262" t="str">
            <v>J010</v>
          </cell>
          <cell r="BH2262" t="str">
            <v>ISA</v>
          </cell>
        </row>
        <row r="2263">
          <cell r="K2263">
            <v>0</v>
          </cell>
          <cell r="L2263">
            <v>0</v>
          </cell>
          <cell r="N2263">
            <v>0</v>
          </cell>
          <cell r="O2263">
            <v>0</v>
          </cell>
          <cell r="Q2263">
            <v>0</v>
          </cell>
          <cell r="R2263">
            <v>0</v>
          </cell>
          <cell r="T2263">
            <v>0</v>
          </cell>
          <cell r="U2263">
            <v>0</v>
          </cell>
          <cell r="W2263">
            <v>0</v>
          </cell>
          <cell r="X2263">
            <v>0</v>
          </cell>
          <cell r="Z2263">
            <v>0</v>
          </cell>
          <cell r="AA2263">
            <v>0</v>
          </cell>
          <cell r="AC2263">
            <v>0</v>
          </cell>
          <cell r="AD2263">
            <v>0</v>
          </cell>
          <cell r="AF2263">
            <v>0</v>
          </cell>
          <cell r="AG2263">
            <v>0</v>
          </cell>
          <cell r="AI2263">
            <v>0</v>
          </cell>
          <cell r="AJ2263">
            <v>0</v>
          </cell>
          <cell r="AL2263">
            <v>0</v>
          </cell>
          <cell r="AM2263">
            <v>0</v>
          </cell>
          <cell r="AO2263">
            <v>0</v>
          </cell>
          <cell r="AP2263">
            <v>0</v>
          </cell>
          <cell r="AR2263">
            <v>0</v>
          </cell>
          <cell r="AS2263">
            <v>0</v>
          </cell>
          <cell r="BF2263" t="str">
            <v>6000</v>
          </cell>
          <cell r="BG2263" t="str">
            <v>K001</v>
          </cell>
          <cell r="BH2263" t="str">
            <v>ISA</v>
          </cell>
        </row>
        <row r="2264">
          <cell r="K2264">
            <v>0</v>
          </cell>
          <cell r="L2264">
            <v>0</v>
          </cell>
          <cell r="N2264">
            <v>0</v>
          </cell>
          <cell r="O2264">
            <v>0</v>
          </cell>
          <cell r="Q2264">
            <v>0</v>
          </cell>
          <cell r="R2264">
            <v>0</v>
          </cell>
          <cell r="T2264">
            <v>0</v>
          </cell>
          <cell r="U2264">
            <v>0</v>
          </cell>
          <cell r="W2264">
            <v>0</v>
          </cell>
          <cell r="X2264">
            <v>0</v>
          </cell>
          <cell r="Z2264">
            <v>0</v>
          </cell>
          <cell r="AA2264">
            <v>0</v>
          </cell>
          <cell r="AC2264">
            <v>0</v>
          </cell>
          <cell r="AD2264">
            <v>0</v>
          </cell>
          <cell r="AF2264">
            <v>0</v>
          </cell>
          <cell r="AG2264">
            <v>0</v>
          </cell>
          <cell r="AI2264">
            <v>0</v>
          </cell>
          <cell r="AJ2264">
            <v>0</v>
          </cell>
          <cell r="AL2264">
            <v>0</v>
          </cell>
          <cell r="AM2264">
            <v>0</v>
          </cell>
          <cell r="AO2264">
            <v>0</v>
          </cell>
          <cell r="AP2264">
            <v>0</v>
          </cell>
          <cell r="AR2264">
            <v>0</v>
          </cell>
          <cell r="AS2264">
            <v>0</v>
          </cell>
          <cell r="BF2264" t="str">
            <v>6000</v>
          </cell>
          <cell r="BG2264" t="str">
            <v>K002</v>
          </cell>
          <cell r="BH2264" t="str">
            <v>ISA</v>
          </cell>
        </row>
        <row r="2265">
          <cell r="K2265">
            <v>0</v>
          </cell>
          <cell r="L2265">
            <v>0</v>
          </cell>
          <cell r="N2265">
            <v>0</v>
          </cell>
          <cell r="O2265">
            <v>0</v>
          </cell>
          <cell r="Q2265">
            <v>0</v>
          </cell>
          <cell r="R2265">
            <v>0</v>
          </cell>
          <cell r="T2265">
            <v>0</v>
          </cell>
          <cell r="U2265">
            <v>0</v>
          </cell>
          <cell r="W2265">
            <v>0</v>
          </cell>
          <cell r="X2265">
            <v>0</v>
          </cell>
          <cell r="Z2265">
            <v>0</v>
          </cell>
          <cell r="AA2265">
            <v>0</v>
          </cell>
          <cell r="AC2265">
            <v>0</v>
          </cell>
          <cell r="AD2265">
            <v>0</v>
          </cell>
          <cell r="AF2265">
            <v>0</v>
          </cell>
          <cell r="AG2265">
            <v>0</v>
          </cell>
          <cell r="AI2265">
            <v>0</v>
          </cell>
          <cell r="AJ2265">
            <v>0</v>
          </cell>
          <cell r="AL2265">
            <v>0</v>
          </cell>
          <cell r="AM2265">
            <v>0</v>
          </cell>
          <cell r="AO2265">
            <v>0</v>
          </cell>
          <cell r="AP2265">
            <v>0</v>
          </cell>
          <cell r="AR2265">
            <v>0</v>
          </cell>
          <cell r="AS2265">
            <v>0</v>
          </cell>
          <cell r="BF2265" t="str">
            <v>6100</v>
          </cell>
          <cell r="BG2265" t="str">
            <v>K001</v>
          </cell>
          <cell r="BH2265" t="str">
            <v>ISA</v>
          </cell>
        </row>
        <row r="2266">
          <cell r="K2266">
            <v>0</v>
          </cell>
          <cell r="L2266">
            <v>0</v>
          </cell>
          <cell r="N2266">
            <v>0</v>
          </cell>
          <cell r="O2266">
            <v>0</v>
          </cell>
          <cell r="Q2266">
            <v>0</v>
          </cell>
          <cell r="R2266">
            <v>0</v>
          </cell>
          <cell r="T2266">
            <v>0</v>
          </cell>
          <cell r="U2266">
            <v>0</v>
          </cell>
          <cell r="W2266">
            <v>0</v>
          </cell>
          <cell r="X2266">
            <v>0</v>
          </cell>
          <cell r="Z2266">
            <v>0</v>
          </cell>
          <cell r="AA2266">
            <v>0</v>
          </cell>
          <cell r="AC2266">
            <v>0</v>
          </cell>
          <cell r="AD2266">
            <v>0</v>
          </cell>
          <cell r="AF2266">
            <v>0</v>
          </cell>
          <cell r="AG2266">
            <v>0</v>
          </cell>
          <cell r="AI2266">
            <v>0</v>
          </cell>
          <cell r="AJ2266">
            <v>0</v>
          </cell>
          <cell r="AL2266">
            <v>0</v>
          </cell>
          <cell r="AM2266">
            <v>0</v>
          </cell>
          <cell r="AO2266">
            <v>0</v>
          </cell>
          <cell r="AP2266">
            <v>0</v>
          </cell>
          <cell r="AR2266">
            <v>0</v>
          </cell>
          <cell r="AS2266">
            <v>0</v>
          </cell>
          <cell r="BF2266" t="str">
            <v>6100</v>
          </cell>
          <cell r="BG2266" t="str">
            <v>K002</v>
          </cell>
          <cell r="BH2266" t="str">
            <v>ISA</v>
          </cell>
        </row>
        <row r="2267">
          <cell r="K2267">
            <v>0</v>
          </cell>
          <cell r="L2267">
            <v>0</v>
          </cell>
          <cell r="N2267">
            <v>0</v>
          </cell>
          <cell r="O2267">
            <v>0</v>
          </cell>
          <cell r="Q2267">
            <v>0</v>
          </cell>
          <cell r="R2267">
            <v>0</v>
          </cell>
          <cell r="T2267">
            <v>0</v>
          </cell>
          <cell r="U2267">
            <v>0</v>
          </cell>
          <cell r="W2267">
            <v>0</v>
          </cell>
          <cell r="X2267">
            <v>0</v>
          </cell>
          <cell r="Z2267">
            <v>0</v>
          </cell>
          <cell r="AA2267">
            <v>0</v>
          </cell>
          <cell r="AC2267">
            <v>0</v>
          </cell>
          <cell r="AD2267">
            <v>0</v>
          </cell>
          <cell r="AF2267">
            <v>0</v>
          </cell>
          <cell r="AG2267">
            <v>0</v>
          </cell>
          <cell r="AI2267">
            <v>0</v>
          </cell>
          <cell r="AJ2267">
            <v>0</v>
          </cell>
          <cell r="AL2267">
            <v>0</v>
          </cell>
          <cell r="AM2267">
            <v>0</v>
          </cell>
          <cell r="AO2267">
            <v>0</v>
          </cell>
          <cell r="AP2267">
            <v>0</v>
          </cell>
          <cell r="AR2267">
            <v>0</v>
          </cell>
          <cell r="AS2267">
            <v>0</v>
          </cell>
          <cell r="BF2267" t="str">
            <v>6200</v>
          </cell>
          <cell r="BG2267" t="str">
            <v>K001</v>
          </cell>
          <cell r="BH2267" t="str">
            <v>ISA</v>
          </cell>
        </row>
        <row r="2268">
          <cell r="K2268">
            <v>0</v>
          </cell>
          <cell r="L2268">
            <v>0</v>
          </cell>
          <cell r="N2268">
            <v>0</v>
          </cell>
          <cell r="O2268">
            <v>0</v>
          </cell>
          <cell r="Q2268">
            <v>0</v>
          </cell>
          <cell r="R2268">
            <v>0</v>
          </cell>
          <cell r="T2268">
            <v>0</v>
          </cell>
          <cell r="U2268">
            <v>0</v>
          </cell>
          <cell r="W2268">
            <v>0</v>
          </cell>
          <cell r="X2268">
            <v>0</v>
          </cell>
          <cell r="Z2268">
            <v>0</v>
          </cell>
          <cell r="AA2268">
            <v>0</v>
          </cell>
          <cell r="AC2268">
            <v>0</v>
          </cell>
          <cell r="AD2268">
            <v>0</v>
          </cell>
          <cell r="AF2268">
            <v>0</v>
          </cell>
          <cell r="AG2268">
            <v>0</v>
          </cell>
          <cell r="AI2268">
            <v>0</v>
          </cell>
          <cell r="AJ2268">
            <v>0</v>
          </cell>
          <cell r="AL2268">
            <v>0</v>
          </cell>
          <cell r="AM2268">
            <v>0</v>
          </cell>
          <cell r="AO2268">
            <v>0</v>
          </cell>
          <cell r="AP2268">
            <v>0</v>
          </cell>
          <cell r="AR2268">
            <v>0</v>
          </cell>
          <cell r="AS2268">
            <v>0</v>
          </cell>
          <cell r="BF2268" t="str">
            <v>6200</v>
          </cell>
          <cell r="BG2268" t="str">
            <v>K002</v>
          </cell>
          <cell r="BH2268" t="str">
            <v>ISA</v>
          </cell>
        </row>
        <row r="2269">
          <cell r="K2269">
            <v>0</v>
          </cell>
          <cell r="L2269">
            <v>0</v>
          </cell>
          <cell r="N2269">
            <v>0</v>
          </cell>
          <cell r="O2269">
            <v>0</v>
          </cell>
          <cell r="Q2269">
            <v>0</v>
          </cell>
          <cell r="R2269">
            <v>0</v>
          </cell>
          <cell r="T2269">
            <v>0</v>
          </cell>
          <cell r="U2269">
            <v>0</v>
          </cell>
          <cell r="W2269">
            <v>0</v>
          </cell>
          <cell r="X2269">
            <v>0</v>
          </cell>
          <cell r="Z2269">
            <v>0</v>
          </cell>
          <cell r="AA2269">
            <v>0</v>
          </cell>
          <cell r="AC2269">
            <v>0</v>
          </cell>
          <cell r="AD2269">
            <v>0</v>
          </cell>
          <cell r="AF2269">
            <v>0</v>
          </cell>
          <cell r="AG2269">
            <v>0</v>
          </cell>
          <cell r="AI2269">
            <v>0</v>
          </cell>
          <cell r="AJ2269">
            <v>0</v>
          </cell>
          <cell r="AL2269">
            <v>0</v>
          </cell>
          <cell r="AM2269">
            <v>0</v>
          </cell>
          <cell r="AO2269">
            <v>0</v>
          </cell>
          <cell r="AP2269">
            <v>0</v>
          </cell>
          <cell r="AR2269">
            <v>0</v>
          </cell>
          <cell r="AS2269">
            <v>0</v>
          </cell>
          <cell r="BF2269" t="str">
            <v>6300</v>
          </cell>
          <cell r="BG2269" t="str">
            <v>K001</v>
          </cell>
          <cell r="BH2269" t="str">
            <v>ISA</v>
          </cell>
        </row>
        <row r="2270">
          <cell r="K2270">
            <v>0</v>
          </cell>
          <cell r="L2270">
            <v>0</v>
          </cell>
          <cell r="N2270">
            <v>0</v>
          </cell>
          <cell r="O2270">
            <v>0</v>
          </cell>
          <cell r="Q2270">
            <v>0</v>
          </cell>
          <cell r="R2270">
            <v>0</v>
          </cell>
          <cell r="T2270">
            <v>0</v>
          </cell>
          <cell r="U2270">
            <v>0</v>
          </cell>
          <cell r="W2270">
            <v>0</v>
          </cell>
          <cell r="X2270">
            <v>0</v>
          </cell>
          <cell r="Z2270">
            <v>0</v>
          </cell>
          <cell r="AA2270">
            <v>0</v>
          </cell>
          <cell r="AC2270">
            <v>0</v>
          </cell>
          <cell r="AD2270">
            <v>0</v>
          </cell>
          <cell r="AF2270">
            <v>0</v>
          </cell>
          <cell r="AG2270">
            <v>0</v>
          </cell>
          <cell r="AI2270">
            <v>0</v>
          </cell>
          <cell r="AJ2270">
            <v>0</v>
          </cell>
          <cell r="AL2270">
            <v>0</v>
          </cell>
          <cell r="AM2270">
            <v>0</v>
          </cell>
          <cell r="AO2270">
            <v>0</v>
          </cell>
          <cell r="AP2270">
            <v>0</v>
          </cell>
          <cell r="AR2270">
            <v>0</v>
          </cell>
          <cell r="AS2270">
            <v>0</v>
          </cell>
          <cell r="BF2270" t="str">
            <v>6300</v>
          </cell>
          <cell r="BG2270" t="str">
            <v>K002</v>
          </cell>
          <cell r="BH2270" t="str">
            <v>ISA</v>
          </cell>
        </row>
        <row r="2271">
          <cell r="K2271">
            <v>0</v>
          </cell>
          <cell r="L2271">
            <v>0</v>
          </cell>
          <cell r="N2271">
            <v>0</v>
          </cell>
          <cell r="O2271">
            <v>0</v>
          </cell>
          <cell r="Q2271">
            <v>0</v>
          </cell>
          <cell r="R2271">
            <v>0</v>
          </cell>
          <cell r="T2271">
            <v>0</v>
          </cell>
          <cell r="U2271">
            <v>0</v>
          </cell>
          <cell r="W2271">
            <v>0</v>
          </cell>
          <cell r="X2271">
            <v>0</v>
          </cell>
          <cell r="Z2271">
            <v>0</v>
          </cell>
          <cell r="AA2271">
            <v>0</v>
          </cell>
          <cell r="AC2271">
            <v>0</v>
          </cell>
          <cell r="AD2271">
            <v>0</v>
          </cell>
          <cell r="AF2271">
            <v>0</v>
          </cell>
          <cell r="AG2271">
            <v>0</v>
          </cell>
          <cell r="AI2271">
            <v>0</v>
          </cell>
          <cell r="AJ2271">
            <v>0</v>
          </cell>
          <cell r="AL2271">
            <v>0</v>
          </cell>
          <cell r="AM2271">
            <v>0</v>
          </cell>
          <cell r="AO2271">
            <v>0</v>
          </cell>
          <cell r="AP2271">
            <v>0</v>
          </cell>
          <cell r="AR2271">
            <v>0</v>
          </cell>
          <cell r="AS2271">
            <v>0</v>
          </cell>
          <cell r="BF2271" t="str">
            <v>6400</v>
          </cell>
          <cell r="BG2271" t="str">
            <v>K001</v>
          </cell>
          <cell r="BH2271" t="str">
            <v>ISA</v>
          </cell>
        </row>
        <row r="2272">
          <cell r="K2272">
            <v>0</v>
          </cell>
          <cell r="L2272">
            <v>0</v>
          </cell>
          <cell r="N2272">
            <v>0</v>
          </cell>
          <cell r="O2272">
            <v>0</v>
          </cell>
          <cell r="Q2272">
            <v>0</v>
          </cell>
          <cell r="R2272">
            <v>0</v>
          </cell>
          <cell r="T2272">
            <v>0</v>
          </cell>
          <cell r="U2272">
            <v>0</v>
          </cell>
          <cell r="W2272">
            <v>0</v>
          </cell>
          <cell r="X2272">
            <v>0</v>
          </cell>
          <cell r="Z2272">
            <v>0</v>
          </cell>
          <cell r="AA2272">
            <v>0</v>
          </cell>
          <cell r="AC2272">
            <v>0</v>
          </cell>
          <cell r="AD2272">
            <v>0</v>
          </cell>
          <cell r="AF2272">
            <v>0</v>
          </cell>
          <cell r="AG2272">
            <v>0</v>
          </cell>
          <cell r="AI2272">
            <v>0</v>
          </cell>
          <cell r="AJ2272">
            <v>0</v>
          </cell>
          <cell r="AL2272">
            <v>0</v>
          </cell>
          <cell r="AM2272">
            <v>0</v>
          </cell>
          <cell r="AO2272">
            <v>0</v>
          </cell>
          <cell r="AP2272">
            <v>0</v>
          </cell>
          <cell r="AR2272">
            <v>0</v>
          </cell>
          <cell r="AS2272">
            <v>0</v>
          </cell>
          <cell r="BF2272" t="str">
            <v>6400</v>
          </cell>
          <cell r="BG2272" t="str">
            <v>K002</v>
          </cell>
          <cell r="BH2272" t="str">
            <v>ISA</v>
          </cell>
        </row>
        <row r="2273">
          <cell r="K2273">
            <v>0</v>
          </cell>
          <cell r="L2273">
            <v>0</v>
          </cell>
          <cell r="N2273">
            <v>0</v>
          </cell>
          <cell r="O2273">
            <v>0</v>
          </cell>
          <cell r="Q2273">
            <v>0</v>
          </cell>
          <cell r="R2273">
            <v>0</v>
          </cell>
          <cell r="T2273">
            <v>0</v>
          </cell>
          <cell r="U2273">
            <v>0</v>
          </cell>
          <cell r="W2273">
            <v>0</v>
          </cell>
          <cell r="X2273">
            <v>0</v>
          </cell>
          <cell r="Z2273">
            <v>0</v>
          </cell>
          <cell r="AA2273">
            <v>0</v>
          </cell>
          <cell r="AC2273">
            <v>0</v>
          </cell>
          <cell r="AD2273">
            <v>0</v>
          </cell>
          <cell r="AF2273">
            <v>0</v>
          </cell>
          <cell r="AG2273">
            <v>0</v>
          </cell>
          <cell r="AI2273">
            <v>0</v>
          </cell>
          <cell r="AJ2273">
            <v>0</v>
          </cell>
          <cell r="AL2273">
            <v>0</v>
          </cell>
          <cell r="AM2273">
            <v>0</v>
          </cell>
          <cell r="AO2273">
            <v>0</v>
          </cell>
          <cell r="AP2273">
            <v>0</v>
          </cell>
          <cell r="AR2273">
            <v>0</v>
          </cell>
          <cell r="AS2273">
            <v>0</v>
          </cell>
          <cell r="BF2273" t="str">
            <v>6500</v>
          </cell>
          <cell r="BG2273" t="str">
            <v>K001</v>
          </cell>
          <cell r="BH2273" t="str">
            <v>ISA</v>
          </cell>
        </row>
        <row r="2274">
          <cell r="K2274">
            <v>0</v>
          </cell>
          <cell r="L2274">
            <v>0</v>
          </cell>
          <cell r="N2274">
            <v>0</v>
          </cell>
          <cell r="O2274">
            <v>0</v>
          </cell>
          <cell r="Q2274">
            <v>0</v>
          </cell>
          <cell r="R2274">
            <v>0</v>
          </cell>
          <cell r="T2274">
            <v>0</v>
          </cell>
          <cell r="U2274">
            <v>0</v>
          </cell>
          <cell r="W2274">
            <v>0</v>
          </cell>
          <cell r="X2274">
            <v>0</v>
          </cell>
          <cell r="Z2274">
            <v>0</v>
          </cell>
          <cell r="AA2274">
            <v>0</v>
          </cell>
          <cell r="AC2274">
            <v>0</v>
          </cell>
          <cell r="AD2274">
            <v>0</v>
          </cell>
          <cell r="AF2274">
            <v>0</v>
          </cell>
          <cell r="AG2274">
            <v>0</v>
          </cell>
          <cell r="AI2274">
            <v>0</v>
          </cell>
          <cell r="AJ2274">
            <v>0</v>
          </cell>
          <cell r="AL2274">
            <v>0</v>
          </cell>
          <cell r="AM2274">
            <v>0</v>
          </cell>
          <cell r="AO2274">
            <v>0</v>
          </cell>
          <cell r="AP2274">
            <v>0</v>
          </cell>
          <cell r="AR2274">
            <v>0</v>
          </cell>
          <cell r="AS2274">
            <v>0</v>
          </cell>
          <cell r="BF2274" t="str">
            <v>6500</v>
          </cell>
          <cell r="BG2274" t="str">
            <v>K002</v>
          </cell>
          <cell r="BH2274" t="str">
            <v>ISA</v>
          </cell>
        </row>
        <row r="2275">
          <cell r="K2275">
            <v>0</v>
          </cell>
          <cell r="L2275">
            <v>0</v>
          </cell>
          <cell r="N2275">
            <v>0</v>
          </cell>
          <cell r="O2275">
            <v>0</v>
          </cell>
          <cell r="Q2275">
            <v>0</v>
          </cell>
          <cell r="R2275">
            <v>0</v>
          </cell>
          <cell r="T2275">
            <v>0</v>
          </cell>
          <cell r="U2275">
            <v>0</v>
          </cell>
          <cell r="W2275">
            <v>0</v>
          </cell>
          <cell r="X2275">
            <v>0</v>
          </cell>
          <cell r="Z2275">
            <v>0</v>
          </cell>
          <cell r="AA2275">
            <v>0</v>
          </cell>
          <cell r="AC2275">
            <v>0</v>
          </cell>
          <cell r="AD2275">
            <v>0</v>
          </cell>
          <cell r="AF2275">
            <v>0</v>
          </cell>
          <cell r="AG2275">
            <v>0</v>
          </cell>
          <cell r="AI2275">
            <v>0</v>
          </cell>
          <cell r="AJ2275">
            <v>0</v>
          </cell>
          <cell r="AL2275">
            <v>0</v>
          </cell>
          <cell r="AM2275">
            <v>0</v>
          </cell>
          <cell r="AO2275">
            <v>0</v>
          </cell>
          <cell r="AP2275">
            <v>0</v>
          </cell>
          <cell r="AR2275">
            <v>0</v>
          </cell>
          <cell r="AS2275">
            <v>0</v>
          </cell>
          <cell r="BF2275" t="str">
            <v>6600</v>
          </cell>
          <cell r="BG2275" t="str">
            <v>K001</v>
          </cell>
          <cell r="BH2275" t="str">
            <v>ISA</v>
          </cell>
        </row>
        <row r="2276">
          <cell r="K2276">
            <v>0</v>
          </cell>
          <cell r="L2276">
            <v>0</v>
          </cell>
          <cell r="N2276">
            <v>0</v>
          </cell>
          <cell r="O2276">
            <v>0</v>
          </cell>
          <cell r="Q2276">
            <v>0</v>
          </cell>
          <cell r="R2276">
            <v>0</v>
          </cell>
          <cell r="T2276">
            <v>0</v>
          </cell>
          <cell r="U2276">
            <v>0</v>
          </cell>
          <cell r="W2276">
            <v>0</v>
          </cell>
          <cell r="X2276">
            <v>0</v>
          </cell>
          <cell r="Z2276">
            <v>0</v>
          </cell>
          <cell r="AA2276">
            <v>0</v>
          </cell>
          <cell r="AC2276">
            <v>0</v>
          </cell>
          <cell r="AD2276">
            <v>0</v>
          </cell>
          <cell r="AF2276">
            <v>0</v>
          </cell>
          <cell r="AG2276">
            <v>0</v>
          </cell>
          <cell r="AI2276">
            <v>0</v>
          </cell>
          <cell r="AJ2276">
            <v>0</v>
          </cell>
          <cell r="AL2276">
            <v>0</v>
          </cell>
          <cell r="AM2276">
            <v>0</v>
          </cell>
          <cell r="AO2276">
            <v>0</v>
          </cell>
          <cell r="AP2276">
            <v>0</v>
          </cell>
          <cell r="AR2276">
            <v>0</v>
          </cell>
          <cell r="AS2276">
            <v>0</v>
          </cell>
          <cell r="BF2276" t="str">
            <v>6600</v>
          </cell>
          <cell r="BG2276" t="str">
            <v>K002</v>
          </cell>
          <cell r="BH2276" t="str">
            <v>ISA</v>
          </cell>
        </row>
        <row r="2277">
          <cell r="K2277">
            <v>0</v>
          </cell>
          <cell r="L2277">
            <v>0</v>
          </cell>
          <cell r="N2277">
            <v>0</v>
          </cell>
          <cell r="O2277">
            <v>0</v>
          </cell>
          <cell r="Q2277">
            <v>0</v>
          </cell>
          <cell r="R2277">
            <v>0</v>
          </cell>
          <cell r="T2277">
            <v>0</v>
          </cell>
          <cell r="U2277">
            <v>0</v>
          </cell>
          <cell r="W2277">
            <v>0</v>
          </cell>
          <cell r="X2277">
            <v>0</v>
          </cell>
          <cell r="Z2277">
            <v>0</v>
          </cell>
          <cell r="AA2277">
            <v>0</v>
          </cell>
          <cell r="AC2277">
            <v>0</v>
          </cell>
          <cell r="AD2277">
            <v>0</v>
          </cell>
          <cell r="AF2277">
            <v>0</v>
          </cell>
          <cell r="AG2277">
            <v>0</v>
          </cell>
          <cell r="AI2277">
            <v>0</v>
          </cell>
          <cell r="AJ2277">
            <v>0</v>
          </cell>
          <cell r="AL2277">
            <v>0</v>
          </cell>
          <cell r="AM2277">
            <v>0</v>
          </cell>
          <cell r="AO2277">
            <v>0</v>
          </cell>
          <cell r="AP2277">
            <v>0</v>
          </cell>
          <cell r="AR2277">
            <v>0</v>
          </cell>
          <cell r="AS2277">
            <v>0</v>
          </cell>
          <cell r="BF2277" t="str">
            <v>7000</v>
          </cell>
          <cell r="BG2277" t="str">
            <v>Z000</v>
          </cell>
          <cell r="BH2277" t="str">
            <v>ISA</v>
          </cell>
        </row>
        <row r="2278">
          <cell r="K2278">
            <v>0</v>
          </cell>
          <cell r="L2278">
            <v>0</v>
          </cell>
          <cell r="N2278">
            <v>0</v>
          </cell>
          <cell r="O2278">
            <v>0</v>
          </cell>
          <cell r="Q2278">
            <v>0</v>
          </cell>
          <cell r="R2278">
            <v>0</v>
          </cell>
          <cell r="T2278">
            <v>0</v>
          </cell>
          <cell r="U2278">
            <v>0</v>
          </cell>
          <cell r="W2278">
            <v>0</v>
          </cell>
          <cell r="X2278">
            <v>0</v>
          </cell>
          <cell r="Z2278">
            <v>0</v>
          </cell>
          <cell r="AA2278">
            <v>0</v>
          </cell>
          <cell r="AC2278">
            <v>0</v>
          </cell>
          <cell r="AD2278">
            <v>0</v>
          </cell>
          <cell r="AF2278">
            <v>0</v>
          </cell>
          <cell r="AG2278">
            <v>0</v>
          </cell>
          <cell r="AI2278">
            <v>0</v>
          </cell>
          <cell r="AJ2278">
            <v>0</v>
          </cell>
          <cell r="AL2278">
            <v>0</v>
          </cell>
          <cell r="AM2278">
            <v>0</v>
          </cell>
          <cell r="AO2278">
            <v>0</v>
          </cell>
          <cell r="AP2278">
            <v>0</v>
          </cell>
          <cell r="AR2278">
            <v>0</v>
          </cell>
          <cell r="AS2278">
            <v>0</v>
          </cell>
          <cell r="BF2278" t="str">
            <v>7001</v>
          </cell>
          <cell r="BG2278" t="str">
            <v>Z000</v>
          </cell>
          <cell r="BH2278" t="str">
            <v>ISA</v>
          </cell>
        </row>
        <row r="2279">
          <cell r="K2279">
            <v>0</v>
          </cell>
          <cell r="L2279">
            <v>0</v>
          </cell>
          <cell r="N2279">
            <v>0</v>
          </cell>
          <cell r="O2279">
            <v>0</v>
          </cell>
          <cell r="Q2279">
            <v>0</v>
          </cell>
          <cell r="R2279">
            <v>0</v>
          </cell>
          <cell r="T2279">
            <v>0</v>
          </cell>
          <cell r="U2279">
            <v>0</v>
          </cell>
          <cell r="W2279">
            <v>0</v>
          </cell>
          <cell r="X2279">
            <v>0</v>
          </cell>
          <cell r="Z2279">
            <v>0</v>
          </cell>
          <cell r="AA2279">
            <v>0</v>
          </cell>
          <cell r="AC2279">
            <v>0</v>
          </cell>
          <cell r="AD2279">
            <v>0</v>
          </cell>
          <cell r="AF2279">
            <v>0</v>
          </cell>
          <cell r="AG2279">
            <v>0</v>
          </cell>
          <cell r="AI2279">
            <v>0</v>
          </cell>
          <cell r="AJ2279">
            <v>0</v>
          </cell>
          <cell r="AL2279">
            <v>0</v>
          </cell>
          <cell r="AM2279">
            <v>0</v>
          </cell>
          <cell r="AO2279">
            <v>0</v>
          </cell>
          <cell r="AP2279">
            <v>0</v>
          </cell>
          <cell r="AR2279">
            <v>0</v>
          </cell>
          <cell r="AS2279">
            <v>0</v>
          </cell>
          <cell r="BF2279" t="str">
            <v>7002</v>
          </cell>
          <cell r="BG2279" t="str">
            <v>Z000</v>
          </cell>
          <cell r="BH2279" t="str">
            <v>ISA</v>
          </cell>
        </row>
        <row r="2280">
          <cell r="K2280">
            <v>0</v>
          </cell>
          <cell r="L2280">
            <v>0</v>
          </cell>
          <cell r="N2280">
            <v>0</v>
          </cell>
          <cell r="O2280">
            <v>0</v>
          </cell>
          <cell r="Q2280">
            <v>0</v>
          </cell>
          <cell r="R2280">
            <v>0</v>
          </cell>
          <cell r="T2280">
            <v>0</v>
          </cell>
          <cell r="U2280">
            <v>0</v>
          </cell>
          <cell r="W2280">
            <v>0</v>
          </cell>
          <cell r="X2280">
            <v>0</v>
          </cell>
          <cell r="Z2280">
            <v>0</v>
          </cell>
          <cell r="AA2280">
            <v>0</v>
          </cell>
          <cell r="AC2280">
            <v>0</v>
          </cell>
          <cell r="AD2280">
            <v>0</v>
          </cell>
          <cell r="AF2280">
            <v>0</v>
          </cell>
          <cell r="AG2280">
            <v>0</v>
          </cell>
          <cell r="AI2280">
            <v>0</v>
          </cell>
          <cell r="AJ2280">
            <v>0</v>
          </cell>
          <cell r="AL2280">
            <v>0</v>
          </cell>
          <cell r="AM2280">
            <v>0</v>
          </cell>
          <cell r="AO2280">
            <v>0</v>
          </cell>
          <cell r="AP2280">
            <v>0</v>
          </cell>
          <cell r="AR2280">
            <v>0</v>
          </cell>
          <cell r="AS2280">
            <v>0</v>
          </cell>
          <cell r="BF2280" t="str">
            <v>7100</v>
          </cell>
          <cell r="BG2280" t="str">
            <v>Z000</v>
          </cell>
          <cell r="BH2280" t="str">
            <v>ISA</v>
          </cell>
        </row>
        <row r="2281">
          <cell r="K2281">
            <v>0</v>
          </cell>
          <cell r="L2281">
            <v>0</v>
          </cell>
          <cell r="N2281">
            <v>0</v>
          </cell>
          <cell r="O2281">
            <v>0</v>
          </cell>
          <cell r="Q2281">
            <v>0</v>
          </cell>
          <cell r="R2281">
            <v>0</v>
          </cell>
          <cell r="T2281">
            <v>0</v>
          </cell>
          <cell r="U2281">
            <v>0</v>
          </cell>
          <cell r="W2281">
            <v>0</v>
          </cell>
          <cell r="X2281">
            <v>0</v>
          </cell>
          <cell r="Z2281">
            <v>0</v>
          </cell>
          <cell r="AA2281">
            <v>0</v>
          </cell>
          <cell r="AC2281">
            <v>0</v>
          </cell>
          <cell r="AD2281">
            <v>0</v>
          </cell>
          <cell r="AF2281">
            <v>0</v>
          </cell>
          <cell r="AG2281">
            <v>0</v>
          </cell>
          <cell r="AI2281">
            <v>0</v>
          </cell>
          <cell r="AJ2281">
            <v>0</v>
          </cell>
          <cell r="AL2281">
            <v>0</v>
          </cell>
          <cell r="AM2281">
            <v>0</v>
          </cell>
          <cell r="AO2281">
            <v>0</v>
          </cell>
          <cell r="AP2281">
            <v>0</v>
          </cell>
          <cell r="AR2281">
            <v>0</v>
          </cell>
          <cell r="AS2281">
            <v>0</v>
          </cell>
          <cell r="BF2281" t="str">
            <v>7300</v>
          </cell>
          <cell r="BG2281" t="str">
            <v>Z000</v>
          </cell>
          <cell r="BH2281" t="str">
            <v>ISA</v>
          </cell>
        </row>
        <row r="2282">
          <cell r="K2282">
            <v>0</v>
          </cell>
          <cell r="L2282">
            <v>0</v>
          </cell>
          <cell r="N2282">
            <v>0</v>
          </cell>
          <cell r="O2282">
            <v>0</v>
          </cell>
          <cell r="Q2282">
            <v>0</v>
          </cell>
          <cell r="R2282">
            <v>0</v>
          </cell>
          <cell r="T2282">
            <v>0</v>
          </cell>
          <cell r="U2282">
            <v>0</v>
          </cell>
          <cell r="W2282">
            <v>0</v>
          </cell>
          <cell r="X2282">
            <v>0</v>
          </cell>
          <cell r="Z2282">
            <v>0</v>
          </cell>
          <cell r="AA2282">
            <v>0</v>
          </cell>
          <cell r="AC2282">
            <v>0</v>
          </cell>
          <cell r="AD2282">
            <v>0</v>
          </cell>
          <cell r="AF2282">
            <v>0</v>
          </cell>
          <cell r="AG2282">
            <v>0</v>
          </cell>
          <cell r="AI2282">
            <v>0</v>
          </cell>
          <cell r="AJ2282">
            <v>0</v>
          </cell>
          <cell r="AL2282">
            <v>0</v>
          </cell>
          <cell r="AM2282">
            <v>0</v>
          </cell>
          <cell r="AO2282">
            <v>0</v>
          </cell>
          <cell r="AP2282">
            <v>0</v>
          </cell>
          <cell r="AR2282">
            <v>0</v>
          </cell>
          <cell r="AS2282">
            <v>0</v>
          </cell>
          <cell r="BF2282" t="str">
            <v>7350</v>
          </cell>
          <cell r="BG2282" t="str">
            <v>Z000</v>
          </cell>
          <cell r="BH2282" t="str">
            <v>ISA</v>
          </cell>
        </row>
        <row r="2283">
          <cell r="K2283">
            <v>0</v>
          </cell>
          <cell r="L2283">
            <v>0</v>
          </cell>
          <cell r="N2283">
            <v>0</v>
          </cell>
          <cell r="O2283">
            <v>0</v>
          </cell>
          <cell r="Q2283">
            <v>0</v>
          </cell>
          <cell r="R2283">
            <v>0</v>
          </cell>
          <cell r="T2283">
            <v>0</v>
          </cell>
          <cell r="U2283">
            <v>0</v>
          </cell>
          <cell r="W2283">
            <v>0</v>
          </cell>
          <cell r="X2283">
            <v>0</v>
          </cell>
          <cell r="Z2283">
            <v>0</v>
          </cell>
          <cell r="AA2283">
            <v>0</v>
          </cell>
          <cell r="AC2283">
            <v>0</v>
          </cell>
          <cell r="AD2283">
            <v>0</v>
          </cell>
          <cell r="AF2283">
            <v>0</v>
          </cell>
          <cell r="AG2283">
            <v>0</v>
          </cell>
          <cell r="AI2283">
            <v>0</v>
          </cell>
          <cell r="AJ2283">
            <v>0</v>
          </cell>
          <cell r="AL2283">
            <v>0</v>
          </cell>
          <cell r="AM2283">
            <v>0</v>
          </cell>
          <cell r="AO2283">
            <v>0</v>
          </cell>
          <cell r="AP2283">
            <v>0</v>
          </cell>
          <cell r="AR2283">
            <v>0</v>
          </cell>
          <cell r="AS2283">
            <v>0</v>
          </cell>
          <cell r="BF2283" t="str">
            <v>7400</v>
          </cell>
          <cell r="BG2283" t="str">
            <v>Z000</v>
          </cell>
          <cell r="BH2283" t="str">
            <v>ISA</v>
          </cell>
        </row>
        <row r="2284">
          <cell r="K2284">
            <v>0</v>
          </cell>
          <cell r="L2284">
            <v>0</v>
          </cell>
          <cell r="N2284">
            <v>0</v>
          </cell>
          <cell r="O2284">
            <v>0</v>
          </cell>
          <cell r="Q2284">
            <v>0</v>
          </cell>
          <cell r="R2284">
            <v>0</v>
          </cell>
          <cell r="T2284">
            <v>0</v>
          </cell>
          <cell r="U2284">
            <v>0</v>
          </cell>
          <cell r="W2284">
            <v>0</v>
          </cell>
          <cell r="X2284">
            <v>0</v>
          </cell>
          <cell r="Z2284">
            <v>0</v>
          </cell>
          <cell r="AA2284">
            <v>0</v>
          </cell>
          <cell r="AC2284">
            <v>0</v>
          </cell>
          <cell r="AD2284">
            <v>0</v>
          </cell>
          <cell r="AF2284">
            <v>0</v>
          </cell>
          <cell r="AG2284">
            <v>0</v>
          </cell>
          <cell r="AI2284">
            <v>0</v>
          </cell>
          <cell r="AJ2284">
            <v>0</v>
          </cell>
          <cell r="AL2284">
            <v>0</v>
          </cell>
          <cell r="AM2284">
            <v>0</v>
          </cell>
          <cell r="AO2284">
            <v>0</v>
          </cell>
          <cell r="AP2284">
            <v>0</v>
          </cell>
          <cell r="AR2284">
            <v>0</v>
          </cell>
          <cell r="AS2284">
            <v>0</v>
          </cell>
          <cell r="BF2284" t="str">
            <v>7500</v>
          </cell>
          <cell r="BG2284" t="str">
            <v>Z000</v>
          </cell>
          <cell r="BH2284" t="str">
            <v>ISA</v>
          </cell>
        </row>
        <row r="2285">
          <cell r="K2285">
            <v>0</v>
          </cell>
          <cell r="L2285">
            <v>0</v>
          </cell>
          <cell r="N2285">
            <v>0</v>
          </cell>
          <cell r="O2285">
            <v>0</v>
          </cell>
          <cell r="Q2285">
            <v>0</v>
          </cell>
          <cell r="R2285">
            <v>0</v>
          </cell>
          <cell r="T2285">
            <v>0</v>
          </cell>
          <cell r="U2285">
            <v>0</v>
          </cell>
          <cell r="W2285">
            <v>0</v>
          </cell>
          <cell r="X2285">
            <v>0</v>
          </cell>
          <cell r="Z2285">
            <v>0</v>
          </cell>
          <cell r="AA2285">
            <v>0</v>
          </cell>
          <cell r="AC2285">
            <v>0</v>
          </cell>
          <cell r="AD2285">
            <v>0</v>
          </cell>
          <cell r="AF2285">
            <v>0</v>
          </cell>
          <cell r="AG2285">
            <v>0</v>
          </cell>
          <cell r="AI2285">
            <v>0</v>
          </cell>
          <cell r="AJ2285">
            <v>0</v>
          </cell>
          <cell r="AL2285">
            <v>0</v>
          </cell>
          <cell r="AM2285">
            <v>0</v>
          </cell>
          <cell r="AO2285">
            <v>0</v>
          </cell>
          <cell r="AP2285">
            <v>0</v>
          </cell>
          <cell r="AR2285">
            <v>0</v>
          </cell>
          <cell r="AS2285">
            <v>0</v>
          </cell>
          <cell r="BF2285" t="str">
            <v>7600</v>
          </cell>
          <cell r="BG2285" t="str">
            <v>Z000</v>
          </cell>
          <cell r="BH2285" t="str">
            <v>ISA</v>
          </cell>
        </row>
        <row r="2286">
          <cell r="K2286">
            <v>0</v>
          </cell>
          <cell r="L2286">
            <v>0</v>
          </cell>
          <cell r="N2286">
            <v>0</v>
          </cell>
          <cell r="O2286">
            <v>0</v>
          </cell>
          <cell r="Q2286">
            <v>0</v>
          </cell>
          <cell r="R2286">
            <v>0</v>
          </cell>
          <cell r="T2286">
            <v>0</v>
          </cell>
          <cell r="U2286">
            <v>0</v>
          </cell>
          <cell r="W2286">
            <v>0</v>
          </cell>
          <cell r="X2286">
            <v>0</v>
          </cell>
          <cell r="Z2286">
            <v>0</v>
          </cell>
          <cell r="AA2286">
            <v>0</v>
          </cell>
          <cell r="AC2286">
            <v>0</v>
          </cell>
          <cell r="AD2286">
            <v>0</v>
          </cell>
          <cell r="AF2286">
            <v>0</v>
          </cell>
          <cell r="AG2286">
            <v>0</v>
          </cell>
          <cell r="AI2286">
            <v>0</v>
          </cell>
          <cell r="AJ2286">
            <v>0</v>
          </cell>
          <cell r="AL2286">
            <v>0</v>
          </cell>
          <cell r="AM2286">
            <v>0</v>
          </cell>
          <cell r="AO2286">
            <v>0</v>
          </cell>
          <cell r="AP2286">
            <v>0</v>
          </cell>
          <cell r="AR2286">
            <v>0</v>
          </cell>
          <cell r="AS2286">
            <v>0</v>
          </cell>
          <cell r="BF2286" t="str">
            <v>7700</v>
          </cell>
          <cell r="BG2286" t="str">
            <v>Z000</v>
          </cell>
          <cell r="BH2286" t="str">
            <v>ISA</v>
          </cell>
        </row>
        <row r="2287">
          <cell r="K2287">
            <v>0</v>
          </cell>
          <cell r="L2287">
            <v>0</v>
          </cell>
          <cell r="N2287">
            <v>0</v>
          </cell>
          <cell r="O2287">
            <v>0</v>
          </cell>
          <cell r="Q2287">
            <v>0</v>
          </cell>
          <cell r="R2287">
            <v>0</v>
          </cell>
          <cell r="T2287">
            <v>0</v>
          </cell>
          <cell r="U2287">
            <v>0</v>
          </cell>
          <cell r="W2287">
            <v>0</v>
          </cell>
          <cell r="X2287">
            <v>0</v>
          </cell>
          <cell r="Z2287">
            <v>0</v>
          </cell>
          <cell r="AA2287">
            <v>0</v>
          </cell>
          <cell r="AC2287">
            <v>0</v>
          </cell>
          <cell r="AD2287">
            <v>0</v>
          </cell>
          <cell r="AF2287">
            <v>0</v>
          </cell>
          <cell r="AG2287">
            <v>0</v>
          </cell>
          <cell r="AI2287">
            <v>0</v>
          </cell>
          <cell r="AJ2287">
            <v>0</v>
          </cell>
          <cell r="AL2287">
            <v>0</v>
          </cell>
          <cell r="AM2287">
            <v>0</v>
          </cell>
          <cell r="AO2287">
            <v>0</v>
          </cell>
          <cell r="AP2287">
            <v>0</v>
          </cell>
          <cell r="AR2287">
            <v>0</v>
          </cell>
          <cell r="AS2287">
            <v>0</v>
          </cell>
          <cell r="BF2287" t="str">
            <v>8002</v>
          </cell>
          <cell r="BG2287" t="str">
            <v>Z000</v>
          </cell>
          <cell r="BH2287" t="str">
            <v>ISA</v>
          </cell>
        </row>
        <row r="2288">
          <cell r="K2288">
            <v>0</v>
          </cell>
          <cell r="L2288">
            <v>0</v>
          </cell>
          <cell r="N2288">
            <v>0</v>
          </cell>
          <cell r="O2288">
            <v>0</v>
          </cell>
          <cell r="Q2288">
            <v>0</v>
          </cell>
          <cell r="R2288">
            <v>0</v>
          </cell>
          <cell r="T2288">
            <v>0</v>
          </cell>
          <cell r="U2288">
            <v>0</v>
          </cell>
          <cell r="W2288">
            <v>0</v>
          </cell>
          <cell r="X2288">
            <v>0</v>
          </cell>
          <cell r="Z2288">
            <v>0</v>
          </cell>
          <cell r="AA2288">
            <v>0</v>
          </cell>
          <cell r="AC2288">
            <v>0</v>
          </cell>
          <cell r="AD2288">
            <v>0</v>
          </cell>
          <cell r="AF2288">
            <v>0</v>
          </cell>
          <cell r="AG2288">
            <v>0</v>
          </cell>
          <cell r="AI2288">
            <v>0</v>
          </cell>
          <cell r="AJ2288">
            <v>0</v>
          </cell>
          <cell r="AL2288">
            <v>0</v>
          </cell>
          <cell r="AM2288">
            <v>0</v>
          </cell>
          <cell r="AO2288">
            <v>0</v>
          </cell>
          <cell r="AP2288">
            <v>0</v>
          </cell>
          <cell r="AR2288">
            <v>0</v>
          </cell>
          <cell r="AS2288">
            <v>0</v>
          </cell>
          <cell r="BF2288" t="str">
            <v>8003</v>
          </cell>
          <cell r="BG2288" t="str">
            <v>Z000</v>
          </cell>
          <cell r="BH2288" t="str">
            <v>ISA</v>
          </cell>
        </row>
        <row r="2289">
          <cell r="K2289">
            <v>0</v>
          </cell>
          <cell r="L2289">
            <v>0</v>
          </cell>
          <cell r="N2289">
            <v>0</v>
          </cell>
          <cell r="O2289">
            <v>0</v>
          </cell>
          <cell r="Q2289">
            <v>0</v>
          </cell>
          <cell r="R2289">
            <v>0</v>
          </cell>
          <cell r="T2289">
            <v>0</v>
          </cell>
          <cell r="U2289">
            <v>0</v>
          </cell>
          <cell r="W2289">
            <v>0</v>
          </cell>
          <cell r="X2289">
            <v>0</v>
          </cell>
          <cell r="Z2289">
            <v>0</v>
          </cell>
          <cell r="AA2289">
            <v>0</v>
          </cell>
          <cell r="AC2289">
            <v>0</v>
          </cell>
          <cell r="AD2289">
            <v>0</v>
          </cell>
          <cell r="AF2289">
            <v>0</v>
          </cell>
          <cell r="AG2289">
            <v>0</v>
          </cell>
          <cell r="AI2289">
            <v>0</v>
          </cell>
          <cell r="AJ2289">
            <v>0</v>
          </cell>
          <cell r="AL2289">
            <v>0</v>
          </cell>
          <cell r="AM2289">
            <v>0</v>
          </cell>
          <cell r="AO2289">
            <v>0</v>
          </cell>
          <cell r="AP2289">
            <v>0</v>
          </cell>
          <cell r="AR2289">
            <v>0</v>
          </cell>
          <cell r="AS2289">
            <v>0</v>
          </cell>
          <cell r="BF2289" t="str">
            <v>8200</v>
          </cell>
          <cell r="BG2289" t="str">
            <v>Z000</v>
          </cell>
          <cell r="BH2289" t="str">
            <v>ISA</v>
          </cell>
        </row>
        <row r="2290">
          <cell r="K2290">
            <v>0</v>
          </cell>
          <cell r="L2290">
            <v>0</v>
          </cell>
          <cell r="N2290">
            <v>0</v>
          </cell>
          <cell r="O2290">
            <v>0</v>
          </cell>
          <cell r="Q2290">
            <v>0</v>
          </cell>
          <cell r="R2290">
            <v>0</v>
          </cell>
          <cell r="T2290">
            <v>0</v>
          </cell>
          <cell r="U2290">
            <v>0</v>
          </cell>
          <cell r="W2290">
            <v>0</v>
          </cell>
          <cell r="X2290">
            <v>0</v>
          </cell>
          <cell r="Z2290">
            <v>0</v>
          </cell>
          <cell r="AA2290">
            <v>0</v>
          </cell>
          <cell r="AC2290">
            <v>0</v>
          </cell>
          <cell r="AD2290">
            <v>0</v>
          </cell>
          <cell r="AF2290">
            <v>0</v>
          </cell>
          <cell r="AG2290">
            <v>0</v>
          </cell>
          <cell r="AI2290">
            <v>0</v>
          </cell>
          <cell r="AJ2290">
            <v>0</v>
          </cell>
          <cell r="AL2290">
            <v>0</v>
          </cell>
          <cell r="AM2290">
            <v>0</v>
          </cell>
          <cell r="AO2290">
            <v>0</v>
          </cell>
          <cell r="AP2290">
            <v>0</v>
          </cell>
          <cell r="AR2290">
            <v>0</v>
          </cell>
          <cell r="AS2290">
            <v>0</v>
          </cell>
          <cell r="BF2290" t="str">
            <v>8201</v>
          </cell>
          <cell r="BG2290" t="str">
            <v>Z000</v>
          </cell>
          <cell r="BH2290" t="str">
            <v>ISA</v>
          </cell>
        </row>
        <row r="2291">
          <cell r="K2291">
            <v>0</v>
          </cell>
          <cell r="L2291">
            <v>0</v>
          </cell>
          <cell r="N2291">
            <v>0</v>
          </cell>
          <cell r="O2291">
            <v>0</v>
          </cell>
          <cell r="Q2291">
            <v>0</v>
          </cell>
          <cell r="R2291">
            <v>0</v>
          </cell>
          <cell r="T2291">
            <v>0</v>
          </cell>
          <cell r="U2291">
            <v>0</v>
          </cell>
          <cell r="W2291">
            <v>0</v>
          </cell>
          <cell r="X2291">
            <v>0</v>
          </cell>
          <cell r="Z2291">
            <v>0</v>
          </cell>
          <cell r="AA2291">
            <v>0</v>
          </cell>
          <cell r="AC2291">
            <v>0</v>
          </cell>
          <cell r="AD2291">
            <v>0</v>
          </cell>
          <cell r="AF2291">
            <v>0</v>
          </cell>
          <cell r="AG2291">
            <v>0</v>
          </cell>
          <cell r="AI2291">
            <v>0</v>
          </cell>
          <cell r="AJ2291">
            <v>0</v>
          </cell>
          <cell r="AL2291">
            <v>0</v>
          </cell>
          <cell r="AM2291">
            <v>0</v>
          </cell>
          <cell r="AO2291">
            <v>0</v>
          </cell>
          <cell r="AP2291">
            <v>0</v>
          </cell>
          <cell r="AR2291">
            <v>0</v>
          </cell>
          <cell r="AS2291">
            <v>0</v>
          </cell>
          <cell r="BF2291" t="str">
            <v>8300</v>
          </cell>
          <cell r="BG2291" t="str">
            <v>Z000</v>
          </cell>
          <cell r="BH2291" t="str">
            <v>ISA</v>
          </cell>
        </row>
        <row r="2292">
          <cell r="K2292">
            <v>0</v>
          </cell>
          <cell r="L2292">
            <v>0</v>
          </cell>
          <cell r="N2292">
            <v>0</v>
          </cell>
          <cell r="O2292">
            <v>0</v>
          </cell>
          <cell r="Q2292">
            <v>0</v>
          </cell>
          <cell r="R2292">
            <v>0</v>
          </cell>
          <cell r="T2292">
            <v>0</v>
          </cell>
          <cell r="U2292">
            <v>0</v>
          </cell>
          <cell r="W2292">
            <v>0</v>
          </cell>
          <cell r="X2292">
            <v>0</v>
          </cell>
          <cell r="Z2292">
            <v>0</v>
          </cell>
          <cell r="AA2292">
            <v>0</v>
          </cell>
          <cell r="AC2292">
            <v>0</v>
          </cell>
          <cell r="AD2292">
            <v>0</v>
          </cell>
          <cell r="AF2292">
            <v>0</v>
          </cell>
          <cell r="AG2292">
            <v>0</v>
          </cell>
          <cell r="AI2292">
            <v>0</v>
          </cell>
          <cell r="AJ2292">
            <v>0</v>
          </cell>
          <cell r="AL2292">
            <v>0</v>
          </cell>
          <cell r="AM2292">
            <v>0</v>
          </cell>
          <cell r="AO2292">
            <v>0</v>
          </cell>
          <cell r="AP2292">
            <v>0</v>
          </cell>
          <cell r="AR2292">
            <v>0</v>
          </cell>
          <cell r="AS2292">
            <v>0</v>
          </cell>
          <cell r="BF2292" t="str">
            <v>8400</v>
          </cell>
          <cell r="BG2292" t="str">
            <v>N001</v>
          </cell>
          <cell r="BH2292" t="str">
            <v>ISA</v>
          </cell>
        </row>
        <row r="2293">
          <cell r="K2293">
            <v>0</v>
          </cell>
          <cell r="L2293">
            <v>0</v>
          </cell>
          <cell r="N2293">
            <v>0</v>
          </cell>
          <cell r="O2293">
            <v>0</v>
          </cell>
          <cell r="Q2293">
            <v>0</v>
          </cell>
          <cell r="R2293">
            <v>0</v>
          </cell>
          <cell r="T2293">
            <v>0</v>
          </cell>
          <cell r="U2293">
            <v>0</v>
          </cell>
          <cell r="W2293">
            <v>0</v>
          </cell>
          <cell r="X2293">
            <v>0</v>
          </cell>
          <cell r="Z2293">
            <v>0</v>
          </cell>
          <cell r="AA2293">
            <v>0</v>
          </cell>
          <cell r="AC2293">
            <v>0</v>
          </cell>
          <cell r="AD2293">
            <v>0</v>
          </cell>
          <cell r="AF2293">
            <v>0</v>
          </cell>
          <cell r="AG2293">
            <v>0</v>
          </cell>
          <cell r="AI2293">
            <v>0</v>
          </cell>
          <cell r="AJ2293">
            <v>0</v>
          </cell>
          <cell r="AL2293">
            <v>0</v>
          </cell>
          <cell r="AM2293">
            <v>0</v>
          </cell>
          <cell r="AO2293">
            <v>0</v>
          </cell>
          <cell r="AP2293">
            <v>0</v>
          </cell>
          <cell r="AR2293">
            <v>0</v>
          </cell>
          <cell r="AS2293">
            <v>0</v>
          </cell>
          <cell r="BF2293" t="str">
            <v>8400</v>
          </cell>
          <cell r="BG2293" t="str">
            <v>N002</v>
          </cell>
          <cell r="BH2293" t="str">
            <v>ISA</v>
          </cell>
        </row>
        <row r="2294">
          <cell r="K2294">
            <v>0</v>
          </cell>
          <cell r="L2294">
            <v>0</v>
          </cell>
          <cell r="N2294">
            <v>0</v>
          </cell>
          <cell r="O2294">
            <v>0</v>
          </cell>
          <cell r="Q2294">
            <v>0</v>
          </cell>
          <cell r="R2294">
            <v>0</v>
          </cell>
          <cell r="T2294">
            <v>0</v>
          </cell>
          <cell r="U2294">
            <v>0</v>
          </cell>
          <cell r="W2294">
            <v>0</v>
          </cell>
          <cell r="X2294">
            <v>0</v>
          </cell>
          <cell r="Z2294">
            <v>0</v>
          </cell>
          <cell r="AA2294">
            <v>0</v>
          </cell>
          <cell r="AC2294">
            <v>0</v>
          </cell>
          <cell r="AD2294">
            <v>0</v>
          </cell>
          <cell r="AF2294">
            <v>0</v>
          </cell>
          <cell r="AG2294">
            <v>0</v>
          </cell>
          <cell r="AI2294">
            <v>0</v>
          </cell>
          <cell r="AJ2294">
            <v>0</v>
          </cell>
          <cell r="AL2294">
            <v>0</v>
          </cell>
          <cell r="AM2294">
            <v>0</v>
          </cell>
          <cell r="AO2294">
            <v>0</v>
          </cell>
          <cell r="AP2294">
            <v>0</v>
          </cell>
          <cell r="AR2294">
            <v>0</v>
          </cell>
          <cell r="AS2294">
            <v>0</v>
          </cell>
          <cell r="BF2294" t="str">
            <v>8400</v>
          </cell>
          <cell r="BG2294" t="str">
            <v>N003</v>
          </cell>
          <cell r="BH2294" t="str">
            <v>ISA</v>
          </cell>
        </row>
        <row r="2295">
          <cell r="K2295">
            <v>0</v>
          </cell>
          <cell r="L2295">
            <v>0</v>
          </cell>
          <cell r="N2295">
            <v>0</v>
          </cell>
          <cell r="O2295">
            <v>0</v>
          </cell>
          <cell r="Q2295">
            <v>0</v>
          </cell>
          <cell r="R2295">
            <v>0</v>
          </cell>
          <cell r="T2295">
            <v>0</v>
          </cell>
          <cell r="U2295">
            <v>0</v>
          </cell>
          <cell r="W2295">
            <v>0</v>
          </cell>
          <cell r="X2295">
            <v>0</v>
          </cell>
          <cell r="Z2295">
            <v>0</v>
          </cell>
          <cell r="AA2295">
            <v>0</v>
          </cell>
          <cell r="AC2295">
            <v>0</v>
          </cell>
          <cell r="AD2295">
            <v>0</v>
          </cell>
          <cell r="AF2295">
            <v>0</v>
          </cell>
          <cell r="AG2295">
            <v>0</v>
          </cell>
          <cell r="AI2295">
            <v>0</v>
          </cell>
          <cell r="AJ2295">
            <v>0</v>
          </cell>
          <cell r="AL2295">
            <v>0</v>
          </cell>
          <cell r="AM2295">
            <v>0</v>
          </cell>
          <cell r="AO2295">
            <v>0</v>
          </cell>
          <cell r="AP2295">
            <v>0</v>
          </cell>
          <cell r="AR2295">
            <v>0</v>
          </cell>
          <cell r="AS2295">
            <v>0</v>
          </cell>
          <cell r="BF2295" t="str">
            <v>8400</v>
          </cell>
          <cell r="BG2295" t="str">
            <v>N004</v>
          </cell>
          <cell r="BH2295" t="str">
            <v>ISA</v>
          </cell>
        </row>
        <row r="2296">
          <cell r="K2296">
            <v>0</v>
          </cell>
          <cell r="L2296">
            <v>0</v>
          </cell>
          <cell r="N2296">
            <v>0</v>
          </cell>
          <cell r="O2296">
            <v>0</v>
          </cell>
          <cell r="Q2296">
            <v>0</v>
          </cell>
          <cell r="R2296">
            <v>0</v>
          </cell>
          <cell r="T2296">
            <v>0</v>
          </cell>
          <cell r="U2296">
            <v>0</v>
          </cell>
          <cell r="W2296">
            <v>0</v>
          </cell>
          <cell r="X2296">
            <v>0</v>
          </cell>
          <cell r="Z2296">
            <v>0</v>
          </cell>
          <cell r="AA2296">
            <v>0</v>
          </cell>
          <cell r="AC2296">
            <v>0</v>
          </cell>
          <cell r="AD2296">
            <v>0</v>
          </cell>
          <cell r="AF2296">
            <v>0</v>
          </cell>
          <cell r="AG2296">
            <v>0</v>
          </cell>
          <cell r="AI2296">
            <v>0</v>
          </cell>
          <cell r="AJ2296">
            <v>0</v>
          </cell>
          <cell r="AL2296">
            <v>0</v>
          </cell>
          <cell r="AM2296">
            <v>0</v>
          </cell>
          <cell r="AO2296">
            <v>0</v>
          </cell>
          <cell r="AP2296">
            <v>0</v>
          </cell>
          <cell r="AR2296">
            <v>0</v>
          </cell>
          <cell r="AS2296">
            <v>0</v>
          </cell>
          <cell r="BF2296" t="str">
            <v>8400</v>
          </cell>
          <cell r="BG2296" t="str">
            <v>N005</v>
          </cell>
          <cell r="BH2296" t="str">
            <v>ISA</v>
          </cell>
        </row>
        <row r="2297">
          <cell r="K2297">
            <v>0</v>
          </cell>
          <cell r="L2297">
            <v>0</v>
          </cell>
          <cell r="N2297">
            <v>0</v>
          </cell>
          <cell r="O2297">
            <v>0</v>
          </cell>
          <cell r="Q2297">
            <v>0</v>
          </cell>
          <cell r="R2297">
            <v>0</v>
          </cell>
          <cell r="T2297">
            <v>0</v>
          </cell>
          <cell r="U2297">
            <v>0</v>
          </cell>
          <cell r="W2297">
            <v>0</v>
          </cell>
          <cell r="X2297">
            <v>0</v>
          </cell>
          <cell r="Z2297">
            <v>0</v>
          </cell>
          <cell r="AA2297">
            <v>0</v>
          </cell>
          <cell r="AC2297">
            <v>0</v>
          </cell>
          <cell r="AD2297">
            <v>0</v>
          </cell>
          <cell r="AF2297">
            <v>0</v>
          </cell>
          <cell r="AG2297">
            <v>0</v>
          </cell>
          <cell r="AI2297">
            <v>0</v>
          </cell>
          <cell r="AJ2297">
            <v>0</v>
          </cell>
          <cell r="AL2297">
            <v>0</v>
          </cell>
          <cell r="AM2297">
            <v>0</v>
          </cell>
          <cell r="AO2297">
            <v>0</v>
          </cell>
          <cell r="AP2297">
            <v>0</v>
          </cell>
          <cell r="AR2297">
            <v>0</v>
          </cell>
          <cell r="AS2297">
            <v>0</v>
          </cell>
          <cell r="BF2297" t="str">
            <v>8400</v>
          </cell>
          <cell r="BG2297" t="str">
            <v>N006</v>
          </cell>
          <cell r="BH2297" t="str">
            <v>ISA</v>
          </cell>
        </row>
        <row r="2298">
          <cell r="K2298">
            <v>0</v>
          </cell>
          <cell r="L2298">
            <v>0</v>
          </cell>
          <cell r="N2298">
            <v>0</v>
          </cell>
          <cell r="O2298">
            <v>0</v>
          </cell>
          <cell r="Q2298">
            <v>0</v>
          </cell>
          <cell r="R2298">
            <v>0</v>
          </cell>
          <cell r="T2298">
            <v>0</v>
          </cell>
          <cell r="U2298">
            <v>0</v>
          </cell>
          <cell r="W2298">
            <v>0</v>
          </cell>
          <cell r="X2298">
            <v>0</v>
          </cell>
          <cell r="Z2298">
            <v>0</v>
          </cell>
          <cell r="AA2298">
            <v>0</v>
          </cell>
          <cell r="AC2298">
            <v>0</v>
          </cell>
          <cell r="AD2298">
            <v>0</v>
          </cell>
          <cell r="AF2298">
            <v>0</v>
          </cell>
          <cell r="AG2298">
            <v>0</v>
          </cell>
          <cell r="AI2298">
            <v>0</v>
          </cell>
          <cell r="AJ2298">
            <v>0</v>
          </cell>
          <cell r="AL2298">
            <v>0</v>
          </cell>
          <cell r="AM2298">
            <v>0</v>
          </cell>
          <cell r="AO2298">
            <v>0</v>
          </cell>
          <cell r="AP2298">
            <v>0</v>
          </cell>
          <cell r="AR2298">
            <v>0</v>
          </cell>
          <cell r="AS2298">
            <v>0</v>
          </cell>
          <cell r="BF2298" t="str">
            <v>8400</v>
          </cell>
          <cell r="BG2298" t="str">
            <v>N007</v>
          </cell>
          <cell r="BH2298" t="str">
            <v>ISA</v>
          </cell>
        </row>
        <row r="2299">
          <cell r="K2299">
            <v>0</v>
          </cell>
          <cell r="L2299">
            <v>0</v>
          </cell>
          <cell r="N2299">
            <v>0</v>
          </cell>
          <cell r="O2299">
            <v>0</v>
          </cell>
          <cell r="Q2299">
            <v>0</v>
          </cell>
          <cell r="R2299">
            <v>0</v>
          </cell>
          <cell r="T2299">
            <v>0</v>
          </cell>
          <cell r="U2299">
            <v>0</v>
          </cell>
          <cell r="W2299">
            <v>0</v>
          </cell>
          <cell r="X2299">
            <v>0</v>
          </cell>
          <cell r="Z2299">
            <v>0</v>
          </cell>
          <cell r="AA2299">
            <v>0</v>
          </cell>
          <cell r="AC2299">
            <v>0</v>
          </cell>
          <cell r="AD2299">
            <v>0</v>
          </cell>
          <cell r="AF2299">
            <v>0</v>
          </cell>
          <cell r="AG2299">
            <v>0</v>
          </cell>
          <cell r="AI2299">
            <v>0</v>
          </cell>
          <cell r="AJ2299">
            <v>0</v>
          </cell>
          <cell r="AL2299">
            <v>0</v>
          </cell>
          <cell r="AM2299">
            <v>0</v>
          </cell>
          <cell r="AO2299">
            <v>0</v>
          </cell>
          <cell r="AP2299">
            <v>0</v>
          </cell>
          <cell r="AR2299">
            <v>0</v>
          </cell>
          <cell r="AS2299">
            <v>0</v>
          </cell>
          <cell r="BF2299" t="str">
            <v>8400</v>
          </cell>
          <cell r="BG2299" t="str">
            <v>N008</v>
          </cell>
          <cell r="BH2299" t="str">
            <v>ISA</v>
          </cell>
        </row>
        <row r="2300">
          <cell r="K2300">
            <v>0</v>
          </cell>
          <cell r="L2300">
            <v>0</v>
          </cell>
          <cell r="N2300">
            <v>0</v>
          </cell>
          <cell r="O2300">
            <v>0</v>
          </cell>
          <cell r="Q2300">
            <v>0</v>
          </cell>
          <cell r="R2300">
            <v>0</v>
          </cell>
          <cell r="T2300">
            <v>0</v>
          </cell>
          <cell r="U2300">
            <v>0</v>
          </cell>
          <cell r="W2300">
            <v>0</v>
          </cell>
          <cell r="X2300">
            <v>0</v>
          </cell>
          <cell r="Z2300">
            <v>0</v>
          </cell>
          <cell r="AA2300">
            <v>0</v>
          </cell>
          <cell r="AC2300">
            <v>0</v>
          </cell>
          <cell r="AD2300">
            <v>0</v>
          </cell>
          <cell r="AF2300">
            <v>0</v>
          </cell>
          <cell r="AG2300">
            <v>0</v>
          </cell>
          <cell r="AI2300">
            <v>0</v>
          </cell>
          <cell r="AJ2300">
            <v>0</v>
          </cell>
          <cell r="AL2300">
            <v>0</v>
          </cell>
          <cell r="AM2300">
            <v>0</v>
          </cell>
          <cell r="AO2300">
            <v>0</v>
          </cell>
          <cell r="AP2300">
            <v>0</v>
          </cell>
          <cell r="AR2300">
            <v>0</v>
          </cell>
          <cell r="AS2300">
            <v>0</v>
          </cell>
          <cell r="BF2300" t="str">
            <v>8400</v>
          </cell>
          <cell r="BG2300" t="str">
            <v>N999</v>
          </cell>
          <cell r="BH2300" t="str">
            <v>ISA</v>
          </cell>
        </row>
        <row r="2301">
          <cell r="K2301">
            <v>0</v>
          </cell>
          <cell r="L2301">
            <v>0</v>
          </cell>
          <cell r="N2301">
            <v>0</v>
          </cell>
          <cell r="O2301">
            <v>0</v>
          </cell>
          <cell r="Q2301">
            <v>0</v>
          </cell>
          <cell r="R2301">
            <v>0</v>
          </cell>
          <cell r="T2301">
            <v>0</v>
          </cell>
          <cell r="U2301">
            <v>0</v>
          </cell>
          <cell r="W2301">
            <v>0</v>
          </cell>
          <cell r="X2301">
            <v>0</v>
          </cell>
          <cell r="Z2301">
            <v>0</v>
          </cell>
          <cell r="AA2301">
            <v>0</v>
          </cell>
          <cell r="AC2301">
            <v>0</v>
          </cell>
          <cell r="AD2301">
            <v>0</v>
          </cell>
          <cell r="AF2301">
            <v>0</v>
          </cell>
          <cell r="AG2301">
            <v>0</v>
          </cell>
          <cell r="AI2301">
            <v>0</v>
          </cell>
          <cell r="AJ2301">
            <v>0</v>
          </cell>
          <cell r="AL2301">
            <v>0</v>
          </cell>
          <cell r="AM2301">
            <v>0</v>
          </cell>
          <cell r="AO2301">
            <v>0</v>
          </cell>
          <cell r="AP2301">
            <v>0</v>
          </cell>
          <cell r="AR2301">
            <v>0</v>
          </cell>
          <cell r="AS2301">
            <v>0</v>
          </cell>
          <cell r="BF2301" t="str">
            <v>8420</v>
          </cell>
          <cell r="BG2301" t="str">
            <v>Z000</v>
          </cell>
          <cell r="BH2301" t="str">
            <v>ISA</v>
          </cell>
        </row>
        <row r="2302">
          <cell r="K2302">
            <v>0</v>
          </cell>
          <cell r="L2302">
            <v>0</v>
          </cell>
          <cell r="N2302">
            <v>0</v>
          </cell>
          <cell r="O2302">
            <v>0</v>
          </cell>
          <cell r="Q2302">
            <v>0</v>
          </cell>
          <cell r="R2302">
            <v>0</v>
          </cell>
          <cell r="T2302">
            <v>0</v>
          </cell>
          <cell r="U2302">
            <v>0</v>
          </cell>
          <cell r="W2302">
            <v>0</v>
          </cell>
          <cell r="X2302">
            <v>0</v>
          </cell>
          <cell r="Z2302">
            <v>0</v>
          </cell>
          <cell r="AA2302">
            <v>0</v>
          </cell>
          <cell r="AC2302">
            <v>0</v>
          </cell>
          <cell r="AD2302">
            <v>0</v>
          </cell>
          <cell r="AF2302">
            <v>0</v>
          </cell>
          <cell r="AG2302">
            <v>0</v>
          </cell>
          <cell r="AI2302">
            <v>0</v>
          </cell>
          <cell r="AJ2302">
            <v>0</v>
          </cell>
          <cell r="AL2302">
            <v>0</v>
          </cell>
          <cell r="AM2302">
            <v>0</v>
          </cell>
          <cell r="AO2302">
            <v>0</v>
          </cell>
          <cell r="AP2302">
            <v>0</v>
          </cell>
          <cell r="AR2302">
            <v>0</v>
          </cell>
          <cell r="AS2302">
            <v>0</v>
          </cell>
          <cell r="BF2302" t="str">
            <v>8500</v>
          </cell>
          <cell r="BG2302" t="str">
            <v>O101</v>
          </cell>
          <cell r="BH2302" t="str">
            <v>ISA</v>
          </cell>
        </row>
        <row r="2303">
          <cell r="K2303">
            <v>0</v>
          </cell>
          <cell r="L2303">
            <v>0</v>
          </cell>
          <cell r="N2303">
            <v>0</v>
          </cell>
          <cell r="O2303">
            <v>0</v>
          </cell>
          <cell r="Q2303">
            <v>0</v>
          </cell>
          <cell r="R2303">
            <v>0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Z2303">
            <v>0</v>
          </cell>
          <cell r="AA2303">
            <v>0</v>
          </cell>
          <cell r="AC2303">
            <v>0</v>
          </cell>
          <cell r="AD2303">
            <v>0</v>
          </cell>
          <cell r="AF2303">
            <v>0</v>
          </cell>
          <cell r="AG2303">
            <v>0</v>
          </cell>
          <cell r="AI2303">
            <v>0</v>
          </cell>
          <cell r="AJ2303">
            <v>0</v>
          </cell>
          <cell r="AL2303">
            <v>0</v>
          </cell>
          <cell r="AM2303">
            <v>0</v>
          </cell>
          <cell r="AO2303">
            <v>0</v>
          </cell>
          <cell r="AP2303">
            <v>0</v>
          </cell>
          <cell r="AR2303">
            <v>0</v>
          </cell>
          <cell r="AS2303">
            <v>0</v>
          </cell>
          <cell r="BF2303" t="str">
            <v>8600</v>
          </cell>
          <cell r="BG2303" t="str">
            <v>P201</v>
          </cell>
          <cell r="BH2303" t="str">
            <v>ISA</v>
          </cell>
        </row>
        <row r="2304">
          <cell r="K2304">
            <v>0</v>
          </cell>
          <cell r="L2304">
            <v>0</v>
          </cell>
          <cell r="N2304">
            <v>0</v>
          </cell>
          <cell r="O2304">
            <v>0</v>
          </cell>
          <cell r="Q2304">
            <v>0</v>
          </cell>
          <cell r="R2304">
            <v>0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Z2304">
            <v>0</v>
          </cell>
          <cell r="AA2304">
            <v>0</v>
          </cell>
          <cell r="AC2304">
            <v>0</v>
          </cell>
          <cell r="AD2304">
            <v>0</v>
          </cell>
          <cell r="AF2304">
            <v>0</v>
          </cell>
          <cell r="AG2304">
            <v>0</v>
          </cell>
          <cell r="AI2304">
            <v>0</v>
          </cell>
          <cell r="AJ2304">
            <v>0</v>
          </cell>
          <cell r="AL2304">
            <v>0</v>
          </cell>
          <cell r="AM2304">
            <v>0</v>
          </cell>
          <cell r="AO2304">
            <v>0</v>
          </cell>
          <cell r="AP2304">
            <v>0</v>
          </cell>
          <cell r="AR2304">
            <v>0</v>
          </cell>
          <cell r="AS2304">
            <v>0</v>
          </cell>
          <cell r="BF2304" t="str">
            <v>8600</v>
          </cell>
          <cell r="BG2304" t="str">
            <v>P202</v>
          </cell>
          <cell r="BH2304" t="str">
            <v>ISA</v>
          </cell>
        </row>
        <row r="2305">
          <cell r="K2305">
            <v>0</v>
          </cell>
          <cell r="L2305">
            <v>0</v>
          </cell>
          <cell r="N2305">
            <v>0</v>
          </cell>
          <cell r="O2305">
            <v>0</v>
          </cell>
          <cell r="Q2305">
            <v>0</v>
          </cell>
          <cell r="R2305">
            <v>0</v>
          </cell>
          <cell r="T2305">
            <v>0</v>
          </cell>
          <cell r="U2305">
            <v>0</v>
          </cell>
          <cell r="W2305">
            <v>0</v>
          </cell>
          <cell r="X2305">
            <v>0</v>
          </cell>
          <cell r="Z2305">
            <v>0</v>
          </cell>
          <cell r="AA2305">
            <v>0</v>
          </cell>
          <cell r="AC2305">
            <v>0</v>
          </cell>
          <cell r="AD2305">
            <v>0</v>
          </cell>
          <cell r="AF2305">
            <v>0</v>
          </cell>
          <cell r="AG2305">
            <v>0</v>
          </cell>
          <cell r="AI2305">
            <v>0</v>
          </cell>
          <cell r="AJ2305">
            <v>0</v>
          </cell>
          <cell r="AL2305">
            <v>0</v>
          </cell>
          <cell r="AM2305">
            <v>0</v>
          </cell>
          <cell r="AO2305">
            <v>0</v>
          </cell>
          <cell r="AP2305">
            <v>0</v>
          </cell>
          <cell r="AR2305">
            <v>0</v>
          </cell>
          <cell r="AS2305">
            <v>0</v>
          </cell>
          <cell r="BF2305" t="str">
            <v>8600</v>
          </cell>
          <cell r="BG2305" t="str">
            <v>P203</v>
          </cell>
          <cell r="BH2305" t="str">
            <v>ISA</v>
          </cell>
        </row>
        <row r="2306">
          <cell r="K2306">
            <v>0</v>
          </cell>
          <cell r="L2306">
            <v>0</v>
          </cell>
          <cell r="N2306">
            <v>0</v>
          </cell>
          <cell r="O2306">
            <v>0</v>
          </cell>
          <cell r="Q2306">
            <v>0</v>
          </cell>
          <cell r="R2306">
            <v>0</v>
          </cell>
          <cell r="T2306">
            <v>0</v>
          </cell>
          <cell r="U2306">
            <v>0</v>
          </cell>
          <cell r="W2306">
            <v>0</v>
          </cell>
          <cell r="X2306">
            <v>0</v>
          </cell>
          <cell r="Z2306">
            <v>0</v>
          </cell>
          <cell r="AA2306">
            <v>0</v>
          </cell>
          <cell r="AC2306">
            <v>0</v>
          </cell>
          <cell r="AD2306">
            <v>0</v>
          </cell>
          <cell r="AF2306">
            <v>0</v>
          </cell>
          <cell r="AG2306">
            <v>0</v>
          </cell>
          <cell r="AI2306">
            <v>0</v>
          </cell>
          <cell r="AJ2306">
            <v>0</v>
          </cell>
          <cell r="AL2306">
            <v>0</v>
          </cell>
          <cell r="AM2306">
            <v>0</v>
          </cell>
          <cell r="AO2306">
            <v>0</v>
          </cell>
          <cell r="AP2306">
            <v>0</v>
          </cell>
          <cell r="AR2306">
            <v>0</v>
          </cell>
          <cell r="AS2306">
            <v>0</v>
          </cell>
          <cell r="BF2306" t="str">
            <v>8600</v>
          </cell>
          <cell r="BG2306" t="str">
            <v>P204</v>
          </cell>
          <cell r="BH2306" t="str">
            <v>ISA</v>
          </cell>
        </row>
        <row r="2307">
          <cell r="K2307">
            <v>0</v>
          </cell>
          <cell r="L2307">
            <v>0</v>
          </cell>
          <cell r="N2307">
            <v>0</v>
          </cell>
          <cell r="O2307">
            <v>0</v>
          </cell>
          <cell r="Q2307">
            <v>0</v>
          </cell>
          <cell r="R2307">
            <v>0</v>
          </cell>
          <cell r="T2307">
            <v>0</v>
          </cell>
          <cell r="U2307">
            <v>0</v>
          </cell>
          <cell r="W2307">
            <v>0</v>
          </cell>
          <cell r="X2307">
            <v>0</v>
          </cell>
          <cell r="Z2307">
            <v>0</v>
          </cell>
          <cell r="AA2307">
            <v>0</v>
          </cell>
          <cell r="AC2307">
            <v>0</v>
          </cell>
          <cell r="AD2307">
            <v>0</v>
          </cell>
          <cell r="AF2307">
            <v>0</v>
          </cell>
          <cell r="AG2307">
            <v>0</v>
          </cell>
          <cell r="AI2307">
            <v>0</v>
          </cell>
          <cell r="AJ2307">
            <v>0</v>
          </cell>
          <cell r="AL2307">
            <v>0</v>
          </cell>
          <cell r="AM2307">
            <v>0</v>
          </cell>
          <cell r="AO2307">
            <v>0</v>
          </cell>
          <cell r="AP2307">
            <v>0</v>
          </cell>
          <cell r="AR2307">
            <v>0</v>
          </cell>
          <cell r="AS2307">
            <v>0</v>
          </cell>
          <cell r="BF2307" t="str">
            <v>8600</v>
          </cell>
          <cell r="BG2307" t="str">
            <v>P205</v>
          </cell>
          <cell r="BH2307" t="str">
            <v>ISA</v>
          </cell>
        </row>
        <row r="2308">
          <cell r="K2308">
            <v>0</v>
          </cell>
          <cell r="L2308">
            <v>0</v>
          </cell>
          <cell r="N2308">
            <v>0</v>
          </cell>
          <cell r="O2308">
            <v>0</v>
          </cell>
          <cell r="Q2308">
            <v>0</v>
          </cell>
          <cell r="R2308">
            <v>0</v>
          </cell>
          <cell r="T2308">
            <v>0</v>
          </cell>
          <cell r="U2308">
            <v>0</v>
          </cell>
          <cell r="W2308">
            <v>0</v>
          </cell>
          <cell r="X2308">
            <v>0</v>
          </cell>
          <cell r="Z2308">
            <v>0</v>
          </cell>
          <cell r="AA2308">
            <v>0</v>
          </cell>
          <cell r="AC2308">
            <v>0</v>
          </cell>
          <cell r="AD2308">
            <v>0</v>
          </cell>
          <cell r="AF2308">
            <v>0</v>
          </cell>
          <cell r="AG2308">
            <v>0</v>
          </cell>
          <cell r="AI2308">
            <v>0</v>
          </cell>
          <cell r="AJ2308">
            <v>0</v>
          </cell>
          <cell r="AL2308">
            <v>0</v>
          </cell>
          <cell r="AM2308">
            <v>0</v>
          </cell>
          <cell r="AO2308">
            <v>0</v>
          </cell>
          <cell r="AP2308">
            <v>0</v>
          </cell>
          <cell r="AR2308">
            <v>0</v>
          </cell>
          <cell r="AS2308">
            <v>0</v>
          </cell>
          <cell r="BF2308" t="str">
            <v>8600</v>
          </cell>
          <cell r="BG2308" t="str">
            <v>P206</v>
          </cell>
          <cell r="BH2308" t="str">
            <v>ISA</v>
          </cell>
        </row>
        <row r="2309">
          <cell r="K2309">
            <v>0</v>
          </cell>
          <cell r="L2309">
            <v>0</v>
          </cell>
          <cell r="N2309">
            <v>0</v>
          </cell>
          <cell r="O2309">
            <v>0</v>
          </cell>
          <cell r="Q2309">
            <v>0</v>
          </cell>
          <cell r="R2309">
            <v>0</v>
          </cell>
          <cell r="T2309">
            <v>0</v>
          </cell>
          <cell r="U2309">
            <v>0</v>
          </cell>
          <cell r="W2309">
            <v>0</v>
          </cell>
          <cell r="X2309">
            <v>0</v>
          </cell>
          <cell r="Z2309">
            <v>0</v>
          </cell>
          <cell r="AA2309">
            <v>0</v>
          </cell>
          <cell r="AC2309">
            <v>0</v>
          </cell>
          <cell r="AD2309">
            <v>0</v>
          </cell>
          <cell r="AF2309">
            <v>0</v>
          </cell>
          <cell r="AG2309">
            <v>0</v>
          </cell>
          <cell r="AI2309">
            <v>0</v>
          </cell>
          <cell r="AJ2309">
            <v>0</v>
          </cell>
          <cell r="AL2309">
            <v>0</v>
          </cell>
          <cell r="AM2309">
            <v>0</v>
          </cell>
          <cell r="AO2309">
            <v>0</v>
          </cell>
          <cell r="AP2309">
            <v>0</v>
          </cell>
          <cell r="AR2309">
            <v>0</v>
          </cell>
          <cell r="AS2309">
            <v>0</v>
          </cell>
          <cell r="BF2309" t="str">
            <v>8600</v>
          </cell>
          <cell r="BG2309" t="str">
            <v>P207</v>
          </cell>
          <cell r="BH2309" t="str">
            <v>ISA</v>
          </cell>
        </row>
        <row r="2310">
          <cell r="K2310">
            <v>0</v>
          </cell>
          <cell r="L2310">
            <v>0</v>
          </cell>
          <cell r="N2310">
            <v>0</v>
          </cell>
          <cell r="O2310">
            <v>0</v>
          </cell>
          <cell r="Q2310">
            <v>0</v>
          </cell>
          <cell r="R2310">
            <v>0</v>
          </cell>
          <cell r="T2310">
            <v>0</v>
          </cell>
          <cell r="U2310">
            <v>0</v>
          </cell>
          <cell r="W2310">
            <v>0</v>
          </cell>
          <cell r="X2310">
            <v>0</v>
          </cell>
          <cell r="Z2310">
            <v>0</v>
          </cell>
          <cell r="AA2310">
            <v>0</v>
          </cell>
          <cell r="AC2310">
            <v>0</v>
          </cell>
          <cell r="AD2310">
            <v>0</v>
          </cell>
          <cell r="AF2310">
            <v>0</v>
          </cell>
          <cell r="AG2310">
            <v>0</v>
          </cell>
          <cell r="AI2310">
            <v>0</v>
          </cell>
          <cell r="AJ2310">
            <v>0</v>
          </cell>
          <cell r="AL2310">
            <v>0</v>
          </cell>
          <cell r="AM2310">
            <v>0</v>
          </cell>
          <cell r="AO2310">
            <v>0</v>
          </cell>
          <cell r="AP2310">
            <v>0</v>
          </cell>
          <cell r="AR2310">
            <v>0</v>
          </cell>
          <cell r="AS2310">
            <v>0</v>
          </cell>
          <cell r="BF2310" t="str">
            <v>8600</v>
          </cell>
          <cell r="BG2310" t="str">
            <v>P208</v>
          </cell>
          <cell r="BH2310" t="str">
            <v>ISA</v>
          </cell>
        </row>
        <row r="2311">
          <cell r="K2311">
            <v>0</v>
          </cell>
          <cell r="L2311">
            <v>0</v>
          </cell>
          <cell r="N2311">
            <v>0</v>
          </cell>
          <cell r="O2311">
            <v>0</v>
          </cell>
          <cell r="Q2311">
            <v>0</v>
          </cell>
          <cell r="R2311">
            <v>0</v>
          </cell>
          <cell r="T2311">
            <v>0</v>
          </cell>
          <cell r="U2311">
            <v>0</v>
          </cell>
          <cell r="W2311">
            <v>0</v>
          </cell>
          <cell r="X2311">
            <v>0</v>
          </cell>
          <cell r="Z2311">
            <v>0</v>
          </cell>
          <cell r="AA2311">
            <v>0</v>
          </cell>
          <cell r="AC2311">
            <v>0</v>
          </cell>
          <cell r="AD2311">
            <v>0</v>
          </cell>
          <cell r="AF2311">
            <v>0</v>
          </cell>
          <cell r="AG2311">
            <v>0</v>
          </cell>
          <cell r="AI2311">
            <v>0</v>
          </cell>
          <cell r="AJ2311">
            <v>0</v>
          </cell>
          <cell r="AL2311">
            <v>0</v>
          </cell>
          <cell r="AM2311">
            <v>0</v>
          </cell>
          <cell r="AO2311">
            <v>0</v>
          </cell>
          <cell r="AP2311">
            <v>0</v>
          </cell>
          <cell r="AR2311">
            <v>0</v>
          </cell>
          <cell r="AS2311">
            <v>0</v>
          </cell>
          <cell r="BF2311" t="str">
            <v>8600</v>
          </cell>
          <cell r="BG2311" t="str">
            <v>P209</v>
          </cell>
          <cell r="BH2311" t="str">
            <v>ISA</v>
          </cell>
        </row>
        <row r="2312">
          <cell r="K2312">
            <v>0</v>
          </cell>
          <cell r="L2312">
            <v>0</v>
          </cell>
          <cell r="N2312">
            <v>0</v>
          </cell>
          <cell r="O2312">
            <v>0</v>
          </cell>
          <cell r="Q2312">
            <v>0</v>
          </cell>
          <cell r="R2312">
            <v>0</v>
          </cell>
          <cell r="T2312">
            <v>0</v>
          </cell>
          <cell r="U2312">
            <v>0</v>
          </cell>
          <cell r="W2312">
            <v>0</v>
          </cell>
          <cell r="X2312">
            <v>0</v>
          </cell>
          <cell r="Z2312">
            <v>0</v>
          </cell>
          <cell r="AA2312">
            <v>0</v>
          </cell>
          <cell r="AC2312">
            <v>0</v>
          </cell>
          <cell r="AD2312">
            <v>0</v>
          </cell>
          <cell r="AF2312">
            <v>0</v>
          </cell>
          <cell r="AG2312">
            <v>0</v>
          </cell>
          <cell r="AI2312">
            <v>0</v>
          </cell>
          <cell r="AJ2312">
            <v>0</v>
          </cell>
          <cell r="AL2312">
            <v>0</v>
          </cell>
          <cell r="AM2312">
            <v>0</v>
          </cell>
          <cell r="AO2312">
            <v>0</v>
          </cell>
          <cell r="AP2312">
            <v>0</v>
          </cell>
          <cell r="AR2312">
            <v>0</v>
          </cell>
          <cell r="AS2312">
            <v>0</v>
          </cell>
          <cell r="BF2312" t="str">
            <v>8600</v>
          </cell>
          <cell r="BG2312" t="str">
            <v>P210</v>
          </cell>
          <cell r="BH2312" t="str">
            <v>ISA</v>
          </cell>
        </row>
        <row r="2313">
          <cell r="K2313">
            <v>0</v>
          </cell>
          <cell r="L2313">
            <v>0</v>
          </cell>
          <cell r="N2313">
            <v>0</v>
          </cell>
          <cell r="O2313">
            <v>0</v>
          </cell>
          <cell r="Q2313">
            <v>0</v>
          </cell>
          <cell r="R2313">
            <v>0</v>
          </cell>
          <cell r="T2313">
            <v>0</v>
          </cell>
          <cell r="U2313">
            <v>0</v>
          </cell>
          <cell r="W2313">
            <v>0</v>
          </cell>
          <cell r="X2313">
            <v>0</v>
          </cell>
          <cell r="Z2313">
            <v>0</v>
          </cell>
          <cell r="AA2313">
            <v>0</v>
          </cell>
          <cell r="AC2313">
            <v>0</v>
          </cell>
          <cell r="AD2313">
            <v>0</v>
          </cell>
          <cell r="AF2313">
            <v>0</v>
          </cell>
          <cell r="AG2313">
            <v>0</v>
          </cell>
          <cell r="AI2313">
            <v>0</v>
          </cell>
          <cell r="AJ2313">
            <v>0</v>
          </cell>
          <cell r="AL2313">
            <v>0</v>
          </cell>
          <cell r="AM2313">
            <v>0</v>
          </cell>
          <cell r="AO2313">
            <v>0</v>
          </cell>
          <cell r="AP2313">
            <v>0</v>
          </cell>
          <cell r="AR2313">
            <v>0</v>
          </cell>
          <cell r="AS2313">
            <v>0</v>
          </cell>
          <cell r="BF2313" t="str">
            <v>8600</v>
          </cell>
          <cell r="BG2313" t="str">
            <v>P211</v>
          </cell>
          <cell r="BH2313" t="str">
            <v>ISA</v>
          </cell>
        </row>
        <row r="2314">
          <cell r="K2314">
            <v>0</v>
          </cell>
          <cell r="L2314">
            <v>0</v>
          </cell>
          <cell r="N2314">
            <v>0</v>
          </cell>
          <cell r="O2314">
            <v>0</v>
          </cell>
          <cell r="Q2314">
            <v>0</v>
          </cell>
          <cell r="R2314">
            <v>0</v>
          </cell>
          <cell r="T2314">
            <v>0</v>
          </cell>
          <cell r="U2314">
            <v>0</v>
          </cell>
          <cell r="W2314">
            <v>0</v>
          </cell>
          <cell r="X2314">
            <v>0</v>
          </cell>
          <cell r="Z2314">
            <v>0</v>
          </cell>
          <cell r="AA2314">
            <v>0</v>
          </cell>
          <cell r="AC2314">
            <v>0</v>
          </cell>
          <cell r="AD2314">
            <v>0</v>
          </cell>
          <cell r="AF2314">
            <v>0</v>
          </cell>
          <cell r="AG2314">
            <v>0</v>
          </cell>
          <cell r="AI2314">
            <v>0</v>
          </cell>
          <cell r="AJ2314">
            <v>0</v>
          </cell>
          <cell r="AL2314">
            <v>0</v>
          </cell>
          <cell r="AM2314">
            <v>0</v>
          </cell>
          <cell r="AO2314">
            <v>0</v>
          </cell>
          <cell r="AP2314">
            <v>0</v>
          </cell>
          <cell r="AR2314">
            <v>0</v>
          </cell>
          <cell r="AS2314">
            <v>0</v>
          </cell>
          <cell r="BF2314" t="str">
            <v>9000</v>
          </cell>
          <cell r="BG2314" t="str">
            <v>Z000</v>
          </cell>
          <cell r="BH2314" t="str">
            <v>ISA</v>
          </cell>
        </row>
        <row r="2315">
          <cell r="K2315">
            <v>0</v>
          </cell>
          <cell r="L2315">
            <v>0</v>
          </cell>
          <cell r="N2315">
            <v>0</v>
          </cell>
          <cell r="O2315">
            <v>0</v>
          </cell>
          <cell r="Q2315">
            <v>0</v>
          </cell>
          <cell r="R2315">
            <v>0</v>
          </cell>
          <cell r="T2315">
            <v>0</v>
          </cell>
          <cell r="U2315">
            <v>0</v>
          </cell>
          <cell r="W2315">
            <v>0</v>
          </cell>
          <cell r="X2315">
            <v>0</v>
          </cell>
          <cell r="Z2315">
            <v>0</v>
          </cell>
          <cell r="AA2315">
            <v>0</v>
          </cell>
          <cell r="AC2315">
            <v>0</v>
          </cell>
          <cell r="AD2315">
            <v>0</v>
          </cell>
          <cell r="AF2315">
            <v>0</v>
          </cell>
          <cell r="AG2315">
            <v>0</v>
          </cell>
          <cell r="AI2315">
            <v>0</v>
          </cell>
          <cell r="AJ2315">
            <v>0</v>
          </cell>
          <cell r="AL2315">
            <v>0</v>
          </cell>
          <cell r="AM2315">
            <v>0</v>
          </cell>
          <cell r="AO2315">
            <v>0</v>
          </cell>
          <cell r="AP2315">
            <v>0</v>
          </cell>
          <cell r="AR2315">
            <v>0</v>
          </cell>
          <cell r="AS2315">
            <v>0</v>
          </cell>
          <cell r="BF2315" t="str">
            <v>9001</v>
          </cell>
          <cell r="BG2315" t="str">
            <v>Z000</v>
          </cell>
          <cell r="BH2315" t="str">
            <v>ISA</v>
          </cell>
        </row>
        <row r="2316">
          <cell r="K2316">
            <v>0</v>
          </cell>
          <cell r="L2316">
            <v>0</v>
          </cell>
          <cell r="N2316">
            <v>0</v>
          </cell>
          <cell r="O2316">
            <v>0</v>
          </cell>
          <cell r="Q2316">
            <v>0</v>
          </cell>
          <cell r="R2316">
            <v>0</v>
          </cell>
          <cell r="T2316">
            <v>0</v>
          </cell>
          <cell r="U2316">
            <v>0</v>
          </cell>
          <cell r="W2316">
            <v>0</v>
          </cell>
          <cell r="X2316">
            <v>0</v>
          </cell>
          <cell r="Z2316">
            <v>0</v>
          </cell>
          <cell r="AA2316">
            <v>0</v>
          </cell>
          <cell r="AC2316">
            <v>0</v>
          </cell>
          <cell r="AD2316">
            <v>0</v>
          </cell>
          <cell r="AF2316">
            <v>0</v>
          </cell>
          <cell r="AG2316">
            <v>0</v>
          </cell>
          <cell r="AI2316">
            <v>0</v>
          </cell>
          <cell r="AJ2316">
            <v>0</v>
          </cell>
          <cell r="AL2316">
            <v>0</v>
          </cell>
          <cell r="AM2316">
            <v>0</v>
          </cell>
          <cell r="AO2316">
            <v>0</v>
          </cell>
          <cell r="AP2316">
            <v>0</v>
          </cell>
          <cell r="AR2316">
            <v>0</v>
          </cell>
          <cell r="AS2316">
            <v>0</v>
          </cell>
          <cell r="BF2316" t="str">
            <v>9002</v>
          </cell>
          <cell r="BG2316" t="str">
            <v>Z000</v>
          </cell>
          <cell r="BH2316" t="str">
            <v>ISA</v>
          </cell>
        </row>
        <row r="2317">
          <cell r="K2317">
            <v>0</v>
          </cell>
          <cell r="L2317">
            <v>0</v>
          </cell>
          <cell r="N2317">
            <v>0</v>
          </cell>
          <cell r="O2317">
            <v>0</v>
          </cell>
          <cell r="Q2317">
            <v>0</v>
          </cell>
          <cell r="R2317">
            <v>0</v>
          </cell>
          <cell r="T2317">
            <v>0</v>
          </cell>
          <cell r="U2317">
            <v>0</v>
          </cell>
          <cell r="W2317">
            <v>0</v>
          </cell>
          <cell r="X2317">
            <v>0</v>
          </cell>
          <cell r="Z2317">
            <v>0</v>
          </cell>
          <cell r="AA2317">
            <v>0</v>
          </cell>
          <cell r="AC2317">
            <v>0</v>
          </cell>
          <cell r="AD2317">
            <v>0</v>
          </cell>
          <cell r="AF2317">
            <v>0</v>
          </cell>
          <cell r="AG2317">
            <v>0</v>
          </cell>
          <cell r="AI2317">
            <v>0</v>
          </cell>
          <cell r="AJ2317">
            <v>0</v>
          </cell>
          <cell r="AL2317">
            <v>0</v>
          </cell>
          <cell r="AM2317">
            <v>0</v>
          </cell>
          <cell r="AO2317">
            <v>0</v>
          </cell>
          <cell r="AP2317">
            <v>0</v>
          </cell>
          <cell r="AR2317">
            <v>0</v>
          </cell>
          <cell r="AS2317">
            <v>0</v>
          </cell>
          <cell r="BF2317" t="str">
            <v>9003</v>
          </cell>
          <cell r="BG2317" t="str">
            <v>Z000</v>
          </cell>
          <cell r="BH2317" t="str">
            <v>ISA</v>
          </cell>
        </row>
        <row r="2318">
          <cell r="K2318">
            <v>0</v>
          </cell>
          <cell r="L2318">
            <v>0</v>
          </cell>
          <cell r="N2318">
            <v>0</v>
          </cell>
          <cell r="O2318">
            <v>0</v>
          </cell>
          <cell r="Q2318">
            <v>0</v>
          </cell>
          <cell r="R2318">
            <v>0</v>
          </cell>
          <cell r="T2318">
            <v>0</v>
          </cell>
          <cell r="U2318">
            <v>0</v>
          </cell>
          <cell r="W2318">
            <v>0</v>
          </cell>
          <cell r="X2318">
            <v>0</v>
          </cell>
          <cell r="Z2318">
            <v>0</v>
          </cell>
          <cell r="AA2318">
            <v>0</v>
          </cell>
          <cell r="AC2318">
            <v>0</v>
          </cell>
          <cell r="AD2318">
            <v>0</v>
          </cell>
          <cell r="AF2318">
            <v>0</v>
          </cell>
          <cell r="AG2318">
            <v>0</v>
          </cell>
          <cell r="AI2318">
            <v>0</v>
          </cell>
          <cell r="AJ2318">
            <v>0</v>
          </cell>
          <cell r="AL2318">
            <v>0</v>
          </cell>
          <cell r="AM2318">
            <v>0</v>
          </cell>
          <cell r="AO2318">
            <v>0</v>
          </cell>
          <cell r="AP2318">
            <v>0</v>
          </cell>
          <cell r="AR2318">
            <v>0</v>
          </cell>
          <cell r="AS2318">
            <v>0</v>
          </cell>
          <cell r="BF2318" t="str">
            <v>9004</v>
          </cell>
          <cell r="BG2318" t="str">
            <v>Z000</v>
          </cell>
          <cell r="BH2318" t="str">
            <v>ISA</v>
          </cell>
        </row>
        <row r="2319">
          <cell r="K2319">
            <v>0</v>
          </cell>
          <cell r="L2319">
            <v>0</v>
          </cell>
          <cell r="N2319">
            <v>0</v>
          </cell>
          <cell r="O2319">
            <v>0</v>
          </cell>
          <cell r="Q2319">
            <v>0</v>
          </cell>
          <cell r="R2319">
            <v>0</v>
          </cell>
          <cell r="T2319">
            <v>0</v>
          </cell>
          <cell r="U2319">
            <v>0</v>
          </cell>
          <cell r="W2319">
            <v>0</v>
          </cell>
          <cell r="X2319">
            <v>0</v>
          </cell>
          <cell r="Z2319">
            <v>0</v>
          </cell>
          <cell r="AA2319">
            <v>0</v>
          </cell>
          <cell r="AC2319">
            <v>0</v>
          </cell>
          <cell r="AD2319">
            <v>0</v>
          </cell>
          <cell r="AF2319">
            <v>0</v>
          </cell>
          <cell r="AG2319">
            <v>0</v>
          </cell>
          <cell r="AI2319">
            <v>0</v>
          </cell>
          <cell r="AJ2319">
            <v>0</v>
          </cell>
          <cell r="AL2319">
            <v>0</v>
          </cell>
          <cell r="AM2319">
            <v>0</v>
          </cell>
          <cell r="AO2319">
            <v>0</v>
          </cell>
          <cell r="AP2319">
            <v>0</v>
          </cell>
          <cell r="AR2319">
            <v>0</v>
          </cell>
          <cell r="AS2319">
            <v>0</v>
          </cell>
          <cell r="BF2319" t="str">
            <v>9050</v>
          </cell>
          <cell r="BG2319" t="str">
            <v>Z000</v>
          </cell>
          <cell r="BH2319" t="str">
            <v>ISA</v>
          </cell>
        </row>
        <row r="2320">
          <cell r="K2320">
            <v>0</v>
          </cell>
          <cell r="L2320">
            <v>0</v>
          </cell>
          <cell r="N2320">
            <v>0</v>
          </cell>
          <cell r="O2320">
            <v>0</v>
          </cell>
          <cell r="Q2320">
            <v>0</v>
          </cell>
          <cell r="R2320">
            <v>0</v>
          </cell>
          <cell r="T2320">
            <v>0</v>
          </cell>
          <cell r="U2320">
            <v>0</v>
          </cell>
          <cell r="W2320">
            <v>0</v>
          </cell>
          <cell r="X2320">
            <v>0</v>
          </cell>
          <cell r="Z2320">
            <v>0</v>
          </cell>
          <cell r="AA2320">
            <v>0</v>
          </cell>
          <cell r="AC2320">
            <v>0</v>
          </cell>
          <cell r="AD2320">
            <v>0</v>
          </cell>
          <cell r="AF2320">
            <v>0</v>
          </cell>
          <cell r="AG2320">
            <v>0</v>
          </cell>
          <cell r="AI2320">
            <v>0</v>
          </cell>
          <cell r="AJ2320">
            <v>0</v>
          </cell>
          <cell r="AL2320">
            <v>0</v>
          </cell>
          <cell r="AM2320">
            <v>0</v>
          </cell>
          <cell r="AO2320">
            <v>0</v>
          </cell>
          <cell r="AP2320">
            <v>0</v>
          </cell>
          <cell r="AR2320">
            <v>0</v>
          </cell>
          <cell r="AS2320">
            <v>0</v>
          </cell>
          <cell r="BF2320" t="str">
            <v>9051</v>
          </cell>
          <cell r="BG2320" t="str">
            <v>Z000</v>
          </cell>
          <cell r="BH2320" t="str">
            <v>ISA</v>
          </cell>
        </row>
        <row r="2321">
          <cell r="K2321">
            <v>0</v>
          </cell>
          <cell r="L2321">
            <v>0</v>
          </cell>
          <cell r="N2321">
            <v>0</v>
          </cell>
          <cell r="O2321">
            <v>0</v>
          </cell>
          <cell r="Q2321">
            <v>0</v>
          </cell>
          <cell r="R2321">
            <v>0</v>
          </cell>
          <cell r="T2321">
            <v>0</v>
          </cell>
          <cell r="U2321">
            <v>0</v>
          </cell>
          <cell r="W2321">
            <v>0</v>
          </cell>
          <cell r="X2321">
            <v>0</v>
          </cell>
          <cell r="Z2321">
            <v>0</v>
          </cell>
          <cell r="AA2321">
            <v>0</v>
          </cell>
          <cell r="AC2321">
            <v>0</v>
          </cell>
          <cell r="AD2321">
            <v>0</v>
          </cell>
          <cell r="AF2321">
            <v>0</v>
          </cell>
          <cell r="AG2321">
            <v>0</v>
          </cell>
          <cell r="AI2321">
            <v>0</v>
          </cell>
          <cell r="AJ2321">
            <v>0</v>
          </cell>
          <cell r="AL2321">
            <v>0</v>
          </cell>
          <cell r="AM2321">
            <v>0</v>
          </cell>
          <cell r="AO2321">
            <v>0</v>
          </cell>
          <cell r="AP2321">
            <v>0</v>
          </cell>
          <cell r="AR2321">
            <v>0</v>
          </cell>
          <cell r="AS2321">
            <v>0</v>
          </cell>
          <cell r="BF2321" t="str">
            <v>9100</v>
          </cell>
          <cell r="BG2321" t="str">
            <v>Z000</v>
          </cell>
          <cell r="BH2321" t="str">
            <v>ISA</v>
          </cell>
        </row>
        <row r="2322">
          <cell r="K2322">
            <v>0</v>
          </cell>
          <cell r="L2322">
            <v>0</v>
          </cell>
          <cell r="N2322">
            <v>0</v>
          </cell>
          <cell r="O2322">
            <v>0</v>
          </cell>
          <cell r="Q2322">
            <v>0</v>
          </cell>
          <cell r="R2322">
            <v>0</v>
          </cell>
          <cell r="T2322">
            <v>0</v>
          </cell>
          <cell r="U2322">
            <v>0</v>
          </cell>
          <cell r="W2322">
            <v>0</v>
          </cell>
          <cell r="X2322">
            <v>0</v>
          </cell>
          <cell r="Z2322">
            <v>0</v>
          </cell>
          <cell r="AA2322">
            <v>0</v>
          </cell>
          <cell r="AC2322">
            <v>0</v>
          </cell>
          <cell r="AD2322">
            <v>0</v>
          </cell>
          <cell r="AF2322">
            <v>0</v>
          </cell>
          <cell r="AG2322">
            <v>0</v>
          </cell>
          <cell r="AI2322">
            <v>0</v>
          </cell>
          <cell r="AJ2322">
            <v>0</v>
          </cell>
          <cell r="AL2322">
            <v>0</v>
          </cell>
          <cell r="AM2322">
            <v>0</v>
          </cell>
          <cell r="AO2322">
            <v>0</v>
          </cell>
          <cell r="AP2322">
            <v>0</v>
          </cell>
          <cell r="AR2322">
            <v>0</v>
          </cell>
          <cell r="AS2322">
            <v>0</v>
          </cell>
          <cell r="BF2322" t="str">
            <v>9200</v>
          </cell>
          <cell r="BG2322" t="str">
            <v>Q001</v>
          </cell>
          <cell r="BH2322" t="str">
            <v>ISA</v>
          </cell>
        </row>
        <row r="2323">
          <cell r="K2323">
            <v>0</v>
          </cell>
          <cell r="L2323">
            <v>0</v>
          </cell>
          <cell r="N2323">
            <v>0</v>
          </cell>
          <cell r="O2323">
            <v>0</v>
          </cell>
          <cell r="Q2323">
            <v>0</v>
          </cell>
          <cell r="R2323">
            <v>0</v>
          </cell>
          <cell r="T2323">
            <v>0</v>
          </cell>
          <cell r="U2323">
            <v>0</v>
          </cell>
          <cell r="W2323">
            <v>0</v>
          </cell>
          <cell r="X2323">
            <v>0</v>
          </cell>
          <cell r="Z2323">
            <v>0</v>
          </cell>
          <cell r="AA2323">
            <v>0</v>
          </cell>
          <cell r="AC2323">
            <v>0</v>
          </cell>
          <cell r="AD2323">
            <v>0</v>
          </cell>
          <cell r="AF2323">
            <v>0</v>
          </cell>
          <cell r="AG2323">
            <v>0</v>
          </cell>
          <cell r="AI2323">
            <v>0</v>
          </cell>
          <cell r="AJ2323">
            <v>0</v>
          </cell>
          <cell r="AL2323">
            <v>0</v>
          </cell>
          <cell r="AM2323">
            <v>0</v>
          </cell>
          <cell r="AO2323">
            <v>0</v>
          </cell>
          <cell r="AP2323">
            <v>0</v>
          </cell>
          <cell r="AR2323">
            <v>0</v>
          </cell>
          <cell r="AS2323">
            <v>0</v>
          </cell>
          <cell r="BF2323" t="str">
            <v>9200</v>
          </cell>
          <cell r="BG2323" t="str">
            <v>Q002</v>
          </cell>
          <cell r="BH2323" t="str">
            <v>ISA</v>
          </cell>
        </row>
        <row r="2324">
          <cell r="K2324">
            <v>0</v>
          </cell>
          <cell r="L2324">
            <v>0</v>
          </cell>
          <cell r="N2324">
            <v>0</v>
          </cell>
          <cell r="O2324">
            <v>0</v>
          </cell>
          <cell r="Q2324">
            <v>0</v>
          </cell>
          <cell r="R2324">
            <v>0</v>
          </cell>
          <cell r="T2324">
            <v>0</v>
          </cell>
          <cell r="U2324">
            <v>0</v>
          </cell>
          <cell r="W2324">
            <v>0</v>
          </cell>
          <cell r="X2324">
            <v>0</v>
          </cell>
          <cell r="Z2324">
            <v>0</v>
          </cell>
          <cell r="AA2324">
            <v>0</v>
          </cell>
          <cell r="AC2324">
            <v>0</v>
          </cell>
          <cell r="AD2324">
            <v>0</v>
          </cell>
          <cell r="AF2324">
            <v>0</v>
          </cell>
          <cell r="AG2324">
            <v>0</v>
          </cell>
          <cell r="AI2324">
            <v>0</v>
          </cell>
          <cell r="AJ2324">
            <v>0</v>
          </cell>
          <cell r="AL2324">
            <v>0</v>
          </cell>
          <cell r="AM2324">
            <v>0</v>
          </cell>
          <cell r="AO2324">
            <v>0</v>
          </cell>
          <cell r="AP2324">
            <v>0</v>
          </cell>
          <cell r="AR2324">
            <v>0</v>
          </cell>
          <cell r="AS2324">
            <v>0</v>
          </cell>
          <cell r="BF2324" t="str">
            <v>9200</v>
          </cell>
          <cell r="BG2324" t="str">
            <v>Q003</v>
          </cell>
          <cell r="BH2324" t="str">
            <v>ISA</v>
          </cell>
        </row>
        <row r="2325">
          <cell r="K2325">
            <v>0</v>
          </cell>
          <cell r="L2325">
            <v>0</v>
          </cell>
          <cell r="N2325">
            <v>0</v>
          </cell>
          <cell r="O2325">
            <v>0</v>
          </cell>
          <cell r="Q2325">
            <v>0</v>
          </cell>
          <cell r="R2325">
            <v>0</v>
          </cell>
          <cell r="T2325">
            <v>0</v>
          </cell>
          <cell r="U2325">
            <v>0</v>
          </cell>
          <cell r="W2325">
            <v>0</v>
          </cell>
          <cell r="X2325">
            <v>0</v>
          </cell>
          <cell r="Z2325">
            <v>0</v>
          </cell>
          <cell r="AA2325">
            <v>0</v>
          </cell>
          <cell r="AC2325">
            <v>0</v>
          </cell>
          <cell r="AD2325">
            <v>0</v>
          </cell>
          <cell r="AF2325">
            <v>0</v>
          </cell>
          <cell r="AG2325">
            <v>0</v>
          </cell>
          <cell r="AI2325">
            <v>0</v>
          </cell>
          <cell r="AJ2325">
            <v>0</v>
          </cell>
          <cell r="AL2325">
            <v>0</v>
          </cell>
          <cell r="AM2325">
            <v>0</v>
          </cell>
          <cell r="AO2325">
            <v>0</v>
          </cell>
          <cell r="AP2325">
            <v>0</v>
          </cell>
          <cell r="AR2325">
            <v>0</v>
          </cell>
          <cell r="AS2325">
            <v>0</v>
          </cell>
          <cell r="BF2325" t="str">
            <v>9200</v>
          </cell>
          <cell r="BG2325" t="str">
            <v>Q004</v>
          </cell>
          <cell r="BH2325" t="str">
            <v>ISA</v>
          </cell>
        </row>
        <row r="2326">
          <cell r="K2326">
            <v>0</v>
          </cell>
          <cell r="L2326">
            <v>0</v>
          </cell>
          <cell r="N2326">
            <v>0</v>
          </cell>
          <cell r="O2326">
            <v>0</v>
          </cell>
          <cell r="Q2326">
            <v>0</v>
          </cell>
          <cell r="R2326">
            <v>0</v>
          </cell>
          <cell r="T2326">
            <v>0</v>
          </cell>
          <cell r="U2326">
            <v>0</v>
          </cell>
          <cell r="W2326">
            <v>0</v>
          </cell>
          <cell r="X2326">
            <v>0</v>
          </cell>
          <cell r="Z2326">
            <v>0</v>
          </cell>
          <cell r="AA2326">
            <v>0</v>
          </cell>
          <cell r="AC2326">
            <v>0</v>
          </cell>
          <cell r="AD2326">
            <v>0</v>
          </cell>
          <cell r="AF2326">
            <v>0</v>
          </cell>
          <cell r="AG2326">
            <v>0</v>
          </cell>
          <cell r="AI2326">
            <v>0</v>
          </cell>
          <cell r="AJ2326">
            <v>0</v>
          </cell>
          <cell r="AL2326">
            <v>0</v>
          </cell>
          <cell r="AM2326">
            <v>0</v>
          </cell>
          <cell r="AO2326">
            <v>0</v>
          </cell>
          <cell r="AP2326">
            <v>0</v>
          </cell>
          <cell r="AR2326">
            <v>0</v>
          </cell>
          <cell r="AS2326">
            <v>0</v>
          </cell>
          <cell r="BF2326" t="str">
            <v>9300</v>
          </cell>
          <cell r="BG2326" t="str">
            <v>Z000</v>
          </cell>
          <cell r="BH2326" t="str">
            <v>ISA</v>
          </cell>
        </row>
        <row r="2327">
          <cell r="K2327">
            <v>0</v>
          </cell>
          <cell r="L2327">
            <v>0</v>
          </cell>
          <cell r="N2327">
            <v>0</v>
          </cell>
          <cell r="O2327">
            <v>0</v>
          </cell>
          <cell r="Q2327">
            <v>0</v>
          </cell>
          <cell r="R2327">
            <v>0</v>
          </cell>
          <cell r="T2327">
            <v>0</v>
          </cell>
          <cell r="U2327">
            <v>0</v>
          </cell>
          <cell r="W2327">
            <v>0</v>
          </cell>
          <cell r="X2327">
            <v>0</v>
          </cell>
          <cell r="Z2327">
            <v>0</v>
          </cell>
          <cell r="AA2327">
            <v>0</v>
          </cell>
          <cell r="AC2327">
            <v>0</v>
          </cell>
          <cell r="AD2327">
            <v>0</v>
          </cell>
          <cell r="AF2327">
            <v>0</v>
          </cell>
          <cell r="AG2327">
            <v>0</v>
          </cell>
          <cell r="AI2327">
            <v>0</v>
          </cell>
          <cell r="AJ2327">
            <v>0</v>
          </cell>
          <cell r="AL2327">
            <v>0</v>
          </cell>
          <cell r="AM2327">
            <v>0</v>
          </cell>
          <cell r="AO2327">
            <v>0</v>
          </cell>
          <cell r="AP2327">
            <v>0</v>
          </cell>
          <cell r="AR2327">
            <v>0</v>
          </cell>
          <cell r="AS2327">
            <v>0</v>
          </cell>
          <cell r="BF2327" t="str">
            <v>9400</v>
          </cell>
          <cell r="BG2327" t="str">
            <v>Z000</v>
          </cell>
          <cell r="BH2327" t="str">
            <v>ISA</v>
          </cell>
        </row>
        <row r="2328">
          <cell r="K2328">
            <v>0</v>
          </cell>
          <cell r="L2328">
            <v>0</v>
          </cell>
          <cell r="N2328">
            <v>0</v>
          </cell>
          <cell r="O2328">
            <v>0</v>
          </cell>
          <cell r="Q2328">
            <v>0</v>
          </cell>
          <cell r="R2328">
            <v>0</v>
          </cell>
          <cell r="T2328">
            <v>0</v>
          </cell>
          <cell r="U2328">
            <v>0</v>
          </cell>
          <cell r="W2328">
            <v>0</v>
          </cell>
          <cell r="X2328">
            <v>0</v>
          </cell>
          <cell r="Z2328">
            <v>0</v>
          </cell>
          <cell r="AA2328">
            <v>0</v>
          </cell>
          <cell r="AC2328">
            <v>0</v>
          </cell>
          <cell r="AD2328">
            <v>0</v>
          </cell>
          <cell r="AF2328">
            <v>0</v>
          </cell>
          <cell r="AG2328">
            <v>0</v>
          </cell>
          <cell r="AI2328">
            <v>0</v>
          </cell>
          <cell r="AJ2328">
            <v>0</v>
          </cell>
          <cell r="AL2328">
            <v>0</v>
          </cell>
          <cell r="AM2328">
            <v>0</v>
          </cell>
          <cell r="AO2328">
            <v>0</v>
          </cell>
          <cell r="AP2328">
            <v>0</v>
          </cell>
          <cell r="AR2328">
            <v>0</v>
          </cell>
          <cell r="AS2328">
            <v>0</v>
          </cell>
          <cell r="BF2328" t="str">
            <v>9500</v>
          </cell>
          <cell r="BG2328" t="str">
            <v>Z000</v>
          </cell>
          <cell r="BH2328" t="str">
            <v>ISA</v>
          </cell>
        </row>
        <row r="2329">
          <cell r="K2329">
            <v>0</v>
          </cell>
          <cell r="L2329">
            <v>0</v>
          </cell>
          <cell r="N2329">
            <v>0</v>
          </cell>
          <cell r="O2329">
            <v>0</v>
          </cell>
          <cell r="Q2329">
            <v>0</v>
          </cell>
          <cell r="R2329">
            <v>0</v>
          </cell>
          <cell r="T2329">
            <v>0</v>
          </cell>
          <cell r="U2329">
            <v>0</v>
          </cell>
          <cell r="W2329">
            <v>0</v>
          </cell>
          <cell r="X2329">
            <v>0</v>
          </cell>
          <cell r="Z2329">
            <v>0</v>
          </cell>
          <cell r="AA2329">
            <v>0</v>
          </cell>
          <cell r="AC2329">
            <v>0</v>
          </cell>
          <cell r="AD2329">
            <v>0</v>
          </cell>
          <cell r="AF2329">
            <v>0</v>
          </cell>
          <cell r="AG2329">
            <v>0</v>
          </cell>
          <cell r="AI2329">
            <v>0</v>
          </cell>
          <cell r="AJ2329">
            <v>0</v>
          </cell>
          <cell r="AL2329">
            <v>0</v>
          </cell>
          <cell r="AM2329">
            <v>0</v>
          </cell>
          <cell r="AO2329">
            <v>0</v>
          </cell>
          <cell r="AP2329">
            <v>0</v>
          </cell>
          <cell r="AR2329">
            <v>0</v>
          </cell>
          <cell r="AS2329">
            <v>0</v>
          </cell>
          <cell r="BF2329" t="str">
            <v>9550</v>
          </cell>
          <cell r="BG2329" t="str">
            <v>Z000</v>
          </cell>
          <cell r="BH2329" t="str">
            <v>ISA</v>
          </cell>
        </row>
        <row r="2330">
          <cell r="K2330">
            <v>0</v>
          </cell>
          <cell r="L2330">
            <v>0</v>
          </cell>
          <cell r="N2330">
            <v>0</v>
          </cell>
          <cell r="O2330">
            <v>0</v>
          </cell>
          <cell r="Q2330">
            <v>0</v>
          </cell>
          <cell r="R2330">
            <v>0</v>
          </cell>
          <cell r="T2330">
            <v>0</v>
          </cell>
          <cell r="U2330">
            <v>0</v>
          </cell>
          <cell r="W2330">
            <v>0</v>
          </cell>
          <cell r="X2330">
            <v>0</v>
          </cell>
          <cell r="Z2330">
            <v>0</v>
          </cell>
          <cell r="AA2330">
            <v>0</v>
          </cell>
          <cell r="AC2330">
            <v>0</v>
          </cell>
          <cell r="AD2330">
            <v>0</v>
          </cell>
          <cell r="AF2330">
            <v>0</v>
          </cell>
          <cell r="AG2330">
            <v>0</v>
          </cell>
          <cell r="AI2330">
            <v>0</v>
          </cell>
          <cell r="AJ2330">
            <v>0</v>
          </cell>
          <cell r="AL2330">
            <v>0</v>
          </cell>
          <cell r="AM2330">
            <v>0</v>
          </cell>
          <cell r="AO2330">
            <v>0</v>
          </cell>
          <cell r="AP2330">
            <v>0</v>
          </cell>
          <cell r="AR2330">
            <v>0</v>
          </cell>
          <cell r="AS2330">
            <v>0</v>
          </cell>
          <cell r="BF2330" t="str">
            <v>9600</v>
          </cell>
          <cell r="BG2330" t="str">
            <v>Z000</v>
          </cell>
          <cell r="BH2330" t="str">
            <v>ISA</v>
          </cell>
        </row>
        <row r="2331">
          <cell r="K2331">
            <v>0</v>
          </cell>
          <cell r="L2331">
            <v>0</v>
          </cell>
          <cell r="N2331">
            <v>0</v>
          </cell>
          <cell r="O2331">
            <v>0</v>
          </cell>
          <cell r="Q2331">
            <v>0</v>
          </cell>
          <cell r="R2331">
            <v>0</v>
          </cell>
          <cell r="T2331">
            <v>0</v>
          </cell>
          <cell r="U2331">
            <v>0</v>
          </cell>
          <cell r="W2331">
            <v>0</v>
          </cell>
          <cell r="X2331">
            <v>0</v>
          </cell>
          <cell r="Z2331">
            <v>0</v>
          </cell>
          <cell r="AA2331">
            <v>0</v>
          </cell>
          <cell r="AC2331">
            <v>0</v>
          </cell>
          <cell r="AD2331">
            <v>0</v>
          </cell>
          <cell r="AF2331">
            <v>0</v>
          </cell>
          <cell r="AG2331">
            <v>0</v>
          </cell>
          <cell r="AI2331">
            <v>0</v>
          </cell>
          <cell r="AJ2331">
            <v>0</v>
          </cell>
          <cell r="AL2331">
            <v>0</v>
          </cell>
          <cell r="AM2331">
            <v>0</v>
          </cell>
          <cell r="AO2331">
            <v>0</v>
          </cell>
          <cell r="AP2331">
            <v>0</v>
          </cell>
          <cell r="AR2331">
            <v>0</v>
          </cell>
          <cell r="AS2331">
            <v>0</v>
          </cell>
          <cell r="BF2331" t="str">
            <v>9700</v>
          </cell>
          <cell r="BG2331" t="str">
            <v>Z000</v>
          </cell>
          <cell r="BH2331" t="str">
            <v>ISA</v>
          </cell>
        </row>
        <row r="2332">
          <cell r="K2332">
            <v>0</v>
          </cell>
          <cell r="L2332">
            <v>0</v>
          </cell>
          <cell r="N2332">
            <v>0</v>
          </cell>
          <cell r="O2332">
            <v>0</v>
          </cell>
          <cell r="Q2332">
            <v>0</v>
          </cell>
          <cell r="R2332">
            <v>0</v>
          </cell>
          <cell r="T2332">
            <v>0</v>
          </cell>
          <cell r="U2332">
            <v>0</v>
          </cell>
          <cell r="W2332">
            <v>0</v>
          </cell>
          <cell r="X2332">
            <v>0</v>
          </cell>
          <cell r="Z2332">
            <v>0</v>
          </cell>
          <cell r="AA2332">
            <v>0</v>
          </cell>
          <cell r="AC2332">
            <v>0</v>
          </cell>
          <cell r="AD2332">
            <v>0</v>
          </cell>
          <cell r="AF2332">
            <v>0</v>
          </cell>
          <cell r="AG2332">
            <v>0</v>
          </cell>
          <cell r="AI2332">
            <v>0</v>
          </cell>
          <cell r="AJ2332">
            <v>0</v>
          </cell>
          <cell r="AL2332">
            <v>0</v>
          </cell>
          <cell r="AM2332">
            <v>0</v>
          </cell>
          <cell r="AO2332">
            <v>0</v>
          </cell>
          <cell r="AP2332">
            <v>0</v>
          </cell>
          <cell r="AR2332">
            <v>0</v>
          </cell>
          <cell r="AS2332">
            <v>0</v>
          </cell>
          <cell r="BF2332" t="str">
            <v>9702</v>
          </cell>
          <cell r="BG2332" t="str">
            <v>Z000</v>
          </cell>
          <cell r="BH2332" t="str">
            <v>ISA</v>
          </cell>
        </row>
        <row r="2333">
          <cell r="K2333">
            <v>0</v>
          </cell>
          <cell r="L2333">
            <v>0</v>
          </cell>
          <cell r="N2333">
            <v>0</v>
          </cell>
          <cell r="O2333">
            <v>0</v>
          </cell>
          <cell r="Q2333">
            <v>0</v>
          </cell>
          <cell r="R2333">
            <v>0</v>
          </cell>
          <cell r="T2333">
            <v>0</v>
          </cell>
          <cell r="U2333">
            <v>0</v>
          </cell>
          <cell r="W2333">
            <v>0</v>
          </cell>
          <cell r="X2333">
            <v>0</v>
          </cell>
          <cell r="Z2333">
            <v>0</v>
          </cell>
          <cell r="AA2333">
            <v>0</v>
          </cell>
          <cell r="AC2333">
            <v>0</v>
          </cell>
          <cell r="AD2333">
            <v>0</v>
          </cell>
          <cell r="AF2333">
            <v>0</v>
          </cell>
          <cell r="AG2333">
            <v>0</v>
          </cell>
          <cell r="AI2333">
            <v>0</v>
          </cell>
          <cell r="AJ2333">
            <v>0</v>
          </cell>
          <cell r="AL2333">
            <v>0</v>
          </cell>
          <cell r="AM2333">
            <v>0</v>
          </cell>
          <cell r="AO2333">
            <v>0</v>
          </cell>
          <cell r="AP2333">
            <v>0</v>
          </cell>
          <cell r="AR2333">
            <v>0</v>
          </cell>
          <cell r="AS2333">
            <v>0</v>
          </cell>
          <cell r="BF2333" t="str">
            <v>9750</v>
          </cell>
          <cell r="BG2333" t="str">
            <v>Z000</v>
          </cell>
          <cell r="BH2333" t="str">
            <v>ISA</v>
          </cell>
        </row>
        <row r="2334">
          <cell r="K2334">
            <v>0</v>
          </cell>
          <cell r="L2334">
            <v>0</v>
          </cell>
          <cell r="N2334">
            <v>0</v>
          </cell>
          <cell r="O2334">
            <v>0</v>
          </cell>
          <cell r="Q2334">
            <v>0</v>
          </cell>
          <cell r="R2334">
            <v>0</v>
          </cell>
          <cell r="T2334">
            <v>0</v>
          </cell>
          <cell r="U2334">
            <v>0</v>
          </cell>
          <cell r="W2334">
            <v>0</v>
          </cell>
          <cell r="X2334">
            <v>0</v>
          </cell>
          <cell r="Z2334">
            <v>0</v>
          </cell>
          <cell r="AA2334">
            <v>0</v>
          </cell>
          <cell r="AC2334">
            <v>0</v>
          </cell>
          <cell r="AD2334">
            <v>0</v>
          </cell>
          <cell r="AF2334">
            <v>0</v>
          </cell>
          <cell r="AG2334">
            <v>0</v>
          </cell>
          <cell r="AI2334">
            <v>0</v>
          </cell>
          <cell r="AJ2334">
            <v>0</v>
          </cell>
          <cell r="AL2334">
            <v>0</v>
          </cell>
          <cell r="AM2334">
            <v>0</v>
          </cell>
          <cell r="AO2334">
            <v>0</v>
          </cell>
          <cell r="AP2334">
            <v>0</v>
          </cell>
          <cell r="AR2334">
            <v>0</v>
          </cell>
          <cell r="AS2334">
            <v>0</v>
          </cell>
          <cell r="BF2334" t="str">
            <v>1000</v>
          </cell>
          <cell r="BG2334" t="str">
            <v>A001</v>
          </cell>
          <cell r="BH2334" t="str">
            <v>IBO</v>
          </cell>
        </row>
        <row r="2335">
          <cell r="K2335">
            <v>0</v>
          </cell>
          <cell r="L2335">
            <v>0</v>
          </cell>
          <cell r="N2335">
            <v>0</v>
          </cell>
          <cell r="O2335">
            <v>0</v>
          </cell>
          <cell r="Q2335">
            <v>0</v>
          </cell>
          <cell r="R2335">
            <v>0</v>
          </cell>
          <cell r="T2335">
            <v>0</v>
          </cell>
          <cell r="U2335">
            <v>0</v>
          </cell>
          <cell r="W2335">
            <v>0</v>
          </cell>
          <cell r="X2335">
            <v>0</v>
          </cell>
          <cell r="Z2335">
            <v>0</v>
          </cell>
          <cell r="AA2335">
            <v>0</v>
          </cell>
          <cell r="AC2335">
            <v>0</v>
          </cell>
          <cell r="AD2335">
            <v>0</v>
          </cell>
          <cell r="AF2335">
            <v>0</v>
          </cell>
          <cell r="AG2335">
            <v>0</v>
          </cell>
          <cell r="AI2335">
            <v>0</v>
          </cell>
          <cell r="AJ2335">
            <v>0</v>
          </cell>
          <cell r="AL2335">
            <v>0</v>
          </cell>
          <cell r="AM2335">
            <v>0</v>
          </cell>
          <cell r="AO2335">
            <v>0</v>
          </cell>
          <cell r="AP2335">
            <v>0</v>
          </cell>
          <cell r="AR2335">
            <v>0</v>
          </cell>
          <cell r="AS2335">
            <v>0</v>
          </cell>
          <cell r="BF2335" t="str">
            <v>1000</v>
          </cell>
          <cell r="BG2335" t="str">
            <v>A002</v>
          </cell>
          <cell r="BH2335" t="str">
            <v>IBO</v>
          </cell>
        </row>
        <row r="2336">
          <cell r="K2336">
            <v>0</v>
          </cell>
          <cell r="L2336">
            <v>0</v>
          </cell>
          <cell r="N2336">
            <v>0</v>
          </cell>
          <cell r="O2336">
            <v>0</v>
          </cell>
          <cell r="Q2336">
            <v>0</v>
          </cell>
          <cell r="R2336">
            <v>0</v>
          </cell>
          <cell r="T2336">
            <v>0</v>
          </cell>
          <cell r="U2336">
            <v>0</v>
          </cell>
          <cell r="W2336">
            <v>0</v>
          </cell>
          <cell r="X2336">
            <v>0</v>
          </cell>
          <cell r="Z2336">
            <v>0</v>
          </cell>
          <cell r="AA2336">
            <v>0</v>
          </cell>
          <cell r="AC2336">
            <v>0</v>
          </cell>
          <cell r="AD2336">
            <v>0</v>
          </cell>
          <cell r="AF2336">
            <v>0</v>
          </cell>
          <cell r="AG2336">
            <v>0</v>
          </cell>
          <cell r="AI2336">
            <v>0</v>
          </cell>
          <cell r="AJ2336">
            <v>0</v>
          </cell>
          <cell r="AL2336">
            <v>0</v>
          </cell>
          <cell r="AM2336">
            <v>0</v>
          </cell>
          <cell r="AO2336">
            <v>0</v>
          </cell>
          <cell r="AP2336">
            <v>0</v>
          </cell>
          <cell r="AR2336">
            <v>0</v>
          </cell>
          <cell r="AS2336">
            <v>0</v>
          </cell>
          <cell r="BF2336" t="str">
            <v>1000</v>
          </cell>
          <cell r="BG2336" t="str">
            <v>A003</v>
          </cell>
          <cell r="BH2336" t="str">
            <v>IBO</v>
          </cell>
        </row>
        <row r="2337">
          <cell r="K2337">
            <v>0</v>
          </cell>
          <cell r="L2337">
            <v>0</v>
          </cell>
          <cell r="N2337">
            <v>0</v>
          </cell>
          <cell r="O2337">
            <v>0</v>
          </cell>
          <cell r="Q2337">
            <v>0</v>
          </cell>
          <cell r="R2337">
            <v>0</v>
          </cell>
          <cell r="T2337">
            <v>0</v>
          </cell>
          <cell r="U2337">
            <v>0</v>
          </cell>
          <cell r="W2337">
            <v>0</v>
          </cell>
          <cell r="X2337">
            <v>0</v>
          </cell>
          <cell r="Z2337">
            <v>0</v>
          </cell>
          <cell r="AA2337">
            <v>0</v>
          </cell>
          <cell r="AC2337">
            <v>0</v>
          </cell>
          <cell r="AD2337">
            <v>0</v>
          </cell>
          <cell r="AF2337">
            <v>0</v>
          </cell>
          <cell r="AG2337">
            <v>0</v>
          </cell>
          <cell r="AI2337">
            <v>0</v>
          </cell>
          <cell r="AJ2337">
            <v>0</v>
          </cell>
          <cell r="AL2337">
            <v>0</v>
          </cell>
          <cell r="AM2337">
            <v>0</v>
          </cell>
          <cell r="AO2337">
            <v>0</v>
          </cell>
          <cell r="AP2337">
            <v>0</v>
          </cell>
          <cell r="AR2337">
            <v>0</v>
          </cell>
          <cell r="AS2337">
            <v>0</v>
          </cell>
          <cell r="BF2337" t="str">
            <v>1000</v>
          </cell>
          <cell r="BG2337" t="str">
            <v>A004</v>
          </cell>
          <cell r="BH2337" t="str">
            <v>IBO</v>
          </cell>
        </row>
        <row r="2338">
          <cell r="K2338">
            <v>0</v>
          </cell>
          <cell r="L2338">
            <v>0</v>
          </cell>
          <cell r="N2338">
            <v>0</v>
          </cell>
          <cell r="O2338">
            <v>0</v>
          </cell>
          <cell r="Q2338">
            <v>0</v>
          </cell>
          <cell r="R2338">
            <v>0</v>
          </cell>
          <cell r="T2338">
            <v>0</v>
          </cell>
          <cell r="U2338">
            <v>0</v>
          </cell>
          <cell r="W2338">
            <v>0</v>
          </cell>
          <cell r="X2338">
            <v>0</v>
          </cell>
          <cell r="Z2338">
            <v>0</v>
          </cell>
          <cell r="AA2338">
            <v>0</v>
          </cell>
          <cell r="AC2338">
            <v>0</v>
          </cell>
          <cell r="AD2338">
            <v>0</v>
          </cell>
          <cell r="AF2338">
            <v>0</v>
          </cell>
          <cell r="AG2338">
            <v>0</v>
          </cell>
          <cell r="AI2338">
            <v>0</v>
          </cell>
          <cell r="AJ2338">
            <v>0</v>
          </cell>
          <cell r="AL2338">
            <v>0</v>
          </cell>
          <cell r="AM2338">
            <v>0</v>
          </cell>
          <cell r="AO2338">
            <v>0</v>
          </cell>
          <cell r="AP2338">
            <v>0</v>
          </cell>
          <cell r="AR2338">
            <v>0</v>
          </cell>
          <cell r="AS2338">
            <v>0</v>
          </cell>
          <cell r="BF2338" t="str">
            <v>1000</v>
          </cell>
          <cell r="BG2338" t="str">
            <v>A005</v>
          </cell>
          <cell r="BH2338" t="str">
            <v>IBO</v>
          </cell>
        </row>
        <row r="2339">
          <cell r="K2339">
            <v>0</v>
          </cell>
          <cell r="L2339">
            <v>0</v>
          </cell>
          <cell r="N2339">
            <v>0</v>
          </cell>
          <cell r="O2339">
            <v>0</v>
          </cell>
          <cell r="Q2339">
            <v>0</v>
          </cell>
          <cell r="R2339">
            <v>0</v>
          </cell>
          <cell r="T2339">
            <v>0</v>
          </cell>
          <cell r="U2339">
            <v>0</v>
          </cell>
          <cell r="W2339">
            <v>0</v>
          </cell>
          <cell r="X2339">
            <v>0</v>
          </cell>
          <cell r="Z2339">
            <v>0</v>
          </cell>
          <cell r="AA2339">
            <v>0</v>
          </cell>
          <cell r="AC2339">
            <v>0</v>
          </cell>
          <cell r="AD2339">
            <v>0</v>
          </cell>
          <cell r="AF2339">
            <v>0</v>
          </cell>
          <cell r="AG2339">
            <v>0</v>
          </cell>
          <cell r="AI2339">
            <v>0</v>
          </cell>
          <cell r="AJ2339">
            <v>0</v>
          </cell>
          <cell r="AL2339">
            <v>0</v>
          </cell>
          <cell r="AM2339">
            <v>0</v>
          </cell>
          <cell r="AO2339">
            <v>0</v>
          </cell>
          <cell r="AP2339">
            <v>0</v>
          </cell>
          <cell r="AR2339">
            <v>0</v>
          </cell>
          <cell r="AS2339">
            <v>0</v>
          </cell>
          <cell r="BF2339" t="str">
            <v>1000</v>
          </cell>
          <cell r="BG2339" t="str">
            <v>A006</v>
          </cell>
          <cell r="BH2339" t="str">
            <v>IBO</v>
          </cell>
        </row>
        <row r="2340">
          <cell r="K2340">
            <v>0</v>
          </cell>
          <cell r="L2340">
            <v>0</v>
          </cell>
          <cell r="N2340">
            <v>0</v>
          </cell>
          <cell r="O2340">
            <v>0</v>
          </cell>
          <cell r="Q2340">
            <v>0</v>
          </cell>
          <cell r="R2340">
            <v>0</v>
          </cell>
          <cell r="T2340">
            <v>0</v>
          </cell>
          <cell r="U2340">
            <v>0</v>
          </cell>
          <cell r="W2340">
            <v>0</v>
          </cell>
          <cell r="X2340">
            <v>0</v>
          </cell>
          <cell r="Z2340">
            <v>0</v>
          </cell>
          <cell r="AA2340">
            <v>0</v>
          </cell>
          <cell r="AC2340">
            <v>0</v>
          </cell>
          <cell r="AD2340">
            <v>0</v>
          </cell>
          <cell r="AF2340">
            <v>0</v>
          </cell>
          <cell r="AG2340">
            <v>0</v>
          </cell>
          <cell r="AI2340">
            <v>0</v>
          </cell>
          <cell r="AJ2340">
            <v>0</v>
          </cell>
          <cell r="AL2340">
            <v>0</v>
          </cell>
          <cell r="AM2340">
            <v>0</v>
          </cell>
          <cell r="AO2340">
            <v>0</v>
          </cell>
          <cell r="AP2340">
            <v>0</v>
          </cell>
          <cell r="AR2340">
            <v>0</v>
          </cell>
          <cell r="AS2340">
            <v>0</v>
          </cell>
          <cell r="BF2340" t="str">
            <v>1000</v>
          </cell>
          <cell r="BG2340" t="str">
            <v>A007</v>
          </cell>
          <cell r="BH2340" t="str">
            <v>IBO</v>
          </cell>
        </row>
        <row r="2341">
          <cell r="K2341">
            <v>0</v>
          </cell>
          <cell r="L2341">
            <v>0</v>
          </cell>
          <cell r="N2341">
            <v>0</v>
          </cell>
          <cell r="O2341">
            <v>0</v>
          </cell>
          <cell r="Q2341">
            <v>0</v>
          </cell>
          <cell r="R2341">
            <v>0</v>
          </cell>
          <cell r="T2341">
            <v>0</v>
          </cell>
          <cell r="U2341">
            <v>0</v>
          </cell>
          <cell r="W2341">
            <v>0</v>
          </cell>
          <cell r="X2341">
            <v>0</v>
          </cell>
          <cell r="Z2341">
            <v>0</v>
          </cell>
          <cell r="AA2341">
            <v>0</v>
          </cell>
          <cell r="AC2341">
            <v>0</v>
          </cell>
          <cell r="AD2341">
            <v>0</v>
          </cell>
          <cell r="AF2341">
            <v>0</v>
          </cell>
          <cell r="AG2341">
            <v>0</v>
          </cell>
          <cell r="AI2341">
            <v>0</v>
          </cell>
          <cell r="AJ2341">
            <v>0</v>
          </cell>
          <cell r="AL2341">
            <v>0</v>
          </cell>
          <cell r="AM2341">
            <v>0</v>
          </cell>
          <cell r="AO2341">
            <v>0</v>
          </cell>
          <cell r="AP2341">
            <v>0</v>
          </cell>
          <cell r="AR2341">
            <v>0</v>
          </cell>
          <cell r="AS2341">
            <v>0</v>
          </cell>
          <cell r="BF2341" t="str">
            <v>1000</v>
          </cell>
          <cell r="BG2341" t="str">
            <v>A008</v>
          </cell>
          <cell r="BH2341" t="str">
            <v>IBO</v>
          </cell>
        </row>
        <row r="2342">
          <cell r="K2342">
            <v>0</v>
          </cell>
          <cell r="L2342">
            <v>0</v>
          </cell>
          <cell r="N2342">
            <v>0</v>
          </cell>
          <cell r="O2342">
            <v>0</v>
          </cell>
          <cell r="Q2342">
            <v>0</v>
          </cell>
          <cell r="R2342">
            <v>0</v>
          </cell>
          <cell r="T2342">
            <v>0</v>
          </cell>
          <cell r="U2342">
            <v>0</v>
          </cell>
          <cell r="W2342">
            <v>0</v>
          </cell>
          <cell r="X2342">
            <v>0</v>
          </cell>
          <cell r="Z2342">
            <v>0</v>
          </cell>
          <cell r="AA2342">
            <v>0</v>
          </cell>
          <cell r="AC2342">
            <v>0</v>
          </cell>
          <cell r="AD2342">
            <v>0</v>
          </cell>
          <cell r="AF2342">
            <v>0</v>
          </cell>
          <cell r="AG2342">
            <v>0</v>
          </cell>
          <cell r="AI2342">
            <v>0</v>
          </cell>
          <cell r="AJ2342">
            <v>0</v>
          </cell>
          <cell r="AL2342">
            <v>0</v>
          </cell>
          <cell r="AM2342">
            <v>0</v>
          </cell>
          <cell r="AO2342">
            <v>0</v>
          </cell>
          <cell r="AP2342">
            <v>0</v>
          </cell>
          <cell r="AR2342">
            <v>0</v>
          </cell>
          <cell r="AS2342">
            <v>0</v>
          </cell>
          <cell r="BF2342" t="str">
            <v>1000</v>
          </cell>
          <cell r="BG2342" t="str">
            <v>A009</v>
          </cell>
          <cell r="BH2342" t="str">
            <v>IBO</v>
          </cell>
        </row>
        <row r="2343">
          <cell r="K2343">
            <v>0</v>
          </cell>
          <cell r="L2343">
            <v>0</v>
          </cell>
          <cell r="N2343">
            <v>0</v>
          </cell>
          <cell r="O2343">
            <v>0</v>
          </cell>
          <cell r="Q2343">
            <v>0</v>
          </cell>
          <cell r="R2343">
            <v>0</v>
          </cell>
          <cell r="T2343">
            <v>0</v>
          </cell>
          <cell r="U2343">
            <v>0</v>
          </cell>
          <cell r="W2343">
            <v>0</v>
          </cell>
          <cell r="X2343">
            <v>0</v>
          </cell>
          <cell r="Z2343">
            <v>0</v>
          </cell>
          <cell r="AA2343">
            <v>0</v>
          </cell>
          <cell r="AC2343">
            <v>0</v>
          </cell>
          <cell r="AD2343">
            <v>0</v>
          </cell>
          <cell r="AF2343">
            <v>0</v>
          </cell>
          <cell r="AG2343">
            <v>0</v>
          </cell>
          <cell r="AI2343">
            <v>0</v>
          </cell>
          <cell r="AJ2343">
            <v>0</v>
          </cell>
          <cell r="AL2343">
            <v>0</v>
          </cell>
          <cell r="AM2343">
            <v>0</v>
          </cell>
          <cell r="AO2343">
            <v>0</v>
          </cell>
          <cell r="AP2343">
            <v>0</v>
          </cell>
          <cell r="AR2343">
            <v>0</v>
          </cell>
          <cell r="AS2343">
            <v>0</v>
          </cell>
          <cell r="BF2343" t="str">
            <v>1000</v>
          </cell>
          <cell r="BG2343" t="str">
            <v>A010</v>
          </cell>
          <cell r="BH2343" t="str">
            <v>IBO</v>
          </cell>
        </row>
        <row r="2344">
          <cell r="K2344">
            <v>0</v>
          </cell>
          <cell r="L2344">
            <v>0</v>
          </cell>
          <cell r="N2344">
            <v>0</v>
          </cell>
          <cell r="O2344">
            <v>0</v>
          </cell>
          <cell r="Q2344">
            <v>0</v>
          </cell>
          <cell r="R2344">
            <v>0</v>
          </cell>
          <cell r="T2344">
            <v>0</v>
          </cell>
          <cell r="U2344">
            <v>0</v>
          </cell>
          <cell r="W2344">
            <v>0</v>
          </cell>
          <cell r="X2344">
            <v>0</v>
          </cell>
          <cell r="Z2344">
            <v>0</v>
          </cell>
          <cell r="AA2344">
            <v>0</v>
          </cell>
          <cell r="AC2344">
            <v>0</v>
          </cell>
          <cell r="AD2344">
            <v>0</v>
          </cell>
          <cell r="AF2344">
            <v>0</v>
          </cell>
          <cell r="AG2344">
            <v>0</v>
          </cell>
          <cell r="AI2344">
            <v>0</v>
          </cell>
          <cell r="AJ2344">
            <v>0</v>
          </cell>
          <cell r="AL2344">
            <v>0</v>
          </cell>
          <cell r="AM2344">
            <v>0</v>
          </cell>
          <cell r="AO2344">
            <v>0</v>
          </cell>
          <cell r="AP2344">
            <v>0</v>
          </cell>
          <cell r="AR2344">
            <v>0</v>
          </cell>
          <cell r="AS2344">
            <v>0</v>
          </cell>
          <cell r="BF2344" t="str">
            <v>1001</v>
          </cell>
          <cell r="BG2344" t="str">
            <v>A021</v>
          </cell>
          <cell r="BH2344" t="str">
            <v>IBO</v>
          </cell>
        </row>
        <row r="2345">
          <cell r="K2345">
            <v>0</v>
          </cell>
          <cell r="L2345">
            <v>0</v>
          </cell>
          <cell r="N2345">
            <v>0</v>
          </cell>
          <cell r="O2345">
            <v>0</v>
          </cell>
          <cell r="Q2345">
            <v>0</v>
          </cell>
          <cell r="R2345">
            <v>0</v>
          </cell>
          <cell r="T2345">
            <v>0</v>
          </cell>
          <cell r="U2345">
            <v>0</v>
          </cell>
          <cell r="W2345">
            <v>0</v>
          </cell>
          <cell r="X2345">
            <v>0</v>
          </cell>
          <cell r="Z2345">
            <v>0</v>
          </cell>
          <cell r="AA2345">
            <v>0</v>
          </cell>
          <cell r="AC2345">
            <v>0</v>
          </cell>
          <cell r="AD2345">
            <v>0</v>
          </cell>
          <cell r="AF2345">
            <v>0</v>
          </cell>
          <cell r="AG2345">
            <v>0</v>
          </cell>
          <cell r="AI2345">
            <v>0</v>
          </cell>
          <cell r="AJ2345">
            <v>0</v>
          </cell>
          <cell r="AL2345">
            <v>0</v>
          </cell>
          <cell r="AM2345">
            <v>0</v>
          </cell>
          <cell r="AO2345">
            <v>0</v>
          </cell>
          <cell r="AP2345">
            <v>0</v>
          </cell>
          <cell r="AR2345">
            <v>0</v>
          </cell>
          <cell r="AS2345">
            <v>0</v>
          </cell>
          <cell r="BF2345" t="str">
            <v>1005</v>
          </cell>
          <cell r="BG2345" t="str">
            <v>A081</v>
          </cell>
          <cell r="BH2345" t="str">
            <v>IBO</v>
          </cell>
        </row>
        <row r="2346">
          <cell r="K2346">
            <v>0</v>
          </cell>
          <cell r="L2346">
            <v>0</v>
          </cell>
          <cell r="N2346">
            <v>0</v>
          </cell>
          <cell r="O2346">
            <v>0</v>
          </cell>
          <cell r="Q2346">
            <v>0</v>
          </cell>
          <cell r="R2346">
            <v>0</v>
          </cell>
          <cell r="T2346">
            <v>1394.78</v>
          </cell>
          <cell r="U2346">
            <v>0</v>
          </cell>
          <cell r="W2346">
            <v>1406.4400000000003</v>
          </cell>
          <cell r="X2346">
            <v>0</v>
          </cell>
          <cell r="Z2346">
            <v>202.0300000000002</v>
          </cell>
          <cell r="AA2346">
            <v>0</v>
          </cell>
          <cell r="AC2346">
            <v>2363.2000000000003</v>
          </cell>
          <cell r="AD2346">
            <v>0</v>
          </cell>
          <cell r="AF2346">
            <v>2386.71</v>
          </cell>
          <cell r="AG2346">
            <v>0</v>
          </cell>
          <cell r="AI2346">
            <v>2755.12</v>
          </cell>
          <cell r="AJ2346">
            <v>0</v>
          </cell>
          <cell r="AL2346">
            <v>2784.0399999999991</v>
          </cell>
          <cell r="AM2346">
            <v>0</v>
          </cell>
          <cell r="AO2346">
            <v>4164.2799999999988</v>
          </cell>
          <cell r="AP2346">
            <v>0</v>
          </cell>
          <cell r="AR2346">
            <v>5574.07</v>
          </cell>
          <cell r="AS2346">
            <v>0</v>
          </cell>
          <cell r="BF2346" t="str">
            <v>1005</v>
          </cell>
          <cell r="BG2346" t="str">
            <v>A082</v>
          </cell>
          <cell r="BH2346" t="str">
            <v>IBO</v>
          </cell>
        </row>
        <row r="2347">
          <cell r="K2347">
            <v>0</v>
          </cell>
          <cell r="L2347">
            <v>0</v>
          </cell>
          <cell r="N2347">
            <v>0</v>
          </cell>
          <cell r="O2347">
            <v>0</v>
          </cell>
          <cell r="Q2347">
            <v>0</v>
          </cell>
          <cell r="R2347">
            <v>0</v>
          </cell>
          <cell r="T2347">
            <v>0</v>
          </cell>
          <cell r="U2347">
            <v>0</v>
          </cell>
          <cell r="W2347">
            <v>0</v>
          </cell>
          <cell r="X2347">
            <v>0</v>
          </cell>
          <cell r="Z2347">
            <v>0</v>
          </cell>
          <cell r="AA2347">
            <v>0</v>
          </cell>
          <cell r="AC2347">
            <v>0</v>
          </cell>
          <cell r="AD2347">
            <v>0</v>
          </cell>
          <cell r="AF2347">
            <v>0</v>
          </cell>
          <cell r="AG2347">
            <v>0</v>
          </cell>
          <cell r="AI2347">
            <v>0</v>
          </cell>
          <cell r="AJ2347">
            <v>0</v>
          </cell>
          <cell r="AL2347">
            <v>0</v>
          </cell>
          <cell r="AM2347">
            <v>0</v>
          </cell>
          <cell r="AO2347">
            <v>0</v>
          </cell>
          <cell r="AP2347">
            <v>0</v>
          </cell>
          <cell r="AR2347">
            <v>0</v>
          </cell>
          <cell r="AS2347">
            <v>0</v>
          </cell>
          <cell r="BF2347" t="str">
            <v>1005</v>
          </cell>
          <cell r="BG2347" t="str">
            <v>A083</v>
          </cell>
          <cell r="BH2347" t="str">
            <v>IBO</v>
          </cell>
        </row>
        <row r="2348">
          <cell r="K2348">
            <v>0</v>
          </cell>
          <cell r="L2348">
            <v>0</v>
          </cell>
          <cell r="N2348">
            <v>0</v>
          </cell>
          <cell r="O2348">
            <v>0</v>
          </cell>
          <cell r="Q2348">
            <v>0</v>
          </cell>
          <cell r="R2348">
            <v>0</v>
          </cell>
          <cell r="T2348">
            <v>0</v>
          </cell>
          <cell r="U2348">
            <v>0</v>
          </cell>
          <cell r="W2348">
            <v>0</v>
          </cell>
          <cell r="X2348">
            <v>0</v>
          </cell>
          <cell r="Z2348">
            <v>0</v>
          </cell>
          <cell r="AA2348">
            <v>0</v>
          </cell>
          <cell r="AC2348">
            <v>0</v>
          </cell>
          <cell r="AD2348">
            <v>0</v>
          </cell>
          <cell r="AF2348">
            <v>0</v>
          </cell>
          <cell r="AG2348">
            <v>0</v>
          </cell>
          <cell r="AI2348">
            <v>0</v>
          </cell>
          <cell r="AJ2348">
            <v>0</v>
          </cell>
          <cell r="AL2348">
            <v>0</v>
          </cell>
          <cell r="AM2348">
            <v>0</v>
          </cell>
          <cell r="AO2348">
            <v>0</v>
          </cell>
          <cell r="AP2348">
            <v>0</v>
          </cell>
          <cell r="AR2348">
            <v>0</v>
          </cell>
          <cell r="AS2348">
            <v>0</v>
          </cell>
          <cell r="BF2348" t="str">
            <v>1005</v>
          </cell>
          <cell r="BG2348" t="str">
            <v>A084</v>
          </cell>
          <cell r="BH2348" t="str">
            <v>IBO</v>
          </cell>
        </row>
        <row r="2349">
          <cell r="K2349">
            <v>0</v>
          </cell>
          <cell r="L2349">
            <v>0</v>
          </cell>
          <cell r="N2349">
            <v>0</v>
          </cell>
          <cell r="O2349">
            <v>0</v>
          </cell>
          <cell r="Q2349">
            <v>0</v>
          </cell>
          <cell r="R2349">
            <v>0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Z2349">
            <v>0</v>
          </cell>
          <cell r="AA2349">
            <v>0</v>
          </cell>
          <cell r="AC2349">
            <v>0</v>
          </cell>
          <cell r="AD2349">
            <v>0</v>
          </cell>
          <cell r="AF2349">
            <v>0</v>
          </cell>
          <cell r="AG2349">
            <v>0</v>
          </cell>
          <cell r="AI2349">
            <v>0</v>
          </cell>
          <cell r="AJ2349">
            <v>0</v>
          </cell>
          <cell r="AL2349">
            <v>0</v>
          </cell>
          <cell r="AM2349">
            <v>0</v>
          </cell>
          <cell r="AO2349">
            <v>0</v>
          </cell>
          <cell r="AP2349">
            <v>0</v>
          </cell>
          <cell r="AR2349">
            <v>0</v>
          </cell>
          <cell r="AS2349">
            <v>0</v>
          </cell>
          <cell r="BF2349" t="str">
            <v>1005</v>
          </cell>
          <cell r="BG2349" t="str">
            <v>A085</v>
          </cell>
          <cell r="BH2349" t="str">
            <v>IBO</v>
          </cell>
        </row>
        <row r="2350">
          <cell r="K2350">
            <v>0</v>
          </cell>
          <cell r="L2350">
            <v>0</v>
          </cell>
          <cell r="N2350">
            <v>0</v>
          </cell>
          <cell r="O2350">
            <v>0</v>
          </cell>
          <cell r="Q2350">
            <v>0</v>
          </cell>
          <cell r="R2350">
            <v>0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Z2350">
            <v>0</v>
          </cell>
          <cell r="AA2350">
            <v>0</v>
          </cell>
          <cell r="AC2350">
            <v>0</v>
          </cell>
          <cell r="AD2350">
            <v>0</v>
          </cell>
          <cell r="AF2350">
            <v>0</v>
          </cell>
          <cell r="AG2350">
            <v>0</v>
          </cell>
          <cell r="AI2350">
            <v>0</v>
          </cell>
          <cell r="AJ2350">
            <v>0</v>
          </cell>
          <cell r="AL2350">
            <v>0</v>
          </cell>
          <cell r="AM2350">
            <v>0</v>
          </cell>
          <cell r="AO2350">
            <v>0</v>
          </cell>
          <cell r="AP2350">
            <v>0</v>
          </cell>
          <cell r="AR2350">
            <v>0</v>
          </cell>
          <cell r="AS2350">
            <v>0</v>
          </cell>
          <cell r="BF2350" t="str">
            <v>1005</v>
          </cell>
          <cell r="BG2350" t="str">
            <v>A086</v>
          </cell>
          <cell r="BH2350" t="str">
            <v>IBO</v>
          </cell>
        </row>
        <row r="2351">
          <cell r="K2351">
            <v>0</v>
          </cell>
          <cell r="L2351">
            <v>0</v>
          </cell>
          <cell r="N2351">
            <v>0</v>
          </cell>
          <cell r="O2351">
            <v>0</v>
          </cell>
          <cell r="Q2351">
            <v>0</v>
          </cell>
          <cell r="R2351">
            <v>0</v>
          </cell>
          <cell r="T2351">
            <v>363088</v>
          </cell>
          <cell r="U2351">
            <v>0</v>
          </cell>
          <cell r="W2351">
            <v>82208</v>
          </cell>
          <cell r="X2351">
            <v>0</v>
          </cell>
          <cell r="Z2351">
            <v>85108</v>
          </cell>
          <cell r="AA2351">
            <v>0</v>
          </cell>
          <cell r="AC2351">
            <v>91193</v>
          </cell>
          <cell r="AD2351">
            <v>0</v>
          </cell>
          <cell r="AF2351">
            <v>94298</v>
          </cell>
          <cell r="AG2351">
            <v>0</v>
          </cell>
          <cell r="AI2351">
            <v>93883</v>
          </cell>
          <cell r="AJ2351">
            <v>0</v>
          </cell>
          <cell r="AL2351">
            <v>107048</v>
          </cell>
          <cell r="AM2351">
            <v>0</v>
          </cell>
          <cell r="AO2351">
            <v>115320</v>
          </cell>
          <cell r="AP2351">
            <v>0</v>
          </cell>
          <cell r="AR2351">
            <v>181422.53000000003</v>
          </cell>
          <cell r="AS2351">
            <v>0</v>
          </cell>
          <cell r="BF2351" t="str">
            <v>1006</v>
          </cell>
          <cell r="BG2351" t="str">
            <v>A101</v>
          </cell>
          <cell r="BH2351" t="str">
            <v>IBO</v>
          </cell>
        </row>
        <row r="2352">
          <cell r="K2352">
            <v>0</v>
          </cell>
          <cell r="L2352">
            <v>0</v>
          </cell>
          <cell r="N2352">
            <v>0</v>
          </cell>
          <cell r="O2352">
            <v>0</v>
          </cell>
          <cell r="Q2352">
            <v>0</v>
          </cell>
          <cell r="R2352">
            <v>0</v>
          </cell>
          <cell r="T2352">
            <v>0</v>
          </cell>
          <cell r="U2352">
            <v>0</v>
          </cell>
          <cell r="W2352">
            <v>0</v>
          </cell>
          <cell r="X2352">
            <v>0</v>
          </cell>
          <cell r="Z2352">
            <v>0</v>
          </cell>
          <cell r="AA2352">
            <v>0</v>
          </cell>
          <cell r="AC2352">
            <v>0</v>
          </cell>
          <cell r="AD2352">
            <v>0</v>
          </cell>
          <cell r="AF2352">
            <v>0</v>
          </cell>
          <cell r="AG2352">
            <v>0</v>
          </cell>
          <cell r="AI2352">
            <v>0</v>
          </cell>
          <cell r="AJ2352">
            <v>0</v>
          </cell>
          <cell r="AL2352">
            <v>0</v>
          </cell>
          <cell r="AM2352">
            <v>0</v>
          </cell>
          <cell r="AO2352">
            <v>0</v>
          </cell>
          <cell r="AP2352">
            <v>0</v>
          </cell>
          <cell r="AR2352">
            <v>0</v>
          </cell>
          <cell r="AS2352">
            <v>0</v>
          </cell>
          <cell r="BF2352" t="str">
            <v>1008</v>
          </cell>
          <cell r="BG2352" t="str">
            <v>A041</v>
          </cell>
          <cell r="BH2352" t="str">
            <v>IBO</v>
          </cell>
        </row>
        <row r="2353">
          <cell r="K2353">
            <v>0</v>
          </cell>
          <cell r="L2353">
            <v>0</v>
          </cell>
          <cell r="N2353">
            <v>0</v>
          </cell>
          <cell r="O2353">
            <v>0</v>
          </cell>
          <cell r="Q2353">
            <v>0</v>
          </cell>
          <cell r="R2353">
            <v>0</v>
          </cell>
          <cell r="T2353">
            <v>0</v>
          </cell>
          <cell r="U2353">
            <v>0</v>
          </cell>
          <cell r="W2353">
            <v>0</v>
          </cell>
          <cell r="X2353">
            <v>0</v>
          </cell>
          <cell r="Z2353">
            <v>0</v>
          </cell>
          <cell r="AA2353">
            <v>0</v>
          </cell>
          <cell r="AC2353">
            <v>0</v>
          </cell>
          <cell r="AD2353">
            <v>0</v>
          </cell>
          <cell r="AF2353">
            <v>0</v>
          </cell>
          <cell r="AG2353">
            <v>0</v>
          </cell>
          <cell r="AI2353">
            <v>0</v>
          </cell>
          <cell r="AJ2353">
            <v>0</v>
          </cell>
          <cell r="AL2353">
            <v>0</v>
          </cell>
          <cell r="AM2353">
            <v>0</v>
          </cell>
          <cell r="AO2353">
            <v>0</v>
          </cell>
          <cell r="AP2353">
            <v>0</v>
          </cell>
          <cell r="AR2353">
            <v>0</v>
          </cell>
          <cell r="AS2353">
            <v>0</v>
          </cell>
          <cell r="BF2353" t="str">
            <v>1008</v>
          </cell>
          <cell r="BG2353" t="str">
            <v>A042</v>
          </cell>
          <cell r="BH2353" t="str">
            <v>IBO</v>
          </cell>
        </row>
        <row r="2354">
          <cell r="K2354">
            <v>0</v>
          </cell>
          <cell r="L2354">
            <v>0</v>
          </cell>
          <cell r="N2354">
            <v>0</v>
          </cell>
          <cell r="O2354">
            <v>0</v>
          </cell>
          <cell r="Q2354">
            <v>0</v>
          </cell>
          <cell r="R2354">
            <v>0</v>
          </cell>
          <cell r="T2354">
            <v>0</v>
          </cell>
          <cell r="U2354">
            <v>0</v>
          </cell>
          <cell r="W2354">
            <v>0</v>
          </cell>
          <cell r="X2354">
            <v>0</v>
          </cell>
          <cell r="Z2354">
            <v>0</v>
          </cell>
          <cell r="AA2354">
            <v>0</v>
          </cell>
          <cell r="AC2354">
            <v>0</v>
          </cell>
          <cell r="AD2354">
            <v>0</v>
          </cell>
          <cell r="AF2354">
            <v>0</v>
          </cell>
          <cell r="AG2354">
            <v>0</v>
          </cell>
          <cell r="AI2354">
            <v>0</v>
          </cell>
          <cell r="AJ2354">
            <v>0</v>
          </cell>
          <cell r="AL2354">
            <v>0</v>
          </cell>
          <cell r="AM2354">
            <v>0</v>
          </cell>
          <cell r="AO2354">
            <v>0</v>
          </cell>
          <cell r="AP2354">
            <v>0</v>
          </cell>
          <cell r="AR2354">
            <v>0</v>
          </cell>
          <cell r="AS2354">
            <v>0</v>
          </cell>
          <cell r="BF2354" t="str">
            <v>1008</v>
          </cell>
          <cell r="BG2354" t="str">
            <v>A043</v>
          </cell>
          <cell r="BH2354" t="str">
            <v>IBO</v>
          </cell>
        </row>
        <row r="2355">
          <cell r="K2355">
            <v>0</v>
          </cell>
          <cell r="L2355">
            <v>0</v>
          </cell>
          <cell r="N2355">
            <v>0</v>
          </cell>
          <cell r="O2355">
            <v>0</v>
          </cell>
          <cell r="Q2355">
            <v>0</v>
          </cell>
          <cell r="R2355">
            <v>0</v>
          </cell>
          <cell r="T2355">
            <v>0</v>
          </cell>
          <cell r="U2355">
            <v>0</v>
          </cell>
          <cell r="W2355">
            <v>0</v>
          </cell>
          <cell r="X2355">
            <v>0</v>
          </cell>
          <cell r="Z2355">
            <v>0</v>
          </cell>
          <cell r="AA2355">
            <v>0</v>
          </cell>
          <cell r="AC2355">
            <v>0</v>
          </cell>
          <cell r="AD2355">
            <v>0</v>
          </cell>
          <cell r="AF2355">
            <v>0</v>
          </cell>
          <cell r="AG2355">
            <v>0</v>
          </cell>
          <cell r="AI2355">
            <v>0</v>
          </cell>
          <cell r="AJ2355">
            <v>0</v>
          </cell>
          <cell r="AL2355">
            <v>0</v>
          </cell>
          <cell r="AM2355">
            <v>0</v>
          </cell>
          <cell r="AO2355">
            <v>0</v>
          </cell>
          <cell r="AP2355">
            <v>0</v>
          </cell>
          <cell r="AR2355">
            <v>0</v>
          </cell>
          <cell r="AS2355">
            <v>0</v>
          </cell>
          <cell r="BF2355" t="str">
            <v>1008</v>
          </cell>
          <cell r="BG2355" t="str">
            <v>A044</v>
          </cell>
          <cell r="BH2355" t="str">
            <v>IBO</v>
          </cell>
        </row>
        <row r="2356">
          <cell r="K2356">
            <v>0</v>
          </cell>
          <cell r="L2356">
            <v>0</v>
          </cell>
          <cell r="N2356">
            <v>0</v>
          </cell>
          <cell r="O2356">
            <v>0</v>
          </cell>
          <cell r="Q2356">
            <v>0</v>
          </cell>
          <cell r="R2356">
            <v>0</v>
          </cell>
          <cell r="T2356">
            <v>0</v>
          </cell>
          <cell r="U2356">
            <v>0</v>
          </cell>
          <cell r="W2356">
            <v>0</v>
          </cell>
          <cell r="X2356">
            <v>0</v>
          </cell>
          <cell r="Z2356">
            <v>0</v>
          </cell>
          <cell r="AA2356">
            <v>0</v>
          </cell>
          <cell r="AC2356">
            <v>0</v>
          </cell>
          <cell r="AD2356">
            <v>0</v>
          </cell>
          <cell r="AF2356">
            <v>0</v>
          </cell>
          <cell r="AG2356">
            <v>0</v>
          </cell>
          <cell r="AI2356">
            <v>0</v>
          </cell>
          <cell r="AJ2356">
            <v>0</v>
          </cell>
          <cell r="AL2356">
            <v>0</v>
          </cell>
          <cell r="AM2356">
            <v>0</v>
          </cell>
          <cell r="AO2356">
            <v>0</v>
          </cell>
          <cell r="AP2356">
            <v>0</v>
          </cell>
          <cell r="AR2356">
            <v>0</v>
          </cell>
          <cell r="AS2356">
            <v>0</v>
          </cell>
          <cell r="BF2356" t="str">
            <v>1009</v>
          </cell>
          <cell r="BG2356" t="str">
            <v>A061</v>
          </cell>
          <cell r="BH2356" t="str">
            <v>IBO</v>
          </cell>
        </row>
        <row r="2357">
          <cell r="K2357">
            <v>0</v>
          </cell>
          <cell r="L2357">
            <v>0</v>
          </cell>
          <cell r="N2357">
            <v>0</v>
          </cell>
          <cell r="O2357">
            <v>0</v>
          </cell>
          <cell r="Q2357">
            <v>0</v>
          </cell>
          <cell r="R2357">
            <v>0</v>
          </cell>
          <cell r="T2357">
            <v>0</v>
          </cell>
          <cell r="U2357">
            <v>0</v>
          </cell>
          <cell r="W2357">
            <v>0</v>
          </cell>
          <cell r="X2357">
            <v>0</v>
          </cell>
          <cell r="Z2357">
            <v>0</v>
          </cell>
          <cell r="AA2357">
            <v>0</v>
          </cell>
          <cell r="AC2357">
            <v>0</v>
          </cell>
          <cell r="AD2357">
            <v>0</v>
          </cell>
          <cell r="AF2357">
            <v>0</v>
          </cell>
          <cell r="AG2357">
            <v>0</v>
          </cell>
          <cell r="AI2357">
            <v>0</v>
          </cell>
          <cell r="AJ2357">
            <v>0</v>
          </cell>
          <cell r="AL2357">
            <v>0</v>
          </cell>
          <cell r="AM2357">
            <v>0</v>
          </cell>
          <cell r="AO2357">
            <v>0</v>
          </cell>
          <cell r="AP2357">
            <v>0</v>
          </cell>
          <cell r="AR2357">
            <v>0</v>
          </cell>
          <cell r="AS2357">
            <v>0</v>
          </cell>
          <cell r="BF2357" t="str">
            <v>1009</v>
          </cell>
          <cell r="BG2357" t="str">
            <v>A062</v>
          </cell>
          <cell r="BH2357" t="str">
            <v>IBO</v>
          </cell>
        </row>
        <row r="2358">
          <cell r="K2358">
            <v>0</v>
          </cell>
          <cell r="L2358">
            <v>0</v>
          </cell>
          <cell r="N2358">
            <v>0</v>
          </cell>
          <cell r="O2358">
            <v>0</v>
          </cell>
          <cell r="Q2358">
            <v>0</v>
          </cell>
          <cell r="R2358">
            <v>0</v>
          </cell>
          <cell r="T2358">
            <v>0</v>
          </cell>
          <cell r="U2358">
            <v>0</v>
          </cell>
          <cell r="W2358">
            <v>0</v>
          </cell>
          <cell r="X2358">
            <v>0</v>
          </cell>
          <cell r="Z2358">
            <v>0</v>
          </cell>
          <cell r="AA2358">
            <v>0</v>
          </cell>
          <cell r="AC2358">
            <v>0</v>
          </cell>
          <cell r="AD2358">
            <v>0</v>
          </cell>
          <cell r="AF2358">
            <v>0</v>
          </cell>
          <cell r="AG2358">
            <v>0</v>
          </cell>
          <cell r="AI2358">
            <v>0</v>
          </cell>
          <cell r="AJ2358">
            <v>0</v>
          </cell>
          <cell r="AL2358">
            <v>0</v>
          </cell>
          <cell r="AM2358">
            <v>0</v>
          </cell>
          <cell r="AO2358">
            <v>0</v>
          </cell>
          <cell r="AP2358">
            <v>0</v>
          </cell>
          <cell r="AR2358">
            <v>0</v>
          </cell>
          <cell r="AS2358">
            <v>0</v>
          </cell>
          <cell r="BF2358" t="str">
            <v>1009</v>
          </cell>
          <cell r="BG2358" t="str">
            <v>A063</v>
          </cell>
          <cell r="BH2358" t="str">
            <v>IBO</v>
          </cell>
        </row>
        <row r="2359">
          <cell r="K2359">
            <v>0</v>
          </cell>
          <cell r="L2359">
            <v>0</v>
          </cell>
          <cell r="N2359">
            <v>0</v>
          </cell>
          <cell r="O2359">
            <v>0</v>
          </cell>
          <cell r="Q2359">
            <v>0</v>
          </cell>
          <cell r="R2359">
            <v>0</v>
          </cell>
          <cell r="T2359">
            <v>0</v>
          </cell>
          <cell r="U2359">
            <v>0</v>
          </cell>
          <cell r="W2359">
            <v>0</v>
          </cell>
          <cell r="X2359">
            <v>0</v>
          </cell>
          <cell r="Z2359">
            <v>0</v>
          </cell>
          <cell r="AA2359">
            <v>0</v>
          </cell>
          <cell r="AC2359">
            <v>0</v>
          </cell>
          <cell r="AD2359">
            <v>0</v>
          </cell>
          <cell r="AF2359">
            <v>0</v>
          </cell>
          <cell r="AG2359">
            <v>0</v>
          </cell>
          <cell r="AI2359">
            <v>0</v>
          </cell>
          <cell r="AJ2359">
            <v>0</v>
          </cell>
          <cell r="AL2359">
            <v>0</v>
          </cell>
          <cell r="AM2359">
            <v>0</v>
          </cell>
          <cell r="AO2359">
            <v>0</v>
          </cell>
          <cell r="AP2359">
            <v>0</v>
          </cell>
          <cell r="AR2359">
            <v>0</v>
          </cell>
          <cell r="AS2359">
            <v>0</v>
          </cell>
          <cell r="BF2359" t="str">
            <v>1009</v>
          </cell>
          <cell r="BG2359" t="str">
            <v>A064</v>
          </cell>
          <cell r="BH2359" t="str">
            <v>IBO</v>
          </cell>
        </row>
        <row r="2360">
          <cell r="K2360">
            <v>0</v>
          </cell>
          <cell r="L2360">
            <v>0</v>
          </cell>
          <cell r="N2360">
            <v>0</v>
          </cell>
          <cell r="O2360">
            <v>0</v>
          </cell>
          <cell r="Q2360">
            <v>0</v>
          </cell>
          <cell r="R2360">
            <v>0</v>
          </cell>
          <cell r="T2360">
            <v>0</v>
          </cell>
          <cell r="U2360">
            <v>0</v>
          </cell>
          <cell r="W2360">
            <v>0</v>
          </cell>
          <cell r="X2360">
            <v>0</v>
          </cell>
          <cell r="Z2360">
            <v>0</v>
          </cell>
          <cell r="AA2360">
            <v>0</v>
          </cell>
          <cell r="AC2360">
            <v>0</v>
          </cell>
          <cell r="AD2360">
            <v>0</v>
          </cell>
          <cell r="AF2360">
            <v>0</v>
          </cell>
          <cell r="AG2360">
            <v>0</v>
          </cell>
          <cell r="AI2360">
            <v>0</v>
          </cell>
          <cell r="AJ2360">
            <v>0</v>
          </cell>
          <cell r="AL2360">
            <v>0</v>
          </cell>
          <cell r="AM2360">
            <v>0</v>
          </cell>
          <cell r="AO2360">
            <v>0</v>
          </cell>
          <cell r="AP2360">
            <v>0</v>
          </cell>
          <cell r="AR2360">
            <v>0</v>
          </cell>
          <cell r="AS2360">
            <v>0</v>
          </cell>
          <cell r="BF2360" t="str">
            <v>1009</v>
          </cell>
          <cell r="BG2360" t="str">
            <v>A065</v>
          </cell>
          <cell r="BH2360" t="str">
            <v>IBO</v>
          </cell>
        </row>
        <row r="2361">
          <cell r="K2361">
            <v>0</v>
          </cell>
          <cell r="L2361">
            <v>0</v>
          </cell>
          <cell r="N2361">
            <v>0</v>
          </cell>
          <cell r="O2361">
            <v>0</v>
          </cell>
          <cell r="Q2361">
            <v>0</v>
          </cell>
          <cell r="R2361">
            <v>0</v>
          </cell>
          <cell r="T2361">
            <v>0</v>
          </cell>
          <cell r="U2361">
            <v>0</v>
          </cell>
          <cell r="W2361">
            <v>0</v>
          </cell>
          <cell r="X2361">
            <v>0</v>
          </cell>
          <cell r="Z2361">
            <v>0</v>
          </cell>
          <cell r="AA2361">
            <v>0</v>
          </cell>
          <cell r="AC2361">
            <v>0</v>
          </cell>
          <cell r="AD2361">
            <v>0</v>
          </cell>
          <cell r="AF2361">
            <v>0</v>
          </cell>
          <cell r="AG2361">
            <v>0</v>
          </cell>
          <cell r="AI2361">
            <v>0</v>
          </cell>
          <cell r="AJ2361">
            <v>0</v>
          </cell>
          <cell r="AL2361">
            <v>0</v>
          </cell>
          <cell r="AM2361">
            <v>0</v>
          </cell>
          <cell r="AO2361">
            <v>0</v>
          </cell>
          <cell r="AP2361">
            <v>0</v>
          </cell>
          <cell r="AR2361">
            <v>0</v>
          </cell>
          <cell r="AS2361">
            <v>0</v>
          </cell>
          <cell r="BF2361" t="str">
            <v>2001</v>
          </cell>
          <cell r="BG2361" t="str">
            <v>B001</v>
          </cell>
          <cell r="BH2361" t="str">
            <v>IBO</v>
          </cell>
        </row>
        <row r="2362">
          <cell r="K2362">
            <v>0</v>
          </cell>
          <cell r="L2362">
            <v>0</v>
          </cell>
          <cell r="N2362">
            <v>0</v>
          </cell>
          <cell r="O2362">
            <v>0</v>
          </cell>
          <cell r="Q2362">
            <v>0</v>
          </cell>
          <cell r="R2362">
            <v>0</v>
          </cell>
          <cell r="T2362">
            <v>0</v>
          </cell>
          <cell r="U2362">
            <v>0</v>
          </cell>
          <cell r="W2362">
            <v>0</v>
          </cell>
          <cell r="X2362">
            <v>0</v>
          </cell>
          <cell r="Z2362">
            <v>0</v>
          </cell>
          <cell r="AA2362">
            <v>0</v>
          </cell>
          <cell r="AC2362">
            <v>0</v>
          </cell>
          <cell r="AD2362">
            <v>0</v>
          </cell>
          <cell r="AF2362">
            <v>0</v>
          </cell>
          <cell r="AG2362">
            <v>0</v>
          </cell>
          <cell r="AI2362">
            <v>0</v>
          </cell>
          <cell r="AJ2362">
            <v>0</v>
          </cell>
          <cell r="AL2362">
            <v>0</v>
          </cell>
          <cell r="AM2362">
            <v>0</v>
          </cell>
          <cell r="AO2362">
            <v>0</v>
          </cell>
          <cell r="AP2362">
            <v>0</v>
          </cell>
          <cell r="AR2362">
            <v>0</v>
          </cell>
          <cell r="AS2362">
            <v>0</v>
          </cell>
          <cell r="BF2362" t="str">
            <v>2001</v>
          </cell>
          <cell r="BG2362" t="str">
            <v>B002</v>
          </cell>
          <cell r="BH2362" t="str">
            <v>IBO</v>
          </cell>
        </row>
        <row r="2363">
          <cell r="K2363">
            <v>0</v>
          </cell>
          <cell r="L2363">
            <v>0</v>
          </cell>
          <cell r="N2363">
            <v>0</v>
          </cell>
          <cell r="O2363">
            <v>0</v>
          </cell>
          <cell r="Q2363">
            <v>0</v>
          </cell>
          <cell r="R2363">
            <v>0</v>
          </cell>
          <cell r="T2363">
            <v>0</v>
          </cell>
          <cell r="U2363">
            <v>0</v>
          </cell>
          <cell r="W2363">
            <v>0</v>
          </cell>
          <cell r="X2363">
            <v>0</v>
          </cell>
          <cell r="Z2363">
            <v>0</v>
          </cell>
          <cell r="AA2363">
            <v>0</v>
          </cell>
          <cell r="AC2363">
            <v>0</v>
          </cell>
          <cell r="AD2363">
            <v>0</v>
          </cell>
          <cell r="AF2363">
            <v>0</v>
          </cell>
          <cell r="AG2363">
            <v>0</v>
          </cell>
          <cell r="AI2363">
            <v>0</v>
          </cell>
          <cell r="AJ2363">
            <v>0</v>
          </cell>
          <cell r="AL2363">
            <v>0</v>
          </cell>
          <cell r="AM2363">
            <v>0</v>
          </cell>
          <cell r="AO2363">
            <v>0</v>
          </cell>
          <cell r="AP2363">
            <v>0</v>
          </cell>
          <cell r="AR2363">
            <v>0</v>
          </cell>
          <cell r="AS2363">
            <v>0</v>
          </cell>
          <cell r="BF2363" t="str">
            <v>2001</v>
          </cell>
          <cell r="BG2363" t="str">
            <v>B003</v>
          </cell>
          <cell r="BH2363" t="str">
            <v>IBO</v>
          </cell>
        </row>
        <row r="2364">
          <cell r="K2364">
            <v>0</v>
          </cell>
          <cell r="L2364">
            <v>0</v>
          </cell>
          <cell r="N2364">
            <v>0</v>
          </cell>
          <cell r="O2364">
            <v>0</v>
          </cell>
          <cell r="Q2364">
            <v>0</v>
          </cell>
          <cell r="R2364">
            <v>0</v>
          </cell>
          <cell r="T2364">
            <v>0.31</v>
          </cell>
          <cell r="U2364">
            <v>0</v>
          </cell>
          <cell r="W2364">
            <v>0</v>
          </cell>
          <cell r="X2364">
            <v>0</v>
          </cell>
          <cell r="Z2364">
            <v>0</v>
          </cell>
          <cell r="AA2364">
            <v>0</v>
          </cell>
          <cell r="AC2364">
            <v>37.26</v>
          </cell>
          <cell r="AD2364">
            <v>0</v>
          </cell>
          <cell r="AF2364">
            <v>0</v>
          </cell>
          <cell r="AG2364">
            <v>0</v>
          </cell>
          <cell r="AI2364">
            <v>0</v>
          </cell>
          <cell r="AJ2364">
            <v>0</v>
          </cell>
          <cell r="AL2364">
            <v>0</v>
          </cell>
          <cell r="AM2364">
            <v>0</v>
          </cell>
          <cell r="AO2364">
            <v>0</v>
          </cell>
          <cell r="AP2364">
            <v>0</v>
          </cell>
          <cell r="AR2364">
            <v>0</v>
          </cell>
          <cell r="AS2364">
            <v>0</v>
          </cell>
          <cell r="BF2364" t="str">
            <v>2001</v>
          </cell>
          <cell r="BG2364" t="str">
            <v>B004</v>
          </cell>
          <cell r="BH2364" t="str">
            <v>IBO</v>
          </cell>
        </row>
        <row r="2365">
          <cell r="K2365">
            <v>0</v>
          </cell>
          <cell r="L2365">
            <v>0</v>
          </cell>
          <cell r="N2365">
            <v>0</v>
          </cell>
          <cell r="O2365">
            <v>0</v>
          </cell>
          <cell r="Q2365">
            <v>0</v>
          </cell>
          <cell r="R2365">
            <v>0</v>
          </cell>
          <cell r="T2365">
            <v>0</v>
          </cell>
          <cell r="U2365">
            <v>0</v>
          </cell>
          <cell r="W2365">
            <v>0</v>
          </cell>
          <cell r="X2365">
            <v>0</v>
          </cell>
          <cell r="Z2365">
            <v>0</v>
          </cell>
          <cell r="AA2365">
            <v>0</v>
          </cell>
          <cell r="AC2365">
            <v>0</v>
          </cell>
          <cell r="AD2365">
            <v>0</v>
          </cell>
          <cell r="AF2365">
            <v>0</v>
          </cell>
          <cell r="AG2365">
            <v>0</v>
          </cell>
          <cell r="AI2365">
            <v>0</v>
          </cell>
          <cell r="AJ2365">
            <v>0</v>
          </cell>
          <cell r="AL2365">
            <v>0</v>
          </cell>
          <cell r="AM2365">
            <v>0</v>
          </cell>
          <cell r="AO2365">
            <v>0</v>
          </cell>
          <cell r="AP2365">
            <v>0</v>
          </cell>
          <cell r="AR2365">
            <v>0</v>
          </cell>
          <cell r="AS2365">
            <v>0</v>
          </cell>
          <cell r="BF2365" t="str">
            <v>2001</v>
          </cell>
          <cell r="BG2365" t="str">
            <v>B005</v>
          </cell>
          <cell r="BH2365" t="str">
            <v>IBO</v>
          </cell>
        </row>
        <row r="2366">
          <cell r="K2366">
            <v>0</v>
          </cell>
          <cell r="L2366">
            <v>0</v>
          </cell>
          <cell r="N2366">
            <v>0</v>
          </cell>
          <cell r="O2366">
            <v>0</v>
          </cell>
          <cell r="Q2366">
            <v>0</v>
          </cell>
          <cell r="R2366">
            <v>0</v>
          </cell>
          <cell r="T2366">
            <v>0</v>
          </cell>
          <cell r="U2366">
            <v>0</v>
          </cell>
          <cell r="W2366">
            <v>0</v>
          </cell>
          <cell r="X2366">
            <v>0</v>
          </cell>
          <cell r="Z2366">
            <v>0</v>
          </cell>
          <cell r="AA2366">
            <v>0</v>
          </cell>
          <cell r="AC2366">
            <v>0</v>
          </cell>
          <cell r="AD2366">
            <v>0</v>
          </cell>
          <cell r="AF2366">
            <v>0</v>
          </cell>
          <cell r="AG2366">
            <v>0</v>
          </cell>
          <cell r="AI2366">
            <v>0</v>
          </cell>
          <cell r="AJ2366">
            <v>0</v>
          </cell>
          <cell r="AL2366">
            <v>0</v>
          </cell>
          <cell r="AM2366">
            <v>0</v>
          </cell>
          <cell r="AO2366">
            <v>0</v>
          </cell>
          <cell r="AP2366">
            <v>0</v>
          </cell>
          <cell r="AR2366">
            <v>0</v>
          </cell>
          <cell r="AS2366">
            <v>0</v>
          </cell>
          <cell r="BF2366" t="str">
            <v>2001</v>
          </cell>
          <cell r="BG2366" t="str">
            <v>B006</v>
          </cell>
          <cell r="BH2366" t="str">
            <v>IBO</v>
          </cell>
        </row>
        <row r="2367">
          <cell r="K2367">
            <v>0</v>
          </cell>
          <cell r="L2367">
            <v>0</v>
          </cell>
          <cell r="N2367">
            <v>0</v>
          </cell>
          <cell r="O2367">
            <v>0</v>
          </cell>
          <cell r="Q2367">
            <v>0</v>
          </cell>
          <cell r="R2367">
            <v>0</v>
          </cell>
          <cell r="T2367">
            <v>0</v>
          </cell>
          <cell r="U2367">
            <v>0</v>
          </cell>
          <cell r="W2367">
            <v>0</v>
          </cell>
          <cell r="X2367">
            <v>0</v>
          </cell>
          <cell r="Z2367">
            <v>0</v>
          </cell>
          <cell r="AA2367">
            <v>0</v>
          </cell>
          <cell r="AC2367">
            <v>0</v>
          </cell>
          <cell r="AD2367">
            <v>0</v>
          </cell>
          <cell r="AF2367">
            <v>0</v>
          </cell>
          <cell r="AG2367">
            <v>0</v>
          </cell>
          <cell r="AI2367">
            <v>0</v>
          </cell>
          <cell r="AJ2367">
            <v>0</v>
          </cell>
          <cell r="AL2367">
            <v>0</v>
          </cell>
          <cell r="AM2367">
            <v>0</v>
          </cell>
          <cell r="AO2367">
            <v>0</v>
          </cell>
          <cell r="AP2367">
            <v>0</v>
          </cell>
          <cell r="AR2367">
            <v>0</v>
          </cell>
          <cell r="AS2367">
            <v>0</v>
          </cell>
          <cell r="BF2367" t="str">
            <v>2006</v>
          </cell>
          <cell r="BG2367" t="str">
            <v>B041</v>
          </cell>
          <cell r="BH2367" t="str">
            <v>IBO</v>
          </cell>
        </row>
        <row r="2368">
          <cell r="K2368">
            <v>0</v>
          </cell>
          <cell r="L2368">
            <v>0</v>
          </cell>
          <cell r="N2368">
            <v>0</v>
          </cell>
          <cell r="O2368">
            <v>0</v>
          </cell>
          <cell r="Q2368">
            <v>0</v>
          </cell>
          <cell r="R2368">
            <v>0</v>
          </cell>
          <cell r="T2368">
            <v>352796</v>
          </cell>
          <cell r="U2368">
            <v>0</v>
          </cell>
          <cell r="W2368">
            <v>38000</v>
          </cell>
          <cell r="X2368">
            <v>0</v>
          </cell>
          <cell r="Z2368">
            <v>38000</v>
          </cell>
          <cell r="AA2368">
            <v>0</v>
          </cell>
          <cell r="AC2368">
            <v>38000</v>
          </cell>
          <cell r="AD2368">
            <v>0</v>
          </cell>
          <cell r="AF2368">
            <v>70875.339999999967</v>
          </cell>
          <cell r="AG2368">
            <v>0</v>
          </cell>
          <cell r="AI2368">
            <v>38000</v>
          </cell>
          <cell r="AJ2368">
            <v>0</v>
          </cell>
          <cell r="AL2368">
            <v>48275</v>
          </cell>
          <cell r="AM2368">
            <v>0</v>
          </cell>
          <cell r="AO2368">
            <v>48751.310000000056</v>
          </cell>
          <cell r="AP2368">
            <v>0</v>
          </cell>
          <cell r="AR2368">
            <v>51623.089999999967</v>
          </cell>
          <cell r="AS2368">
            <v>0</v>
          </cell>
          <cell r="BF2368" t="str">
            <v>2006</v>
          </cell>
          <cell r="BG2368" t="str">
            <v>B042</v>
          </cell>
          <cell r="BH2368" t="str">
            <v>IBO</v>
          </cell>
        </row>
        <row r="2369">
          <cell r="K2369">
            <v>0</v>
          </cell>
          <cell r="L2369">
            <v>0</v>
          </cell>
          <cell r="N2369">
            <v>0</v>
          </cell>
          <cell r="O2369">
            <v>0</v>
          </cell>
          <cell r="Q2369">
            <v>0</v>
          </cell>
          <cell r="R2369">
            <v>0</v>
          </cell>
          <cell r="T2369">
            <v>0</v>
          </cell>
          <cell r="U2369">
            <v>0</v>
          </cell>
          <cell r="W2369">
            <v>0</v>
          </cell>
          <cell r="X2369">
            <v>0</v>
          </cell>
          <cell r="Z2369">
            <v>0</v>
          </cell>
          <cell r="AA2369">
            <v>0</v>
          </cell>
          <cell r="AC2369">
            <v>0</v>
          </cell>
          <cell r="AD2369">
            <v>0</v>
          </cell>
          <cell r="AF2369">
            <v>0</v>
          </cell>
          <cell r="AG2369">
            <v>0</v>
          </cell>
          <cell r="AI2369">
            <v>0</v>
          </cell>
          <cell r="AJ2369">
            <v>0</v>
          </cell>
          <cell r="AL2369">
            <v>0</v>
          </cell>
          <cell r="AM2369">
            <v>0</v>
          </cell>
          <cell r="AO2369">
            <v>0</v>
          </cell>
          <cell r="AP2369">
            <v>0</v>
          </cell>
          <cell r="AR2369">
            <v>0</v>
          </cell>
          <cell r="AS2369">
            <v>0</v>
          </cell>
          <cell r="BF2369" t="str">
            <v>2008</v>
          </cell>
          <cell r="BG2369" t="str">
            <v>Z000</v>
          </cell>
          <cell r="BH2369" t="str">
            <v>IBO</v>
          </cell>
        </row>
        <row r="2370">
          <cell r="K2370">
            <v>0</v>
          </cell>
          <cell r="L2370">
            <v>0</v>
          </cell>
          <cell r="N2370">
            <v>0</v>
          </cell>
          <cell r="O2370">
            <v>0</v>
          </cell>
          <cell r="Q2370">
            <v>0</v>
          </cell>
          <cell r="R2370">
            <v>0</v>
          </cell>
          <cell r="T2370">
            <v>0</v>
          </cell>
          <cell r="U2370">
            <v>0</v>
          </cell>
          <cell r="W2370">
            <v>0</v>
          </cell>
          <cell r="X2370">
            <v>0</v>
          </cell>
          <cell r="Z2370">
            <v>0</v>
          </cell>
          <cell r="AA2370">
            <v>0</v>
          </cell>
          <cell r="AC2370">
            <v>0</v>
          </cell>
          <cell r="AD2370">
            <v>0</v>
          </cell>
          <cell r="AF2370">
            <v>0</v>
          </cell>
          <cell r="AG2370">
            <v>0</v>
          </cell>
          <cell r="AI2370">
            <v>0</v>
          </cell>
          <cell r="AJ2370">
            <v>0</v>
          </cell>
          <cell r="AL2370">
            <v>0</v>
          </cell>
          <cell r="AM2370">
            <v>0</v>
          </cell>
          <cell r="AO2370">
            <v>0</v>
          </cell>
          <cell r="AP2370">
            <v>0</v>
          </cell>
          <cell r="AR2370">
            <v>0</v>
          </cell>
          <cell r="AS2370">
            <v>0</v>
          </cell>
          <cell r="BF2370" t="str">
            <v>2010</v>
          </cell>
          <cell r="BG2370" t="str">
            <v>B021</v>
          </cell>
          <cell r="BH2370" t="str">
            <v>IBO</v>
          </cell>
        </row>
        <row r="2371">
          <cell r="K2371">
            <v>0</v>
          </cell>
          <cell r="L2371">
            <v>0</v>
          </cell>
          <cell r="N2371">
            <v>0</v>
          </cell>
          <cell r="O2371">
            <v>0</v>
          </cell>
          <cell r="Q2371">
            <v>0</v>
          </cell>
          <cell r="R2371">
            <v>0</v>
          </cell>
          <cell r="T2371">
            <v>0</v>
          </cell>
          <cell r="U2371">
            <v>0</v>
          </cell>
          <cell r="W2371">
            <v>0</v>
          </cell>
          <cell r="X2371">
            <v>0</v>
          </cell>
          <cell r="Z2371">
            <v>0</v>
          </cell>
          <cell r="AA2371">
            <v>0</v>
          </cell>
          <cell r="AC2371">
            <v>0</v>
          </cell>
          <cell r="AD2371">
            <v>0</v>
          </cell>
          <cell r="AF2371">
            <v>0</v>
          </cell>
          <cell r="AG2371">
            <v>0</v>
          </cell>
          <cell r="AI2371">
            <v>0</v>
          </cell>
          <cell r="AJ2371">
            <v>0</v>
          </cell>
          <cell r="AL2371">
            <v>0</v>
          </cell>
          <cell r="AM2371">
            <v>0</v>
          </cell>
          <cell r="AO2371">
            <v>0</v>
          </cell>
          <cell r="AP2371">
            <v>0</v>
          </cell>
          <cell r="AR2371">
            <v>0</v>
          </cell>
          <cell r="AS2371">
            <v>0</v>
          </cell>
          <cell r="BF2371" t="str">
            <v>2010</v>
          </cell>
          <cell r="BG2371" t="str">
            <v>B022</v>
          </cell>
          <cell r="BH2371" t="str">
            <v>IBO</v>
          </cell>
        </row>
        <row r="2372">
          <cell r="K2372">
            <v>0</v>
          </cell>
          <cell r="L2372">
            <v>0</v>
          </cell>
          <cell r="N2372">
            <v>0</v>
          </cell>
          <cell r="O2372">
            <v>0</v>
          </cell>
          <cell r="Q2372">
            <v>0</v>
          </cell>
          <cell r="R2372">
            <v>0</v>
          </cell>
          <cell r="T2372">
            <v>0</v>
          </cell>
          <cell r="U2372">
            <v>0</v>
          </cell>
          <cell r="W2372">
            <v>0</v>
          </cell>
          <cell r="X2372">
            <v>0</v>
          </cell>
          <cell r="Z2372">
            <v>0</v>
          </cell>
          <cell r="AA2372">
            <v>0</v>
          </cell>
          <cell r="AC2372">
            <v>0</v>
          </cell>
          <cell r="AD2372">
            <v>0</v>
          </cell>
          <cell r="AF2372">
            <v>0</v>
          </cell>
          <cell r="AG2372">
            <v>0</v>
          </cell>
          <cell r="AI2372">
            <v>0</v>
          </cell>
          <cell r="AJ2372">
            <v>0</v>
          </cell>
          <cell r="AL2372">
            <v>0</v>
          </cell>
          <cell r="AM2372">
            <v>0</v>
          </cell>
          <cell r="AO2372">
            <v>0</v>
          </cell>
          <cell r="AP2372">
            <v>0</v>
          </cell>
          <cell r="AR2372">
            <v>0</v>
          </cell>
          <cell r="AS2372">
            <v>0</v>
          </cell>
          <cell r="BF2372" t="str">
            <v>2010</v>
          </cell>
          <cell r="BG2372" t="str">
            <v>B023</v>
          </cell>
          <cell r="BH2372" t="str">
            <v>IBO</v>
          </cell>
        </row>
        <row r="2373">
          <cell r="K2373">
            <v>0</v>
          </cell>
          <cell r="L2373">
            <v>0</v>
          </cell>
          <cell r="N2373">
            <v>0</v>
          </cell>
          <cell r="O2373">
            <v>0</v>
          </cell>
          <cell r="Q2373">
            <v>0</v>
          </cell>
          <cell r="R2373">
            <v>0</v>
          </cell>
          <cell r="T2373">
            <v>0</v>
          </cell>
          <cell r="U2373">
            <v>0</v>
          </cell>
          <cell r="W2373">
            <v>0</v>
          </cell>
          <cell r="X2373">
            <v>0</v>
          </cell>
          <cell r="Z2373">
            <v>0</v>
          </cell>
          <cell r="AA2373">
            <v>0</v>
          </cell>
          <cell r="AC2373">
            <v>0</v>
          </cell>
          <cell r="AD2373">
            <v>0</v>
          </cell>
          <cell r="AF2373">
            <v>0</v>
          </cell>
          <cell r="AG2373">
            <v>0</v>
          </cell>
          <cell r="AI2373">
            <v>0</v>
          </cell>
          <cell r="AJ2373">
            <v>0</v>
          </cell>
          <cell r="AL2373">
            <v>0</v>
          </cell>
          <cell r="AM2373">
            <v>0</v>
          </cell>
          <cell r="AO2373">
            <v>0</v>
          </cell>
          <cell r="AP2373">
            <v>0</v>
          </cell>
          <cell r="AR2373">
            <v>0</v>
          </cell>
          <cell r="AS2373">
            <v>0</v>
          </cell>
          <cell r="BF2373" t="str">
            <v>2010</v>
          </cell>
          <cell r="BG2373" t="str">
            <v>B024</v>
          </cell>
          <cell r="BH2373" t="str">
            <v>IBO</v>
          </cell>
        </row>
        <row r="2374">
          <cell r="K2374">
            <v>0</v>
          </cell>
          <cell r="L2374">
            <v>0</v>
          </cell>
          <cell r="N2374">
            <v>0</v>
          </cell>
          <cell r="O2374">
            <v>0</v>
          </cell>
          <cell r="Q2374">
            <v>0</v>
          </cell>
          <cell r="R2374">
            <v>0</v>
          </cell>
          <cell r="T2374">
            <v>0</v>
          </cell>
          <cell r="U2374">
            <v>0</v>
          </cell>
          <cell r="W2374">
            <v>0</v>
          </cell>
          <cell r="X2374">
            <v>0</v>
          </cell>
          <cell r="Z2374">
            <v>0</v>
          </cell>
          <cell r="AA2374">
            <v>0</v>
          </cell>
          <cell r="AC2374">
            <v>0</v>
          </cell>
          <cell r="AD2374">
            <v>0</v>
          </cell>
          <cell r="AF2374">
            <v>0</v>
          </cell>
          <cell r="AG2374">
            <v>0</v>
          </cell>
          <cell r="AI2374">
            <v>0</v>
          </cell>
          <cell r="AJ2374">
            <v>0</v>
          </cell>
          <cell r="AL2374">
            <v>0</v>
          </cell>
          <cell r="AM2374">
            <v>0</v>
          </cell>
          <cell r="AO2374">
            <v>0</v>
          </cell>
          <cell r="AP2374">
            <v>0</v>
          </cell>
          <cell r="AR2374">
            <v>0</v>
          </cell>
          <cell r="AS2374">
            <v>0</v>
          </cell>
          <cell r="BF2374" t="str">
            <v>2015</v>
          </cell>
          <cell r="BG2374" t="str">
            <v>B201</v>
          </cell>
          <cell r="BH2374" t="str">
            <v>IBO</v>
          </cell>
        </row>
        <row r="2375">
          <cell r="K2375">
            <v>0</v>
          </cell>
          <cell r="L2375">
            <v>0</v>
          </cell>
          <cell r="N2375">
            <v>0</v>
          </cell>
          <cell r="O2375">
            <v>0</v>
          </cell>
          <cell r="Q2375">
            <v>0</v>
          </cell>
          <cell r="R2375">
            <v>0</v>
          </cell>
          <cell r="T2375">
            <v>0</v>
          </cell>
          <cell r="U2375">
            <v>0</v>
          </cell>
          <cell r="W2375">
            <v>0</v>
          </cell>
          <cell r="X2375">
            <v>0</v>
          </cell>
          <cell r="Z2375">
            <v>0</v>
          </cell>
          <cell r="AA2375">
            <v>0</v>
          </cell>
          <cell r="AC2375">
            <v>0</v>
          </cell>
          <cell r="AD2375">
            <v>0</v>
          </cell>
          <cell r="AF2375">
            <v>0</v>
          </cell>
          <cell r="AG2375">
            <v>0</v>
          </cell>
          <cell r="AI2375">
            <v>0</v>
          </cell>
          <cell r="AJ2375">
            <v>0</v>
          </cell>
          <cell r="AL2375">
            <v>0</v>
          </cell>
          <cell r="AM2375">
            <v>0</v>
          </cell>
          <cell r="AO2375">
            <v>0</v>
          </cell>
          <cell r="AP2375">
            <v>0</v>
          </cell>
          <cell r="AR2375">
            <v>0</v>
          </cell>
          <cell r="AS2375">
            <v>0</v>
          </cell>
          <cell r="BF2375" t="str">
            <v>2015</v>
          </cell>
          <cell r="BG2375" t="str">
            <v>B202</v>
          </cell>
          <cell r="BH2375" t="str">
            <v>IBO</v>
          </cell>
        </row>
        <row r="2376">
          <cell r="K2376">
            <v>0</v>
          </cell>
          <cell r="L2376">
            <v>0</v>
          </cell>
          <cell r="N2376">
            <v>0</v>
          </cell>
          <cell r="O2376">
            <v>0</v>
          </cell>
          <cell r="Q2376">
            <v>0</v>
          </cell>
          <cell r="R2376">
            <v>0</v>
          </cell>
          <cell r="T2376">
            <v>0</v>
          </cell>
          <cell r="U2376">
            <v>0</v>
          </cell>
          <cell r="W2376">
            <v>0</v>
          </cell>
          <cell r="X2376">
            <v>0</v>
          </cell>
          <cell r="Z2376">
            <v>0</v>
          </cell>
          <cell r="AA2376">
            <v>0</v>
          </cell>
          <cell r="AC2376">
            <v>0</v>
          </cell>
          <cell r="AD2376">
            <v>0</v>
          </cell>
          <cell r="AF2376">
            <v>0</v>
          </cell>
          <cell r="AG2376">
            <v>0</v>
          </cell>
          <cell r="AI2376">
            <v>0</v>
          </cell>
          <cell r="AJ2376">
            <v>0</v>
          </cell>
          <cell r="AL2376">
            <v>0</v>
          </cell>
          <cell r="AM2376">
            <v>0</v>
          </cell>
          <cell r="AO2376">
            <v>0</v>
          </cell>
          <cell r="AP2376">
            <v>0</v>
          </cell>
          <cell r="AR2376">
            <v>0</v>
          </cell>
          <cell r="AS2376">
            <v>0</v>
          </cell>
          <cell r="BF2376" t="str">
            <v>2015</v>
          </cell>
          <cell r="BG2376" t="str">
            <v>B203</v>
          </cell>
          <cell r="BH2376" t="str">
            <v>IBO</v>
          </cell>
        </row>
        <row r="2377">
          <cell r="K2377">
            <v>0</v>
          </cell>
          <cell r="L2377">
            <v>0</v>
          </cell>
          <cell r="N2377">
            <v>0</v>
          </cell>
          <cell r="O2377">
            <v>0</v>
          </cell>
          <cell r="Q2377">
            <v>0</v>
          </cell>
          <cell r="R2377">
            <v>0</v>
          </cell>
          <cell r="T2377">
            <v>0</v>
          </cell>
          <cell r="U2377">
            <v>0</v>
          </cell>
          <cell r="W2377">
            <v>0</v>
          </cell>
          <cell r="X2377">
            <v>0</v>
          </cell>
          <cell r="Z2377">
            <v>0</v>
          </cell>
          <cell r="AA2377">
            <v>0</v>
          </cell>
          <cell r="AC2377">
            <v>0</v>
          </cell>
          <cell r="AD2377">
            <v>0</v>
          </cell>
          <cell r="AF2377">
            <v>0</v>
          </cell>
          <cell r="AG2377">
            <v>0</v>
          </cell>
          <cell r="AI2377">
            <v>0</v>
          </cell>
          <cell r="AJ2377">
            <v>0</v>
          </cell>
          <cell r="AL2377">
            <v>0</v>
          </cell>
          <cell r="AM2377">
            <v>0</v>
          </cell>
          <cell r="AO2377">
            <v>0</v>
          </cell>
          <cell r="AP2377">
            <v>0</v>
          </cell>
          <cell r="AR2377">
            <v>0</v>
          </cell>
          <cell r="AS2377">
            <v>0</v>
          </cell>
          <cell r="BF2377" t="str">
            <v>2015</v>
          </cell>
          <cell r="BG2377" t="str">
            <v>B204</v>
          </cell>
          <cell r="BH2377" t="str">
            <v>IBO</v>
          </cell>
        </row>
        <row r="2378">
          <cell r="K2378">
            <v>0</v>
          </cell>
          <cell r="L2378">
            <v>0</v>
          </cell>
          <cell r="N2378">
            <v>0</v>
          </cell>
          <cell r="O2378">
            <v>0</v>
          </cell>
          <cell r="Q2378">
            <v>0</v>
          </cell>
          <cell r="R2378">
            <v>0</v>
          </cell>
          <cell r="T2378">
            <v>0</v>
          </cell>
          <cell r="U2378">
            <v>0</v>
          </cell>
          <cell r="W2378">
            <v>0</v>
          </cell>
          <cell r="X2378">
            <v>0</v>
          </cell>
          <cell r="Z2378">
            <v>0</v>
          </cell>
          <cell r="AA2378">
            <v>0</v>
          </cell>
          <cell r="AC2378">
            <v>0</v>
          </cell>
          <cell r="AD2378">
            <v>0</v>
          </cell>
          <cell r="AF2378">
            <v>0</v>
          </cell>
          <cell r="AG2378">
            <v>0</v>
          </cell>
          <cell r="AI2378">
            <v>0</v>
          </cell>
          <cell r="AJ2378">
            <v>0</v>
          </cell>
          <cell r="AL2378">
            <v>0</v>
          </cell>
          <cell r="AM2378">
            <v>0</v>
          </cell>
          <cell r="AO2378">
            <v>0</v>
          </cell>
          <cell r="AP2378">
            <v>0</v>
          </cell>
          <cell r="AR2378">
            <v>0</v>
          </cell>
          <cell r="AS2378">
            <v>0</v>
          </cell>
          <cell r="BF2378" t="str">
            <v>2015</v>
          </cell>
          <cell r="BG2378" t="str">
            <v>B205</v>
          </cell>
          <cell r="BH2378" t="str">
            <v>IBO</v>
          </cell>
        </row>
        <row r="2379">
          <cell r="K2379">
            <v>0</v>
          </cell>
          <cell r="L2379">
            <v>0</v>
          </cell>
          <cell r="N2379">
            <v>0</v>
          </cell>
          <cell r="O2379">
            <v>0</v>
          </cell>
          <cell r="Q2379">
            <v>0</v>
          </cell>
          <cell r="R2379">
            <v>0</v>
          </cell>
          <cell r="T2379">
            <v>0</v>
          </cell>
          <cell r="U2379">
            <v>0</v>
          </cell>
          <cell r="W2379">
            <v>0</v>
          </cell>
          <cell r="X2379">
            <v>0</v>
          </cell>
          <cell r="Z2379">
            <v>0</v>
          </cell>
          <cell r="AA2379">
            <v>0</v>
          </cell>
          <cell r="AC2379">
            <v>0</v>
          </cell>
          <cell r="AD2379">
            <v>0</v>
          </cell>
          <cell r="AF2379">
            <v>0</v>
          </cell>
          <cell r="AG2379">
            <v>0</v>
          </cell>
          <cell r="AI2379">
            <v>0</v>
          </cell>
          <cell r="AJ2379">
            <v>0</v>
          </cell>
          <cell r="AL2379">
            <v>0</v>
          </cell>
          <cell r="AM2379">
            <v>0</v>
          </cell>
          <cell r="AO2379">
            <v>0</v>
          </cell>
          <cell r="AP2379">
            <v>0</v>
          </cell>
          <cell r="AR2379">
            <v>0</v>
          </cell>
          <cell r="AS2379">
            <v>0</v>
          </cell>
          <cell r="BF2379" t="str">
            <v>2015</v>
          </cell>
          <cell r="BG2379" t="str">
            <v>B206</v>
          </cell>
          <cell r="BH2379" t="str">
            <v>IBO</v>
          </cell>
        </row>
        <row r="2380">
          <cell r="K2380">
            <v>0</v>
          </cell>
          <cell r="L2380">
            <v>0</v>
          </cell>
          <cell r="N2380">
            <v>0</v>
          </cell>
          <cell r="O2380">
            <v>0</v>
          </cell>
          <cell r="Q2380">
            <v>0</v>
          </cell>
          <cell r="R2380">
            <v>0</v>
          </cell>
          <cell r="T2380">
            <v>0</v>
          </cell>
          <cell r="U2380">
            <v>0</v>
          </cell>
          <cell r="W2380">
            <v>0</v>
          </cell>
          <cell r="X2380">
            <v>0</v>
          </cell>
          <cell r="Z2380">
            <v>0</v>
          </cell>
          <cell r="AA2380">
            <v>0</v>
          </cell>
          <cell r="AC2380">
            <v>0</v>
          </cell>
          <cell r="AD2380">
            <v>0</v>
          </cell>
          <cell r="AF2380">
            <v>0</v>
          </cell>
          <cell r="AG2380">
            <v>0</v>
          </cell>
          <cell r="AI2380">
            <v>0</v>
          </cell>
          <cell r="AJ2380">
            <v>0</v>
          </cell>
          <cell r="AL2380">
            <v>0</v>
          </cell>
          <cell r="AM2380">
            <v>0</v>
          </cell>
          <cell r="AO2380">
            <v>0</v>
          </cell>
          <cell r="AP2380">
            <v>0</v>
          </cell>
          <cell r="AR2380">
            <v>0</v>
          </cell>
          <cell r="AS2380">
            <v>0</v>
          </cell>
          <cell r="BF2380" t="str">
            <v>2015</v>
          </cell>
          <cell r="BG2380" t="str">
            <v>B207</v>
          </cell>
          <cell r="BH2380" t="str">
            <v>IBO</v>
          </cell>
        </row>
        <row r="2381">
          <cell r="K2381">
            <v>0</v>
          </cell>
          <cell r="L2381">
            <v>0</v>
          </cell>
          <cell r="N2381">
            <v>0</v>
          </cell>
          <cell r="O2381">
            <v>0</v>
          </cell>
          <cell r="Q2381">
            <v>0</v>
          </cell>
          <cell r="R2381">
            <v>0</v>
          </cell>
          <cell r="T2381">
            <v>0</v>
          </cell>
          <cell r="U2381">
            <v>0</v>
          </cell>
          <cell r="W2381">
            <v>0</v>
          </cell>
          <cell r="X2381">
            <v>0</v>
          </cell>
          <cell r="Z2381">
            <v>0</v>
          </cell>
          <cell r="AA2381">
            <v>0</v>
          </cell>
          <cell r="AC2381">
            <v>0</v>
          </cell>
          <cell r="AD2381">
            <v>0</v>
          </cell>
          <cell r="AF2381">
            <v>0</v>
          </cell>
          <cell r="AG2381">
            <v>0</v>
          </cell>
          <cell r="AI2381">
            <v>0</v>
          </cell>
          <cell r="AJ2381">
            <v>0</v>
          </cell>
          <cell r="AL2381">
            <v>0</v>
          </cell>
          <cell r="AM2381">
            <v>0</v>
          </cell>
          <cell r="AO2381">
            <v>0</v>
          </cell>
          <cell r="AP2381">
            <v>0</v>
          </cell>
          <cell r="AR2381">
            <v>0</v>
          </cell>
          <cell r="AS2381">
            <v>0</v>
          </cell>
          <cell r="BF2381" t="str">
            <v>2015</v>
          </cell>
          <cell r="BG2381" t="str">
            <v>B208</v>
          </cell>
          <cell r="BH2381" t="str">
            <v>IBO</v>
          </cell>
        </row>
        <row r="2382">
          <cell r="K2382">
            <v>0</v>
          </cell>
          <cell r="L2382">
            <v>0</v>
          </cell>
          <cell r="N2382">
            <v>0</v>
          </cell>
          <cell r="O2382">
            <v>0</v>
          </cell>
          <cell r="Q2382">
            <v>0</v>
          </cell>
          <cell r="R2382">
            <v>0</v>
          </cell>
          <cell r="T2382">
            <v>0</v>
          </cell>
          <cell r="U2382">
            <v>0</v>
          </cell>
          <cell r="W2382">
            <v>0</v>
          </cell>
          <cell r="X2382">
            <v>0</v>
          </cell>
          <cell r="Z2382">
            <v>0</v>
          </cell>
          <cell r="AA2382">
            <v>0</v>
          </cell>
          <cell r="AC2382">
            <v>0</v>
          </cell>
          <cell r="AD2382">
            <v>0</v>
          </cell>
          <cell r="AF2382">
            <v>0</v>
          </cell>
          <cell r="AG2382">
            <v>0</v>
          </cell>
          <cell r="AI2382">
            <v>0</v>
          </cell>
          <cell r="AJ2382">
            <v>0</v>
          </cell>
          <cell r="AL2382">
            <v>0</v>
          </cell>
          <cell r="AM2382">
            <v>0</v>
          </cell>
          <cell r="AO2382">
            <v>0</v>
          </cell>
          <cell r="AP2382">
            <v>0</v>
          </cell>
          <cell r="AR2382">
            <v>0</v>
          </cell>
          <cell r="AS2382">
            <v>0</v>
          </cell>
          <cell r="BF2382" t="str">
            <v>2015</v>
          </cell>
          <cell r="BG2382" t="str">
            <v>B209</v>
          </cell>
          <cell r="BH2382" t="str">
            <v>IBO</v>
          </cell>
        </row>
        <row r="2383">
          <cell r="K2383">
            <v>0</v>
          </cell>
          <cell r="L2383">
            <v>0</v>
          </cell>
          <cell r="N2383">
            <v>0</v>
          </cell>
          <cell r="O2383">
            <v>0</v>
          </cell>
          <cell r="Q2383">
            <v>0</v>
          </cell>
          <cell r="R2383">
            <v>0</v>
          </cell>
          <cell r="T2383">
            <v>0</v>
          </cell>
          <cell r="U2383">
            <v>0</v>
          </cell>
          <cell r="W2383">
            <v>0</v>
          </cell>
          <cell r="X2383">
            <v>0</v>
          </cell>
          <cell r="Z2383">
            <v>0</v>
          </cell>
          <cell r="AA2383">
            <v>0</v>
          </cell>
          <cell r="AC2383">
            <v>0</v>
          </cell>
          <cell r="AD2383">
            <v>0</v>
          </cell>
          <cell r="AF2383">
            <v>0</v>
          </cell>
          <cell r="AG2383">
            <v>0</v>
          </cell>
          <cell r="AI2383">
            <v>0</v>
          </cell>
          <cell r="AJ2383">
            <v>0</v>
          </cell>
          <cell r="AL2383">
            <v>0</v>
          </cell>
          <cell r="AM2383">
            <v>0</v>
          </cell>
          <cell r="AO2383">
            <v>0</v>
          </cell>
          <cell r="AP2383">
            <v>0</v>
          </cell>
          <cell r="AR2383">
            <v>0</v>
          </cell>
          <cell r="AS2383">
            <v>0</v>
          </cell>
          <cell r="BF2383" t="str">
            <v>2015</v>
          </cell>
          <cell r="BG2383" t="str">
            <v>B210</v>
          </cell>
          <cell r="BH2383" t="str">
            <v>IBO</v>
          </cell>
        </row>
        <row r="2384">
          <cell r="K2384">
            <v>0</v>
          </cell>
          <cell r="L2384">
            <v>0</v>
          </cell>
          <cell r="N2384">
            <v>0</v>
          </cell>
          <cell r="O2384">
            <v>0</v>
          </cell>
          <cell r="Q2384">
            <v>0</v>
          </cell>
          <cell r="R2384">
            <v>0</v>
          </cell>
          <cell r="T2384">
            <v>0</v>
          </cell>
          <cell r="U2384">
            <v>0</v>
          </cell>
          <cell r="W2384">
            <v>0</v>
          </cell>
          <cell r="X2384">
            <v>0</v>
          </cell>
          <cell r="Z2384">
            <v>0</v>
          </cell>
          <cell r="AA2384">
            <v>0</v>
          </cell>
          <cell r="AC2384">
            <v>0</v>
          </cell>
          <cell r="AD2384">
            <v>0</v>
          </cell>
          <cell r="AF2384">
            <v>0</v>
          </cell>
          <cell r="AG2384">
            <v>0</v>
          </cell>
          <cell r="AI2384">
            <v>0</v>
          </cell>
          <cell r="AJ2384">
            <v>0</v>
          </cell>
          <cell r="AL2384">
            <v>0</v>
          </cell>
          <cell r="AM2384">
            <v>0</v>
          </cell>
          <cell r="AO2384">
            <v>0</v>
          </cell>
          <cell r="AP2384">
            <v>0</v>
          </cell>
          <cell r="AR2384">
            <v>0</v>
          </cell>
          <cell r="AS2384">
            <v>0</v>
          </cell>
          <cell r="BF2384" t="str">
            <v>2016</v>
          </cell>
          <cell r="BG2384" t="str">
            <v>B301</v>
          </cell>
          <cell r="BH2384" t="str">
            <v>IBO</v>
          </cell>
        </row>
        <row r="2385">
          <cell r="K2385">
            <v>0</v>
          </cell>
          <cell r="L2385">
            <v>0</v>
          </cell>
          <cell r="N2385">
            <v>0</v>
          </cell>
          <cell r="O2385">
            <v>0</v>
          </cell>
          <cell r="Q2385">
            <v>0</v>
          </cell>
          <cell r="R2385">
            <v>0</v>
          </cell>
          <cell r="T2385">
            <v>0</v>
          </cell>
          <cell r="U2385">
            <v>0</v>
          </cell>
          <cell r="W2385">
            <v>0</v>
          </cell>
          <cell r="X2385">
            <v>0</v>
          </cell>
          <cell r="Z2385">
            <v>0</v>
          </cell>
          <cell r="AA2385">
            <v>0</v>
          </cell>
          <cell r="AC2385">
            <v>0</v>
          </cell>
          <cell r="AD2385">
            <v>0</v>
          </cell>
          <cell r="AF2385">
            <v>0</v>
          </cell>
          <cell r="AG2385">
            <v>0</v>
          </cell>
          <cell r="AI2385">
            <v>0</v>
          </cell>
          <cell r="AJ2385">
            <v>0</v>
          </cell>
          <cell r="AL2385">
            <v>0</v>
          </cell>
          <cell r="AM2385">
            <v>0</v>
          </cell>
          <cell r="AO2385">
            <v>0</v>
          </cell>
          <cell r="AP2385">
            <v>0</v>
          </cell>
          <cell r="AR2385">
            <v>0</v>
          </cell>
          <cell r="AS2385">
            <v>0</v>
          </cell>
          <cell r="BF2385" t="str">
            <v>2016</v>
          </cell>
          <cell r="BG2385" t="str">
            <v>B302</v>
          </cell>
          <cell r="BH2385" t="str">
            <v>IBO</v>
          </cell>
        </row>
        <row r="2386">
          <cell r="K2386">
            <v>0</v>
          </cell>
          <cell r="L2386">
            <v>0</v>
          </cell>
          <cell r="N2386">
            <v>0</v>
          </cell>
          <cell r="O2386">
            <v>0</v>
          </cell>
          <cell r="Q2386">
            <v>0</v>
          </cell>
          <cell r="R2386">
            <v>0</v>
          </cell>
          <cell r="T2386">
            <v>0</v>
          </cell>
          <cell r="U2386">
            <v>0</v>
          </cell>
          <cell r="W2386">
            <v>0</v>
          </cell>
          <cell r="X2386">
            <v>0</v>
          </cell>
          <cell r="Z2386">
            <v>0</v>
          </cell>
          <cell r="AA2386">
            <v>0</v>
          </cell>
          <cell r="AC2386">
            <v>0</v>
          </cell>
          <cell r="AD2386">
            <v>0</v>
          </cell>
          <cell r="AF2386">
            <v>0</v>
          </cell>
          <cell r="AG2386">
            <v>0</v>
          </cell>
          <cell r="AI2386">
            <v>0</v>
          </cell>
          <cell r="AJ2386">
            <v>0</v>
          </cell>
          <cell r="AL2386">
            <v>0</v>
          </cell>
          <cell r="AM2386">
            <v>0</v>
          </cell>
          <cell r="AO2386">
            <v>0</v>
          </cell>
          <cell r="AP2386">
            <v>0</v>
          </cell>
          <cell r="AR2386">
            <v>0</v>
          </cell>
          <cell r="AS2386">
            <v>0</v>
          </cell>
          <cell r="BF2386" t="str">
            <v>2016</v>
          </cell>
          <cell r="BG2386" t="str">
            <v>B303</v>
          </cell>
          <cell r="BH2386" t="str">
            <v>IBO</v>
          </cell>
        </row>
        <row r="2387">
          <cell r="K2387">
            <v>0</v>
          </cell>
          <cell r="L2387">
            <v>0</v>
          </cell>
          <cell r="N2387">
            <v>0</v>
          </cell>
          <cell r="O2387">
            <v>0</v>
          </cell>
          <cell r="Q2387">
            <v>0</v>
          </cell>
          <cell r="R2387">
            <v>0</v>
          </cell>
          <cell r="T2387">
            <v>0</v>
          </cell>
          <cell r="U2387">
            <v>0</v>
          </cell>
          <cell r="W2387">
            <v>0</v>
          </cell>
          <cell r="X2387">
            <v>0</v>
          </cell>
          <cell r="Z2387">
            <v>0</v>
          </cell>
          <cell r="AA2387">
            <v>0</v>
          </cell>
          <cell r="AC2387">
            <v>0</v>
          </cell>
          <cell r="AD2387">
            <v>0</v>
          </cell>
          <cell r="AF2387">
            <v>0</v>
          </cell>
          <cell r="AG2387">
            <v>0</v>
          </cell>
          <cell r="AI2387">
            <v>0</v>
          </cell>
          <cell r="AJ2387">
            <v>0</v>
          </cell>
          <cell r="AL2387">
            <v>0</v>
          </cell>
          <cell r="AM2387">
            <v>0</v>
          </cell>
          <cell r="AO2387">
            <v>0</v>
          </cell>
          <cell r="AP2387">
            <v>0</v>
          </cell>
          <cell r="AR2387">
            <v>0</v>
          </cell>
          <cell r="AS2387">
            <v>0</v>
          </cell>
          <cell r="BF2387" t="str">
            <v>2017</v>
          </cell>
          <cell r="BG2387" t="str">
            <v>B401</v>
          </cell>
          <cell r="BH2387" t="str">
            <v>IBO</v>
          </cell>
        </row>
        <row r="2388">
          <cell r="K2388">
            <v>0</v>
          </cell>
          <cell r="L2388">
            <v>0</v>
          </cell>
          <cell r="N2388">
            <v>0</v>
          </cell>
          <cell r="O2388">
            <v>0</v>
          </cell>
          <cell r="Q2388">
            <v>0</v>
          </cell>
          <cell r="R2388">
            <v>0</v>
          </cell>
          <cell r="T2388">
            <v>0</v>
          </cell>
          <cell r="U2388">
            <v>0</v>
          </cell>
          <cell r="W2388">
            <v>0</v>
          </cell>
          <cell r="X2388">
            <v>0</v>
          </cell>
          <cell r="Z2388">
            <v>0</v>
          </cell>
          <cell r="AA2388">
            <v>0</v>
          </cell>
          <cell r="AC2388">
            <v>0</v>
          </cell>
          <cell r="AD2388">
            <v>0</v>
          </cell>
          <cell r="AF2388">
            <v>0</v>
          </cell>
          <cell r="AG2388">
            <v>0</v>
          </cell>
          <cell r="AI2388">
            <v>0</v>
          </cell>
          <cell r="AJ2388">
            <v>0</v>
          </cell>
          <cell r="AL2388">
            <v>0</v>
          </cell>
          <cell r="AM2388">
            <v>0</v>
          </cell>
          <cell r="AO2388">
            <v>0</v>
          </cell>
          <cell r="AP2388">
            <v>0</v>
          </cell>
          <cell r="AR2388">
            <v>0</v>
          </cell>
          <cell r="AS2388">
            <v>0</v>
          </cell>
          <cell r="BF2388" t="str">
            <v>2017</v>
          </cell>
          <cell r="BG2388" t="str">
            <v>B402</v>
          </cell>
          <cell r="BH2388" t="str">
            <v>IBO</v>
          </cell>
        </row>
        <row r="2389">
          <cell r="K2389">
            <v>0</v>
          </cell>
          <cell r="L2389">
            <v>0</v>
          </cell>
          <cell r="N2389">
            <v>0</v>
          </cell>
          <cell r="O2389">
            <v>0</v>
          </cell>
          <cell r="Q2389">
            <v>0</v>
          </cell>
          <cell r="R2389">
            <v>0</v>
          </cell>
          <cell r="T2389">
            <v>0</v>
          </cell>
          <cell r="U2389">
            <v>0</v>
          </cell>
          <cell r="W2389">
            <v>0</v>
          </cell>
          <cell r="X2389">
            <v>0</v>
          </cell>
          <cell r="Z2389">
            <v>0</v>
          </cell>
          <cell r="AA2389">
            <v>0</v>
          </cell>
          <cell r="AC2389">
            <v>0</v>
          </cell>
          <cell r="AD2389">
            <v>0</v>
          </cell>
          <cell r="AF2389">
            <v>0</v>
          </cell>
          <cell r="AG2389">
            <v>0</v>
          </cell>
          <cell r="AI2389">
            <v>0</v>
          </cell>
          <cell r="AJ2389">
            <v>0</v>
          </cell>
          <cell r="AL2389">
            <v>0</v>
          </cell>
          <cell r="AM2389">
            <v>0</v>
          </cell>
          <cell r="AO2389">
            <v>0</v>
          </cell>
          <cell r="AP2389">
            <v>0</v>
          </cell>
          <cell r="AR2389">
            <v>0</v>
          </cell>
          <cell r="AS2389">
            <v>0</v>
          </cell>
          <cell r="BF2389" t="str">
            <v>2017</v>
          </cell>
          <cell r="BG2389" t="str">
            <v>B403</v>
          </cell>
          <cell r="BH2389" t="str">
            <v>IBO</v>
          </cell>
        </row>
        <row r="2390">
          <cell r="K2390">
            <v>0</v>
          </cell>
          <cell r="L2390">
            <v>0</v>
          </cell>
          <cell r="N2390">
            <v>0</v>
          </cell>
          <cell r="O2390">
            <v>0</v>
          </cell>
          <cell r="Q2390">
            <v>0</v>
          </cell>
          <cell r="R2390">
            <v>0</v>
          </cell>
          <cell r="T2390">
            <v>0</v>
          </cell>
          <cell r="U2390">
            <v>0</v>
          </cell>
          <cell r="W2390">
            <v>0</v>
          </cell>
          <cell r="X2390">
            <v>0</v>
          </cell>
          <cell r="Z2390">
            <v>0</v>
          </cell>
          <cell r="AA2390">
            <v>0</v>
          </cell>
          <cell r="AC2390">
            <v>0</v>
          </cell>
          <cell r="AD2390">
            <v>0</v>
          </cell>
          <cell r="AF2390">
            <v>0</v>
          </cell>
          <cell r="AG2390">
            <v>0</v>
          </cell>
          <cell r="AI2390">
            <v>0</v>
          </cell>
          <cell r="AJ2390">
            <v>0</v>
          </cell>
          <cell r="AL2390">
            <v>0</v>
          </cell>
          <cell r="AM2390">
            <v>0</v>
          </cell>
          <cell r="AO2390">
            <v>0</v>
          </cell>
          <cell r="AP2390">
            <v>0</v>
          </cell>
          <cell r="AR2390">
            <v>0</v>
          </cell>
          <cell r="AS2390">
            <v>0</v>
          </cell>
          <cell r="BF2390" t="str">
            <v>3100</v>
          </cell>
          <cell r="BG2390" t="str">
            <v>C001</v>
          </cell>
          <cell r="BH2390" t="str">
            <v>IBO</v>
          </cell>
        </row>
        <row r="2391">
          <cell r="K2391">
            <v>0</v>
          </cell>
          <cell r="L2391">
            <v>0</v>
          </cell>
          <cell r="N2391">
            <v>0</v>
          </cell>
          <cell r="O2391">
            <v>0</v>
          </cell>
          <cell r="Q2391">
            <v>0</v>
          </cell>
          <cell r="R2391">
            <v>0</v>
          </cell>
          <cell r="T2391">
            <v>0</v>
          </cell>
          <cell r="U2391">
            <v>0</v>
          </cell>
          <cell r="W2391">
            <v>0</v>
          </cell>
          <cell r="X2391">
            <v>0</v>
          </cell>
          <cell r="Z2391">
            <v>0</v>
          </cell>
          <cell r="AA2391">
            <v>0</v>
          </cell>
          <cell r="AC2391">
            <v>0</v>
          </cell>
          <cell r="AD2391">
            <v>0</v>
          </cell>
          <cell r="AF2391">
            <v>0</v>
          </cell>
          <cell r="AG2391">
            <v>0</v>
          </cell>
          <cell r="AI2391">
            <v>0</v>
          </cell>
          <cell r="AJ2391">
            <v>0</v>
          </cell>
          <cell r="AL2391">
            <v>0</v>
          </cell>
          <cell r="AM2391">
            <v>0</v>
          </cell>
          <cell r="AO2391">
            <v>0</v>
          </cell>
          <cell r="AP2391">
            <v>0</v>
          </cell>
          <cell r="AR2391">
            <v>0</v>
          </cell>
          <cell r="AS2391">
            <v>0</v>
          </cell>
          <cell r="BF2391" t="str">
            <v>3100</v>
          </cell>
          <cell r="BG2391" t="str">
            <v>C002</v>
          </cell>
          <cell r="BH2391" t="str">
            <v>IBO</v>
          </cell>
        </row>
        <row r="2392">
          <cell r="K2392">
            <v>0</v>
          </cell>
          <cell r="L2392">
            <v>0</v>
          </cell>
          <cell r="N2392">
            <v>0</v>
          </cell>
          <cell r="O2392">
            <v>0</v>
          </cell>
          <cell r="Q2392">
            <v>0</v>
          </cell>
          <cell r="R2392">
            <v>0</v>
          </cell>
          <cell r="T2392">
            <v>0</v>
          </cell>
          <cell r="U2392">
            <v>0</v>
          </cell>
          <cell r="W2392">
            <v>0</v>
          </cell>
          <cell r="X2392">
            <v>0</v>
          </cell>
          <cell r="Z2392">
            <v>0</v>
          </cell>
          <cell r="AA2392">
            <v>0</v>
          </cell>
          <cell r="AC2392">
            <v>0</v>
          </cell>
          <cell r="AD2392">
            <v>0</v>
          </cell>
          <cell r="AF2392">
            <v>0</v>
          </cell>
          <cell r="AG2392">
            <v>0</v>
          </cell>
          <cell r="AI2392">
            <v>0</v>
          </cell>
          <cell r="AJ2392">
            <v>0</v>
          </cell>
          <cell r="AL2392">
            <v>0</v>
          </cell>
          <cell r="AM2392">
            <v>0</v>
          </cell>
          <cell r="AO2392">
            <v>0</v>
          </cell>
          <cell r="AP2392">
            <v>0</v>
          </cell>
          <cell r="AR2392">
            <v>0</v>
          </cell>
          <cell r="AS2392">
            <v>0</v>
          </cell>
          <cell r="BF2392" t="str">
            <v>3100</v>
          </cell>
          <cell r="BG2392" t="str">
            <v>C003</v>
          </cell>
          <cell r="BH2392" t="str">
            <v>IBO</v>
          </cell>
        </row>
        <row r="2393">
          <cell r="K2393">
            <v>0</v>
          </cell>
          <cell r="L2393">
            <v>0</v>
          </cell>
          <cell r="N2393">
            <v>0</v>
          </cell>
          <cell r="O2393">
            <v>0</v>
          </cell>
          <cell r="Q2393">
            <v>0</v>
          </cell>
          <cell r="R2393">
            <v>0</v>
          </cell>
          <cell r="T2393">
            <v>0</v>
          </cell>
          <cell r="U2393">
            <v>0</v>
          </cell>
          <cell r="W2393">
            <v>0</v>
          </cell>
          <cell r="X2393">
            <v>0</v>
          </cell>
          <cell r="Z2393">
            <v>0</v>
          </cell>
          <cell r="AA2393">
            <v>0</v>
          </cell>
          <cell r="AC2393">
            <v>0</v>
          </cell>
          <cell r="AD2393">
            <v>0</v>
          </cell>
          <cell r="AF2393">
            <v>0</v>
          </cell>
          <cell r="AG2393">
            <v>0</v>
          </cell>
          <cell r="AI2393">
            <v>0</v>
          </cell>
          <cell r="AJ2393">
            <v>0</v>
          </cell>
          <cell r="AL2393">
            <v>0</v>
          </cell>
          <cell r="AM2393">
            <v>0</v>
          </cell>
          <cell r="AO2393">
            <v>0</v>
          </cell>
          <cell r="AP2393">
            <v>0</v>
          </cell>
          <cell r="AR2393">
            <v>0</v>
          </cell>
          <cell r="AS2393">
            <v>0</v>
          </cell>
          <cell r="BF2393" t="str">
            <v>3100</v>
          </cell>
          <cell r="BG2393" t="str">
            <v>C004</v>
          </cell>
          <cell r="BH2393" t="str">
            <v>IBO</v>
          </cell>
        </row>
        <row r="2394">
          <cell r="K2394">
            <v>0</v>
          </cell>
          <cell r="L2394">
            <v>0</v>
          </cell>
          <cell r="N2394">
            <v>0</v>
          </cell>
          <cell r="O2394">
            <v>0</v>
          </cell>
          <cell r="Q2394">
            <v>0</v>
          </cell>
          <cell r="R2394">
            <v>0</v>
          </cell>
          <cell r="T2394">
            <v>0</v>
          </cell>
          <cell r="U2394">
            <v>0</v>
          </cell>
          <cell r="W2394">
            <v>0</v>
          </cell>
          <cell r="X2394">
            <v>0</v>
          </cell>
          <cell r="Z2394">
            <v>0</v>
          </cell>
          <cell r="AA2394">
            <v>0</v>
          </cell>
          <cell r="AC2394">
            <v>0</v>
          </cell>
          <cell r="AD2394">
            <v>0</v>
          </cell>
          <cell r="AF2394">
            <v>0</v>
          </cell>
          <cell r="AG2394">
            <v>0</v>
          </cell>
          <cell r="AI2394">
            <v>0</v>
          </cell>
          <cell r="AJ2394">
            <v>0</v>
          </cell>
          <cell r="AL2394">
            <v>0</v>
          </cell>
          <cell r="AM2394">
            <v>0</v>
          </cell>
          <cell r="AO2394">
            <v>0</v>
          </cell>
          <cell r="AP2394">
            <v>0</v>
          </cell>
          <cell r="AR2394">
            <v>0</v>
          </cell>
          <cell r="AS2394">
            <v>0</v>
          </cell>
          <cell r="BF2394" t="str">
            <v>3100</v>
          </cell>
          <cell r="BG2394" t="str">
            <v>C005</v>
          </cell>
          <cell r="BH2394" t="str">
            <v>IBO</v>
          </cell>
        </row>
        <row r="2395">
          <cell r="K2395">
            <v>0</v>
          </cell>
          <cell r="L2395">
            <v>0</v>
          </cell>
          <cell r="N2395">
            <v>0</v>
          </cell>
          <cell r="O2395">
            <v>0</v>
          </cell>
          <cell r="Q2395">
            <v>0</v>
          </cell>
          <cell r="R2395">
            <v>0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Z2395">
            <v>0</v>
          </cell>
          <cell r="AA2395">
            <v>0</v>
          </cell>
          <cell r="AC2395">
            <v>0</v>
          </cell>
          <cell r="AD2395">
            <v>0</v>
          </cell>
          <cell r="AF2395">
            <v>0</v>
          </cell>
          <cell r="AG2395">
            <v>0</v>
          </cell>
          <cell r="AI2395">
            <v>0</v>
          </cell>
          <cell r="AJ2395">
            <v>0</v>
          </cell>
          <cell r="AL2395">
            <v>0</v>
          </cell>
          <cell r="AM2395">
            <v>0</v>
          </cell>
          <cell r="AO2395">
            <v>0</v>
          </cell>
          <cell r="AP2395">
            <v>0</v>
          </cell>
          <cell r="AR2395">
            <v>0</v>
          </cell>
          <cell r="AS2395">
            <v>0</v>
          </cell>
          <cell r="BF2395" t="str">
            <v>3100</v>
          </cell>
          <cell r="BG2395" t="str">
            <v>C006</v>
          </cell>
          <cell r="BH2395" t="str">
            <v>IBO</v>
          </cell>
        </row>
        <row r="2396">
          <cell r="K2396">
            <v>0</v>
          </cell>
          <cell r="L2396">
            <v>0</v>
          </cell>
          <cell r="N2396">
            <v>0</v>
          </cell>
          <cell r="O2396">
            <v>0</v>
          </cell>
          <cell r="Q2396">
            <v>0</v>
          </cell>
          <cell r="R2396">
            <v>0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Z2396">
            <v>0</v>
          </cell>
          <cell r="AA2396">
            <v>0</v>
          </cell>
          <cell r="AC2396">
            <v>0</v>
          </cell>
          <cell r="AD2396">
            <v>0</v>
          </cell>
          <cell r="AF2396">
            <v>0</v>
          </cell>
          <cell r="AG2396">
            <v>0</v>
          </cell>
          <cell r="AI2396">
            <v>0</v>
          </cell>
          <cell r="AJ2396">
            <v>0</v>
          </cell>
          <cell r="AL2396">
            <v>0</v>
          </cell>
          <cell r="AM2396">
            <v>0</v>
          </cell>
          <cell r="AO2396">
            <v>0</v>
          </cell>
          <cell r="AP2396">
            <v>0</v>
          </cell>
          <cell r="AR2396">
            <v>0</v>
          </cell>
          <cell r="AS2396">
            <v>0</v>
          </cell>
          <cell r="BF2396" t="str">
            <v>3150</v>
          </cell>
          <cell r="BG2396" t="str">
            <v>Z000</v>
          </cell>
          <cell r="BH2396" t="str">
            <v>IBO</v>
          </cell>
        </row>
        <row r="2397">
          <cell r="K2397">
            <v>0</v>
          </cell>
          <cell r="L2397">
            <v>0</v>
          </cell>
          <cell r="N2397">
            <v>0</v>
          </cell>
          <cell r="O2397">
            <v>0</v>
          </cell>
          <cell r="Q2397">
            <v>0</v>
          </cell>
          <cell r="R2397">
            <v>0</v>
          </cell>
          <cell r="T2397">
            <v>3400</v>
          </cell>
          <cell r="U2397">
            <v>0</v>
          </cell>
          <cell r="W2397">
            <v>3400</v>
          </cell>
          <cell r="X2397">
            <v>0</v>
          </cell>
          <cell r="Z2397">
            <v>3400</v>
          </cell>
          <cell r="AA2397">
            <v>0</v>
          </cell>
          <cell r="AC2397">
            <v>3400</v>
          </cell>
          <cell r="AD2397">
            <v>0</v>
          </cell>
          <cell r="AF2397">
            <v>15000</v>
          </cell>
          <cell r="AG2397">
            <v>0</v>
          </cell>
          <cell r="AI2397">
            <v>15000</v>
          </cell>
          <cell r="AJ2397">
            <v>0</v>
          </cell>
          <cell r="AL2397">
            <v>15000</v>
          </cell>
          <cell r="AM2397">
            <v>0</v>
          </cell>
          <cell r="AO2397">
            <v>15000</v>
          </cell>
          <cell r="AP2397">
            <v>0</v>
          </cell>
          <cell r="AR2397">
            <v>15000</v>
          </cell>
          <cell r="AS2397">
            <v>0</v>
          </cell>
          <cell r="BF2397" t="str">
            <v>4000</v>
          </cell>
          <cell r="BG2397" t="str">
            <v>D001</v>
          </cell>
          <cell r="BH2397" t="str">
            <v>IBO</v>
          </cell>
        </row>
        <row r="2398">
          <cell r="K2398">
            <v>0</v>
          </cell>
          <cell r="L2398">
            <v>0</v>
          </cell>
          <cell r="N2398">
            <v>0</v>
          </cell>
          <cell r="O2398">
            <v>0</v>
          </cell>
          <cell r="Q2398">
            <v>0</v>
          </cell>
          <cell r="R2398">
            <v>0</v>
          </cell>
          <cell r="T2398">
            <v>0</v>
          </cell>
          <cell r="U2398">
            <v>0</v>
          </cell>
          <cell r="W2398">
            <v>0</v>
          </cell>
          <cell r="X2398">
            <v>0</v>
          </cell>
          <cell r="Z2398">
            <v>0</v>
          </cell>
          <cell r="AA2398">
            <v>0</v>
          </cell>
          <cell r="AC2398">
            <v>0</v>
          </cell>
          <cell r="AD2398">
            <v>0</v>
          </cell>
          <cell r="AF2398">
            <v>0</v>
          </cell>
          <cell r="AG2398">
            <v>0</v>
          </cell>
          <cell r="AI2398">
            <v>0</v>
          </cell>
          <cell r="AJ2398">
            <v>0</v>
          </cell>
          <cell r="AL2398">
            <v>0</v>
          </cell>
          <cell r="AM2398">
            <v>0</v>
          </cell>
          <cell r="AO2398">
            <v>0</v>
          </cell>
          <cell r="AP2398">
            <v>0</v>
          </cell>
          <cell r="AR2398">
            <v>0</v>
          </cell>
          <cell r="AS2398">
            <v>0</v>
          </cell>
          <cell r="BF2398" t="str">
            <v>4000</v>
          </cell>
          <cell r="BG2398" t="str">
            <v>D002</v>
          </cell>
          <cell r="BH2398" t="str">
            <v>IBO</v>
          </cell>
        </row>
        <row r="2399">
          <cell r="K2399">
            <v>0</v>
          </cell>
          <cell r="L2399">
            <v>0</v>
          </cell>
          <cell r="N2399">
            <v>0</v>
          </cell>
          <cell r="O2399">
            <v>0</v>
          </cell>
          <cell r="Q2399">
            <v>0</v>
          </cell>
          <cell r="R2399">
            <v>0</v>
          </cell>
          <cell r="T2399">
            <v>0</v>
          </cell>
          <cell r="U2399">
            <v>0</v>
          </cell>
          <cell r="W2399">
            <v>0</v>
          </cell>
          <cell r="X2399">
            <v>0</v>
          </cell>
          <cell r="Z2399">
            <v>0</v>
          </cell>
          <cell r="AA2399">
            <v>0</v>
          </cell>
          <cell r="AC2399">
            <v>0</v>
          </cell>
          <cell r="AD2399">
            <v>0</v>
          </cell>
          <cell r="AF2399">
            <v>0</v>
          </cell>
          <cell r="AG2399">
            <v>0</v>
          </cell>
          <cell r="AI2399">
            <v>0</v>
          </cell>
          <cell r="AJ2399">
            <v>0</v>
          </cell>
          <cell r="AL2399">
            <v>0</v>
          </cell>
          <cell r="AM2399">
            <v>0</v>
          </cell>
          <cell r="AO2399">
            <v>0</v>
          </cell>
          <cell r="AP2399">
            <v>0</v>
          </cell>
          <cell r="AR2399">
            <v>0</v>
          </cell>
          <cell r="AS2399">
            <v>0</v>
          </cell>
          <cell r="BF2399" t="str">
            <v>4010</v>
          </cell>
          <cell r="BG2399" t="str">
            <v>Z000</v>
          </cell>
          <cell r="BH2399" t="str">
            <v>IBO</v>
          </cell>
        </row>
        <row r="2400">
          <cell r="K2400">
            <v>0</v>
          </cell>
          <cell r="L2400">
            <v>0</v>
          </cell>
          <cell r="N2400">
            <v>0</v>
          </cell>
          <cell r="O2400">
            <v>0</v>
          </cell>
          <cell r="Q2400">
            <v>0</v>
          </cell>
          <cell r="R2400">
            <v>0</v>
          </cell>
          <cell r="T2400">
            <v>441.57999999999993</v>
          </cell>
          <cell r="U2400">
            <v>0</v>
          </cell>
          <cell r="W2400">
            <v>74.409999999999968</v>
          </cell>
          <cell r="X2400">
            <v>0</v>
          </cell>
          <cell r="Z2400">
            <v>118.50999999999988</v>
          </cell>
          <cell r="AA2400">
            <v>0</v>
          </cell>
          <cell r="AC2400">
            <v>92.920000000000073</v>
          </cell>
          <cell r="AD2400">
            <v>0</v>
          </cell>
          <cell r="AF2400">
            <v>82.820000000000164</v>
          </cell>
          <cell r="AG2400">
            <v>0</v>
          </cell>
          <cell r="AI2400">
            <v>336.01</v>
          </cell>
          <cell r="AJ2400">
            <v>0</v>
          </cell>
          <cell r="AL2400">
            <v>20.029999999999973</v>
          </cell>
          <cell r="AM2400">
            <v>0</v>
          </cell>
          <cell r="AO2400">
            <v>98.860000000000127</v>
          </cell>
          <cell r="AP2400">
            <v>0</v>
          </cell>
          <cell r="AR2400">
            <v>90.190000000000055</v>
          </cell>
          <cell r="AS2400">
            <v>0</v>
          </cell>
          <cell r="BF2400" t="str">
            <v>4150</v>
          </cell>
          <cell r="BG2400" t="str">
            <v>Z000</v>
          </cell>
          <cell r="BH2400" t="str">
            <v>IBO</v>
          </cell>
        </row>
        <row r="2401">
          <cell r="K2401">
            <v>0</v>
          </cell>
          <cell r="L2401">
            <v>0</v>
          </cell>
          <cell r="N2401">
            <v>0</v>
          </cell>
          <cell r="O2401">
            <v>0</v>
          </cell>
          <cell r="Q2401">
            <v>0</v>
          </cell>
          <cell r="R2401">
            <v>0</v>
          </cell>
          <cell r="T2401">
            <v>0</v>
          </cell>
          <cell r="U2401">
            <v>0</v>
          </cell>
          <cell r="W2401">
            <v>0</v>
          </cell>
          <cell r="X2401">
            <v>0</v>
          </cell>
          <cell r="Z2401">
            <v>0</v>
          </cell>
          <cell r="AA2401">
            <v>0</v>
          </cell>
          <cell r="AC2401">
            <v>0</v>
          </cell>
          <cell r="AD2401">
            <v>0</v>
          </cell>
          <cell r="AF2401">
            <v>0</v>
          </cell>
          <cell r="AG2401">
            <v>0</v>
          </cell>
          <cell r="AI2401">
            <v>0</v>
          </cell>
          <cell r="AJ2401">
            <v>0</v>
          </cell>
          <cell r="AL2401">
            <v>0</v>
          </cell>
          <cell r="AM2401">
            <v>0</v>
          </cell>
          <cell r="AO2401">
            <v>0</v>
          </cell>
          <cell r="AP2401">
            <v>0</v>
          </cell>
          <cell r="AR2401">
            <v>0</v>
          </cell>
          <cell r="AS2401">
            <v>0</v>
          </cell>
          <cell r="BF2401" t="str">
            <v>4200</v>
          </cell>
          <cell r="BG2401" t="str">
            <v>Z000</v>
          </cell>
          <cell r="BH2401" t="str">
            <v>IBO</v>
          </cell>
        </row>
        <row r="2402">
          <cell r="K2402">
            <v>0</v>
          </cell>
          <cell r="L2402">
            <v>0</v>
          </cell>
          <cell r="N2402">
            <v>0</v>
          </cell>
          <cell r="O2402">
            <v>0</v>
          </cell>
          <cell r="Q2402">
            <v>0</v>
          </cell>
          <cell r="R2402">
            <v>0</v>
          </cell>
          <cell r="T2402">
            <v>0</v>
          </cell>
          <cell r="U2402">
            <v>0</v>
          </cell>
          <cell r="W2402">
            <v>0</v>
          </cell>
          <cell r="X2402">
            <v>0</v>
          </cell>
          <cell r="Z2402">
            <v>0</v>
          </cell>
          <cell r="AA2402">
            <v>0</v>
          </cell>
          <cell r="AC2402">
            <v>0</v>
          </cell>
          <cell r="AD2402">
            <v>0</v>
          </cell>
          <cell r="AF2402">
            <v>0</v>
          </cell>
          <cell r="AG2402">
            <v>0</v>
          </cell>
          <cell r="AI2402">
            <v>0</v>
          </cell>
          <cell r="AJ2402">
            <v>0</v>
          </cell>
          <cell r="AL2402">
            <v>0</v>
          </cell>
          <cell r="AM2402">
            <v>0</v>
          </cell>
          <cell r="AO2402">
            <v>0</v>
          </cell>
          <cell r="AP2402">
            <v>0</v>
          </cell>
          <cell r="AR2402">
            <v>0</v>
          </cell>
          <cell r="AS2402">
            <v>0</v>
          </cell>
          <cell r="BF2402" t="str">
            <v>4215</v>
          </cell>
          <cell r="BG2402" t="str">
            <v>Z000</v>
          </cell>
          <cell r="BH2402" t="str">
            <v>IBO</v>
          </cell>
        </row>
        <row r="2403">
          <cell r="K2403">
            <v>0</v>
          </cell>
          <cell r="L2403">
            <v>0</v>
          </cell>
          <cell r="N2403">
            <v>0</v>
          </cell>
          <cell r="O2403">
            <v>0</v>
          </cell>
          <cell r="Q2403">
            <v>0</v>
          </cell>
          <cell r="R2403">
            <v>0</v>
          </cell>
          <cell r="T2403">
            <v>10000</v>
          </cell>
          <cell r="U2403">
            <v>0</v>
          </cell>
          <cell r="W2403">
            <v>0</v>
          </cell>
          <cell r="X2403">
            <v>0</v>
          </cell>
          <cell r="Z2403">
            <v>0</v>
          </cell>
          <cell r="AA2403">
            <v>0</v>
          </cell>
          <cell r="AC2403">
            <v>0</v>
          </cell>
          <cell r="AD2403">
            <v>0</v>
          </cell>
          <cell r="AF2403">
            <v>0</v>
          </cell>
          <cell r="AG2403">
            <v>0</v>
          </cell>
          <cell r="AI2403">
            <v>350</v>
          </cell>
          <cell r="AJ2403">
            <v>0</v>
          </cell>
          <cell r="AL2403">
            <v>0</v>
          </cell>
          <cell r="AM2403">
            <v>0</v>
          </cell>
          <cell r="AO2403">
            <v>0</v>
          </cell>
          <cell r="AP2403">
            <v>0</v>
          </cell>
          <cell r="AR2403">
            <v>0</v>
          </cell>
          <cell r="AS2403">
            <v>0</v>
          </cell>
          <cell r="BF2403" t="str">
            <v>4230</v>
          </cell>
          <cell r="BG2403" t="str">
            <v>Z000</v>
          </cell>
          <cell r="BH2403" t="str">
            <v>IBO</v>
          </cell>
        </row>
        <row r="2404">
          <cell r="K2404">
            <v>0</v>
          </cell>
          <cell r="L2404">
            <v>0</v>
          </cell>
          <cell r="N2404">
            <v>0</v>
          </cell>
          <cell r="O2404">
            <v>0</v>
          </cell>
          <cell r="Q2404">
            <v>0</v>
          </cell>
          <cell r="R2404">
            <v>0</v>
          </cell>
          <cell r="T2404">
            <v>0</v>
          </cell>
          <cell r="U2404">
            <v>0</v>
          </cell>
          <cell r="W2404">
            <v>0</v>
          </cell>
          <cell r="X2404">
            <v>0</v>
          </cell>
          <cell r="Z2404">
            <v>0</v>
          </cell>
          <cell r="AA2404">
            <v>0</v>
          </cell>
          <cell r="AC2404">
            <v>0</v>
          </cell>
          <cell r="AD2404">
            <v>0</v>
          </cell>
          <cell r="AF2404">
            <v>0</v>
          </cell>
          <cell r="AG2404">
            <v>0</v>
          </cell>
          <cell r="AI2404">
            <v>0</v>
          </cell>
          <cell r="AJ2404">
            <v>0</v>
          </cell>
          <cell r="AL2404">
            <v>0</v>
          </cell>
          <cell r="AM2404">
            <v>0</v>
          </cell>
          <cell r="AO2404">
            <v>0</v>
          </cell>
          <cell r="AP2404">
            <v>0</v>
          </cell>
          <cell r="AR2404">
            <v>0</v>
          </cell>
          <cell r="AS2404">
            <v>0</v>
          </cell>
          <cell r="BF2404" t="str">
            <v>4240</v>
          </cell>
          <cell r="BG2404" t="str">
            <v>Z000</v>
          </cell>
          <cell r="BH2404" t="str">
            <v>IBO</v>
          </cell>
        </row>
        <row r="2405">
          <cell r="K2405">
            <v>0</v>
          </cell>
          <cell r="L2405">
            <v>0</v>
          </cell>
          <cell r="N2405">
            <v>0</v>
          </cell>
          <cell r="O2405">
            <v>0</v>
          </cell>
          <cell r="Q2405">
            <v>0</v>
          </cell>
          <cell r="R2405">
            <v>0</v>
          </cell>
          <cell r="T2405">
            <v>0</v>
          </cell>
          <cell r="U2405">
            <v>0</v>
          </cell>
          <cell r="W2405">
            <v>0</v>
          </cell>
          <cell r="X2405">
            <v>0</v>
          </cell>
          <cell r="Z2405">
            <v>0</v>
          </cell>
          <cell r="AA2405">
            <v>0</v>
          </cell>
          <cell r="AC2405">
            <v>0</v>
          </cell>
          <cell r="AD2405">
            <v>0</v>
          </cell>
          <cell r="AF2405">
            <v>0</v>
          </cell>
          <cell r="AG2405">
            <v>0</v>
          </cell>
          <cell r="AI2405">
            <v>0</v>
          </cell>
          <cell r="AJ2405">
            <v>0</v>
          </cell>
          <cell r="AL2405">
            <v>0</v>
          </cell>
          <cell r="AM2405">
            <v>0</v>
          </cell>
          <cell r="AO2405">
            <v>0</v>
          </cell>
          <cell r="AP2405">
            <v>0</v>
          </cell>
          <cell r="AR2405">
            <v>0</v>
          </cell>
          <cell r="AS2405">
            <v>0</v>
          </cell>
          <cell r="BF2405" t="str">
            <v>4250</v>
          </cell>
          <cell r="BG2405" t="str">
            <v>Z000</v>
          </cell>
          <cell r="BH2405" t="str">
            <v>IBO</v>
          </cell>
        </row>
        <row r="2406">
          <cell r="K2406">
            <v>0</v>
          </cell>
          <cell r="L2406">
            <v>0</v>
          </cell>
          <cell r="N2406">
            <v>0</v>
          </cell>
          <cell r="O2406">
            <v>0</v>
          </cell>
          <cell r="Q2406">
            <v>0</v>
          </cell>
          <cell r="R2406">
            <v>0</v>
          </cell>
          <cell r="T2406">
            <v>0</v>
          </cell>
          <cell r="U2406">
            <v>0</v>
          </cell>
          <cell r="W2406">
            <v>0</v>
          </cell>
          <cell r="X2406">
            <v>0</v>
          </cell>
          <cell r="Z2406">
            <v>0</v>
          </cell>
          <cell r="AA2406">
            <v>0</v>
          </cell>
          <cell r="AC2406">
            <v>0</v>
          </cell>
          <cell r="AD2406">
            <v>0</v>
          </cell>
          <cell r="AF2406">
            <v>0</v>
          </cell>
          <cell r="AG2406">
            <v>0</v>
          </cell>
          <cell r="AI2406">
            <v>0</v>
          </cell>
          <cell r="AJ2406">
            <v>0</v>
          </cell>
          <cell r="AL2406">
            <v>0</v>
          </cell>
          <cell r="AM2406">
            <v>0</v>
          </cell>
          <cell r="AO2406">
            <v>0</v>
          </cell>
          <cell r="AP2406">
            <v>0</v>
          </cell>
          <cell r="AR2406">
            <v>0</v>
          </cell>
          <cell r="AS2406">
            <v>0</v>
          </cell>
          <cell r="BF2406" t="str">
            <v>4275</v>
          </cell>
          <cell r="BG2406" t="str">
            <v>Z000</v>
          </cell>
          <cell r="BH2406" t="str">
            <v>IBO</v>
          </cell>
        </row>
        <row r="2407">
          <cell r="K2407">
            <v>0</v>
          </cell>
          <cell r="L2407">
            <v>0</v>
          </cell>
          <cell r="N2407">
            <v>0</v>
          </cell>
          <cell r="O2407">
            <v>0</v>
          </cell>
          <cell r="Q2407">
            <v>0</v>
          </cell>
          <cell r="R2407">
            <v>0</v>
          </cell>
          <cell r="T2407">
            <v>0</v>
          </cell>
          <cell r="U2407">
            <v>0</v>
          </cell>
          <cell r="W2407">
            <v>0</v>
          </cell>
          <cell r="X2407">
            <v>0</v>
          </cell>
          <cell r="Z2407">
            <v>0</v>
          </cell>
          <cell r="AA2407">
            <v>0</v>
          </cell>
          <cell r="AC2407">
            <v>0</v>
          </cell>
          <cell r="AD2407">
            <v>0</v>
          </cell>
          <cell r="AF2407">
            <v>0</v>
          </cell>
          <cell r="AG2407">
            <v>0</v>
          </cell>
          <cell r="AI2407">
            <v>51.3599999999999</v>
          </cell>
          <cell r="AJ2407">
            <v>0</v>
          </cell>
          <cell r="AL2407">
            <v>85.6099999999999</v>
          </cell>
          <cell r="AM2407">
            <v>0</v>
          </cell>
          <cell r="AO2407">
            <v>88.460000000000036</v>
          </cell>
          <cell r="AP2407">
            <v>0</v>
          </cell>
          <cell r="AR2407">
            <v>122.92999999999984</v>
          </cell>
          <cell r="AS2407">
            <v>0</v>
          </cell>
          <cell r="BF2407" t="str">
            <v>4300</v>
          </cell>
          <cell r="BG2407" t="str">
            <v>Z000</v>
          </cell>
          <cell r="BH2407" t="str">
            <v>IBO</v>
          </cell>
        </row>
        <row r="2408">
          <cell r="K2408">
            <v>0</v>
          </cell>
          <cell r="L2408">
            <v>0</v>
          </cell>
          <cell r="N2408">
            <v>0</v>
          </cell>
          <cell r="O2408">
            <v>0</v>
          </cell>
          <cell r="Q2408">
            <v>0</v>
          </cell>
          <cell r="R2408">
            <v>0</v>
          </cell>
          <cell r="T2408">
            <v>0</v>
          </cell>
          <cell r="U2408">
            <v>0</v>
          </cell>
          <cell r="W2408">
            <v>0</v>
          </cell>
          <cell r="X2408">
            <v>0</v>
          </cell>
          <cell r="Z2408">
            <v>0</v>
          </cell>
          <cell r="AA2408">
            <v>0</v>
          </cell>
          <cell r="AC2408">
            <v>0</v>
          </cell>
          <cell r="AD2408">
            <v>0</v>
          </cell>
          <cell r="AF2408">
            <v>0</v>
          </cell>
          <cell r="AG2408">
            <v>0</v>
          </cell>
          <cell r="AI2408">
            <v>0</v>
          </cell>
          <cell r="AJ2408">
            <v>0</v>
          </cell>
          <cell r="AL2408">
            <v>0</v>
          </cell>
          <cell r="AM2408">
            <v>0</v>
          </cell>
          <cell r="AO2408">
            <v>0</v>
          </cell>
          <cell r="AP2408">
            <v>0</v>
          </cell>
          <cell r="AR2408">
            <v>0</v>
          </cell>
          <cell r="AS2408">
            <v>0</v>
          </cell>
          <cell r="BF2408" t="str">
            <v>4320</v>
          </cell>
          <cell r="BG2408" t="str">
            <v>Z000</v>
          </cell>
          <cell r="BH2408" t="str">
            <v>IBO</v>
          </cell>
        </row>
        <row r="2409">
          <cell r="K2409">
            <v>0</v>
          </cell>
          <cell r="L2409">
            <v>0</v>
          </cell>
          <cell r="N2409">
            <v>0</v>
          </cell>
          <cell r="O2409">
            <v>0</v>
          </cell>
          <cell r="Q2409">
            <v>0</v>
          </cell>
          <cell r="R2409">
            <v>0</v>
          </cell>
          <cell r="T2409">
            <v>0</v>
          </cell>
          <cell r="U2409">
            <v>0</v>
          </cell>
          <cell r="W2409">
            <v>0</v>
          </cell>
          <cell r="X2409">
            <v>0</v>
          </cell>
          <cell r="Z2409">
            <v>0</v>
          </cell>
          <cell r="AA2409">
            <v>0</v>
          </cell>
          <cell r="AC2409">
            <v>0</v>
          </cell>
          <cell r="AD2409">
            <v>0</v>
          </cell>
          <cell r="AF2409">
            <v>0</v>
          </cell>
          <cell r="AG2409">
            <v>0</v>
          </cell>
          <cell r="AI2409">
            <v>0</v>
          </cell>
          <cell r="AJ2409">
            <v>0</v>
          </cell>
          <cell r="AL2409">
            <v>0</v>
          </cell>
          <cell r="AM2409">
            <v>0</v>
          </cell>
          <cell r="AO2409">
            <v>0</v>
          </cell>
          <cell r="AP2409">
            <v>0</v>
          </cell>
          <cell r="AR2409">
            <v>0</v>
          </cell>
          <cell r="AS2409">
            <v>0</v>
          </cell>
          <cell r="BF2409" t="str">
            <v>4330</v>
          </cell>
          <cell r="BG2409" t="str">
            <v>Z000</v>
          </cell>
          <cell r="BH2409" t="str">
            <v>IBO</v>
          </cell>
        </row>
        <row r="2410">
          <cell r="K2410">
            <v>0</v>
          </cell>
          <cell r="L2410">
            <v>0</v>
          </cell>
          <cell r="N2410">
            <v>0</v>
          </cell>
          <cell r="O2410">
            <v>0</v>
          </cell>
          <cell r="Q2410">
            <v>0</v>
          </cell>
          <cell r="R2410">
            <v>0</v>
          </cell>
          <cell r="T2410">
            <v>0</v>
          </cell>
          <cell r="U2410">
            <v>0</v>
          </cell>
          <cell r="W2410">
            <v>0</v>
          </cell>
          <cell r="X2410">
            <v>0</v>
          </cell>
          <cell r="Z2410">
            <v>0</v>
          </cell>
          <cell r="AA2410">
            <v>0</v>
          </cell>
          <cell r="AC2410">
            <v>0</v>
          </cell>
          <cell r="AD2410">
            <v>0</v>
          </cell>
          <cell r="AF2410">
            <v>0</v>
          </cell>
          <cell r="AG2410">
            <v>0</v>
          </cell>
          <cell r="AI2410">
            <v>0</v>
          </cell>
          <cell r="AJ2410">
            <v>0</v>
          </cell>
          <cell r="AL2410">
            <v>0</v>
          </cell>
          <cell r="AM2410">
            <v>0</v>
          </cell>
          <cell r="AO2410">
            <v>0</v>
          </cell>
          <cell r="AP2410">
            <v>0</v>
          </cell>
          <cell r="AR2410">
            <v>0</v>
          </cell>
          <cell r="AS2410">
            <v>0</v>
          </cell>
          <cell r="BF2410" t="str">
            <v>4340</v>
          </cell>
          <cell r="BG2410" t="str">
            <v>D006</v>
          </cell>
          <cell r="BH2410" t="str">
            <v>IBO</v>
          </cell>
        </row>
        <row r="2411">
          <cell r="K2411">
            <v>0</v>
          </cell>
          <cell r="L2411">
            <v>0</v>
          </cell>
          <cell r="N2411">
            <v>0</v>
          </cell>
          <cell r="O2411">
            <v>0</v>
          </cell>
          <cell r="Q2411">
            <v>0</v>
          </cell>
          <cell r="R2411">
            <v>0</v>
          </cell>
          <cell r="T2411">
            <v>0</v>
          </cell>
          <cell r="U2411">
            <v>0</v>
          </cell>
          <cell r="W2411">
            <v>0</v>
          </cell>
          <cell r="X2411">
            <v>0</v>
          </cell>
          <cell r="Z2411">
            <v>0</v>
          </cell>
          <cell r="AA2411">
            <v>0</v>
          </cell>
          <cell r="AC2411">
            <v>0</v>
          </cell>
          <cell r="AD2411">
            <v>0</v>
          </cell>
          <cell r="AF2411">
            <v>0</v>
          </cell>
          <cell r="AG2411">
            <v>0</v>
          </cell>
          <cell r="AI2411">
            <v>0</v>
          </cell>
          <cell r="AJ2411">
            <v>0</v>
          </cell>
          <cell r="AL2411">
            <v>0</v>
          </cell>
          <cell r="AM2411">
            <v>0</v>
          </cell>
          <cell r="AO2411">
            <v>0</v>
          </cell>
          <cell r="AP2411">
            <v>0</v>
          </cell>
          <cell r="AR2411">
            <v>0</v>
          </cell>
          <cell r="AS2411">
            <v>0</v>
          </cell>
          <cell r="BF2411" t="str">
            <v>4340</v>
          </cell>
          <cell r="BG2411" t="str">
            <v>D007</v>
          </cell>
          <cell r="BH2411" t="str">
            <v>IBO</v>
          </cell>
        </row>
        <row r="2412">
          <cell r="K2412">
            <v>0</v>
          </cell>
          <cell r="L2412">
            <v>0</v>
          </cell>
          <cell r="N2412">
            <v>0</v>
          </cell>
          <cell r="O2412">
            <v>0</v>
          </cell>
          <cell r="Q2412">
            <v>0</v>
          </cell>
          <cell r="R2412">
            <v>0</v>
          </cell>
          <cell r="T2412">
            <v>0</v>
          </cell>
          <cell r="U2412">
            <v>0</v>
          </cell>
          <cell r="W2412">
            <v>0</v>
          </cell>
          <cell r="X2412">
            <v>0</v>
          </cell>
          <cell r="Z2412">
            <v>0</v>
          </cell>
          <cell r="AA2412">
            <v>0</v>
          </cell>
          <cell r="AC2412">
            <v>0</v>
          </cell>
          <cell r="AD2412">
            <v>0</v>
          </cell>
          <cell r="AF2412">
            <v>0</v>
          </cell>
          <cell r="AG2412">
            <v>0</v>
          </cell>
          <cell r="AI2412">
            <v>0</v>
          </cell>
          <cell r="AJ2412">
            <v>0</v>
          </cell>
          <cell r="AL2412">
            <v>0</v>
          </cell>
          <cell r="AM2412">
            <v>0</v>
          </cell>
          <cell r="AO2412">
            <v>0</v>
          </cell>
          <cell r="AP2412">
            <v>0</v>
          </cell>
          <cell r="AR2412">
            <v>0</v>
          </cell>
          <cell r="AS2412">
            <v>0</v>
          </cell>
          <cell r="BF2412" t="str">
            <v>4340</v>
          </cell>
          <cell r="BG2412" t="str">
            <v>D008</v>
          </cell>
          <cell r="BH2412" t="str">
            <v>IBO</v>
          </cell>
        </row>
        <row r="2413">
          <cell r="K2413">
            <v>0</v>
          </cell>
          <cell r="L2413">
            <v>0</v>
          </cell>
          <cell r="N2413">
            <v>0</v>
          </cell>
          <cell r="O2413">
            <v>0</v>
          </cell>
          <cell r="Q2413">
            <v>0</v>
          </cell>
          <cell r="R2413">
            <v>0</v>
          </cell>
          <cell r="T2413">
            <v>0</v>
          </cell>
          <cell r="U2413">
            <v>0</v>
          </cell>
          <cell r="W2413">
            <v>0</v>
          </cell>
          <cell r="X2413">
            <v>0</v>
          </cell>
          <cell r="Z2413">
            <v>0</v>
          </cell>
          <cell r="AA2413">
            <v>0</v>
          </cell>
          <cell r="AC2413">
            <v>0</v>
          </cell>
          <cell r="AD2413">
            <v>0</v>
          </cell>
          <cell r="AF2413">
            <v>0</v>
          </cell>
          <cell r="AG2413">
            <v>0</v>
          </cell>
          <cell r="AI2413">
            <v>0</v>
          </cell>
          <cell r="AJ2413">
            <v>0</v>
          </cell>
          <cell r="AL2413">
            <v>0</v>
          </cell>
          <cell r="AM2413">
            <v>0</v>
          </cell>
          <cell r="AO2413">
            <v>0</v>
          </cell>
          <cell r="AP2413">
            <v>0</v>
          </cell>
          <cell r="AR2413">
            <v>0</v>
          </cell>
          <cell r="AS2413">
            <v>0</v>
          </cell>
          <cell r="BF2413" t="str">
            <v>4360</v>
          </cell>
          <cell r="BG2413" t="str">
            <v>Z000</v>
          </cell>
          <cell r="BH2413" t="str">
            <v>IBO</v>
          </cell>
        </row>
        <row r="2414">
          <cell r="K2414">
            <v>0</v>
          </cell>
          <cell r="L2414">
            <v>0</v>
          </cell>
          <cell r="N2414">
            <v>0</v>
          </cell>
          <cell r="O2414">
            <v>0</v>
          </cell>
          <cell r="Q2414">
            <v>0</v>
          </cell>
          <cell r="R2414">
            <v>0</v>
          </cell>
          <cell r="T2414">
            <v>0</v>
          </cell>
          <cell r="U2414">
            <v>0</v>
          </cell>
          <cell r="W2414">
            <v>0</v>
          </cell>
          <cell r="X2414">
            <v>0</v>
          </cell>
          <cell r="Z2414">
            <v>0</v>
          </cell>
          <cell r="AA2414">
            <v>0</v>
          </cell>
          <cell r="AC2414">
            <v>0</v>
          </cell>
          <cell r="AD2414">
            <v>0</v>
          </cell>
          <cell r="AF2414">
            <v>0</v>
          </cell>
          <cell r="AG2414">
            <v>0</v>
          </cell>
          <cell r="AI2414">
            <v>0</v>
          </cell>
          <cell r="AJ2414">
            <v>0</v>
          </cell>
          <cell r="AL2414">
            <v>0</v>
          </cell>
          <cell r="AM2414">
            <v>0</v>
          </cell>
          <cell r="AO2414">
            <v>0</v>
          </cell>
          <cell r="AP2414">
            <v>0</v>
          </cell>
          <cell r="AR2414">
            <v>0</v>
          </cell>
          <cell r="AS2414">
            <v>0</v>
          </cell>
          <cell r="BF2414" t="str">
            <v>4380</v>
          </cell>
          <cell r="BG2414" t="str">
            <v>Z000</v>
          </cell>
          <cell r="BH2414" t="str">
            <v>IBO</v>
          </cell>
        </row>
        <row r="2415">
          <cell r="K2415">
            <v>0</v>
          </cell>
          <cell r="L2415">
            <v>0</v>
          </cell>
          <cell r="N2415">
            <v>0</v>
          </cell>
          <cell r="O2415">
            <v>0</v>
          </cell>
          <cell r="Q2415">
            <v>0</v>
          </cell>
          <cell r="R2415">
            <v>0</v>
          </cell>
          <cell r="T2415">
            <v>0</v>
          </cell>
          <cell r="U2415">
            <v>0</v>
          </cell>
          <cell r="W2415">
            <v>0</v>
          </cell>
          <cell r="X2415">
            <v>0</v>
          </cell>
          <cell r="Z2415">
            <v>0</v>
          </cell>
          <cell r="AA2415">
            <v>0</v>
          </cell>
          <cell r="AC2415">
            <v>0</v>
          </cell>
          <cell r="AD2415">
            <v>0</v>
          </cell>
          <cell r="AF2415">
            <v>0</v>
          </cell>
          <cell r="AG2415">
            <v>0</v>
          </cell>
          <cell r="AI2415">
            <v>0</v>
          </cell>
          <cell r="AJ2415">
            <v>0</v>
          </cell>
          <cell r="AL2415">
            <v>0</v>
          </cell>
          <cell r="AM2415">
            <v>0</v>
          </cell>
          <cell r="AO2415">
            <v>0</v>
          </cell>
          <cell r="AP2415">
            <v>0</v>
          </cell>
          <cell r="AR2415">
            <v>0</v>
          </cell>
          <cell r="AS2415">
            <v>0</v>
          </cell>
          <cell r="BF2415" t="str">
            <v>4400</v>
          </cell>
          <cell r="BG2415" t="str">
            <v>Z000</v>
          </cell>
          <cell r="BH2415" t="str">
            <v>IBO</v>
          </cell>
        </row>
        <row r="2416">
          <cell r="K2416">
            <v>0</v>
          </cell>
          <cell r="L2416">
            <v>0</v>
          </cell>
          <cell r="N2416">
            <v>0</v>
          </cell>
          <cell r="O2416">
            <v>0</v>
          </cell>
          <cell r="Q2416">
            <v>0</v>
          </cell>
          <cell r="R2416">
            <v>0</v>
          </cell>
          <cell r="T2416">
            <v>0</v>
          </cell>
          <cell r="U2416">
            <v>0</v>
          </cell>
          <cell r="W2416">
            <v>0</v>
          </cell>
          <cell r="X2416">
            <v>0</v>
          </cell>
          <cell r="Z2416">
            <v>0</v>
          </cell>
          <cell r="AA2416">
            <v>0</v>
          </cell>
          <cell r="AC2416">
            <v>0</v>
          </cell>
          <cell r="AD2416">
            <v>0</v>
          </cell>
          <cell r="AF2416">
            <v>0</v>
          </cell>
          <cell r="AG2416">
            <v>0</v>
          </cell>
          <cell r="AI2416">
            <v>0</v>
          </cell>
          <cell r="AJ2416">
            <v>0</v>
          </cell>
          <cell r="AL2416">
            <v>0</v>
          </cell>
          <cell r="AM2416">
            <v>0</v>
          </cell>
          <cell r="AO2416">
            <v>0</v>
          </cell>
          <cell r="AP2416">
            <v>0</v>
          </cell>
          <cell r="AR2416">
            <v>0</v>
          </cell>
          <cell r="AS2416">
            <v>0</v>
          </cell>
          <cell r="BF2416" t="str">
            <v>4480</v>
          </cell>
          <cell r="BG2416" t="str">
            <v>Z000</v>
          </cell>
          <cell r="BH2416" t="str">
            <v>IBO</v>
          </cell>
        </row>
        <row r="2417">
          <cell r="K2417">
            <v>0</v>
          </cell>
          <cell r="L2417">
            <v>0</v>
          </cell>
          <cell r="N2417">
            <v>0</v>
          </cell>
          <cell r="O2417">
            <v>0</v>
          </cell>
          <cell r="Q2417">
            <v>0</v>
          </cell>
          <cell r="R2417">
            <v>0</v>
          </cell>
          <cell r="T2417">
            <v>0</v>
          </cell>
          <cell r="U2417">
            <v>0</v>
          </cell>
          <cell r="W2417">
            <v>0</v>
          </cell>
          <cell r="X2417">
            <v>0</v>
          </cell>
          <cell r="Z2417">
            <v>0</v>
          </cell>
          <cell r="AA2417">
            <v>0</v>
          </cell>
          <cell r="AC2417">
            <v>0</v>
          </cell>
          <cell r="AD2417">
            <v>0</v>
          </cell>
          <cell r="AF2417">
            <v>0</v>
          </cell>
          <cell r="AG2417">
            <v>0</v>
          </cell>
          <cell r="AI2417">
            <v>0</v>
          </cell>
          <cell r="AJ2417">
            <v>0</v>
          </cell>
          <cell r="AL2417">
            <v>0</v>
          </cell>
          <cell r="AM2417">
            <v>0</v>
          </cell>
          <cell r="AO2417">
            <v>0</v>
          </cell>
          <cell r="AP2417">
            <v>0</v>
          </cell>
          <cell r="AR2417">
            <v>0</v>
          </cell>
          <cell r="AS2417">
            <v>0</v>
          </cell>
          <cell r="BF2417" t="str">
            <v>4500</v>
          </cell>
          <cell r="BG2417" t="str">
            <v>Z000</v>
          </cell>
          <cell r="BH2417" t="str">
            <v>IBO</v>
          </cell>
        </row>
        <row r="2418">
          <cell r="K2418">
            <v>0</v>
          </cell>
          <cell r="L2418">
            <v>0</v>
          </cell>
          <cell r="N2418">
            <v>0</v>
          </cell>
          <cell r="O2418">
            <v>0</v>
          </cell>
          <cell r="Q2418">
            <v>0</v>
          </cell>
          <cell r="R2418">
            <v>0</v>
          </cell>
          <cell r="T2418">
            <v>0</v>
          </cell>
          <cell r="U2418">
            <v>0</v>
          </cell>
          <cell r="W2418">
            <v>0</v>
          </cell>
          <cell r="X2418">
            <v>0</v>
          </cell>
          <cell r="Z2418">
            <v>0</v>
          </cell>
          <cell r="AA2418">
            <v>0</v>
          </cell>
          <cell r="AC2418">
            <v>0</v>
          </cell>
          <cell r="AD2418">
            <v>0</v>
          </cell>
          <cell r="AF2418">
            <v>0</v>
          </cell>
          <cell r="AG2418">
            <v>0</v>
          </cell>
          <cell r="AI2418">
            <v>0</v>
          </cell>
          <cell r="AJ2418">
            <v>0</v>
          </cell>
          <cell r="AL2418">
            <v>0</v>
          </cell>
          <cell r="AM2418">
            <v>0</v>
          </cell>
          <cell r="AO2418">
            <v>0</v>
          </cell>
          <cell r="AP2418">
            <v>0</v>
          </cell>
          <cell r="AR2418">
            <v>0</v>
          </cell>
          <cell r="AS2418">
            <v>0</v>
          </cell>
          <cell r="BF2418" t="str">
            <v>4520</v>
          </cell>
          <cell r="BG2418" t="str">
            <v>D011</v>
          </cell>
          <cell r="BH2418" t="str">
            <v>IBO</v>
          </cell>
        </row>
        <row r="2419">
          <cell r="K2419">
            <v>0</v>
          </cell>
          <cell r="L2419">
            <v>0</v>
          </cell>
          <cell r="N2419">
            <v>0</v>
          </cell>
          <cell r="O2419">
            <v>0</v>
          </cell>
          <cell r="Q2419">
            <v>0</v>
          </cell>
          <cell r="R2419">
            <v>0</v>
          </cell>
          <cell r="T2419">
            <v>0</v>
          </cell>
          <cell r="U2419">
            <v>0</v>
          </cell>
          <cell r="W2419">
            <v>0</v>
          </cell>
          <cell r="X2419">
            <v>0</v>
          </cell>
          <cell r="Z2419">
            <v>0</v>
          </cell>
          <cell r="AA2419">
            <v>0</v>
          </cell>
          <cell r="AC2419">
            <v>0</v>
          </cell>
          <cell r="AD2419">
            <v>0</v>
          </cell>
          <cell r="AF2419">
            <v>0</v>
          </cell>
          <cell r="AG2419">
            <v>0</v>
          </cell>
          <cell r="AI2419">
            <v>0</v>
          </cell>
          <cell r="AJ2419">
            <v>0</v>
          </cell>
          <cell r="AL2419">
            <v>0</v>
          </cell>
          <cell r="AM2419">
            <v>0</v>
          </cell>
          <cell r="AO2419">
            <v>0</v>
          </cell>
          <cell r="AP2419">
            <v>0</v>
          </cell>
          <cell r="AR2419">
            <v>0</v>
          </cell>
          <cell r="AS2419">
            <v>0</v>
          </cell>
          <cell r="BF2419" t="str">
            <v>4520</v>
          </cell>
          <cell r="BG2419" t="str">
            <v>D012</v>
          </cell>
          <cell r="BH2419" t="str">
            <v>IBO</v>
          </cell>
        </row>
        <row r="2420">
          <cell r="K2420">
            <v>0</v>
          </cell>
          <cell r="L2420">
            <v>0</v>
          </cell>
          <cell r="N2420">
            <v>0</v>
          </cell>
          <cell r="O2420">
            <v>0</v>
          </cell>
          <cell r="Q2420">
            <v>0</v>
          </cell>
          <cell r="R2420">
            <v>0</v>
          </cell>
          <cell r="T2420">
            <v>0</v>
          </cell>
          <cell r="U2420">
            <v>0</v>
          </cell>
          <cell r="W2420">
            <v>0</v>
          </cell>
          <cell r="X2420">
            <v>0</v>
          </cell>
          <cell r="Z2420">
            <v>0</v>
          </cell>
          <cell r="AA2420">
            <v>0</v>
          </cell>
          <cell r="AC2420">
            <v>0</v>
          </cell>
          <cell r="AD2420">
            <v>0</v>
          </cell>
          <cell r="AF2420">
            <v>0</v>
          </cell>
          <cell r="AG2420">
            <v>0</v>
          </cell>
          <cell r="AI2420">
            <v>0</v>
          </cell>
          <cell r="AJ2420">
            <v>0</v>
          </cell>
          <cell r="AL2420">
            <v>0</v>
          </cell>
          <cell r="AM2420">
            <v>0</v>
          </cell>
          <cell r="AO2420">
            <v>0</v>
          </cell>
          <cell r="AP2420">
            <v>0</v>
          </cell>
          <cell r="AR2420">
            <v>0</v>
          </cell>
          <cell r="AS2420">
            <v>0</v>
          </cell>
          <cell r="BF2420" t="str">
            <v>4520</v>
          </cell>
          <cell r="BG2420" t="str">
            <v>D013</v>
          </cell>
          <cell r="BH2420" t="str">
            <v>IBO</v>
          </cell>
        </row>
        <row r="2421">
          <cell r="K2421">
            <v>0</v>
          </cell>
          <cell r="L2421">
            <v>0</v>
          </cell>
          <cell r="N2421">
            <v>0</v>
          </cell>
          <cell r="O2421">
            <v>0</v>
          </cell>
          <cell r="Q2421">
            <v>0</v>
          </cell>
          <cell r="R2421">
            <v>0</v>
          </cell>
          <cell r="T2421">
            <v>0</v>
          </cell>
          <cell r="U2421">
            <v>0</v>
          </cell>
          <cell r="W2421">
            <v>0</v>
          </cell>
          <cell r="X2421">
            <v>0</v>
          </cell>
          <cell r="Z2421">
            <v>0</v>
          </cell>
          <cell r="AA2421">
            <v>0</v>
          </cell>
          <cell r="AC2421">
            <v>0</v>
          </cell>
          <cell r="AD2421">
            <v>0</v>
          </cell>
          <cell r="AF2421">
            <v>0</v>
          </cell>
          <cell r="AG2421">
            <v>0</v>
          </cell>
          <cell r="AI2421">
            <v>0</v>
          </cell>
          <cell r="AJ2421">
            <v>0</v>
          </cell>
          <cell r="AL2421">
            <v>0</v>
          </cell>
          <cell r="AM2421">
            <v>0</v>
          </cell>
          <cell r="AO2421">
            <v>0</v>
          </cell>
          <cell r="AP2421">
            <v>0</v>
          </cell>
          <cell r="AR2421">
            <v>0</v>
          </cell>
          <cell r="AS2421">
            <v>0</v>
          </cell>
          <cell r="BF2421" t="str">
            <v>4520</v>
          </cell>
          <cell r="BG2421" t="str">
            <v>D014</v>
          </cell>
          <cell r="BH2421" t="str">
            <v>IBO</v>
          </cell>
        </row>
        <row r="2422">
          <cell r="K2422">
            <v>0</v>
          </cell>
          <cell r="L2422">
            <v>0</v>
          </cell>
          <cell r="N2422">
            <v>0</v>
          </cell>
          <cell r="O2422">
            <v>0</v>
          </cell>
          <cell r="Q2422">
            <v>0</v>
          </cell>
          <cell r="R2422">
            <v>0</v>
          </cell>
          <cell r="T2422">
            <v>0</v>
          </cell>
          <cell r="U2422">
            <v>0</v>
          </cell>
          <cell r="W2422">
            <v>0</v>
          </cell>
          <cell r="X2422">
            <v>0</v>
          </cell>
          <cell r="Z2422">
            <v>0</v>
          </cell>
          <cell r="AA2422">
            <v>0</v>
          </cell>
          <cell r="AC2422">
            <v>0</v>
          </cell>
          <cell r="AD2422">
            <v>0</v>
          </cell>
          <cell r="AF2422">
            <v>0</v>
          </cell>
          <cell r="AG2422">
            <v>0</v>
          </cell>
          <cell r="AI2422">
            <v>0</v>
          </cell>
          <cell r="AJ2422">
            <v>0</v>
          </cell>
          <cell r="AL2422">
            <v>0</v>
          </cell>
          <cell r="AM2422">
            <v>0</v>
          </cell>
          <cell r="AO2422">
            <v>0</v>
          </cell>
          <cell r="AP2422">
            <v>0</v>
          </cell>
          <cell r="AR2422">
            <v>0</v>
          </cell>
          <cell r="AS2422">
            <v>0</v>
          </cell>
          <cell r="BF2422" t="str">
            <v>4520</v>
          </cell>
          <cell r="BG2422" t="str">
            <v>D015</v>
          </cell>
          <cell r="BH2422" t="str">
            <v>IBO</v>
          </cell>
        </row>
        <row r="2423">
          <cell r="K2423">
            <v>0</v>
          </cell>
          <cell r="L2423">
            <v>0</v>
          </cell>
          <cell r="N2423">
            <v>0</v>
          </cell>
          <cell r="O2423">
            <v>0</v>
          </cell>
          <cell r="Q2423">
            <v>0</v>
          </cell>
          <cell r="R2423">
            <v>0</v>
          </cell>
          <cell r="T2423">
            <v>0</v>
          </cell>
          <cell r="U2423">
            <v>0</v>
          </cell>
          <cell r="W2423">
            <v>0</v>
          </cell>
          <cell r="X2423">
            <v>0</v>
          </cell>
          <cell r="Z2423">
            <v>0</v>
          </cell>
          <cell r="AA2423">
            <v>0</v>
          </cell>
          <cell r="AC2423">
            <v>0</v>
          </cell>
          <cell r="AD2423">
            <v>0</v>
          </cell>
          <cell r="AF2423">
            <v>0</v>
          </cell>
          <cell r="AG2423">
            <v>0</v>
          </cell>
          <cell r="AI2423">
            <v>0</v>
          </cell>
          <cell r="AJ2423">
            <v>0</v>
          </cell>
          <cell r="AL2423">
            <v>0</v>
          </cell>
          <cell r="AM2423">
            <v>0</v>
          </cell>
          <cell r="AO2423">
            <v>0</v>
          </cell>
          <cell r="AP2423">
            <v>0</v>
          </cell>
          <cell r="AR2423">
            <v>0</v>
          </cell>
          <cell r="AS2423">
            <v>0</v>
          </cell>
          <cell r="BF2423" t="str">
            <v>4520</v>
          </cell>
          <cell r="BG2423" t="str">
            <v>D016</v>
          </cell>
          <cell r="BH2423" t="str">
            <v>IBO</v>
          </cell>
        </row>
        <row r="2424">
          <cell r="K2424">
            <v>0</v>
          </cell>
          <cell r="L2424">
            <v>0</v>
          </cell>
          <cell r="N2424">
            <v>0</v>
          </cell>
          <cell r="O2424">
            <v>0</v>
          </cell>
          <cell r="Q2424">
            <v>0</v>
          </cell>
          <cell r="R2424">
            <v>0</v>
          </cell>
          <cell r="T2424">
            <v>0</v>
          </cell>
          <cell r="U2424">
            <v>0</v>
          </cell>
          <cell r="W2424">
            <v>0</v>
          </cell>
          <cell r="X2424">
            <v>0</v>
          </cell>
          <cell r="Z2424">
            <v>0</v>
          </cell>
          <cell r="AA2424">
            <v>0</v>
          </cell>
          <cell r="AC2424">
            <v>0</v>
          </cell>
          <cell r="AD2424">
            <v>0</v>
          </cell>
          <cell r="AF2424">
            <v>0</v>
          </cell>
          <cell r="AG2424">
            <v>0</v>
          </cell>
          <cell r="AI2424">
            <v>0</v>
          </cell>
          <cell r="AJ2424">
            <v>0</v>
          </cell>
          <cell r="AL2424">
            <v>0</v>
          </cell>
          <cell r="AM2424">
            <v>0</v>
          </cell>
          <cell r="AO2424">
            <v>0</v>
          </cell>
          <cell r="AP2424">
            <v>0</v>
          </cell>
          <cell r="AR2424">
            <v>0</v>
          </cell>
          <cell r="AS2424">
            <v>0</v>
          </cell>
          <cell r="BF2424" t="str">
            <v>4560</v>
          </cell>
          <cell r="BG2424" t="str">
            <v>Z000</v>
          </cell>
          <cell r="BH2424" t="str">
            <v>IBO</v>
          </cell>
        </row>
        <row r="2425">
          <cell r="K2425">
            <v>0</v>
          </cell>
          <cell r="L2425">
            <v>0</v>
          </cell>
          <cell r="N2425">
            <v>0</v>
          </cell>
          <cell r="O2425">
            <v>0</v>
          </cell>
          <cell r="Q2425">
            <v>0</v>
          </cell>
          <cell r="R2425">
            <v>0</v>
          </cell>
          <cell r="T2425">
            <v>0</v>
          </cell>
          <cell r="U2425">
            <v>0</v>
          </cell>
          <cell r="W2425">
            <v>0</v>
          </cell>
          <cell r="X2425">
            <v>0</v>
          </cell>
          <cell r="Z2425">
            <v>0</v>
          </cell>
          <cell r="AA2425">
            <v>0</v>
          </cell>
          <cell r="AC2425">
            <v>20000</v>
          </cell>
          <cell r="AD2425">
            <v>0</v>
          </cell>
          <cell r="AF2425">
            <v>0</v>
          </cell>
          <cell r="AG2425">
            <v>0</v>
          </cell>
          <cell r="AI2425">
            <v>0</v>
          </cell>
          <cell r="AJ2425">
            <v>0</v>
          </cell>
          <cell r="AL2425">
            <v>0</v>
          </cell>
          <cell r="AM2425">
            <v>0</v>
          </cell>
          <cell r="AO2425">
            <v>0</v>
          </cell>
          <cell r="AP2425">
            <v>0</v>
          </cell>
          <cell r="AR2425">
            <v>0</v>
          </cell>
          <cell r="AS2425">
            <v>0</v>
          </cell>
          <cell r="BF2425" t="str">
            <v>4580</v>
          </cell>
          <cell r="BG2425" t="str">
            <v>Z000</v>
          </cell>
          <cell r="BH2425" t="str">
            <v>IBO</v>
          </cell>
        </row>
        <row r="2426">
          <cell r="K2426">
            <v>0</v>
          </cell>
          <cell r="L2426">
            <v>0</v>
          </cell>
          <cell r="N2426">
            <v>0</v>
          </cell>
          <cell r="O2426">
            <v>0</v>
          </cell>
          <cell r="Q2426">
            <v>0</v>
          </cell>
          <cell r="R2426">
            <v>0</v>
          </cell>
          <cell r="T2426">
            <v>0</v>
          </cell>
          <cell r="U2426">
            <v>0</v>
          </cell>
          <cell r="W2426">
            <v>0</v>
          </cell>
          <cell r="X2426">
            <v>0</v>
          </cell>
          <cell r="Z2426">
            <v>0</v>
          </cell>
          <cell r="AA2426">
            <v>0</v>
          </cell>
          <cell r="AC2426">
            <v>0</v>
          </cell>
          <cell r="AD2426">
            <v>0</v>
          </cell>
          <cell r="AF2426">
            <v>0</v>
          </cell>
          <cell r="AG2426">
            <v>0</v>
          </cell>
          <cell r="AI2426">
            <v>0</v>
          </cell>
          <cell r="AJ2426">
            <v>0</v>
          </cell>
          <cell r="AL2426">
            <v>0</v>
          </cell>
          <cell r="AM2426">
            <v>0</v>
          </cell>
          <cell r="AO2426">
            <v>0</v>
          </cell>
          <cell r="AP2426">
            <v>0</v>
          </cell>
          <cell r="AR2426">
            <v>0</v>
          </cell>
          <cell r="AS2426">
            <v>0</v>
          </cell>
          <cell r="BF2426" t="str">
            <v>4585</v>
          </cell>
          <cell r="BG2426" t="str">
            <v>D021</v>
          </cell>
          <cell r="BH2426" t="str">
            <v>IBO</v>
          </cell>
        </row>
        <row r="2427">
          <cell r="K2427">
            <v>0</v>
          </cell>
          <cell r="L2427">
            <v>0</v>
          </cell>
          <cell r="N2427">
            <v>0</v>
          </cell>
          <cell r="O2427">
            <v>0</v>
          </cell>
          <cell r="Q2427">
            <v>0</v>
          </cell>
          <cell r="R2427">
            <v>0</v>
          </cell>
          <cell r="T2427">
            <v>0</v>
          </cell>
          <cell r="U2427">
            <v>0</v>
          </cell>
          <cell r="W2427">
            <v>0</v>
          </cell>
          <cell r="X2427">
            <v>0</v>
          </cell>
          <cell r="Z2427">
            <v>0</v>
          </cell>
          <cell r="AA2427">
            <v>0</v>
          </cell>
          <cell r="AC2427">
            <v>0</v>
          </cell>
          <cell r="AD2427">
            <v>0</v>
          </cell>
          <cell r="AF2427">
            <v>0</v>
          </cell>
          <cell r="AG2427">
            <v>0</v>
          </cell>
          <cell r="AI2427">
            <v>0</v>
          </cell>
          <cell r="AJ2427">
            <v>0</v>
          </cell>
          <cell r="AL2427">
            <v>0</v>
          </cell>
          <cell r="AM2427">
            <v>0</v>
          </cell>
          <cell r="AO2427">
            <v>0</v>
          </cell>
          <cell r="AP2427">
            <v>0</v>
          </cell>
          <cell r="AR2427">
            <v>0</v>
          </cell>
          <cell r="AS2427">
            <v>0</v>
          </cell>
          <cell r="BF2427" t="str">
            <v>4585</v>
          </cell>
          <cell r="BG2427" t="str">
            <v>D022</v>
          </cell>
          <cell r="BH2427" t="str">
            <v>IBO</v>
          </cell>
        </row>
        <row r="2428">
          <cell r="K2428">
            <v>0</v>
          </cell>
          <cell r="L2428">
            <v>0</v>
          </cell>
          <cell r="N2428">
            <v>0</v>
          </cell>
          <cell r="O2428">
            <v>0</v>
          </cell>
          <cell r="Q2428">
            <v>0</v>
          </cell>
          <cell r="R2428">
            <v>0</v>
          </cell>
          <cell r="T2428">
            <v>0</v>
          </cell>
          <cell r="U2428">
            <v>0</v>
          </cell>
          <cell r="W2428">
            <v>0</v>
          </cell>
          <cell r="X2428">
            <v>0</v>
          </cell>
          <cell r="Z2428">
            <v>0</v>
          </cell>
          <cell r="AA2428">
            <v>0</v>
          </cell>
          <cell r="AC2428">
            <v>0</v>
          </cell>
          <cell r="AD2428">
            <v>0</v>
          </cell>
          <cell r="AF2428">
            <v>0</v>
          </cell>
          <cell r="AG2428">
            <v>0</v>
          </cell>
          <cell r="AI2428">
            <v>0</v>
          </cell>
          <cell r="AJ2428">
            <v>0</v>
          </cell>
          <cell r="AL2428">
            <v>0</v>
          </cell>
          <cell r="AM2428">
            <v>0</v>
          </cell>
          <cell r="AO2428">
            <v>0</v>
          </cell>
          <cell r="AP2428">
            <v>0</v>
          </cell>
          <cell r="AR2428">
            <v>0</v>
          </cell>
          <cell r="AS2428">
            <v>0</v>
          </cell>
          <cell r="BF2428" t="str">
            <v>4585</v>
          </cell>
          <cell r="BG2428" t="str">
            <v>D023</v>
          </cell>
          <cell r="BH2428" t="str">
            <v>IBO</v>
          </cell>
        </row>
        <row r="2429">
          <cell r="K2429">
            <v>0</v>
          </cell>
          <cell r="L2429">
            <v>0</v>
          </cell>
          <cell r="N2429">
            <v>0</v>
          </cell>
          <cell r="O2429">
            <v>0</v>
          </cell>
          <cell r="Q2429">
            <v>0</v>
          </cell>
          <cell r="R2429">
            <v>0</v>
          </cell>
          <cell r="T2429">
            <v>0</v>
          </cell>
          <cell r="U2429">
            <v>0</v>
          </cell>
          <cell r="W2429">
            <v>0</v>
          </cell>
          <cell r="X2429">
            <v>0</v>
          </cell>
          <cell r="Z2429">
            <v>0</v>
          </cell>
          <cell r="AA2429">
            <v>0</v>
          </cell>
          <cell r="AC2429">
            <v>0</v>
          </cell>
          <cell r="AD2429">
            <v>0</v>
          </cell>
          <cell r="AF2429">
            <v>0</v>
          </cell>
          <cell r="AG2429">
            <v>0</v>
          </cell>
          <cell r="AI2429">
            <v>0</v>
          </cell>
          <cell r="AJ2429">
            <v>0</v>
          </cell>
          <cell r="AL2429">
            <v>0</v>
          </cell>
          <cell r="AM2429">
            <v>0</v>
          </cell>
          <cell r="AO2429">
            <v>0</v>
          </cell>
          <cell r="AP2429">
            <v>0</v>
          </cell>
          <cell r="AR2429">
            <v>0</v>
          </cell>
          <cell r="AS2429">
            <v>0</v>
          </cell>
          <cell r="BF2429" t="str">
            <v>4585</v>
          </cell>
          <cell r="BG2429" t="str">
            <v>D024</v>
          </cell>
          <cell r="BH2429" t="str">
            <v>IBO</v>
          </cell>
        </row>
        <row r="2430">
          <cell r="K2430">
            <v>0</v>
          </cell>
          <cell r="L2430">
            <v>0</v>
          </cell>
          <cell r="N2430">
            <v>0</v>
          </cell>
          <cell r="O2430">
            <v>0</v>
          </cell>
          <cell r="Q2430">
            <v>0</v>
          </cell>
          <cell r="R2430">
            <v>0</v>
          </cell>
          <cell r="T2430">
            <v>0</v>
          </cell>
          <cell r="U2430">
            <v>0</v>
          </cell>
          <cell r="W2430">
            <v>0</v>
          </cell>
          <cell r="X2430">
            <v>0</v>
          </cell>
          <cell r="Z2430">
            <v>0</v>
          </cell>
          <cell r="AA2430">
            <v>0</v>
          </cell>
          <cell r="AC2430">
            <v>0</v>
          </cell>
          <cell r="AD2430">
            <v>0</v>
          </cell>
          <cell r="AF2430">
            <v>0</v>
          </cell>
          <cell r="AG2430">
            <v>0</v>
          </cell>
          <cell r="AI2430">
            <v>0</v>
          </cell>
          <cell r="AJ2430">
            <v>0</v>
          </cell>
          <cell r="AL2430">
            <v>0</v>
          </cell>
          <cell r="AM2430">
            <v>0</v>
          </cell>
          <cell r="AO2430">
            <v>0</v>
          </cell>
          <cell r="AP2430">
            <v>0</v>
          </cell>
          <cell r="AR2430">
            <v>0</v>
          </cell>
          <cell r="AS2430">
            <v>0</v>
          </cell>
          <cell r="BF2430" t="str">
            <v>4590</v>
          </cell>
          <cell r="BG2430" t="str">
            <v>Z000</v>
          </cell>
          <cell r="BH2430" t="str">
            <v>IBO</v>
          </cell>
        </row>
        <row r="2431">
          <cell r="K2431">
            <v>0</v>
          </cell>
          <cell r="L2431">
            <v>0</v>
          </cell>
          <cell r="N2431">
            <v>0</v>
          </cell>
          <cell r="O2431">
            <v>0</v>
          </cell>
          <cell r="Q2431">
            <v>0</v>
          </cell>
          <cell r="R2431">
            <v>0</v>
          </cell>
          <cell r="T2431">
            <v>0</v>
          </cell>
          <cell r="U2431">
            <v>0</v>
          </cell>
          <cell r="W2431">
            <v>0</v>
          </cell>
          <cell r="X2431">
            <v>0</v>
          </cell>
          <cell r="Z2431">
            <v>0</v>
          </cell>
          <cell r="AA2431">
            <v>0</v>
          </cell>
          <cell r="AC2431">
            <v>0</v>
          </cell>
          <cell r="AD2431">
            <v>0</v>
          </cell>
          <cell r="AF2431">
            <v>0</v>
          </cell>
          <cell r="AG2431">
            <v>0</v>
          </cell>
          <cell r="AI2431">
            <v>0</v>
          </cell>
          <cell r="AJ2431">
            <v>0</v>
          </cell>
          <cell r="AL2431">
            <v>0</v>
          </cell>
          <cell r="AM2431">
            <v>0</v>
          </cell>
          <cell r="AO2431">
            <v>0</v>
          </cell>
          <cell r="AP2431">
            <v>0</v>
          </cell>
          <cell r="AR2431">
            <v>0</v>
          </cell>
          <cell r="AS2431">
            <v>0</v>
          </cell>
          <cell r="BF2431" t="str">
            <v>4600</v>
          </cell>
          <cell r="BG2431" t="str">
            <v>Z000</v>
          </cell>
          <cell r="BH2431" t="str">
            <v>IBO</v>
          </cell>
        </row>
        <row r="2432">
          <cell r="K2432">
            <v>0</v>
          </cell>
          <cell r="L2432">
            <v>0</v>
          </cell>
          <cell r="N2432">
            <v>0</v>
          </cell>
          <cell r="O2432">
            <v>0</v>
          </cell>
          <cell r="Q2432">
            <v>0</v>
          </cell>
          <cell r="R2432">
            <v>0</v>
          </cell>
          <cell r="T2432">
            <v>0</v>
          </cell>
          <cell r="U2432">
            <v>0</v>
          </cell>
          <cell r="W2432">
            <v>0</v>
          </cell>
          <cell r="X2432">
            <v>0</v>
          </cell>
          <cell r="Z2432">
            <v>0</v>
          </cell>
          <cell r="AA2432">
            <v>0</v>
          </cell>
          <cell r="AC2432">
            <v>0</v>
          </cell>
          <cell r="AD2432">
            <v>0</v>
          </cell>
          <cell r="AF2432">
            <v>0</v>
          </cell>
          <cell r="AG2432">
            <v>0</v>
          </cell>
          <cell r="AI2432">
            <v>0</v>
          </cell>
          <cell r="AJ2432">
            <v>0</v>
          </cell>
          <cell r="AL2432">
            <v>0</v>
          </cell>
          <cell r="AM2432">
            <v>0</v>
          </cell>
          <cell r="AO2432">
            <v>0</v>
          </cell>
          <cell r="AP2432">
            <v>0</v>
          </cell>
          <cell r="AR2432">
            <v>0</v>
          </cell>
          <cell r="AS2432">
            <v>0</v>
          </cell>
          <cell r="BF2432" t="str">
            <v>4620</v>
          </cell>
          <cell r="BG2432" t="str">
            <v>Z000</v>
          </cell>
          <cell r="BH2432" t="str">
            <v>IBO</v>
          </cell>
        </row>
        <row r="2433">
          <cell r="K2433">
            <v>0</v>
          </cell>
          <cell r="L2433">
            <v>0</v>
          </cell>
          <cell r="N2433">
            <v>0</v>
          </cell>
          <cell r="O2433">
            <v>0</v>
          </cell>
          <cell r="Q2433">
            <v>0</v>
          </cell>
          <cell r="R2433">
            <v>0</v>
          </cell>
          <cell r="T2433">
            <v>0</v>
          </cell>
          <cell r="U2433">
            <v>0</v>
          </cell>
          <cell r="W2433">
            <v>0</v>
          </cell>
          <cell r="X2433">
            <v>0</v>
          </cell>
          <cell r="Z2433">
            <v>0</v>
          </cell>
          <cell r="AA2433">
            <v>0</v>
          </cell>
          <cell r="AC2433">
            <v>0</v>
          </cell>
          <cell r="AD2433">
            <v>0</v>
          </cell>
          <cell r="AF2433">
            <v>0</v>
          </cell>
          <cell r="AG2433">
            <v>0</v>
          </cell>
          <cell r="AI2433">
            <v>0</v>
          </cell>
          <cell r="AJ2433">
            <v>0</v>
          </cell>
          <cell r="AL2433">
            <v>0</v>
          </cell>
          <cell r="AM2433">
            <v>0</v>
          </cell>
          <cell r="AO2433">
            <v>0</v>
          </cell>
          <cell r="AP2433">
            <v>0</v>
          </cell>
          <cell r="AR2433">
            <v>0</v>
          </cell>
          <cell r="AS2433">
            <v>0</v>
          </cell>
          <cell r="BF2433" t="str">
            <v>4630</v>
          </cell>
          <cell r="BG2433" t="str">
            <v>Z000</v>
          </cell>
          <cell r="BH2433" t="str">
            <v>IBO</v>
          </cell>
        </row>
        <row r="2434">
          <cell r="K2434">
            <v>0</v>
          </cell>
          <cell r="L2434">
            <v>0</v>
          </cell>
          <cell r="N2434">
            <v>0</v>
          </cell>
          <cell r="O2434">
            <v>0</v>
          </cell>
          <cell r="Q2434">
            <v>0</v>
          </cell>
          <cell r="R2434">
            <v>0</v>
          </cell>
          <cell r="T2434">
            <v>5494.72</v>
          </cell>
          <cell r="U2434">
            <v>0</v>
          </cell>
          <cell r="W2434">
            <v>0</v>
          </cell>
          <cell r="X2434">
            <v>0</v>
          </cell>
          <cell r="Z2434">
            <v>0</v>
          </cell>
          <cell r="AA2434">
            <v>0</v>
          </cell>
          <cell r="AC2434">
            <v>0</v>
          </cell>
          <cell r="AD2434">
            <v>0</v>
          </cell>
          <cell r="AF2434">
            <v>0</v>
          </cell>
          <cell r="AG2434">
            <v>0</v>
          </cell>
          <cell r="AI2434">
            <v>0</v>
          </cell>
          <cell r="AJ2434">
            <v>0</v>
          </cell>
          <cell r="AL2434">
            <v>11656.96</v>
          </cell>
          <cell r="AM2434">
            <v>0</v>
          </cell>
          <cell r="AO2434">
            <v>3606.4000000000015</v>
          </cell>
          <cell r="AP2434">
            <v>0</v>
          </cell>
          <cell r="AR2434">
            <v>432.77000000000044</v>
          </cell>
          <cell r="AS2434">
            <v>0</v>
          </cell>
          <cell r="BF2434" t="str">
            <v>4660</v>
          </cell>
          <cell r="BG2434" t="str">
            <v>Z000</v>
          </cell>
          <cell r="BH2434" t="str">
            <v>IBO</v>
          </cell>
        </row>
        <row r="2435">
          <cell r="K2435">
            <v>0</v>
          </cell>
          <cell r="L2435">
            <v>0</v>
          </cell>
          <cell r="N2435">
            <v>0</v>
          </cell>
          <cell r="O2435">
            <v>0</v>
          </cell>
          <cell r="Q2435">
            <v>0</v>
          </cell>
          <cell r="R2435">
            <v>0</v>
          </cell>
          <cell r="T2435">
            <v>0</v>
          </cell>
          <cell r="U2435">
            <v>0</v>
          </cell>
          <cell r="W2435">
            <v>0</v>
          </cell>
          <cell r="X2435">
            <v>0</v>
          </cell>
          <cell r="Z2435">
            <v>0</v>
          </cell>
          <cell r="AA2435">
            <v>0</v>
          </cell>
          <cell r="AC2435">
            <v>0</v>
          </cell>
          <cell r="AD2435">
            <v>0</v>
          </cell>
          <cell r="AF2435">
            <v>0</v>
          </cell>
          <cell r="AG2435">
            <v>0</v>
          </cell>
          <cell r="AI2435">
            <v>0</v>
          </cell>
          <cell r="AJ2435">
            <v>0</v>
          </cell>
          <cell r="AL2435">
            <v>0</v>
          </cell>
          <cell r="AM2435">
            <v>0</v>
          </cell>
          <cell r="AO2435">
            <v>0</v>
          </cell>
          <cell r="AP2435">
            <v>0</v>
          </cell>
          <cell r="AR2435">
            <v>0</v>
          </cell>
          <cell r="AS2435">
            <v>0</v>
          </cell>
          <cell r="BF2435" t="str">
            <v>4670</v>
          </cell>
          <cell r="BG2435" t="str">
            <v>Z000</v>
          </cell>
          <cell r="BH2435" t="str">
            <v>IBO</v>
          </cell>
        </row>
        <row r="2436">
          <cell r="K2436">
            <v>0</v>
          </cell>
          <cell r="L2436">
            <v>0</v>
          </cell>
          <cell r="N2436">
            <v>0</v>
          </cell>
          <cell r="O2436">
            <v>0</v>
          </cell>
          <cell r="Q2436">
            <v>0</v>
          </cell>
          <cell r="R2436">
            <v>0</v>
          </cell>
          <cell r="T2436">
            <v>0</v>
          </cell>
          <cell r="U2436">
            <v>0</v>
          </cell>
          <cell r="W2436">
            <v>0</v>
          </cell>
          <cell r="X2436">
            <v>0</v>
          </cell>
          <cell r="Z2436">
            <v>0</v>
          </cell>
          <cell r="AA2436">
            <v>0</v>
          </cell>
          <cell r="AC2436">
            <v>0</v>
          </cell>
          <cell r="AD2436">
            <v>0</v>
          </cell>
          <cell r="AF2436">
            <v>200</v>
          </cell>
          <cell r="AG2436">
            <v>0</v>
          </cell>
          <cell r="AI2436">
            <v>0</v>
          </cell>
          <cell r="AJ2436">
            <v>0</v>
          </cell>
          <cell r="AL2436">
            <v>0</v>
          </cell>
          <cell r="AM2436">
            <v>0</v>
          </cell>
          <cell r="AO2436">
            <v>0</v>
          </cell>
          <cell r="AP2436">
            <v>0</v>
          </cell>
          <cell r="AR2436">
            <v>0</v>
          </cell>
          <cell r="AS2436">
            <v>0</v>
          </cell>
          <cell r="BF2436" t="str">
            <v>4690</v>
          </cell>
          <cell r="BG2436" t="str">
            <v>Z000</v>
          </cell>
          <cell r="BH2436" t="str">
            <v>IBO</v>
          </cell>
        </row>
        <row r="2437">
          <cell r="K2437">
            <v>0</v>
          </cell>
          <cell r="L2437">
            <v>0</v>
          </cell>
          <cell r="N2437">
            <v>0</v>
          </cell>
          <cell r="O2437">
            <v>0</v>
          </cell>
          <cell r="Q2437">
            <v>0</v>
          </cell>
          <cell r="R2437">
            <v>0</v>
          </cell>
          <cell r="T2437">
            <v>12000</v>
          </cell>
          <cell r="U2437">
            <v>0</v>
          </cell>
          <cell r="W2437">
            <v>3000</v>
          </cell>
          <cell r="X2437">
            <v>0</v>
          </cell>
          <cell r="Z2437">
            <v>0</v>
          </cell>
          <cell r="AA2437">
            <v>0</v>
          </cell>
          <cell r="AC2437">
            <v>0</v>
          </cell>
          <cell r="AD2437">
            <v>0</v>
          </cell>
          <cell r="AF2437">
            <v>0</v>
          </cell>
          <cell r="AG2437">
            <v>0</v>
          </cell>
          <cell r="AI2437">
            <v>0</v>
          </cell>
          <cell r="AJ2437">
            <v>0</v>
          </cell>
          <cell r="AL2437">
            <v>0</v>
          </cell>
          <cell r="AM2437">
            <v>0</v>
          </cell>
          <cell r="AO2437">
            <v>0</v>
          </cell>
          <cell r="AP2437">
            <v>0</v>
          </cell>
          <cell r="AR2437">
            <v>0</v>
          </cell>
          <cell r="AS2437">
            <v>0</v>
          </cell>
          <cell r="BF2437" t="str">
            <v>4700</v>
          </cell>
          <cell r="BG2437" t="str">
            <v>D031</v>
          </cell>
          <cell r="BH2437" t="str">
            <v>IBO</v>
          </cell>
        </row>
        <row r="2438">
          <cell r="K2438">
            <v>0</v>
          </cell>
          <cell r="L2438">
            <v>0</v>
          </cell>
          <cell r="N2438">
            <v>0</v>
          </cell>
          <cell r="O2438">
            <v>0</v>
          </cell>
          <cell r="Q2438">
            <v>0</v>
          </cell>
          <cell r="R2438">
            <v>0</v>
          </cell>
          <cell r="T2438">
            <v>0</v>
          </cell>
          <cell r="U2438">
            <v>0</v>
          </cell>
          <cell r="W2438">
            <v>0</v>
          </cell>
          <cell r="X2438">
            <v>0</v>
          </cell>
          <cell r="Z2438">
            <v>0</v>
          </cell>
          <cell r="AA2438">
            <v>0</v>
          </cell>
          <cell r="AC2438">
            <v>0</v>
          </cell>
          <cell r="AD2438">
            <v>0</v>
          </cell>
          <cell r="AF2438">
            <v>0</v>
          </cell>
          <cell r="AG2438">
            <v>0</v>
          </cell>
          <cell r="AI2438">
            <v>0</v>
          </cell>
          <cell r="AJ2438">
            <v>0</v>
          </cell>
          <cell r="AL2438">
            <v>0</v>
          </cell>
          <cell r="AM2438">
            <v>0</v>
          </cell>
          <cell r="AO2438">
            <v>0</v>
          </cell>
          <cell r="AP2438">
            <v>0</v>
          </cell>
          <cell r="AR2438">
            <v>0</v>
          </cell>
          <cell r="AS2438">
            <v>0</v>
          </cell>
          <cell r="BF2438" t="str">
            <v>4700</v>
          </cell>
          <cell r="BG2438" t="str">
            <v>D032</v>
          </cell>
          <cell r="BH2438" t="str">
            <v>IBO</v>
          </cell>
        </row>
        <row r="2439">
          <cell r="K2439">
            <v>0</v>
          </cell>
          <cell r="L2439">
            <v>0</v>
          </cell>
          <cell r="N2439">
            <v>0</v>
          </cell>
          <cell r="O2439">
            <v>0</v>
          </cell>
          <cell r="Q2439">
            <v>0</v>
          </cell>
          <cell r="R2439">
            <v>0</v>
          </cell>
          <cell r="T2439">
            <v>0</v>
          </cell>
          <cell r="U2439">
            <v>0</v>
          </cell>
          <cell r="W2439">
            <v>0</v>
          </cell>
          <cell r="X2439">
            <v>0</v>
          </cell>
          <cell r="Z2439">
            <v>0</v>
          </cell>
          <cell r="AA2439">
            <v>0</v>
          </cell>
          <cell r="AC2439">
            <v>0</v>
          </cell>
          <cell r="AD2439">
            <v>0</v>
          </cell>
          <cell r="AF2439">
            <v>0</v>
          </cell>
          <cell r="AG2439">
            <v>0</v>
          </cell>
          <cell r="AI2439">
            <v>0</v>
          </cell>
          <cell r="AJ2439">
            <v>0</v>
          </cell>
          <cell r="AL2439">
            <v>0</v>
          </cell>
          <cell r="AM2439">
            <v>0</v>
          </cell>
          <cell r="AO2439">
            <v>0</v>
          </cell>
          <cell r="AP2439">
            <v>0</v>
          </cell>
          <cell r="AR2439">
            <v>0</v>
          </cell>
          <cell r="AS2439">
            <v>0</v>
          </cell>
          <cell r="BF2439" t="str">
            <v>4740</v>
          </cell>
          <cell r="BG2439" t="str">
            <v>D041</v>
          </cell>
          <cell r="BH2439" t="str">
            <v>IBO</v>
          </cell>
        </row>
        <row r="2440">
          <cell r="K2440">
            <v>0</v>
          </cell>
          <cell r="L2440">
            <v>0</v>
          </cell>
          <cell r="N2440">
            <v>0</v>
          </cell>
          <cell r="O2440">
            <v>0</v>
          </cell>
          <cell r="Q2440">
            <v>0</v>
          </cell>
          <cell r="R2440">
            <v>0</v>
          </cell>
          <cell r="T2440">
            <v>0</v>
          </cell>
          <cell r="U2440">
            <v>0</v>
          </cell>
          <cell r="W2440">
            <v>0</v>
          </cell>
          <cell r="X2440">
            <v>0</v>
          </cell>
          <cell r="Z2440">
            <v>0</v>
          </cell>
          <cell r="AA2440">
            <v>0</v>
          </cell>
          <cell r="AC2440">
            <v>0</v>
          </cell>
          <cell r="AD2440">
            <v>0</v>
          </cell>
          <cell r="AF2440">
            <v>0</v>
          </cell>
          <cell r="AG2440">
            <v>0</v>
          </cell>
          <cell r="AI2440">
            <v>0</v>
          </cell>
          <cell r="AJ2440">
            <v>0</v>
          </cell>
          <cell r="AL2440">
            <v>0</v>
          </cell>
          <cell r="AM2440">
            <v>0</v>
          </cell>
          <cell r="AO2440">
            <v>0</v>
          </cell>
          <cell r="AP2440">
            <v>0</v>
          </cell>
          <cell r="AR2440">
            <v>0</v>
          </cell>
          <cell r="AS2440">
            <v>0</v>
          </cell>
          <cell r="BF2440" t="str">
            <v>4740</v>
          </cell>
          <cell r="BG2440" t="str">
            <v>D042</v>
          </cell>
          <cell r="BH2440" t="str">
            <v>IBO</v>
          </cell>
        </row>
        <row r="2441">
          <cell r="K2441">
            <v>0</v>
          </cell>
          <cell r="L2441">
            <v>0</v>
          </cell>
          <cell r="N2441">
            <v>0</v>
          </cell>
          <cell r="O2441">
            <v>0</v>
          </cell>
          <cell r="Q2441">
            <v>0</v>
          </cell>
          <cell r="R2441">
            <v>0</v>
          </cell>
          <cell r="T2441">
            <v>0</v>
          </cell>
          <cell r="U2441">
            <v>0</v>
          </cell>
          <cell r="W2441">
            <v>0</v>
          </cell>
          <cell r="X2441">
            <v>0</v>
          </cell>
          <cell r="Z2441">
            <v>0</v>
          </cell>
          <cell r="AA2441">
            <v>0</v>
          </cell>
          <cell r="AC2441">
            <v>0</v>
          </cell>
          <cell r="AD2441">
            <v>0</v>
          </cell>
          <cell r="AF2441">
            <v>0</v>
          </cell>
          <cell r="AG2441">
            <v>0</v>
          </cell>
          <cell r="AI2441">
            <v>0</v>
          </cell>
          <cell r="AJ2441">
            <v>0</v>
          </cell>
          <cell r="AL2441">
            <v>0</v>
          </cell>
          <cell r="AM2441">
            <v>0</v>
          </cell>
          <cell r="AO2441">
            <v>0</v>
          </cell>
          <cell r="AP2441">
            <v>0</v>
          </cell>
          <cell r="AR2441">
            <v>0</v>
          </cell>
          <cell r="AS2441">
            <v>0</v>
          </cell>
          <cell r="BF2441" t="str">
            <v>4740</v>
          </cell>
          <cell r="BG2441" t="str">
            <v>D043</v>
          </cell>
          <cell r="BH2441" t="str">
            <v>IBO</v>
          </cell>
        </row>
        <row r="2442">
          <cell r="K2442">
            <v>0</v>
          </cell>
          <cell r="L2442">
            <v>0</v>
          </cell>
          <cell r="N2442">
            <v>0</v>
          </cell>
          <cell r="O2442">
            <v>0</v>
          </cell>
          <cell r="Q2442">
            <v>0</v>
          </cell>
          <cell r="R2442">
            <v>0</v>
          </cell>
          <cell r="T2442">
            <v>0</v>
          </cell>
          <cell r="U2442">
            <v>0</v>
          </cell>
          <cell r="W2442">
            <v>0</v>
          </cell>
          <cell r="X2442">
            <v>0</v>
          </cell>
          <cell r="Z2442">
            <v>0</v>
          </cell>
          <cell r="AA2442">
            <v>0</v>
          </cell>
          <cell r="AC2442">
            <v>0</v>
          </cell>
          <cell r="AD2442">
            <v>0</v>
          </cell>
          <cell r="AF2442">
            <v>0</v>
          </cell>
          <cell r="AG2442">
            <v>0</v>
          </cell>
          <cell r="AI2442">
            <v>0</v>
          </cell>
          <cell r="AJ2442">
            <v>0</v>
          </cell>
          <cell r="AL2442">
            <v>0</v>
          </cell>
          <cell r="AM2442">
            <v>0</v>
          </cell>
          <cell r="AO2442">
            <v>0</v>
          </cell>
          <cell r="AP2442">
            <v>0</v>
          </cell>
          <cell r="AR2442">
            <v>0</v>
          </cell>
          <cell r="AS2442">
            <v>0</v>
          </cell>
          <cell r="BF2442" t="str">
            <v>4740</v>
          </cell>
          <cell r="BG2442" t="str">
            <v>D044</v>
          </cell>
          <cell r="BH2442" t="str">
            <v>IBO</v>
          </cell>
        </row>
        <row r="2443">
          <cell r="K2443">
            <v>0</v>
          </cell>
          <cell r="L2443">
            <v>0</v>
          </cell>
          <cell r="N2443">
            <v>0</v>
          </cell>
          <cell r="O2443">
            <v>0</v>
          </cell>
          <cell r="Q2443">
            <v>0</v>
          </cell>
          <cell r="R2443">
            <v>0</v>
          </cell>
          <cell r="T2443">
            <v>0</v>
          </cell>
          <cell r="U2443">
            <v>0</v>
          </cell>
          <cell r="W2443">
            <v>0</v>
          </cell>
          <cell r="X2443">
            <v>0</v>
          </cell>
          <cell r="Z2443">
            <v>0</v>
          </cell>
          <cell r="AA2443">
            <v>0</v>
          </cell>
          <cell r="AC2443">
            <v>0</v>
          </cell>
          <cell r="AD2443">
            <v>0</v>
          </cell>
          <cell r="AF2443">
            <v>0</v>
          </cell>
          <cell r="AG2443">
            <v>0</v>
          </cell>
          <cell r="AI2443">
            <v>0</v>
          </cell>
          <cell r="AJ2443">
            <v>0</v>
          </cell>
          <cell r="AL2443">
            <v>0</v>
          </cell>
          <cell r="AM2443">
            <v>0</v>
          </cell>
          <cell r="AO2443">
            <v>0</v>
          </cell>
          <cell r="AP2443">
            <v>0</v>
          </cell>
          <cell r="AR2443">
            <v>0</v>
          </cell>
          <cell r="AS2443">
            <v>0</v>
          </cell>
          <cell r="BF2443" t="str">
            <v>4740</v>
          </cell>
          <cell r="BG2443" t="str">
            <v>D045</v>
          </cell>
          <cell r="BH2443" t="str">
            <v>IBO</v>
          </cell>
        </row>
        <row r="2444">
          <cell r="K2444">
            <v>0</v>
          </cell>
          <cell r="L2444">
            <v>0</v>
          </cell>
          <cell r="N2444">
            <v>0</v>
          </cell>
          <cell r="O2444">
            <v>0</v>
          </cell>
          <cell r="Q2444">
            <v>0</v>
          </cell>
          <cell r="R2444">
            <v>0</v>
          </cell>
          <cell r="T2444">
            <v>0</v>
          </cell>
          <cell r="U2444">
            <v>0</v>
          </cell>
          <cell r="W2444">
            <v>0</v>
          </cell>
          <cell r="X2444">
            <v>0</v>
          </cell>
          <cell r="Z2444">
            <v>0</v>
          </cell>
          <cell r="AA2444">
            <v>0</v>
          </cell>
          <cell r="AC2444">
            <v>0</v>
          </cell>
          <cell r="AD2444">
            <v>0</v>
          </cell>
          <cell r="AF2444">
            <v>0</v>
          </cell>
          <cell r="AG2444">
            <v>0</v>
          </cell>
          <cell r="AI2444">
            <v>0</v>
          </cell>
          <cell r="AJ2444">
            <v>0</v>
          </cell>
          <cell r="AL2444">
            <v>0</v>
          </cell>
          <cell r="AM2444">
            <v>0</v>
          </cell>
          <cell r="AO2444">
            <v>0</v>
          </cell>
          <cell r="AP2444">
            <v>0</v>
          </cell>
          <cell r="AR2444">
            <v>0</v>
          </cell>
          <cell r="AS2444">
            <v>0</v>
          </cell>
          <cell r="BF2444" t="str">
            <v>4760</v>
          </cell>
          <cell r="BG2444" t="str">
            <v>Z000</v>
          </cell>
          <cell r="BH2444" t="str">
            <v>IBO</v>
          </cell>
        </row>
        <row r="2445">
          <cell r="K2445">
            <v>0</v>
          </cell>
          <cell r="L2445">
            <v>0</v>
          </cell>
          <cell r="N2445">
            <v>0</v>
          </cell>
          <cell r="O2445">
            <v>0</v>
          </cell>
          <cell r="Q2445">
            <v>0</v>
          </cell>
          <cell r="R2445">
            <v>0</v>
          </cell>
          <cell r="T2445">
            <v>0</v>
          </cell>
          <cell r="U2445">
            <v>0</v>
          </cell>
          <cell r="W2445">
            <v>2497.71</v>
          </cell>
          <cell r="X2445">
            <v>0</v>
          </cell>
          <cell r="Z2445">
            <v>0</v>
          </cell>
          <cell r="AA2445">
            <v>0</v>
          </cell>
          <cell r="AC2445">
            <v>0</v>
          </cell>
          <cell r="AD2445">
            <v>0</v>
          </cell>
          <cell r="AF2445">
            <v>0</v>
          </cell>
          <cell r="AG2445">
            <v>0</v>
          </cell>
          <cell r="AI2445">
            <v>0</v>
          </cell>
          <cell r="AJ2445">
            <v>0</v>
          </cell>
          <cell r="AL2445">
            <v>0</v>
          </cell>
          <cell r="AM2445">
            <v>0</v>
          </cell>
          <cell r="AO2445">
            <v>0</v>
          </cell>
          <cell r="AP2445">
            <v>0</v>
          </cell>
          <cell r="AR2445">
            <v>0</v>
          </cell>
          <cell r="AS2445">
            <v>0</v>
          </cell>
          <cell r="BF2445" t="str">
            <v>4800</v>
          </cell>
          <cell r="BG2445" t="str">
            <v>D101</v>
          </cell>
          <cell r="BH2445" t="str">
            <v>IBO</v>
          </cell>
        </row>
        <row r="2446">
          <cell r="K2446">
            <v>0</v>
          </cell>
          <cell r="L2446">
            <v>0</v>
          </cell>
          <cell r="N2446">
            <v>0</v>
          </cell>
          <cell r="O2446">
            <v>0</v>
          </cell>
          <cell r="Q2446">
            <v>0</v>
          </cell>
          <cell r="R2446">
            <v>0</v>
          </cell>
          <cell r="T2446">
            <v>0</v>
          </cell>
          <cell r="U2446">
            <v>0</v>
          </cell>
          <cell r="W2446">
            <v>0</v>
          </cell>
          <cell r="X2446">
            <v>0</v>
          </cell>
          <cell r="Z2446">
            <v>0</v>
          </cell>
          <cell r="AA2446">
            <v>0</v>
          </cell>
          <cell r="AC2446">
            <v>0</v>
          </cell>
          <cell r="AD2446">
            <v>0</v>
          </cell>
          <cell r="AF2446">
            <v>0</v>
          </cell>
          <cell r="AG2446">
            <v>0</v>
          </cell>
          <cell r="AI2446">
            <v>0</v>
          </cell>
          <cell r="AJ2446">
            <v>0</v>
          </cell>
          <cell r="AL2446">
            <v>0</v>
          </cell>
          <cell r="AM2446">
            <v>0</v>
          </cell>
          <cell r="AO2446">
            <v>0</v>
          </cell>
          <cell r="AP2446">
            <v>0</v>
          </cell>
          <cell r="AR2446">
            <v>0</v>
          </cell>
          <cell r="AS2446">
            <v>0</v>
          </cell>
          <cell r="BF2446" t="str">
            <v>4800</v>
          </cell>
          <cell r="BG2446" t="str">
            <v>D102</v>
          </cell>
          <cell r="BH2446" t="str">
            <v>IBO</v>
          </cell>
        </row>
        <row r="2447">
          <cell r="K2447">
            <v>0</v>
          </cell>
          <cell r="L2447">
            <v>0</v>
          </cell>
          <cell r="N2447">
            <v>0</v>
          </cell>
          <cell r="O2447">
            <v>0</v>
          </cell>
          <cell r="Q2447">
            <v>0</v>
          </cell>
          <cell r="R2447">
            <v>0</v>
          </cell>
          <cell r="T2447">
            <v>0</v>
          </cell>
          <cell r="U2447">
            <v>0</v>
          </cell>
          <cell r="W2447">
            <v>0</v>
          </cell>
          <cell r="X2447">
            <v>0</v>
          </cell>
          <cell r="Z2447">
            <v>0</v>
          </cell>
          <cell r="AA2447">
            <v>0</v>
          </cell>
          <cell r="AC2447">
            <v>0</v>
          </cell>
          <cell r="AD2447">
            <v>0</v>
          </cell>
          <cell r="AF2447">
            <v>0</v>
          </cell>
          <cell r="AG2447">
            <v>0</v>
          </cell>
          <cell r="AI2447">
            <v>0</v>
          </cell>
          <cell r="AJ2447">
            <v>0</v>
          </cell>
          <cell r="AL2447">
            <v>0</v>
          </cell>
          <cell r="AM2447">
            <v>0</v>
          </cell>
          <cell r="AO2447">
            <v>0</v>
          </cell>
          <cell r="AP2447">
            <v>0</v>
          </cell>
          <cell r="AR2447">
            <v>0</v>
          </cell>
          <cell r="AS2447">
            <v>0</v>
          </cell>
          <cell r="BF2447" t="str">
            <v>4800</v>
          </cell>
          <cell r="BG2447" t="str">
            <v>D103</v>
          </cell>
          <cell r="BH2447" t="str">
            <v>IBO</v>
          </cell>
        </row>
        <row r="2448">
          <cell r="K2448">
            <v>0</v>
          </cell>
          <cell r="L2448">
            <v>0</v>
          </cell>
          <cell r="N2448">
            <v>0</v>
          </cell>
          <cell r="O2448">
            <v>0</v>
          </cell>
          <cell r="Q2448">
            <v>0</v>
          </cell>
          <cell r="R2448">
            <v>0</v>
          </cell>
          <cell r="T2448">
            <v>0</v>
          </cell>
          <cell r="U2448">
            <v>0</v>
          </cell>
          <cell r="W2448">
            <v>0</v>
          </cell>
          <cell r="X2448">
            <v>0</v>
          </cell>
          <cell r="Z2448">
            <v>0</v>
          </cell>
          <cell r="AA2448">
            <v>0</v>
          </cell>
          <cell r="AC2448">
            <v>0</v>
          </cell>
          <cell r="AD2448">
            <v>0</v>
          </cell>
          <cell r="AF2448">
            <v>0</v>
          </cell>
          <cell r="AG2448">
            <v>0</v>
          </cell>
          <cell r="AI2448">
            <v>0</v>
          </cell>
          <cell r="AJ2448">
            <v>0</v>
          </cell>
          <cell r="AL2448">
            <v>0</v>
          </cell>
          <cell r="AM2448">
            <v>0</v>
          </cell>
          <cell r="AO2448">
            <v>0</v>
          </cell>
          <cell r="AP2448">
            <v>0</v>
          </cell>
          <cell r="AR2448">
            <v>0</v>
          </cell>
          <cell r="AS2448">
            <v>0</v>
          </cell>
          <cell r="BF2448" t="str">
            <v>4800</v>
          </cell>
          <cell r="BG2448">
            <v>0</v>
          </cell>
          <cell r="BH2448" t="str">
            <v>IBO</v>
          </cell>
        </row>
        <row r="2449">
          <cell r="K2449">
            <v>0</v>
          </cell>
          <cell r="L2449">
            <v>0</v>
          </cell>
          <cell r="N2449">
            <v>0</v>
          </cell>
          <cell r="O2449">
            <v>0</v>
          </cell>
          <cell r="Q2449">
            <v>0</v>
          </cell>
          <cell r="R2449">
            <v>0</v>
          </cell>
          <cell r="T2449">
            <v>0</v>
          </cell>
          <cell r="U2449">
            <v>0</v>
          </cell>
          <cell r="W2449">
            <v>0</v>
          </cell>
          <cell r="X2449">
            <v>0</v>
          </cell>
          <cell r="Z2449">
            <v>0</v>
          </cell>
          <cell r="AA2449">
            <v>0</v>
          </cell>
          <cell r="AC2449">
            <v>0</v>
          </cell>
          <cell r="AD2449">
            <v>0</v>
          </cell>
          <cell r="AF2449">
            <v>0</v>
          </cell>
          <cell r="AG2449">
            <v>0</v>
          </cell>
          <cell r="AI2449">
            <v>0</v>
          </cell>
          <cell r="AJ2449">
            <v>0</v>
          </cell>
          <cell r="AL2449">
            <v>0</v>
          </cell>
          <cell r="AM2449">
            <v>0</v>
          </cell>
          <cell r="AO2449">
            <v>0</v>
          </cell>
          <cell r="AP2449">
            <v>0</v>
          </cell>
          <cell r="AR2449">
            <v>0</v>
          </cell>
          <cell r="AS2449">
            <v>0</v>
          </cell>
          <cell r="BF2449" t="str">
            <v>4820</v>
          </cell>
          <cell r="BG2449" t="str">
            <v>Z000</v>
          </cell>
          <cell r="BH2449" t="str">
            <v>IBO</v>
          </cell>
        </row>
        <row r="2450">
          <cell r="K2450">
            <v>0</v>
          </cell>
          <cell r="L2450">
            <v>0</v>
          </cell>
          <cell r="N2450">
            <v>0</v>
          </cell>
          <cell r="O2450">
            <v>0</v>
          </cell>
          <cell r="Q2450">
            <v>0</v>
          </cell>
          <cell r="R2450">
            <v>0</v>
          </cell>
          <cell r="T2450">
            <v>0</v>
          </cell>
          <cell r="U2450">
            <v>0</v>
          </cell>
          <cell r="W2450">
            <v>0</v>
          </cell>
          <cell r="X2450">
            <v>0</v>
          </cell>
          <cell r="Z2450">
            <v>0</v>
          </cell>
          <cell r="AA2450">
            <v>0</v>
          </cell>
          <cell r="AC2450">
            <v>0</v>
          </cell>
          <cell r="AD2450">
            <v>0</v>
          </cell>
          <cell r="AF2450">
            <v>0</v>
          </cell>
          <cell r="AG2450">
            <v>0</v>
          </cell>
          <cell r="AI2450">
            <v>0</v>
          </cell>
          <cell r="AJ2450">
            <v>0</v>
          </cell>
          <cell r="AL2450">
            <v>0</v>
          </cell>
          <cell r="AM2450">
            <v>0</v>
          </cell>
          <cell r="AO2450">
            <v>0</v>
          </cell>
          <cell r="AP2450">
            <v>0</v>
          </cell>
          <cell r="AR2450">
            <v>0</v>
          </cell>
          <cell r="AS2450">
            <v>0</v>
          </cell>
          <cell r="BF2450" t="str">
            <v>4830</v>
          </cell>
          <cell r="BG2450" t="str">
            <v>D111</v>
          </cell>
          <cell r="BH2450" t="str">
            <v>IBO</v>
          </cell>
        </row>
        <row r="2451">
          <cell r="K2451">
            <v>0</v>
          </cell>
          <cell r="L2451">
            <v>0</v>
          </cell>
          <cell r="N2451">
            <v>0</v>
          </cell>
          <cell r="O2451">
            <v>0</v>
          </cell>
          <cell r="Q2451">
            <v>0</v>
          </cell>
          <cell r="R2451">
            <v>0</v>
          </cell>
          <cell r="T2451">
            <v>0</v>
          </cell>
          <cell r="U2451">
            <v>0</v>
          </cell>
          <cell r="W2451">
            <v>0</v>
          </cell>
          <cell r="X2451">
            <v>0</v>
          </cell>
          <cell r="Z2451">
            <v>0</v>
          </cell>
          <cell r="AA2451">
            <v>0</v>
          </cell>
          <cell r="AC2451">
            <v>0</v>
          </cell>
          <cell r="AD2451">
            <v>0</v>
          </cell>
          <cell r="AF2451">
            <v>0</v>
          </cell>
          <cell r="AG2451">
            <v>0</v>
          </cell>
          <cell r="AI2451">
            <v>0</v>
          </cell>
          <cell r="AJ2451">
            <v>0</v>
          </cell>
          <cell r="AL2451">
            <v>0</v>
          </cell>
          <cell r="AM2451">
            <v>0</v>
          </cell>
          <cell r="AO2451">
            <v>0</v>
          </cell>
          <cell r="AP2451">
            <v>0</v>
          </cell>
          <cell r="AR2451">
            <v>0</v>
          </cell>
          <cell r="AS2451">
            <v>0</v>
          </cell>
          <cell r="BF2451" t="str">
            <v>4830</v>
          </cell>
          <cell r="BG2451" t="str">
            <v>D112</v>
          </cell>
          <cell r="BH2451" t="str">
            <v>IBO</v>
          </cell>
        </row>
        <row r="2452">
          <cell r="K2452">
            <v>0</v>
          </cell>
          <cell r="L2452">
            <v>0</v>
          </cell>
          <cell r="N2452">
            <v>0</v>
          </cell>
          <cell r="O2452">
            <v>0</v>
          </cell>
          <cell r="Q2452">
            <v>0</v>
          </cell>
          <cell r="R2452">
            <v>0</v>
          </cell>
          <cell r="T2452">
            <v>0</v>
          </cell>
          <cell r="U2452">
            <v>0</v>
          </cell>
          <cell r="W2452">
            <v>0</v>
          </cell>
          <cell r="X2452">
            <v>0</v>
          </cell>
          <cell r="Z2452">
            <v>0</v>
          </cell>
          <cell r="AA2452">
            <v>0</v>
          </cell>
          <cell r="AC2452">
            <v>0</v>
          </cell>
          <cell r="AD2452">
            <v>0</v>
          </cell>
          <cell r="AF2452">
            <v>0</v>
          </cell>
          <cell r="AG2452">
            <v>0</v>
          </cell>
          <cell r="AI2452">
            <v>0</v>
          </cell>
          <cell r="AJ2452">
            <v>0</v>
          </cell>
          <cell r="AL2452">
            <v>0</v>
          </cell>
          <cell r="AM2452">
            <v>0</v>
          </cell>
          <cell r="AO2452">
            <v>0</v>
          </cell>
          <cell r="AP2452">
            <v>0</v>
          </cell>
          <cell r="AR2452">
            <v>0</v>
          </cell>
          <cell r="AS2452">
            <v>0</v>
          </cell>
          <cell r="BF2452" t="str">
            <v>4840</v>
          </cell>
          <cell r="BG2452" t="str">
            <v>Z000</v>
          </cell>
          <cell r="BH2452" t="str">
            <v>IBO</v>
          </cell>
        </row>
        <row r="2453">
          <cell r="K2453">
            <v>0</v>
          </cell>
          <cell r="L2453">
            <v>0</v>
          </cell>
          <cell r="N2453">
            <v>0</v>
          </cell>
          <cell r="O2453">
            <v>0</v>
          </cell>
          <cell r="Q2453">
            <v>0</v>
          </cell>
          <cell r="R2453">
            <v>0</v>
          </cell>
          <cell r="T2453">
            <v>0</v>
          </cell>
          <cell r="U2453">
            <v>0</v>
          </cell>
          <cell r="W2453">
            <v>0</v>
          </cell>
          <cell r="X2453">
            <v>0</v>
          </cell>
          <cell r="Z2453">
            <v>0</v>
          </cell>
          <cell r="AA2453">
            <v>0</v>
          </cell>
          <cell r="AC2453">
            <v>0</v>
          </cell>
          <cell r="AD2453">
            <v>0</v>
          </cell>
          <cell r="AF2453">
            <v>0</v>
          </cell>
          <cell r="AG2453">
            <v>0</v>
          </cell>
          <cell r="AI2453">
            <v>0</v>
          </cell>
          <cell r="AJ2453">
            <v>0</v>
          </cell>
          <cell r="AL2453">
            <v>0</v>
          </cell>
          <cell r="AM2453">
            <v>0</v>
          </cell>
          <cell r="AO2453">
            <v>0</v>
          </cell>
          <cell r="AP2453">
            <v>0</v>
          </cell>
          <cell r="AR2453">
            <v>0</v>
          </cell>
          <cell r="AS2453">
            <v>0</v>
          </cell>
          <cell r="BF2453" t="str">
            <v>4870</v>
          </cell>
          <cell r="BG2453" t="str">
            <v>Z000</v>
          </cell>
          <cell r="BH2453" t="str">
            <v>IBO</v>
          </cell>
        </row>
        <row r="2454">
          <cell r="K2454">
            <v>0</v>
          </cell>
          <cell r="L2454">
            <v>0</v>
          </cell>
          <cell r="N2454">
            <v>0</v>
          </cell>
          <cell r="O2454">
            <v>0</v>
          </cell>
          <cell r="Q2454">
            <v>0</v>
          </cell>
          <cell r="R2454">
            <v>0</v>
          </cell>
          <cell r="T2454">
            <v>0</v>
          </cell>
          <cell r="U2454">
            <v>0</v>
          </cell>
          <cell r="W2454">
            <v>0</v>
          </cell>
          <cell r="X2454">
            <v>0</v>
          </cell>
          <cell r="Z2454">
            <v>0</v>
          </cell>
          <cell r="AA2454">
            <v>0</v>
          </cell>
          <cell r="AC2454">
            <v>0</v>
          </cell>
          <cell r="AD2454">
            <v>0</v>
          </cell>
          <cell r="AF2454">
            <v>0</v>
          </cell>
          <cell r="AG2454">
            <v>0</v>
          </cell>
          <cell r="AI2454">
            <v>0</v>
          </cell>
          <cell r="AJ2454">
            <v>0</v>
          </cell>
          <cell r="AL2454">
            <v>0</v>
          </cell>
          <cell r="AM2454">
            <v>0</v>
          </cell>
          <cell r="AO2454">
            <v>0</v>
          </cell>
          <cell r="AP2454">
            <v>0</v>
          </cell>
          <cell r="AR2454">
            <v>0</v>
          </cell>
          <cell r="AS2454">
            <v>0</v>
          </cell>
          <cell r="BF2454" t="str">
            <v>4880</v>
          </cell>
          <cell r="BG2454" t="str">
            <v>Z000</v>
          </cell>
          <cell r="BH2454" t="str">
            <v>IBO</v>
          </cell>
        </row>
        <row r="2455">
          <cell r="K2455">
            <v>0</v>
          </cell>
          <cell r="L2455">
            <v>0</v>
          </cell>
          <cell r="N2455">
            <v>0</v>
          </cell>
          <cell r="O2455">
            <v>0</v>
          </cell>
          <cell r="Q2455">
            <v>0</v>
          </cell>
          <cell r="R2455">
            <v>0</v>
          </cell>
          <cell r="T2455">
            <v>0</v>
          </cell>
          <cell r="U2455">
            <v>0</v>
          </cell>
          <cell r="W2455">
            <v>0</v>
          </cell>
          <cell r="X2455">
            <v>0</v>
          </cell>
          <cell r="Z2455">
            <v>0</v>
          </cell>
          <cell r="AA2455">
            <v>0</v>
          </cell>
          <cell r="AC2455">
            <v>0</v>
          </cell>
          <cell r="AD2455">
            <v>0</v>
          </cell>
          <cell r="AF2455">
            <v>0</v>
          </cell>
          <cell r="AG2455">
            <v>0</v>
          </cell>
          <cell r="AI2455">
            <v>0</v>
          </cell>
          <cell r="AJ2455">
            <v>0</v>
          </cell>
          <cell r="AL2455">
            <v>0</v>
          </cell>
          <cell r="AM2455">
            <v>0</v>
          </cell>
          <cell r="AO2455">
            <v>0</v>
          </cell>
          <cell r="AP2455">
            <v>0</v>
          </cell>
          <cell r="AR2455">
            <v>0</v>
          </cell>
          <cell r="AS2455">
            <v>0</v>
          </cell>
          <cell r="BF2455" t="str">
            <v>4890</v>
          </cell>
          <cell r="BG2455" t="str">
            <v>Z000</v>
          </cell>
          <cell r="BH2455" t="str">
            <v>IBO</v>
          </cell>
        </row>
        <row r="2456">
          <cell r="K2456">
            <v>0</v>
          </cell>
          <cell r="L2456">
            <v>0</v>
          </cell>
          <cell r="N2456">
            <v>0</v>
          </cell>
          <cell r="O2456">
            <v>0</v>
          </cell>
          <cell r="Q2456">
            <v>0</v>
          </cell>
          <cell r="R2456">
            <v>0</v>
          </cell>
          <cell r="T2456">
            <v>0</v>
          </cell>
          <cell r="U2456">
            <v>0</v>
          </cell>
          <cell r="W2456">
            <v>0</v>
          </cell>
          <cell r="X2456">
            <v>0</v>
          </cell>
          <cell r="Z2456">
            <v>0</v>
          </cell>
          <cell r="AA2456">
            <v>0</v>
          </cell>
          <cell r="AC2456">
            <v>0</v>
          </cell>
          <cell r="AD2456">
            <v>0</v>
          </cell>
          <cell r="AF2456">
            <v>0</v>
          </cell>
          <cell r="AG2456">
            <v>0</v>
          </cell>
          <cell r="AI2456">
            <v>0</v>
          </cell>
          <cell r="AJ2456">
            <v>0</v>
          </cell>
          <cell r="AL2456">
            <v>0</v>
          </cell>
          <cell r="AM2456">
            <v>0</v>
          </cell>
          <cell r="AO2456">
            <v>0</v>
          </cell>
          <cell r="AP2456">
            <v>0</v>
          </cell>
          <cell r="AR2456">
            <v>0</v>
          </cell>
          <cell r="AS2456">
            <v>0</v>
          </cell>
          <cell r="BF2456" t="str">
            <v>4900</v>
          </cell>
          <cell r="BG2456" t="str">
            <v>Z000</v>
          </cell>
          <cell r="BH2456" t="str">
            <v>IBO</v>
          </cell>
        </row>
        <row r="2457">
          <cell r="K2457">
            <v>0</v>
          </cell>
          <cell r="L2457">
            <v>0</v>
          </cell>
          <cell r="N2457">
            <v>0</v>
          </cell>
          <cell r="O2457">
            <v>0</v>
          </cell>
          <cell r="Q2457">
            <v>0</v>
          </cell>
          <cell r="R2457">
            <v>0</v>
          </cell>
          <cell r="T2457">
            <v>0</v>
          </cell>
          <cell r="U2457">
            <v>0</v>
          </cell>
          <cell r="W2457">
            <v>0</v>
          </cell>
          <cell r="X2457">
            <v>0</v>
          </cell>
          <cell r="Z2457">
            <v>0</v>
          </cell>
          <cell r="AA2457">
            <v>0</v>
          </cell>
          <cell r="AC2457">
            <v>0</v>
          </cell>
          <cell r="AD2457">
            <v>0</v>
          </cell>
          <cell r="AF2457">
            <v>0</v>
          </cell>
          <cell r="AG2457">
            <v>0</v>
          </cell>
          <cell r="AI2457">
            <v>0</v>
          </cell>
          <cell r="AJ2457">
            <v>0</v>
          </cell>
          <cell r="AL2457">
            <v>0</v>
          </cell>
          <cell r="AM2457">
            <v>0</v>
          </cell>
          <cell r="AO2457">
            <v>0</v>
          </cell>
          <cell r="AP2457">
            <v>0</v>
          </cell>
          <cell r="AR2457">
            <v>0</v>
          </cell>
          <cell r="AS2457">
            <v>0</v>
          </cell>
          <cell r="BF2457" t="str">
            <v>4910</v>
          </cell>
          <cell r="BG2457" t="str">
            <v>Z000</v>
          </cell>
          <cell r="BH2457" t="str">
            <v>IBO</v>
          </cell>
        </row>
        <row r="2458">
          <cell r="K2458">
            <v>0</v>
          </cell>
          <cell r="L2458">
            <v>0</v>
          </cell>
          <cell r="N2458">
            <v>0</v>
          </cell>
          <cell r="O2458">
            <v>0</v>
          </cell>
          <cell r="Q2458">
            <v>0</v>
          </cell>
          <cell r="R2458">
            <v>0</v>
          </cell>
          <cell r="T2458">
            <v>0</v>
          </cell>
          <cell r="U2458">
            <v>0</v>
          </cell>
          <cell r="W2458">
            <v>0</v>
          </cell>
          <cell r="X2458">
            <v>0</v>
          </cell>
          <cell r="Z2458">
            <v>0</v>
          </cell>
          <cell r="AA2458">
            <v>0</v>
          </cell>
          <cell r="AC2458">
            <v>0</v>
          </cell>
          <cell r="AD2458">
            <v>0</v>
          </cell>
          <cell r="AF2458">
            <v>0</v>
          </cell>
          <cell r="AG2458">
            <v>0</v>
          </cell>
          <cell r="AI2458">
            <v>0</v>
          </cell>
          <cell r="AJ2458">
            <v>0</v>
          </cell>
          <cell r="AL2458">
            <v>0</v>
          </cell>
          <cell r="AM2458">
            <v>0</v>
          </cell>
          <cell r="AO2458">
            <v>0</v>
          </cell>
          <cell r="AP2458">
            <v>0</v>
          </cell>
          <cell r="AR2458">
            <v>0</v>
          </cell>
          <cell r="AS2458">
            <v>0</v>
          </cell>
          <cell r="BF2458" t="str">
            <v>4940</v>
          </cell>
          <cell r="BG2458" t="str">
            <v>Z000</v>
          </cell>
          <cell r="BH2458" t="str">
            <v>IBO</v>
          </cell>
        </row>
        <row r="2459">
          <cell r="K2459">
            <v>0</v>
          </cell>
          <cell r="L2459">
            <v>0</v>
          </cell>
          <cell r="N2459">
            <v>0</v>
          </cell>
          <cell r="O2459">
            <v>0</v>
          </cell>
          <cell r="Q2459">
            <v>0</v>
          </cell>
          <cell r="R2459">
            <v>0</v>
          </cell>
          <cell r="T2459">
            <v>0</v>
          </cell>
          <cell r="U2459">
            <v>0</v>
          </cell>
          <cell r="W2459">
            <v>0</v>
          </cell>
          <cell r="X2459">
            <v>0</v>
          </cell>
          <cell r="Z2459">
            <v>0</v>
          </cell>
          <cell r="AA2459">
            <v>0</v>
          </cell>
          <cell r="AC2459">
            <v>0</v>
          </cell>
          <cell r="AD2459">
            <v>0</v>
          </cell>
          <cell r="AF2459">
            <v>0</v>
          </cell>
          <cell r="AG2459">
            <v>0</v>
          </cell>
          <cell r="AI2459">
            <v>0</v>
          </cell>
          <cell r="AJ2459">
            <v>0</v>
          </cell>
          <cell r="AL2459">
            <v>0</v>
          </cell>
          <cell r="AM2459">
            <v>0</v>
          </cell>
          <cell r="AO2459">
            <v>0</v>
          </cell>
          <cell r="AP2459">
            <v>0</v>
          </cell>
          <cell r="AR2459">
            <v>0</v>
          </cell>
          <cell r="AS2459">
            <v>0</v>
          </cell>
          <cell r="BF2459" t="str">
            <v>4941</v>
          </cell>
          <cell r="BG2459" t="str">
            <v>Z000</v>
          </cell>
          <cell r="BH2459" t="str">
            <v>IBO</v>
          </cell>
        </row>
        <row r="2460">
          <cell r="K2460">
            <v>0</v>
          </cell>
          <cell r="L2460">
            <v>0</v>
          </cell>
          <cell r="N2460">
            <v>0</v>
          </cell>
          <cell r="O2460">
            <v>0</v>
          </cell>
          <cell r="Q2460">
            <v>0</v>
          </cell>
          <cell r="R2460">
            <v>0</v>
          </cell>
          <cell r="T2460">
            <v>0</v>
          </cell>
          <cell r="U2460">
            <v>0</v>
          </cell>
          <cell r="W2460">
            <v>0</v>
          </cell>
          <cell r="X2460">
            <v>0</v>
          </cell>
          <cell r="Z2460">
            <v>0</v>
          </cell>
          <cell r="AA2460">
            <v>0</v>
          </cell>
          <cell r="AC2460">
            <v>0</v>
          </cell>
          <cell r="AD2460">
            <v>0</v>
          </cell>
          <cell r="AF2460">
            <v>0</v>
          </cell>
          <cell r="AG2460">
            <v>0</v>
          </cell>
          <cell r="AI2460">
            <v>0</v>
          </cell>
          <cell r="AJ2460">
            <v>0</v>
          </cell>
          <cell r="AL2460">
            <v>0</v>
          </cell>
          <cell r="AM2460">
            <v>0</v>
          </cell>
          <cell r="AO2460">
            <v>0</v>
          </cell>
          <cell r="AP2460">
            <v>0</v>
          </cell>
          <cell r="AR2460">
            <v>0</v>
          </cell>
          <cell r="AS2460">
            <v>0</v>
          </cell>
          <cell r="BF2460" t="str">
            <v>4942</v>
          </cell>
          <cell r="BG2460" t="str">
            <v>Z000</v>
          </cell>
          <cell r="BH2460" t="str">
            <v>IBO</v>
          </cell>
        </row>
        <row r="2461">
          <cell r="K2461">
            <v>0</v>
          </cell>
          <cell r="L2461">
            <v>0</v>
          </cell>
          <cell r="N2461">
            <v>0</v>
          </cell>
          <cell r="O2461">
            <v>0</v>
          </cell>
          <cell r="Q2461">
            <v>0</v>
          </cell>
          <cell r="R2461">
            <v>0</v>
          </cell>
          <cell r="T2461">
            <v>0</v>
          </cell>
          <cell r="U2461">
            <v>0</v>
          </cell>
          <cell r="W2461">
            <v>0</v>
          </cell>
          <cell r="X2461">
            <v>0</v>
          </cell>
          <cell r="Z2461">
            <v>0</v>
          </cell>
          <cell r="AA2461">
            <v>0</v>
          </cell>
          <cell r="AC2461">
            <v>0</v>
          </cell>
          <cell r="AD2461">
            <v>0</v>
          </cell>
          <cell r="AF2461">
            <v>0</v>
          </cell>
          <cell r="AG2461">
            <v>0</v>
          </cell>
          <cell r="AI2461">
            <v>0</v>
          </cell>
          <cell r="AJ2461">
            <v>0</v>
          </cell>
          <cell r="AL2461">
            <v>0</v>
          </cell>
          <cell r="AM2461">
            <v>0</v>
          </cell>
          <cell r="AO2461">
            <v>0</v>
          </cell>
          <cell r="AP2461">
            <v>0</v>
          </cell>
          <cell r="AR2461">
            <v>0</v>
          </cell>
          <cell r="AS2461">
            <v>0</v>
          </cell>
          <cell r="BF2461" t="str">
            <v>4950</v>
          </cell>
          <cell r="BG2461" t="str">
            <v>Z000</v>
          </cell>
          <cell r="BH2461" t="str">
            <v>IBO</v>
          </cell>
        </row>
        <row r="2462">
          <cell r="K2462">
            <v>0</v>
          </cell>
          <cell r="L2462">
            <v>0</v>
          </cell>
          <cell r="N2462">
            <v>0</v>
          </cell>
          <cell r="O2462">
            <v>0</v>
          </cell>
          <cell r="Q2462">
            <v>0</v>
          </cell>
          <cell r="R2462">
            <v>0</v>
          </cell>
          <cell r="T2462">
            <v>0</v>
          </cell>
          <cell r="U2462">
            <v>0</v>
          </cell>
          <cell r="W2462">
            <v>0</v>
          </cell>
          <cell r="X2462">
            <v>0</v>
          </cell>
          <cell r="Z2462">
            <v>0</v>
          </cell>
          <cell r="AA2462">
            <v>0</v>
          </cell>
          <cell r="AC2462">
            <v>0</v>
          </cell>
          <cell r="AD2462">
            <v>0</v>
          </cell>
          <cell r="AF2462">
            <v>0</v>
          </cell>
          <cell r="AG2462">
            <v>0</v>
          </cell>
          <cell r="AI2462">
            <v>-100</v>
          </cell>
          <cell r="AJ2462">
            <v>0</v>
          </cell>
          <cell r="AL2462">
            <v>0</v>
          </cell>
          <cell r="AM2462">
            <v>0</v>
          </cell>
          <cell r="AO2462">
            <v>0</v>
          </cell>
          <cell r="AP2462">
            <v>0</v>
          </cell>
          <cell r="AR2462">
            <v>0</v>
          </cell>
          <cell r="AS2462">
            <v>0</v>
          </cell>
          <cell r="BF2462" t="str">
            <v>5100</v>
          </cell>
          <cell r="BG2462" t="str">
            <v>E001</v>
          </cell>
          <cell r="BH2462" t="str">
            <v>IBO</v>
          </cell>
        </row>
        <row r="2463">
          <cell r="K2463">
            <v>0</v>
          </cell>
          <cell r="L2463">
            <v>0</v>
          </cell>
          <cell r="N2463">
            <v>0</v>
          </cell>
          <cell r="O2463">
            <v>0</v>
          </cell>
          <cell r="Q2463">
            <v>0</v>
          </cell>
          <cell r="R2463">
            <v>0</v>
          </cell>
          <cell r="T2463">
            <v>0</v>
          </cell>
          <cell r="U2463">
            <v>0</v>
          </cell>
          <cell r="W2463">
            <v>0</v>
          </cell>
          <cell r="X2463">
            <v>0</v>
          </cell>
          <cell r="Z2463">
            <v>0</v>
          </cell>
          <cell r="AA2463">
            <v>0</v>
          </cell>
          <cell r="AC2463">
            <v>0</v>
          </cell>
          <cell r="AD2463">
            <v>0</v>
          </cell>
          <cell r="AF2463">
            <v>0</v>
          </cell>
          <cell r="AG2463">
            <v>0</v>
          </cell>
          <cell r="AI2463">
            <v>0</v>
          </cell>
          <cell r="AJ2463">
            <v>0</v>
          </cell>
          <cell r="AL2463">
            <v>0</v>
          </cell>
          <cell r="AM2463">
            <v>0</v>
          </cell>
          <cell r="AO2463">
            <v>0</v>
          </cell>
          <cell r="AP2463">
            <v>0</v>
          </cell>
          <cell r="AR2463">
            <v>0</v>
          </cell>
          <cell r="AS2463">
            <v>0</v>
          </cell>
          <cell r="BF2463" t="str">
            <v>5100</v>
          </cell>
          <cell r="BG2463" t="str">
            <v>E002</v>
          </cell>
          <cell r="BH2463" t="str">
            <v>IBO</v>
          </cell>
        </row>
        <row r="2464">
          <cell r="K2464">
            <v>0</v>
          </cell>
          <cell r="L2464">
            <v>0</v>
          </cell>
          <cell r="N2464">
            <v>0</v>
          </cell>
          <cell r="O2464">
            <v>0</v>
          </cell>
          <cell r="Q2464">
            <v>0</v>
          </cell>
          <cell r="R2464">
            <v>0</v>
          </cell>
          <cell r="T2464">
            <v>0</v>
          </cell>
          <cell r="U2464">
            <v>0</v>
          </cell>
          <cell r="W2464">
            <v>0</v>
          </cell>
          <cell r="X2464">
            <v>0</v>
          </cell>
          <cell r="Z2464">
            <v>0</v>
          </cell>
          <cell r="AA2464">
            <v>0</v>
          </cell>
          <cell r="AC2464">
            <v>0</v>
          </cell>
          <cell r="AD2464">
            <v>0</v>
          </cell>
          <cell r="AF2464">
            <v>0</v>
          </cell>
          <cell r="AG2464">
            <v>0</v>
          </cell>
          <cell r="AI2464">
            <v>0</v>
          </cell>
          <cell r="AJ2464">
            <v>0</v>
          </cell>
          <cell r="AL2464">
            <v>0</v>
          </cell>
          <cell r="AM2464">
            <v>0</v>
          </cell>
          <cell r="AO2464">
            <v>0</v>
          </cell>
          <cell r="AP2464">
            <v>0</v>
          </cell>
          <cell r="AR2464">
            <v>0</v>
          </cell>
          <cell r="AS2464">
            <v>0</v>
          </cell>
          <cell r="BF2464" t="str">
            <v>5200</v>
          </cell>
          <cell r="BG2464" t="str">
            <v>Z000</v>
          </cell>
          <cell r="BH2464" t="str">
            <v>IBO</v>
          </cell>
        </row>
        <row r="2465">
          <cell r="K2465">
            <v>0</v>
          </cell>
          <cell r="L2465">
            <v>0</v>
          </cell>
          <cell r="N2465">
            <v>0</v>
          </cell>
          <cell r="O2465">
            <v>0</v>
          </cell>
          <cell r="Q2465">
            <v>0</v>
          </cell>
          <cell r="R2465">
            <v>0</v>
          </cell>
          <cell r="T2465">
            <v>0</v>
          </cell>
          <cell r="U2465">
            <v>0</v>
          </cell>
          <cell r="W2465">
            <v>0</v>
          </cell>
          <cell r="X2465">
            <v>0</v>
          </cell>
          <cell r="Z2465">
            <v>0</v>
          </cell>
          <cell r="AA2465">
            <v>0</v>
          </cell>
          <cell r="AC2465">
            <v>0</v>
          </cell>
          <cell r="AD2465">
            <v>0</v>
          </cell>
          <cell r="AF2465">
            <v>0</v>
          </cell>
          <cell r="AG2465">
            <v>0</v>
          </cell>
          <cell r="AI2465">
            <v>0</v>
          </cell>
          <cell r="AJ2465">
            <v>0</v>
          </cell>
          <cell r="AL2465">
            <v>0</v>
          </cell>
          <cell r="AM2465">
            <v>0</v>
          </cell>
          <cell r="AO2465">
            <v>0</v>
          </cell>
          <cell r="AP2465">
            <v>0</v>
          </cell>
          <cell r="AR2465">
            <v>0</v>
          </cell>
          <cell r="AS2465">
            <v>0</v>
          </cell>
          <cell r="BF2465" t="str">
            <v>5400</v>
          </cell>
          <cell r="BG2465" t="str">
            <v>F001</v>
          </cell>
          <cell r="BH2465" t="str">
            <v>IBO</v>
          </cell>
        </row>
        <row r="2466">
          <cell r="K2466">
            <v>0</v>
          </cell>
          <cell r="L2466">
            <v>0</v>
          </cell>
          <cell r="N2466">
            <v>0</v>
          </cell>
          <cell r="O2466">
            <v>0</v>
          </cell>
          <cell r="Q2466">
            <v>0</v>
          </cell>
          <cell r="R2466">
            <v>0</v>
          </cell>
          <cell r="T2466">
            <v>0</v>
          </cell>
          <cell r="U2466">
            <v>0</v>
          </cell>
          <cell r="W2466">
            <v>0</v>
          </cell>
          <cell r="X2466">
            <v>0</v>
          </cell>
          <cell r="Z2466">
            <v>0</v>
          </cell>
          <cell r="AA2466">
            <v>0</v>
          </cell>
          <cell r="AC2466">
            <v>0</v>
          </cell>
          <cell r="AD2466">
            <v>0</v>
          </cell>
          <cell r="AF2466">
            <v>0</v>
          </cell>
          <cell r="AG2466">
            <v>0</v>
          </cell>
          <cell r="AI2466">
            <v>0</v>
          </cell>
          <cell r="AJ2466">
            <v>0</v>
          </cell>
          <cell r="AL2466">
            <v>0</v>
          </cell>
          <cell r="AM2466">
            <v>0</v>
          </cell>
          <cell r="AO2466">
            <v>0</v>
          </cell>
          <cell r="AP2466">
            <v>0</v>
          </cell>
          <cell r="AR2466">
            <v>0</v>
          </cell>
          <cell r="AS2466">
            <v>0</v>
          </cell>
          <cell r="BF2466" t="str">
            <v>5400</v>
          </cell>
          <cell r="BG2466" t="str">
            <v>F002</v>
          </cell>
          <cell r="BH2466" t="str">
            <v>IBO</v>
          </cell>
        </row>
        <row r="2467">
          <cell r="K2467">
            <v>0</v>
          </cell>
          <cell r="L2467">
            <v>0</v>
          </cell>
          <cell r="N2467">
            <v>0</v>
          </cell>
          <cell r="O2467">
            <v>0</v>
          </cell>
          <cell r="Q2467">
            <v>0</v>
          </cell>
          <cell r="R2467">
            <v>0</v>
          </cell>
          <cell r="T2467">
            <v>0</v>
          </cell>
          <cell r="U2467">
            <v>0</v>
          </cell>
          <cell r="W2467">
            <v>0</v>
          </cell>
          <cell r="X2467">
            <v>0</v>
          </cell>
          <cell r="Z2467">
            <v>0</v>
          </cell>
          <cell r="AA2467">
            <v>0</v>
          </cell>
          <cell r="AC2467">
            <v>0</v>
          </cell>
          <cell r="AD2467">
            <v>0</v>
          </cell>
          <cell r="AF2467">
            <v>0</v>
          </cell>
          <cell r="AG2467">
            <v>0</v>
          </cell>
          <cell r="AI2467">
            <v>0</v>
          </cell>
          <cell r="AJ2467">
            <v>0</v>
          </cell>
          <cell r="AL2467">
            <v>0</v>
          </cell>
          <cell r="AM2467">
            <v>0</v>
          </cell>
          <cell r="AO2467">
            <v>0</v>
          </cell>
          <cell r="AP2467">
            <v>0</v>
          </cell>
          <cell r="AR2467">
            <v>0</v>
          </cell>
          <cell r="AS2467">
            <v>0</v>
          </cell>
          <cell r="BF2467" t="str">
            <v>5400</v>
          </cell>
          <cell r="BG2467" t="str">
            <v>F003</v>
          </cell>
          <cell r="BH2467" t="str">
            <v>IBO</v>
          </cell>
        </row>
        <row r="2468">
          <cell r="K2468">
            <v>0</v>
          </cell>
          <cell r="L2468">
            <v>0</v>
          </cell>
          <cell r="N2468">
            <v>0</v>
          </cell>
          <cell r="O2468">
            <v>0</v>
          </cell>
          <cell r="Q2468">
            <v>0</v>
          </cell>
          <cell r="R2468">
            <v>0</v>
          </cell>
          <cell r="T2468">
            <v>0</v>
          </cell>
          <cell r="U2468">
            <v>0</v>
          </cell>
          <cell r="W2468">
            <v>0</v>
          </cell>
          <cell r="X2468">
            <v>0</v>
          </cell>
          <cell r="Z2468">
            <v>0</v>
          </cell>
          <cell r="AA2468">
            <v>0</v>
          </cell>
          <cell r="AC2468">
            <v>0</v>
          </cell>
          <cell r="AD2468">
            <v>0</v>
          </cell>
          <cell r="AF2468">
            <v>0</v>
          </cell>
          <cell r="AG2468">
            <v>0</v>
          </cell>
          <cell r="AI2468">
            <v>0</v>
          </cell>
          <cell r="AJ2468">
            <v>0</v>
          </cell>
          <cell r="AL2468">
            <v>0</v>
          </cell>
          <cell r="AM2468">
            <v>0</v>
          </cell>
          <cell r="AO2468">
            <v>0</v>
          </cell>
          <cell r="AP2468">
            <v>0</v>
          </cell>
          <cell r="AR2468">
            <v>0</v>
          </cell>
          <cell r="AS2468">
            <v>0</v>
          </cell>
          <cell r="BF2468" t="str">
            <v>5400</v>
          </cell>
          <cell r="BG2468" t="str">
            <v>F004</v>
          </cell>
          <cell r="BH2468" t="str">
            <v>IBO</v>
          </cell>
        </row>
        <row r="2469">
          <cell r="K2469">
            <v>0</v>
          </cell>
          <cell r="L2469">
            <v>0</v>
          </cell>
          <cell r="N2469">
            <v>0</v>
          </cell>
          <cell r="O2469">
            <v>0</v>
          </cell>
          <cell r="Q2469">
            <v>0</v>
          </cell>
          <cell r="R2469">
            <v>0</v>
          </cell>
          <cell r="T2469">
            <v>0</v>
          </cell>
          <cell r="U2469">
            <v>0</v>
          </cell>
          <cell r="W2469">
            <v>0</v>
          </cell>
          <cell r="X2469">
            <v>0</v>
          </cell>
          <cell r="Z2469">
            <v>0</v>
          </cell>
          <cell r="AA2469">
            <v>0</v>
          </cell>
          <cell r="AC2469">
            <v>0</v>
          </cell>
          <cell r="AD2469">
            <v>0</v>
          </cell>
          <cell r="AF2469">
            <v>0</v>
          </cell>
          <cell r="AG2469">
            <v>0</v>
          </cell>
          <cell r="AI2469">
            <v>0</v>
          </cell>
          <cell r="AJ2469">
            <v>0</v>
          </cell>
          <cell r="AL2469">
            <v>0</v>
          </cell>
          <cell r="AM2469">
            <v>0</v>
          </cell>
          <cell r="AO2469">
            <v>0</v>
          </cell>
          <cell r="AP2469">
            <v>0</v>
          </cell>
          <cell r="AR2469">
            <v>0</v>
          </cell>
          <cell r="AS2469">
            <v>0</v>
          </cell>
          <cell r="BF2469" t="str">
            <v>5400</v>
          </cell>
          <cell r="BG2469" t="str">
            <v>F005</v>
          </cell>
          <cell r="BH2469" t="str">
            <v>IBO</v>
          </cell>
        </row>
        <row r="2470">
          <cell r="K2470">
            <v>0</v>
          </cell>
          <cell r="L2470">
            <v>0</v>
          </cell>
          <cell r="N2470">
            <v>0</v>
          </cell>
          <cell r="O2470">
            <v>0</v>
          </cell>
          <cell r="Q2470">
            <v>0</v>
          </cell>
          <cell r="R2470">
            <v>0</v>
          </cell>
          <cell r="T2470">
            <v>0</v>
          </cell>
          <cell r="U2470">
            <v>0</v>
          </cell>
          <cell r="W2470">
            <v>0</v>
          </cell>
          <cell r="X2470">
            <v>0</v>
          </cell>
          <cell r="Z2470">
            <v>0</v>
          </cell>
          <cell r="AA2470">
            <v>0</v>
          </cell>
          <cell r="AC2470">
            <v>0</v>
          </cell>
          <cell r="AD2470">
            <v>0</v>
          </cell>
          <cell r="AF2470">
            <v>0</v>
          </cell>
          <cell r="AG2470">
            <v>0</v>
          </cell>
          <cell r="AI2470">
            <v>0</v>
          </cell>
          <cell r="AJ2470">
            <v>0</v>
          </cell>
          <cell r="AL2470">
            <v>0</v>
          </cell>
          <cell r="AM2470">
            <v>0</v>
          </cell>
          <cell r="AO2470">
            <v>0</v>
          </cell>
          <cell r="AP2470">
            <v>0</v>
          </cell>
          <cell r="AR2470">
            <v>0</v>
          </cell>
          <cell r="AS2470">
            <v>0</v>
          </cell>
          <cell r="BF2470" t="str">
            <v>5400</v>
          </cell>
          <cell r="BG2470" t="str">
            <v>F006</v>
          </cell>
          <cell r="BH2470" t="str">
            <v>IBO</v>
          </cell>
        </row>
        <row r="2471">
          <cell r="K2471">
            <v>0</v>
          </cell>
          <cell r="L2471">
            <v>0</v>
          </cell>
          <cell r="N2471">
            <v>0</v>
          </cell>
          <cell r="O2471">
            <v>0</v>
          </cell>
          <cell r="Q2471">
            <v>0</v>
          </cell>
          <cell r="R2471">
            <v>0</v>
          </cell>
          <cell r="T2471">
            <v>0</v>
          </cell>
          <cell r="U2471">
            <v>0</v>
          </cell>
          <cell r="W2471">
            <v>0</v>
          </cell>
          <cell r="X2471">
            <v>0</v>
          </cell>
          <cell r="Z2471">
            <v>0</v>
          </cell>
          <cell r="AA2471">
            <v>0</v>
          </cell>
          <cell r="AC2471">
            <v>0</v>
          </cell>
          <cell r="AD2471">
            <v>0</v>
          </cell>
          <cell r="AF2471">
            <v>0</v>
          </cell>
          <cell r="AG2471">
            <v>0</v>
          </cell>
          <cell r="AI2471">
            <v>0</v>
          </cell>
          <cell r="AJ2471">
            <v>0</v>
          </cell>
          <cell r="AL2471">
            <v>0</v>
          </cell>
          <cell r="AM2471">
            <v>0</v>
          </cell>
          <cell r="AO2471">
            <v>0</v>
          </cell>
          <cell r="AP2471">
            <v>0</v>
          </cell>
          <cell r="AR2471">
            <v>0</v>
          </cell>
          <cell r="AS2471">
            <v>0</v>
          </cell>
          <cell r="BF2471" t="str">
            <v>5400</v>
          </cell>
          <cell r="BG2471" t="str">
            <v>F007</v>
          </cell>
          <cell r="BH2471" t="str">
            <v>IBO</v>
          </cell>
        </row>
        <row r="2472">
          <cell r="K2472">
            <v>0</v>
          </cell>
          <cell r="L2472">
            <v>0</v>
          </cell>
          <cell r="N2472">
            <v>0</v>
          </cell>
          <cell r="O2472">
            <v>0</v>
          </cell>
          <cell r="Q2472">
            <v>0</v>
          </cell>
          <cell r="R2472">
            <v>0</v>
          </cell>
          <cell r="T2472">
            <v>0</v>
          </cell>
          <cell r="U2472">
            <v>0</v>
          </cell>
          <cell r="W2472">
            <v>0</v>
          </cell>
          <cell r="X2472">
            <v>0</v>
          </cell>
          <cell r="Z2472">
            <v>0</v>
          </cell>
          <cell r="AA2472">
            <v>0</v>
          </cell>
          <cell r="AC2472">
            <v>0</v>
          </cell>
          <cell r="AD2472">
            <v>0</v>
          </cell>
          <cell r="AF2472">
            <v>0</v>
          </cell>
          <cell r="AG2472">
            <v>0</v>
          </cell>
          <cell r="AI2472">
            <v>0</v>
          </cell>
          <cell r="AJ2472">
            <v>0</v>
          </cell>
          <cell r="AL2472">
            <v>0</v>
          </cell>
          <cell r="AM2472">
            <v>0</v>
          </cell>
          <cell r="AO2472">
            <v>0</v>
          </cell>
          <cell r="AP2472">
            <v>0</v>
          </cell>
          <cell r="AR2472">
            <v>0</v>
          </cell>
          <cell r="AS2472">
            <v>0</v>
          </cell>
          <cell r="BF2472" t="str">
            <v>5400</v>
          </cell>
          <cell r="BG2472" t="str">
            <v>F008</v>
          </cell>
          <cell r="BH2472" t="str">
            <v>IBO</v>
          </cell>
        </row>
        <row r="2473">
          <cell r="K2473">
            <v>0</v>
          </cell>
          <cell r="L2473">
            <v>0</v>
          </cell>
          <cell r="N2473">
            <v>0</v>
          </cell>
          <cell r="O2473">
            <v>0</v>
          </cell>
          <cell r="Q2473">
            <v>0</v>
          </cell>
          <cell r="R2473">
            <v>0</v>
          </cell>
          <cell r="T2473">
            <v>0</v>
          </cell>
          <cell r="U2473">
            <v>0</v>
          </cell>
          <cell r="W2473">
            <v>0</v>
          </cell>
          <cell r="X2473">
            <v>0</v>
          </cell>
          <cell r="Z2473">
            <v>0</v>
          </cell>
          <cell r="AA2473">
            <v>0</v>
          </cell>
          <cell r="AC2473">
            <v>0</v>
          </cell>
          <cell r="AD2473">
            <v>0</v>
          </cell>
          <cell r="AF2473">
            <v>0</v>
          </cell>
          <cell r="AG2473">
            <v>0</v>
          </cell>
          <cell r="AI2473">
            <v>0</v>
          </cell>
          <cell r="AJ2473">
            <v>0</v>
          </cell>
          <cell r="AL2473">
            <v>0</v>
          </cell>
          <cell r="AM2473">
            <v>0</v>
          </cell>
          <cell r="AO2473">
            <v>0</v>
          </cell>
          <cell r="AP2473">
            <v>0</v>
          </cell>
          <cell r="AR2473">
            <v>0</v>
          </cell>
          <cell r="AS2473">
            <v>0</v>
          </cell>
          <cell r="BF2473" t="str">
            <v>5400</v>
          </cell>
          <cell r="BG2473" t="str">
            <v>F009</v>
          </cell>
          <cell r="BH2473" t="str">
            <v>IBO</v>
          </cell>
        </row>
        <row r="2474">
          <cell r="K2474">
            <v>0</v>
          </cell>
          <cell r="L2474">
            <v>0</v>
          </cell>
          <cell r="N2474">
            <v>0</v>
          </cell>
          <cell r="O2474">
            <v>0</v>
          </cell>
          <cell r="Q2474">
            <v>0</v>
          </cell>
          <cell r="R2474">
            <v>0</v>
          </cell>
          <cell r="T2474">
            <v>0</v>
          </cell>
          <cell r="U2474">
            <v>0</v>
          </cell>
          <cell r="W2474">
            <v>0</v>
          </cell>
          <cell r="X2474">
            <v>0</v>
          </cell>
          <cell r="Z2474">
            <v>0</v>
          </cell>
          <cell r="AA2474">
            <v>0</v>
          </cell>
          <cell r="AC2474">
            <v>0</v>
          </cell>
          <cell r="AD2474">
            <v>0</v>
          </cell>
          <cell r="AF2474">
            <v>0</v>
          </cell>
          <cell r="AG2474">
            <v>0</v>
          </cell>
          <cell r="AI2474">
            <v>0</v>
          </cell>
          <cell r="AJ2474">
            <v>0</v>
          </cell>
          <cell r="AL2474">
            <v>0</v>
          </cell>
          <cell r="AM2474">
            <v>0</v>
          </cell>
          <cell r="AO2474">
            <v>0</v>
          </cell>
          <cell r="AP2474">
            <v>0</v>
          </cell>
          <cell r="AR2474">
            <v>0</v>
          </cell>
          <cell r="AS2474">
            <v>0</v>
          </cell>
          <cell r="BF2474" t="str">
            <v>5400</v>
          </cell>
          <cell r="BG2474" t="str">
            <v>F010</v>
          </cell>
          <cell r="BH2474" t="str">
            <v>IBO</v>
          </cell>
        </row>
        <row r="2475">
          <cell r="K2475">
            <v>0</v>
          </cell>
          <cell r="L2475">
            <v>0</v>
          </cell>
          <cell r="N2475">
            <v>0</v>
          </cell>
          <cell r="O2475">
            <v>0</v>
          </cell>
          <cell r="Q2475">
            <v>0</v>
          </cell>
          <cell r="R2475">
            <v>0</v>
          </cell>
          <cell r="T2475">
            <v>0</v>
          </cell>
          <cell r="U2475">
            <v>0</v>
          </cell>
          <cell r="W2475">
            <v>0</v>
          </cell>
          <cell r="X2475">
            <v>0</v>
          </cell>
          <cell r="Z2475">
            <v>0</v>
          </cell>
          <cell r="AA2475">
            <v>0</v>
          </cell>
          <cell r="AC2475">
            <v>0</v>
          </cell>
          <cell r="AD2475">
            <v>0</v>
          </cell>
          <cell r="AF2475">
            <v>0</v>
          </cell>
          <cell r="AG2475">
            <v>0</v>
          </cell>
          <cell r="AI2475">
            <v>0</v>
          </cell>
          <cell r="AJ2475">
            <v>0</v>
          </cell>
          <cell r="AL2475">
            <v>0</v>
          </cell>
          <cell r="AM2475">
            <v>0</v>
          </cell>
          <cell r="AO2475">
            <v>0</v>
          </cell>
          <cell r="AP2475">
            <v>0</v>
          </cell>
          <cell r="AR2475">
            <v>0</v>
          </cell>
          <cell r="AS2475">
            <v>0</v>
          </cell>
          <cell r="BF2475" t="str">
            <v>5400</v>
          </cell>
          <cell r="BG2475" t="str">
            <v>F011</v>
          </cell>
          <cell r="BH2475" t="str">
            <v>IBO</v>
          </cell>
        </row>
        <row r="2476">
          <cell r="K2476">
            <v>0</v>
          </cell>
          <cell r="L2476">
            <v>0</v>
          </cell>
          <cell r="N2476">
            <v>0</v>
          </cell>
          <cell r="O2476">
            <v>0</v>
          </cell>
          <cell r="Q2476">
            <v>0</v>
          </cell>
          <cell r="R2476">
            <v>0</v>
          </cell>
          <cell r="T2476">
            <v>0</v>
          </cell>
          <cell r="U2476">
            <v>0</v>
          </cell>
          <cell r="W2476">
            <v>0</v>
          </cell>
          <cell r="X2476">
            <v>0</v>
          </cell>
          <cell r="Z2476">
            <v>0</v>
          </cell>
          <cell r="AA2476">
            <v>0</v>
          </cell>
          <cell r="AC2476">
            <v>0</v>
          </cell>
          <cell r="AD2476">
            <v>0</v>
          </cell>
          <cell r="AF2476">
            <v>0</v>
          </cell>
          <cell r="AG2476">
            <v>0</v>
          </cell>
          <cell r="AI2476">
            <v>0</v>
          </cell>
          <cell r="AJ2476">
            <v>0</v>
          </cell>
          <cell r="AL2476">
            <v>0</v>
          </cell>
          <cell r="AM2476">
            <v>0</v>
          </cell>
          <cell r="AO2476">
            <v>0</v>
          </cell>
          <cell r="AP2476">
            <v>0</v>
          </cell>
          <cell r="AR2476">
            <v>0</v>
          </cell>
          <cell r="AS2476">
            <v>0</v>
          </cell>
          <cell r="BF2476" t="str">
            <v>5400</v>
          </cell>
          <cell r="BG2476" t="str">
            <v>F012</v>
          </cell>
          <cell r="BH2476" t="str">
            <v>IBO</v>
          </cell>
        </row>
        <row r="2477">
          <cell r="K2477">
            <v>0</v>
          </cell>
          <cell r="L2477">
            <v>0</v>
          </cell>
          <cell r="N2477">
            <v>0</v>
          </cell>
          <cell r="O2477">
            <v>0</v>
          </cell>
          <cell r="Q2477">
            <v>0</v>
          </cell>
          <cell r="R2477">
            <v>0</v>
          </cell>
          <cell r="T2477">
            <v>0</v>
          </cell>
          <cell r="U2477">
            <v>0</v>
          </cell>
          <cell r="W2477">
            <v>0</v>
          </cell>
          <cell r="X2477">
            <v>0</v>
          </cell>
          <cell r="Z2477">
            <v>0</v>
          </cell>
          <cell r="AA2477">
            <v>0</v>
          </cell>
          <cell r="AC2477">
            <v>0</v>
          </cell>
          <cell r="AD2477">
            <v>0</v>
          </cell>
          <cell r="AF2477">
            <v>0</v>
          </cell>
          <cell r="AG2477">
            <v>0</v>
          </cell>
          <cell r="AI2477">
            <v>0</v>
          </cell>
          <cell r="AJ2477">
            <v>0</v>
          </cell>
          <cell r="AL2477">
            <v>0</v>
          </cell>
          <cell r="AM2477">
            <v>0</v>
          </cell>
          <cell r="AO2477">
            <v>0</v>
          </cell>
          <cell r="AP2477">
            <v>0</v>
          </cell>
          <cell r="AR2477">
            <v>0</v>
          </cell>
          <cell r="AS2477">
            <v>0</v>
          </cell>
          <cell r="BF2477" t="str">
            <v>5400</v>
          </cell>
          <cell r="BG2477" t="str">
            <v>F013</v>
          </cell>
          <cell r="BH2477" t="str">
            <v>IBO</v>
          </cell>
        </row>
        <row r="2478">
          <cell r="K2478">
            <v>0</v>
          </cell>
          <cell r="L2478">
            <v>0</v>
          </cell>
          <cell r="N2478">
            <v>0</v>
          </cell>
          <cell r="O2478">
            <v>0</v>
          </cell>
          <cell r="Q2478">
            <v>0</v>
          </cell>
          <cell r="R2478">
            <v>0</v>
          </cell>
          <cell r="T2478">
            <v>0</v>
          </cell>
          <cell r="U2478">
            <v>0</v>
          </cell>
          <cell r="W2478">
            <v>0</v>
          </cell>
          <cell r="X2478">
            <v>0</v>
          </cell>
          <cell r="Z2478">
            <v>0</v>
          </cell>
          <cell r="AA2478">
            <v>0</v>
          </cell>
          <cell r="AC2478">
            <v>0</v>
          </cell>
          <cell r="AD2478">
            <v>0</v>
          </cell>
          <cell r="AF2478">
            <v>0</v>
          </cell>
          <cell r="AG2478">
            <v>0</v>
          </cell>
          <cell r="AI2478">
            <v>0</v>
          </cell>
          <cell r="AJ2478">
            <v>0</v>
          </cell>
          <cell r="AL2478">
            <v>0</v>
          </cell>
          <cell r="AM2478">
            <v>0</v>
          </cell>
          <cell r="AO2478">
            <v>0</v>
          </cell>
          <cell r="AP2478">
            <v>0</v>
          </cell>
          <cell r="AR2478">
            <v>0</v>
          </cell>
          <cell r="AS2478">
            <v>0</v>
          </cell>
          <cell r="BF2478" t="str">
            <v>5400</v>
          </cell>
          <cell r="BG2478" t="str">
            <v>F014</v>
          </cell>
          <cell r="BH2478" t="str">
            <v>IBO</v>
          </cell>
        </row>
        <row r="2479">
          <cell r="K2479">
            <v>0</v>
          </cell>
          <cell r="L2479">
            <v>0</v>
          </cell>
          <cell r="N2479">
            <v>0</v>
          </cell>
          <cell r="O2479">
            <v>0</v>
          </cell>
          <cell r="Q2479">
            <v>0</v>
          </cell>
          <cell r="R2479">
            <v>0</v>
          </cell>
          <cell r="T2479">
            <v>0</v>
          </cell>
          <cell r="U2479">
            <v>0</v>
          </cell>
          <cell r="W2479">
            <v>0</v>
          </cell>
          <cell r="X2479">
            <v>0</v>
          </cell>
          <cell r="Z2479">
            <v>0</v>
          </cell>
          <cell r="AA2479">
            <v>0</v>
          </cell>
          <cell r="AC2479">
            <v>0</v>
          </cell>
          <cell r="AD2479">
            <v>0</v>
          </cell>
          <cell r="AF2479">
            <v>0</v>
          </cell>
          <cell r="AG2479">
            <v>0</v>
          </cell>
          <cell r="AI2479">
            <v>0</v>
          </cell>
          <cell r="AJ2479">
            <v>0</v>
          </cell>
          <cell r="AL2479">
            <v>0</v>
          </cell>
          <cell r="AM2479">
            <v>0</v>
          </cell>
          <cell r="AO2479">
            <v>0</v>
          </cell>
          <cell r="AP2479">
            <v>0</v>
          </cell>
          <cell r="AR2479">
            <v>0</v>
          </cell>
          <cell r="AS2479">
            <v>0</v>
          </cell>
          <cell r="BF2479" t="str">
            <v>5400</v>
          </cell>
          <cell r="BG2479" t="str">
            <v>F015</v>
          </cell>
          <cell r="BH2479" t="str">
            <v>IBO</v>
          </cell>
        </row>
        <row r="2480">
          <cell r="K2480">
            <v>0</v>
          </cell>
          <cell r="L2480">
            <v>0</v>
          </cell>
          <cell r="N2480">
            <v>0</v>
          </cell>
          <cell r="O2480">
            <v>0</v>
          </cell>
          <cell r="Q2480">
            <v>0</v>
          </cell>
          <cell r="R2480">
            <v>0</v>
          </cell>
          <cell r="T2480">
            <v>0</v>
          </cell>
          <cell r="U2480">
            <v>0</v>
          </cell>
          <cell r="W2480">
            <v>0</v>
          </cell>
          <cell r="X2480">
            <v>0</v>
          </cell>
          <cell r="Z2480">
            <v>0</v>
          </cell>
          <cell r="AA2480">
            <v>0</v>
          </cell>
          <cell r="AC2480">
            <v>0</v>
          </cell>
          <cell r="AD2480">
            <v>0</v>
          </cell>
          <cell r="AF2480">
            <v>0</v>
          </cell>
          <cell r="AG2480">
            <v>0</v>
          </cell>
          <cell r="AI2480">
            <v>0</v>
          </cell>
          <cell r="AJ2480">
            <v>0</v>
          </cell>
          <cell r="AL2480">
            <v>0</v>
          </cell>
          <cell r="AM2480">
            <v>0</v>
          </cell>
          <cell r="AO2480">
            <v>0</v>
          </cell>
          <cell r="AP2480">
            <v>0</v>
          </cell>
          <cell r="AR2480">
            <v>0</v>
          </cell>
          <cell r="AS2480">
            <v>0</v>
          </cell>
          <cell r="BF2480" t="str">
            <v>5400</v>
          </cell>
          <cell r="BG2480" t="str">
            <v>F016</v>
          </cell>
          <cell r="BH2480" t="str">
            <v>IBO</v>
          </cell>
        </row>
        <row r="2481">
          <cell r="K2481">
            <v>0</v>
          </cell>
          <cell r="L2481">
            <v>0</v>
          </cell>
          <cell r="N2481">
            <v>0</v>
          </cell>
          <cell r="O2481">
            <v>0</v>
          </cell>
          <cell r="Q2481">
            <v>0</v>
          </cell>
          <cell r="R2481">
            <v>0</v>
          </cell>
          <cell r="T2481">
            <v>0</v>
          </cell>
          <cell r="U2481">
            <v>0</v>
          </cell>
          <cell r="W2481">
            <v>0</v>
          </cell>
          <cell r="X2481">
            <v>0</v>
          </cell>
          <cell r="Z2481">
            <v>0</v>
          </cell>
          <cell r="AA2481">
            <v>0</v>
          </cell>
          <cell r="AC2481">
            <v>0</v>
          </cell>
          <cell r="AD2481">
            <v>0</v>
          </cell>
          <cell r="AF2481">
            <v>0</v>
          </cell>
          <cell r="AG2481">
            <v>0</v>
          </cell>
          <cell r="AI2481">
            <v>0</v>
          </cell>
          <cell r="AJ2481">
            <v>0</v>
          </cell>
          <cell r="AL2481">
            <v>0</v>
          </cell>
          <cell r="AM2481">
            <v>0</v>
          </cell>
          <cell r="AO2481">
            <v>0</v>
          </cell>
          <cell r="AP2481">
            <v>0</v>
          </cell>
          <cell r="AR2481">
            <v>0</v>
          </cell>
          <cell r="AS2481">
            <v>0</v>
          </cell>
          <cell r="BF2481" t="str">
            <v>5400</v>
          </cell>
          <cell r="BG2481" t="str">
            <v>F017</v>
          </cell>
          <cell r="BH2481" t="str">
            <v>IBO</v>
          </cell>
        </row>
        <row r="2482">
          <cell r="K2482">
            <v>0</v>
          </cell>
          <cell r="L2482">
            <v>0</v>
          </cell>
          <cell r="N2482">
            <v>0</v>
          </cell>
          <cell r="O2482">
            <v>0</v>
          </cell>
          <cell r="Q2482">
            <v>0</v>
          </cell>
          <cell r="R2482">
            <v>0</v>
          </cell>
          <cell r="T2482">
            <v>0</v>
          </cell>
          <cell r="U2482">
            <v>0</v>
          </cell>
          <cell r="W2482">
            <v>0</v>
          </cell>
          <cell r="X2482">
            <v>0</v>
          </cell>
          <cell r="Z2482">
            <v>0</v>
          </cell>
          <cell r="AA2482">
            <v>0</v>
          </cell>
          <cell r="AC2482">
            <v>0</v>
          </cell>
          <cell r="AD2482">
            <v>0</v>
          </cell>
          <cell r="AF2482">
            <v>0</v>
          </cell>
          <cell r="AG2482">
            <v>0</v>
          </cell>
          <cell r="AI2482">
            <v>0</v>
          </cell>
          <cell r="AJ2482">
            <v>0</v>
          </cell>
          <cell r="AL2482">
            <v>0</v>
          </cell>
          <cell r="AM2482">
            <v>0</v>
          </cell>
          <cell r="AO2482">
            <v>0</v>
          </cell>
          <cell r="AP2482">
            <v>0</v>
          </cell>
          <cell r="AR2482">
            <v>0</v>
          </cell>
          <cell r="AS2482">
            <v>0</v>
          </cell>
          <cell r="BF2482" t="str">
            <v>5400</v>
          </cell>
          <cell r="BG2482" t="str">
            <v>F018</v>
          </cell>
          <cell r="BH2482" t="str">
            <v>IBO</v>
          </cell>
        </row>
        <row r="2483">
          <cell r="K2483">
            <v>0</v>
          </cell>
          <cell r="L2483">
            <v>0</v>
          </cell>
          <cell r="N2483">
            <v>0</v>
          </cell>
          <cell r="O2483">
            <v>0</v>
          </cell>
          <cell r="Q2483">
            <v>0</v>
          </cell>
          <cell r="R2483">
            <v>0</v>
          </cell>
          <cell r="T2483">
            <v>0</v>
          </cell>
          <cell r="U2483">
            <v>0</v>
          </cell>
          <cell r="W2483">
            <v>0</v>
          </cell>
          <cell r="X2483">
            <v>0</v>
          </cell>
          <cell r="Z2483">
            <v>0</v>
          </cell>
          <cell r="AA2483">
            <v>0</v>
          </cell>
          <cell r="AC2483">
            <v>0</v>
          </cell>
          <cell r="AD2483">
            <v>0</v>
          </cell>
          <cell r="AF2483">
            <v>0</v>
          </cell>
          <cell r="AG2483">
            <v>0</v>
          </cell>
          <cell r="AI2483">
            <v>0</v>
          </cell>
          <cell r="AJ2483">
            <v>0</v>
          </cell>
          <cell r="AL2483">
            <v>0</v>
          </cell>
          <cell r="AM2483">
            <v>0</v>
          </cell>
          <cell r="AO2483">
            <v>0</v>
          </cell>
          <cell r="AP2483">
            <v>0</v>
          </cell>
          <cell r="AR2483">
            <v>0</v>
          </cell>
          <cell r="AS2483">
            <v>0</v>
          </cell>
          <cell r="BF2483" t="str">
            <v>5400</v>
          </cell>
          <cell r="BG2483" t="str">
            <v>F019</v>
          </cell>
          <cell r="BH2483" t="str">
            <v>IBO</v>
          </cell>
        </row>
        <row r="2484">
          <cell r="K2484">
            <v>0</v>
          </cell>
          <cell r="L2484">
            <v>0</v>
          </cell>
          <cell r="N2484">
            <v>0</v>
          </cell>
          <cell r="O2484">
            <v>0</v>
          </cell>
          <cell r="Q2484">
            <v>0</v>
          </cell>
          <cell r="R2484">
            <v>0</v>
          </cell>
          <cell r="T2484">
            <v>0</v>
          </cell>
          <cell r="U2484">
            <v>0</v>
          </cell>
          <cell r="W2484">
            <v>0</v>
          </cell>
          <cell r="X2484">
            <v>0</v>
          </cell>
          <cell r="Z2484">
            <v>0</v>
          </cell>
          <cell r="AA2484">
            <v>0</v>
          </cell>
          <cell r="AC2484">
            <v>0</v>
          </cell>
          <cell r="AD2484">
            <v>0</v>
          </cell>
          <cell r="AF2484">
            <v>0</v>
          </cell>
          <cell r="AG2484">
            <v>0</v>
          </cell>
          <cell r="AI2484">
            <v>0</v>
          </cell>
          <cell r="AJ2484">
            <v>0</v>
          </cell>
          <cell r="AL2484">
            <v>0</v>
          </cell>
          <cell r="AM2484">
            <v>0</v>
          </cell>
          <cell r="AO2484">
            <v>0</v>
          </cell>
          <cell r="AP2484">
            <v>0</v>
          </cell>
          <cell r="AR2484">
            <v>0</v>
          </cell>
          <cell r="AS2484">
            <v>0</v>
          </cell>
          <cell r="BF2484" t="str">
            <v>5400</v>
          </cell>
          <cell r="BG2484" t="str">
            <v>F020</v>
          </cell>
          <cell r="BH2484" t="str">
            <v>IBO</v>
          </cell>
        </row>
        <row r="2485">
          <cell r="K2485">
            <v>0</v>
          </cell>
          <cell r="L2485">
            <v>0</v>
          </cell>
          <cell r="N2485">
            <v>0</v>
          </cell>
          <cell r="O2485">
            <v>0</v>
          </cell>
          <cell r="Q2485">
            <v>0</v>
          </cell>
          <cell r="R2485">
            <v>0</v>
          </cell>
          <cell r="T2485">
            <v>0</v>
          </cell>
          <cell r="U2485">
            <v>0</v>
          </cell>
          <cell r="W2485">
            <v>0</v>
          </cell>
          <cell r="X2485">
            <v>0</v>
          </cell>
          <cell r="Z2485">
            <v>0</v>
          </cell>
          <cell r="AA2485">
            <v>0</v>
          </cell>
          <cell r="AC2485">
            <v>0</v>
          </cell>
          <cell r="AD2485">
            <v>0</v>
          </cell>
          <cell r="AF2485">
            <v>0</v>
          </cell>
          <cell r="AG2485">
            <v>0</v>
          </cell>
          <cell r="AI2485">
            <v>0</v>
          </cell>
          <cell r="AJ2485">
            <v>0</v>
          </cell>
          <cell r="AL2485">
            <v>0</v>
          </cell>
          <cell r="AM2485">
            <v>0</v>
          </cell>
          <cell r="AO2485">
            <v>0</v>
          </cell>
          <cell r="AP2485">
            <v>0</v>
          </cell>
          <cell r="AR2485">
            <v>0</v>
          </cell>
          <cell r="AS2485">
            <v>0</v>
          </cell>
          <cell r="BF2485" t="str">
            <v>5400</v>
          </cell>
          <cell r="BG2485" t="str">
            <v>F021</v>
          </cell>
          <cell r="BH2485" t="str">
            <v>IBO</v>
          </cell>
        </row>
        <row r="2486">
          <cell r="K2486">
            <v>0</v>
          </cell>
          <cell r="L2486">
            <v>0</v>
          </cell>
          <cell r="N2486">
            <v>0</v>
          </cell>
          <cell r="O2486">
            <v>0</v>
          </cell>
          <cell r="Q2486">
            <v>0</v>
          </cell>
          <cell r="R2486">
            <v>0</v>
          </cell>
          <cell r="T2486">
            <v>0</v>
          </cell>
          <cell r="U2486">
            <v>0</v>
          </cell>
          <cell r="W2486">
            <v>0</v>
          </cell>
          <cell r="X2486">
            <v>0</v>
          </cell>
          <cell r="Z2486">
            <v>0</v>
          </cell>
          <cell r="AA2486">
            <v>0</v>
          </cell>
          <cell r="AC2486">
            <v>0</v>
          </cell>
          <cell r="AD2486">
            <v>0</v>
          </cell>
          <cell r="AF2486">
            <v>0</v>
          </cell>
          <cell r="AG2486">
            <v>0</v>
          </cell>
          <cell r="AI2486">
            <v>0</v>
          </cell>
          <cell r="AJ2486">
            <v>0</v>
          </cell>
          <cell r="AL2486">
            <v>0</v>
          </cell>
          <cell r="AM2486">
            <v>0</v>
          </cell>
          <cell r="AO2486">
            <v>0</v>
          </cell>
          <cell r="AP2486">
            <v>0</v>
          </cell>
          <cell r="AR2486">
            <v>0</v>
          </cell>
          <cell r="AS2486">
            <v>0</v>
          </cell>
          <cell r="BF2486" t="str">
            <v>5500</v>
          </cell>
          <cell r="BG2486" t="str">
            <v>G001</v>
          </cell>
          <cell r="BH2486" t="str">
            <v>IBO</v>
          </cell>
        </row>
        <row r="2487">
          <cell r="K2487">
            <v>0</v>
          </cell>
          <cell r="L2487">
            <v>0</v>
          </cell>
          <cell r="N2487">
            <v>0</v>
          </cell>
          <cell r="O2487">
            <v>0</v>
          </cell>
          <cell r="Q2487">
            <v>0</v>
          </cell>
          <cell r="R2487">
            <v>0</v>
          </cell>
          <cell r="T2487">
            <v>0</v>
          </cell>
          <cell r="U2487">
            <v>0</v>
          </cell>
          <cell r="W2487">
            <v>0</v>
          </cell>
          <cell r="X2487">
            <v>0</v>
          </cell>
          <cell r="Z2487">
            <v>0</v>
          </cell>
          <cell r="AA2487">
            <v>0</v>
          </cell>
          <cell r="AC2487">
            <v>0</v>
          </cell>
          <cell r="AD2487">
            <v>0</v>
          </cell>
          <cell r="AF2487">
            <v>0</v>
          </cell>
          <cell r="AG2487">
            <v>0</v>
          </cell>
          <cell r="AI2487">
            <v>0</v>
          </cell>
          <cell r="AJ2487">
            <v>0</v>
          </cell>
          <cell r="AL2487">
            <v>0</v>
          </cell>
          <cell r="AM2487">
            <v>0</v>
          </cell>
          <cell r="AO2487">
            <v>0</v>
          </cell>
          <cell r="AP2487">
            <v>0</v>
          </cell>
          <cell r="AR2487">
            <v>0</v>
          </cell>
          <cell r="AS2487">
            <v>0</v>
          </cell>
          <cell r="BF2487" t="str">
            <v>5500</v>
          </cell>
          <cell r="BG2487" t="str">
            <v>G002</v>
          </cell>
          <cell r="BH2487" t="str">
            <v>IBO</v>
          </cell>
        </row>
        <row r="2488">
          <cell r="K2488">
            <v>0</v>
          </cell>
          <cell r="L2488">
            <v>0</v>
          </cell>
          <cell r="N2488">
            <v>0</v>
          </cell>
          <cell r="O2488">
            <v>0</v>
          </cell>
          <cell r="Q2488">
            <v>0</v>
          </cell>
          <cell r="R2488">
            <v>0</v>
          </cell>
          <cell r="T2488">
            <v>0</v>
          </cell>
          <cell r="U2488">
            <v>0</v>
          </cell>
          <cell r="W2488">
            <v>0</v>
          </cell>
          <cell r="X2488">
            <v>0</v>
          </cell>
          <cell r="Z2488">
            <v>0</v>
          </cell>
          <cell r="AA2488">
            <v>0</v>
          </cell>
          <cell r="AC2488">
            <v>0</v>
          </cell>
          <cell r="AD2488">
            <v>0</v>
          </cell>
          <cell r="AF2488">
            <v>0</v>
          </cell>
          <cell r="AG2488">
            <v>0</v>
          </cell>
          <cell r="AI2488">
            <v>0</v>
          </cell>
          <cell r="AJ2488">
            <v>0</v>
          </cell>
          <cell r="AL2488">
            <v>0</v>
          </cell>
          <cell r="AM2488">
            <v>0</v>
          </cell>
          <cell r="AO2488">
            <v>0</v>
          </cell>
          <cell r="AP2488">
            <v>0</v>
          </cell>
          <cell r="AR2488">
            <v>0</v>
          </cell>
          <cell r="AS2488">
            <v>0</v>
          </cell>
          <cell r="BF2488" t="str">
            <v>5500</v>
          </cell>
          <cell r="BG2488" t="str">
            <v>G003</v>
          </cell>
          <cell r="BH2488" t="str">
            <v>IBO</v>
          </cell>
        </row>
        <row r="2489">
          <cell r="K2489">
            <v>0</v>
          </cell>
          <cell r="L2489">
            <v>0</v>
          </cell>
          <cell r="N2489">
            <v>0</v>
          </cell>
          <cell r="O2489">
            <v>0</v>
          </cell>
          <cell r="Q2489">
            <v>0</v>
          </cell>
          <cell r="R2489">
            <v>0</v>
          </cell>
          <cell r="T2489">
            <v>0</v>
          </cell>
          <cell r="U2489">
            <v>0</v>
          </cell>
          <cell r="W2489">
            <v>0</v>
          </cell>
          <cell r="X2489">
            <v>0</v>
          </cell>
          <cell r="Z2489">
            <v>0</v>
          </cell>
          <cell r="AA2489">
            <v>0</v>
          </cell>
          <cell r="AC2489">
            <v>0</v>
          </cell>
          <cell r="AD2489">
            <v>0</v>
          </cell>
          <cell r="AF2489">
            <v>0</v>
          </cell>
          <cell r="AG2489">
            <v>0</v>
          </cell>
          <cell r="AI2489">
            <v>0</v>
          </cell>
          <cell r="AJ2489">
            <v>0</v>
          </cell>
          <cell r="AL2489">
            <v>0</v>
          </cell>
          <cell r="AM2489">
            <v>0</v>
          </cell>
          <cell r="AO2489">
            <v>0</v>
          </cell>
          <cell r="AP2489">
            <v>0</v>
          </cell>
          <cell r="AR2489">
            <v>0</v>
          </cell>
          <cell r="AS2489">
            <v>0</v>
          </cell>
          <cell r="BF2489" t="str">
            <v>5500</v>
          </cell>
          <cell r="BG2489" t="str">
            <v>G004</v>
          </cell>
          <cell r="BH2489" t="str">
            <v>IBO</v>
          </cell>
        </row>
        <row r="2490">
          <cell r="K2490">
            <v>0</v>
          </cell>
          <cell r="L2490">
            <v>0</v>
          </cell>
          <cell r="N2490">
            <v>0</v>
          </cell>
          <cell r="O2490">
            <v>0</v>
          </cell>
          <cell r="Q2490">
            <v>0</v>
          </cell>
          <cell r="R2490">
            <v>0</v>
          </cell>
          <cell r="T2490">
            <v>0</v>
          </cell>
          <cell r="U2490">
            <v>0</v>
          </cell>
          <cell r="W2490">
            <v>0</v>
          </cell>
          <cell r="X2490">
            <v>0</v>
          </cell>
          <cell r="Z2490">
            <v>0</v>
          </cell>
          <cell r="AA2490">
            <v>0</v>
          </cell>
          <cell r="AC2490">
            <v>0</v>
          </cell>
          <cell r="AD2490">
            <v>0</v>
          </cell>
          <cell r="AF2490">
            <v>0</v>
          </cell>
          <cell r="AG2490">
            <v>0</v>
          </cell>
          <cell r="AI2490">
            <v>0</v>
          </cell>
          <cell r="AJ2490">
            <v>0</v>
          </cell>
          <cell r="AL2490">
            <v>0</v>
          </cell>
          <cell r="AM2490">
            <v>0</v>
          </cell>
          <cell r="AO2490">
            <v>0</v>
          </cell>
          <cell r="AP2490">
            <v>0</v>
          </cell>
          <cell r="AR2490">
            <v>0</v>
          </cell>
          <cell r="AS2490">
            <v>0</v>
          </cell>
          <cell r="BF2490" t="str">
            <v>5500</v>
          </cell>
          <cell r="BG2490" t="str">
            <v>G005</v>
          </cell>
          <cell r="BH2490" t="str">
            <v>IBO</v>
          </cell>
        </row>
        <row r="2491">
          <cell r="K2491">
            <v>0</v>
          </cell>
          <cell r="L2491">
            <v>0</v>
          </cell>
          <cell r="N2491">
            <v>0</v>
          </cell>
          <cell r="O2491">
            <v>0</v>
          </cell>
          <cell r="Q2491">
            <v>0</v>
          </cell>
          <cell r="R2491">
            <v>0</v>
          </cell>
          <cell r="T2491">
            <v>0</v>
          </cell>
          <cell r="U2491">
            <v>0</v>
          </cell>
          <cell r="W2491">
            <v>0</v>
          </cell>
          <cell r="X2491">
            <v>0</v>
          </cell>
          <cell r="Z2491">
            <v>0</v>
          </cell>
          <cell r="AA2491">
            <v>0</v>
          </cell>
          <cell r="AC2491">
            <v>0</v>
          </cell>
          <cell r="AD2491">
            <v>0</v>
          </cell>
          <cell r="AF2491">
            <v>0</v>
          </cell>
          <cell r="AG2491">
            <v>0</v>
          </cell>
          <cell r="AI2491">
            <v>0</v>
          </cell>
          <cell r="AJ2491">
            <v>0</v>
          </cell>
          <cell r="AL2491">
            <v>0</v>
          </cell>
          <cell r="AM2491">
            <v>0</v>
          </cell>
          <cell r="AO2491">
            <v>0</v>
          </cell>
          <cell r="AP2491">
            <v>0</v>
          </cell>
          <cell r="AR2491">
            <v>0</v>
          </cell>
          <cell r="AS2491">
            <v>0</v>
          </cell>
          <cell r="BF2491" t="str">
            <v>5500</v>
          </cell>
          <cell r="BG2491" t="str">
            <v>G006</v>
          </cell>
          <cell r="BH2491" t="str">
            <v>IBO</v>
          </cell>
        </row>
        <row r="2492">
          <cell r="K2492">
            <v>0</v>
          </cell>
          <cell r="L2492">
            <v>0</v>
          </cell>
          <cell r="N2492">
            <v>0</v>
          </cell>
          <cell r="O2492">
            <v>0</v>
          </cell>
          <cell r="Q2492">
            <v>0</v>
          </cell>
          <cell r="R2492">
            <v>0</v>
          </cell>
          <cell r="T2492">
            <v>0</v>
          </cell>
          <cell r="U2492">
            <v>0</v>
          </cell>
          <cell r="W2492">
            <v>0</v>
          </cell>
          <cell r="X2492">
            <v>0</v>
          </cell>
          <cell r="Z2492">
            <v>0</v>
          </cell>
          <cell r="AA2492">
            <v>0</v>
          </cell>
          <cell r="AC2492">
            <v>0</v>
          </cell>
          <cell r="AD2492">
            <v>0</v>
          </cell>
          <cell r="AF2492">
            <v>0</v>
          </cell>
          <cell r="AG2492">
            <v>0</v>
          </cell>
          <cell r="AI2492">
            <v>0</v>
          </cell>
          <cell r="AJ2492">
            <v>0</v>
          </cell>
          <cell r="AL2492">
            <v>0</v>
          </cell>
          <cell r="AM2492">
            <v>0</v>
          </cell>
          <cell r="AO2492">
            <v>0</v>
          </cell>
          <cell r="AP2492">
            <v>0</v>
          </cell>
          <cell r="AR2492">
            <v>0</v>
          </cell>
          <cell r="AS2492">
            <v>0</v>
          </cell>
          <cell r="BF2492" t="str">
            <v>5500</v>
          </cell>
          <cell r="BG2492" t="str">
            <v>G007</v>
          </cell>
          <cell r="BH2492" t="str">
            <v>IBO</v>
          </cell>
        </row>
        <row r="2493">
          <cell r="K2493">
            <v>0</v>
          </cell>
          <cell r="L2493">
            <v>0</v>
          </cell>
          <cell r="N2493">
            <v>0</v>
          </cell>
          <cell r="O2493">
            <v>0</v>
          </cell>
          <cell r="Q2493">
            <v>0</v>
          </cell>
          <cell r="R2493">
            <v>0</v>
          </cell>
          <cell r="T2493">
            <v>0</v>
          </cell>
          <cell r="U2493">
            <v>0</v>
          </cell>
          <cell r="W2493">
            <v>0</v>
          </cell>
          <cell r="X2493">
            <v>0</v>
          </cell>
          <cell r="Z2493">
            <v>0</v>
          </cell>
          <cell r="AA2493">
            <v>0</v>
          </cell>
          <cell r="AC2493">
            <v>0</v>
          </cell>
          <cell r="AD2493">
            <v>0</v>
          </cell>
          <cell r="AF2493">
            <v>0</v>
          </cell>
          <cell r="AG2493">
            <v>0</v>
          </cell>
          <cell r="AI2493">
            <v>0</v>
          </cell>
          <cell r="AJ2493">
            <v>0</v>
          </cell>
          <cell r="AL2493">
            <v>0</v>
          </cell>
          <cell r="AM2493">
            <v>0</v>
          </cell>
          <cell r="AO2493">
            <v>0</v>
          </cell>
          <cell r="AP2493">
            <v>0</v>
          </cell>
          <cell r="AR2493">
            <v>0</v>
          </cell>
          <cell r="AS2493">
            <v>0</v>
          </cell>
          <cell r="BF2493" t="str">
            <v>5500</v>
          </cell>
          <cell r="BG2493" t="str">
            <v>G008</v>
          </cell>
          <cell r="BH2493" t="str">
            <v>IBO</v>
          </cell>
        </row>
        <row r="2494">
          <cell r="K2494">
            <v>0</v>
          </cell>
          <cell r="L2494">
            <v>0</v>
          </cell>
          <cell r="N2494">
            <v>0</v>
          </cell>
          <cell r="O2494">
            <v>0</v>
          </cell>
          <cell r="Q2494">
            <v>0</v>
          </cell>
          <cell r="R2494">
            <v>0</v>
          </cell>
          <cell r="T2494">
            <v>0</v>
          </cell>
          <cell r="U2494">
            <v>0</v>
          </cell>
          <cell r="W2494">
            <v>0</v>
          </cell>
          <cell r="X2494">
            <v>0</v>
          </cell>
          <cell r="Z2494">
            <v>0</v>
          </cell>
          <cell r="AA2494">
            <v>0</v>
          </cell>
          <cell r="AC2494">
            <v>0</v>
          </cell>
          <cell r="AD2494">
            <v>0</v>
          </cell>
          <cell r="AF2494">
            <v>0</v>
          </cell>
          <cell r="AG2494">
            <v>0</v>
          </cell>
          <cell r="AI2494">
            <v>0</v>
          </cell>
          <cell r="AJ2494">
            <v>0</v>
          </cell>
          <cell r="AL2494">
            <v>0</v>
          </cell>
          <cell r="AM2494">
            <v>0</v>
          </cell>
          <cell r="AO2494">
            <v>0</v>
          </cell>
          <cell r="AP2494">
            <v>0</v>
          </cell>
          <cell r="AR2494">
            <v>0</v>
          </cell>
          <cell r="AS2494">
            <v>0</v>
          </cell>
          <cell r="BF2494" t="str">
            <v>5500</v>
          </cell>
          <cell r="BG2494" t="str">
            <v>G009</v>
          </cell>
          <cell r="BH2494" t="str">
            <v>IBO</v>
          </cell>
        </row>
        <row r="2495">
          <cell r="K2495">
            <v>0</v>
          </cell>
          <cell r="L2495">
            <v>0</v>
          </cell>
          <cell r="N2495">
            <v>0</v>
          </cell>
          <cell r="O2495">
            <v>0</v>
          </cell>
          <cell r="Q2495">
            <v>0</v>
          </cell>
          <cell r="R2495">
            <v>0</v>
          </cell>
          <cell r="T2495">
            <v>0</v>
          </cell>
          <cell r="U2495">
            <v>0</v>
          </cell>
          <cell r="W2495">
            <v>0</v>
          </cell>
          <cell r="X2495">
            <v>0</v>
          </cell>
          <cell r="Z2495">
            <v>0</v>
          </cell>
          <cell r="AA2495">
            <v>0</v>
          </cell>
          <cell r="AC2495">
            <v>0</v>
          </cell>
          <cell r="AD2495">
            <v>0</v>
          </cell>
          <cell r="AF2495">
            <v>0</v>
          </cell>
          <cell r="AG2495">
            <v>0</v>
          </cell>
          <cell r="AI2495">
            <v>0</v>
          </cell>
          <cell r="AJ2495">
            <v>0</v>
          </cell>
          <cell r="AL2495">
            <v>0</v>
          </cell>
          <cell r="AM2495">
            <v>0</v>
          </cell>
          <cell r="AO2495">
            <v>0</v>
          </cell>
          <cell r="AP2495">
            <v>0</v>
          </cell>
          <cell r="AR2495">
            <v>0</v>
          </cell>
          <cell r="AS2495">
            <v>0</v>
          </cell>
          <cell r="BF2495" t="str">
            <v>5500</v>
          </cell>
          <cell r="BG2495" t="str">
            <v>G010</v>
          </cell>
          <cell r="BH2495" t="str">
            <v>IBO</v>
          </cell>
        </row>
        <row r="2496">
          <cell r="K2496">
            <v>0</v>
          </cell>
          <cell r="L2496">
            <v>0</v>
          </cell>
          <cell r="N2496">
            <v>0</v>
          </cell>
          <cell r="O2496">
            <v>0</v>
          </cell>
          <cell r="Q2496">
            <v>0</v>
          </cell>
          <cell r="R2496">
            <v>0</v>
          </cell>
          <cell r="T2496">
            <v>0</v>
          </cell>
          <cell r="U2496">
            <v>0</v>
          </cell>
          <cell r="W2496">
            <v>0</v>
          </cell>
          <cell r="X2496">
            <v>0</v>
          </cell>
          <cell r="Z2496">
            <v>0</v>
          </cell>
          <cell r="AA2496">
            <v>0</v>
          </cell>
          <cell r="AC2496">
            <v>0</v>
          </cell>
          <cell r="AD2496">
            <v>0</v>
          </cell>
          <cell r="AF2496">
            <v>0</v>
          </cell>
          <cell r="AG2496">
            <v>0</v>
          </cell>
          <cell r="AI2496">
            <v>0</v>
          </cell>
          <cell r="AJ2496">
            <v>0</v>
          </cell>
          <cell r="AL2496">
            <v>0</v>
          </cell>
          <cell r="AM2496">
            <v>0</v>
          </cell>
          <cell r="AO2496">
            <v>0</v>
          </cell>
          <cell r="AP2496">
            <v>0</v>
          </cell>
          <cell r="AR2496">
            <v>0</v>
          </cell>
          <cell r="AS2496">
            <v>0</v>
          </cell>
          <cell r="BF2496" t="str">
            <v>5500</v>
          </cell>
          <cell r="BG2496" t="str">
            <v>G011</v>
          </cell>
          <cell r="BH2496" t="str">
            <v>IBO</v>
          </cell>
        </row>
        <row r="2497">
          <cell r="K2497">
            <v>0</v>
          </cell>
          <cell r="L2497">
            <v>0</v>
          </cell>
          <cell r="N2497">
            <v>0</v>
          </cell>
          <cell r="O2497">
            <v>0</v>
          </cell>
          <cell r="Q2497">
            <v>0</v>
          </cell>
          <cell r="R2497">
            <v>0</v>
          </cell>
          <cell r="T2497">
            <v>0</v>
          </cell>
          <cell r="U2497">
            <v>0</v>
          </cell>
          <cell r="W2497">
            <v>0</v>
          </cell>
          <cell r="X2497">
            <v>0</v>
          </cell>
          <cell r="Z2497">
            <v>0</v>
          </cell>
          <cell r="AA2497">
            <v>0</v>
          </cell>
          <cell r="AC2497">
            <v>0</v>
          </cell>
          <cell r="AD2497">
            <v>0</v>
          </cell>
          <cell r="AF2497">
            <v>0</v>
          </cell>
          <cell r="AG2497">
            <v>0</v>
          </cell>
          <cell r="AI2497">
            <v>0</v>
          </cell>
          <cell r="AJ2497">
            <v>0</v>
          </cell>
          <cell r="AL2497">
            <v>0</v>
          </cell>
          <cell r="AM2497">
            <v>0</v>
          </cell>
          <cell r="AO2497">
            <v>0</v>
          </cell>
          <cell r="AP2497">
            <v>0</v>
          </cell>
          <cell r="AR2497">
            <v>0</v>
          </cell>
          <cell r="AS2497">
            <v>0</v>
          </cell>
          <cell r="BF2497" t="str">
            <v>5500</v>
          </cell>
          <cell r="BG2497" t="str">
            <v>G012</v>
          </cell>
          <cell r="BH2497" t="str">
            <v>IBO</v>
          </cell>
        </row>
        <row r="2498">
          <cell r="K2498">
            <v>0</v>
          </cell>
          <cell r="L2498">
            <v>0</v>
          </cell>
          <cell r="N2498">
            <v>0</v>
          </cell>
          <cell r="O2498">
            <v>0</v>
          </cell>
          <cell r="Q2498">
            <v>0</v>
          </cell>
          <cell r="R2498">
            <v>0</v>
          </cell>
          <cell r="T2498">
            <v>0</v>
          </cell>
          <cell r="U2498">
            <v>0</v>
          </cell>
          <cell r="W2498">
            <v>0</v>
          </cell>
          <cell r="X2498">
            <v>0</v>
          </cell>
          <cell r="Z2498">
            <v>0</v>
          </cell>
          <cell r="AA2498">
            <v>0</v>
          </cell>
          <cell r="AC2498">
            <v>0</v>
          </cell>
          <cell r="AD2498">
            <v>0</v>
          </cell>
          <cell r="AF2498">
            <v>0</v>
          </cell>
          <cell r="AG2498">
            <v>0</v>
          </cell>
          <cell r="AI2498">
            <v>0</v>
          </cell>
          <cell r="AJ2498">
            <v>0</v>
          </cell>
          <cell r="AL2498">
            <v>0</v>
          </cell>
          <cell r="AM2498">
            <v>0</v>
          </cell>
          <cell r="AO2498">
            <v>0</v>
          </cell>
          <cell r="AP2498">
            <v>0</v>
          </cell>
          <cell r="AR2498">
            <v>0</v>
          </cell>
          <cell r="AS2498">
            <v>0</v>
          </cell>
          <cell r="BF2498" t="str">
            <v>5600</v>
          </cell>
          <cell r="BG2498" t="str">
            <v>H001</v>
          </cell>
          <cell r="BH2498" t="str">
            <v>IBO</v>
          </cell>
        </row>
        <row r="2499">
          <cell r="K2499">
            <v>0</v>
          </cell>
          <cell r="L2499">
            <v>0</v>
          </cell>
          <cell r="N2499">
            <v>0</v>
          </cell>
          <cell r="O2499">
            <v>0</v>
          </cell>
          <cell r="Q2499">
            <v>0</v>
          </cell>
          <cell r="R2499">
            <v>0</v>
          </cell>
          <cell r="T2499">
            <v>0</v>
          </cell>
          <cell r="U2499">
            <v>0</v>
          </cell>
          <cell r="W2499">
            <v>0</v>
          </cell>
          <cell r="X2499">
            <v>0</v>
          </cell>
          <cell r="Z2499">
            <v>0</v>
          </cell>
          <cell r="AA2499">
            <v>0</v>
          </cell>
          <cell r="AC2499">
            <v>0</v>
          </cell>
          <cell r="AD2499">
            <v>0</v>
          </cell>
          <cell r="AF2499">
            <v>0</v>
          </cell>
          <cell r="AG2499">
            <v>0</v>
          </cell>
          <cell r="AI2499">
            <v>0</v>
          </cell>
          <cell r="AJ2499">
            <v>0</v>
          </cell>
          <cell r="AL2499">
            <v>0</v>
          </cell>
          <cell r="AM2499">
            <v>0</v>
          </cell>
          <cell r="AO2499">
            <v>0</v>
          </cell>
          <cell r="AP2499">
            <v>0</v>
          </cell>
          <cell r="AR2499">
            <v>0</v>
          </cell>
          <cell r="AS2499">
            <v>0</v>
          </cell>
          <cell r="BF2499" t="str">
            <v>5600</v>
          </cell>
          <cell r="BG2499" t="str">
            <v>H002</v>
          </cell>
          <cell r="BH2499" t="str">
            <v>IBO</v>
          </cell>
        </row>
        <row r="2500">
          <cell r="K2500">
            <v>0</v>
          </cell>
          <cell r="L2500">
            <v>0</v>
          </cell>
          <cell r="N2500">
            <v>0</v>
          </cell>
          <cell r="O2500">
            <v>0</v>
          </cell>
          <cell r="Q2500">
            <v>0</v>
          </cell>
          <cell r="R2500">
            <v>0</v>
          </cell>
          <cell r="T2500">
            <v>0</v>
          </cell>
          <cell r="U2500">
            <v>0</v>
          </cell>
          <cell r="W2500">
            <v>0</v>
          </cell>
          <cell r="X2500">
            <v>0</v>
          </cell>
          <cell r="Z2500">
            <v>0</v>
          </cell>
          <cell r="AA2500">
            <v>0</v>
          </cell>
          <cell r="AC2500">
            <v>0</v>
          </cell>
          <cell r="AD2500">
            <v>0</v>
          </cell>
          <cell r="AF2500">
            <v>0</v>
          </cell>
          <cell r="AG2500">
            <v>0</v>
          </cell>
          <cell r="AI2500">
            <v>0</v>
          </cell>
          <cell r="AJ2500">
            <v>0</v>
          </cell>
          <cell r="AL2500">
            <v>0</v>
          </cell>
          <cell r="AM2500">
            <v>0</v>
          </cell>
          <cell r="AO2500">
            <v>0</v>
          </cell>
          <cell r="AP2500">
            <v>0</v>
          </cell>
          <cell r="AR2500">
            <v>0</v>
          </cell>
          <cell r="AS2500">
            <v>0</v>
          </cell>
          <cell r="BF2500" t="str">
            <v>5600</v>
          </cell>
          <cell r="BG2500" t="str">
            <v>H003</v>
          </cell>
          <cell r="BH2500" t="str">
            <v>IBO</v>
          </cell>
        </row>
        <row r="2501">
          <cell r="K2501">
            <v>0</v>
          </cell>
          <cell r="L2501">
            <v>0</v>
          </cell>
          <cell r="N2501">
            <v>0</v>
          </cell>
          <cell r="O2501">
            <v>0</v>
          </cell>
          <cell r="Q2501">
            <v>0</v>
          </cell>
          <cell r="R2501">
            <v>0</v>
          </cell>
          <cell r="T2501">
            <v>0</v>
          </cell>
          <cell r="U2501">
            <v>0</v>
          </cell>
          <cell r="W2501">
            <v>0</v>
          </cell>
          <cell r="X2501">
            <v>0</v>
          </cell>
          <cell r="Z2501">
            <v>0</v>
          </cell>
          <cell r="AA2501">
            <v>0</v>
          </cell>
          <cell r="AC2501">
            <v>0</v>
          </cell>
          <cell r="AD2501">
            <v>0</v>
          </cell>
          <cell r="AF2501">
            <v>0</v>
          </cell>
          <cell r="AG2501">
            <v>0</v>
          </cell>
          <cell r="AI2501">
            <v>0</v>
          </cell>
          <cell r="AJ2501">
            <v>0</v>
          </cell>
          <cell r="AL2501">
            <v>0</v>
          </cell>
          <cell r="AM2501">
            <v>0</v>
          </cell>
          <cell r="AO2501">
            <v>0</v>
          </cell>
          <cell r="AP2501">
            <v>0</v>
          </cell>
          <cell r="AR2501">
            <v>0</v>
          </cell>
          <cell r="AS2501">
            <v>0</v>
          </cell>
          <cell r="BF2501" t="str">
            <v>5600</v>
          </cell>
          <cell r="BG2501" t="str">
            <v>H004</v>
          </cell>
          <cell r="BH2501" t="str">
            <v>IBO</v>
          </cell>
        </row>
        <row r="2502">
          <cell r="K2502">
            <v>0</v>
          </cell>
          <cell r="L2502">
            <v>0</v>
          </cell>
          <cell r="N2502">
            <v>0</v>
          </cell>
          <cell r="O2502">
            <v>0</v>
          </cell>
          <cell r="Q2502">
            <v>0</v>
          </cell>
          <cell r="R2502">
            <v>0</v>
          </cell>
          <cell r="T2502">
            <v>0</v>
          </cell>
          <cell r="U2502">
            <v>0</v>
          </cell>
          <cell r="W2502">
            <v>0</v>
          </cell>
          <cell r="X2502">
            <v>0</v>
          </cell>
          <cell r="Z2502">
            <v>0</v>
          </cell>
          <cell r="AA2502">
            <v>0</v>
          </cell>
          <cell r="AC2502">
            <v>0</v>
          </cell>
          <cell r="AD2502">
            <v>0</v>
          </cell>
          <cell r="AF2502">
            <v>0</v>
          </cell>
          <cell r="AG2502">
            <v>0</v>
          </cell>
          <cell r="AI2502">
            <v>0</v>
          </cell>
          <cell r="AJ2502">
            <v>0</v>
          </cell>
          <cell r="AL2502">
            <v>0</v>
          </cell>
          <cell r="AM2502">
            <v>0</v>
          </cell>
          <cell r="AO2502">
            <v>0</v>
          </cell>
          <cell r="AP2502">
            <v>0</v>
          </cell>
          <cell r="AR2502">
            <v>0</v>
          </cell>
          <cell r="AS2502">
            <v>0</v>
          </cell>
          <cell r="BF2502" t="str">
            <v>5600</v>
          </cell>
          <cell r="BG2502" t="str">
            <v>H005</v>
          </cell>
          <cell r="BH2502" t="str">
            <v>IBO</v>
          </cell>
        </row>
        <row r="2503">
          <cell r="K2503">
            <v>0</v>
          </cell>
          <cell r="L2503">
            <v>0</v>
          </cell>
          <cell r="N2503">
            <v>0</v>
          </cell>
          <cell r="O2503">
            <v>0</v>
          </cell>
          <cell r="Q2503">
            <v>0</v>
          </cell>
          <cell r="R2503">
            <v>0</v>
          </cell>
          <cell r="T2503">
            <v>0</v>
          </cell>
          <cell r="U2503">
            <v>0</v>
          </cell>
          <cell r="W2503">
            <v>0</v>
          </cell>
          <cell r="X2503">
            <v>0</v>
          </cell>
          <cell r="Z2503">
            <v>0</v>
          </cell>
          <cell r="AA2503">
            <v>0</v>
          </cell>
          <cell r="AC2503">
            <v>0</v>
          </cell>
          <cell r="AD2503">
            <v>0</v>
          </cell>
          <cell r="AF2503">
            <v>0</v>
          </cell>
          <cell r="AG2503">
            <v>0</v>
          </cell>
          <cell r="AI2503">
            <v>0</v>
          </cell>
          <cell r="AJ2503">
            <v>0</v>
          </cell>
          <cell r="AL2503">
            <v>0</v>
          </cell>
          <cell r="AM2503">
            <v>0</v>
          </cell>
          <cell r="AO2503">
            <v>0</v>
          </cell>
          <cell r="AP2503">
            <v>0</v>
          </cell>
          <cell r="AR2503">
            <v>0</v>
          </cell>
          <cell r="AS2503">
            <v>0</v>
          </cell>
          <cell r="BF2503" t="str">
            <v>5600</v>
          </cell>
          <cell r="BG2503" t="str">
            <v>H006</v>
          </cell>
          <cell r="BH2503" t="str">
            <v>IBO</v>
          </cell>
        </row>
        <row r="2504">
          <cell r="K2504">
            <v>0</v>
          </cell>
          <cell r="L2504">
            <v>0</v>
          </cell>
          <cell r="N2504">
            <v>0</v>
          </cell>
          <cell r="O2504">
            <v>0</v>
          </cell>
          <cell r="Q2504">
            <v>0</v>
          </cell>
          <cell r="R2504">
            <v>0</v>
          </cell>
          <cell r="T2504">
            <v>0</v>
          </cell>
          <cell r="U2504">
            <v>0</v>
          </cell>
          <cell r="W2504">
            <v>0</v>
          </cell>
          <cell r="X2504">
            <v>0</v>
          </cell>
          <cell r="Z2504">
            <v>0</v>
          </cell>
          <cell r="AA2504">
            <v>0</v>
          </cell>
          <cell r="AC2504">
            <v>0</v>
          </cell>
          <cell r="AD2504">
            <v>0</v>
          </cell>
          <cell r="AF2504">
            <v>0</v>
          </cell>
          <cell r="AG2504">
            <v>0</v>
          </cell>
          <cell r="AI2504">
            <v>0</v>
          </cell>
          <cell r="AJ2504">
            <v>0</v>
          </cell>
          <cell r="AL2504">
            <v>0</v>
          </cell>
          <cell r="AM2504">
            <v>0</v>
          </cell>
          <cell r="AO2504">
            <v>0</v>
          </cell>
          <cell r="AP2504">
            <v>0</v>
          </cell>
          <cell r="AR2504">
            <v>0</v>
          </cell>
          <cell r="AS2504">
            <v>0</v>
          </cell>
          <cell r="BF2504" t="str">
            <v>5600</v>
          </cell>
          <cell r="BG2504" t="str">
            <v>H007</v>
          </cell>
          <cell r="BH2504" t="str">
            <v>IBO</v>
          </cell>
        </row>
        <row r="2505">
          <cell r="K2505">
            <v>0</v>
          </cell>
          <cell r="L2505">
            <v>0</v>
          </cell>
          <cell r="N2505">
            <v>0</v>
          </cell>
          <cell r="O2505">
            <v>0</v>
          </cell>
          <cell r="Q2505">
            <v>0</v>
          </cell>
          <cell r="R2505">
            <v>0</v>
          </cell>
          <cell r="T2505">
            <v>0</v>
          </cell>
          <cell r="U2505">
            <v>0</v>
          </cell>
          <cell r="W2505">
            <v>0</v>
          </cell>
          <cell r="X2505">
            <v>0</v>
          </cell>
          <cell r="Z2505">
            <v>0</v>
          </cell>
          <cell r="AA2505">
            <v>0</v>
          </cell>
          <cell r="AC2505">
            <v>0</v>
          </cell>
          <cell r="AD2505">
            <v>0</v>
          </cell>
          <cell r="AF2505">
            <v>0</v>
          </cell>
          <cell r="AG2505">
            <v>0</v>
          </cell>
          <cell r="AI2505">
            <v>0</v>
          </cell>
          <cell r="AJ2505">
            <v>0</v>
          </cell>
          <cell r="AL2505">
            <v>0</v>
          </cell>
          <cell r="AM2505">
            <v>0</v>
          </cell>
          <cell r="AO2505">
            <v>0</v>
          </cell>
          <cell r="AP2505">
            <v>0</v>
          </cell>
          <cell r="AR2505">
            <v>0</v>
          </cell>
          <cell r="AS2505">
            <v>0</v>
          </cell>
          <cell r="BF2505" t="str">
            <v>5600</v>
          </cell>
          <cell r="BG2505" t="str">
            <v>H008</v>
          </cell>
          <cell r="BH2505" t="str">
            <v>IBO</v>
          </cell>
        </row>
        <row r="2506">
          <cell r="K2506">
            <v>0</v>
          </cell>
          <cell r="L2506">
            <v>0</v>
          </cell>
          <cell r="N2506">
            <v>0</v>
          </cell>
          <cell r="O2506">
            <v>0</v>
          </cell>
          <cell r="Q2506">
            <v>0</v>
          </cell>
          <cell r="R2506">
            <v>0</v>
          </cell>
          <cell r="T2506">
            <v>0</v>
          </cell>
          <cell r="U2506">
            <v>0</v>
          </cell>
          <cell r="W2506">
            <v>0</v>
          </cell>
          <cell r="X2506">
            <v>0</v>
          </cell>
          <cell r="Z2506">
            <v>0</v>
          </cell>
          <cell r="AA2506">
            <v>0</v>
          </cell>
          <cell r="AC2506">
            <v>0</v>
          </cell>
          <cell r="AD2506">
            <v>0</v>
          </cell>
          <cell r="AF2506">
            <v>0</v>
          </cell>
          <cell r="AG2506">
            <v>0</v>
          </cell>
          <cell r="AI2506">
            <v>0</v>
          </cell>
          <cell r="AJ2506">
            <v>0</v>
          </cell>
          <cell r="AL2506">
            <v>0</v>
          </cell>
          <cell r="AM2506">
            <v>0</v>
          </cell>
          <cell r="AO2506">
            <v>0</v>
          </cell>
          <cell r="AP2506">
            <v>0</v>
          </cell>
          <cell r="AR2506">
            <v>0</v>
          </cell>
          <cell r="AS2506">
            <v>0</v>
          </cell>
          <cell r="BF2506" t="str">
            <v>5700</v>
          </cell>
          <cell r="BG2506" t="str">
            <v>I001</v>
          </cell>
          <cell r="BH2506" t="str">
            <v>IBO</v>
          </cell>
        </row>
        <row r="2507">
          <cell r="K2507">
            <v>0</v>
          </cell>
          <cell r="L2507">
            <v>0</v>
          </cell>
          <cell r="N2507">
            <v>0</v>
          </cell>
          <cell r="O2507">
            <v>0</v>
          </cell>
          <cell r="Q2507">
            <v>0</v>
          </cell>
          <cell r="R2507">
            <v>0</v>
          </cell>
          <cell r="T2507">
            <v>0</v>
          </cell>
          <cell r="U2507">
            <v>0</v>
          </cell>
          <cell r="W2507">
            <v>0</v>
          </cell>
          <cell r="X2507">
            <v>0</v>
          </cell>
          <cell r="Z2507">
            <v>0</v>
          </cell>
          <cell r="AA2507">
            <v>0</v>
          </cell>
          <cell r="AC2507">
            <v>0</v>
          </cell>
          <cell r="AD2507">
            <v>0</v>
          </cell>
          <cell r="AF2507">
            <v>0</v>
          </cell>
          <cell r="AG2507">
            <v>0</v>
          </cell>
          <cell r="AI2507">
            <v>0</v>
          </cell>
          <cell r="AJ2507">
            <v>0</v>
          </cell>
          <cell r="AL2507">
            <v>0</v>
          </cell>
          <cell r="AM2507">
            <v>0</v>
          </cell>
          <cell r="AO2507">
            <v>0</v>
          </cell>
          <cell r="AP2507">
            <v>0</v>
          </cell>
          <cell r="AR2507">
            <v>0</v>
          </cell>
          <cell r="AS2507">
            <v>0</v>
          </cell>
          <cell r="BF2507" t="str">
            <v>5700</v>
          </cell>
          <cell r="BG2507" t="str">
            <v>I002</v>
          </cell>
          <cell r="BH2507" t="str">
            <v>IBO</v>
          </cell>
        </row>
        <row r="2508">
          <cell r="K2508">
            <v>0</v>
          </cell>
          <cell r="L2508">
            <v>0</v>
          </cell>
          <cell r="N2508">
            <v>0</v>
          </cell>
          <cell r="O2508">
            <v>0</v>
          </cell>
          <cell r="Q2508">
            <v>0</v>
          </cell>
          <cell r="R2508">
            <v>0</v>
          </cell>
          <cell r="T2508">
            <v>0</v>
          </cell>
          <cell r="U2508">
            <v>0</v>
          </cell>
          <cell r="W2508">
            <v>0</v>
          </cell>
          <cell r="X2508">
            <v>0</v>
          </cell>
          <cell r="Z2508">
            <v>0</v>
          </cell>
          <cell r="AA2508">
            <v>0</v>
          </cell>
          <cell r="AC2508">
            <v>0</v>
          </cell>
          <cell r="AD2508">
            <v>0</v>
          </cell>
          <cell r="AF2508">
            <v>0</v>
          </cell>
          <cell r="AG2508">
            <v>0</v>
          </cell>
          <cell r="AI2508">
            <v>0</v>
          </cell>
          <cell r="AJ2508">
            <v>0</v>
          </cell>
          <cell r="AL2508">
            <v>0</v>
          </cell>
          <cell r="AM2508">
            <v>0</v>
          </cell>
          <cell r="AO2508">
            <v>0</v>
          </cell>
          <cell r="AP2508">
            <v>0</v>
          </cell>
          <cell r="AR2508">
            <v>0</v>
          </cell>
          <cell r="AS2508">
            <v>0</v>
          </cell>
          <cell r="BF2508" t="str">
            <v>5700</v>
          </cell>
          <cell r="BG2508" t="str">
            <v>I003</v>
          </cell>
          <cell r="BH2508" t="str">
            <v>IBO</v>
          </cell>
        </row>
        <row r="2509">
          <cell r="K2509">
            <v>0</v>
          </cell>
          <cell r="L2509">
            <v>0</v>
          </cell>
          <cell r="N2509">
            <v>0</v>
          </cell>
          <cell r="O2509">
            <v>0</v>
          </cell>
          <cell r="Q2509">
            <v>0</v>
          </cell>
          <cell r="R2509">
            <v>0</v>
          </cell>
          <cell r="T2509">
            <v>0</v>
          </cell>
          <cell r="U2509">
            <v>0</v>
          </cell>
          <cell r="W2509">
            <v>0</v>
          </cell>
          <cell r="X2509">
            <v>0</v>
          </cell>
          <cell r="Z2509">
            <v>0</v>
          </cell>
          <cell r="AA2509">
            <v>0</v>
          </cell>
          <cell r="AC2509">
            <v>0</v>
          </cell>
          <cell r="AD2509">
            <v>0</v>
          </cell>
          <cell r="AF2509">
            <v>0</v>
          </cell>
          <cell r="AG2509">
            <v>0</v>
          </cell>
          <cell r="AI2509">
            <v>0</v>
          </cell>
          <cell r="AJ2509">
            <v>0</v>
          </cell>
          <cell r="AL2509">
            <v>0</v>
          </cell>
          <cell r="AM2509">
            <v>0</v>
          </cell>
          <cell r="AO2509">
            <v>0</v>
          </cell>
          <cell r="AP2509">
            <v>0</v>
          </cell>
          <cell r="AR2509">
            <v>0</v>
          </cell>
          <cell r="AS2509">
            <v>0</v>
          </cell>
          <cell r="BF2509" t="str">
            <v>5700</v>
          </cell>
          <cell r="BG2509" t="str">
            <v>I004</v>
          </cell>
          <cell r="BH2509" t="str">
            <v>IBO</v>
          </cell>
        </row>
        <row r="2510">
          <cell r="K2510">
            <v>0</v>
          </cell>
          <cell r="L2510">
            <v>0</v>
          </cell>
          <cell r="N2510">
            <v>0</v>
          </cell>
          <cell r="O2510">
            <v>0</v>
          </cell>
          <cell r="Q2510">
            <v>0</v>
          </cell>
          <cell r="R2510">
            <v>0</v>
          </cell>
          <cell r="T2510">
            <v>0</v>
          </cell>
          <cell r="U2510">
            <v>0</v>
          </cell>
          <cell r="W2510">
            <v>0</v>
          </cell>
          <cell r="X2510">
            <v>0</v>
          </cell>
          <cell r="Z2510">
            <v>0</v>
          </cell>
          <cell r="AA2510">
            <v>0</v>
          </cell>
          <cell r="AC2510">
            <v>0</v>
          </cell>
          <cell r="AD2510">
            <v>0</v>
          </cell>
          <cell r="AF2510">
            <v>0</v>
          </cell>
          <cell r="AG2510">
            <v>0</v>
          </cell>
          <cell r="AI2510">
            <v>0</v>
          </cell>
          <cell r="AJ2510">
            <v>0</v>
          </cell>
          <cell r="AL2510">
            <v>0</v>
          </cell>
          <cell r="AM2510">
            <v>0</v>
          </cell>
          <cell r="AO2510">
            <v>0</v>
          </cell>
          <cell r="AP2510">
            <v>0</v>
          </cell>
          <cell r="AR2510">
            <v>0</v>
          </cell>
          <cell r="AS2510">
            <v>0</v>
          </cell>
          <cell r="BF2510" t="str">
            <v>5700</v>
          </cell>
          <cell r="BG2510" t="str">
            <v>I005</v>
          </cell>
          <cell r="BH2510" t="str">
            <v>IBO</v>
          </cell>
        </row>
        <row r="2511">
          <cell r="K2511">
            <v>0</v>
          </cell>
          <cell r="L2511">
            <v>0</v>
          </cell>
          <cell r="N2511">
            <v>0</v>
          </cell>
          <cell r="O2511">
            <v>0</v>
          </cell>
          <cell r="Q2511">
            <v>0</v>
          </cell>
          <cell r="R2511">
            <v>0</v>
          </cell>
          <cell r="T2511">
            <v>0</v>
          </cell>
          <cell r="U2511">
            <v>0</v>
          </cell>
          <cell r="W2511">
            <v>0</v>
          </cell>
          <cell r="X2511">
            <v>0</v>
          </cell>
          <cell r="Z2511">
            <v>0</v>
          </cell>
          <cell r="AA2511">
            <v>0</v>
          </cell>
          <cell r="AC2511">
            <v>0</v>
          </cell>
          <cell r="AD2511">
            <v>0</v>
          </cell>
          <cell r="AF2511">
            <v>0</v>
          </cell>
          <cell r="AG2511">
            <v>0</v>
          </cell>
          <cell r="AI2511">
            <v>0</v>
          </cell>
          <cell r="AJ2511">
            <v>0</v>
          </cell>
          <cell r="AL2511">
            <v>0</v>
          </cell>
          <cell r="AM2511">
            <v>0</v>
          </cell>
          <cell r="AO2511">
            <v>0</v>
          </cell>
          <cell r="AP2511">
            <v>0</v>
          </cell>
          <cell r="AR2511">
            <v>0</v>
          </cell>
          <cell r="AS2511">
            <v>0</v>
          </cell>
          <cell r="BF2511" t="str">
            <v>5700</v>
          </cell>
          <cell r="BG2511" t="str">
            <v>I006</v>
          </cell>
          <cell r="BH2511" t="str">
            <v>IBO</v>
          </cell>
        </row>
        <row r="2512">
          <cell r="K2512">
            <v>0</v>
          </cell>
          <cell r="L2512">
            <v>0</v>
          </cell>
          <cell r="N2512">
            <v>0</v>
          </cell>
          <cell r="O2512">
            <v>0</v>
          </cell>
          <cell r="Q2512">
            <v>0</v>
          </cell>
          <cell r="R2512">
            <v>0</v>
          </cell>
          <cell r="T2512">
            <v>-16249.830000000191</v>
          </cell>
          <cell r="U2512">
            <v>0</v>
          </cell>
          <cell r="W2512">
            <v>97545.349999999919</v>
          </cell>
          <cell r="X2512">
            <v>0</v>
          </cell>
          <cell r="Z2512">
            <v>44771.51999999996</v>
          </cell>
          <cell r="AA2512">
            <v>0</v>
          </cell>
          <cell r="AC2512">
            <v>34611.019999999902</v>
          </cell>
          <cell r="AD2512">
            <v>0</v>
          </cell>
          <cell r="AF2512">
            <v>25526.54999999993</v>
          </cell>
          <cell r="AG2512">
            <v>0</v>
          </cell>
          <cell r="AI2512">
            <v>54352.110000000102</v>
          </cell>
          <cell r="AJ2512">
            <v>0</v>
          </cell>
          <cell r="AL2512">
            <v>47248.209999999963</v>
          </cell>
          <cell r="AM2512">
            <v>0</v>
          </cell>
          <cell r="AO2512">
            <v>65361.189999999828</v>
          </cell>
          <cell r="AP2512">
            <v>0</v>
          </cell>
          <cell r="AR2512">
            <v>84880.880000000121</v>
          </cell>
          <cell r="AS2512">
            <v>0</v>
          </cell>
          <cell r="BF2512" t="str">
            <v>5700</v>
          </cell>
          <cell r="BG2512" t="str">
            <v>I007</v>
          </cell>
          <cell r="BH2512" t="str">
            <v>IBO</v>
          </cell>
        </row>
        <row r="2513">
          <cell r="K2513">
            <v>0</v>
          </cell>
          <cell r="L2513">
            <v>0</v>
          </cell>
          <cell r="N2513">
            <v>0</v>
          </cell>
          <cell r="O2513">
            <v>0</v>
          </cell>
          <cell r="Q2513">
            <v>0</v>
          </cell>
          <cell r="R2513">
            <v>0</v>
          </cell>
          <cell r="T2513">
            <v>0</v>
          </cell>
          <cell r="U2513">
            <v>0</v>
          </cell>
          <cell r="W2513">
            <v>0</v>
          </cell>
          <cell r="X2513">
            <v>0</v>
          </cell>
          <cell r="Z2513">
            <v>0</v>
          </cell>
          <cell r="AA2513">
            <v>0</v>
          </cell>
          <cell r="AC2513">
            <v>0</v>
          </cell>
          <cell r="AD2513">
            <v>0</v>
          </cell>
          <cell r="AF2513">
            <v>0</v>
          </cell>
          <cell r="AG2513">
            <v>0</v>
          </cell>
          <cell r="AI2513">
            <v>0</v>
          </cell>
          <cell r="AJ2513">
            <v>0</v>
          </cell>
          <cell r="AL2513">
            <v>0</v>
          </cell>
          <cell r="AM2513">
            <v>0</v>
          </cell>
          <cell r="AO2513">
            <v>0</v>
          </cell>
          <cell r="AP2513">
            <v>0</v>
          </cell>
          <cell r="AR2513">
            <v>0</v>
          </cell>
          <cell r="AS2513">
            <v>0</v>
          </cell>
          <cell r="BF2513" t="str">
            <v>5700</v>
          </cell>
          <cell r="BG2513" t="str">
            <v>I008</v>
          </cell>
          <cell r="BH2513" t="str">
            <v>IBO</v>
          </cell>
        </row>
        <row r="2514">
          <cell r="K2514">
            <v>0</v>
          </cell>
          <cell r="L2514">
            <v>0</v>
          </cell>
          <cell r="N2514">
            <v>0</v>
          </cell>
          <cell r="O2514">
            <v>0</v>
          </cell>
          <cell r="Q2514">
            <v>0</v>
          </cell>
          <cell r="R2514">
            <v>0</v>
          </cell>
          <cell r="T2514">
            <v>0</v>
          </cell>
          <cell r="U2514">
            <v>0</v>
          </cell>
          <cell r="W2514">
            <v>0</v>
          </cell>
          <cell r="X2514">
            <v>0</v>
          </cell>
          <cell r="Z2514">
            <v>0</v>
          </cell>
          <cell r="AA2514">
            <v>0</v>
          </cell>
          <cell r="AC2514">
            <v>0</v>
          </cell>
          <cell r="AD2514">
            <v>0</v>
          </cell>
          <cell r="AF2514">
            <v>0</v>
          </cell>
          <cell r="AG2514">
            <v>0</v>
          </cell>
          <cell r="AI2514">
            <v>0</v>
          </cell>
          <cell r="AJ2514">
            <v>0</v>
          </cell>
          <cell r="AL2514">
            <v>0</v>
          </cell>
          <cell r="AM2514">
            <v>0</v>
          </cell>
          <cell r="AO2514">
            <v>0</v>
          </cell>
          <cell r="AP2514">
            <v>0</v>
          </cell>
          <cell r="AR2514">
            <v>0</v>
          </cell>
          <cell r="AS2514">
            <v>0</v>
          </cell>
          <cell r="BF2514" t="str">
            <v>5700</v>
          </cell>
          <cell r="BG2514" t="str">
            <v>I009</v>
          </cell>
          <cell r="BH2514" t="str">
            <v>IBO</v>
          </cell>
        </row>
        <row r="2515">
          <cell r="K2515">
            <v>0</v>
          </cell>
          <cell r="L2515">
            <v>0</v>
          </cell>
          <cell r="N2515">
            <v>0</v>
          </cell>
          <cell r="O2515">
            <v>0</v>
          </cell>
          <cell r="Q2515">
            <v>0</v>
          </cell>
          <cell r="R2515">
            <v>0</v>
          </cell>
          <cell r="T2515">
            <v>0</v>
          </cell>
          <cell r="U2515">
            <v>0</v>
          </cell>
          <cell r="W2515">
            <v>0</v>
          </cell>
          <cell r="X2515">
            <v>0</v>
          </cell>
          <cell r="Z2515">
            <v>0</v>
          </cell>
          <cell r="AA2515">
            <v>0</v>
          </cell>
          <cell r="AC2515">
            <v>0</v>
          </cell>
          <cell r="AD2515">
            <v>0</v>
          </cell>
          <cell r="AF2515">
            <v>0</v>
          </cell>
          <cell r="AG2515">
            <v>0</v>
          </cell>
          <cell r="AI2515">
            <v>0</v>
          </cell>
          <cell r="AJ2515">
            <v>0</v>
          </cell>
          <cell r="AL2515">
            <v>0</v>
          </cell>
          <cell r="AM2515">
            <v>0</v>
          </cell>
          <cell r="AO2515">
            <v>0</v>
          </cell>
          <cell r="AP2515">
            <v>0</v>
          </cell>
          <cell r="AR2515">
            <v>0</v>
          </cell>
          <cell r="AS2515">
            <v>0</v>
          </cell>
          <cell r="BF2515" t="str">
            <v>5700</v>
          </cell>
          <cell r="BG2515" t="str">
            <v>I010</v>
          </cell>
          <cell r="BH2515" t="str">
            <v>IBO</v>
          </cell>
        </row>
        <row r="2516">
          <cell r="K2516">
            <v>0</v>
          </cell>
          <cell r="L2516">
            <v>0</v>
          </cell>
          <cell r="N2516">
            <v>0</v>
          </cell>
          <cell r="O2516">
            <v>0</v>
          </cell>
          <cell r="Q2516">
            <v>0</v>
          </cell>
          <cell r="R2516">
            <v>0</v>
          </cell>
          <cell r="T2516">
            <v>0</v>
          </cell>
          <cell r="U2516">
            <v>0</v>
          </cell>
          <cell r="W2516">
            <v>0</v>
          </cell>
          <cell r="X2516">
            <v>0</v>
          </cell>
          <cell r="Z2516">
            <v>0</v>
          </cell>
          <cell r="AA2516">
            <v>0</v>
          </cell>
          <cell r="AC2516">
            <v>0</v>
          </cell>
          <cell r="AD2516">
            <v>0</v>
          </cell>
          <cell r="AF2516">
            <v>0</v>
          </cell>
          <cell r="AG2516">
            <v>0</v>
          </cell>
          <cell r="AI2516">
            <v>0</v>
          </cell>
          <cell r="AJ2516">
            <v>0</v>
          </cell>
          <cell r="AL2516">
            <v>0</v>
          </cell>
          <cell r="AM2516">
            <v>0</v>
          </cell>
          <cell r="AO2516">
            <v>0</v>
          </cell>
          <cell r="AP2516">
            <v>0</v>
          </cell>
          <cell r="AR2516">
            <v>0</v>
          </cell>
          <cell r="AS2516">
            <v>0</v>
          </cell>
          <cell r="BF2516" t="str">
            <v>5700</v>
          </cell>
          <cell r="BG2516" t="str">
            <v>I011</v>
          </cell>
          <cell r="BH2516" t="str">
            <v>IBO</v>
          </cell>
        </row>
        <row r="2517">
          <cell r="K2517">
            <v>0</v>
          </cell>
          <cell r="L2517">
            <v>0</v>
          </cell>
          <cell r="N2517">
            <v>0</v>
          </cell>
          <cell r="O2517">
            <v>0</v>
          </cell>
          <cell r="Q2517">
            <v>0</v>
          </cell>
          <cell r="R2517">
            <v>0</v>
          </cell>
          <cell r="T2517">
            <v>0</v>
          </cell>
          <cell r="U2517">
            <v>0</v>
          </cell>
          <cell r="W2517">
            <v>0</v>
          </cell>
          <cell r="X2517">
            <v>0</v>
          </cell>
          <cell r="Z2517">
            <v>0</v>
          </cell>
          <cell r="AA2517">
            <v>0</v>
          </cell>
          <cell r="AC2517">
            <v>0</v>
          </cell>
          <cell r="AD2517">
            <v>0</v>
          </cell>
          <cell r="AF2517">
            <v>0</v>
          </cell>
          <cell r="AG2517">
            <v>0</v>
          </cell>
          <cell r="AI2517">
            <v>0</v>
          </cell>
          <cell r="AJ2517">
            <v>0</v>
          </cell>
          <cell r="AL2517">
            <v>0</v>
          </cell>
          <cell r="AM2517">
            <v>0</v>
          </cell>
          <cell r="AO2517">
            <v>0</v>
          </cell>
          <cell r="AP2517">
            <v>0</v>
          </cell>
          <cell r="AR2517">
            <v>0</v>
          </cell>
          <cell r="AS2517">
            <v>0</v>
          </cell>
          <cell r="BF2517" t="str">
            <v>5700</v>
          </cell>
          <cell r="BG2517" t="str">
            <v>I012</v>
          </cell>
          <cell r="BH2517" t="str">
            <v>IBO</v>
          </cell>
        </row>
        <row r="2518">
          <cell r="K2518">
            <v>0</v>
          </cell>
          <cell r="L2518">
            <v>0</v>
          </cell>
          <cell r="N2518">
            <v>0</v>
          </cell>
          <cell r="O2518">
            <v>0</v>
          </cell>
          <cell r="Q2518">
            <v>0</v>
          </cell>
          <cell r="R2518">
            <v>0</v>
          </cell>
          <cell r="T2518">
            <v>0</v>
          </cell>
          <cell r="U2518">
            <v>0</v>
          </cell>
          <cell r="W2518">
            <v>0</v>
          </cell>
          <cell r="X2518">
            <v>0</v>
          </cell>
          <cell r="Z2518">
            <v>0</v>
          </cell>
          <cell r="AA2518">
            <v>0</v>
          </cell>
          <cell r="AC2518">
            <v>0</v>
          </cell>
          <cell r="AD2518">
            <v>0</v>
          </cell>
          <cell r="AF2518">
            <v>0</v>
          </cell>
          <cell r="AG2518">
            <v>0</v>
          </cell>
          <cell r="AI2518">
            <v>0</v>
          </cell>
          <cell r="AJ2518">
            <v>0</v>
          </cell>
          <cell r="AL2518">
            <v>0</v>
          </cell>
          <cell r="AM2518">
            <v>0</v>
          </cell>
          <cell r="AO2518">
            <v>0</v>
          </cell>
          <cell r="AP2518">
            <v>0</v>
          </cell>
          <cell r="AR2518">
            <v>0</v>
          </cell>
          <cell r="AS2518">
            <v>0</v>
          </cell>
          <cell r="BF2518" t="str">
            <v>5700</v>
          </cell>
          <cell r="BG2518" t="str">
            <v>I013</v>
          </cell>
          <cell r="BH2518" t="str">
            <v>IBO</v>
          </cell>
        </row>
        <row r="2519">
          <cell r="K2519">
            <v>0</v>
          </cell>
          <cell r="L2519">
            <v>0</v>
          </cell>
          <cell r="N2519">
            <v>0</v>
          </cell>
          <cell r="O2519">
            <v>0</v>
          </cell>
          <cell r="Q2519">
            <v>0</v>
          </cell>
          <cell r="R2519">
            <v>0</v>
          </cell>
          <cell r="T2519">
            <v>0</v>
          </cell>
          <cell r="U2519">
            <v>0</v>
          </cell>
          <cell r="W2519">
            <v>0</v>
          </cell>
          <cell r="X2519">
            <v>0</v>
          </cell>
          <cell r="Z2519">
            <v>0</v>
          </cell>
          <cell r="AA2519">
            <v>0</v>
          </cell>
          <cell r="AC2519">
            <v>0</v>
          </cell>
          <cell r="AD2519">
            <v>0</v>
          </cell>
          <cell r="AF2519">
            <v>0</v>
          </cell>
          <cell r="AG2519">
            <v>0</v>
          </cell>
          <cell r="AI2519">
            <v>0</v>
          </cell>
          <cell r="AJ2519">
            <v>0</v>
          </cell>
          <cell r="AL2519">
            <v>0</v>
          </cell>
          <cell r="AM2519">
            <v>0</v>
          </cell>
          <cell r="AO2519">
            <v>0</v>
          </cell>
          <cell r="AP2519">
            <v>0</v>
          </cell>
          <cell r="AR2519">
            <v>0</v>
          </cell>
          <cell r="AS2519">
            <v>0</v>
          </cell>
          <cell r="BF2519" t="str">
            <v>5700</v>
          </cell>
          <cell r="BG2519" t="str">
            <v>I014</v>
          </cell>
          <cell r="BH2519" t="str">
            <v>IBO</v>
          </cell>
        </row>
        <row r="2520">
          <cell r="K2520">
            <v>0</v>
          </cell>
          <cell r="L2520">
            <v>0</v>
          </cell>
          <cell r="N2520">
            <v>0</v>
          </cell>
          <cell r="O2520">
            <v>0</v>
          </cell>
          <cell r="Q2520">
            <v>0</v>
          </cell>
          <cell r="R2520">
            <v>0</v>
          </cell>
          <cell r="T2520">
            <v>0</v>
          </cell>
          <cell r="U2520">
            <v>0</v>
          </cell>
          <cell r="W2520">
            <v>0</v>
          </cell>
          <cell r="X2520">
            <v>0</v>
          </cell>
          <cell r="Z2520">
            <v>0</v>
          </cell>
          <cell r="AA2520">
            <v>0</v>
          </cell>
          <cell r="AC2520">
            <v>0</v>
          </cell>
          <cell r="AD2520">
            <v>0</v>
          </cell>
          <cell r="AF2520">
            <v>0</v>
          </cell>
          <cell r="AG2520">
            <v>0</v>
          </cell>
          <cell r="AI2520">
            <v>0</v>
          </cell>
          <cell r="AJ2520">
            <v>0</v>
          </cell>
          <cell r="AL2520">
            <v>0</v>
          </cell>
          <cell r="AM2520">
            <v>0</v>
          </cell>
          <cell r="AO2520">
            <v>0</v>
          </cell>
          <cell r="AP2520">
            <v>0</v>
          </cell>
          <cell r="AR2520">
            <v>0</v>
          </cell>
          <cell r="AS2520">
            <v>0</v>
          </cell>
          <cell r="BF2520" t="str">
            <v>5800</v>
          </cell>
          <cell r="BG2520" t="str">
            <v>J001</v>
          </cell>
          <cell r="BH2520" t="str">
            <v>IBO</v>
          </cell>
        </row>
        <row r="2521">
          <cell r="K2521">
            <v>0</v>
          </cell>
          <cell r="L2521">
            <v>0</v>
          </cell>
          <cell r="N2521">
            <v>0</v>
          </cell>
          <cell r="O2521">
            <v>0</v>
          </cell>
          <cell r="Q2521">
            <v>0</v>
          </cell>
          <cell r="R2521">
            <v>0</v>
          </cell>
          <cell r="T2521">
            <v>0</v>
          </cell>
          <cell r="U2521">
            <v>0</v>
          </cell>
          <cell r="W2521">
            <v>0</v>
          </cell>
          <cell r="X2521">
            <v>0</v>
          </cell>
          <cell r="Z2521">
            <v>0</v>
          </cell>
          <cell r="AA2521">
            <v>0</v>
          </cell>
          <cell r="AC2521">
            <v>0</v>
          </cell>
          <cell r="AD2521">
            <v>0</v>
          </cell>
          <cell r="AF2521">
            <v>0</v>
          </cell>
          <cell r="AG2521">
            <v>0</v>
          </cell>
          <cell r="AI2521">
            <v>0</v>
          </cell>
          <cell r="AJ2521">
            <v>0</v>
          </cell>
          <cell r="AL2521">
            <v>0</v>
          </cell>
          <cell r="AM2521">
            <v>0</v>
          </cell>
          <cell r="AO2521">
            <v>0</v>
          </cell>
          <cell r="AP2521">
            <v>0</v>
          </cell>
          <cell r="AR2521">
            <v>0</v>
          </cell>
          <cell r="AS2521">
            <v>0</v>
          </cell>
          <cell r="BF2521" t="str">
            <v>5800</v>
          </cell>
          <cell r="BG2521" t="str">
            <v>J002</v>
          </cell>
          <cell r="BH2521" t="str">
            <v>IBO</v>
          </cell>
        </row>
        <row r="2522">
          <cell r="K2522">
            <v>0</v>
          </cell>
          <cell r="L2522">
            <v>0</v>
          </cell>
          <cell r="N2522">
            <v>0</v>
          </cell>
          <cell r="O2522">
            <v>0</v>
          </cell>
          <cell r="Q2522">
            <v>0</v>
          </cell>
          <cell r="R2522">
            <v>0</v>
          </cell>
          <cell r="T2522">
            <v>0</v>
          </cell>
          <cell r="U2522">
            <v>0</v>
          </cell>
          <cell r="W2522">
            <v>0</v>
          </cell>
          <cell r="X2522">
            <v>0</v>
          </cell>
          <cell r="Z2522">
            <v>0</v>
          </cell>
          <cell r="AA2522">
            <v>0</v>
          </cell>
          <cell r="AC2522">
            <v>0</v>
          </cell>
          <cell r="AD2522">
            <v>0</v>
          </cell>
          <cell r="AF2522">
            <v>0</v>
          </cell>
          <cell r="AG2522">
            <v>0</v>
          </cell>
          <cell r="AI2522">
            <v>0</v>
          </cell>
          <cell r="AJ2522">
            <v>0</v>
          </cell>
          <cell r="AL2522">
            <v>0</v>
          </cell>
          <cell r="AM2522">
            <v>0</v>
          </cell>
          <cell r="AO2522">
            <v>0</v>
          </cell>
          <cell r="AP2522">
            <v>0</v>
          </cell>
          <cell r="AR2522">
            <v>0</v>
          </cell>
          <cell r="AS2522">
            <v>0</v>
          </cell>
          <cell r="BF2522" t="str">
            <v>5800</v>
          </cell>
          <cell r="BG2522" t="str">
            <v>J003</v>
          </cell>
          <cell r="BH2522" t="str">
            <v>IBO</v>
          </cell>
        </row>
        <row r="2523">
          <cell r="K2523">
            <v>0</v>
          </cell>
          <cell r="L2523">
            <v>0</v>
          </cell>
          <cell r="N2523">
            <v>0</v>
          </cell>
          <cell r="O2523">
            <v>0</v>
          </cell>
          <cell r="Q2523">
            <v>0</v>
          </cell>
          <cell r="R2523">
            <v>0</v>
          </cell>
          <cell r="T2523">
            <v>0</v>
          </cell>
          <cell r="U2523">
            <v>0</v>
          </cell>
          <cell r="W2523">
            <v>0</v>
          </cell>
          <cell r="X2523">
            <v>0</v>
          </cell>
          <cell r="Z2523">
            <v>0</v>
          </cell>
          <cell r="AA2523">
            <v>0</v>
          </cell>
          <cell r="AC2523">
            <v>0</v>
          </cell>
          <cell r="AD2523">
            <v>0</v>
          </cell>
          <cell r="AF2523">
            <v>0</v>
          </cell>
          <cell r="AG2523">
            <v>0</v>
          </cell>
          <cell r="AI2523">
            <v>0</v>
          </cell>
          <cell r="AJ2523">
            <v>0</v>
          </cell>
          <cell r="AL2523">
            <v>0</v>
          </cell>
          <cell r="AM2523">
            <v>0</v>
          </cell>
          <cell r="AO2523">
            <v>0</v>
          </cell>
          <cell r="AP2523">
            <v>0</v>
          </cell>
          <cell r="AR2523">
            <v>0</v>
          </cell>
          <cell r="AS2523">
            <v>0</v>
          </cell>
          <cell r="BF2523" t="str">
            <v>5800</v>
          </cell>
          <cell r="BG2523" t="str">
            <v>J004</v>
          </cell>
          <cell r="BH2523" t="str">
            <v>IBO</v>
          </cell>
        </row>
        <row r="2524">
          <cell r="K2524">
            <v>0</v>
          </cell>
          <cell r="L2524">
            <v>0</v>
          </cell>
          <cell r="N2524">
            <v>0</v>
          </cell>
          <cell r="O2524">
            <v>0</v>
          </cell>
          <cell r="Q2524">
            <v>0</v>
          </cell>
          <cell r="R2524">
            <v>0</v>
          </cell>
          <cell r="T2524">
            <v>0</v>
          </cell>
          <cell r="U2524">
            <v>0</v>
          </cell>
          <cell r="W2524">
            <v>0</v>
          </cell>
          <cell r="X2524">
            <v>0</v>
          </cell>
          <cell r="Z2524">
            <v>0</v>
          </cell>
          <cell r="AA2524">
            <v>0</v>
          </cell>
          <cell r="AC2524">
            <v>0</v>
          </cell>
          <cell r="AD2524">
            <v>0</v>
          </cell>
          <cell r="AF2524">
            <v>0</v>
          </cell>
          <cell r="AG2524">
            <v>0</v>
          </cell>
          <cell r="AI2524">
            <v>0</v>
          </cell>
          <cell r="AJ2524">
            <v>0</v>
          </cell>
          <cell r="AL2524">
            <v>0</v>
          </cell>
          <cell r="AM2524">
            <v>0</v>
          </cell>
          <cell r="AO2524">
            <v>0</v>
          </cell>
          <cell r="AP2524">
            <v>0</v>
          </cell>
          <cell r="AR2524">
            <v>0</v>
          </cell>
          <cell r="AS2524">
            <v>0</v>
          </cell>
          <cell r="BF2524" t="str">
            <v>5800</v>
          </cell>
          <cell r="BG2524" t="str">
            <v>J005</v>
          </cell>
          <cell r="BH2524" t="str">
            <v>IBO</v>
          </cell>
        </row>
        <row r="2525">
          <cell r="K2525">
            <v>0</v>
          </cell>
          <cell r="L2525">
            <v>0</v>
          </cell>
          <cell r="N2525">
            <v>0</v>
          </cell>
          <cell r="O2525">
            <v>0</v>
          </cell>
          <cell r="Q2525">
            <v>0</v>
          </cell>
          <cell r="R2525">
            <v>0</v>
          </cell>
          <cell r="T2525">
            <v>0</v>
          </cell>
          <cell r="U2525">
            <v>0</v>
          </cell>
          <cell r="W2525">
            <v>0</v>
          </cell>
          <cell r="X2525">
            <v>0</v>
          </cell>
          <cell r="Z2525">
            <v>0</v>
          </cell>
          <cell r="AA2525">
            <v>0</v>
          </cell>
          <cell r="AC2525">
            <v>0</v>
          </cell>
          <cell r="AD2525">
            <v>0</v>
          </cell>
          <cell r="AF2525">
            <v>0</v>
          </cell>
          <cell r="AG2525">
            <v>0</v>
          </cell>
          <cell r="AI2525">
            <v>0</v>
          </cell>
          <cell r="AJ2525">
            <v>0</v>
          </cell>
          <cell r="AL2525">
            <v>0</v>
          </cell>
          <cell r="AM2525">
            <v>0</v>
          </cell>
          <cell r="AO2525">
            <v>0</v>
          </cell>
          <cell r="AP2525">
            <v>0</v>
          </cell>
          <cell r="AR2525">
            <v>0</v>
          </cell>
          <cell r="AS2525">
            <v>0</v>
          </cell>
          <cell r="BF2525" t="str">
            <v>5800</v>
          </cell>
          <cell r="BG2525" t="str">
            <v>J006</v>
          </cell>
          <cell r="BH2525" t="str">
            <v>IBO</v>
          </cell>
        </row>
        <row r="2526">
          <cell r="K2526">
            <v>0</v>
          </cell>
          <cell r="L2526">
            <v>0</v>
          </cell>
          <cell r="N2526">
            <v>0</v>
          </cell>
          <cell r="O2526">
            <v>0</v>
          </cell>
          <cell r="Q2526">
            <v>0</v>
          </cell>
          <cell r="R2526">
            <v>0</v>
          </cell>
          <cell r="T2526">
            <v>0</v>
          </cell>
          <cell r="U2526">
            <v>0</v>
          </cell>
          <cell r="W2526">
            <v>0</v>
          </cell>
          <cell r="X2526">
            <v>0</v>
          </cell>
          <cell r="Z2526">
            <v>0</v>
          </cell>
          <cell r="AA2526">
            <v>0</v>
          </cell>
          <cell r="AC2526">
            <v>0</v>
          </cell>
          <cell r="AD2526">
            <v>0</v>
          </cell>
          <cell r="AF2526">
            <v>0</v>
          </cell>
          <cell r="AG2526">
            <v>0</v>
          </cell>
          <cell r="AI2526">
            <v>0</v>
          </cell>
          <cell r="AJ2526">
            <v>0</v>
          </cell>
          <cell r="AL2526">
            <v>0</v>
          </cell>
          <cell r="AM2526">
            <v>0</v>
          </cell>
          <cell r="AO2526">
            <v>0</v>
          </cell>
          <cell r="AP2526">
            <v>0</v>
          </cell>
          <cell r="AR2526">
            <v>0</v>
          </cell>
          <cell r="AS2526">
            <v>0</v>
          </cell>
          <cell r="BF2526" t="str">
            <v>5800</v>
          </cell>
          <cell r="BG2526" t="str">
            <v>J007</v>
          </cell>
          <cell r="BH2526" t="str">
            <v>IBO</v>
          </cell>
        </row>
        <row r="2527">
          <cell r="K2527">
            <v>0</v>
          </cell>
          <cell r="L2527">
            <v>0</v>
          </cell>
          <cell r="N2527">
            <v>0</v>
          </cell>
          <cell r="O2527">
            <v>0</v>
          </cell>
          <cell r="Q2527">
            <v>0</v>
          </cell>
          <cell r="R2527">
            <v>0</v>
          </cell>
          <cell r="T2527">
            <v>0</v>
          </cell>
          <cell r="U2527">
            <v>0</v>
          </cell>
          <cell r="W2527">
            <v>0</v>
          </cell>
          <cell r="X2527">
            <v>0</v>
          </cell>
          <cell r="Z2527">
            <v>0</v>
          </cell>
          <cell r="AA2527">
            <v>0</v>
          </cell>
          <cell r="AC2527">
            <v>0</v>
          </cell>
          <cell r="AD2527">
            <v>0</v>
          </cell>
          <cell r="AF2527">
            <v>0</v>
          </cell>
          <cell r="AG2527">
            <v>0</v>
          </cell>
          <cell r="AI2527">
            <v>0</v>
          </cell>
          <cell r="AJ2527">
            <v>0</v>
          </cell>
          <cell r="AL2527">
            <v>0</v>
          </cell>
          <cell r="AM2527">
            <v>0</v>
          </cell>
          <cell r="AO2527">
            <v>0</v>
          </cell>
          <cell r="AP2527">
            <v>0</v>
          </cell>
          <cell r="AR2527">
            <v>0</v>
          </cell>
          <cell r="AS2527">
            <v>0</v>
          </cell>
          <cell r="BF2527" t="str">
            <v>5800</v>
          </cell>
          <cell r="BG2527" t="str">
            <v>J012</v>
          </cell>
          <cell r="BH2527" t="str">
            <v>IBO</v>
          </cell>
        </row>
        <row r="2528">
          <cell r="K2528">
            <v>0</v>
          </cell>
          <cell r="L2528">
            <v>0</v>
          </cell>
          <cell r="N2528">
            <v>0</v>
          </cell>
          <cell r="O2528">
            <v>0</v>
          </cell>
          <cell r="Q2528">
            <v>0</v>
          </cell>
          <cell r="R2528">
            <v>0</v>
          </cell>
          <cell r="T2528">
            <v>0</v>
          </cell>
          <cell r="U2528">
            <v>0</v>
          </cell>
          <cell r="W2528">
            <v>0</v>
          </cell>
          <cell r="X2528">
            <v>0</v>
          </cell>
          <cell r="Z2528">
            <v>0</v>
          </cell>
          <cell r="AA2528">
            <v>0</v>
          </cell>
          <cell r="AC2528">
            <v>0</v>
          </cell>
          <cell r="AD2528">
            <v>0</v>
          </cell>
          <cell r="AF2528">
            <v>0</v>
          </cell>
          <cell r="AG2528">
            <v>0</v>
          </cell>
          <cell r="AI2528">
            <v>0</v>
          </cell>
          <cell r="AJ2528">
            <v>0</v>
          </cell>
          <cell r="AL2528">
            <v>0</v>
          </cell>
          <cell r="AM2528">
            <v>0</v>
          </cell>
          <cell r="AO2528">
            <v>0</v>
          </cell>
          <cell r="AP2528">
            <v>0</v>
          </cell>
          <cell r="AR2528">
            <v>0</v>
          </cell>
          <cell r="AS2528">
            <v>0</v>
          </cell>
          <cell r="BF2528" t="str">
            <v>5801</v>
          </cell>
          <cell r="BG2528" t="str">
            <v>J008</v>
          </cell>
          <cell r="BH2528" t="str">
            <v>IBO</v>
          </cell>
        </row>
        <row r="2529">
          <cell r="K2529">
            <v>0</v>
          </cell>
          <cell r="L2529">
            <v>0</v>
          </cell>
          <cell r="N2529">
            <v>0</v>
          </cell>
          <cell r="O2529">
            <v>0</v>
          </cell>
          <cell r="Q2529">
            <v>0</v>
          </cell>
          <cell r="R2529">
            <v>0</v>
          </cell>
          <cell r="T2529">
            <v>0</v>
          </cell>
          <cell r="U2529">
            <v>0</v>
          </cell>
          <cell r="W2529">
            <v>0</v>
          </cell>
          <cell r="X2529">
            <v>0</v>
          </cell>
          <cell r="Z2529">
            <v>0</v>
          </cell>
          <cell r="AA2529">
            <v>0</v>
          </cell>
          <cell r="AC2529">
            <v>0</v>
          </cell>
          <cell r="AD2529">
            <v>0</v>
          </cell>
          <cell r="AF2529">
            <v>0</v>
          </cell>
          <cell r="AG2529">
            <v>0</v>
          </cell>
          <cell r="AI2529">
            <v>0</v>
          </cell>
          <cell r="AJ2529">
            <v>0</v>
          </cell>
          <cell r="AL2529">
            <v>0</v>
          </cell>
          <cell r="AM2529">
            <v>0</v>
          </cell>
          <cell r="AO2529">
            <v>0</v>
          </cell>
          <cell r="AP2529">
            <v>0</v>
          </cell>
          <cell r="AR2529">
            <v>0</v>
          </cell>
          <cell r="AS2529">
            <v>0</v>
          </cell>
          <cell r="BF2529" t="str">
            <v>5801</v>
          </cell>
          <cell r="BG2529" t="str">
            <v>J009</v>
          </cell>
          <cell r="BH2529" t="str">
            <v>IBO</v>
          </cell>
        </row>
        <row r="2530">
          <cell r="K2530">
            <v>0</v>
          </cell>
          <cell r="L2530">
            <v>0</v>
          </cell>
          <cell r="N2530">
            <v>0</v>
          </cell>
          <cell r="O2530">
            <v>0</v>
          </cell>
          <cell r="Q2530">
            <v>0</v>
          </cell>
          <cell r="R2530">
            <v>0</v>
          </cell>
          <cell r="T2530">
            <v>0</v>
          </cell>
          <cell r="U2530">
            <v>0</v>
          </cell>
          <cell r="W2530">
            <v>0</v>
          </cell>
          <cell r="X2530">
            <v>0</v>
          </cell>
          <cell r="Z2530">
            <v>0</v>
          </cell>
          <cell r="AA2530">
            <v>0</v>
          </cell>
          <cell r="AC2530">
            <v>0</v>
          </cell>
          <cell r="AD2530">
            <v>0</v>
          </cell>
          <cell r="AF2530">
            <v>0</v>
          </cell>
          <cell r="AG2530">
            <v>0</v>
          </cell>
          <cell r="AI2530">
            <v>0</v>
          </cell>
          <cell r="AJ2530">
            <v>0</v>
          </cell>
          <cell r="AL2530">
            <v>0</v>
          </cell>
          <cell r="AM2530">
            <v>0</v>
          </cell>
          <cell r="AO2530">
            <v>0</v>
          </cell>
          <cell r="AP2530">
            <v>0</v>
          </cell>
          <cell r="AR2530">
            <v>0</v>
          </cell>
          <cell r="AS2530">
            <v>0</v>
          </cell>
          <cell r="BF2530" t="str">
            <v>5801</v>
          </cell>
          <cell r="BG2530" t="str">
            <v>J010</v>
          </cell>
          <cell r="BH2530" t="str">
            <v>IBO</v>
          </cell>
        </row>
        <row r="2531">
          <cell r="K2531">
            <v>0</v>
          </cell>
          <cell r="L2531">
            <v>0</v>
          </cell>
          <cell r="N2531">
            <v>0</v>
          </cell>
          <cell r="O2531">
            <v>0</v>
          </cell>
          <cell r="Q2531">
            <v>0</v>
          </cell>
          <cell r="R2531">
            <v>0</v>
          </cell>
          <cell r="T2531">
            <v>0</v>
          </cell>
          <cell r="U2531">
            <v>0</v>
          </cell>
          <cell r="W2531">
            <v>0</v>
          </cell>
          <cell r="X2531">
            <v>0</v>
          </cell>
          <cell r="Z2531">
            <v>0</v>
          </cell>
          <cell r="AA2531">
            <v>0</v>
          </cell>
          <cell r="AC2531">
            <v>0</v>
          </cell>
          <cell r="AD2531">
            <v>0</v>
          </cell>
          <cell r="AF2531">
            <v>0</v>
          </cell>
          <cell r="AG2531">
            <v>0</v>
          </cell>
          <cell r="AI2531">
            <v>0</v>
          </cell>
          <cell r="AJ2531">
            <v>0</v>
          </cell>
          <cell r="AL2531">
            <v>0</v>
          </cell>
          <cell r="AM2531">
            <v>0</v>
          </cell>
          <cell r="AO2531">
            <v>0</v>
          </cell>
          <cell r="AP2531">
            <v>0</v>
          </cell>
          <cell r="AR2531">
            <v>0</v>
          </cell>
          <cell r="AS2531">
            <v>0</v>
          </cell>
          <cell r="BF2531" t="str">
            <v>6000</v>
          </cell>
          <cell r="BG2531" t="str">
            <v>K001</v>
          </cell>
          <cell r="BH2531" t="str">
            <v>IBO</v>
          </cell>
        </row>
        <row r="2532">
          <cell r="K2532">
            <v>0</v>
          </cell>
          <cell r="L2532">
            <v>0</v>
          </cell>
          <cell r="N2532">
            <v>0</v>
          </cell>
          <cell r="O2532">
            <v>0</v>
          </cell>
          <cell r="Q2532">
            <v>0</v>
          </cell>
          <cell r="R2532">
            <v>0</v>
          </cell>
          <cell r="T2532">
            <v>0</v>
          </cell>
          <cell r="U2532">
            <v>0</v>
          </cell>
          <cell r="W2532">
            <v>0</v>
          </cell>
          <cell r="X2532">
            <v>0</v>
          </cell>
          <cell r="Z2532">
            <v>0</v>
          </cell>
          <cell r="AA2532">
            <v>0</v>
          </cell>
          <cell r="AC2532">
            <v>0</v>
          </cell>
          <cell r="AD2532">
            <v>0</v>
          </cell>
          <cell r="AF2532">
            <v>0</v>
          </cell>
          <cell r="AG2532">
            <v>0</v>
          </cell>
          <cell r="AI2532">
            <v>0</v>
          </cell>
          <cell r="AJ2532">
            <v>0</v>
          </cell>
          <cell r="AL2532">
            <v>0</v>
          </cell>
          <cell r="AM2532">
            <v>0</v>
          </cell>
          <cell r="AO2532">
            <v>0</v>
          </cell>
          <cell r="AP2532">
            <v>0</v>
          </cell>
          <cell r="AR2532">
            <v>0</v>
          </cell>
          <cell r="AS2532">
            <v>0</v>
          </cell>
          <cell r="BF2532" t="str">
            <v>6000</v>
          </cell>
          <cell r="BG2532" t="str">
            <v>K002</v>
          </cell>
          <cell r="BH2532" t="str">
            <v>IBO</v>
          </cell>
        </row>
        <row r="2533">
          <cell r="K2533">
            <v>0</v>
          </cell>
          <cell r="L2533">
            <v>0</v>
          </cell>
          <cell r="N2533">
            <v>0</v>
          </cell>
          <cell r="O2533">
            <v>0</v>
          </cell>
          <cell r="Q2533">
            <v>0</v>
          </cell>
          <cell r="R2533">
            <v>0</v>
          </cell>
          <cell r="T2533">
            <v>0</v>
          </cell>
          <cell r="U2533">
            <v>0</v>
          </cell>
          <cell r="W2533">
            <v>0</v>
          </cell>
          <cell r="X2533">
            <v>0</v>
          </cell>
          <cell r="Z2533">
            <v>0</v>
          </cell>
          <cell r="AA2533">
            <v>0</v>
          </cell>
          <cell r="AC2533">
            <v>0</v>
          </cell>
          <cell r="AD2533">
            <v>0</v>
          </cell>
          <cell r="AF2533">
            <v>0</v>
          </cell>
          <cell r="AG2533">
            <v>0</v>
          </cell>
          <cell r="AI2533">
            <v>3125</v>
          </cell>
          <cell r="AJ2533">
            <v>0</v>
          </cell>
          <cell r="AL2533">
            <v>0</v>
          </cell>
          <cell r="AM2533">
            <v>0</v>
          </cell>
          <cell r="AO2533">
            <v>0</v>
          </cell>
          <cell r="AP2533">
            <v>0</v>
          </cell>
          <cell r="AR2533">
            <v>375</v>
          </cell>
          <cell r="AS2533">
            <v>0</v>
          </cell>
          <cell r="BF2533" t="str">
            <v>6100</v>
          </cell>
          <cell r="BG2533" t="str">
            <v>K001</v>
          </cell>
          <cell r="BH2533" t="str">
            <v>IBO</v>
          </cell>
        </row>
        <row r="2534">
          <cell r="K2534">
            <v>0</v>
          </cell>
          <cell r="L2534">
            <v>0</v>
          </cell>
          <cell r="N2534">
            <v>0</v>
          </cell>
          <cell r="O2534">
            <v>0</v>
          </cell>
          <cell r="Q2534">
            <v>0</v>
          </cell>
          <cell r="R2534">
            <v>0</v>
          </cell>
          <cell r="T2534">
            <v>0</v>
          </cell>
          <cell r="U2534">
            <v>0</v>
          </cell>
          <cell r="W2534">
            <v>0</v>
          </cell>
          <cell r="X2534">
            <v>0</v>
          </cell>
          <cell r="Z2534">
            <v>0</v>
          </cell>
          <cell r="AA2534">
            <v>0</v>
          </cell>
          <cell r="AC2534">
            <v>0</v>
          </cell>
          <cell r="AD2534">
            <v>0</v>
          </cell>
          <cell r="AF2534">
            <v>0</v>
          </cell>
          <cell r="AG2534">
            <v>0</v>
          </cell>
          <cell r="AI2534">
            <v>-51.3599999999999</v>
          </cell>
          <cell r="AJ2534">
            <v>0</v>
          </cell>
          <cell r="AL2534">
            <v>-85.6099999999999</v>
          </cell>
          <cell r="AM2534">
            <v>0</v>
          </cell>
          <cell r="AO2534">
            <v>-88.460000000000036</v>
          </cell>
          <cell r="AP2534">
            <v>0</v>
          </cell>
          <cell r="AR2534">
            <v>-122.92999999999984</v>
          </cell>
          <cell r="AS2534">
            <v>0</v>
          </cell>
          <cell r="BF2534" t="str">
            <v>6100</v>
          </cell>
          <cell r="BG2534" t="str">
            <v>K002</v>
          </cell>
          <cell r="BH2534" t="str">
            <v>IBO</v>
          </cell>
        </row>
        <row r="2535">
          <cell r="K2535">
            <v>0</v>
          </cell>
          <cell r="L2535">
            <v>0</v>
          </cell>
          <cell r="N2535">
            <v>0</v>
          </cell>
          <cell r="O2535">
            <v>0</v>
          </cell>
          <cell r="Q2535">
            <v>0</v>
          </cell>
          <cell r="R2535">
            <v>0</v>
          </cell>
          <cell r="T2535">
            <v>0</v>
          </cell>
          <cell r="U2535">
            <v>0</v>
          </cell>
          <cell r="W2535">
            <v>0</v>
          </cell>
          <cell r="X2535">
            <v>0</v>
          </cell>
          <cell r="Z2535">
            <v>0</v>
          </cell>
          <cell r="AA2535">
            <v>0</v>
          </cell>
          <cell r="AC2535">
            <v>0</v>
          </cell>
          <cell r="AD2535">
            <v>0</v>
          </cell>
          <cell r="AF2535">
            <v>0</v>
          </cell>
          <cell r="AG2535">
            <v>0</v>
          </cell>
          <cell r="AI2535">
            <v>0</v>
          </cell>
          <cell r="AJ2535">
            <v>0</v>
          </cell>
          <cell r="AL2535">
            <v>0</v>
          </cell>
          <cell r="AM2535">
            <v>0</v>
          </cell>
          <cell r="AO2535">
            <v>0</v>
          </cell>
          <cell r="AP2535">
            <v>0</v>
          </cell>
          <cell r="AR2535">
            <v>0</v>
          </cell>
          <cell r="AS2535">
            <v>0</v>
          </cell>
          <cell r="BF2535" t="str">
            <v>6200</v>
          </cell>
          <cell r="BG2535" t="str">
            <v>K001</v>
          </cell>
          <cell r="BH2535" t="str">
            <v>IBO</v>
          </cell>
        </row>
        <row r="2536">
          <cell r="K2536">
            <v>0</v>
          </cell>
          <cell r="L2536">
            <v>0</v>
          </cell>
          <cell r="N2536">
            <v>0</v>
          </cell>
          <cell r="O2536">
            <v>0</v>
          </cell>
          <cell r="Q2536">
            <v>0</v>
          </cell>
          <cell r="R2536">
            <v>0</v>
          </cell>
          <cell r="T2536">
            <v>0</v>
          </cell>
          <cell r="U2536">
            <v>0</v>
          </cell>
          <cell r="W2536">
            <v>0</v>
          </cell>
          <cell r="X2536">
            <v>0</v>
          </cell>
          <cell r="Z2536">
            <v>0</v>
          </cell>
          <cell r="AA2536">
            <v>0</v>
          </cell>
          <cell r="AC2536">
            <v>0</v>
          </cell>
          <cell r="AD2536">
            <v>0</v>
          </cell>
          <cell r="AF2536">
            <v>0</v>
          </cell>
          <cell r="AG2536">
            <v>0</v>
          </cell>
          <cell r="AI2536">
            <v>0</v>
          </cell>
          <cell r="AJ2536">
            <v>0</v>
          </cell>
          <cell r="AL2536">
            <v>0</v>
          </cell>
          <cell r="AM2536">
            <v>0</v>
          </cell>
          <cell r="AO2536">
            <v>0</v>
          </cell>
          <cell r="AP2536">
            <v>0</v>
          </cell>
          <cell r="AR2536">
            <v>0</v>
          </cell>
          <cell r="AS2536">
            <v>0</v>
          </cell>
          <cell r="BF2536" t="str">
            <v>6200</v>
          </cell>
          <cell r="BG2536" t="str">
            <v>K002</v>
          </cell>
          <cell r="BH2536" t="str">
            <v>IBO</v>
          </cell>
        </row>
        <row r="2537">
          <cell r="K2537">
            <v>0</v>
          </cell>
          <cell r="L2537">
            <v>0</v>
          </cell>
          <cell r="N2537">
            <v>0</v>
          </cell>
          <cell r="O2537">
            <v>0</v>
          </cell>
          <cell r="Q2537">
            <v>0</v>
          </cell>
          <cell r="R2537">
            <v>0</v>
          </cell>
          <cell r="T2537">
            <v>0</v>
          </cell>
          <cell r="U2537">
            <v>0</v>
          </cell>
          <cell r="W2537">
            <v>0</v>
          </cell>
          <cell r="X2537">
            <v>0</v>
          </cell>
          <cell r="Z2537">
            <v>0</v>
          </cell>
          <cell r="AA2537">
            <v>0</v>
          </cell>
          <cell r="AC2537">
            <v>0</v>
          </cell>
          <cell r="AD2537">
            <v>0</v>
          </cell>
          <cell r="AF2537">
            <v>0</v>
          </cell>
          <cell r="AG2537">
            <v>0</v>
          </cell>
          <cell r="AI2537">
            <v>0</v>
          </cell>
          <cell r="AJ2537">
            <v>0</v>
          </cell>
          <cell r="AL2537">
            <v>0</v>
          </cell>
          <cell r="AM2537">
            <v>0</v>
          </cell>
          <cell r="AO2537">
            <v>0</v>
          </cell>
          <cell r="AP2537">
            <v>0</v>
          </cell>
          <cell r="AR2537">
            <v>0</v>
          </cell>
          <cell r="AS2537">
            <v>0</v>
          </cell>
          <cell r="BF2537" t="str">
            <v>6300</v>
          </cell>
          <cell r="BG2537" t="str">
            <v>K001</v>
          </cell>
          <cell r="BH2537" t="str">
            <v>IBO</v>
          </cell>
        </row>
        <row r="2538">
          <cell r="K2538">
            <v>0</v>
          </cell>
          <cell r="L2538">
            <v>0</v>
          </cell>
          <cell r="N2538">
            <v>0</v>
          </cell>
          <cell r="O2538">
            <v>0</v>
          </cell>
          <cell r="Q2538">
            <v>0</v>
          </cell>
          <cell r="R2538">
            <v>0</v>
          </cell>
          <cell r="T2538">
            <v>0</v>
          </cell>
          <cell r="U2538">
            <v>0</v>
          </cell>
          <cell r="W2538">
            <v>0</v>
          </cell>
          <cell r="X2538">
            <v>0</v>
          </cell>
          <cell r="Z2538">
            <v>0</v>
          </cell>
          <cell r="AA2538">
            <v>0</v>
          </cell>
          <cell r="AC2538">
            <v>0</v>
          </cell>
          <cell r="AD2538">
            <v>0</v>
          </cell>
          <cell r="AF2538">
            <v>0</v>
          </cell>
          <cell r="AG2538">
            <v>0</v>
          </cell>
          <cell r="AI2538">
            <v>0</v>
          </cell>
          <cell r="AJ2538">
            <v>0</v>
          </cell>
          <cell r="AL2538">
            <v>0</v>
          </cell>
          <cell r="AM2538">
            <v>0</v>
          </cell>
          <cell r="AO2538">
            <v>0</v>
          </cell>
          <cell r="AP2538">
            <v>0</v>
          </cell>
          <cell r="AR2538">
            <v>0</v>
          </cell>
          <cell r="AS2538">
            <v>0</v>
          </cell>
          <cell r="BF2538" t="str">
            <v>6300</v>
          </cell>
          <cell r="BG2538" t="str">
            <v>K002</v>
          </cell>
          <cell r="BH2538" t="str">
            <v>IBO</v>
          </cell>
        </row>
        <row r="2539">
          <cell r="K2539">
            <v>0</v>
          </cell>
          <cell r="L2539">
            <v>0</v>
          </cell>
          <cell r="N2539">
            <v>0</v>
          </cell>
          <cell r="O2539">
            <v>0</v>
          </cell>
          <cell r="Q2539">
            <v>0</v>
          </cell>
          <cell r="R2539">
            <v>0</v>
          </cell>
          <cell r="T2539">
            <v>0</v>
          </cell>
          <cell r="U2539">
            <v>0</v>
          </cell>
          <cell r="W2539">
            <v>0</v>
          </cell>
          <cell r="X2539">
            <v>0</v>
          </cell>
          <cell r="Z2539">
            <v>0</v>
          </cell>
          <cell r="AA2539">
            <v>0</v>
          </cell>
          <cell r="AC2539">
            <v>0</v>
          </cell>
          <cell r="AD2539">
            <v>0</v>
          </cell>
          <cell r="AF2539">
            <v>0</v>
          </cell>
          <cell r="AG2539">
            <v>0</v>
          </cell>
          <cell r="AI2539">
            <v>0</v>
          </cell>
          <cell r="AJ2539">
            <v>0</v>
          </cell>
          <cell r="AL2539">
            <v>0</v>
          </cell>
          <cell r="AM2539">
            <v>0</v>
          </cell>
          <cell r="AO2539">
            <v>0</v>
          </cell>
          <cell r="AP2539">
            <v>0</v>
          </cell>
          <cell r="AR2539">
            <v>0</v>
          </cell>
          <cell r="AS2539">
            <v>0</v>
          </cell>
          <cell r="BF2539" t="str">
            <v>6400</v>
          </cell>
          <cell r="BG2539" t="str">
            <v>K001</v>
          </cell>
          <cell r="BH2539" t="str">
            <v>IBO</v>
          </cell>
        </row>
        <row r="2540">
          <cell r="K2540">
            <v>0</v>
          </cell>
          <cell r="L2540">
            <v>0</v>
          </cell>
          <cell r="N2540">
            <v>0</v>
          </cell>
          <cell r="O2540">
            <v>0</v>
          </cell>
          <cell r="Q2540">
            <v>0</v>
          </cell>
          <cell r="R2540">
            <v>0</v>
          </cell>
          <cell r="T2540">
            <v>0</v>
          </cell>
          <cell r="U2540">
            <v>0</v>
          </cell>
          <cell r="W2540">
            <v>0</v>
          </cell>
          <cell r="X2540">
            <v>0</v>
          </cell>
          <cell r="Z2540">
            <v>0</v>
          </cell>
          <cell r="AA2540">
            <v>0</v>
          </cell>
          <cell r="AC2540">
            <v>0</v>
          </cell>
          <cell r="AD2540">
            <v>0</v>
          </cell>
          <cell r="AF2540">
            <v>0</v>
          </cell>
          <cell r="AG2540">
            <v>0</v>
          </cell>
          <cell r="AI2540">
            <v>0</v>
          </cell>
          <cell r="AJ2540">
            <v>0</v>
          </cell>
          <cell r="AL2540">
            <v>0</v>
          </cell>
          <cell r="AM2540">
            <v>0</v>
          </cell>
          <cell r="AO2540">
            <v>0</v>
          </cell>
          <cell r="AP2540">
            <v>0</v>
          </cell>
          <cell r="AR2540">
            <v>0</v>
          </cell>
          <cell r="AS2540">
            <v>0</v>
          </cell>
          <cell r="BF2540" t="str">
            <v>6400</v>
          </cell>
          <cell r="BG2540" t="str">
            <v>K002</v>
          </cell>
          <cell r="BH2540" t="str">
            <v>IBO</v>
          </cell>
        </row>
        <row r="2541">
          <cell r="K2541">
            <v>0</v>
          </cell>
          <cell r="L2541">
            <v>0</v>
          </cell>
          <cell r="N2541">
            <v>0</v>
          </cell>
          <cell r="O2541">
            <v>0</v>
          </cell>
          <cell r="Q2541">
            <v>0</v>
          </cell>
          <cell r="R2541">
            <v>0</v>
          </cell>
          <cell r="T2541">
            <v>0</v>
          </cell>
          <cell r="U2541">
            <v>0</v>
          </cell>
          <cell r="W2541">
            <v>0</v>
          </cell>
          <cell r="X2541">
            <v>0</v>
          </cell>
          <cell r="Z2541">
            <v>0</v>
          </cell>
          <cell r="AA2541">
            <v>0</v>
          </cell>
          <cell r="AC2541">
            <v>0</v>
          </cell>
          <cell r="AD2541">
            <v>0</v>
          </cell>
          <cell r="AF2541">
            <v>0</v>
          </cell>
          <cell r="AG2541">
            <v>0</v>
          </cell>
          <cell r="AI2541">
            <v>0</v>
          </cell>
          <cell r="AJ2541">
            <v>0</v>
          </cell>
          <cell r="AL2541">
            <v>0</v>
          </cell>
          <cell r="AM2541">
            <v>0</v>
          </cell>
          <cell r="AO2541">
            <v>0</v>
          </cell>
          <cell r="AP2541">
            <v>0</v>
          </cell>
          <cell r="AR2541">
            <v>0</v>
          </cell>
          <cell r="AS2541">
            <v>0</v>
          </cell>
          <cell r="BF2541" t="str">
            <v>6500</v>
          </cell>
          <cell r="BG2541" t="str">
            <v>K001</v>
          </cell>
          <cell r="BH2541" t="str">
            <v>IBO</v>
          </cell>
        </row>
        <row r="2542">
          <cell r="K2542">
            <v>0</v>
          </cell>
          <cell r="L2542">
            <v>0</v>
          </cell>
          <cell r="N2542">
            <v>0</v>
          </cell>
          <cell r="O2542">
            <v>0</v>
          </cell>
          <cell r="Q2542">
            <v>0</v>
          </cell>
          <cell r="R2542">
            <v>0</v>
          </cell>
          <cell r="T2542">
            <v>0</v>
          </cell>
          <cell r="U2542">
            <v>0</v>
          </cell>
          <cell r="W2542">
            <v>0</v>
          </cell>
          <cell r="X2542">
            <v>0</v>
          </cell>
          <cell r="Z2542">
            <v>0</v>
          </cell>
          <cell r="AA2542">
            <v>0</v>
          </cell>
          <cell r="AC2542">
            <v>0</v>
          </cell>
          <cell r="AD2542">
            <v>0</v>
          </cell>
          <cell r="AF2542">
            <v>0</v>
          </cell>
          <cell r="AG2542">
            <v>0</v>
          </cell>
          <cell r="AI2542">
            <v>0</v>
          </cell>
          <cell r="AJ2542">
            <v>0</v>
          </cell>
          <cell r="AL2542">
            <v>0</v>
          </cell>
          <cell r="AM2542">
            <v>0</v>
          </cell>
          <cell r="AO2542">
            <v>0</v>
          </cell>
          <cell r="AP2542">
            <v>0</v>
          </cell>
          <cell r="AR2542">
            <v>0</v>
          </cell>
          <cell r="AS2542">
            <v>0</v>
          </cell>
          <cell r="BF2542" t="str">
            <v>6500</v>
          </cell>
          <cell r="BG2542" t="str">
            <v>K002</v>
          </cell>
          <cell r="BH2542" t="str">
            <v>IBO</v>
          </cell>
        </row>
        <row r="2543">
          <cell r="K2543">
            <v>0</v>
          </cell>
          <cell r="L2543">
            <v>0</v>
          </cell>
          <cell r="N2543">
            <v>0</v>
          </cell>
          <cell r="O2543">
            <v>0</v>
          </cell>
          <cell r="Q2543">
            <v>0</v>
          </cell>
          <cell r="R2543">
            <v>0</v>
          </cell>
          <cell r="T2543">
            <v>0</v>
          </cell>
          <cell r="U2543">
            <v>0</v>
          </cell>
          <cell r="W2543">
            <v>0</v>
          </cell>
          <cell r="X2543">
            <v>0</v>
          </cell>
          <cell r="Z2543">
            <v>0</v>
          </cell>
          <cell r="AA2543">
            <v>0</v>
          </cell>
          <cell r="AC2543">
            <v>0</v>
          </cell>
          <cell r="AD2543">
            <v>0</v>
          </cell>
          <cell r="AF2543">
            <v>0</v>
          </cell>
          <cell r="AG2543">
            <v>0</v>
          </cell>
          <cell r="AI2543">
            <v>0</v>
          </cell>
          <cell r="AJ2543">
            <v>0</v>
          </cell>
          <cell r="AL2543">
            <v>0</v>
          </cell>
          <cell r="AM2543">
            <v>0</v>
          </cell>
          <cell r="AO2543">
            <v>0</v>
          </cell>
          <cell r="AP2543">
            <v>0</v>
          </cell>
          <cell r="AR2543">
            <v>0</v>
          </cell>
          <cell r="AS2543">
            <v>0</v>
          </cell>
          <cell r="BF2543" t="str">
            <v>6600</v>
          </cell>
          <cell r="BG2543" t="str">
            <v>K001</v>
          </cell>
          <cell r="BH2543" t="str">
            <v>IBO</v>
          </cell>
        </row>
        <row r="2544">
          <cell r="K2544">
            <v>0</v>
          </cell>
          <cell r="L2544">
            <v>0</v>
          </cell>
          <cell r="N2544">
            <v>0</v>
          </cell>
          <cell r="O2544">
            <v>0</v>
          </cell>
          <cell r="Q2544">
            <v>0</v>
          </cell>
          <cell r="R2544">
            <v>0</v>
          </cell>
          <cell r="T2544">
            <v>0</v>
          </cell>
          <cell r="U2544">
            <v>0</v>
          </cell>
          <cell r="W2544">
            <v>0</v>
          </cell>
          <cell r="X2544">
            <v>0</v>
          </cell>
          <cell r="Z2544">
            <v>0</v>
          </cell>
          <cell r="AA2544">
            <v>0</v>
          </cell>
          <cell r="AC2544">
            <v>0</v>
          </cell>
          <cell r="AD2544">
            <v>0</v>
          </cell>
          <cell r="AF2544">
            <v>0</v>
          </cell>
          <cell r="AG2544">
            <v>0</v>
          </cell>
          <cell r="AI2544">
            <v>0</v>
          </cell>
          <cell r="AJ2544">
            <v>0</v>
          </cell>
          <cell r="AL2544">
            <v>0</v>
          </cell>
          <cell r="AM2544">
            <v>0</v>
          </cell>
          <cell r="AO2544">
            <v>0</v>
          </cell>
          <cell r="AP2544">
            <v>0</v>
          </cell>
          <cell r="AR2544">
            <v>0</v>
          </cell>
          <cell r="AS2544">
            <v>0</v>
          </cell>
          <cell r="BF2544" t="str">
            <v>6600</v>
          </cell>
          <cell r="BG2544" t="str">
            <v>K002</v>
          </cell>
          <cell r="BH2544" t="str">
            <v>IBO</v>
          </cell>
        </row>
        <row r="2545">
          <cell r="K2545">
            <v>0</v>
          </cell>
          <cell r="L2545">
            <v>0</v>
          </cell>
          <cell r="N2545">
            <v>0</v>
          </cell>
          <cell r="O2545">
            <v>0</v>
          </cell>
          <cell r="Q2545">
            <v>0</v>
          </cell>
          <cell r="R2545">
            <v>0</v>
          </cell>
          <cell r="T2545">
            <v>0</v>
          </cell>
          <cell r="U2545">
            <v>0</v>
          </cell>
          <cell r="W2545">
            <v>0</v>
          </cell>
          <cell r="X2545">
            <v>0</v>
          </cell>
          <cell r="Z2545">
            <v>0</v>
          </cell>
          <cell r="AA2545">
            <v>0</v>
          </cell>
          <cell r="AC2545">
            <v>0</v>
          </cell>
          <cell r="AD2545">
            <v>0</v>
          </cell>
          <cell r="AF2545">
            <v>0</v>
          </cell>
          <cell r="AG2545">
            <v>0</v>
          </cell>
          <cell r="AI2545">
            <v>0</v>
          </cell>
          <cell r="AJ2545">
            <v>0</v>
          </cell>
          <cell r="AL2545">
            <v>0</v>
          </cell>
          <cell r="AM2545">
            <v>0</v>
          </cell>
          <cell r="AO2545">
            <v>0</v>
          </cell>
          <cell r="AP2545">
            <v>0</v>
          </cell>
          <cell r="AR2545">
            <v>0</v>
          </cell>
          <cell r="AS2545">
            <v>0</v>
          </cell>
          <cell r="BF2545" t="str">
            <v>7000</v>
          </cell>
          <cell r="BG2545" t="str">
            <v>Z000</v>
          </cell>
          <cell r="BH2545" t="str">
            <v>IBO</v>
          </cell>
        </row>
        <row r="2546">
          <cell r="K2546">
            <v>0</v>
          </cell>
          <cell r="L2546">
            <v>0</v>
          </cell>
          <cell r="N2546">
            <v>0</v>
          </cell>
          <cell r="O2546">
            <v>0</v>
          </cell>
          <cell r="Q2546">
            <v>0</v>
          </cell>
          <cell r="R2546">
            <v>0</v>
          </cell>
          <cell r="T2546">
            <v>0</v>
          </cell>
          <cell r="U2546">
            <v>0</v>
          </cell>
          <cell r="W2546">
            <v>0</v>
          </cell>
          <cell r="X2546">
            <v>0</v>
          </cell>
          <cell r="Z2546">
            <v>0</v>
          </cell>
          <cell r="AA2546">
            <v>0</v>
          </cell>
          <cell r="AC2546">
            <v>0</v>
          </cell>
          <cell r="AD2546">
            <v>0</v>
          </cell>
          <cell r="AF2546">
            <v>0</v>
          </cell>
          <cell r="AG2546">
            <v>0</v>
          </cell>
          <cell r="AI2546">
            <v>0</v>
          </cell>
          <cell r="AJ2546">
            <v>0</v>
          </cell>
          <cell r="AL2546">
            <v>0</v>
          </cell>
          <cell r="AM2546">
            <v>0</v>
          </cell>
          <cell r="AO2546">
            <v>0</v>
          </cell>
          <cell r="AP2546">
            <v>0</v>
          </cell>
          <cell r="AR2546">
            <v>0</v>
          </cell>
          <cell r="AS2546">
            <v>0</v>
          </cell>
          <cell r="BF2546" t="str">
            <v>7001</v>
          </cell>
          <cell r="BG2546" t="str">
            <v>Z000</v>
          </cell>
          <cell r="BH2546" t="str">
            <v>IBO</v>
          </cell>
        </row>
        <row r="2547">
          <cell r="K2547">
            <v>0</v>
          </cell>
          <cell r="L2547">
            <v>0</v>
          </cell>
          <cell r="N2547">
            <v>0</v>
          </cell>
          <cell r="O2547">
            <v>0</v>
          </cell>
          <cell r="Q2547">
            <v>0</v>
          </cell>
          <cell r="R2547">
            <v>0</v>
          </cell>
          <cell r="T2547">
            <v>0</v>
          </cell>
          <cell r="U2547">
            <v>0</v>
          </cell>
          <cell r="W2547">
            <v>0</v>
          </cell>
          <cell r="X2547">
            <v>0</v>
          </cell>
          <cell r="Z2547">
            <v>0</v>
          </cell>
          <cell r="AA2547">
            <v>0</v>
          </cell>
          <cell r="AC2547">
            <v>0</v>
          </cell>
          <cell r="AD2547">
            <v>0</v>
          </cell>
          <cell r="AF2547">
            <v>0</v>
          </cell>
          <cell r="AG2547">
            <v>0</v>
          </cell>
          <cell r="AI2547">
            <v>0</v>
          </cell>
          <cell r="AJ2547">
            <v>0</v>
          </cell>
          <cell r="AL2547">
            <v>0</v>
          </cell>
          <cell r="AM2547">
            <v>0</v>
          </cell>
          <cell r="AO2547">
            <v>0</v>
          </cell>
          <cell r="AP2547">
            <v>0</v>
          </cell>
          <cell r="AR2547">
            <v>0</v>
          </cell>
          <cell r="AS2547">
            <v>0</v>
          </cell>
          <cell r="BF2547" t="str">
            <v>7002</v>
          </cell>
          <cell r="BG2547" t="str">
            <v>Z000</v>
          </cell>
          <cell r="BH2547" t="str">
            <v>IBO</v>
          </cell>
        </row>
        <row r="2548">
          <cell r="K2548">
            <v>0</v>
          </cell>
          <cell r="L2548">
            <v>0</v>
          </cell>
          <cell r="N2548">
            <v>0</v>
          </cell>
          <cell r="O2548">
            <v>0</v>
          </cell>
          <cell r="Q2548">
            <v>0</v>
          </cell>
          <cell r="R2548">
            <v>0</v>
          </cell>
          <cell r="T2548">
            <v>0</v>
          </cell>
          <cell r="U2548">
            <v>0</v>
          </cell>
          <cell r="W2548">
            <v>0</v>
          </cell>
          <cell r="X2548">
            <v>0</v>
          </cell>
          <cell r="Z2548">
            <v>0</v>
          </cell>
          <cell r="AA2548">
            <v>0</v>
          </cell>
          <cell r="AC2548">
            <v>0</v>
          </cell>
          <cell r="AD2548">
            <v>0</v>
          </cell>
          <cell r="AF2548">
            <v>0</v>
          </cell>
          <cell r="AG2548">
            <v>0</v>
          </cell>
          <cell r="AI2548">
            <v>0</v>
          </cell>
          <cell r="AJ2548">
            <v>0</v>
          </cell>
          <cell r="AL2548">
            <v>0</v>
          </cell>
          <cell r="AM2548">
            <v>0</v>
          </cell>
          <cell r="AO2548">
            <v>0</v>
          </cell>
          <cell r="AP2548">
            <v>0</v>
          </cell>
          <cell r="AR2548">
            <v>0</v>
          </cell>
          <cell r="AS2548">
            <v>0</v>
          </cell>
          <cell r="BF2548" t="str">
            <v>7100</v>
          </cell>
          <cell r="BG2548" t="str">
            <v>Z000</v>
          </cell>
          <cell r="BH2548" t="str">
            <v>IBO</v>
          </cell>
        </row>
        <row r="2549">
          <cell r="K2549">
            <v>0</v>
          </cell>
          <cell r="L2549">
            <v>0</v>
          </cell>
          <cell r="N2549">
            <v>0</v>
          </cell>
          <cell r="O2549">
            <v>0</v>
          </cell>
          <cell r="Q2549">
            <v>0</v>
          </cell>
          <cell r="R2549">
            <v>0</v>
          </cell>
          <cell r="T2549">
            <v>0</v>
          </cell>
          <cell r="U2549">
            <v>0</v>
          </cell>
          <cell r="W2549">
            <v>0</v>
          </cell>
          <cell r="X2549">
            <v>0</v>
          </cell>
          <cell r="Z2549">
            <v>0</v>
          </cell>
          <cell r="AA2549">
            <v>0</v>
          </cell>
          <cell r="AC2549">
            <v>0</v>
          </cell>
          <cell r="AD2549">
            <v>0</v>
          </cell>
          <cell r="AF2549">
            <v>0</v>
          </cell>
          <cell r="AG2549">
            <v>0</v>
          </cell>
          <cell r="AI2549">
            <v>0</v>
          </cell>
          <cell r="AJ2549">
            <v>0</v>
          </cell>
          <cell r="AL2549">
            <v>0</v>
          </cell>
          <cell r="AM2549">
            <v>0</v>
          </cell>
          <cell r="AO2549">
            <v>0</v>
          </cell>
          <cell r="AP2549">
            <v>0</v>
          </cell>
          <cell r="AR2549">
            <v>0</v>
          </cell>
          <cell r="AS2549">
            <v>0</v>
          </cell>
          <cell r="BF2549" t="str">
            <v>7300</v>
          </cell>
          <cell r="BG2549" t="str">
            <v>Z000</v>
          </cell>
          <cell r="BH2549" t="str">
            <v>IBO</v>
          </cell>
        </row>
        <row r="2550">
          <cell r="K2550">
            <v>0</v>
          </cell>
          <cell r="L2550">
            <v>0</v>
          </cell>
          <cell r="N2550">
            <v>0</v>
          </cell>
          <cell r="O2550">
            <v>0</v>
          </cell>
          <cell r="Q2550">
            <v>0</v>
          </cell>
          <cell r="R2550">
            <v>0</v>
          </cell>
          <cell r="T2550">
            <v>0</v>
          </cell>
          <cell r="U2550">
            <v>0</v>
          </cell>
          <cell r="W2550">
            <v>0</v>
          </cell>
          <cell r="X2550">
            <v>0</v>
          </cell>
          <cell r="Z2550">
            <v>0</v>
          </cell>
          <cell r="AA2550">
            <v>0</v>
          </cell>
          <cell r="AC2550">
            <v>0</v>
          </cell>
          <cell r="AD2550">
            <v>0</v>
          </cell>
          <cell r="AF2550">
            <v>0</v>
          </cell>
          <cell r="AG2550">
            <v>0</v>
          </cell>
          <cell r="AI2550">
            <v>0</v>
          </cell>
          <cell r="AJ2550">
            <v>0</v>
          </cell>
          <cell r="AL2550">
            <v>0</v>
          </cell>
          <cell r="AM2550">
            <v>0</v>
          </cell>
          <cell r="AO2550">
            <v>0</v>
          </cell>
          <cell r="AP2550">
            <v>0</v>
          </cell>
          <cell r="AR2550">
            <v>0</v>
          </cell>
          <cell r="AS2550">
            <v>0</v>
          </cell>
          <cell r="BF2550" t="str">
            <v>7350</v>
          </cell>
          <cell r="BG2550" t="str">
            <v>Z000</v>
          </cell>
          <cell r="BH2550" t="str">
            <v>IBO</v>
          </cell>
        </row>
        <row r="2551">
          <cell r="K2551">
            <v>0</v>
          </cell>
          <cell r="L2551">
            <v>0</v>
          </cell>
          <cell r="N2551">
            <v>0</v>
          </cell>
          <cell r="O2551">
            <v>0</v>
          </cell>
          <cell r="Q2551">
            <v>0</v>
          </cell>
          <cell r="R2551">
            <v>0</v>
          </cell>
          <cell r="T2551">
            <v>0</v>
          </cell>
          <cell r="U2551">
            <v>0</v>
          </cell>
          <cell r="W2551">
            <v>0</v>
          </cell>
          <cell r="X2551">
            <v>0</v>
          </cell>
          <cell r="Z2551">
            <v>0</v>
          </cell>
          <cell r="AA2551">
            <v>0</v>
          </cell>
          <cell r="AC2551">
            <v>0</v>
          </cell>
          <cell r="AD2551">
            <v>0</v>
          </cell>
          <cell r="AF2551">
            <v>0</v>
          </cell>
          <cell r="AG2551">
            <v>0</v>
          </cell>
          <cell r="AI2551">
            <v>0</v>
          </cell>
          <cell r="AJ2551">
            <v>0</v>
          </cell>
          <cell r="AL2551">
            <v>0</v>
          </cell>
          <cell r="AM2551">
            <v>0</v>
          </cell>
          <cell r="AO2551">
            <v>0</v>
          </cell>
          <cell r="AP2551">
            <v>0</v>
          </cell>
          <cell r="AR2551">
            <v>0</v>
          </cell>
          <cell r="AS2551">
            <v>0</v>
          </cell>
          <cell r="BF2551" t="str">
            <v>7400</v>
          </cell>
          <cell r="BG2551" t="str">
            <v>Z000</v>
          </cell>
          <cell r="BH2551" t="str">
            <v>IBO</v>
          </cell>
        </row>
        <row r="2552">
          <cell r="K2552">
            <v>0</v>
          </cell>
          <cell r="L2552">
            <v>0</v>
          </cell>
          <cell r="N2552">
            <v>0</v>
          </cell>
          <cell r="O2552">
            <v>0</v>
          </cell>
          <cell r="Q2552">
            <v>0</v>
          </cell>
          <cell r="R2552">
            <v>0</v>
          </cell>
          <cell r="T2552">
            <v>0</v>
          </cell>
          <cell r="U2552">
            <v>0</v>
          </cell>
          <cell r="W2552">
            <v>0</v>
          </cell>
          <cell r="X2552">
            <v>0</v>
          </cell>
          <cell r="Z2552">
            <v>0</v>
          </cell>
          <cell r="AA2552">
            <v>0</v>
          </cell>
          <cell r="AC2552">
            <v>0</v>
          </cell>
          <cell r="AD2552">
            <v>0</v>
          </cell>
          <cell r="AF2552">
            <v>0</v>
          </cell>
          <cell r="AG2552">
            <v>0</v>
          </cell>
          <cell r="AI2552">
            <v>0</v>
          </cell>
          <cell r="AJ2552">
            <v>0</v>
          </cell>
          <cell r="AL2552">
            <v>0</v>
          </cell>
          <cell r="AM2552">
            <v>0</v>
          </cell>
          <cell r="AO2552">
            <v>0</v>
          </cell>
          <cell r="AP2552">
            <v>0</v>
          </cell>
          <cell r="AR2552">
            <v>0</v>
          </cell>
          <cell r="AS2552">
            <v>0</v>
          </cell>
          <cell r="BF2552" t="str">
            <v>7500</v>
          </cell>
          <cell r="BG2552" t="str">
            <v>Z000</v>
          </cell>
          <cell r="BH2552" t="str">
            <v>IBO</v>
          </cell>
        </row>
        <row r="2553">
          <cell r="K2553">
            <v>0</v>
          </cell>
          <cell r="L2553">
            <v>0</v>
          </cell>
          <cell r="N2553">
            <v>0</v>
          </cell>
          <cell r="O2553">
            <v>0</v>
          </cell>
          <cell r="Q2553">
            <v>0</v>
          </cell>
          <cell r="R2553">
            <v>0</v>
          </cell>
          <cell r="T2553">
            <v>0</v>
          </cell>
          <cell r="U2553">
            <v>0</v>
          </cell>
          <cell r="W2553">
            <v>0</v>
          </cell>
          <cell r="X2553">
            <v>0</v>
          </cell>
          <cell r="Z2553">
            <v>0</v>
          </cell>
          <cell r="AA2553">
            <v>0</v>
          </cell>
          <cell r="AC2553">
            <v>0</v>
          </cell>
          <cell r="AD2553">
            <v>0</v>
          </cell>
          <cell r="AF2553">
            <v>0</v>
          </cell>
          <cell r="AG2553">
            <v>0</v>
          </cell>
          <cell r="AI2553">
            <v>0</v>
          </cell>
          <cell r="AJ2553">
            <v>0</v>
          </cell>
          <cell r="AL2553">
            <v>0</v>
          </cell>
          <cell r="AM2553">
            <v>0</v>
          </cell>
          <cell r="AO2553">
            <v>0</v>
          </cell>
          <cell r="AP2553">
            <v>0</v>
          </cell>
          <cell r="AR2553">
            <v>0</v>
          </cell>
          <cell r="AS2553">
            <v>0</v>
          </cell>
          <cell r="BF2553" t="str">
            <v>7600</v>
          </cell>
          <cell r="BG2553" t="str">
            <v>Z000</v>
          </cell>
          <cell r="BH2553" t="str">
            <v>IBO</v>
          </cell>
        </row>
        <row r="2554">
          <cell r="K2554">
            <v>0</v>
          </cell>
          <cell r="L2554">
            <v>0</v>
          </cell>
          <cell r="N2554">
            <v>0</v>
          </cell>
          <cell r="O2554">
            <v>0</v>
          </cell>
          <cell r="Q2554">
            <v>0</v>
          </cell>
          <cell r="R2554">
            <v>0</v>
          </cell>
          <cell r="T2554">
            <v>0</v>
          </cell>
          <cell r="U2554">
            <v>0</v>
          </cell>
          <cell r="W2554">
            <v>0</v>
          </cell>
          <cell r="X2554">
            <v>0</v>
          </cell>
          <cell r="Z2554">
            <v>0</v>
          </cell>
          <cell r="AA2554">
            <v>0</v>
          </cell>
          <cell r="AC2554">
            <v>0</v>
          </cell>
          <cell r="AD2554">
            <v>0</v>
          </cell>
          <cell r="AF2554">
            <v>0</v>
          </cell>
          <cell r="AG2554">
            <v>0</v>
          </cell>
          <cell r="AI2554">
            <v>0</v>
          </cell>
          <cell r="AJ2554">
            <v>0</v>
          </cell>
          <cell r="AL2554">
            <v>0</v>
          </cell>
          <cell r="AM2554">
            <v>0</v>
          </cell>
          <cell r="AO2554">
            <v>0</v>
          </cell>
          <cell r="AP2554">
            <v>0</v>
          </cell>
          <cell r="AR2554">
            <v>0</v>
          </cell>
          <cell r="AS2554">
            <v>0</v>
          </cell>
          <cell r="BF2554" t="str">
            <v>7700</v>
          </cell>
          <cell r="BG2554" t="str">
            <v>Z000</v>
          </cell>
          <cell r="BH2554" t="str">
            <v>IBO</v>
          </cell>
        </row>
        <row r="2555">
          <cell r="K2555">
            <v>0</v>
          </cell>
          <cell r="L2555">
            <v>0</v>
          </cell>
          <cell r="N2555">
            <v>0</v>
          </cell>
          <cell r="O2555">
            <v>0</v>
          </cell>
          <cell r="Q2555">
            <v>0</v>
          </cell>
          <cell r="R2555">
            <v>0</v>
          </cell>
          <cell r="T2555">
            <v>0</v>
          </cell>
          <cell r="U2555">
            <v>0</v>
          </cell>
          <cell r="W2555">
            <v>0</v>
          </cell>
          <cell r="X2555">
            <v>0</v>
          </cell>
          <cell r="Z2555">
            <v>0</v>
          </cell>
          <cell r="AA2555">
            <v>0</v>
          </cell>
          <cell r="AC2555">
            <v>0</v>
          </cell>
          <cell r="AD2555">
            <v>0</v>
          </cell>
          <cell r="AF2555">
            <v>0</v>
          </cell>
          <cell r="AG2555">
            <v>0</v>
          </cell>
          <cell r="AI2555">
            <v>0</v>
          </cell>
          <cell r="AJ2555">
            <v>0</v>
          </cell>
          <cell r="AL2555">
            <v>0</v>
          </cell>
          <cell r="AM2555">
            <v>0</v>
          </cell>
          <cell r="AO2555">
            <v>0</v>
          </cell>
          <cell r="AP2555">
            <v>0</v>
          </cell>
          <cell r="AR2555">
            <v>0</v>
          </cell>
          <cell r="AS2555">
            <v>0</v>
          </cell>
          <cell r="BF2555" t="str">
            <v>8002</v>
          </cell>
          <cell r="BG2555" t="str">
            <v>Z000</v>
          </cell>
          <cell r="BH2555" t="str">
            <v>IBO</v>
          </cell>
        </row>
        <row r="2556">
          <cell r="K2556">
            <v>0</v>
          </cell>
          <cell r="L2556">
            <v>0</v>
          </cell>
          <cell r="N2556">
            <v>0</v>
          </cell>
          <cell r="O2556">
            <v>0</v>
          </cell>
          <cell r="Q2556">
            <v>0</v>
          </cell>
          <cell r="R2556">
            <v>0</v>
          </cell>
          <cell r="T2556">
            <v>0</v>
          </cell>
          <cell r="U2556">
            <v>0</v>
          </cell>
          <cell r="W2556">
            <v>0</v>
          </cell>
          <cell r="X2556">
            <v>0</v>
          </cell>
          <cell r="Z2556">
            <v>0</v>
          </cell>
          <cell r="AA2556">
            <v>0</v>
          </cell>
          <cell r="AC2556">
            <v>0</v>
          </cell>
          <cell r="AD2556">
            <v>0</v>
          </cell>
          <cell r="AF2556">
            <v>0</v>
          </cell>
          <cell r="AG2556">
            <v>0</v>
          </cell>
          <cell r="AI2556">
            <v>0</v>
          </cell>
          <cell r="AJ2556">
            <v>0</v>
          </cell>
          <cell r="AL2556">
            <v>0</v>
          </cell>
          <cell r="AM2556">
            <v>0</v>
          </cell>
          <cell r="AO2556">
            <v>0</v>
          </cell>
          <cell r="AP2556">
            <v>0</v>
          </cell>
          <cell r="AR2556">
            <v>0</v>
          </cell>
          <cell r="AS2556">
            <v>0</v>
          </cell>
          <cell r="BF2556" t="str">
            <v>8003</v>
          </cell>
          <cell r="BG2556" t="str">
            <v>Z000</v>
          </cell>
          <cell r="BH2556" t="str">
            <v>IBO</v>
          </cell>
        </row>
        <row r="2557">
          <cell r="K2557">
            <v>0</v>
          </cell>
          <cell r="L2557">
            <v>0</v>
          </cell>
          <cell r="N2557">
            <v>0</v>
          </cell>
          <cell r="O2557">
            <v>0</v>
          </cell>
          <cell r="Q2557">
            <v>0</v>
          </cell>
          <cell r="R2557">
            <v>0</v>
          </cell>
          <cell r="T2557">
            <v>0</v>
          </cell>
          <cell r="U2557">
            <v>0</v>
          </cell>
          <cell r="W2557">
            <v>0</v>
          </cell>
          <cell r="X2557">
            <v>0</v>
          </cell>
          <cell r="Z2557">
            <v>0</v>
          </cell>
          <cell r="AA2557">
            <v>0</v>
          </cell>
          <cell r="AC2557">
            <v>0</v>
          </cell>
          <cell r="AD2557">
            <v>0</v>
          </cell>
          <cell r="AF2557">
            <v>0</v>
          </cell>
          <cell r="AG2557">
            <v>0</v>
          </cell>
          <cell r="AI2557">
            <v>0</v>
          </cell>
          <cell r="AJ2557">
            <v>0</v>
          </cell>
          <cell r="AL2557">
            <v>0</v>
          </cell>
          <cell r="AM2557">
            <v>0</v>
          </cell>
          <cell r="AO2557">
            <v>0</v>
          </cell>
          <cell r="AP2557">
            <v>0</v>
          </cell>
          <cell r="AR2557">
            <v>0</v>
          </cell>
          <cell r="AS2557">
            <v>0</v>
          </cell>
          <cell r="BF2557" t="str">
            <v>8200</v>
          </cell>
          <cell r="BG2557" t="str">
            <v>Z000</v>
          </cell>
          <cell r="BH2557" t="str">
            <v>IBO</v>
          </cell>
        </row>
        <row r="2558">
          <cell r="K2558">
            <v>0</v>
          </cell>
          <cell r="L2558">
            <v>0</v>
          </cell>
          <cell r="N2558">
            <v>0</v>
          </cell>
          <cell r="O2558">
            <v>0</v>
          </cell>
          <cell r="Q2558">
            <v>0</v>
          </cell>
          <cell r="R2558">
            <v>0</v>
          </cell>
          <cell r="T2558">
            <v>0</v>
          </cell>
          <cell r="U2558">
            <v>0</v>
          </cell>
          <cell r="W2558">
            <v>0</v>
          </cell>
          <cell r="X2558">
            <v>0</v>
          </cell>
          <cell r="Z2558">
            <v>0</v>
          </cell>
          <cell r="AA2558">
            <v>0</v>
          </cell>
          <cell r="AC2558">
            <v>0</v>
          </cell>
          <cell r="AD2558">
            <v>0</v>
          </cell>
          <cell r="AF2558">
            <v>0</v>
          </cell>
          <cell r="AG2558">
            <v>0</v>
          </cell>
          <cell r="AI2558">
            <v>0</v>
          </cell>
          <cell r="AJ2558">
            <v>0</v>
          </cell>
          <cell r="AL2558">
            <v>0</v>
          </cell>
          <cell r="AM2558">
            <v>0</v>
          </cell>
          <cell r="AO2558">
            <v>0</v>
          </cell>
          <cell r="AP2558">
            <v>0</v>
          </cell>
          <cell r="AR2558">
            <v>0</v>
          </cell>
          <cell r="AS2558">
            <v>0</v>
          </cell>
          <cell r="BF2558" t="str">
            <v>8201</v>
          </cell>
          <cell r="BG2558" t="str">
            <v>Z000</v>
          </cell>
          <cell r="BH2558" t="str">
            <v>IBO</v>
          </cell>
        </row>
        <row r="2559">
          <cell r="K2559">
            <v>0</v>
          </cell>
          <cell r="L2559">
            <v>0</v>
          </cell>
          <cell r="N2559">
            <v>0</v>
          </cell>
          <cell r="O2559">
            <v>0</v>
          </cell>
          <cell r="Q2559">
            <v>0</v>
          </cell>
          <cell r="R2559">
            <v>0</v>
          </cell>
          <cell r="T2559">
            <v>0</v>
          </cell>
          <cell r="U2559">
            <v>0</v>
          </cell>
          <cell r="W2559">
            <v>0</v>
          </cell>
          <cell r="X2559">
            <v>0</v>
          </cell>
          <cell r="Z2559">
            <v>0</v>
          </cell>
          <cell r="AA2559">
            <v>0</v>
          </cell>
          <cell r="AC2559">
            <v>0</v>
          </cell>
          <cell r="AD2559">
            <v>0</v>
          </cell>
          <cell r="AF2559">
            <v>0</v>
          </cell>
          <cell r="AG2559">
            <v>0</v>
          </cell>
          <cell r="AI2559">
            <v>0</v>
          </cell>
          <cell r="AJ2559">
            <v>0</v>
          </cell>
          <cell r="AL2559">
            <v>0</v>
          </cell>
          <cell r="AM2559">
            <v>0</v>
          </cell>
          <cell r="AO2559">
            <v>0</v>
          </cell>
          <cell r="AP2559">
            <v>0</v>
          </cell>
          <cell r="AR2559">
            <v>0</v>
          </cell>
          <cell r="AS2559">
            <v>0</v>
          </cell>
          <cell r="BF2559" t="str">
            <v>8300</v>
          </cell>
          <cell r="BG2559" t="str">
            <v>Z000</v>
          </cell>
          <cell r="BH2559" t="str">
            <v>IBO</v>
          </cell>
        </row>
        <row r="2560">
          <cell r="K2560">
            <v>0</v>
          </cell>
          <cell r="L2560">
            <v>0</v>
          </cell>
          <cell r="N2560">
            <v>0</v>
          </cell>
          <cell r="O2560">
            <v>0</v>
          </cell>
          <cell r="Q2560">
            <v>0</v>
          </cell>
          <cell r="R2560">
            <v>0</v>
          </cell>
          <cell r="T2560">
            <v>3.4924596548080444E-10</v>
          </cell>
          <cell r="U2560">
            <v>0</v>
          </cell>
          <cell r="W2560">
            <v>0</v>
          </cell>
          <cell r="X2560">
            <v>0</v>
          </cell>
          <cell r="Z2560">
            <v>0</v>
          </cell>
          <cell r="AA2560">
            <v>0</v>
          </cell>
          <cell r="AC2560">
            <v>0</v>
          </cell>
          <cell r="AD2560">
            <v>0</v>
          </cell>
          <cell r="AF2560">
            <v>0</v>
          </cell>
          <cell r="AG2560">
            <v>0</v>
          </cell>
          <cell r="AI2560">
            <v>0</v>
          </cell>
          <cell r="AJ2560">
            <v>0</v>
          </cell>
          <cell r="AL2560">
            <v>0</v>
          </cell>
          <cell r="AM2560">
            <v>0</v>
          </cell>
          <cell r="AO2560">
            <v>0</v>
          </cell>
          <cell r="AP2560">
            <v>0</v>
          </cell>
          <cell r="AR2560">
            <v>0</v>
          </cell>
          <cell r="AS2560">
            <v>0</v>
          </cell>
          <cell r="BF2560" t="str">
            <v>8400</v>
          </cell>
          <cell r="BG2560" t="str">
            <v>N001</v>
          </cell>
          <cell r="BH2560" t="str">
            <v>IBO</v>
          </cell>
        </row>
        <row r="2561">
          <cell r="K2561">
            <v>0</v>
          </cell>
          <cell r="L2561">
            <v>0</v>
          </cell>
          <cell r="N2561">
            <v>0</v>
          </cell>
          <cell r="O2561">
            <v>0</v>
          </cell>
          <cell r="Q2561">
            <v>0</v>
          </cell>
          <cell r="R2561">
            <v>0</v>
          </cell>
          <cell r="T2561">
            <v>0</v>
          </cell>
          <cell r="U2561">
            <v>0</v>
          </cell>
          <cell r="W2561">
            <v>0</v>
          </cell>
          <cell r="X2561">
            <v>0</v>
          </cell>
          <cell r="Z2561">
            <v>0</v>
          </cell>
          <cell r="AA2561">
            <v>0</v>
          </cell>
          <cell r="AC2561">
            <v>0</v>
          </cell>
          <cell r="AD2561">
            <v>0</v>
          </cell>
          <cell r="AF2561">
            <v>0</v>
          </cell>
          <cell r="AG2561">
            <v>0</v>
          </cell>
          <cell r="AI2561">
            <v>0</v>
          </cell>
          <cell r="AJ2561">
            <v>0</v>
          </cell>
          <cell r="AL2561">
            <v>0</v>
          </cell>
          <cell r="AM2561">
            <v>0</v>
          </cell>
          <cell r="AO2561">
            <v>0</v>
          </cell>
          <cell r="AP2561">
            <v>0</v>
          </cell>
          <cell r="AR2561">
            <v>0</v>
          </cell>
          <cell r="AS2561">
            <v>0</v>
          </cell>
          <cell r="BF2561" t="str">
            <v>8400</v>
          </cell>
          <cell r="BG2561" t="str">
            <v>N002</v>
          </cell>
          <cell r="BH2561" t="str">
            <v>IBO</v>
          </cell>
        </row>
        <row r="2562">
          <cell r="K2562">
            <v>0</v>
          </cell>
          <cell r="L2562">
            <v>0</v>
          </cell>
          <cell r="N2562">
            <v>0</v>
          </cell>
          <cell r="O2562">
            <v>0</v>
          </cell>
          <cell r="Q2562">
            <v>0</v>
          </cell>
          <cell r="R2562">
            <v>0</v>
          </cell>
          <cell r="T2562">
            <v>0</v>
          </cell>
          <cell r="U2562">
            <v>0</v>
          </cell>
          <cell r="W2562">
            <v>0</v>
          </cell>
          <cell r="X2562">
            <v>0</v>
          </cell>
          <cell r="Z2562">
            <v>0</v>
          </cell>
          <cell r="AA2562">
            <v>0</v>
          </cell>
          <cell r="AC2562">
            <v>0</v>
          </cell>
          <cell r="AD2562">
            <v>0</v>
          </cell>
          <cell r="AF2562">
            <v>0</v>
          </cell>
          <cell r="AG2562">
            <v>0</v>
          </cell>
          <cell r="AI2562">
            <v>0</v>
          </cell>
          <cell r="AJ2562">
            <v>0</v>
          </cell>
          <cell r="AL2562">
            <v>0</v>
          </cell>
          <cell r="AM2562">
            <v>0</v>
          </cell>
          <cell r="AO2562">
            <v>0</v>
          </cell>
          <cell r="AP2562">
            <v>0</v>
          </cell>
          <cell r="AR2562">
            <v>0</v>
          </cell>
          <cell r="AS2562">
            <v>0</v>
          </cell>
          <cell r="BF2562" t="str">
            <v>8400</v>
          </cell>
          <cell r="BG2562" t="str">
            <v>N003</v>
          </cell>
          <cell r="BH2562" t="str">
            <v>IBO</v>
          </cell>
        </row>
        <row r="2563">
          <cell r="K2563">
            <v>0</v>
          </cell>
          <cell r="L2563">
            <v>0</v>
          </cell>
          <cell r="N2563">
            <v>0</v>
          </cell>
          <cell r="O2563">
            <v>0</v>
          </cell>
          <cell r="Q2563">
            <v>0</v>
          </cell>
          <cell r="R2563">
            <v>0</v>
          </cell>
          <cell r="T2563">
            <v>0</v>
          </cell>
          <cell r="U2563">
            <v>0</v>
          </cell>
          <cell r="W2563">
            <v>0</v>
          </cell>
          <cell r="X2563">
            <v>0</v>
          </cell>
          <cell r="Z2563">
            <v>0</v>
          </cell>
          <cell r="AA2563">
            <v>0</v>
          </cell>
          <cell r="AC2563">
            <v>0</v>
          </cell>
          <cell r="AD2563">
            <v>0</v>
          </cell>
          <cell r="AF2563">
            <v>0</v>
          </cell>
          <cell r="AG2563">
            <v>0</v>
          </cell>
          <cell r="AI2563">
            <v>0</v>
          </cell>
          <cell r="AJ2563">
            <v>0</v>
          </cell>
          <cell r="AL2563">
            <v>0</v>
          </cell>
          <cell r="AM2563">
            <v>0</v>
          </cell>
          <cell r="AO2563">
            <v>0</v>
          </cell>
          <cell r="AP2563">
            <v>0</v>
          </cell>
          <cell r="AR2563">
            <v>0</v>
          </cell>
          <cell r="AS2563">
            <v>0</v>
          </cell>
          <cell r="BF2563" t="str">
            <v>8400</v>
          </cell>
          <cell r="BG2563" t="str">
            <v>N004</v>
          </cell>
          <cell r="BH2563" t="str">
            <v>IBO</v>
          </cell>
        </row>
        <row r="2564">
          <cell r="K2564">
            <v>0</v>
          </cell>
          <cell r="L2564">
            <v>0</v>
          </cell>
          <cell r="N2564">
            <v>0</v>
          </cell>
          <cell r="O2564">
            <v>0</v>
          </cell>
          <cell r="Q2564">
            <v>0</v>
          </cell>
          <cell r="R2564">
            <v>0</v>
          </cell>
          <cell r="T2564">
            <v>0</v>
          </cell>
          <cell r="U2564">
            <v>0</v>
          </cell>
          <cell r="W2564">
            <v>0</v>
          </cell>
          <cell r="X2564">
            <v>0</v>
          </cell>
          <cell r="Z2564">
            <v>0</v>
          </cell>
          <cell r="AA2564">
            <v>0</v>
          </cell>
          <cell r="AC2564">
            <v>0</v>
          </cell>
          <cell r="AD2564">
            <v>0</v>
          </cell>
          <cell r="AF2564">
            <v>0</v>
          </cell>
          <cell r="AG2564">
            <v>0</v>
          </cell>
          <cell r="AI2564">
            <v>0</v>
          </cell>
          <cell r="AJ2564">
            <v>0</v>
          </cell>
          <cell r="AL2564">
            <v>0</v>
          </cell>
          <cell r="AM2564">
            <v>0</v>
          </cell>
          <cell r="AO2564">
            <v>0</v>
          </cell>
          <cell r="AP2564">
            <v>0</v>
          </cell>
          <cell r="AR2564">
            <v>0</v>
          </cell>
          <cell r="AS2564">
            <v>0</v>
          </cell>
          <cell r="BF2564" t="str">
            <v>8400</v>
          </cell>
          <cell r="BG2564" t="str">
            <v>N005</v>
          </cell>
          <cell r="BH2564" t="str">
            <v>IBO</v>
          </cell>
        </row>
        <row r="2565">
          <cell r="K2565">
            <v>0</v>
          </cell>
          <cell r="L2565">
            <v>0</v>
          </cell>
          <cell r="N2565">
            <v>0</v>
          </cell>
          <cell r="O2565">
            <v>0</v>
          </cell>
          <cell r="Q2565">
            <v>0</v>
          </cell>
          <cell r="R2565">
            <v>0</v>
          </cell>
          <cell r="T2565">
            <v>0</v>
          </cell>
          <cell r="U2565">
            <v>0</v>
          </cell>
          <cell r="W2565">
            <v>0</v>
          </cell>
          <cell r="X2565">
            <v>0</v>
          </cell>
          <cell r="Z2565">
            <v>0</v>
          </cell>
          <cell r="AA2565">
            <v>0</v>
          </cell>
          <cell r="AC2565">
            <v>0</v>
          </cell>
          <cell r="AD2565">
            <v>0</v>
          </cell>
          <cell r="AF2565">
            <v>0</v>
          </cell>
          <cell r="AG2565">
            <v>0</v>
          </cell>
          <cell r="AI2565">
            <v>0</v>
          </cell>
          <cell r="AJ2565">
            <v>0</v>
          </cell>
          <cell r="AL2565">
            <v>0</v>
          </cell>
          <cell r="AM2565">
            <v>0</v>
          </cell>
          <cell r="AO2565">
            <v>0</v>
          </cell>
          <cell r="AP2565">
            <v>0</v>
          </cell>
          <cell r="AR2565">
            <v>0</v>
          </cell>
          <cell r="AS2565">
            <v>0</v>
          </cell>
          <cell r="BF2565" t="str">
            <v>8400</v>
          </cell>
          <cell r="BG2565" t="str">
            <v>N006</v>
          </cell>
          <cell r="BH2565" t="str">
            <v>IBO</v>
          </cell>
        </row>
        <row r="2566">
          <cell r="K2566">
            <v>0</v>
          </cell>
          <cell r="L2566">
            <v>0</v>
          </cell>
          <cell r="N2566">
            <v>0</v>
          </cell>
          <cell r="O2566">
            <v>0</v>
          </cell>
          <cell r="Q2566">
            <v>0</v>
          </cell>
          <cell r="R2566">
            <v>0</v>
          </cell>
          <cell r="T2566">
            <v>0</v>
          </cell>
          <cell r="U2566">
            <v>0</v>
          </cell>
          <cell r="W2566">
            <v>0</v>
          </cell>
          <cell r="X2566">
            <v>0</v>
          </cell>
          <cell r="Z2566">
            <v>0</v>
          </cell>
          <cell r="AA2566">
            <v>0</v>
          </cell>
          <cell r="AC2566">
            <v>0</v>
          </cell>
          <cell r="AD2566">
            <v>0</v>
          </cell>
          <cell r="AF2566">
            <v>0</v>
          </cell>
          <cell r="AG2566">
            <v>0</v>
          </cell>
          <cell r="AI2566">
            <v>0</v>
          </cell>
          <cell r="AJ2566">
            <v>0</v>
          </cell>
          <cell r="AL2566">
            <v>0</v>
          </cell>
          <cell r="AM2566">
            <v>0</v>
          </cell>
          <cell r="AO2566">
            <v>0</v>
          </cell>
          <cell r="AP2566">
            <v>0</v>
          </cell>
          <cell r="AR2566">
            <v>0</v>
          </cell>
          <cell r="AS2566">
            <v>0</v>
          </cell>
          <cell r="BF2566" t="str">
            <v>8400</v>
          </cell>
          <cell r="BG2566" t="str">
            <v>N007</v>
          </cell>
          <cell r="BH2566" t="str">
            <v>IBO</v>
          </cell>
        </row>
        <row r="2567">
          <cell r="K2567">
            <v>0</v>
          </cell>
          <cell r="L2567">
            <v>0</v>
          </cell>
          <cell r="N2567">
            <v>0</v>
          </cell>
          <cell r="O2567">
            <v>0</v>
          </cell>
          <cell r="Q2567">
            <v>0</v>
          </cell>
          <cell r="R2567">
            <v>0</v>
          </cell>
          <cell r="T2567">
            <v>0</v>
          </cell>
          <cell r="U2567">
            <v>0</v>
          </cell>
          <cell r="W2567">
            <v>0</v>
          </cell>
          <cell r="X2567">
            <v>0</v>
          </cell>
          <cell r="Z2567">
            <v>0</v>
          </cell>
          <cell r="AA2567">
            <v>0</v>
          </cell>
          <cell r="AC2567">
            <v>0</v>
          </cell>
          <cell r="AD2567">
            <v>0</v>
          </cell>
          <cell r="AF2567">
            <v>0</v>
          </cell>
          <cell r="AG2567">
            <v>0</v>
          </cell>
          <cell r="AI2567">
            <v>0</v>
          </cell>
          <cell r="AJ2567">
            <v>0</v>
          </cell>
          <cell r="AL2567">
            <v>0</v>
          </cell>
          <cell r="AM2567">
            <v>0</v>
          </cell>
          <cell r="AO2567">
            <v>0</v>
          </cell>
          <cell r="AP2567">
            <v>0</v>
          </cell>
          <cell r="AR2567">
            <v>0</v>
          </cell>
          <cell r="AS2567">
            <v>0</v>
          </cell>
          <cell r="BF2567" t="str">
            <v>8400</v>
          </cell>
          <cell r="BG2567" t="str">
            <v>N008</v>
          </cell>
          <cell r="BH2567" t="str">
            <v>IBO</v>
          </cell>
        </row>
        <row r="2568">
          <cell r="K2568">
            <v>0</v>
          </cell>
          <cell r="L2568">
            <v>0</v>
          </cell>
          <cell r="N2568">
            <v>0</v>
          </cell>
          <cell r="O2568">
            <v>0</v>
          </cell>
          <cell r="Q2568">
            <v>0</v>
          </cell>
          <cell r="R2568">
            <v>0</v>
          </cell>
          <cell r="T2568">
            <v>0</v>
          </cell>
          <cell r="U2568">
            <v>0</v>
          </cell>
          <cell r="W2568">
            <v>0</v>
          </cell>
          <cell r="X2568">
            <v>0</v>
          </cell>
          <cell r="Z2568">
            <v>0</v>
          </cell>
          <cell r="AA2568">
            <v>0</v>
          </cell>
          <cell r="AC2568">
            <v>0</v>
          </cell>
          <cell r="AD2568">
            <v>0</v>
          </cell>
          <cell r="AF2568">
            <v>0</v>
          </cell>
          <cell r="AG2568">
            <v>0</v>
          </cell>
          <cell r="AI2568">
            <v>0</v>
          </cell>
          <cell r="AJ2568">
            <v>0</v>
          </cell>
          <cell r="AL2568">
            <v>0</v>
          </cell>
          <cell r="AM2568">
            <v>0</v>
          </cell>
          <cell r="AO2568">
            <v>0</v>
          </cell>
          <cell r="AP2568">
            <v>0</v>
          </cell>
          <cell r="AR2568">
            <v>0</v>
          </cell>
          <cell r="AS2568">
            <v>0</v>
          </cell>
          <cell r="BF2568" t="str">
            <v>8400</v>
          </cell>
          <cell r="BG2568" t="str">
            <v>N999</v>
          </cell>
          <cell r="BH2568" t="str">
            <v>IBO</v>
          </cell>
        </row>
        <row r="2569">
          <cell r="K2569">
            <v>0</v>
          </cell>
          <cell r="L2569">
            <v>0</v>
          </cell>
          <cell r="N2569">
            <v>0</v>
          </cell>
          <cell r="O2569">
            <v>0</v>
          </cell>
          <cell r="Q2569">
            <v>0</v>
          </cell>
          <cell r="R2569">
            <v>0</v>
          </cell>
          <cell r="T2569">
            <v>0</v>
          </cell>
          <cell r="U2569">
            <v>0</v>
          </cell>
          <cell r="W2569">
            <v>0</v>
          </cell>
          <cell r="X2569">
            <v>0</v>
          </cell>
          <cell r="Z2569">
            <v>0</v>
          </cell>
          <cell r="AA2569">
            <v>0</v>
          </cell>
          <cell r="AC2569">
            <v>0</v>
          </cell>
          <cell r="AD2569">
            <v>0</v>
          </cell>
          <cell r="AF2569">
            <v>0</v>
          </cell>
          <cell r="AG2569">
            <v>0</v>
          </cell>
          <cell r="AI2569">
            <v>0</v>
          </cell>
          <cell r="AJ2569">
            <v>0</v>
          </cell>
          <cell r="AL2569">
            <v>0</v>
          </cell>
          <cell r="AM2569">
            <v>0</v>
          </cell>
          <cell r="AO2569">
            <v>0</v>
          </cell>
          <cell r="AP2569">
            <v>0</v>
          </cell>
          <cell r="AR2569">
            <v>0</v>
          </cell>
          <cell r="AS2569">
            <v>0</v>
          </cell>
          <cell r="BF2569" t="str">
            <v>8420</v>
          </cell>
          <cell r="BG2569" t="str">
            <v>Z000</v>
          </cell>
          <cell r="BH2569" t="str">
            <v>IBO</v>
          </cell>
        </row>
        <row r="2570">
          <cell r="K2570">
            <v>0</v>
          </cell>
          <cell r="L2570">
            <v>0</v>
          </cell>
          <cell r="N2570">
            <v>0</v>
          </cell>
          <cell r="O2570">
            <v>0</v>
          </cell>
          <cell r="Q2570">
            <v>0</v>
          </cell>
          <cell r="R2570">
            <v>0</v>
          </cell>
          <cell r="T2570">
            <v>0</v>
          </cell>
          <cell r="U2570">
            <v>0</v>
          </cell>
          <cell r="W2570">
            <v>0</v>
          </cell>
          <cell r="X2570">
            <v>0</v>
          </cell>
          <cell r="Z2570">
            <v>0</v>
          </cell>
          <cell r="AA2570">
            <v>0</v>
          </cell>
          <cell r="AC2570">
            <v>0</v>
          </cell>
          <cell r="AD2570">
            <v>0</v>
          </cell>
          <cell r="AF2570">
            <v>0</v>
          </cell>
          <cell r="AG2570">
            <v>0</v>
          </cell>
          <cell r="AI2570">
            <v>0</v>
          </cell>
          <cell r="AJ2570">
            <v>0</v>
          </cell>
          <cell r="AL2570">
            <v>0</v>
          </cell>
          <cell r="AM2570">
            <v>0</v>
          </cell>
          <cell r="AO2570">
            <v>0</v>
          </cell>
          <cell r="AP2570">
            <v>0</v>
          </cell>
          <cell r="AR2570">
            <v>0</v>
          </cell>
          <cell r="AS2570">
            <v>0</v>
          </cell>
          <cell r="BF2570" t="str">
            <v>8500</v>
          </cell>
          <cell r="BG2570" t="str">
            <v>O101</v>
          </cell>
          <cell r="BH2570" t="str">
            <v>IBO</v>
          </cell>
        </row>
        <row r="2571">
          <cell r="K2571">
            <v>0</v>
          </cell>
          <cell r="L2571">
            <v>0</v>
          </cell>
          <cell r="N2571">
            <v>0</v>
          </cell>
          <cell r="O2571">
            <v>0</v>
          </cell>
          <cell r="Q2571">
            <v>0</v>
          </cell>
          <cell r="R2571">
            <v>0</v>
          </cell>
          <cell r="T2571">
            <v>0</v>
          </cell>
          <cell r="U2571">
            <v>0</v>
          </cell>
          <cell r="W2571">
            <v>0</v>
          </cell>
          <cell r="X2571">
            <v>0</v>
          </cell>
          <cell r="Z2571">
            <v>0</v>
          </cell>
          <cell r="AA2571">
            <v>0</v>
          </cell>
          <cell r="AC2571">
            <v>0</v>
          </cell>
          <cell r="AD2571">
            <v>0</v>
          </cell>
          <cell r="AF2571">
            <v>0</v>
          </cell>
          <cell r="AG2571">
            <v>0</v>
          </cell>
          <cell r="AI2571">
            <v>0</v>
          </cell>
          <cell r="AJ2571">
            <v>0</v>
          </cell>
          <cell r="AL2571">
            <v>0</v>
          </cell>
          <cell r="AM2571">
            <v>0</v>
          </cell>
          <cell r="AO2571">
            <v>0</v>
          </cell>
          <cell r="AP2571">
            <v>0</v>
          </cell>
          <cell r="AR2571">
            <v>0</v>
          </cell>
          <cell r="AS2571">
            <v>0</v>
          </cell>
          <cell r="BF2571" t="str">
            <v>8600</v>
          </cell>
          <cell r="BG2571" t="str">
            <v>P201</v>
          </cell>
          <cell r="BH2571" t="str">
            <v>IBO</v>
          </cell>
        </row>
        <row r="2572">
          <cell r="K2572">
            <v>0</v>
          </cell>
          <cell r="L2572">
            <v>0</v>
          </cell>
          <cell r="N2572">
            <v>0</v>
          </cell>
          <cell r="O2572">
            <v>0</v>
          </cell>
          <cell r="Q2572">
            <v>0</v>
          </cell>
          <cell r="R2572">
            <v>0</v>
          </cell>
          <cell r="T2572">
            <v>0</v>
          </cell>
          <cell r="U2572">
            <v>0</v>
          </cell>
          <cell r="W2572">
            <v>0</v>
          </cell>
          <cell r="X2572">
            <v>0</v>
          </cell>
          <cell r="Z2572">
            <v>0</v>
          </cell>
          <cell r="AA2572">
            <v>0</v>
          </cell>
          <cell r="AC2572">
            <v>0</v>
          </cell>
          <cell r="AD2572">
            <v>0</v>
          </cell>
          <cell r="AF2572">
            <v>0</v>
          </cell>
          <cell r="AG2572">
            <v>0</v>
          </cell>
          <cell r="AI2572">
            <v>0</v>
          </cell>
          <cell r="AJ2572">
            <v>0</v>
          </cell>
          <cell r="AL2572">
            <v>0</v>
          </cell>
          <cell r="AM2572">
            <v>0</v>
          </cell>
          <cell r="AO2572">
            <v>0</v>
          </cell>
          <cell r="AP2572">
            <v>0</v>
          </cell>
          <cell r="AR2572">
            <v>0</v>
          </cell>
          <cell r="AS2572">
            <v>0</v>
          </cell>
          <cell r="BF2572" t="str">
            <v>8600</v>
          </cell>
          <cell r="BG2572" t="str">
            <v>P202</v>
          </cell>
          <cell r="BH2572" t="str">
            <v>IBO</v>
          </cell>
        </row>
        <row r="2573">
          <cell r="K2573">
            <v>0</v>
          </cell>
          <cell r="L2573">
            <v>0</v>
          </cell>
          <cell r="N2573">
            <v>0</v>
          </cell>
          <cell r="O2573">
            <v>0</v>
          </cell>
          <cell r="Q2573">
            <v>0</v>
          </cell>
          <cell r="R2573">
            <v>0</v>
          </cell>
          <cell r="T2573">
            <v>0</v>
          </cell>
          <cell r="U2573">
            <v>0</v>
          </cell>
          <cell r="W2573">
            <v>0</v>
          </cell>
          <cell r="X2573">
            <v>0</v>
          </cell>
          <cell r="Z2573">
            <v>0</v>
          </cell>
          <cell r="AA2573">
            <v>0</v>
          </cell>
          <cell r="AC2573">
            <v>0</v>
          </cell>
          <cell r="AD2573">
            <v>0</v>
          </cell>
          <cell r="AF2573">
            <v>0</v>
          </cell>
          <cell r="AG2573">
            <v>0</v>
          </cell>
          <cell r="AI2573">
            <v>0</v>
          </cell>
          <cell r="AJ2573">
            <v>0</v>
          </cell>
          <cell r="AL2573">
            <v>0</v>
          </cell>
          <cell r="AM2573">
            <v>0</v>
          </cell>
          <cell r="AO2573">
            <v>0</v>
          </cell>
          <cell r="AP2573">
            <v>0</v>
          </cell>
          <cell r="AR2573">
            <v>0</v>
          </cell>
          <cell r="AS2573">
            <v>0</v>
          </cell>
          <cell r="BF2573" t="str">
            <v>8600</v>
          </cell>
          <cell r="BG2573" t="str">
            <v>P203</v>
          </cell>
          <cell r="BH2573" t="str">
            <v>IBO</v>
          </cell>
        </row>
        <row r="2574">
          <cell r="K2574">
            <v>0</v>
          </cell>
          <cell r="L2574">
            <v>0</v>
          </cell>
          <cell r="N2574">
            <v>0</v>
          </cell>
          <cell r="O2574">
            <v>0</v>
          </cell>
          <cell r="Q2574">
            <v>0</v>
          </cell>
          <cell r="R2574">
            <v>0</v>
          </cell>
          <cell r="T2574">
            <v>0</v>
          </cell>
          <cell r="U2574">
            <v>0</v>
          </cell>
          <cell r="W2574">
            <v>0</v>
          </cell>
          <cell r="X2574">
            <v>0</v>
          </cell>
          <cell r="Z2574">
            <v>0</v>
          </cell>
          <cell r="AA2574">
            <v>0</v>
          </cell>
          <cell r="AC2574">
            <v>0</v>
          </cell>
          <cell r="AD2574">
            <v>0</v>
          </cell>
          <cell r="AF2574">
            <v>0</v>
          </cell>
          <cell r="AG2574">
            <v>0</v>
          </cell>
          <cell r="AI2574">
            <v>0</v>
          </cell>
          <cell r="AJ2574">
            <v>0</v>
          </cell>
          <cell r="AL2574">
            <v>0</v>
          </cell>
          <cell r="AM2574">
            <v>0</v>
          </cell>
          <cell r="AO2574">
            <v>0</v>
          </cell>
          <cell r="AP2574">
            <v>0</v>
          </cell>
          <cell r="AR2574">
            <v>0</v>
          </cell>
          <cell r="AS2574">
            <v>0</v>
          </cell>
          <cell r="BF2574" t="str">
            <v>8600</v>
          </cell>
          <cell r="BG2574" t="str">
            <v>P204</v>
          </cell>
          <cell r="BH2574" t="str">
            <v>IBO</v>
          </cell>
        </row>
        <row r="2575">
          <cell r="K2575">
            <v>0</v>
          </cell>
          <cell r="L2575">
            <v>0</v>
          </cell>
          <cell r="N2575">
            <v>0</v>
          </cell>
          <cell r="O2575">
            <v>0</v>
          </cell>
          <cell r="Q2575">
            <v>0</v>
          </cell>
          <cell r="R2575">
            <v>0</v>
          </cell>
          <cell r="T2575">
            <v>0</v>
          </cell>
          <cell r="U2575">
            <v>0</v>
          </cell>
          <cell r="W2575">
            <v>0</v>
          </cell>
          <cell r="X2575">
            <v>0</v>
          </cell>
          <cell r="Z2575">
            <v>0</v>
          </cell>
          <cell r="AA2575">
            <v>0</v>
          </cell>
          <cell r="AC2575">
            <v>0</v>
          </cell>
          <cell r="AD2575">
            <v>0</v>
          </cell>
          <cell r="AF2575">
            <v>0</v>
          </cell>
          <cell r="AG2575">
            <v>0</v>
          </cell>
          <cell r="AI2575">
            <v>0</v>
          </cell>
          <cell r="AJ2575">
            <v>0</v>
          </cell>
          <cell r="AL2575">
            <v>0</v>
          </cell>
          <cell r="AM2575">
            <v>0</v>
          </cell>
          <cell r="AO2575">
            <v>0</v>
          </cell>
          <cell r="AP2575">
            <v>0</v>
          </cell>
          <cell r="AR2575">
            <v>0</v>
          </cell>
          <cell r="AS2575">
            <v>0</v>
          </cell>
          <cell r="BF2575" t="str">
            <v>8600</v>
          </cell>
          <cell r="BG2575" t="str">
            <v>P205</v>
          </cell>
          <cell r="BH2575" t="str">
            <v>IBO</v>
          </cell>
        </row>
        <row r="2576">
          <cell r="K2576">
            <v>0</v>
          </cell>
          <cell r="L2576">
            <v>0</v>
          </cell>
          <cell r="N2576">
            <v>0</v>
          </cell>
          <cell r="O2576">
            <v>0</v>
          </cell>
          <cell r="Q2576">
            <v>0</v>
          </cell>
          <cell r="R2576">
            <v>0</v>
          </cell>
          <cell r="T2576">
            <v>0</v>
          </cell>
          <cell r="U2576">
            <v>0</v>
          </cell>
          <cell r="W2576">
            <v>0</v>
          </cell>
          <cell r="X2576">
            <v>0</v>
          </cell>
          <cell r="Z2576">
            <v>0</v>
          </cell>
          <cell r="AA2576">
            <v>0</v>
          </cell>
          <cell r="AC2576">
            <v>0</v>
          </cell>
          <cell r="AD2576">
            <v>0</v>
          </cell>
          <cell r="AF2576">
            <v>0</v>
          </cell>
          <cell r="AG2576">
            <v>0</v>
          </cell>
          <cell r="AI2576">
            <v>0</v>
          </cell>
          <cell r="AJ2576">
            <v>0</v>
          </cell>
          <cell r="AL2576">
            <v>0</v>
          </cell>
          <cell r="AM2576">
            <v>0</v>
          </cell>
          <cell r="AO2576">
            <v>0</v>
          </cell>
          <cell r="AP2576">
            <v>0</v>
          </cell>
          <cell r="AR2576">
            <v>0</v>
          </cell>
          <cell r="AS2576">
            <v>0</v>
          </cell>
          <cell r="BF2576" t="str">
            <v>8600</v>
          </cell>
          <cell r="BG2576" t="str">
            <v>P206</v>
          </cell>
          <cell r="BH2576" t="str">
            <v>IBO</v>
          </cell>
        </row>
        <row r="2577">
          <cell r="K2577">
            <v>0</v>
          </cell>
          <cell r="L2577">
            <v>0</v>
          </cell>
          <cell r="N2577">
            <v>0</v>
          </cell>
          <cell r="O2577">
            <v>0</v>
          </cell>
          <cell r="Q2577">
            <v>0</v>
          </cell>
          <cell r="R2577">
            <v>0</v>
          </cell>
          <cell r="T2577">
            <v>0</v>
          </cell>
          <cell r="U2577">
            <v>0</v>
          </cell>
          <cell r="W2577">
            <v>0</v>
          </cell>
          <cell r="X2577">
            <v>0</v>
          </cell>
          <cell r="Z2577">
            <v>0</v>
          </cell>
          <cell r="AA2577">
            <v>0</v>
          </cell>
          <cell r="AC2577">
            <v>0</v>
          </cell>
          <cell r="AD2577">
            <v>0</v>
          </cell>
          <cell r="AF2577">
            <v>0</v>
          </cell>
          <cell r="AG2577">
            <v>0</v>
          </cell>
          <cell r="AI2577">
            <v>0</v>
          </cell>
          <cell r="AJ2577">
            <v>0</v>
          </cell>
          <cell r="AL2577">
            <v>0</v>
          </cell>
          <cell r="AM2577">
            <v>0</v>
          </cell>
          <cell r="AO2577">
            <v>0</v>
          </cell>
          <cell r="AP2577">
            <v>0</v>
          </cell>
          <cell r="AR2577">
            <v>0</v>
          </cell>
          <cell r="AS2577">
            <v>0</v>
          </cell>
          <cell r="BF2577" t="str">
            <v>8600</v>
          </cell>
          <cell r="BG2577" t="str">
            <v>P207</v>
          </cell>
          <cell r="BH2577" t="str">
            <v>IBO</v>
          </cell>
        </row>
        <row r="2578">
          <cell r="K2578">
            <v>0</v>
          </cell>
          <cell r="L2578">
            <v>0</v>
          </cell>
          <cell r="N2578">
            <v>0</v>
          </cell>
          <cell r="O2578">
            <v>0</v>
          </cell>
          <cell r="Q2578">
            <v>0</v>
          </cell>
          <cell r="R2578">
            <v>0</v>
          </cell>
          <cell r="T2578">
            <v>0</v>
          </cell>
          <cell r="U2578">
            <v>0</v>
          </cell>
          <cell r="W2578">
            <v>0</v>
          </cell>
          <cell r="X2578">
            <v>0</v>
          </cell>
          <cell r="Z2578">
            <v>0</v>
          </cell>
          <cell r="AA2578">
            <v>0</v>
          </cell>
          <cell r="AC2578">
            <v>0</v>
          </cell>
          <cell r="AD2578">
            <v>0</v>
          </cell>
          <cell r="AF2578">
            <v>0</v>
          </cell>
          <cell r="AG2578">
            <v>0</v>
          </cell>
          <cell r="AI2578">
            <v>0</v>
          </cell>
          <cell r="AJ2578">
            <v>0</v>
          </cell>
          <cell r="AL2578">
            <v>0</v>
          </cell>
          <cell r="AM2578">
            <v>0</v>
          </cell>
          <cell r="AO2578">
            <v>0</v>
          </cell>
          <cell r="AP2578">
            <v>0</v>
          </cell>
          <cell r="AR2578">
            <v>0</v>
          </cell>
          <cell r="AS2578">
            <v>0</v>
          </cell>
          <cell r="BF2578" t="str">
            <v>8600</v>
          </cell>
          <cell r="BG2578" t="str">
            <v>P208</v>
          </cell>
          <cell r="BH2578" t="str">
            <v>IBO</v>
          </cell>
        </row>
        <row r="2579">
          <cell r="K2579">
            <v>0</v>
          </cell>
          <cell r="L2579">
            <v>0</v>
          </cell>
          <cell r="N2579">
            <v>0</v>
          </cell>
          <cell r="O2579">
            <v>0</v>
          </cell>
          <cell r="Q2579">
            <v>0</v>
          </cell>
          <cell r="R2579">
            <v>0</v>
          </cell>
          <cell r="T2579">
            <v>0</v>
          </cell>
          <cell r="U2579">
            <v>0</v>
          </cell>
          <cell r="W2579">
            <v>0</v>
          </cell>
          <cell r="X2579">
            <v>0</v>
          </cell>
          <cell r="Z2579">
            <v>0</v>
          </cell>
          <cell r="AA2579">
            <v>0</v>
          </cell>
          <cell r="AC2579">
            <v>0</v>
          </cell>
          <cell r="AD2579">
            <v>0</v>
          </cell>
          <cell r="AF2579">
            <v>0</v>
          </cell>
          <cell r="AG2579">
            <v>0</v>
          </cell>
          <cell r="AI2579">
            <v>0</v>
          </cell>
          <cell r="AJ2579">
            <v>0</v>
          </cell>
          <cell r="AL2579">
            <v>0</v>
          </cell>
          <cell r="AM2579">
            <v>0</v>
          </cell>
          <cell r="AO2579">
            <v>0</v>
          </cell>
          <cell r="AP2579">
            <v>0</v>
          </cell>
          <cell r="AR2579">
            <v>0</v>
          </cell>
          <cell r="AS2579">
            <v>0</v>
          </cell>
          <cell r="BF2579" t="str">
            <v>8600</v>
          </cell>
          <cell r="BG2579" t="str">
            <v>P209</v>
          </cell>
          <cell r="BH2579" t="str">
            <v>IBO</v>
          </cell>
        </row>
        <row r="2580">
          <cell r="K2580">
            <v>0</v>
          </cell>
          <cell r="L2580">
            <v>0</v>
          </cell>
          <cell r="N2580">
            <v>0</v>
          </cell>
          <cell r="O2580">
            <v>0</v>
          </cell>
          <cell r="Q2580">
            <v>0</v>
          </cell>
          <cell r="R2580">
            <v>0</v>
          </cell>
          <cell r="T2580">
            <v>0</v>
          </cell>
          <cell r="U2580">
            <v>0</v>
          </cell>
          <cell r="W2580">
            <v>0</v>
          </cell>
          <cell r="X2580">
            <v>0</v>
          </cell>
          <cell r="Z2580">
            <v>0</v>
          </cell>
          <cell r="AA2580">
            <v>0</v>
          </cell>
          <cell r="AC2580">
            <v>0</v>
          </cell>
          <cell r="AD2580">
            <v>0</v>
          </cell>
          <cell r="AF2580">
            <v>0</v>
          </cell>
          <cell r="AG2580">
            <v>0</v>
          </cell>
          <cell r="AI2580">
            <v>0</v>
          </cell>
          <cell r="AJ2580">
            <v>0</v>
          </cell>
          <cell r="AL2580">
            <v>0</v>
          </cell>
          <cell r="AM2580">
            <v>0</v>
          </cell>
          <cell r="AO2580">
            <v>0</v>
          </cell>
          <cell r="AP2580">
            <v>0</v>
          </cell>
          <cell r="AR2580">
            <v>0</v>
          </cell>
          <cell r="AS2580">
            <v>0</v>
          </cell>
          <cell r="BF2580" t="str">
            <v>8600</v>
          </cell>
          <cell r="BG2580" t="str">
            <v>P210</v>
          </cell>
          <cell r="BH2580" t="str">
            <v>IBO</v>
          </cell>
        </row>
        <row r="2581">
          <cell r="K2581">
            <v>0</v>
          </cell>
          <cell r="L2581">
            <v>0</v>
          </cell>
          <cell r="N2581">
            <v>0</v>
          </cell>
          <cell r="O2581">
            <v>0</v>
          </cell>
          <cell r="Q2581">
            <v>0</v>
          </cell>
          <cell r="R2581">
            <v>0</v>
          </cell>
          <cell r="T2581">
            <v>0</v>
          </cell>
          <cell r="U2581">
            <v>0</v>
          </cell>
          <cell r="W2581">
            <v>0</v>
          </cell>
          <cell r="X2581">
            <v>0</v>
          </cell>
          <cell r="Z2581">
            <v>0</v>
          </cell>
          <cell r="AA2581">
            <v>0</v>
          </cell>
          <cell r="AC2581">
            <v>0</v>
          </cell>
          <cell r="AD2581">
            <v>0</v>
          </cell>
          <cell r="AF2581">
            <v>0</v>
          </cell>
          <cell r="AG2581">
            <v>0</v>
          </cell>
          <cell r="AI2581">
            <v>0</v>
          </cell>
          <cell r="AJ2581">
            <v>0</v>
          </cell>
          <cell r="AL2581">
            <v>0</v>
          </cell>
          <cell r="AM2581">
            <v>0</v>
          </cell>
          <cell r="AO2581">
            <v>0</v>
          </cell>
          <cell r="AP2581">
            <v>0</v>
          </cell>
          <cell r="AR2581">
            <v>0</v>
          </cell>
          <cell r="AS2581">
            <v>0</v>
          </cell>
          <cell r="BF2581" t="str">
            <v>8600</v>
          </cell>
          <cell r="BG2581" t="str">
            <v>P211</v>
          </cell>
          <cell r="BH2581" t="str">
            <v>IBO</v>
          </cell>
        </row>
        <row r="2582">
          <cell r="K2582">
            <v>0</v>
          </cell>
          <cell r="L2582">
            <v>0</v>
          </cell>
          <cell r="N2582">
            <v>0</v>
          </cell>
          <cell r="O2582">
            <v>0</v>
          </cell>
          <cell r="Q2582">
            <v>0</v>
          </cell>
          <cell r="R2582">
            <v>0</v>
          </cell>
          <cell r="T2582">
            <v>3400</v>
          </cell>
          <cell r="U2582">
            <v>0</v>
          </cell>
          <cell r="W2582">
            <v>60753.03</v>
          </cell>
          <cell r="X2582">
            <v>0</v>
          </cell>
          <cell r="Z2582">
            <v>1130</v>
          </cell>
          <cell r="AA2582">
            <v>0</v>
          </cell>
          <cell r="AC2582">
            <v>2585</v>
          </cell>
          <cell r="AD2582">
            <v>0</v>
          </cell>
          <cell r="AF2582">
            <v>15000</v>
          </cell>
          <cell r="AG2582">
            <v>0</v>
          </cell>
          <cell r="AI2582">
            <v>15000</v>
          </cell>
          <cell r="AJ2582">
            <v>0</v>
          </cell>
          <cell r="AL2582">
            <v>15000</v>
          </cell>
          <cell r="AM2582">
            <v>0</v>
          </cell>
          <cell r="AO2582">
            <v>15000</v>
          </cell>
          <cell r="AP2582">
            <v>0</v>
          </cell>
          <cell r="AR2582">
            <v>-39268.030000000028</v>
          </cell>
          <cell r="AS2582">
            <v>0</v>
          </cell>
          <cell r="BF2582" t="str">
            <v>9000</v>
          </cell>
          <cell r="BG2582" t="str">
            <v>Z000</v>
          </cell>
          <cell r="BH2582" t="str">
            <v>IBO</v>
          </cell>
        </row>
        <row r="2583">
          <cell r="K2583">
            <v>0</v>
          </cell>
          <cell r="L2583">
            <v>0</v>
          </cell>
          <cell r="N2583">
            <v>0</v>
          </cell>
          <cell r="O2583">
            <v>0</v>
          </cell>
          <cell r="Q2583">
            <v>0</v>
          </cell>
          <cell r="R2583">
            <v>0</v>
          </cell>
          <cell r="T2583">
            <v>0</v>
          </cell>
          <cell r="U2583">
            <v>0</v>
          </cell>
          <cell r="W2583">
            <v>0</v>
          </cell>
          <cell r="X2583">
            <v>0</v>
          </cell>
          <cell r="Z2583">
            <v>0</v>
          </cell>
          <cell r="AA2583">
            <v>0</v>
          </cell>
          <cell r="AC2583">
            <v>0</v>
          </cell>
          <cell r="AD2583">
            <v>0</v>
          </cell>
          <cell r="AF2583">
            <v>0</v>
          </cell>
          <cell r="AG2583">
            <v>0</v>
          </cell>
          <cell r="AI2583">
            <v>0</v>
          </cell>
          <cell r="AJ2583">
            <v>0</v>
          </cell>
          <cell r="AL2583">
            <v>0</v>
          </cell>
          <cell r="AM2583">
            <v>0</v>
          </cell>
          <cell r="AO2583">
            <v>0</v>
          </cell>
          <cell r="AP2583">
            <v>0</v>
          </cell>
          <cell r="AR2583">
            <v>0</v>
          </cell>
          <cell r="AS2583">
            <v>0</v>
          </cell>
          <cell r="BF2583" t="str">
            <v>9001</v>
          </cell>
          <cell r="BG2583" t="str">
            <v>Z000</v>
          </cell>
          <cell r="BH2583" t="str">
            <v>IBO</v>
          </cell>
        </row>
        <row r="2584">
          <cell r="K2584">
            <v>0</v>
          </cell>
          <cell r="L2584">
            <v>0</v>
          </cell>
          <cell r="N2584">
            <v>0</v>
          </cell>
          <cell r="O2584">
            <v>0</v>
          </cell>
          <cell r="Q2584">
            <v>0</v>
          </cell>
          <cell r="R2584">
            <v>0</v>
          </cell>
          <cell r="T2584">
            <v>0</v>
          </cell>
          <cell r="U2584">
            <v>0</v>
          </cell>
          <cell r="W2584">
            <v>0</v>
          </cell>
          <cell r="X2584">
            <v>0</v>
          </cell>
          <cell r="Z2584">
            <v>0</v>
          </cell>
          <cell r="AA2584">
            <v>0</v>
          </cell>
          <cell r="AC2584">
            <v>0</v>
          </cell>
          <cell r="AD2584">
            <v>0</v>
          </cell>
          <cell r="AF2584">
            <v>0</v>
          </cell>
          <cell r="AG2584">
            <v>0</v>
          </cell>
          <cell r="AI2584">
            <v>0</v>
          </cell>
          <cell r="AJ2584">
            <v>0</v>
          </cell>
          <cell r="AL2584">
            <v>0</v>
          </cell>
          <cell r="AM2584">
            <v>0</v>
          </cell>
          <cell r="AO2584">
            <v>0</v>
          </cell>
          <cell r="AP2584">
            <v>0</v>
          </cell>
          <cell r="AR2584">
            <v>0</v>
          </cell>
          <cell r="AS2584">
            <v>0</v>
          </cell>
          <cell r="BF2584" t="str">
            <v>9002</v>
          </cell>
          <cell r="BG2584" t="str">
            <v>Z000</v>
          </cell>
          <cell r="BH2584" t="str">
            <v>IBO</v>
          </cell>
        </row>
        <row r="2585">
          <cell r="K2585">
            <v>0</v>
          </cell>
          <cell r="L2585">
            <v>0</v>
          </cell>
          <cell r="N2585">
            <v>0</v>
          </cell>
          <cell r="O2585">
            <v>0</v>
          </cell>
          <cell r="Q2585">
            <v>0</v>
          </cell>
          <cell r="R2585">
            <v>0</v>
          </cell>
          <cell r="T2585">
            <v>0</v>
          </cell>
          <cell r="U2585">
            <v>0</v>
          </cell>
          <cell r="W2585">
            <v>0</v>
          </cell>
          <cell r="X2585">
            <v>0</v>
          </cell>
          <cell r="Z2585">
            <v>0</v>
          </cell>
          <cell r="AA2585">
            <v>0</v>
          </cell>
          <cell r="AC2585">
            <v>0</v>
          </cell>
          <cell r="AD2585">
            <v>0</v>
          </cell>
          <cell r="AF2585">
            <v>0</v>
          </cell>
          <cell r="AG2585">
            <v>0</v>
          </cell>
          <cell r="AI2585">
            <v>0</v>
          </cell>
          <cell r="AJ2585">
            <v>0</v>
          </cell>
          <cell r="AL2585">
            <v>0</v>
          </cell>
          <cell r="AM2585">
            <v>0</v>
          </cell>
          <cell r="AO2585">
            <v>0</v>
          </cell>
          <cell r="AP2585">
            <v>0</v>
          </cell>
          <cell r="AR2585">
            <v>0</v>
          </cell>
          <cell r="AS2585">
            <v>0</v>
          </cell>
          <cell r="BF2585" t="str">
            <v>9003</v>
          </cell>
          <cell r="BG2585" t="str">
            <v>Z000</v>
          </cell>
          <cell r="BH2585" t="str">
            <v>IBO</v>
          </cell>
        </row>
        <row r="2586">
          <cell r="K2586">
            <v>0</v>
          </cell>
          <cell r="L2586">
            <v>0</v>
          </cell>
          <cell r="N2586">
            <v>0</v>
          </cell>
          <cell r="O2586">
            <v>0</v>
          </cell>
          <cell r="Q2586">
            <v>0</v>
          </cell>
          <cell r="R2586">
            <v>0</v>
          </cell>
          <cell r="T2586">
            <v>0</v>
          </cell>
          <cell r="U2586">
            <v>0</v>
          </cell>
          <cell r="W2586">
            <v>0</v>
          </cell>
          <cell r="X2586">
            <v>0</v>
          </cell>
          <cell r="Z2586">
            <v>0</v>
          </cell>
          <cell r="AA2586">
            <v>0</v>
          </cell>
          <cell r="AC2586">
            <v>0</v>
          </cell>
          <cell r="AD2586">
            <v>0</v>
          </cell>
          <cell r="AF2586">
            <v>0</v>
          </cell>
          <cell r="AG2586">
            <v>0</v>
          </cell>
          <cell r="AI2586">
            <v>0</v>
          </cell>
          <cell r="AJ2586">
            <v>0</v>
          </cell>
          <cell r="AL2586">
            <v>0</v>
          </cell>
          <cell r="AM2586">
            <v>0</v>
          </cell>
          <cell r="AO2586">
            <v>0</v>
          </cell>
          <cell r="AP2586">
            <v>0</v>
          </cell>
          <cell r="AR2586">
            <v>0</v>
          </cell>
          <cell r="AS2586">
            <v>0</v>
          </cell>
          <cell r="BF2586" t="str">
            <v>9004</v>
          </cell>
          <cell r="BG2586" t="str">
            <v>Z000</v>
          </cell>
          <cell r="BH2586" t="str">
            <v>IBO</v>
          </cell>
        </row>
        <row r="2587">
          <cell r="K2587">
            <v>0</v>
          </cell>
          <cell r="L2587">
            <v>0</v>
          </cell>
          <cell r="N2587">
            <v>0</v>
          </cell>
          <cell r="O2587">
            <v>0</v>
          </cell>
          <cell r="Q2587">
            <v>0</v>
          </cell>
          <cell r="R2587">
            <v>0</v>
          </cell>
          <cell r="T2587">
            <v>0</v>
          </cell>
          <cell r="U2587">
            <v>0</v>
          </cell>
          <cell r="W2587">
            <v>0</v>
          </cell>
          <cell r="X2587">
            <v>0</v>
          </cell>
          <cell r="Z2587">
            <v>0</v>
          </cell>
          <cell r="AA2587">
            <v>0</v>
          </cell>
          <cell r="AC2587">
            <v>0</v>
          </cell>
          <cell r="AD2587">
            <v>0</v>
          </cell>
          <cell r="AF2587">
            <v>0</v>
          </cell>
          <cell r="AG2587">
            <v>0</v>
          </cell>
          <cell r="AI2587">
            <v>0</v>
          </cell>
          <cell r="AJ2587">
            <v>0</v>
          </cell>
          <cell r="AL2587">
            <v>0</v>
          </cell>
          <cell r="AM2587">
            <v>0</v>
          </cell>
          <cell r="AO2587">
            <v>0</v>
          </cell>
          <cell r="AP2587">
            <v>0</v>
          </cell>
          <cell r="AR2587">
            <v>0</v>
          </cell>
          <cell r="AS2587">
            <v>0</v>
          </cell>
          <cell r="BF2587" t="str">
            <v>9050</v>
          </cell>
          <cell r="BG2587" t="str">
            <v>Z000</v>
          </cell>
          <cell r="BH2587" t="str">
            <v>IBO</v>
          </cell>
        </row>
        <row r="2588">
          <cell r="K2588">
            <v>0</v>
          </cell>
          <cell r="L2588">
            <v>0</v>
          </cell>
          <cell r="N2588">
            <v>0</v>
          </cell>
          <cell r="O2588">
            <v>0</v>
          </cell>
          <cell r="Q2588">
            <v>0</v>
          </cell>
          <cell r="R2588">
            <v>0</v>
          </cell>
          <cell r="T2588">
            <v>0</v>
          </cell>
          <cell r="U2588">
            <v>0</v>
          </cell>
          <cell r="W2588">
            <v>0</v>
          </cell>
          <cell r="X2588">
            <v>0</v>
          </cell>
          <cell r="Z2588">
            <v>0</v>
          </cell>
          <cell r="AA2588">
            <v>0</v>
          </cell>
          <cell r="AC2588">
            <v>0</v>
          </cell>
          <cell r="AD2588">
            <v>0</v>
          </cell>
          <cell r="AF2588">
            <v>0</v>
          </cell>
          <cell r="AG2588">
            <v>0</v>
          </cell>
          <cell r="AI2588">
            <v>0</v>
          </cell>
          <cell r="AJ2588">
            <v>0</v>
          </cell>
          <cell r="AL2588">
            <v>0</v>
          </cell>
          <cell r="AM2588">
            <v>0</v>
          </cell>
          <cell r="AO2588">
            <v>0</v>
          </cell>
          <cell r="AP2588">
            <v>0</v>
          </cell>
          <cell r="AR2588">
            <v>0</v>
          </cell>
          <cell r="AS2588">
            <v>0</v>
          </cell>
          <cell r="BF2588" t="str">
            <v>9051</v>
          </cell>
          <cell r="BG2588" t="str">
            <v>Z000</v>
          </cell>
          <cell r="BH2588" t="str">
            <v>IBO</v>
          </cell>
        </row>
        <row r="2589">
          <cell r="K2589">
            <v>0</v>
          </cell>
          <cell r="L2589">
            <v>0</v>
          </cell>
          <cell r="N2589">
            <v>0</v>
          </cell>
          <cell r="O2589">
            <v>0</v>
          </cell>
          <cell r="Q2589">
            <v>0</v>
          </cell>
          <cell r="R2589">
            <v>0</v>
          </cell>
          <cell r="T2589">
            <v>0</v>
          </cell>
          <cell r="U2589">
            <v>0</v>
          </cell>
          <cell r="W2589">
            <v>0</v>
          </cell>
          <cell r="X2589">
            <v>0</v>
          </cell>
          <cell r="Z2589">
            <v>0</v>
          </cell>
          <cell r="AA2589">
            <v>0</v>
          </cell>
          <cell r="AC2589">
            <v>0</v>
          </cell>
          <cell r="AD2589">
            <v>0</v>
          </cell>
          <cell r="AF2589">
            <v>0</v>
          </cell>
          <cell r="AG2589">
            <v>0</v>
          </cell>
          <cell r="AI2589">
            <v>0</v>
          </cell>
          <cell r="AJ2589">
            <v>0</v>
          </cell>
          <cell r="AL2589">
            <v>0</v>
          </cell>
          <cell r="AM2589">
            <v>0</v>
          </cell>
          <cell r="AO2589">
            <v>0</v>
          </cell>
          <cell r="AP2589">
            <v>0</v>
          </cell>
          <cell r="AR2589">
            <v>0</v>
          </cell>
          <cell r="AS2589">
            <v>0</v>
          </cell>
          <cell r="BF2589" t="str">
            <v>9100</v>
          </cell>
          <cell r="BG2589" t="str">
            <v>Z000</v>
          </cell>
          <cell r="BH2589" t="str">
            <v>IBO</v>
          </cell>
        </row>
        <row r="2590">
          <cell r="K2590">
            <v>0</v>
          </cell>
          <cell r="L2590">
            <v>0</v>
          </cell>
          <cell r="N2590">
            <v>0</v>
          </cell>
          <cell r="O2590">
            <v>0</v>
          </cell>
          <cell r="Q2590">
            <v>0</v>
          </cell>
          <cell r="R2590">
            <v>0</v>
          </cell>
          <cell r="T2590">
            <v>0</v>
          </cell>
          <cell r="U2590">
            <v>0</v>
          </cell>
          <cell r="W2590">
            <v>0</v>
          </cell>
          <cell r="X2590">
            <v>0</v>
          </cell>
          <cell r="Z2590">
            <v>0</v>
          </cell>
          <cell r="AA2590">
            <v>0</v>
          </cell>
          <cell r="AC2590">
            <v>0</v>
          </cell>
          <cell r="AD2590">
            <v>0</v>
          </cell>
          <cell r="AF2590">
            <v>0</v>
          </cell>
          <cell r="AG2590">
            <v>0</v>
          </cell>
          <cell r="AI2590">
            <v>0</v>
          </cell>
          <cell r="AJ2590">
            <v>0</v>
          </cell>
          <cell r="AL2590">
            <v>0</v>
          </cell>
          <cell r="AM2590">
            <v>0</v>
          </cell>
          <cell r="AO2590">
            <v>0</v>
          </cell>
          <cell r="AP2590">
            <v>0</v>
          </cell>
          <cell r="AR2590">
            <v>0</v>
          </cell>
          <cell r="AS2590">
            <v>0</v>
          </cell>
          <cell r="BF2590" t="str">
            <v>9200</v>
          </cell>
          <cell r="BG2590" t="str">
            <v>Q001</v>
          </cell>
          <cell r="BH2590" t="str">
            <v>IBO</v>
          </cell>
        </row>
        <row r="2591">
          <cell r="K2591">
            <v>0</v>
          </cell>
          <cell r="L2591">
            <v>0</v>
          </cell>
          <cell r="N2591">
            <v>0</v>
          </cell>
          <cell r="O2591">
            <v>0</v>
          </cell>
          <cell r="Q2591">
            <v>0</v>
          </cell>
          <cell r="R2591">
            <v>0</v>
          </cell>
          <cell r="T2591">
            <v>0</v>
          </cell>
          <cell r="U2591">
            <v>0</v>
          </cell>
          <cell r="W2591">
            <v>0</v>
          </cell>
          <cell r="X2591">
            <v>0</v>
          </cell>
          <cell r="Z2591">
            <v>0</v>
          </cell>
          <cell r="AA2591">
            <v>0</v>
          </cell>
          <cell r="AC2591">
            <v>0</v>
          </cell>
          <cell r="AD2591">
            <v>0</v>
          </cell>
          <cell r="AF2591">
            <v>0</v>
          </cell>
          <cell r="AG2591">
            <v>0</v>
          </cell>
          <cell r="AI2591">
            <v>0</v>
          </cell>
          <cell r="AJ2591">
            <v>0</v>
          </cell>
          <cell r="AL2591">
            <v>0</v>
          </cell>
          <cell r="AM2591">
            <v>0</v>
          </cell>
          <cell r="AO2591">
            <v>0</v>
          </cell>
          <cell r="AP2591">
            <v>0</v>
          </cell>
          <cell r="AR2591">
            <v>0</v>
          </cell>
          <cell r="AS2591">
            <v>0</v>
          </cell>
          <cell r="BF2591" t="str">
            <v>9200</v>
          </cell>
          <cell r="BG2591" t="str">
            <v>Q002</v>
          </cell>
          <cell r="BH2591" t="str">
            <v>IBO</v>
          </cell>
        </row>
        <row r="2592">
          <cell r="K2592">
            <v>0</v>
          </cell>
          <cell r="L2592">
            <v>0</v>
          </cell>
          <cell r="N2592">
            <v>0</v>
          </cell>
          <cell r="O2592">
            <v>0</v>
          </cell>
          <cell r="Q2592">
            <v>0</v>
          </cell>
          <cell r="R2592">
            <v>0</v>
          </cell>
          <cell r="T2592">
            <v>0</v>
          </cell>
          <cell r="U2592">
            <v>0</v>
          </cell>
          <cell r="W2592">
            <v>0</v>
          </cell>
          <cell r="X2592">
            <v>0</v>
          </cell>
          <cell r="Z2592">
            <v>0</v>
          </cell>
          <cell r="AA2592">
            <v>0</v>
          </cell>
          <cell r="AC2592">
            <v>0</v>
          </cell>
          <cell r="AD2592">
            <v>0</v>
          </cell>
          <cell r="AF2592">
            <v>0</v>
          </cell>
          <cell r="AG2592">
            <v>0</v>
          </cell>
          <cell r="AI2592">
            <v>0</v>
          </cell>
          <cell r="AJ2592">
            <v>0</v>
          </cell>
          <cell r="AL2592">
            <v>0</v>
          </cell>
          <cell r="AM2592">
            <v>0</v>
          </cell>
          <cell r="AO2592">
            <v>0</v>
          </cell>
          <cell r="AP2592">
            <v>0</v>
          </cell>
          <cell r="AR2592">
            <v>0</v>
          </cell>
          <cell r="AS2592">
            <v>0</v>
          </cell>
          <cell r="BF2592" t="str">
            <v>9200</v>
          </cell>
          <cell r="BG2592" t="str">
            <v>Q003</v>
          </cell>
          <cell r="BH2592" t="str">
            <v>IBO</v>
          </cell>
        </row>
        <row r="2593">
          <cell r="K2593">
            <v>0</v>
          </cell>
          <cell r="L2593">
            <v>0</v>
          </cell>
          <cell r="N2593">
            <v>0</v>
          </cell>
          <cell r="O2593">
            <v>0</v>
          </cell>
          <cell r="Q2593">
            <v>0</v>
          </cell>
          <cell r="R2593">
            <v>0</v>
          </cell>
          <cell r="T2593">
            <v>0</v>
          </cell>
          <cell r="U2593">
            <v>0</v>
          </cell>
          <cell r="W2593">
            <v>0</v>
          </cell>
          <cell r="X2593">
            <v>0</v>
          </cell>
          <cell r="Z2593">
            <v>0</v>
          </cell>
          <cell r="AA2593">
            <v>0</v>
          </cell>
          <cell r="AC2593">
            <v>0</v>
          </cell>
          <cell r="AD2593">
            <v>0</v>
          </cell>
          <cell r="AF2593">
            <v>0</v>
          </cell>
          <cell r="AG2593">
            <v>0</v>
          </cell>
          <cell r="AI2593">
            <v>0</v>
          </cell>
          <cell r="AJ2593">
            <v>0</v>
          </cell>
          <cell r="AL2593">
            <v>0</v>
          </cell>
          <cell r="AM2593">
            <v>0</v>
          </cell>
          <cell r="AO2593">
            <v>0</v>
          </cell>
          <cell r="AP2593">
            <v>0</v>
          </cell>
          <cell r="AR2593">
            <v>0</v>
          </cell>
          <cell r="AS2593">
            <v>0</v>
          </cell>
          <cell r="BF2593" t="str">
            <v>9200</v>
          </cell>
          <cell r="BG2593" t="str">
            <v>Q004</v>
          </cell>
          <cell r="BH2593" t="str">
            <v>IBO</v>
          </cell>
        </row>
        <row r="2594">
          <cell r="K2594">
            <v>0</v>
          </cell>
          <cell r="L2594">
            <v>0</v>
          </cell>
          <cell r="N2594">
            <v>0</v>
          </cell>
          <cell r="O2594">
            <v>0</v>
          </cell>
          <cell r="Q2594">
            <v>0</v>
          </cell>
          <cell r="R2594">
            <v>0</v>
          </cell>
          <cell r="T2594">
            <v>0</v>
          </cell>
          <cell r="U2594">
            <v>0</v>
          </cell>
          <cell r="W2594">
            <v>0</v>
          </cell>
          <cell r="X2594">
            <v>0</v>
          </cell>
          <cell r="Z2594">
            <v>0</v>
          </cell>
          <cell r="AA2594">
            <v>0</v>
          </cell>
          <cell r="AC2594">
            <v>0</v>
          </cell>
          <cell r="AD2594">
            <v>0</v>
          </cell>
          <cell r="AF2594">
            <v>0</v>
          </cell>
          <cell r="AG2594">
            <v>0</v>
          </cell>
          <cell r="AI2594">
            <v>0</v>
          </cell>
          <cell r="AJ2594">
            <v>0</v>
          </cell>
          <cell r="AL2594">
            <v>0</v>
          </cell>
          <cell r="AM2594">
            <v>0</v>
          </cell>
          <cell r="AO2594">
            <v>0</v>
          </cell>
          <cell r="AP2594">
            <v>0</v>
          </cell>
          <cell r="AR2594">
            <v>0</v>
          </cell>
          <cell r="AS2594">
            <v>0</v>
          </cell>
          <cell r="BF2594" t="str">
            <v>9300</v>
          </cell>
          <cell r="BG2594" t="str">
            <v>Z000</v>
          </cell>
          <cell r="BH2594" t="str">
            <v>IBO</v>
          </cell>
        </row>
        <row r="2595">
          <cell r="K2595">
            <v>0</v>
          </cell>
          <cell r="L2595">
            <v>0</v>
          </cell>
          <cell r="N2595">
            <v>0</v>
          </cell>
          <cell r="O2595">
            <v>0</v>
          </cell>
          <cell r="Q2595">
            <v>0</v>
          </cell>
          <cell r="R2595">
            <v>0</v>
          </cell>
          <cell r="T2595">
            <v>0</v>
          </cell>
          <cell r="U2595">
            <v>0</v>
          </cell>
          <cell r="W2595">
            <v>0</v>
          </cell>
          <cell r="X2595">
            <v>0</v>
          </cell>
          <cell r="Z2595">
            <v>0</v>
          </cell>
          <cell r="AA2595">
            <v>0</v>
          </cell>
          <cell r="AC2595">
            <v>0</v>
          </cell>
          <cell r="AD2595">
            <v>0</v>
          </cell>
          <cell r="AF2595">
            <v>0</v>
          </cell>
          <cell r="AG2595">
            <v>0</v>
          </cell>
          <cell r="AI2595">
            <v>0</v>
          </cell>
          <cell r="AJ2595">
            <v>0</v>
          </cell>
          <cell r="AL2595">
            <v>0</v>
          </cell>
          <cell r="AM2595">
            <v>0</v>
          </cell>
          <cell r="AO2595">
            <v>0</v>
          </cell>
          <cell r="AP2595">
            <v>0</v>
          </cell>
          <cell r="AR2595">
            <v>0</v>
          </cell>
          <cell r="AS2595">
            <v>0</v>
          </cell>
          <cell r="BF2595" t="str">
            <v>9400</v>
          </cell>
          <cell r="BG2595" t="str">
            <v>Z000</v>
          </cell>
          <cell r="BH2595" t="str">
            <v>IBO</v>
          </cell>
        </row>
        <row r="2596">
          <cell r="K2596">
            <v>0</v>
          </cell>
          <cell r="L2596">
            <v>0</v>
          </cell>
          <cell r="N2596">
            <v>0</v>
          </cell>
          <cell r="O2596">
            <v>0</v>
          </cell>
          <cell r="Q2596">
            <v>0</v>
          </cell>
          <cell r="R2596">
            <v>0</v>
          </cell>
          <cell r="T2596">
            <v>0</v>
          </cell>
          <cell r="U2596">
            <v>0</v>
          </cell>
          <cell r="W2596">
            <v>0</v>
          </cell>
          <cell r="X2596">
            <v>0</v>
          </cell>
          <cell r="Z2596">
            <v>0</v>
          </cell>
          <cell r="AA2596">
            <v>0</v>
          </cell>
          <cell r="AC2596">
            <v>0</v>
          </cell>
          <cell r="AD2596">
            <v>0</v>
          </cell>
          <cell r="AF2596">
            <v>0</v>
          </cell>
          <cell r="AG2596">
            <v>0</v>
          </cell>
          <cell r="AI2596">
            <v>0</v>
          </cell>
          <cell r="AJ2596">
            <v>0</v>
          </cell>
          <cell r="AL2596">
            <v>0</v>
          </cell>
          <cell r="AM2596">
            <v>0</v>
          </cell>
          <cell r="AO2596">
            <v>0</v>
          </cell>
          <cell r="AP2596">
            <v>0</v>
          </cell>
          <cell r="AR2596">
            <v>0</v>
          </cell>
          <cell r="AS2596">
            <v>0</v>
          </cell>
          <cell r="BF2596" t="str">
            <v>9500</v>
          </cell>
          <cell r="BG2596" t="str">
            <v>Z000</v>
          </cell>
          <cell r="BH2596" t="str">
            <v>IBO</v>
          </cell>
        </row>
        <row r="2597">
          <cell r="K2597">
            <v>0</v>
          </cell>
          <cell r="L2597">
            <v>0</v>
          </cell>
          <cell r="N2597">
            <v>0</v>
          </cell>
          <cell r="O2597">
            <v>0</v>
          </cell>
          <cell r="Q2597">
            <v>0</v>
          </cell>
          <cell r="R2597">
            <v>0</v>
          </cell>
          <cell r="T2597">
            <v>0</v>
          </cell>
          <cell r="U2597">
            <v>0</v>
          </cell>
          <cell r="W2597">
            <v>0</v>
          </cell>
          <cell r="X2597">
            <v>0</v>
          </cell>
          <cell r="Z2597">
            <v>0</v>
          </cell>
          <cell r="AA2597">
            <v>0</v>
          </cell>
          <cell r="AC2597">
            <v>0</v>
          </cell>
          <cell r="AD2597">
            <v>0</v>
          </cell>
          <cell r="AF2597">
            <v>0</v>
          </cell>
          <cell r="AG2597">
            <v>0</v>
          </cell>
          <cell r="AI2597">
            <v>0</v>
          </cell>
          <cell r="AJ2597">
            <v>0</v>
          </cell>
          <cell r="AL2597">
            <v>0</v>
          </cell>
          <cell r="AM2597">
            <v>0</v>
          </cell>
          <cell r="AO2597">
            <v>0</v>
          </cell>
          <cell r="AP2597">
            <v>0</v>
          </cell>
          <cell r="AR2597">
            <v>0</v>
          </cell>
          <cell r="AS2597">
            <v>0</v>
          </cell>
          <cell r="BF2597" t="str">
            <v>9550</v>
          </cell>
          <cell r="BG2597" t="str">
            <v>Z000</v>
          </cell>
          <cell r="BH2597" t="str">
            <v>IBO</v>
          </cell>
        </row>
        <row r="2598">
          <cell r="K2598">
            <v>0</v>
          </cell>
          <cell r="L2598">
            <v>0</v>
          </cell>
          <cell r="N2598">
            <v>0</v>
          </cell>
          <cell r="O2598">
            <v>0</v>
          </cell>
          <cell r="Q2598">
            <v>0</v>
          </cell>
          <cell r="R2598">
            <v>0</v>
          </cell>
          <cell r="T2598">
            <v>0</v>
          </cell>
          <cell r="U2598">
            <v>0</v>
          </cell>
          <cell r="W2598">
            <v>0</v>
          </cell>
          <cell r="X2598">
            <v>0</v>
          </cell>
          <cell r="Z2598">
            <v>0</v>
          </cell>
          <cell r="AA2598">
            <v>0</v>
          </cell>
          <cell r="AC2598">
            <v>0</v>
          </cell>
          <cell r="AD2598">
            <v>0</v>
          </cell>
          <cell r="AF2598">
            <v>0</v>
          </cell>
          <cell r="AG2598">
            <v>0</v>
          </cell>
          <cell r="AI2598">
            <v>-375</v>
          </cell>
          <cell r="AJ2598">
            <v>0</v>
          </cell>
          <cell r="AL2598">
            <v>-2631.84</v>
          </cell>
          <cell r="AM2598">
            <v>0</v>
          </cell>
          <cell r="AO2598">
            <v>-1666.5200000000004</v>
          </cell>
          <cell r="AP2598">
            <v>0</v>
          </cell>
          <cell r="AR2598">
            <v>4673.3599999999997</v>
          </cell>
          <cell r="AS2598">
            <v>0</v>
          </cell>
          <cell r="BF2598" t="str">
            <v>9600</v>
          </cell>
          <cell r="BG2598" t="str">
            <v>Z000</v>
          </cell>
          <cell r="BH2598" t="str">
            <v>IBO</v>
          </cell>
        </row>
        <row r="2599">
          <cell r="K2599">
            <v>0</v>
          </cell>
          <cell r="L2599">
            <v>0</v>
          </cell>
          <cell r="N2599">
            <v>0</v>
          </cell>
          <cell r="O2599">
            <v>0</v>
          </cell>
          <cell r="Q2599">
            <v>0</v>
          </cell>
          <cell r="R2599">
            <v>0</v>
          </cell>
          <cell r="T2599">
            <v>0</v>
          </cell>
          <cell r="U2599">
            <v>0</v>
          </cell>
          <cell r="W2599">
            <v>150</v>
          </cell>
          <cell r="X2599">
            <v>0</v>
          </cell>
          <cell r="Z2599">
            <v>-150</v>
          </cell>
          <cell r="AA2599">
            <v>0</v>
          </cell>
          <cell r="AC2599">
            <v>0</v>
          </cell>
          <cell r="AD2599">
            <v>0</v>
          </cell>
          <cell r="AF2599">
            <v>0</v>
          </cell>
          <cell r="AG2599">
            <v>0</v>
          </cell>
          <cell r="AI2599">
            <v>0</v>
          </cell>
          <cell r="AJ2599">
            <v>0</v>
          </cell>
          <cell r="AL2599">
            <v>0</v>
          </cell>
          <cell r="AM2599">
            <v>0</v>
          </cell>
          <cell r="AO2599">
            <v>0</v>
          </cell>
          <cell r="AP2599">
            <v>0</v>
          </cell>
          <cell r="AR2599">
            <v>0</v>
          </cell>
          <cell r="AS2599">
            <v>0</v>
          </cell>
          <cell r="BF2599" t="str">
            <v>9700</v>
          </cell>
          <cell r="BG2599" t="str">
            <v>Z000</v>
          </cell>
          <cell r="BH2599" t="str">
            <v>IBO</v>
          </cell>
        </row>
        <row r="2600">
          <cell r="K2600">
            <v>0</v>
          </cell>
          <cell r="L2600">
            <v>0</v>
          </cell>
          <cell r="N2600">
            <v>0</v>
          </cell>
          <cell r="O2600">
            <v>0</v>
          </cell>
          <cell r="Q2600">
            <v>0</v>
          </cell>
          <cell r="R2600">
            <v>0</v>
          </cell>
          <cell r="T2600">
            <v>0</v>
          </cell>
          <cell r="U2600">
            <v>0</v>
          </cell>
          <cell r="W2600">
            <v>0</v>
          </cell>
          <cell r="X2600">
            <v>0</v>
          </cell>
          <cell r="Z2600">
            <v>0</v>
          </cell>
          <cell r="AA2600">
            <v>0</v>
          </cell>
          <cell r="AC2600">
            <v>0</v>
          </cell>
          <cell r="AD2600">
            <v>0</v>
          </cell>
          <cell r="AF2600">
            <v>0</v>
          </cell>
          <cell r="AG2600">
            <v>0</v>
          </cell>
          <cell r="AI2600">
            <v>0</v>
          </cell>
          <cell r="AJ2600">
            <v>0</v>
          </cell>
          <cell r="AL2600">
            <v>0</v>
          </cell>
          <cell r="AM2600">
            <v>0</v>
          </cell>
          <cell r="AO2600">
            <v>0</v>
          </cell>
          <cell r="AP2600">
            <v>0</v>
          </cell>
          <cell r="AR2600">
            <v>0</v>
          </cell>
          <cell r="AS2600">
            <v>0</v>
          </cell>
          <cell r="BF2600" t="str">
            <v>9702</v>
          </cell>
          <cell r="BG2600" t="str">
            <v>Z000</v>
          </cell>
          <cell r="BH2600" t="str">
            <v>IBO</v>
          </cell>
        </row>
        <row r="2601">
          <cell r="K2601">
            <v>0</v>
          </cell>
          <cell r="L2601">
            <v>0</v>
          </cell>
          <cell r="N2601">
            <v>0</v>
          </cell>
          <cell r="O2601">
            <v>0</v>
          </cell>
          <cell r="Q2601">
            <v>0</v>
          </cell>
          <cell r="R2601">
            <v>0</v>
          </cell>
          <cell r="T2601">
            <v>0</v>
          </cell>
          <cell r="U2601">
            <v>0</v>
          </cell>
          <cell r="W2601">
            <v>0</v>
          </cell>
          <cell r="X2601">
            <v>0</v>
          </cell>
          <cell r="Z2601">
            <v>0</v>
          </cell>
          <cell r="AA2601">
            <v>0</v>
          </cell>
          <cell r="AC2601">
            <v>0</v>
          </cell>
          <cell r="AD2601">
            <v>0</v>
          </cell>
          <cell r="AF2601">
            <v>0</v>
          </cell>
          <cell r="AG2601">
            <v>0</v>
          </cell>
          <cell r="AI2601">
            <v>0</v>
          </cell>
          <cell r="AJ2601">
            <v>0</v>
          </cell>
          <cell r="AL2601">
            <v>0</v>
          </cell>
          <cell r="AM2601">
            <v>0</v>
          </cell>
          <cell r="AO2601">
            <v>0</v>
          </cell>
          <cell r="AP2601">
            <v>0</v>
          </cell>
          <cell r="AR2601">
            <v>0</v>
          </cell>
          <cell r="AS2601">
            <v>0</v>
          </cell>
          <cell r="BF2601" t="str">
            <v>9750</v>
          </cell>
          <cell r="BG2601" t="str">
            <v>Z000</v>
          </cell>
          <cell r="BH2601" t="str">
            <v>IBO</v>
          </cell>
        </row>
        <row r="2602">
          <cell r="K2602">
            <v>0</v>
          </cell>
          <cell r="L2602">
            <v>0</v>
          </cell>
          <cell r="N2602">
            <v>0</v>
          </cell>
          <cell r="O2602">
            <v>0</v>
          </cell>
          <cell r="Q2602">
            <v>0</v>
          </cell>
          <cell r="R2602">
            <v>0</v>
          </cell>
          <cell r="T2602">
            <v>0</v>
          </cell>
          <cell r="U2602">
            <v>0</v>
          </cell>
          <cell r="W2602">
            <v>13126</v>
          </cell>
          <cell r="X2602">
            <v>0</v>
          </cell>
          <cell r="Z2602">
            <v>41660.439999999995</v>
          </cell>
          <cell r="AA2602">
            <v>0</v>
          </cell>
          <cell r="AC2602">
            <v>26886.889999999992</v>
          </cell>
          <cell r="AD2602">
            <v>0</v>
          </cell>
          <cell r="AF2602">
            <v>88153.150000000023</v>
          </cell>
          <cell r="AG2602">
            <v>0</v>
          </cell>
          <cell r="AI2602">
            <v>104052.43000000002</v>
          </cell>
          <cell r="AJ2602">
            <v>0</v>
          </cell>
          <cell r="AL2602">
            <v>131413.39000000001</v>
          </cell>
          <cell r="AM2602">
            <v>0</v>
          </cell>
          <cell r="AO2602">
            <v>177636.83999999985</v>
          </cell>
          <cell r="AP2602">
            <v>0</v>
          </cell>
          <cell r="AR2602">
            <v>109199.69000000006</v>
          </cell>
          <cell r="AS2602">
            <v>0</v>
          </cell>
          <cell r="BF2602" t="str">
            <v>1000</v>
          </cell>
          <cell r="BG2602" t="str">
            <v>A001</v>
          </cell>
          <cell r="BH2602" t="str">
            <v>BUB</v>
          </cell>
        </row>
        <row r="2603">
          <cell r="K2603">
            <v>0</v>
          </cell>
          <cell r="L2603">
            <v>0</v>
          </cell>
          <cell r="N2603">
            <v>0</v>
          </cell>
          <cell r="O2603">
            <v>0</v>
          </cell>
          <cell r="Q2603">
            <v>0</v>
          </cell>
          <cell r="R2603">
            <v>0</v>
          </cell>
          <cell r="T2603">
            <v>0</v>
          </cell>
          <cell r="U2603">
            <v>0</v>
          </cell>
          <cell r="W2603">
            <v>1716.5</v>
          </cell>
          <cell r="X2603">
            <v>0</v>
          </cell>
          <cell r="Z2603">
            <v>2501.3300000000017</v>
          </cell>
          <cell r="AA2603">
            <v>0</v>
          </cell>
          <cell r="AC2603">
            <v>3574.6699999999983</v>
          </cell>
          <cell r="AD2603">
            <v>0</v>
          </cell>
          <cell r="AF2603">
            <v>6760.6699999999983</v>
          </cell>
          <cell r="AG2603">
            <v>0</v>
          </cell>
          <cell r="AI2603">
            <v>8030.1699999999983</v>
          </cell>
          <cell r="AJ2603">
            <v>0</v>
          </cell>
          <cell r="AL2603">
            <v>11780</v>
          </cell>
          <cell r="AM2603">
            <v>0</v>
          </cell>
          <cell r="AO2603">
            <v>14879.490000000005</v>
          </cell>
          <cell r="AP2603">
            <v>0</v>
          </cell>
          <cell r="AR2603">
            <v>11741</v>
          </cell>
          <cell r="AS2603">
            <v>0</v>
          </cell>
          <cell r="BF2603" t="str">
            <v>1000</v>
          </cell>
          <cell r="BG2603" t="str">
            <v>A002</v>
          </cell>
          <cell r="BH2603" t="str">
            <v>BUB</v>
          </cell>
        </row>
        <row r="2604">
          <cell r="K2604">
            <v>0</v>
          </cell>
          <cell r="L2604">
            <v>0</v>
          </cell>
          <cell r="N2604">
            <v>0</v>
          </cell>
          <cell r="O2604">
            <v>0</v>
          </cell>
          <cell r="Q2604">
            <v>0</v>
          </cell>
          <cell r="R2604">
            <v>0</v>
          </cell>
          <cell r="T2604">
            <v>0</v>
          </cell>
          <cell r="U2604">
            <v>0</v>
          </cell>
          <cell r="W2604">
            <v>0</v>
          </cell>
          <cell r="X2604">
            <v>0</v>
          </cell>
          <cell r="Z2604">
            <v>0</v>
          </cell>
          <cell r="AA2604">
            <v>0</v>
          </cell>
          <cell r="AC2604">
            <v>0</v>
          </cell>
          <cell r="AD2604">
            <v>0</v>
          </cell>
          <cell r="AF2604">
            <v>0</v>
          </cell>
          <cell r="AG2604">
            <v>0</v>
          </cell>
          <cell r="AI2604">
            <v>0</v>
          </cell>
          <cell r="AJ2604">
            <v>0</v>
          </cell>
          <cell r="AL2604">
            <v>0</v>
          </cell>
          <cell r="AM2604">
            <v>0</v>
          </cell>
          <cell r="AO2604">
            <v>0</v>
          </cell>
          <cell r="AP2604">
            <v>0</v>
          </cell>
          <cell r="AR2604">
            <v>0</v>
          </cell>
          <cell r="AS2604">
            <v>0</v>
          </cell>
          <cell r="BF2604" t="str">
            <v>1000</v>
          </cell>
          <cell r="BG2604" t="str">
            <v>A003</v>
          </cell>
          <cell r="BH2604" t="str">
            <v>BUB</v>
          </cell>
        </row>
        <row r="2605">
          <cell r="K2605">
            <v>0</v>
          </cell>
          <cell r="L2605">
            <v>0</v>
          </cell>
          <cell r="N2605">
            <v>0</v>
          </cell>
          <cell r="O2605">
            <v>0</v>
          </cell>
          <cell r="Q2605">
            <v>0</v>
          </cell>
          <cell r="R2605">
            <v>0</v>
          </cell>
          <cell r="T2605">
            <v>0</v>
          </cell>
          <cell r="U2605">
            <v>0</v>
          </cell>
          <cell r="W2605">
            <v>72074</v>
          </cell>
          <cell r="X2605">
            <v>0</v>
          </cell>
          <cell r="Z2605">
            <v>46229.149999999994</v>
          </cell>
          <cell r="AA2605">
            <v>0</v>
          </cell>
          <cell r="AC2605">
            <v>42908.600000000006</v>
          </cell>
          <cell r="AD2605">
            <v>0</v>
          </cell>
          <cell r="AF2605">
            <v>46773.850000000006</v>
          </cell>
          <cell r="AG2605">
            <v>0</v>
          </cell>
          <cell r="AI2605">
            <v>60446.889999999985</v>
          </cell>
          <cell r="AJ2605">
            <v>0</v>
          </cell>
          <cell r="AL2605">
            <v>35554.73000000004</v>
          </cell>
          <cell r="AM2605">
            <v>0</v>
          </cell>
          <cell r="AO2605">
            <v>21302.539999999979</v>
          </cell>
          <cell r="AP2605">
            <v>0</v>
          </cell>
          <cell r="AR2605">
            <v>35321.969999999972</v>
          </cell>
          <cell r="AS2605">
            <v>0</v>
          </cell>
          <cell r="BF2605" t="str">
            <v>1000</v>
          </cell>
          <cell r="BG2605" t="str">
            <v>A004</v>
          </cell>
          <cell r="BH2605" t="str">
            <v>BUB</v>
          </cell>
        </row>
        <row r="2606">
          <cell r="K2606">
            <v>0</v>
          </cell>
          <cell r="L2606">
            <v>0</v>
          </cell>
          <cell r="N2606">
            <v>0</v>
          </cell>
          <cell r="O2606">
            <v>0</v>
          </cell>
          <cell r="Q2606">
            <v>0</v>
          </cell>
          <cell r="R2606">
            <v>0</v>
          </cell>
          <cell r="T2606">
            <v>0</v>
          </cell>
          <cell r="U2606">
            <v>0</v>
          </cell>
          <cell r="W2606">
            <v>0</v>
          </cell>
          <cell r="X2606">
            <v>0</v>
          </cell>
          <cell r="Z2606">
            <v>0</v>
          </cell>
          <cell r="AA2606">
            <v>0</v>
          </cell>
          <cell r="AC2606">
            <v>0</v>
          </cell>
          <cell r="AD2606">
            <v>0</v>
          </cell>
          <cell r="AF2606">
            <v>0</v>
          </cell>
          <cell r="AG2606">
            <v>0</v>
          </cell>
          <cell r="AI2606">
            <v>0</v>
          </cell>
          <cell r="AJ2606">
            <v>0</v>
          </cell>
          <cell r="AL2606">
            <v>0</v>
          </cell>
          <cell r="AM2606">
            <v>0</v>
          </cell>
          <cell r="AO2606">
            <v>0</v>
          </cell>
          <cell r="AP2606">
            <v>0</v>
          </cell>
          <cell r="AR2606">
            <v>0</v>
          </cell>
          <cell r="AS2606">
            <v>0</v>
          </cell>
          <cell r="BF2606" t="str">
            <v>1000</v>
          </cell>
          <cell r="BG2606" t="str">
            <v>A005</v>
          </cell>
          <cell r="BH2606" t="str">
            <v>BUB</v>
          </cell>
        </row>
        <row r="2607">
          <cell r="K2607">
            <v>0</v>
          </cell>
          <cell r="L2607">
            <v>0</v>
          </cell>
          <cell r="N2607">
            <v>0</v>
          </cell>
          <cell r="O2607">
            <v>0</v>
          </cell>
          <cell r="Q2607">
            <v>0</v>
          </cell>
          <cell r="R2607">
            <v>0</v>
          </cell>
          <cell r="T2607">
            <v>0</v>
          </cell>
          <cell r="U2607">
            <v>0</v>
          </cell>
          <cell r="W2607">
            <v>0</v>
          </cell>
          <cell r="X2607">
            <v>0</v>
          </cell>
          <cell r="Z2607">
            <v>0</v>
          </cell>
          <cell r="AA2607">
            <v>0</v>
          </cell>
          <cell r="AC2607">
            <v>0</v>
          </cell>
          <cell r="AD2607">
            <v>0</v>
          </cell>
          <cell r="AF2607">
            <v>0</v>
          </cell>
          <cell r="AG2607">
            <v>0</v>
          </cell>
          <cell r="AI2607">
            <v>0</v>
          </cell>
          <cell r="AJ2607">
            <v>0</v>
          </cell>
          <cell r="AL2607">
            <v>0</v>
          </cell>
          <cell r="AM2607">
            <v>0</v>
          </cell>
          <cell r="AO2607">
            <v>0</v>
          </cell>
          <cell r="AP2607">
            <v>0</v>
          </cell>
          <cell r="AR2607">
            <v>0</v>
          </cell>
          <cell r="AS2607">
            <v>0</v>
          </cell>
          <cell r="BF2607" t="str">
            <v>1000</v>
          </cell>
          <cell r="BG2607" t="str">
            <v>A006</v>
          </cell>
          <cell r="BH2607" t="str">
            <v>BUB</v>
          </cell>
        </row>
        <row r="2608">
          <cell r="K2608">
            <v>0</v>
          </cell>
          <cell r="L2608">
            <v>0</v>
          </cell>
          <cell r="N2608">
            <v>0</v>
          </cell>
          <cell r="O2608">
            <v>0</v>
          </cell>
          <cell r="Q2608">
            <v>0</v>
          </cell>
          <cell r="R2608">
            <v>0</v>
          </cell>
          <cell r="T2608">
            <v>0</v>
          </cell>
          <cell r="U2608">
            <v>0</v>
          </cell>
          <cell r="W2608">
            <v>0</v>
          </cell>
          <cell r="X2608">
            <v>0</v>
          </cell>
          <cell r="Z2608">
            <v>0</v>
          </cell>
          <cell r="AA2608">
            <v>0</v>
          </cell>
          <cell r="AC2608">
            <v>0</v>
          </cell>
          <cell r="AD2608">
            <v>0</v>
          </cell>
          <cell r="AF2608">
            <v>0</v>
          </cell>
          <cell r="AG2608">
            <v>0</v>
          </cell>
          <cell r="AI2608">
            <v>0</v>
          </cell>
          <cell r="AJ2608">
            <v>0</v>
          </cell>
          <cell r="AL2608">
            <v>0</v>
          </cell>
          <cell r="AM2608">
            <v>0</v>
          </cell>
          <cell r="AO2608">
            <v>0</v>
          </cell>
          <cell r="AP2608">
            <v>0</v>
          </cell>
          <cell r="AR2608">
            <v>0</v>
          </cell>
          <cell r="AS2608">
            <v>0</v>
          </cell>
          <cell r="BF2608" t="str">
            <v>1000</v>
          </cell>
          <cell r="BG2608" t="str">
            <v>A007</v>
          </cell>
          <cell r="BH2608" t="str">
            <v>BUB</v>
          </cell>
        </row>
        <row r="2609">
          <cell r="K2609">
            <v>0</v>
          </cell>
          <cell r="L2609">
            <v>0</v>
          </cell>
          <cell r="N2609">
            <v>0</v>
          </cell>
          <cell r="O2609">
            <v>0</v>
          </cell>
          <cell r="Q2609">
            <v>0</v>
          </cell>
          <cell r="R2609">
            <v>0</v>
          </cell>
          <cell r="T2609">
            <v>0</v>
          </cell>
          <cell r="U2609">
            <v>0</v>
          </cell>
          <cell r="W2609">
            <v>0</v>
          </cell>
          <cell r="X2609">
            <v>0</v>
          </cell>
          <cell r="Z2609">
            <v>0</v>
          </cell>
          <cell r="AA2609">
            <v>0</v>
          </cell>
          <cell r="AC2609">
            <v>0</v>
          </cell>
          <cell r="AD2609">
            <v>0</v>
          </cell>
          <cell r="AF2609">
            <v>0</v>
          </cell>
          <cell r="AG2609">
            <v>0</v>
          </cell>
          <cell r="AI2609">
            <v>0</v>
          </cell>
          <cell r="AJ2609">
            <v>0</v>
          </cell>
          <cell r="AL2609">
            <v>0</v>
          </cell>
          <cell r="AM2609">
            <v>0</v>
          </cell>
          <cell r="AO2609">
            <v>0</v>
          </cell>
          <cell r="AP2609">
            <v>0</v>
          </cell>
          <cell r="AR2609">
            <v>0</v>
          </cell>
          <cell r="AS2609">
            <v>0</v>
          </cell>
          <cell r="BF2609" t="str">
            <v>1000</v>
          </cell>
          <cell r="BG2609" t="str">
            <v>A008</v>
          </cell>
          <cell r="BH2609" t="str">
            <v>BUB</v>
          </cell>
        </row>
        <row r="2610">
          <cell r="K2610">
            <v>0</v>
          </cell>
          <cell r="L2610">
            <v>0</v>
          </cell>
          <cell r="N2610">
            <v>0</v>
          </cell>
          <cell r="O2610">
            <v>0</v>
          </cell>
          <cell r="Q2610">
            <v>0</v>
          </cell>
          <cell r="R2610">
            <v>0</v>
          </cell>
          <cell r="T2610">
            <v>0</v>
          </cell>
          <cell r="U2610">
            <v>0</v>
          </cell>
          <cell r="W2610">
            <v>0</v>
          </cell>
          <cell r="X2610">
            <v>0</v>
          </cell>
          <cell r="Z2610">
            <v>0</v>
          </cell>
          <cell r="AA2610">
            <v>0</v>
          </cell>
          <cell r="AC2610">
            <v>0</v>
          </cell>
          <cell r="AD2610">
            <v>0</v>
          </cell>
          <cell r="AF2610">
            <v>0</v>
          </cell>
          <cell r="AG2610">
            <v>0</v>
          </cell>
          <cell r="AI2610">
            <v>0</v>
          </cell>
          <cell r="AJ2610">
            <v>0</v>
          </cell>
          <cell r="AL2610">
            <v>0</v>
          </cell>
          <cell r="AM2610">
            <v>0</v>
          </cell>
          <cell r="AO2610">
            <v>0</v>
          </cell>
          <cell r="AP2610">
            <v>0</v>
          </cell>
          <cell r="AR2610">
            <v>0</v>
          </cell>
          <cell r="AS2610">
            <v>0</v>
          </cell>
          <cell r="BF2610" t="str">
            <v>1000</v>
          </cell>
          <cell r="BG2610" t="str">
            <v>A009</v>
          </cell>
          <cell r="BH2610" t="str">
            <v>BUB</v>
          </cell>
        </row>
        <row r="2611">
          <cell r="K2611">
            <v>0</v>
          </cell>
          <cell r="L2611">
            <v>0</v>
          </cell>
          <cell r="N2611">
            <v>0</v>
          </cell>
          <cell r="O2611">
            <v>0</v>
          </cell>
          <cell r="Q2611">
            <v>0</v>
          </cell>
          <cell r="R2611">
            <v>0</v>
          </cell>
          <cell r="T2611">
            <v>0</v>
          </cell>
          <cell r="U2611">
            <v>0</v>
          </cell>
          <cell r="W2611">
            <v>0</v>
          </cell>
          <cell r="X2611">
            <v>0</v>
          </cell>
          <cell r="Z2611">
            <v>0</v>
          </cell>
          <cell r="AA2611">
            <v>0</v>
          </cell>
          <cell r="AC2611">
            <v>0</v>
          </cell>
          <cell r="AD2611">
            <v>0</v>
          </cell>
          <cell r="AF2611">
            <v>0</v>
          </cell>
          <cell r="AG2611">
            <v>0</v>
          </cell>
          <cell r="AI2611">
            <v>0</v>
          </cell>
          <cell r="AJ2611">
            <v>0</v>
          </cell>
          <cell r="AL2611">
            <v>0</v>
          </cell>
          <cell r="AM2611">
            <v>0</v>
          </cell>
          <cell r="AO2611">
            <v>0</v>
          </cell>
          <cell r="AP2611">
            <v>0</v>
          </cell>
          <cell r="AR2611">
            <v>0</v>
          </cell>
          <cell r="AS2611">
            <v>0</v>
          </cell>
          <cell r="BF2611" t="str">
            <v>1000</v>
          </cell>
          <cell r="BG2611" t="str">
            <v>A010</v>
          </cell>
          <cell r="BH2611" t="str">
            <v>BUB</v>
          </cell>
        </row>
        <row r="2612">
          <cell r="K2612">
            <v>0</v>
          </cell>
          <cell r="L2612">
            <v>0</v>
          </cell>
          <cell r="N2612">
            <v>0</v>
          </cell>
          <cell r="O2612">
            <v>0</v>
          </cell>
          <cell r="Q2612">
            <v>0</v>
          </cell>
          <cell r="R2612">
            <v>0</v>
          </cell>
          <cell r="T2612">
            <v>0</v>
          </cell>
          <cell r="U2612">
            <v>0</v>
          </cell>
          <cell r="W2612">
            <v>0</v>
          </cell>
          <cell r="X2612">
            <v>0</v>
          </cell>
          <cell r="Z2612">
            <v>0</v>
          </cell>
          <cell r="AA2612">
            <v>0</v>
          </cell>
          <cell r="AC2612">
            <v>0</v>
          </cell>
          <cell r="AD2612">
            <v>0</v>
          </cell>
          <cell r="AF2612">
            <v>0</v>
          </cell>
          <cell r="AG2612">
            <v>0</v>
          </cell>
          <cell r="AI2612">
            <v>0</v>
          </cell>
          <cell r="AJ2612">
            <v>0</v>
          </cell>
          <cell r="AL2612">
            <v>0</v>
          </cell>
          <cell r="AM2612">
            <v>0</v>
          </cell>
          <cell r="AO2612">
            <v>0</v>
          </cell>
          <cell r="AP2612">
            <v>0</v>
          </cell>
          <cell r="AR2612">
            <v>0</v>
          </cell>
          <cell r="AS2612">
            <v>0</v>
          </cell>
          <cell r="BF2612" t="str">
            <v>1005</v>
          </cell>
          <cell r="BG2612" t="str">
            <v>A081</v>
          </cell>
          <cell r="BH2612" t="str">
            <v>BUB</v>
          </cell>
        </row>
        <row r="2613">
          <cell r="K2613">
            <v>0</v>
          </cell>
          <cell r="L2613">
            <v>0</v>
          </cell>
          <cell r="N2613">
            <v>0</v>
          </cell>
          <cell r="O2613">
            <v>0</v>
          </cell>
          <cell r="Q2613">
            <v>0</v>
          </cell>
          <cell r="R2613">
            <v>0</v>
          </cell>
          <cell r="T2613">
            <v>0</v>
          </cell>
          <cell r="U2613">
            <v>0</v>
          </cell>
          <cell r="W2613">
            <v>0</v>
          </cell>
          <cell r="X2613">
            <v>0</v>
          </cell>
          <cell r="Z2613">
            <v>0</v>
          </cell>
          <cell r="AA2613">
            <v>0</v>
          </cell>
          <cell r="AC2613">
            <v>0</v>
          </cell>
          <cell r="AD2613">
            <v>0</v>
          </cell>
          <cell r="AF2613">
            <v>0</v>
          </cell>
          <cell r="AG2613">
            <v>0</v>
          </cell>
          <cell r="AI2613">
            <v>0</v>
          </cell>
          <cell r="AJ2613">
            <v>0</v>
          </cell>
          <cell r="AL2613">
            <v>0</v>
          </cell>
          <cell r="AM2613">
            <v>0</v>
          </cell>
          <cell r="AO2613">
            <v>0</v>
          </cell>
          <cell r="AP2613">
            <v>0</v>
          </cell>
          <cell r="AR2613">
            <v>0</v>
          </cell>
          <cell r="AS2613">
            <v>0</v>
          </cell>
          <cell r="BF2613" t="str">
            <v>1005</v>
          </cell>
          <cell r="BG2613" t="str">
            <v>A082</v>
          </cell>
          <cell r="BH2613" t="str">
            <v>BUB</v>
          </cell>
        </row>
        <row r="2614">
          <cell r="K2614">
            <v>0</v>
          </cell>
          <cell r="L2614">
            <v>0</v>
          </cell>
          <cell r="N2614">
            <v>0</v>
          </cell>
          <cell r="O2614">
            <v>0</v>
          </cell>
          <cell r="Q2614">
            <v>0</v>
          </cell>
          <cell r="R2614">
            <v>0</v>
          </cell>
          <cell r="T2614">
            <v>0</v>
          </cell>
          <cell r="U2614">
            <v>0</v>
          </cell>
          <cell r="W2614">
            <v>0</v>
          </cell>
          <cell r="X2614">
            <v>0</v>
          </cell>
          <cell r="Z2614">
            <v>0</v>
          </cell>
          <cell r="AA2614">
            <v>0</v>
          </cell>
          <cell r="AC2614">
            <v>0</v>
          </cell>
          <cell r="AD2614">
            <v>0</v>
          </cell>
          <cell r="AF2614">
            <v>0</v>
          </cell>
          <cell r="AG2614">
            <v>0</v>
          </cell>
          <cell r="AI2614">
            <v>0</v>
          </cell>
          <cell r="AJ2614">
            <v>0</v>
          </cell>
          <cell r="AL2614">
            <v>0</v>
          </cell>
          <cell r="AM2614">
            <v>0</v>
          </cell>
          <cell r="AO2614">
            <v>0</v>
          </cell>
          <cell r="AP2614">
            <v>0</v>
          </cell>
          <cell r="AR2614">
            <v>0</v>
          </cell>
          <cell r="AS2614">
            <v>0</v>
          </cell>
          <cell r="BF2614" t="str">
            <v>1005</v>
          </cell>
          <cell r="BG2614" t="str">
            <v>A083</v>
          </cell>
          <cell r="BH2614" t="str">
            <v>BUB</v>
          </cell>
        </row>
        <row r="2615">
          <cell r="K2615">
            <v>0</v>
          </cell>
          <cell r="L2615">
            <v>0</v>
          </cell>
          <cell r="N2615">
            <v>0</v>
          </cell>
          <cell r="O2615">
            <v>0</v>
          </cell>
          <cell r="Q2615">
            <v>0</v>
          </cell>
          <cell r="R2615">
            <v>0</v>
          </cell>
          <cell r="T2615">
            <v>0</v>
          </cell>
          <cell r="U2615">
            <v>0</v>
          </cell>
          <cell r="W2615">
            <v>0</v>
          </cell>
          <cell r="X2615">
            <v>0</v>
          </cell>
          <cell r="Z2615">
            <v>0</v>
          </cell>
          <cell r="AA2615">
            <v>0</v>
          </cell>
          <cell r="AC2615">
            <v>0</v>
          </cell>
          <cell r="AD2615">
            <v>0</v>
          </cell>
          <cell r="AF2615">
            <v>0</v>
          </cell>
          <cell r="AG2615">
            <v>0</v>
          </cell>
          <cell r="AI2615">
            <v>0</v>
          </cell>
          <cell r="AJ2615">
            <v>0</v>
          </cell>
          <cell r="AL2615">
            <v>0</v>
          </cell>
          <cell r="AM2615">
            <v>0</v>
          </cell>
          <cell r="AO2615">
            <v>0</v>
          </cell>
          <cell r="AP2615">
            <v>0</v>
          </cell>
          <cell r="AR2615">
            <v>0</v>
          </cell>
          <cell r="AS2615">
            <v>0</v>
          </cell>
          <cell r="BF2615" t="str">
            <v>1005</v>
          </cell>
          <cell r="BG2615" t="str">
            <v>A084</v>
          </cell>
          <cell r="BH2615" t="str">
            <v>BUB</v>
          </cell>
        </row>
        <row r="2616">
          <cell r="K2616">
            <v>0</v>
          </cell>
          <cell r="L2616">
            <v>0</v>
          </cell>
          <cell r="N2616">
            <v>0</v>
          </cell>
          <cell r="O2616">
            <v>0</v>
          </cell>
          <cell r="Q2616">
            <v>0</v>
          </cell>
          <cell r="R2616">
            <v>0</v>
          </cell>
          <cell r="T2616">
            <v>0</v>
          </cell>
          <cell r="U2616">
            <v>0</v>
          </cell>
          <cell r="W2616">
            <v>0</v>
          </cell>
          <cell r="X2616">
            <v>0</v>
          </cell>
          <cell r="Z2616">
            <v>0</v>
          </cell>
          <cell r="AA2616">
            <v>0</v>
          </cell>
          <cell r="AC2616">
            <v>0</v>
          </cell>
          <cell r="AD2616">
            <v>0</v>
          </cell>
          <cell r="AF2616">
            <v>0</v>
          </cell>
          <cell r="AG2616">
            <v>0</v>
          </cell>
          <cell r="AI2616">
            <v>0</v>
          </cell>
          <cell r="AJ2616">
            <v>0</v>
          </cell>
          <cell r="AL2616">
            <v>0</v>
          </cell>
          <cell r="AM2616">
            <v>0</v>
          </cell>
          <cell r="AO2616">
            <v>0</v>
          </cell>
          <cell r="AP2616">
            <v>0</v>
          </cell>
          <cell r="AR2616">
            <v>0</v>
          </cell>
          <cell r="AS2616">
            <v>0</v>
          </cell>
          <cell r="BF2616" t="str">
            <v>1005</v>
          </cell>
          <cell r="BG2616" t="str">
            <v>A085</v>
          </cell>
          <cell r="BH2616" t="str">
            <v>BUB</v>
          </cell>
        </row>
        <row r="2617">
          <cell r="K2617">
            <v>0</v>
          </cell>
          <cell r="L2617">
            <v>0</v>
          </cell>
          <cell r="N2617">
            <v>0</v>
          </cell>
          <cell r="O2617">
            <v>0</v>
          </cell>
          <cell r="Q2617">
            <v>0</v>
          </cell>
          <cell r="R2617">
            <v>0</v>
          </cell>
          <cell r="T2617">
            <v>0</v>
          </cell>
          <cell r="U2617">
            <v>0</v>
          </cell>
          <cell r="W2617">
            <v>0</v>
          </cell>
          <cell r="X2617">
            <v>0</v>
          </cell>
          <cell r="Z2617">
            <v>0</v>
          </cell>
          <cell r="AA2617">
            <v>0</v>
          </cell>
          <cell r="AC2617">
            <v>0</v>
          </cell>
          <cell r="AD2617">
            <v>0</v>
          </cell>
          <cell r="AF2617">
            <v>0</v>
          </cell>
          <cell r="AG2617">
            <v>0</v>
          </cell>
          <cell r="AI2617">
            <v>0</v>
          </cell>
          <cell r="AJ2617">
            <v>0</v>
          </cell>
          <cell r="AL2617">
            <v>0</v>
          </cell>
          <cell r="AM2617">
            <v>0</v>
          </cell>
          <cell r="AO2617">
            <v>0</v>
          </cell>
          <cell r="AP2617">
            <v>0</v>
          </cell>
          <cell r="AR2617">
            <v>0</v>
          </cell>
          <cell r="AS2617">
            <v>0</v>
          </cell>
          <cell r="BF2617" t="str">
            <v>1005</v>
          </cell>
          <cell r="BG2617" t="str">
            <v>A086</v>
          </cell>
          <cell r="BH2617" t="str">
            <v>BUB</v>
          </cell>
        </row>
        <row r="2618">
          <cell r="K2618">
            <v>0</v>
          </cell>
          <cell r="L2618">
            <v>0</v>
          </cell>
          <cell r="N2618">
            <v>0</v>
          </cell>
          <cell r="O2618">
            <v>0</v>
          </cell>
          <cell r="Q2618">
            <v>0</v>
          </cell>
          <cell r="R2618">
            <v>0</v>
          </cell>
          <cell r="T2618">
            <v>0</v>
          </cell>
          <cell r="U2618">
            <v>0</v>
          </cell>
          <cell r="W2618">
            <v>0</v>
          </cell>
          <cell r="X2618">
            <v>0</v>
          </cell>
          <cell r="Z2618">
            <v>0</v>
          </cell>
          <cell r="AA2618">
            <v>0</v>
          </cell>
          <cell r="AC2618">
            <v>0</v>
          </cell>
          <cell r="AD2618">
            <v>0</v>
          </cell>
          <cell r="AF2618">
            <v>0</v>
          </cell>
          <cell r="AG2618">
            <v>0</v>
          </cell>
          <cell r="AI2618">
            <v>0</v>
          </cell>
          <cell r="AJ2618">
            <v>0</v>
          </cell>
          <cell r="AL2618">
            <v>0</v>
          </cell>
          <cell r="AM2618">
            <v>0</v>
          </cell>
          <cell r="AO2618">
            <v>0</v>
          </cell>
          <cell r="AP2618">
            <v>0</v>
          </cell>
          <cell r="AR2618">
            <v>0</v>
          </cell>
          <cell r="AS2618">
            <v>0</v>
          </cell>
          <cell r="BF2618" t="str">
            <v>1008</v>
          </cell>
          <cell r="BG2618" t="str">
            <v>A041</v>
          </cell>
          <cell r="BH2618" t="str">
            <v>BUB</v>
          </cell>
        </row>
        <row r="2619">
          <cell r="K2619">
            <v>0</v>
          </cell>
          <cell r="L2619">
            <v>0</v>
          </cell>
          <cell r="N2619">
            <v>0</v>
          </cell>
          <cell r="O2619">
            <v>0</v>
          </cell>
          <cell r="Q2619">
            <v>0</v>
          </cell>
          <cell r="R2619">
            <v>0</v>
          </cell>
          <cell r="T2619">
            <v>0</v>
          </cell>
          <cell r="U2619">
            <v>0</v>
          </cell>
          <cell r="W2619">
            <v>0</v>
          </cell>
          <cell r="X2619">
            <v>0</v>
          </cell>
          <cell r="Z2619">
            <v>0</v>
          </cell>
          <cell r="AA2619">
            <v>0</v>
          </cell>
          <cell r="AC2619">
            <v>0</v>
          </cell>
          <cell r="AD2619">
            <v>0</v>
          </cell>
          <cell r="AF2619">
            <v>0</v>
          </cell>
          <cell r="AG2619">
            <v>0</v>
          </cell>
          <cell r="AI2619">
            <v>0</v>
          </cell>
          <cell r="AJ2619">
            <v>0</v>
          </cell>
          <cell r="AL2619">
            <v>0</v>
          </cell>
          <cell r="AM2619">
            <v>0</v>
          </cell>
          <cell r="AO2619">
            <v>0</v>
          </cell>
          <cell r="AP2619">
            <v>0</v>
          </cell>
          <cell r="AR2619">
            <v>0</v>
          </cell>
          <cell r="AS2619">
            <v>0</v>
          </cell>
          <cell r="BF2619" t="str">
            <v>1008</v>
          </cell>
          <cell r="BG2619" t="str">
            <v>A042</v>
          </cell>
          <cell r="BH2619" t="str">
            <v>BUB</v>
          </cell>
        </row>
        <row r="2620">
          <cell r="K2620">
            <v>0</v>
          </cell>
          <cell r="L2620">
            <v>0</v>
          </cell>
          <cell r="N2620">
            <v>0</v>
          </cell>
          <cell r="O2620">
            <v>0</v>
          </cell>
          <cell r="Q2620">
            <v>0</v>
          </cell>
          <cell r="R2620">
            <v>0</v>
          </cell>
          <cell r="T2620">
            <v>0</v>
          </cell>
          <cell r="U2620">
            <v>0</v>
          </cell>
          <cell r="W2620">
            <v>0</v>
          </cell>
          <cell r="X2620">
            <v>0</v>
          </cell>
          <cell r="Z2620">
            <v>0</v>
          </cell>
          <cell r="AA2620">
            <v>0</v>
          </cell>
          <cell r="AC2620">
            <v>0</v>
          </cell>
          <cell r="AD2620">
            <v>0</v>
          </cell>
          <cell r="AF2620">
            <v>0</v>
          </cell>
          <cell r="AG2620">
            <v>0</v>
          </cell>
          <cell r="AI2620">
            <v>0</v>
          </cell>
          <cell r="AJ2620">
            <v>0</v>
          </cell>
          <cell r="AL2620">
            <v>0</v>
          </cell>
          <cell r="AM2620">
            <v>0</v>
          </cell>
          <cell r="AO2620">
            <v>0</v>
          </cell>
          <cell r="AP2620">
            <v>0</v>
          </cell>
          <cell r="AR2620">
            <v>0</v>
          </cell>
          <cell r="AS2620">
            <v>0</v>
          </cell>
          <cell r="BF2620" t="str">
            <v>1008</v>
          </cell>
          <cell r="BG2620" t="str">
            <v>A043</v>
          </cell>
          <cell r="BH2620" t="str">
            <v>BUB</v>
          </cell>
        </row>
        <row r="2621">
          <cell r="K2621">
            <v>0</v>
          </cell>
          <cell r="L2621">
            <v>0</v>
          </cell>
          <cell r="N2621">
            <v>0</v>
          </cell>
          <cell r="O2621">
            <v>0</v>
          </cell>
          <cell r="Q2621">
            <v>0</v>
          </cell>
          <cell r="R2621">
            <v>0</v>
          </cell>
          <cell r="T2621">
            <v>0</v>
          </cell>
          <cell r="U2621">
            <v>0</v>
          </cell>
          <cell r="W2621">
            <v>0</v>
          </cell>
          <cell r="X2621">
            <v>0</v>
          </cell>
          <cell r="Z2621">
            <v>0</v>
          </cell>
          <cell r="AA2621">
            <v>0</v>
          </cell>
          <cell r="AC2621">
            <v>0</v>
          </cell>
          <cell r="AD2621">
            <v>0</v>
          </cell>
          <cell r="AF2621">
            <v>0</v>
          </cell>
          <cell r="AG2621">
            <v>0</v>
          </cell>
          <cell r="AI2621">
            <v>0</v>
          </cell>
          <cell r="AJ2621">
            <v>0</v>
          </cell>
          <cell r="AL2621">
            <v>0</v>
          </cell>
          <cell r="AM2621">
            <v>0</v>
          </cell>
          <cell r="AO2621">
            <v>0</v>
          </cell>
          <cell r="AP2621">
            <v>0</v>
          </cell>
          <cell r="AR2621">
            <v>0</v>
          </cell>
          <cell r="AS2621">
            <v>0</v>
          </cell>
          <cell r="BF2621" t="str">
            <v>1008</v>
          </cell>
          <cell r="BG2621" t="str">
            <v>A044</v>
          </cell>
          <cell r="BH2621" t="str">
            <v>BUB</v>
          </cell>
        </row>
        <row r="2622">
          <cell r="K2622">
            <v>0</v>
          </cell>
          <cell r="L2622">
            <v>0</v>
          </cell>
          <cell r="N2622">
            <v>0</v>
          </cell>
          <cell r="O2622">
            <v>0</v>
          </cell>
          <cell r="Q2622">
            <v>0</v>
          </cell>
          <cell r="R2622">
            <v>0</v>
          </cell>
          <cell r="T2622">
            <v>0</v>
          </cell>
          <cell r="U2622">
            <v>0</v>
          </cell>
          <cell r="W2622">
            <v>0</v>
          </cell>
          <cell r="X2622">
            <v>0</v>
          </cell>
          <cell r="Z2622">
            <v>0</v>
          </cell>
          <cell r="AA2622">
            <v>0</v>
          </cell>
          <cell r="AC2622">
            <v>0</v>
          </cell>
          <cell r="AD2622">
            <v>0</v>
          </cell>
          <cell r="AF2622">
            <v>0</v>
          </cell>
          <cell r="AG2622">
            <v>0</v>
          </cell>
          <cell r="AI2622">
            <v>0</v>
          </cell>
          <cell r="AJ2622">
            <v>0</v>
          </cell>
          <cell r="AL2622">
            <v>0</v>
          </cell>
          <cell r="AM2622">
            <v>0</v>
          </cell>
          <cell r="AO2622">
            <v>0</v>
          </cell>
          <cell r="AP2622">
            <v>0</v>
          </cell>
          <cell r="AR2622">
            <v>0</v>
          </cell>
          <cell r="AS2622">
            <v>0</v>
          </cell>
          <cell r="BF2622" t="str">
            <v>1009</v>
          </cell>
          <cell r="BG2622" t="str">
            <v>A061</v>
          </cell>
          <cell r="BH2622" t="str">
            <v>BUB</v>
          </cell>
        </row>
        <row r="2623">
          <cell r="K2623">
            <v>0</v>
          </cell>
          <cell r="L2623">
            <v>0</v>
          </cell>
          <cell r="N2623">
            <v>0</v>
          </cell>
          <cell r="O2623">
            <v>0</v>
          </cell>
          <cell r="Q2623">
            <v>0</v>
          </cell>
          <cell r="R2623">
            <v>0</v>
          </cell>
          <cell r="T2623">
            <v>0</v>
          </cell>
          <cell r="U2623">
            <v>0</v>
          </cell>
          <cell r="W2623">
            <v>0</v>
          </cell>
          <cell r="X2623">
            <v>0</v>
          </cell>
          <cell r="Z2623">
            <v>0</v>
          </cell>
          <cell r="AA2623">
            <v>0</v>
          </cell>
          <cell r="AC2623">
            <v>0</v>
          </cell>
          <cell r="AD2623">
            <v>0</v>
          </cell>
          <cell r="AF2623">
            <v>0</v>
          </cell>
          <cell r="AG2623">
            <v>0</v>
          </cell>
          <cell r="AI2623">
            <v>0</v>
          </cell>
          <cell r="AJ2623">
            <v>0</v>
          </cell>
          <cell r="AL2623">
            <v>0</v>
          </cell>
          <cell r="AM2623">
            <v>0</v>
          </cell>
          <cell r="AO2623">
            <v>0</v>
          </cell>
          <cell r="AP2623">
            <v>0</v>
          </cell>
          <cell r="AR2623">
            <v>0</v>
          </cell>
          <cell r="AS2623">
            <v>0</v>
          </cell>
          <cell r="BF2623" t="str">
            <v>1009</v>
          </cell>
          <cell r="BG2623" t="str">
            <v>A062</v>
          </cell>
          <cell r="BH2623" t="str">
            <v>BUB</v>
          </cell>
        </row>
        <row r="2624">
          <cell r="K2624">
            <v>0</v>
          </cell>
          <cell r="L2624">
            <v>0</v>
          </cell>
          <cell r="N2624">
            <v>0</v>
          </cell>
          <cell r="O2624">
            <v>0</v>
          </cell>
          <cell r="Q2624">
            <v>0</v>
          </cell>
          <cell r="R2624">
            <v>0</v>
          </cell>
          <cell r="T2624">
            <v>0</v>
          </cell>
          <cell r="U2624">
            <v>0</v>
          </cell>
          <cell r="W2624">
            <v>0</v>
          </cell>
          <cell r="X2624">
            <v>0</v>
          </cell>
          <cell r="Z2624">
            <v>0</v>
          </cell>
          <cell r="AA2624">
            <v>0</v>
          </cell>
          <cell r="AC2624">
            <v>0</v>
          </cell>
          <cell r="AD2624">
            <v>0</v>
          </cell>
          <cell r="AF2624">
            <v>0</v>
          </cell>
          <cell r="AG2624">
            <v>0</v>
          </cell>
          <cell r="AI2624">
            <v>0</v>
          </cell>
          <cell r="AJ2624">
            <v>0</v>
          </cell>
          <cell r="AL2624">
            <v>0</v>
          </cell>
          <cell r="AM2624">
            <v>0</v>
          </cell>
          <cell r="AO2624">
            <v>0</v>
          </cell>
          <cell r="AP2624">
            <v>0</v>
          </cell>
          <cell r="AR2624">
            <v>0</v>
          </cell>
          <cell r="AS2624">
            <v>0</v>
          </cell>
          <cell r="BF2624" t="str">
            <v>1009</v>
          </cell>
          <cell r="BG2624" t="str">
            <v>A063</v>
          </cell>
          <cell r="BH2624" t="str">
            <v>BUB</v>
          </cell>
        </row>
        <row r="2625">
          <cell r="K2625">
            <v>0</v>
          </cell>
          <cell r="L2625">
            <v>0</v>
          </cell>
          <cell r="N2625">
            <v>0</v>
          </cell>
          <cell r="O2625">
            <v>0</v>
          </cell>
          <cell r="Q2625">
            <v>0</v>
          </cell>
          <cell r="R2625">
            <v>0</v>
          </cell>
          <cell r="T2625">
            <v>0</v>
          </cell>
          <cell r="U2625">
            <v>0</v>
          </cell>
          <cell r="W2625">
            <v>0</v>
          </cell>
          <cell r="X2625">
            <v>0</v>
          </cell>
          <cell r="Z2625">
            <v>0</v>
          </cell>
          <cell r="AA2625">
            <v>0</v>
          </cell>
          <cell r="AC2625">
            <v>0</v>
          </cell>
          <cell r="AD2625">
            <v>0</v>
          </cell>
          <cell r="AF2625">
            <v>0</v>
          </cell>
          <cell r="AG2625">
            <v>0</v>
          </cell>
          <cell r="AI2625">
            <v>0</v>
          </cell>
          <cell r="AJ2625">
            <v>0</v>
          </cell>
          <cell r="AL2625">
            <v>0</v>
          </cell>
          <cell r="AM2625">
            <v>0</v>
          </cell>
          <cell r="AO2625">
            <v>0</v>
          </cell>
          <cell r="AP2625">
            <v>0</v>
          </cell>
          <cell r="AR2625">
            <v>0</v>
          </cell>
          <cell r="AS2625">
            <v>0</v>
          </cell>
          <cell r="BF2625" t="str">
            <v>1009</v>
          </cell>
          <cell r="BG2625" t="str">
            <v>A064</v>
          </cell>
          <cell r="BH2625" t="str">
            <v>BUB</v>
          </cell>
        </row>
        <row r="2626">
          <cell r="K2626">
            <v>0</v>
          </cell>
          <cell r="L2626">
            <v>0</v>
          </cell>
          <cell r="N2626">
            <v>0</v>
          </cell>
          <cell r="O2626">
            <v>0</v>
          </cell>
          <cell r="Q2626">
            <v>0</v>
          </cell>
          <cell r="R2626">
            <v>0</v>
          </cell>
          <cell r="T2626">
            <v>0</v>
          </cell>
          <cell r="U2626">
            <v>0</v>
          </cell>
          <cell r="W2626">
            <v>0</v>
          </cell>
          <cell r="X2626">
            <v>0</v>
          </cell>
          <cell r="Z2626">
            <v>0</v>
          </cell>
          <cell r="AA2626">
            <v>0</v>
          </cell>
          <cell r="AC2626">
            <v>0</v>
          </cell>
          <cell r="AD2626">
            <v>0</v>
          </cell>
          <cell r="AF2626">
            <v>0</v>
          </cell>
          <cell r="AG2626">
            <v>0</v>
          </cell>
          <cell r="AI2626">
            <v>0</v>
          </cell>
          <cell r="AJ2626">
            <v>0</v>
          </cell>
          <cell r="AL2626">
            <v>0</v>
          </cell>
          <cell r="AM2626">
            <v>0</v>
          </cell>
          <cell r="AO2626">
            <v>0</v>
          </cell>
          <cell r="AP2626">
            <v>0</v>
          </cell>
          <cell r="AR2626">
            <v>0</v>
          </cell>
          <cell r="AS2626">
            <v>0</v>
          </cell>
          <cell r="BF2626" t="str">
            <v>1009</v>
          </cell>
          <cell r="BG2626" t="str">
            <v>A065</v>
          </cell>
          <cell r="BH2626" t="str">
            <v>BUB</v>
          </cell>
        </row>
        <row r="2627">
          <cell r="K2627">
            <v>0</v>
          </cell>
          <cell r="L2627">
            <v>0</v>
          </cell>
          <cell r="N2627">
            <v>0</v>
          </cell>
          <cell r="O2627">
            <v>0</v>
          </cell>
          <cell r="Q2627">
            <v>0</v>
          </cell>
          <cell r="R2627">
            <v>0</v>
          </cell>
          <cell r="T2627">
            <v>0</v>
          </cell>
          <cell r="U2627">
            <v>0</v>
          </cell>
          <cell r="W2627">
            <v>0</v>
          </cell>
          <cell r="X2627">
            <v>0</v>
          </cell>
          <cell r="Z2627">
            <v>0</v>
          </cell>
          <cell r="AA2627">
            <v>0</v>
          </cell>
          <cell r="AC2627">
            <v>0</v>
          </cell>
          <cell r="AD2627">
            <v>0</v>
          </cell>
          <cell r="AF2627">
            <v>0</v>
          </cell>
          <cell r="AG2627">
            <v>0</v>
          </cell>
          <cell r="AI2627">
            <v>0</v>
          </cell>
          <cell r="AJ2627">
            <v>0</v>
          </cell>
          <cell r="AL2627">
            <v>0</v>
          </cell>
          <cell r="AM2627">
            <v>0</v>
          </cell>
          <cell r="AO2627">
            <v>0</v>
          </cell>
          <cell r="AP2627">
            <v>0</v>
          </cell>
          <cell r="AR2627">
            <v>0</v>
          </cell>
          <cell r="AS2627">
            <v>0</v>
          </cell>
          <cell r="BF2627" t="str">
            <v>2001</v>
          </cell>
          <cell r="BG2627" t="str">
            <v>B001</v>
          </cell>
          <cell r="BH2627" t="str">
            <v>BUB</v>
          </cell>
        </row>
        <row r="2628">
          <cell r="K2628">
            <v>0</v>
          </cell>
          <cell r="L2628">
            <v>0</v>
          </cell>
          <cell r="N2628">
            <v>0</v>
          </cell>
          <cell r="O2628">
            <v>0</v>
          </cell>
          <cell r="Q2628">
            <v>0</v>
          </cell>
          <cell r="R2628">
            <v>0</v>
          </cell>
          <cell r="T2628">
            <v>12302.09</v>
          </cell>
          <cell r="U2628">
            <v>0</v>
          </cell>
          <cell r="W2628">
            <v>10346.700000000001</v>
          </cell>
          <cell r="X2628">
            <v>0</v>
          </cell>
          <cell r="Z2628">
            <v>19201.989999999991</v>
          </cell>
          <cell r="AA2628">
            <v>0</v>
          </cell>
          <cell r="AC2628">
            <v>27091.000000000007</v>
          </cell>
          <cell r="AD2628">
            <v>0</v>
          </cell>
          <cell r="AF2628">
            <v>25799.039999999994</v>
          </cell>
          <cell r="AG2628">
            <v>0</v>
          </cell>
          <cell r="AI2628">
            <v>33165.53</v>
          </cell>
          <cell r="AJ2628">
            <v>0</v>
          </cell>
          <cell r="AL2628">
            <v>34898.069999999992</v>
          </cell>
          <cell r="AM2628">
            <v>0</v>
          </cell>
          <cell r="AO2628">
            <v>37163.329999999987</v>
          </cell>
          <cell r="AP2628">
            <v>0</v>
          </cell>
          <cell r="AR2628">
            <v>41572.339999999997</v>
          </cell>
          <cell r="AS2628">
            <v>0</v>
          </cell>
          <cell r="BF2628" t="str">
            <v>2001</v>
          </cell>
          <cell r="BG2628" t="str">
            <v>B002</v>
          </cell>
          <cell r="BH2628" t="str">
            <v>BUB</v>
          </cell>
        </row>
        <row r="2629">
          <cell r="K2629">
            <v>0</v>
          </cell>
          <cell r="L2629">
            <v>0</v>
          </cell>
          <cell r="N2629">
            <v>0</v>
          </cell>
          <cell r="O2629">
            <v>0</v>
          </cell>
          <cell r="Q2629">
            <v>0</v>
          </cell>
          <cell r="R2629">
            <v>0</v>
          </cell>
          <cell r="T2629">
            <v>0</v>
          </cell>
          <cell r="U2629">
            <v>0</v>
          </cell>
          <cell r="W2629">
            <v>0</v>
          </cell>
          <cell r="X2629">
            <v>0</v>
          </cell>
          <cell r="Z2629">
            <v>0</v>
          </cell>
          <cell r="AA2629">
            <v>0</v>
          </cell>
          <cell r="AC2629">
            <v>0</v>
          </cell>
          <cell r="AD2629">
            <v>0</v>
          </cell>
          <cell r="AF2629">
            <v>0</v>
          </cell>
          <cell r="AG2629">
            <v>0</v>
          </cell>
          <cell r="AI2629">
            <v>0</v>
          </cell>
          <cell r="AJ2629">
            <v>0</v>
          </cell>
          <cell r="AL2629">
            <v>0</v>
          </cell>
          <cell r="AM2629">
            <v>0</v>
          </cell>
          <cell r="AO2629">
            <v>0</v>
          </cell>
          <cell r="AP2629">
            <v>0</v>
          </cell>
          <cell r="AR2629">
            <v>0</v>
          </cell>
          <cell r="AS2629">
            <v>0</v>
          </cell>
          <cell r="BF2629" t="str">
            <v>2001</v>
          </cell>
          <cell r="BG2629" t="str">
            <v>B003</v>
          </cell>
          <cell r="BH2629" t="str">
            <v>BUB</v>
          </cell>
        </row>
        <row r="2630">
          <cell r="K2630">
            <v>0</v>
          </cell>
          <cell r="L2630">
            <v>0</v>
          </cell>
          <cell r="N2630">
            <v>0</v>
          </cell>
          <cell r="O2630">
            <v>0</v>
          </cell>
          <cell r="Q2630">
            <v>0</v>
          </cell>
          <cell r="R2630">
            <v>0</v>
          </cell>
          <cell r="T2630">
            <v>271.36</v>
          </cell>
          <cell r="U2630">
            <v>0</v>
          </cell>
          <cell r="W2630">
            <v>271.36</v>
          </cell>
          <cell r="X2630">
            <v>0</v>
          </cell>
          <cell r="Z2630">
            <v>135.68000000000006</v>
          </cell>
          <cell r="AA2630">
            <v>0</v>
          </cell>
          <cell r="AC2630">
            <v>135.68000000000006</v>
          </cell>
          <cell r="AD2630">
            <v>0</v>
          </cell>
          <cell r="AF2630">
            <v>0</v>
          </cell>
          <cell r="AG2630">
            <v>0</v>
          </cell>
          <cell r="AI2630">
            <v>0</v>
          </cell>
          <cell r="AJ2630">
            <v>0</v>
          </cell>
          <cell r="AL2630">
            <v>0</v>
          </cell>
          <cell r="AM2630">
            <v>0</v>
          </cell>
          <cell r="AO2630">
            <v>0</v>
          </cell>
          <cell r="AP2630">
            <v>0</v>
          </cell>
          <cell r="AR2630">
            <v>0</v>
          </cell>
          <cell r="AS2630">
            <v>0</v>
          </cell>
          <cell r="BF2630" t="str">
            <v>2001</v>
          </cell>
          <cell r="BG2630" t="str">
            <v>B004</v>
          </cell>
          <cell r="BH2630" t="str">
            <v>BUB</v>
          </cell>
        </row>
        <row r="2631">
          <cell r="K2631">
            <v>0</v>
          </cell>
          <cell r="L2631">
            <v>0</v>
          </cell>
          <cell r="N2631">
            <v>0</v>
          </cell>
          <cell r="O2631">
            <v>0</v>
          </cell>
          <cell r="Q2631">
            <v>0</v>
          </cell>
          <cell r="R2631">
            <v>0</v>
          </cell>
          <cell r="T2631">
            <v>0</v>
          </cell>
          <cell r="U2631">
            <v>0</v>
          </cell>
          <cell r="W2631">
            <v>0</v>
          </cell>
          <cell r="X2631">
            <v>0</v>
          </cell>
          <cell r="Z2631">
            <v>0</v>
          </cell>
          <cell r="AA2631">
            <v>0</v>
          </cell>
          <cell r="AC2631">
            <v>0</v>
          </cell>
          <cell r="AD2631">
            <v>0</v>
          </cell>
          <cell r="AF2631">
            <v>0</v>
          </cell>
          <cell r="AG2631">
            <v>0</v>
          </cell>
          <cell r="AI2631">
            <v>0</v>
          </cell>
          <cell r="AJ2631">
            <v>0</v>
          </cell>
          <cell r="AL2631">
            <v>0</v>
          </cell>
          <cell r="AM2631">
            <v>0</v>
          </cell>
          <cell r="AO2631">
            <v>0</v>
          </cell>
          <cell r="AP2631">
            <v>0</v>
          </cell>
          <cell r="AR2631">
            <v>0</v>
          </cell>
          <cell r="AS2631">
            <v>0</v>
          </cell>
          <cell r="BF2631" t="str">
            <v>2001</v>
          </cell>
          <cell r="BG2631" t="str">
            <v>B005</v>
          </cell>
          <cell r="BH2631" t="str">
            <v>BUB</v>
          </cell>
        </row>
        <row r="2632">
          <cell r="K2632">
            <v>0</v>
          </cell>
          <cell r="L2632">
            <v>0</v>
          </cell>
          <cell r="N2632">
            <v>0</v>
          </cell>
          <cell r="O2632">
            <v>0</v>
          </cell>
          <cell r="Q2632">
            <v>0</v>
          </cell>
          <cell r="R2632">
            <v>0</v>
          </cell>
          <cell r="T2632">
            <v>0</v>
          </cell>
          <cell r="U2632">
            <v>0</v>
          </cell>
          <cell r="W2632">
            <v>0</v>
          </cell>
          <cell r="X2632">
            <v>0</v>
          </cell>
          <cell r="Z2632">
            <v>0</v>
          </cell>
          <cell r="AA2632">
            <v>0</v>
          </cell>
          <cell r="AC2632">
            <v>0</v>
          </cell>
          <cell r="AD2632">
            <v>0</v>
          </cell>
          <cell r="AF2632">
            <v>0</v>
          </cell>
          <cell r="AG2632">
            <v>0</v>
          </cell>
          <cell r="AI2632">
            <v>0</v>
          </cell>
          <cell r="AJ2632">
            <v>0</v>
          </cell>
          <cell r="AL2632">
            <v>0</v>
          </cell>
          <cell r="AM2632">
            <v>0</v>
          </cell>
          <cell r="AO2632">
            <v>0</v>
          </cell>
          <cell r="AP2632">
            <v>0</v>
          </cell>
          <cell r="AR2632">
            <v>0</v>
          </cell>
          <cell r="AS2632">
            <v>0</v>
          </cell>
          <cell r="BF2632" t="str">
            <v>2001</v>
          </cell>
          <cell r="BG2632" t="str">
            <v>B006</v>
          </cell>
          <cell r="BH2632" t="str">
            <v>BUB</v>
          </cell>
        </row>
        <row r="2633">
          <cell r="K2633">
            <v>0</v>
          </cell>
          <cell r="L2633">
            <v>0</v>
          </cell>
          <cell r="N2633">
            <v>0</v>
          </cell>
          <cell r="O2633">
            <v>0</v>
          </cell>
          <cell r="Q2633">
            <v>0</v>
          </cell>
          <cell r="R2633">
            <v>0</v>
          </cell>
          <cell r="T2633">
            <v>0</v>
          </cell>
          <cell r="U2633">
            <v>0</v>
          </cell>
          <cell r="W2633">
            <v>0</v>
          </cell>
          <cell r="X2633">
            <v>0</v>
          </cell>
          <cell r="Z2633">
            <v>0</v>
          </cell>
          <cell r="AA2633">
            <v>0</v>
          </cell>
          <cell r="AC2633">
            <v>0</v>
          </cell>
          <cell r="AD2633">
            <v>0</v>
          </cell>
          <cell r="AF2633">
            <v>0</v>
          </cell>
          <cell r="AG2633">
            <v>0</v>
          </cell>
          <cell r="AI2633">
            <v>0</v>
          </cell>
          <cell r="AJ2633">
            <v>0</v>
          </cell>
          <cell r="AL2633">
            <v>0</v>
          </cell>
          <cell r="AM2633">
            <v>0</v>
          </cell>
          <cell r="AO2633">
            <v>0</v>
          </cell>
          <cell r="AP2633">
            <v>0</v>
          </cell>
          <cell r="AR2633">
            <v>0</v>
          </cell>
          <cell r="AS2633">
            <v>0</v>
          </cell>
          <cell r="BF2633" t="str">
            <v>2008</v>
          </cell>
          <cell r="BG2633" t="str">
            <v>Z000</v>
          </cell>
          <cell r="BH2633" t="str">
            <v>BUB</v>
          </cell>
        </row>
        <row r="2634">
          <cell r="K2634">
            <v>0</v>
          </cell>
          <cell r="L2634">
            <v>0</v>
          </cell>
          <cell r="N2634">
            <v>0</v>
          </cell>
          <cell r="O2634">
            <v>0</v>
          </cell>
          <cell r="Q2634">
            <v>0</v>
          </cell>
          <cell r="R2634">
            <v>0</v>
          </cell>
          <cell r="T2634">
            <v>0</v>
          </cell>
          <cell r="U2634">
            <v>0</v>
          </cell>
          <cell r="W2634">
            <v>31327.54</v>
          </cell>
          <cell r="X2634">
            <v>0</v>
          </cell>
          <cell r="Z2634">
            <v>52004.46</v>
          </cell>
          <cell r="AA2634">
            <v>0</v>
          </cell>
          <cell r="AC2634">
            <v>29328.25</v>
          </cell>
          <cell r="AD2634">
            <v>0</v>
          </cell>
          <cell r="AF2634">
            <v>215934.96999999997</v>
          </cell>
          <cell r="AG2634">
            <v>0</v>
          </cell>
          <cell r="AI2634">
            <v>-26090.049999999988</v>
          </cell>
          <cell r="AJ2634">
            <v>0</v>
          </cell>
          <cell r="AL2634">
            <v>110162.41000000003</v>
          </cell>
          <cell r="AM2634">
            <v>0</v>
          </cell>
          <cell r="AO2634">
            <v>-53145.48000000004</v>
          </cell>
          <cell r="AP2634">
            <v>0</v>
          </cell>
          <cell r="AR2634">
            <v>41534.130000000005</v>
          </cell>
          <cell r="AS2634">
            <v>0</v>
          </cell>
          <cell r="BF2634" t="str">
            <v>2010</v>
          </cell>
          <cell r="BG2634" t="str">
            <v>B021</v>
          </cell>
          <cell r="BH2634" t="str">
            <v>BUB</v>
          </cell>
        </row>
        <row r="2635">
          <cell r="K2635">
            <v>0</v>
          </cell>
          <cell r="L2635">
            <v>0</v>
          </cell>
          <cell r="N2635">
            <v>0</v>
          </cell>
          <cell r="O2635">
            <v>0</v>
          </cell>
          <cell r="Q2635">
            <v>0</v>
          </cell>
          <cell r="R2635">
            <v>0</v>
          </cell>
          <cell r="T2635">
            <v>0</v>
          </cell>
          <cell r="U2635">
            <v>0</v>
          </cell>
          <cell r="W2635">
            <v>0</v>
          </cell>
          <cell r="X2635">
            <v>0</v>
          </cell>
          <cell r="Z2635">
            <v>0</v>
          </cell>
          <cell r="AA2635">
            <v>0</v>
          </cell>
          <cell r="AC2635">
            <v>0</v>
          </cell>
          <cell r="AD2635">
            <v>0</v>
          </cell>
          <cell r="AF2635">
            <v>0</v>
          </cell>
          <cell r="AG2635">
            <v>0</v>
          </cell>
          <cell r="AI2635">
            <v>0</v>
          </cell>
          <cell r="AJ2635">
            <v>0</v>
          </cell>
          <cell r="AL2635">
            <v>0</v>
          </cell>
          <cell r="AM2635">
            <v>0</v>
          </cell>
          <cell r="AO2635">
            <v>0</v>
          </cell>
          <cell r="AP2635">
            <v>0</v>
          </cell>
          <cell r="AR2635">
            <v>0</v>
          </cell>
          <cell r="AS2635">
            <v>0</v>
          </cell>
          <cell r="BF2635" t="str">
            <v>2010</v>
          </cell>
          <cell r="BG2635" t="str">
            <v>B022</v>
          </cell>
          <cell r="BH2635" t="str">
            <v>BUB</v>
          </cell>
        </row>
        <row r="2636">
          <cell r="K2636">
            <v>0</v>
          </cell>
          <cell r="L2636">
            <v>0</v>
          </cell>
          <cell r="N2636">
            <v>0</v>
          </cell>
          <cell r="O2636">
            <v>0</v>
          </cell>
          <cell r="Q2636">
            <v>0</v>
          </cell>
          <cell r="R2636">
            <v>0</v>
          </cell>
          <cell r="T2636">
            <v>0</v>
          </cell>
          <cell r="U2636">
            <v>0</v>
          </cell>
          <cell r="W2636">
            <v>0</v>
          </cell>
          <cell r="X2636">
            <v>0</v>
          </cell>
          <cell r="Z2636">
            <v>0</v>
          </cell>
          <cell r="AA2636">
            <v>0</v>
          </cell>
          <cell r="AC2636">
            <v>0</v>
          </cell>
          <cell r="AD2636">
            <v>0</v>
          </cell>
          <cell r="AF2636">
            <v>0</v>
          </cell>
          <cell r="AG2636">
            <v>0</v>
          </cell>
          <cell r="AI2636">
            <v>0</v>
          </cell>
          <cell r="AJ2636">
            <v>0</v>
          </cell>
          <cell r="AL2636">
            <v>0</v>
          </cell>
          <cell r="AM2636">
            <v>0</v>
          </cell>
          <cell r="AO2636">
            <v>0</v>
          </cell>
          <cell r="AP2636">
            <v>0</v>
          </cell>
          <cell r="AR2636">
            <v>0</v>
          </cell>
          <cell r="AS2636">
            <v>0</v>
          </cell>
          <cell r="BF2636" t="str">
            <v>2010</v>
          </cell>
          <cell r="BG2636" t="str">
            <v>B023</v>
          </cell>
          <cell r="BH2636" t="str">
            <v>BUB</v>
          </cell>
        </row>
        <row r="2637">
          <cell r="K2637">
            <v>0</v>
          </cell>
          <cell r="L2637">
            <v>0</v>
          </cell>
          <cell r="N2637">
            <v>0</v>
          </cell>
          <cell r="O2637">
            <v>0</v>
          </cell>
          <cell r="Q2637">
            <v>0</v>
          </cell>
          <cell r="R2637">
            <v>0</v>
          </cell>
          <cell r="T2637">
            <v>0</v>
          </cell>
          <cell r="U2637">
            <v>0</v>
          </cell>
          <cell r="W2637">
            <v>0</v>
          </cell>
          <cell r="X2637">
            <v>0</v>
          </cell>
          <cell r="Z2637">
            <v>0</v>
          </cell>
          <cell r="AA2637">
            <v>0</v>
          </cell>
          <cell r="AC2637">
            <v>0</v>
          </cell>
          <cell r="AD2637">
            <v>0</v>
          </cell>
          <cell r="AF2637">
            <v>0</v>
          </cell>
          <cell r="AG2637">
            <v>0</v>
          </cell>
          <cell r="AI2637">
            <v>0</v>
          </cell>
          <cell r="AJ2637">
            <v>0</v>
          </cell>
          <cell r="AL2637">
            <v>0</v>
          </cell>
          <cell r="AM2637">
            <v>0</v>
          </cell>
          <cell r="AO2637">
            <v>0</v>
          </cell>
          <cell r="AP2637">
            <v>0</v>
          </cell>
          <cell r="AR2637">
            <v>0</v>
          </cell>
          <cell r="AS2637">
            <v>0</v>
          </cell>
          <cell r="BF2637" t="str">
            <v>2010</v>
          </cell>
          <cell r="BG2637" t="str">
            <v>B024</v>
          </cell>
          <cell r="BH2637" t="str">
            <v>BUB</v>
          </cell>
        </row>
        <row r="2638">
          <cell r="K2638">
            <v>0</v>
          </cell>
          <cell r="L2638">
            <v>0</v>
          </cell>
          <cell r="N2638">
            <v>0</v>
          </cell>
          <cell r="O2638">
            <v>0</v>
          </cell>
          <cell r="Q2638">
            <v>0</v>
          </cell>
          <cell r="R2638">
            <v>0</v>
          </cell>
          <cell r="T2638">
            <v>0</v>
          </cell>
          <cell r="U2638">
            <v>0</v>
          </cell>
          <cell r="W2638">
            <v>0</v>
          </cell>
          <cell r="X2638">
            <v>0</v>
          </cell>
          <cell r="Z2638">
            <v>0</v>
          </cell>
          <cell r="AA2638">
            <v>0</v>
          </cell>
          <cell r="AC2638">
            <v>0</v>
          </cell>
          <cell r="AD2638">
            <v>0</v>
          </cell>
          <cell r="AF2638">
            <v>0</v>
          </cell>
          <cell r="AG2638">
            <v>0</v>
          </cell>
          <cell r="AI2638">
            <v>0</v>
          </cell>
          <cell r="AJ2638">
            <v>0</v>
          </cell>
          <cell r="AL2638">
            <v>0</v>
          </cell>
          <cell r="AM2638">
            <v>0</v>
          </cell>
          <cell r="AO2638">
            <v>0</v>
          </cell>
          <cell r="AP2638">
            <v>0</v>
          </cell>
          <cell r="AR2638">
            <v>0</v>
          </cell>
          <cell r="AS2638">
            <v>0</v>
          </cell>
          <cell r="BF2638" t="str">
            <v>2015</v>
          </cell>
          <cell r="BG2638" t="str">
            <v>B201</v>
          </cell>
          <cell r="BH2638" t="str">
            <v>BUB</v>
          </cell>
        </row>
        <row r="2639">
          <cell r="K2639">
            <v>0</v>
          </cell>
          <cell r="L2639">
            <v>0</v>
          </cell>
          <cell r="N2639">
            <v>0</v>
          </cell>
          <cell r="O2639">
            <v>0</v>
          </cell>
          <cell r="Q2639">
            <v>0</v>
          </cell>
          <cell r="R2639">
            <v>0</v>
          </cell>
          <cell r="T2639">
            <v>0</v>
          </cell>
          <cell r="U2639">
            <v>0</v>
          </cell>
          <cell r="W2639">
            <v>0</v>
          </cell>
          <cell r="X2639">
            <v>0</v>
          </cell>
          <cell r="Z2639">
            <v>0</v>
          </cell>
          <cell r="AA2639">
            <v>0</v>
          </cell>
          <cell r="AC2639">
            <v>0</v>
          </cell>
          <cell r="AD2639">
            <v>0</v>
          </cell>
          <cell r="AF2639">
            <v>0</v>
          </cell>
          <cell r="AG2639">
            <v>0</v>
          </cell>
          <cell r="AI2639">
            <v>0</v>
          </cell>
          <cell r="AJ2639">
            <v>0</v>
          </cell>
          <cell r="AL2639">
            <v>0</v>
          </cell>
          <cell r="AM2639">
            <v>0</v>
          </cell>
          <cell r="AO2639">
            <v>0</v>
          </cell>
          <cell r="AP2639">
            <v>0</v>
          </cell>
          <cell r="AR2639">
            <v>0</v>
          </cell>
          <cell r="AS2639">
            <v>0</v>
          </cell>
          <cell r="BF2639" t="str">
            <v>2015</v>
          </cell>
          <cell r="BG2639" t="str">
            <v>B202</v>
          </cell>
          <cell r="BH2639" t="str">
            <v>BUB</v>
          </cell>
        </row>
        <row r="2640">
          <cell r="K2640">
            <v>0</v>
          </cell>
          <cell r="L2640">
            <v>0</v>
          </cell>
          <cell r="N2640">
            <v>0</v>
          </cell>
          <cell r="O2640">
            <v>0</v>
          </cell>
          <cell r="Q2640">
            <v>0</v>
          </cell>
          <cell r="R2640">
            <v>0</v>
          </cell>
          <cell r="T2640">
            <v>0</v>
          </cell>
          <cell r="U2640">
            <v>0</v>
          </cell>
          <cell r="W2640">
            <v>0</v>
          </cell>
          <cell r="X2640">
            <v>0</v>
          </cell>
          <cell r="Z2640">
            <v>0</v>
          </cell>
          <cell r="AA2640">
            <v>0</v>
          </cell>
          <cell r="AC2640">
            <v>0</v>
          </cell>
          <cell r="AD2640">
            <v>0</v>
          </cell>
          <cell r="AF2640">
            <v>0</v>
          </cell>
          <cell r="AG2640">
            <v>0</v>
          </cell>
          <cell r="AI2640">
            <v>0</v>
          </cell>
          <cell r="AJ2640">
            <v>0</v>
          </cell>
          <cell r="AL2640">
            <v>0</v>
          </cell>
          <cell r="AM2640">
            <v>0</v>
          </cell>
          <cell r="AO2640">
            <v>0</v>
          </cell>
          <cell r="AP2640">
            <v>0</v>
          </cell>
          <cell r="AR2640">
            <v>0</v>
          </cell>
          <cell r="AS2640">
            <v>0</v>
          </cell>
          <cell r="BF2640" t="str">
            <v>2015</v>
          </cell>
          <cell r="BG2640" t="str">
            <v>B203</v>
          </cell>
          <cell r="BH2640" t="str">
            <v>BUB</v>
          </cell>
        </row>
        <row r="2641">
          <cell r="K2641">
            <v>0</v>
          </cell>
          <cell r="L2641">
            <v>0</v>
          </cell>
          <cell r="N2641">
            <v>0</v>
          </cell>
          <cell r="O2641">
            <v>0</v>
          </cell>
          <cell r="Q2641">
            <v>0</v>
          </cell>
          <cell r="R2641">
            <v>0</v>
          </cell>
          <cell r="T2641">
            <v>0</v>
          </cell>
          <cell r="U2641">
            <v>0</v>
          </cell>
          <cell r="W2641">
            <v>0</v>
          </cell>
          <cell r="X2641">
            <v>0</v>
          </cell>
          <cell r="Z2641">
            <v>0</v>
          </cell>
          <cell r="AA2641">
            <v>0</v>
          </cell>
          <cell r="AC2641">
            <v>0</v>
          </cell>
          <cell r="AD2641">
            <v>0</v>
          </cell>
          <cell r="AF2641">
            <v>0</v>
          </cell>
          <cell r="AG2641">
            <v>0</v>
          </cell>
          <cell r="AI2641">
            <v>0</v>
          </cell>
          <cell r="AJ2641">
            <v>0</v>
          </cell>
          <cell r="AL2641">
            <v>0</v>
          </cell>
          <cell r="AM2641">
            <v>0</v>
          </cell>
          <cell r="AO2641">
            <v>0</v>
          </cell>
          <cell r="AP2641">
            <v>0</v>
          </cell>
          <cell r="AR2641">
            <v>0</v>
          </cell>
          <cell r="AS2641">
            <v>0</v>
          </cell>
          <cell r="BF2641" t="str">
            <v>2015</v>
          </cell>
          <cell r="BG2641" t="str">
            <v>B204</v>
          </cell>
          <cell r="BH2641" t="str">
            <v>BUB</v>
          </cell>
        </row>
        <row r="2642">
          <cell r="K2642">
            <v>0</v>
          </cell>
          <cell r="L2642">
            <v>0</v>
          </cell>
          <cell r="N2642">
            <v>0</v>
          </cell>
          <cell r="O2642">
            <v>0</v>
          </cell>
          <cell r="Q2642">
            <v>0</v>
          </cell>
          <cell r="R2642">
            <v>0</v>
          </cell>
          <cell r="T2642">
            <v>0</v>
          </cell>
          <cell r="U2642">
            <v>0</v>
          </cell>
          <cell r="W2642">
            <v>942</v>
          </cell>
          <cell r="X2642">
            <v>0</v>
          </cell>
          <cell r="Z2642">
            <v>3750</v>
          </cell>
          <cell r="AA2642">
            <v>0</v>
          </cell>
          <cell r="AC2642">
            <v>3206</v>
          </cell>
          <cell r="AD2642">
            <v>0</v>
          </cell>
          <cell r="AF2642">
            <v>3127</v>
          </cell>
          <cell r="AG2642">
            <v>0</v>
          </cell>
          <cell r="AI2642">
            <v>3448</v>
          </cell>
          <cell r="AJ2642">
            <v>0</v>
          </cell>
          <cell r="AL2642">
            <v>3621</v>
          </cell>
          <cell r="AM2642">
            <v>0</v>
          </cell>
          <cell r="AO2642">
            <v>1185</v>
          </cell>
          <cell r="AP2642">
            <v>0</v>
          </cell>
          <cell r="AR2642">
            <v>1852</v>
          </cell>
          <cell r="AS2642">
            <v>0</v>
          </cell>
          <cell r="BF2642" t="str">
            <v>2015</v>
          </cell>
          <cell r="BG2642" t="str">
            <v>B205</v>
          </cell>
          <cell r="BH2642" t="str">
            <v>BUB</v>
          </cell>
        </row>
        <row r="2643">
          <cell r="K2643">
            <v>0</v>
          </cell>
          <cell r="L2643">
            <v>0</v>
          </cell>
          <cell r="N2643">
            <v>0</v>
          </cell>
          <cell r="O2643">
            <v>0</v>
          </cell>
          <cell r="Q2643">
            <v>0</v>
          </cell>
          <cell r="R2643">
            <v>0</v>
          </cell>
          <cell r="T2643">
            <v>0</v>
          </cell>
          <cell r="U2643">
            <v>0</v>
          </cell>
          <cell r="W2643">
            <v>0</v>
          </cell>
          <cell r="X2643">
            <v>0</v>
          </cell>
          <cell r="Z2643">
            <v>0</v>
          </cell>
          <cell r="AA2643">
            <v>0</v>
          </cell>
          <cell r="AC2643">
            <v>0</v>
          </cell>
          <cell r="AD2643">
            <v>0</v>
          </cell>
          <cell r="AF2643">
            <v>0</v>
          </cell>
          <cell r="AG2643">
            <v>0</v>
          </cell>
          <cell r="AI2643">
            <v>0</v>
          </cell>
          <cell r="AJ2643">
            <v>0</v>
          </cell>
          <cell r="AL2643">
            <v>0</v>
          </cell>
          <cell r="AM2643">
            <v>0</v>
          </cell>
          <cell r="AO2643">
            <v>0</v>
          </cell>
          <cell r="AP2643">
            <v>0</v>
          </cell>
          <cell r="AR2643">
            <v>0</v>
          </cell>
          <cell r="AS2643">
            <v>0</v>
          </cell>
          <cell r="BF2643" t="str">
            <v>2015</v>
          </cell>
          <cell r="BG2643" t="str">
            <v>B206</v>
          </cell>
          <cell r="BH2643" t="str">
            <v>BUB</v>
          </cell>
        </row>
        <row r="2644">
          <cell r="K2644">
            <v>0</v>
          </cell>
          <cell r="L2644">
            <v>0</v>
          </cell>
          <cell r="N2644">
            <v>0</v>
          </cell>
          <cell r="O2644">
            <v>0</v>
          </cell>
          <cell r="Q2644">
            <v>0</v>
          </cell>
          <cell r="R2644">
            <v>0</v>
          </cell>
          <cell r="T2644">
            <v>0</v>
          </cell>
          <cell r="U2644">
            <v>0</v>
          </cell>
          <cell r="W2644">
            <v>0</v>
          </cell>
          <cell r="X2644">
            <v>0</v>
          </cell>
          <cell r="Z2644">
            <v>0</v>
          </cell>
          <cell r="AA2644">
            <v>0</v>
          </cell>
          <cell r="AC2644">
            <v>0</v>
          </cell>
          <cell r="AD2644">
            <v>0</v>
          </cell>
          <cell r="AF2644">
            <v>0</v>
          </cell>
          <cell r="AG2644">
            <v>0</v>
          </cell>
          <cell r="AI2644">
            <v>0</v>
          </cell>
          <cell r="AJ2644">
            <v>0</v>
          </cell>
          <cell r="AL2644">
            <v>0</v>
          </cell>
          <cell r="AM2644">
            <v>0</v>
          </cell>
          <cell r="AO2644">
            <v>0</v>
          </cell>
          <cell r="AP2644">
            <v>0</v>
          </cell>
          <cell r="AR2644">
            <v>0</v>
          </cell>
          <cell r="AS2644">
            <v>0</v>
          </cell>
          <cell r="BF2644" t="str">
            <v>2015</v>
          </cell>
          <cell r="BG2644" t="str">
            <v>B207</v>
          </cell>
          <cell r="BH2644" t="str">
            <v>BUB</v>
          </cell>
        </row>
        <row r="2645">
          <cell r="K2645">
            <v>0</v>
          </cell>
          <cell r="L2645">
            <v>0</v>
          </cell>
          <cell r="N2645">
            <v>0</v>
          </cell>
          <cell r="O2645">
            <v>0</v>
          </cell>
          <cell r="Q2645">
            <v>0</v>
          </cell>
          <cell r="R2645">
            <v>0</v>
          </cell>
          <cell r="T2645">
            <v>530</v>
          </cell>
          <cell r="U2645">
            <v>0</v>
          </cell>
          <cell r="W2645">
            <v>0</v>
          </cell>
          <cell r="X2645">
            <v>0</v>
          </cell>
          <cell r="Z2645">
            <v>0</v>
          </cell>
          <cell r="AA2645">
            <v>0</v>
          </cell>
          <cell r="AC2645">
            <v>0</v>
          </cell>
          <cell r="AD2645">
            <v>0</v>
          </cell>
          <cell r="AF2645">
            <v>30</v>
          </cell>
          <cell r="AG2645">
            <v>0</v>
          </cell>
          <cell r="AI2645">
            <v>0</v>
          </cell>
          <cell r="AJ2645">
            <v>0</v>
          </cell>
          <cell r="AL2645">
            <v>0</v>
          </cell>
          <cell r="AM2645">
            <v>0</v>
          </cell>
          <cell r="AO2645">
            <v>0</v>
          </cell>
          <cell r="AP2645">
            <v>0</v>
          </cell>
          <cell r="AR2645">
            <v>0</v>
          </cell>
          <cell r="AS2645">
            <v>0</v>
          </cell>
          <cell r="BF2645" t="str">
            <v>2015</v>
          </cell>
          <cell r="BG2645" t="str">
            <v>B208</v>
          </cell>
          <cell r="BH2645" t="str">
            <v>BUB</v>
          </cell>
        </row>
        <row r="2646">
          <cell r="K2646">
            <v>0</v>
          </cell>
          <cell r="L2646">
            <v>0</v>
          </cell>
          <cell r="N2646">
            <v>0</v>
          </cell>
          <cell r="O2646">
            <v>0</v>
          </cell>
          <cell r="Q2646">
            <v>0</v>
          </cell>
          <cell r="R2646">
            <v>0</v>
          </cell>
          <cell r="T2646">
            <v>0</v>
          </cell>
          <cell r="U2646">
            <v>0</v>
          </cell>
          <cell r="W2646">
            <v>0</v>
          </cell>
          <cell r="X2646">
            <v>0</v>
          </cell>
          <cell r="Z2646">
            <v>0</v>
          </cell>
          <cell r="AA2646">
            <v>0</v>
          </cell>
          <cell r="AC2646">
            <v>0</v>
          </cell>
          <cell r="AD2646">
            <v>0</v>
          </cell>
          <cell r="AF2646">
            <v>0</v>
          </cell>
          <cell r="AG2646">
            <v>0</v>
          </cell>
          <cell r="AI2646">
            <v>0</v>
          </cell>
          <cell r="AJ2646">
            <v>0</v>
          </cell>
          <cell r="AL2646">
            <v>0</v>
          </cell>
          <cell r="AM2646">
            <v>0</v>
          </cell>
          <cell r="AO2646">
            <v>0</v>
          </cell>
          <cell r="AP2646">
            <v>0</v>
          </cell>
          <cell r="AR2646">
            <v>0</v>
          </cell>
          <cell r="AS2646">
            <v>0</v>
          </cell>
          <cell r="BF2646" t="str">
            <v>2015</v>
          </cell>
          <cell r="BG2646" t="str">
            <v>B209</v>
          </cell>
          <cell r="BH2646" t="str">
            <v>BUB</v>
          </cell>
        </row>
        <row r="2647">
          <cell r="K2647">
            <v>0</v>
          </cell>
          <cell r="L2647">
            <v>0</v>
          </cell>
          <cell r="N2647">
            <v>0</v>
          </cell>
          <cell r="O2647">
            <v>0</v>
          </cell>
          <cell r="Q2647">
            <v>0</v>
          </cell>
          <cell r="R2647">
            <v>0</v>
          </cell>
          <cell r="T2647">
            <v>0</v>
          </cell>
          <cell r="U2647">
            <v>0</v>
          </cell>
          <cell r="W2647">
            <v>0</v>
          </cell>
          <cell r="X2647">
            <v>0</v>
          </cell>
          <cell r="Z2647">
            <v>0</v>
          </cell>
          <cell r="AA2647">
            <v>0</v>
          </cell>
          <cell r="AC2647">
            <v>0</v>
          </cell>
          <cell r="AD2647">
            <v>0</v>
          </cell>
          <cell r="AF2647">
            <v>0</v>
          </cell>
          <cell r="AG2647">
            <v>0</v>
          </cell>
          <cell r="AI2647">
            <v>0</v>
          </cell>
          <cell r="AJ2647">
            <v>0</v>
          </cell>
          <cell r="AL2647">
            <v>0</v>
          </cell>
          <cell r="AM2647">
            <v>0</v>
          </cell>
          <cell r="AO2647">
            <v>0</v>
          </cell>
          <cell r="AP2647">
            <v>0</v>
          </cell>
          <cell r="AR2647">
            <v>0</v>
          </cell>
          <cell r="AS2647">
            <v>0</v>
          </cell>
          <cell r="BF2647" t="str">
            <v>2015</v>
          </cell>
          <cell r="BG2647" t="str">
            <v>B210</v>
          </cell>
          <cell r="BH2647" t="str">
            <v>BUB</v>
          </cell>
        </row>
        <row r="2648">
          <cell r="K2648">
            <v>0</v>
          </cell>
          <cell r="L2648">
            <v>0</v>
          </cell>
          <cell r="N2648">
            <v>0</v>
          </cell>
          <cell r="O2648">
            <v>0</v>
          </cell>
          <cell r="Q2648">
            <v>0</v>
          </cell>
          <cell r="R2648">
            <v>0</v>
          </cell>
          <cell r="T2648">
            <v>0</v>
          </cell>
          <cell r="U2648">
            <v>0</v>
          </cell>
          <cell r="W2648">
            <v>0</v>
          </cell>
          <cell r="X2648">
            <v>0</v>
          </cell>
          <cell r="Z2648">
            <v>0</v>
          </cell>
          <cell r="AA2648">
            <v>0</v>
          </cell>
          <cell r="AC2648">
            <v>0</v>
          </cell>
          <cell r="AD2648">
            <v>0</v>
          </cell>
          <cell r="AF2648">
            <v>0</v>
          </cell>
          <cell r="AG2648">
            <v>0</v>
          </cell>
          <cell r="AI2648">
            <v>0</v>
          </cell>
          <cell r="AJ2648">
            <v>0</v>
          </cell>
          <cell r="AL2648">
            <v>0</v>
          </cell>
          <cell r="AM2648">
            <v>0</v>
          </cell>
          <cell r="AO2648">
            <v>0</v>
          </cell>
          <cell r="AP2648">
            <v>0</v>
          </cell>
          <cell r="AR2648">
            <v>0</v>
          </cell>
          <cell r="AS2648">
            <v>0</v>
          </cell>
          <cell r="BF2648" t="str">
            <v>2016</v>
          </cell>
          <cell r="BG2648" t="str">
            <v>B301</v>
          </cell>
          <cell r="BH2648" t="str">
            <v>BUB</v>
          </cell>
        </row>
        <row r="2649">
          <cell r="K2649">
            <v>0</v>
          </cell>
          <cell r="L2649">
            <v>0</v>
          </cell>
          <cell r="N2649">
            <v>0</v>
          </cell>
          <cell r="O2649">
            <v>0</v>
          </cell>
          <cell r="Q2649">
            <v>0</v>
          </cell>
          <cell r="R2649">
            <v>0</v>
          </cell>
          <cell r="T2649">
            <v>0</v>
          </cell>
          <cell r="U2649">
            <v>0</v>
          </cell>
          <cell r="W2649">
            <v>0</v>
          </cell>
          <cell r="X2649">
            <v>0</v>
          </cell>
          <cell r="Z2649">
            <v>0</v>
          </cell>
          <cell r="AA2649">
            <v>0</v>
          </cell>
          <cell r="AC2649">
            <v>0</v>
          </cell>
          <cell r="AD2649">
            <v>0</v>
          </cell>
          <cell r="AF2649">
            <v>0</v>
          </cell>
          <cell r="AG2649">
            <v>0</v>
          </cell>
          <cell r="AI2649">
            <v>0</v>
          </cell>
          <cell r="AJ2649">
            <v>0</v>
          </cell>
          <cell r="AL2649">
            <v>0</v>
          </cell>
          <cell r="AM2649">
            <v>0</v>
          </cell>
          <cell r="AO2649">
            <v>0</v>
          </cell>
          <cell r="AP2649">
            <v>0</v>
          </cell>
          <cell r="AR2649">
            <v>0</v>
          </cell>
          <cell r="AS2649">
            <v>0</v>
          </cell>
          <cell r="BF2649" t="str">
            <v>2016</v>
          </cell>
          <cell r="BG2649" t="str">
            <v>B302</v>
          </cell>
          <cell r="BH2649" t="str">
            <v>BUB</v>
          </cell>
        </row>
        <row r="2650">
          <cell r="K2650">
            <v>0</v>
          </cell>
          <cell r="L2650">
            <v>0</v>
          </cell>
          <cell r="N2650">
            <v>0</v>
          </cell>
          <cell r="O2650">
            <v>0</v>
          </cell>
          <cell r="Q2650">
            <v>0</v>
          </cell>
          <cell r="R2650">
            <v>0</v>
          </cell>
          <cell r="T2650">
            <v>0</v>
          </cell>
          <cell r="U2650">
            <v>0</v>
          </cell>
          <cell r="W2650">
            <v>0</v>
          </cell>
          <cell r="X2650">
            <v>0</v>
          </cell>
          <cell r="Z2650">
            <v>0</v>
          </cell>
          <cell r="AA2650">
            <v>0</v>
          </cell>
          <cell r="AC2650">
            <v>0</v>
          </cell>
          <cell r="AD2650">
            <v>0</v>
          </cell>
          <cell r="AF2650">
            <v>0</v>
          </cell>
          <cell r="AG2650">
            <v>0</v>
          </cell>
          <cell r="AI2650">
            <v>0</v>
          </cell>
          <cell r="AJ2650">
            <v>0</v>
          </cell>
          <cell r="AL2650">
            <v>0</v>
          </cell>
          <cell r="AM2650">
            <v>0</v>
          </cell>
          <cell r="AO2650">
            <v>0</v>
          </cell>
          <cell r="AP2650">
            <v>0</v>
          </cell>
          <cell r="AR2650">
            <v>0</v>
          </cell>
          <cell r="AS2650">
            <v>0</v>
          </cell>
          <cell r="BF2650" t="str">
            <v>2016</v>
          </cell>
          <cell r="BG2650" t="str">
            <v>B303</v>
          </cell>
          <cell r="BH2650" t="str">
            <v>BUB</v>
          </cell>
        </row>
        <row r="2651">
          <cell r="K2651">
            <v>0</v>
          </cell>
          <cell r="L2651">
            <v>0</v>
          </cell>
          <cell r="N2651">
            <v>0</v>
          </cell>
          <cell r="O2651">
            <v>0</v>
          </cell>
          <cell r="Q2651">
            <v>0</v>
          </cell>
          <cell r="R2651">
            <v>0</v>
          </cell>
          <cell r="T2651">
            <v>0</v>
          </cell>
          <cell r="U2651">
            <v>0</v>
          </cell>
          <cell r="W2651">
            <v>0</v>
          </cell>
          <cell r="X2651">
            <v>0</v>
          </cell>
          <cell r="Z2651">
            <v>0</v>
          </cell>
          <cell r="AA2651">
            <v>0</v>
          </cell>
          <cell r="AC2651">
            <v>0</v>
          </cell>
          <cell r="AD2651">
            <v>0</v>
          </cell>
          <cell r="AF2651">
            <v>0</v>
          </cell>
          <cell r="AG2651">
            <v>0</v>
          </cell>
          <cell r="AI2651">
            <v>0</v>
          </cell>
          <cell r="AJ2651">
            <v>0</v>
          </cell>
          <cell r="AL2651">
            <v>0</v>
          </cell>
          <cell r="AM2651">
            <v>0</v>
          </cell>
          <cell r="AO2651">
            <v>0</v>
          </cell>
          <cell r="AP2651">
            <v>0</v>
          </cell>
          <cell r="AR2651">
            <v>0</v>
          </cell>
          <cell r="AS2651">
            <v>0</v>
          </cell>
          <cell r="BF2651" t="str">
            <v>2017</v>
          </cell>
          <cell r="BG2651" t="str">
            <v>B401</v>
          </cell>
          <cell r="BH2651" t="str">
            <v>BUB</v>
          </cell>
        </row>
        <row r="2652">
          <cell r="K2652">
            <v>0</v>
          </cell>
          <cell r="L2652">
            <v>0</v>
          </cell>
          <cell r="N2652">
            <v>0</v>
          </cell>
          <cell r="O2652">
            <v>0</v>
          </cell>
          <cell r="Q2652">
            <v>0</v>
          </cell>
          <cell r="R2652">
            <v>0</v>
          </cell>
          <cell r="T2652">
            <v>0</v>
          </cell>
          <cell r="U2652">
            <v>0</v>
          </cell>
          <cell r="W2652">
            <v>0</v>
          </cell>
          <cell r="X2652">
            <v>0</v>
          </cell>
          <cell r="Z2652">
            <v>0</v>
          </cell>
          <cell r="AA2652">
            <v>0</v>
          </cell>
          <cell r="AC2652">
            <v>0</v>
          </cell>
          <cell r="AD2652">
            <v>0</v>
          </cell>
          <cell r="AF2652">
            <v>0</v>
          </cell>
          <cell r="AG2652">
            <v>0</v>
          </cell>
          <cell r="AI2652">
            <v>0</v>
          </cell>
          <cell r="AJ2652">
            <v>0</v>
          </cell>
          <cell r="AL2652">
            <v>0</v>
          </cell>
          <cell r="AM2652">
            <v>0</v>
          </cell>
          <cell r="AO2652">
            <v>0</v>
          </cell>
          <cell r="AP2652">
            <v>0</v>
          </cell>
          <cell r="AR2652">
            <v>0</v>
          </cell>
          <cell r="AS2652">
            <v>0</v>
          </cell>
          <cell r="BF2652" t="str">
            <v>2017</v>
          </cell>
          <cell r="BG2652" t="str">
            <v>B402</v>
          </cell>
          <cell r="BH2652" t="str">
            <v>BUB</v>
          </cell>
        </row>
        <row r="2653">
          <cell r="K2653">
            <v>0</v>
          </cell>
          <cell r="L2653">
            <v>0</v>
          </cell>
          <cell r="N2653">
            <v>0</v>
          </cell>
          <cell r="O2653">
            <v>0</v>
          </cell>
          <cell r="Q2653">
            <v>0</v>
          </cell>
          <cell r="R2653">
            <v>0</v>
          </cell>
          <cell r="T2653">
            <v>0</v>
          </cell>
          <cell r="U2653">
            <v>0</v>
          </cell>
          <cell r="W2653">
            <v>244.44000000000233</v>
          </cell>
          <cell r="X2653">
            <v>0</v>
          </cell>
          <cell r="Z2653">
            <v>1664.2700000000041</v>
          </cell>
          <cell r="AA2653">
            <v>0</v>
          </cell>
          <cell r="AC2653">
            <v>1770.9100000000035</v>
          </cell>
          <cell r="AD2653">
            <v>0</v>
          </cell>
          <cell r="AF2653">
            <v>3603.9400000000023</v>
          </cell>
          <cell r="AG2653">
            <v>0</v>
          </cell>
          <cell r="AI2653">
            <v>5179.1100000000006</v>
          </cell>
          <cell r="AJ2653">
            <v>0</v>
          </cell>
          <cell r="AL2653">
            <v>9631.320000000007</v>
          </cell>
          <cell r="AM2653">
            <v>0</v>
          </cell>
          <cell r="AO2653">
            <v>10135.490000000005</v>
          </cell>
          <cell r="AP2653">
            <v>0</v>
          </cell>
          <cell r="AR2653">
            <v>11824.849999999991</v>
          </cell>
          <cell r="AS2653">
            <v>0</v>
          </cell>
          <cell r="BF2653" t="str">
            <v>2017</v>
          </cell>
          <cell r="BG2653" t="str">
            <v>B403</v>
          </cell>
          <cell r="BH2653" t="str">
            <v>BUB</v>
          </cell>
        </row>
        <row r="2654">
          <cell r="K2654">
            <v>0</v>
          </cell>
          <cell r="L2654">
            <v>0</v>
          </cell>
          <cell r="N2654">
            <v>0</v>
          </cell>
          <cell r="O2654">
            <v>0</v>
          </cell>
          <cell r="Q2654">
            <v>0</v>
          </cell>
          <cell r="R2654">
            <v>0</v>
          </cell>
          <cell r="T2654">
            <v>0</v>
          </cell>
          <cell r="U2654">
            <v>0</v>
          </cell>
          <cell r="W2654">
            <v>0</v>
          </cell>
          <cell r="X2654">
            <v>0</v>
          </cell>
          <cell r="Z2654">
            <v>0</v>
          </cell>
          <cell r="AA2654">
            <v>0</v>
          </cell>
          <cell r="AC2654">
            <v>0</v>
          </cell>
          <cell r="AD2654">
            <v>0</v>
          </cell>
          <cell r="AF2654">
            <v>0</v>
          </cell>
          <cell r="AG2654">
            <v>0</v>
          </cell>
          <cell r="AI2654">
            <v>0</v>
          </cell>
          <cell r="AJ2654">
            <v>0</v>
          </cell>
          <cell r="AL2654">
            <v>0</v>
          </cell>
          <cell r="AM2654">
            <v>0</v>
          </cell>
          <cell r="AO2654">
            <v>0</v>
          </cell>
          <cell r="AP2654">
            <v>0</v>
          </cell>
          <cell r="AR2654">
            <v>0</v>
          </cell>
          <cell r="AS2654">
            <v>0</v>
          </cell>
          <cell r="BF2654" t="str">
            <v>3100</v>
          </cell>
          <cell r="BG2654" t="str">
            <v>C001</v>
          </cell>
          <cell r="BH2654" t="str">
            <v>BUB</v>
          </cell>
        </row>
        <row r="2655">
          <cell r="K2655">
            <v>0</v>
          </cell>
          <cell r="L2655">
            <v>0</v>
          </cell>
          <cell r="N2655">
            <v>0</v>
          </cell>
          <cell r="O2655">
            <v>0</v>
          </cell>
          <cell r="Q2655">
            <v>0</v>
          </cell>
          <cell r="R2655">
            <v>0</v>
          </cell>
          <cell r="T2655">
            <v>0</v>
          </cell>
          <cell r="U2655">
            <v>0</v>
          </cell>
          <cell r="W2655">
            <v>0</v>
          </cell>
          <cell r="X2655">
            <v>0</v>
          </cell>
          <cell r="Z2655">
            <v>0</v>
          </cell>
          <cell r="AA2655">
            <v>0</v>
          </cell>
          <cell r="AC2655">
            <v>0</v>
          </cell>
          <cell r="AD2655">
            <v>0</v>
          </cell>
          <cell r="AF2655">
            <v>0</v>
          </cell>
          <cell r="AG2655">
            <v>0</v>
          </cell>
          <cell r="AI2655">
            <v>0</v>
          </cell>
          <cell r="AJ2655">
            <v>0</v>
          </cell>
          <cell r="AL2655">
            <v>0</v>
          </cell>
          <cell r="AM2655">
            <v>0</v>
          </cell>
          <cell r="AO2655">
            <v>0</v>
          </cell>
          <cell r="AP2655">
            <v>0</v>
          </cell>
          <cell r="AR2655">
            <v>0</v>
          </cell>
          <cell r="AS2655">
            <v>0</v>
          </cell>
          <cell r="BF2655" t="str">
            <v>3100</v>
          </cell>
          <cell r="BG2655" t="str">
            <v>C002</v>
          </cell>
          <cell r="BH2655" t="str">
            <v>BUB</v>
          </cell>
        </row>
        <row r="2656">
          <cell r="K2656">
            <v>0</v>
          </cell>
          <cell r="L2656">
            <v>0</v>
          </cell>
          <cell r="N2656">
            <v>0</v>
          </cell>
          <cell r="O2656">
            <v>0</v>
          </cell>
          <cell r="Q2656">
            <v>0</v>
          </cell>
          <cell r="R2656">
            <v>0</v>
          </cell>
          <cell r="T2656">
            <v>0</v>
          </cell>
          <cell r="U2656">
            <v>0</v>
          </cell>
          <cell r="W2656">
            <v>0</v>
          </cell>
          <cell r="X2656">
            <v>0</v>
          </cell>
          <cell r="Z2656">
            <v>0</v>
          </cell>
          <cell r="AA2656">
            <v>0</v>
          </cell>
          <cell r="AC2656">
            <v>0</v>
          </cell>
          <cell r="AD2656">
            <v>0</v>
          </cell>
          <cell r="AF2656">
            <v>0</v>
          </cell>
          <cell r="AG2656">
            <v>0</v>
          </cell>
          <cell r="AI2656">
            <v>0</v>
          </cell>
          <cell r="AJ2656">
            <v>0</v>
          </cell>
          <cell r="AL2656">
            <v>0</v>
          </cell>
          <cell r="AM2656">
            <v>0</v>
          </cell>
          <cell r="AO2656">
            <v>0</v>
          </cell>
          <cell r="AP2656">
            <v>0</v>
          </cell>
          <cell r="AR2656">
            <v>0</v>
          </cell>
          <cell r="AS2656">
            <v>0</v>
          </cell>
          <cell r="BF2656" t="str">
            <v>3100</v>
          </cell>
          <cell r="BG2656" t="str">
            <v>C003</v>
          </cell>
          <cell r="BH2656" t="str">
            <v>BUB</v>
          </cell>
        </row>
        <row r="2657">
          <cell r="K2657">
            <v>0</v>
          </cell>
          <cell r="L2657">
            <v>0</v>
          </cell>
          <cell r="N2657">
            <v>0</v>
          </cell>
          <cell r="O2657">
            <v>0</v>
          </cell>
          <cell r="Q2657">
            <v>0</v>
          </cell>
          <cell r="R2657">
            <v>0</v>
          </cell>
          <cell r="T2657">
            <v>0</v>
          </cell>
          <cell r="U2657">
            <v>0</v>
          </cell>
          <cell r="W2657">
            <v>0</v>
          </cell>
          <cell r="X2657">
            <v>0</v>
          </cell>
          <cell r="Z2657">
            <v>0</v>
          </cell>
          <cell r="AA2657">
            <v>0</v>
          </cell>
          <cell r="AC2657">
            <v>0</v>
          </cell>
          <cell r="AD2657">
            <v>0</v>
          </cell>
          <cell r="AF2657">
            <v>0</v>
          </cell>
          <cell r="AG2657">
            <v>0</v>
          </cell>
          <cell r="AI2657">
            <v>0</v>
          </cell>
          <cell r="AJ2657">
            <v>0</v>
          </cell>
          <cell r="AL2657">
            <v>0</v>
          </cell>
          <cell r="AM2657">
            <v>0</v>
          </cell>
          <cell r="AO2657">
            <v>0</v>
          </cell>
          <cell r="AP2657">
            <v>0</v>
          </cell>
          <cell r="AR2657">
            <v>0</v>
          </cell>
          <cell r="AS2657">
            <v>0</v>
          </cell>
          <cell r="BF2657" t="str">
            <v>3100</v>
          </cell>
          <cell r="BG2657" t="str">
            <v>C004</v>
          </cell>
          <cell r="BH2657" t="str">
            <v>BUB</v>
          </cell>
        </row>
        <row r="2658">
          <cell r="K2658">
            <v>0</v>
          </cell>
          <cell r="L2658">
            <v>0</v>
          </cell>
          <cell r="N2658">
            <v>0</v>
          </cell>
          <cell r="O2658">
            <v>0</v>
          </cell>
          <cell r="Q2658">
            <v>0</v>
          </cell>
          <cell r="R2658">
            <v>0</v>
          </cell>
          <cell r="T2658">
            <v>0</v>
          </cell>
          <cell r="U2658">
            <v>0</v>
          </cell>
          <cell r="W2658">
            <v>0</v>
          </cell>
          <cell r="X2658">
            <v>0</v>
          </cell>
          <cell r="Z2658">
            <v>0</v>
          </cell>
          <cell r="AA2658">
            <v>0</v>
          </cell>
          <cell r="AC2658">
            <v>0</v>
          </cell>
          <cell r="AD2658">
            <v>0</v>
          </cell>
          <cell r="AF2658">
            <v>0</v>
          </cell>
          <cell r="AG2658">
            <v>0</v>
          </cell>
          <cell r="AI2658">
            <v>0</v>
          </cell>
          <cell r="AJ2658">
            <v>0</v>
          </cell>
          <cell r="AL2658">
            <v>0</v>
          </cell>
          <cell r="AM2658">
            <v>0</v>
          </cell>
          <cell r="AO2658">
            <v>0</v>
          </cell>
          <cell r="AP2658">
            <v>0</v>
          </cell>
          <cell r="AR2658">
            <v>0</v>
          </cell>
          <cell r="AS2658">
            <v>0</v>
          </cell>
          <cell r="BF2658" t="str">
            <v>3100</v>
          </cell>
          <cell r="BG2658" t="str">
            <v>C005</v>
          </cell>
          <cell r="BH2658" t="str">
            <v>BUB</v>
          </cell>
        </row>
        <row r="2659">
          <cell r="K2659">
            <v>0</v>
          </cell>
          <cell r="L2659">
            <v>0</v>
          </cell>
          <cell r="N2659">
            <v>0</v>
          </cell>
          <cell r="O2659">
            <v>0</v>
          </cell>
          <cell r="Q2659">
            <v>0</v>
          </cell>
          <cell r="R2659">
            <v>0</v>
          </cell>
          <cell r="T2659">
            <v>0</v>
          </cell>
          <cell r="U2659">
            <v>0</v>
          </cell>
          <cell r="W2659">
            <v>0</v>
          </cell>
          <cell r="X2659">
            <v>0</v>
          </cell>
          <cell r="Z2659">
            <v>0</v>
          </cell>
          <cell r="AA2659">
            <v>0</v>
          </cell>
          <cell r="AC2659">
            <v>0</v>
          </cell>
          <cell r="AD2659">
            <v>0</v>
          </cell>
          <cell r="AF2659">
            <v>0</v>
          </cell>
          <cell r="AG2659">
            <v>0</v>
          </cell>
          <cell r="AI2659">
            <v>0</v>
          </cell>
          <cell r="AJ2659">
            <v>0</v>
          </cell>
          <cell r="AL2659">
            <v>0</v>
          </cell>
          <cell r="AM2659">
            <v>0</v>
          </cell>
          <cell r="AO2659">
            <v>0</v>
          </cell>
          <cell r="AP2659">
            <v>0</v>
          </cell>
          <cell r="AR2659">
            <v>0</v>
          </cell>
          <cell r="AS2659">
            <v>0</v>
          </cell>
          <cell r="BF2659" t="str">
            <v>3100</v>
          </cell>
          <cell r="BG2659" t="str">
            <v>C006</v>
          </cell>
          <cell r="BH2659" t="str">
            <v>BUB</v>
          </cell>
        </row>
        <row r="2660">
          <cell r="K2660">
            <v>0</v>
          </cell>
          <cell r="L2660">
            <v>0</v>
          </cell>
          <cell r="N2660">
            <v>0</v>
          </cell>
          <cell r="O2660">
            <v>0</v>
          </cell>
          <cell r="Q2660">
            <v>0</v>
          </cell>
          <cell r="R2660">
            <v>0</v>
          </cell>
          <cell r="T2660">
            <v>0</v>
          </cell>
          <cell r="U2660">
            <v>0</v>
          </cell>
          <cell r="W2660">
            <v>0</v>
          </cell>
          <cell r="X2660">
            <v>0</v>
          </cell>
          <cell r="Z2660">
            <v>0</v>
          </cell>
          <cell r="AA2660">
            <v>0</v>
          </cell>
          <cell r="AC2660">
            <v>0</v>
          </cell>
          <cell r="AD2660">
            <v>0</v>
          </cell>
          <cell r="AF2660">
            <v>0</v>
          </cell>
          <cell r="AG2660">
            <v>0</v>
          </cell>
          <cell r="AI2660">
            <v>0</v>
          </cell>
          <cell r="AJ2660">
            <v>0</v>
          </cell>
          <cell r="AL2660">
            <v>0</v>
          </cell>
          <cell r="AM2660">
            <v>0</v>
          </cell>
          <cell r="AO2660">
            <v>0</v>
          </cell>
          <cell r="AP2660">
            <v>0</v>
          </cell>
          <cell r="AR2660">
            <v>0</v>
          </cell>
          <cell r="AS2660">
            <v>0</v>
          </cell>
          <cell r="BF2660" t="str">
            <v>3150</v>
          </cell>
          <cell r="BG2660" t="str">
            <v>Z000</v>
          </cell>
          <cell r="BH2660" t="str">
            <v>BUB</v>
          </cell>
        </row>
        <row r="2661">
          <cell r="K2661">
            <v>0</v>
          </cell>
          <cell r="L2661">
            <v>0</v>
          </cell>
          <cell r="N2661">
            <v>0</v>
          </cell>
          <cell r="O2661">
            <v>0</v>
          </cell>
          <cell r="Q2661">
            <v>0</v>
          </cell>
          <cell r="R2661">
            <v>0</v>
          </cell>
          <cell r="T2661">
            <v>3400</v>
          </cell>
          <cell r="U2661">
            <v>0</v>
          </cell>
          <cell r="W2661">
            <v>3400</v>
          </cell>
          <cell r="X2661">
            <v>0</v>
          </cell>
          <cell r="Z2661">
            <v>3400</v>
          </cell>
          <cell r="AA2661">
            <v>0</v>
          </cell>
          <cell r="AC2661">
            <v>20810</v>
          </cell>
          <cell r="AD2661">
            <v>0</v>
          </cell>
          <cell r="AF2661">
            <v>20810</v>
          </cell>
          <cell r="AG2661">
            <v>0</v>
          </cell>
          <cell r="AI2661">
            <v>20810</v>
          </cell>
          <cell r="AJ2661">
            <v>0</v>
          </cell>
          <cell r="AL2661">
            <v>20810</v>
          </cell>
          <cell r="AM2661">
            <v>0</v>
          </cell>
          <cell r="AO2661">
            <v>20810</v>
          </cell>
          <cell r="AP2661">
            <v>0</v>
          </cell>
          <cell r="AR2661">
            <v>20810</v>
          </cell>
          <cell r="AS2661">
            <v>0</v>
          </cell>
          <cell r="BF2661" t="str">
            <v>4000</v>
          </cell>
          <cell r="BG2661" t="str">
            <v>D001</v>
          </cell>
          <cell r="BH2661" t="str">
            <v>BUB</v>
          </cell>
        </row>
        <row r="2662">
          <cell r="K2662">
            <v>0</v>
          </cell>
          <cell r="L2662">
            <v>0</v>
          </cell>
          <cell r="N2662">
            <v>0</v>
          </cell>
          <cell r="O2662">
            <v>0</v>
          </cell>
          <cell r="Q2662">
            <v>0</v>
          </cell>
          <cell r="R2662">
            <v>0</v>
          </cell>
          <cell r="T2662">
            <v>0</v>
          </cell>
          <cell r="U2662">
            <v>0</v>
          </cell>
          <cell r="W2662">
            <v>0</v>
          </cell>
          <cell r="X2662">
            <v>0</v>
          </cell>
          <cell r="Z2662">
            <v>0</v>
          </cell>
          <cell r="AA2662">
            <v>0</v>
          </cell>
          <cell r="AC2662">
            <v>0</v>
          </cell>
          <cell r="AD2662">
            <v>0</v>
          </cell>
          <cell r="AF2662">
            <v>0</v>
          </cell>
          <cell r="AG2662">
            <v>0</v>
          </cell>
          <cell r="AI2662">
            <v>0</v>
          </cell>
          <cell r="AJ2662">
            <v>0</v>
          </cell>
          <cell r="AL2662">
            <v>0</v>
          </cell>
          <cell r="AM2662">
            <v>0</v>
          </cell>
          <cell r="AO2662">
            <v>0</v>
          </cell>
          <cell r="AP2662">
            <v>0</v>
          </cell>
          <cell r="AR2662">
            <v>0</v>
          </cell>
          <cell r="AS2662">
            <v>0</v>
          </cell>
          <cell r="BF2662" t="str">
            <v>4000</v>
          </cell>
          <cell r="BG2662" t="str">
            <v>D002</v>
          </cell>
          <cell r="BH2662" t="str">
            <v>BUB</v>
          </cell>
        </row>
        <row r="2663">
          <cell r="K2663">
            <v>0</v>
          </cell>
          <cell r="L2663">
            <v>0</v>
          </cell>
          <cell r="N2663">
            <v>0</v>
          </cell>
          <cell r="O2663">
            <v>0</v>
          </cell>
          <cell r="Q2663">
            <v>0</v>
          </cell>
          <cell r="R2663">
            <v>0</v>
          </cell>
          <cell r="T2663">
            <v>0</v>
          </cell>
          <cell r="U2663">
            <v>0</v>
          </cell>
          <cell r="W2663">
            <v>0</v>
          </cell>
          <cell r="X2663">
            <v>0</v>
          </cell>
          <cell r="Z2663">
            <v>0</v>
          </cell>
          <cell r="AA2663">
            <v>0</v>
          </cell>
          <cell r="AC2663">
            <v>0</v>
          </cell>
          <cell r="AD2663">
            <v>0</v>
          </cell>
          <cell r="AF2663">
            <v>0</v>
          </cell>
          <cell r="AG2663">
            <v>0</v>
          </cell>
          <cell r="AI2663">
            <v>0</v>
          </cell>
          <cell r="AJ2663">
            <v>0</v>
          </cell>
          <cell r="AL2663">
            <v>0</v>
          </cell>
          <cell r="AM2663">
            <v>0</v>
          </cell>
          <cell r="AO2663">
            <v>0</v>
          </cell>
          <cell r="AP2663">
            <v>0</v>
          </cell>
          <cell r="AR2663">
            <v>0</v>
          </cell>
          <cell r="AS2663">
            <v>0</v>
          </cell>
          <cell r="BF2663" t="str">
            <v>4010</v>
          </cell>
          <cell r="BG2663" t="str">
            <v>Z000</v>
          </cell>
          <cell r="BH2663" t="str">
            <v>BUB</v>
          </cell>
        </row>
        <row r="2664">
          <cell r="K2664">
            <v>0</v>
          </cell>
          <cell r="L2664">
            <v>0</v>
          </cell>
          <cell r="N2664">
            <v>0</v>
          </cell>
          <cell r="O2664">
            <v>0</v>
          </cell>
          <cell r="Q2664">
            <v>0</v>
          </cell>
          <cell r="R2664">
            <v>0</v>
          </cell>
          <cell r="T2664">
            <v>195.88</v>
          </cell>
          <cell r="U2664">
            <v>0</v>
          </cell>
          <cell r="W2664">
            <v>1370.04</v>
          </cell>
          <cell r="X2664">
            <v>0</v>
          </cell>
          <cell r="Z2664">
            <v>2948.95</v>
          </cell>
          <cell r="AA2664">
            <v>0</v>
          </cell>
          <cell r="AC2664">
            <v>1478.4900000000007</v>
          </cell>
          <cell r="AD2664">
            <v>0</v>
          </cell>
          <cell r="AF2664">
            <v>2049.4799999999996</v>
          </cell>
          <cell r="AG2664">
            <v>0</v>
          </cell>
          <cell r="AI2664">
            <v>2036.0999999999985</v>
          </cell>
          <cell r="AJ2664">
            <v>0</v>
          </cell>
          <cell r="AL2664">
            <v>2086.5199999999968</v>
          </cell>
          <cell r="AM2664">
            <v>0</v>
          </cell>
          <cell r="AO2664">
            <v>2150.1499999999978</v>
          </cell>
          <cell r="AP2664">
            <v>0</v>
          </cell>
          <cell r="AR2664">
            <v>2216.5399999999972</v>
          </cell>
          <cell r="AS2664">
            <v>0</v>
          </cell>
          <cell r="BF2664" t="str">
            <v>4150</v>
          </cell>
          <cell r="BG2664" t="str">
            <v>Z000</v>
          </cell>
          <cell r="BH2664" t="str">
            <v>BUB</v>
          </cell>
        </row>
        <row r="2665">
          <cell r="K2665">
            <v>0</v>
          </cell>
          <cell r="L2665">
            <v>0</v>
          </cell>
          <cell r="N2665">
            <v>0</v>
          </cell>
          <cell r="O2665">
            <v>0</v>
          </cell>
          <cell r="Q2665">
            <v>0</v>
          </cell>
          <cell r="R2665">
            <v>0</v>
          </cell>
          <cell r="T2665">
            <v>0</v>
          </cell>
          <cell r="U2665">
            <v>0</v>
          </cell>
          <cell r="W2665">
            <v>0</v>
          </cell>
          <cell r="X2665">
            <v>0</v>
          </cell>
          <cell r="Z2665">
            <v>0</v>
          </cell>
          <cell r="AA2665">
            <v>0</v>
          </cell>
          <cell r="AC2665">
            <v>0</v>
          </cell>
          <cell r="AD2665">
            <v>0</v>
          </cell>
          <cell r="AF2665">
            <v>0</v>
          </cell>
          <cell r="AG2665">
            <v>0</v>
          </cell>
          <cell r="AI2665">
            <v>-0.01</v>
          </cell>
          <cell r="AJ2665">
            <v>0</v>
          </cell>
          <cell r="AL2665">
            <v>0</v>
          </cell>
          <cell r="AM2665">
            <v>0</v>
          </cell>
          <cell r="AO2665">
            <v>0</v>
          </cell>
          <cell r="AP2665">
            <v>0</v>
          </cell>
          <cell r="AR2665">
            <v>0</v>
          </cell>
          <cell r="AS2665">
            <v>0</v>
          </cell>
          <cell r="BF2665" t="str">
            <v>4200</v>
          </cell>
          <cell r="BG2665" t="str">
            <v>Z000</v>
          </cell>
          <cell r="BH2665" t="str">
            <v>BUB</v>
          </cell>
        </row>
        <row r="2666">
          <cell r="K2666">
            <v>0</v>
          </cell>
          <cell r="L2666">
            <v>0</v>
          </cell>
          <cell r="N2666">
            <v>0</v>
          </cell>
          <cell r="O2666">
            <v>0</v>
          </cell>
          <cell r="Q2666">
            <v>0</v>
          </cell>
          <cell r="R2666">
            <v>0</v>
          </cell>
          <cell r="T2666">
            <v>0</v>
          </cell>
          <cell r="U2666">
            <v>0</v>
          </cell>
          <cell r="W2666">
            <v>0</v>
          </cell>
          <cell r="X2666">
            <v>0</v>
          </cell>
          <cell r="Z2666">
            <v>0</v>
          </cell>
          <cell r="AA2666">
            <v>0</v>
          </cell>
          <cell r="AC2666">
            <v>0</v>
          </cell>
          <cell r="AD2666">
            <v>0</v>
          </cell>
          <cell r="AF2666">
            <v>0</v>
          </cell>
          <cell r="AG2666">
            <v>0</v>
          </cell>
          <cell r="AI2666">
            <v>0</v>
          </cell>
          <cell r="AJ2666">
            <v>0</v>
          </cell>
          <cell r="AL2666">
            <v>0</v>
          </cell>
          <cell r="AM2666">
            <v>0</v>
          </cell>
          <cell r="AO2666">
            <v>0</v>
          </cell>
          <cell r="AP2666">
            <v>0</v>
          </cell>
          <cell r="AR2666">
            <v>-7.2759576141834259E-12</v>
          </cell>
          <cell r="AS2666">
            <v>0</v>
          </cell>
          <cell r="BF2666" t="str">
            <v>4215</v>
          </cell>
          <cell r="BG2666" t="str">
            <v>Z000</v>
          </cell>
          <cell r="BH2666" t="str">
            <v>BUB</v>
          </cell>
        </row>
        <row r="2667">
          <cell r="K2667">
            <v>0</v>
          </cell>
          <cell r="L2667">
            <v>0</v>
          </cell>
          <cell r="N2667">
            <v>0</v>
          </cell>
          <cell r="O2667">
            <v>0</v>
          </cell>
          <cell r="Q2667">
            <v>0</v>
          </cell>
          <cell r="R2667">
            <v>0</v>
          </cell>
          <cell r="T2667">
            <v>0</v>
          </cell>
          <cell r="U2667">
            <v>0</v>
          </cell>
          <cell r="W2667">
            <v>0</v>
          </cell>
          <cell r="X2667">
            <v>0</v>
          </cell>
          <cell r="Z2667">
            <v>0</v>
          </cell>
          <cell r="AA2667">
            <v>0</v>
          </cell>
          <cell r="AC2667">
            <v>0</v>
          </cell>
          <cell r="AD2667">
            <v>0</v>
          </cell>
          <cell r="AF2667">
            <v>0</v>
          </cell>
          <cell r="AG2667">
            <v>0</v>
          </cell>
          <cell r="AI2667">
            <v>0</v>
          </cell>
          <cell r="AJ2667">
            <v>0</v>
          </cell>
          <cell r="AL2667">
            <v>0</v>
          </cell>
          <cell r="AM2667">
            <v>0</v>
          </cell>
          <cell r="AO2667">
            <v>0</v>
          </cell>
          <cell r="AP2667">
            <v>0</v>
          </cell>
          <cell r="AR2667">
            <v>0</v>
          </cell>
          <cell r="AS2667">
            <v>0</v>
          </cell>
          <cell r="BF2667" t="str">
            <v>4230</v>
          </cell>
          <cell r="BG2667" t="str">
            <v>Z000</v>
          </cell>
          <cell r="BH2667" t="str">
            <v>BUB</v>
          </cell>
        </row>
        <row r="2668">
          <cell r="K2668">
            <v>0</v>
          </cell>
          <cell r="L2668">
            <v>0</v>
          </cell>
          <cell r="N2668">
            <v>0</v>
          </cell>
          <cell r="O2668">
            <v>0</v>
          </cell>
          <cell r="Q2668">
            <v>0</v>
          </cell>
          <cell r="R2668">
            <v>0</v>
          </cell>
          <cell r="T2668">
            <v>0</v>
          </cell>
          <cell r="U2668">
            <v>0</v>
          </cell>
          <cell r="W2668">
            <v>0</v>
          </cell>
          <cell r="X2668">
            <v>0</v>
          </cell>
          <cell r="Z2668">
            <v>0</v>
          </cell>
          <cell r="AA2668">
            <v>0</v>
          </cell>
          <cell r="AC2668">
            <v>0</v>
          </cell>
          <cell r="AD2668">
            <v>0</v>
          </cell>
          <cell r="AF2668">
            <v>0</v>
          </cell>
          <cell r="AG2668">
            <v>0</v>
          </cell>
          <cell r="AI2668">
            <v>0</v>
          </cell>
          <cell r="AJ2668">
            <v>0</v>
          </cell>
          <cell r="AL2668">
            <v>0</v>
          </cell>
          <cell r="AM2668">
            <v>0</v>
          </cell>
          <cell r="AO2668">
            <v>0</v>
          </cell>
          <cell r="AP2668">
            <v>0</v>
          </cell>
          <cell r="AR2668">
            <v>0</v>
          </cell>
          <cell r="AS2668">
            <v>0</v>
          </cell>
          <cell r="BF2668" t="str">
            <v>4240</v>
          </cell>
          <cell r="BG2668" t="str">
            <v>Z000</v>
          </cell>
          <cell r="BH2668" t="str">
            <v>BUB</v>
          </cell>
        </row>
        <row r="2669">
          <cell r="K2669">
            <v>0</v>
          </cell>
          <cell r="L2669">
            <v>0</v>
          </cell>
          <cell r="N2669">
            <v>0</v>
          </cell>
          <cell r="O2669">
            <v>0</v>
          </cell>
          <cell r="Q2669">
            <v>0</v>
          </cell>
          <cell r="R2669">
            <v>0</v>
          </cell>
          <cell r="T2669">
            <v>0</v>
          </cell>
          <cell r="U2669">
            <v>0</v>
          </cell>
          <cell r="W2669">
            <v>3100</v>
          </cell>
          <cell r="X2669">
            <v>0</v>
          </cell>
          <cell r="Z2669">
            <v>5100</v>
          </cell>
          <cell r="AA2669">
            <v>0</v>
          </cell>
          <cell r="AC2669">
            <v>3100</v>
          </cell>
          <cell r="AD2669">
            <v>0</v>
          </cell>
          <cell r="AF2669">
            <v>3100</v>
          </cell>
          <cell r="AG2669">
            <v>0</v>
          </cell>
          <cell r="AI2669">
            <v>3100</v>
          </cell>
          <cell r="AJ2669">
            <v>0</v>
          </cell>
          <cell r="AL2669">
            <v>3100</v>
          </cell>
          <cell r="AM2669">
            <v>0</v>
          </cell>
          <cell r="AO2669">
            <v>3100</v>
          </cell>
          <cell r="AP2669">
            <v>0</v>
          </cell>
          <cell r="AR2669">
            <v>3100</v>
          </cell>
          <cell r="AS2669">
            <v>0</v>
          </cell>
          <cell r="BF2669" t="str">
            <v>4250</v>
          </cell>
          <cell r="BG2669" t="str">
            <v>Z000</v>
          </cell>
          <cell r="BH2669" t="str">
            <v>BUB</v>
          </cell>
        </row>
        <row r="2670">
          <cell r="K2670">
            <v>0</v>
          </cell>
          <cell r="L2670">
            <v>0</v>
          </cell>
          <cell r="N2670">
            <v>0</v>
          </cell>
          <cell r="O2670">
            <v>0</v>
          </cell>
          <cell r="Q2670">
            <v>0</v>
          </cell>
          <cell r="R2670">
            <v>0</v>
          </cell>
          <cell r="T2670">
            <v>0</v>
          </cell>
          <cell r="U2670">
            <v>0</v>
          </cell>
          <cell r="W2670">
            <v>0</v>
          </cell>
          <cell r="X2670">
            <v>0</v>
          </cell>
          <cell r="Z2670">
            <v>0</v>
          </cell>
          <cell r="AA2670">
            <v>0</v>
          </cell>
          <cell r="AC2670">
            <v>0</v>
          </cell>
          <cell r="AD2670">
            <v>0</v>
          </cell>
          <cell r="AF2670">
            <v>0</v>
          </cell>
          <cell r="AG2670">
            <v>0</v>
          </cell>
          <cell r="AI2670">
            <v>0</v>
          </cell>
          <cell r="AJ2670">
            <v>0</v>
          </cell>
          <cell r="AL2670">
            <v>0</v>
          </cell>
          <cell r="AM2670">
            <v>0</v>
          </cell>
          <cell r="AO2670">
            <v>0</v>
          </cell>
          <cell r="AP2670">
            <v>0</v>
          </cell>
          <cell r="AR2670">
            <v>0</v>
          </cell>
          <cell r="AS2670">
            <v>0</v>
          </cell>
          <cell r="BF2670" t="str">
            <v>4275</v>
          </cell>
          <cell r="BG2670" t="str">
            <v>Z000</v>
          </cell>
          <cell r="BH2670" t="str">
            <v>BUB</v>
          </cell>
        </row>
        <row r="2671">
          <cell r="K2671">
            <v>0</v>
          </cell>
          <cell r="L2671">
            <v>0</v>
          </cell>
          <cell r="N2671">
            <v>0</v>
          </cell>
          <cell r="O2671">
            <v>0</v>
          </cell>
          <cell r="Q2671">
            <v>0</v>
          </cell>
          <cell r="R2671">
            <v>0</v>
          </cell>
          <cell r="T2671">
            <v>0</v>
          </cell>
          <cell r="U2671">
            <v>0</v>
          </cell>
          <cell r="W2671">
            <v>106.13</v>
          </cell>
          <cell r="X2671">
            <v>0</v>
          </cell>
          <cell r="Z2671">
            <v>186.94</v>
          </cell>
          <cell r="AA2671">
            <v>0</v>
          </cell>
          <cell r="AC2671">
            <v>247.67000000000002</v>
          </cell>
          <cell r="AD2671">
            <v>0</v>
          </cell>
          <cell r="AF2671">
            <v>223.70000000000005</v>
          </cell>
          <cell r="AG2671">
            <v>0</v>
          </cell>
          <cell r="AI2671">
            <v>247.67000000000007</v>
          </cell>
          <cell r="AJ2671">
            <v>0</v>
          </cell>
          <cell r="AL2671">
            <v>239.67999999999984</v>
          </cell>
          <cell r="AM2671">
            <v>0</v>
          </cell>
          <cell r="AO2671">
            <v>247.67000000000007</v>
          </cell>
          <cell r="AP2671">
            <v>0</v>
          </cell>
          <cell r="AR2671">
            <v>239.67999999999984</v>
          </cell>
          <cell r="AS2671">
            <v>0</v>
          </cell>
          <cell r="BF2671" t="str">
            <v>4300</v>
          </cell>
          <cell r="BG2671" t="str">
            <v>Z000</v>
          </cell>
          <cell r="BH2671" t="str">
            <v>BUB</v>
          </cell>
        </row>
        <row r="2672">
          <cell r="K2672">
            <v>0</v>
          </cell>
          <cell r="L2672">
            <v>0</v>
          </cell>
          <cell r="N2672">
            <v>0</v>
          </cell>
          <cell r="O2672">
            <v>0</v>
          </cell>
          <cell r="Q2672">
            <v>0</v>
          </cell>
          <cell r="R2672">
            <v>0</v>
          </cell>
          <cell r="T2672">
            <v>0</v>
          </cell>
          <cell r="U2672">
            <v>0</v>
          </cell>
          <cell r="W2672">
            <v>0</v>
          </cell>
          <cell r="X2672">
            <v>0</v>
          </cell>
          <cell r="Z2672">
            <v>0</v>
          </cell>
          <cell r="AA2672">
            <v>0</v>
          </cell>
          <cell r="AC2672">
            <v>0</v>
          </cell>
          <cell r="AD2672">
            <v>0</v>
          </cell>
          <cell r="AF2672">
            <v>0</v>
          </cell>
          <cell r="AG2672">
            <v>0</v>
          </cell>
          <cell r="AI2672">
            <v>0</v>
          </cell>
          <cell r="AJ2672">
            <v>0</v>
          </cell>
          <cell r="AL2672">
            <v>0</v>
          </cell>
          <cell r="AM2672">
            <v>0</v>
          </cell>
          <cell r="AO2672">
            <v>0</v>
          </cell>
          <cell r="AP2672">
            <v>0</v>
          </cell>
          <cell r="AR2672">
            <v>0</v>
          </cell>
          <cell r="AS2672">
            <v>0</v>
          </cell>
          <cell r="BF2672" t="str">
            <v>4320</v>
          </cell>
          <cell r="BG2672" t="str">
            <v>Z000</v>
          </cell>
          <cell r="BH2672" t="str">
            <v>BUB</v>
          </cell>
        </row>
        <row r="2673">
          <cell r="K2673">
            <v>0</v>
          </cell>
          <cell r="L2673">
            <v>0</v>
          </cell>
          <cell r="N2673">
            <v>0</v>
          </cell>
          <cell r="O2673">
            <v>0</v>
          </cell>
          <cell r="Q2673">
            <v>0</v>
          </cell>
          <cell r="R2673">
            <v>0</v>
          </cell>
          <cell r="T2673">
            <v>0</v>
          </cell>
          <cell r="U2673">
            <v>0</v>
          </cell>
          <cell r="W2673">
            <v>0</v>
          </cell>
          <cell r="X2673">
            <v>0</v>
          </cell>
          <cell r="Z2673">
            <v>0</v>
          </cell>
          <cell r="AA2673">
            <v>0</v>
          </cell>
          <cell r="AC2673">
            <v>7500</v>
          </cell>
          <cell r="AD2673">
            <v>0</v>
          </cell>
          <cell r="AF2673">
            <v>2500</v>
          </cell>
          <cell r="AG2673">
            <v>0</v>
          </cell>
          <cell r="AI2673">
            <v>2500</v>
          </cell>
          <cell r="AJ2673">
            <v>0</v>
          </cell>
          <cell r="AL2673">
            <v>12500</v>
          </cell>
          <cell r="AM2673">
            <v>0</v>
          </cell>
          <cell r="AO2673">
            <v>2500</v>
          </cell>
          <cell r="AP2673">
            <v>0</v>
          </cell>
          <cell r="AR2673">
            <v>2500</v>
          </cell>
          <cell r="AS2673">
            <v>0</v>
          </cell>
          <cell r="BF2673" t="str">
            <v>4330</v>
          </cell>
          <cell r="BG2673" t="str">
            <v>Z000</v>
          </cell>
          <cell r="BH2673" t="str">
            <v>BUB</v>
          </cell>
        </row>
        <row r="2674">
          <cell r="K2674">
            <v>0</v>
          </cell>
          <cell r="L2674">
            <v>0</v>
          </cell>
          <cell r="N2674">
            <v>0</v>
          </cell>
          <cell r="O2674">
            <v>0</v>
          </cell>
          <cell r="Q2674">
            <v>0</v>
          </cell>
          <cell r="R2674">
            <v>0</v>
          </cell>
          <cell r="T2674">
            <v>0</v>
          </cell>
          <cell r="U2674">
            <v>0</v>
          </cell>
          <cell r="W2674">
            <v>0</v>
          </cell>
          <cell r="X2674">
            <v>0</v>
          </cell>
          <cell r="Z2674">
            <v>0</v>
          </cell>
          <cell r="AA2674">
            <v>0</v>
          </cell>
          <cell r="AC2674">
            <v>0</v>
          </cell>
          <cell r="AD2674">
            <v>0</v>
          </cell>
          <cell r="AF2674">
            <v>0</v>
          </cell>
          <cell r="AG2674">
            <v>0</v>
          </cell>
          <cell r="AI2674">
            <v>0</v>
          </cell>
          <cell r="AJ2674">
            <v>0</v>
          </cell>
          <cell r="AL2674">
            <v>0</v>
          </cell>
          <cell r="AM2674">
            <v>0</v>
          </cell>
          <cell r="AO2674">
            <v>0</v>
          </cell>
          <cell r="AP2674">
            <v>0</v>
          </cell>
          <cell r="AR2674">
            <v>0</v>
          </cell>
          <cell r="AS2674">
            <v>0</v>
          </cell>
          <cell r="BF2674" t="str">
            <v>4340</v>
          </cell>
          <cell r="BG2674" t="str">
            <v>D006</v>
          </cell>
          <cell r="BH2674" t="str">
            <v>BUB</v>
          </cell>
        </row>
        <row r="2675">
          <cell r="K2675">
            <v>0</v>
          </cell>
          <cell r="L2675">
            <v>0</v>
          </cell>
          <cell r="N2675">
            <v>0</v>
          </cell>
          <cell r="O2675">
            <v>0</v>
          </cell>
          <cell r="Q2675">
            <v>0</v>
          </cell>
          <cell r="R2675">
            <v>0</v>
          </cell>
          <cell r="T2675">
            <v>0</v>
          </cell>
          <cell r="U2675">
            <v>0</v>
          </cell>
          <cell r="W2675">
            <v>0</v>
          </cell>
          <cell r="X2675">
            <v>0</v>
          </cell>
          <cell r="Z2675">
            <v>0</v>
          </cell>
          <cell r="AA2675">
            <v>0</v>
          </cell>
          <cell r="AC2675">
            <v>0</v>
          </cell>
          <cell r="AD2675">
            <v>0</v>
          </cell>
          <cell r="AF2675">
            <v>0</v>
          </cell>
          <cell r="AG2675">
            <v>0</v>
          </cell>
          <cell r="AI2675">
            <v>0</v>
          </cell>
          <cell r="AJ2675">
            <v>0</v>
          </cell>
          <cell r="AL2675">
            <v>0</v>
          </cell>
          <cell r="AM2675">
            <v>0</v>
          </cell>
          <cell r="AO2675">
            <v>0</v>
          </cell>
          <cell r="AP2675">
            <v>0</v>
          </cell>
          <cell r="AR2675">
            <v>0</v>
          </cell>
          <cell r="AS2675">
            <v>0</v>
          </cell>
          <cell r="BF2675" t="str">
            <v>4340</v>
          </cell>
          <cell r="BG2675" t="str">
            <v>D007</v>
          </cell>
          <cell r="BH2675" t="str">
            <v>BUB</v>
          </cell>
        </row>
        <row r="2676">
          <cell r="K2676">
            <v>0</v>
          </cell>
          <cell r="L2676">
            <v>0</v>
          </cell>
          <cell r="N2676">
            <v>0</v>
          </cell>
          <cell r="O2676">
            <v>0</v>
          </cell>
          <cell r="Q2676">
            <v>0</v>
          </cell>
          <cell r="R2676">
            <v>0</v>
          </cell>
          <cell r="T2676">
            <v>0</v>
          </cell>
          <cell r="U2676">
            <v>0</v>
          </cell>
          <cell r="W2676">
            <v>0</v>
          </cell>
          <cell r="X2676">
            <v>0</v>
          </cell>
          <cell r="Z2676">
            <v>0</v>
          </cell>
          <cell r="AA2676">
            <v>0</v>
          </cell>
          <cell r="AC2676">
            <v>0</v>
          </cell>
          <cell r="AD2676">
            <v>0</v>
          </cell>
          <cell r="AF2676">
            <v>0</v>
          </cell>
          <cell r="AG2676">
            <v>0</v>
          </cell>
          <cell r="AI2676">
            <v>0</v>
          </cell>
          <cell r="AJ2676">
            <v>0</v>
          </cell>
          <cell r="AL2676">
            <v>0</v>
          </cell>
          <cell r="AM2676">
            <v>0</v>
          </cell>
          <cell r="AO2676">
            <v>0</v>
          </cell>
          <cell r="AP2676">
            <v>0</v>
          </cell>
          <cell r="AR2676">
            <v>0</v>
          </cell>
          <cell r="AS2676">
            <v>0</v>
          </cell>
          <cell r="BF2676" t="str">
            <v>4340</v>
          </cell>
          <cell r="BG2676" t="str">
            <v>D008</v>
          </cell>
          <cell r="BH2676" t="str">
            <v>BUB</v>
          </cell>
        </row>
        <row r="2677">
          <cell r="K2677">
            <v>0</v>
          </cell>
          <cell r="L2677">
            <v>0</v>
          </cell>
          <cell r="N2677">
            <v>0</v>
          </cell>
          <cell r="O2677">
            <v>0</v>
          </cell>
          <cell r="Q2677">
            <v>0</v>
          </cell>
          <cell r="R2677">
            <v>0</v>
          </cell>
          <cell r="T2677">
            <v>0</v>
          </cell>
          <cell r="U2677">
            <v>0</v>
          </cell>
          <cell r="W2677">
            <v>0</v>
          </cell>
          <cell r="X2677">
            <v>0</v>
          </cell>
          <cell r="Z2677">
            <v>2500</v>
          </cell>
          <cell r="AA2677">
            <v>0</v>
          </cell>
          <cell r="AC2677">
            <v>1000</v>
          </cell>
          <cell r="AD2677">
            <v>0</v>
          </cell>
          <cell r="AF2677">
            <v>0</v>
          </cell>
          <cell r="AG2677">
            <v>0</v>
          </cell>
          <cell r="AI2677">
            <v>0</v>
          </cell>
          <cell r="AJ2677">
            <v>0</v>
          </cell>
          <cell r="AL2677">
            <v>0</v>
          </cell>
          <cell r="AM2677">
            <v>0</v>
          </cell>
          <cell r="AO2677">
            <v>0</v>
          </cell>
          <cell r="AP2677">
            <v>0</v>
          </cell>
          <cell r="AR2677">
            <v>1000</v>
          </cell>
          <cell r="AS2677">
            <v>0</v>
          </cell>
          <cell r="BF2677" t="str">
            <v>4360</v>
          </cell>
          <cell r="BG2677" t="str">
            <v>Z000</v>
          </cell>
          <cell r="BH2677" t="str">
            <v>BUB</v>
          </cell>
        </row>
        <row r="2678">
          <cell r="K2678">
            <v>0</v>
          </cell>
          <cell r="L2678">
            <v>0</v>
          </cell>
          <cell r="N2678">
            <v>0</v>
          </cell>
          <cell r="O2678">
            <v>0</v>
          </cell>
          <cell r="Q2678">
            <v>0</v>
          </cell>
          <cell r="R2678">
            <v>0</v>
          </cell>
          <cell r="T2678">
            <v>0</v>
          </cell>
          <cell r="U2678">
            <v>0</v>
          </cell>
          <cell r="W2678">
            <v>0</v>
          </cell>
          <cell r="X2678">
            <v>0</v>
          </cell>
          <cell r="Z2678">
            <v>0</v>
          </cell>
          <cell r="AA2678">
            <v>0</v>
          </cell>
          <cell r="AC2678">
            <v>0</v>
          </cell>
          <cell r="AD2678">
            <v>0</v>
          </cell>
          <cell r="AF2678">
            <v>0</v>
          </cell>
          <cell r="AG2678">
            <v>0</v>
          </cell>
          <cell r="AI2678">
            <v>0</v>
          </cell>
          <cell r="AJ2678">
            <v>0</v>
          </cell>
          <cell r="AL2678">
            <v>0</v>
          </cell>
          <cell r="AM2678">
            <v>0</v>
          </cell>
          <cell r="AO2678">
            <v>0</v>
          </cell>
          <cell r="AP2678">
            <v>0</v>
          </cell>
          <cell r="AR2678">
            <v>0</v>
          </cell>
          <cell r="AS2678">
            <v>0</v>
          </cell>
          <cell r="BF2678" t="str">
            <v>4380</v>
          </cell>
          <cell r="BG2678" t="str">
            <v>Z000</v>
          </cell>
          <cell r="BH2678" t="str">
            <v>BUB</v>
          </cell>
        </row>
        <row r="2679">
          <cell r="K2679">
            <v>0</v>
          </cell>
          <cell r="L2679">
            <v>0</v>
          </cell>
          <cell r="N2679">
            <v>0</v>
          </cell>
          <cell r="O2679">
            <v>0</v>
          </cell>
          <cell r="Q2679">
            <v>0</v>
          </cell>
          <cell r="R2679">
            <v>0</v>
          </cell>
          <cell r="T2679">
            <v>0</v>
          </cell>
          <cell r="U2679">
            <v>0</v>
          </cell>
          <cell r="W2679">
            <v>0</v>
          </cell>
          <cell r="X2679">
            <v>0</v>
          </cell>
          <cell r="Z2679">
            <v>0</v>
          </cell>
          <cell r="AA2679">
            <v>0</v>
          </cell>
          <cell r="AC2679">
            <v>0</v>
          </cell>
          <cell r="AD2679">
            <v>0</v>
          </cell>
          <cell r="AF2679">
            <v>0</v>
          </cell>
          <cell r="AG2679">
            <v>0</v>
          </cell>
          <cell r="AI2679">
            <v>0</v>
          </cell>
          <cell r="AJ2679">
            <v>0</v>
          </cell>
          <cell r="AL2679">
            <v>0</v>
          </cell>
          <cell r="AM2679">
            <v>0</v>
          </cell>
          <cell r="AO2679">
            <v>0</v>
          </cell>
          <cell r="AP2679">
            <v>0</v>
          </cell>
          <cell r="AR2679">
            <v>0</v>
          </cell>
          <cell r="AS2679">
            <v>0</v>
          </cell>
          <cell r="BF2679" t="str">
            <v>4400</v>
          </cell>
          <cell r="BG2679" t="str">
            <v>Z000</v>
          </cell>
          <cell r="BH2679" t="str">
            <v>BUB</v>
          </cell>
        </row>
        <row r="2680">
          <cell r="K2680">
            <v>0</v>
          </cell>
          <cell r="L2680">
            <v>0</v>
          </cell>
          <cell r="N2680">
            <v>0</v>
          </cell>
          <cell r="O2680">
            <v>0</v>
          </cell>
          <cell r="Q2680">
            <v>0</v>
          </cell>
          <cell r="R2680">
            <v>0</v>
          </cell>
          <cell r="T2680">
            <v>0</v>
          </cell>
          <cell r="U2680">
            <v>0</v>
          </cell>
          <cell r="W2680">
            <v>0</v>
          </cell>
          <cell r="X2680">
            <v>0</v>
          </cell>
          <cell r="Z2680">
            <v>0</v>
          </cell>
          <cell r="AA2680">
            <v>0</v>
          </cell>
          <cell r="AC2680">
            <v>0</v>
          </cell>
          <cell r="AD2680">
            <v>0</v>
          </cell>
          <cell r="AF2680">
            <v>0</v>
          </cell>
          <cell r="AG2680">
            <v>0</v>
          </cell>
          <cell r="AI2680">
            <v>0</v>
          </cell>
          <cell r="AJ2680">
            <v>0</v>
          </cell>
          <cell r="AL2680">
            <v>0</v>
          </cell>
          <cell r="AM2680">
            <v>0</v>
          </cell>
          <cell r="AO2680">
            <v>0</v>
          </cell>
          <cell r="AP2680">
            <v>0</v>
          </cell>
          <cell r="AR2680">
            <v>0</v>
          </cell>
          <cell r="AS2680">
            <v>0</v>
          </cell>
          <cell r="BF2680" t="str">
            <v>4480</v>
          </cell>
          <cell r="BG2680" t="str">
            <v>Z000</v>
          </cell>
          <cell r="BH2680" t="str">
            <v>BUB</v>
          </cell>
        </row>
        <row r="2681">
          <cell r="K2681">
            <v>0</v>
          </cell>
          <cell r="L2681">
            <v>0</v>
          </cell>
          <cell r="N2681">
            <v>0</v>
          </cell>
          <cell r="O2681">
            <v>0</v>
          </cell>
          <cell r="Q2681">
            <v>0</v>
          </cell>
          <cell r="R2681">
            <v>0</v>
          </cell>
          <cell r="T2681">
            <v>0</v>
          </cell>
          <cell r="U2681">
            <v>0</v>
          </cell>
          <cell r="W2681">
            <v>0</v>
          </cell>
          <cell r="X2681">
            <v>0</v>
          </cell>
          <cell r="Z2681">
            <v>0</v>
          </cell>
          <cell r="AA2681">
            <v>0</v>
          </cell>
          <cell r="AC2681">
            <v>0</v>
          </cell>
          <cell r="AD2681">
            <v>0</v>
          </cell>
          <cell r="AF2681">
            <v>0</v>
          </cell>
          <cell r="AG2681">
            <v>0</v>
          </cell>
          <cell r="AI2681">
            <v>0</v>
          </cell>
          <cell r="AJ2681">
            <v>0</v>
          </cell>
          <cell r="AL2681">
            <v>0</v>
          </cell>
          <cell r="AM2681">
            <v>0</v>
          </cell>
          <cell r="AO2681">
            <v>0</v>
          </cell>
          <cell r="AP2681">
            <v>0</v>
          </cell>
          <cell r="AR2681">
            <v>0</v>
          </cell>
          <cell r="AS2681">
            <v>0</v>
          </cell>
          <cell r="BF2681" t="str">
            <v>4500</v>
          </cell>
          <cell r="BG2681" t="str">
            <v>Z000</v>
          </cell>
          <cell r="BH2681" t="str">
            <v>BUB</v>
          </cell>
        </row>
        <row r="2682">
          <cell r="K2682">
            <v>0</v>
          </cell>
          <cell r="L2682">
            <v>0</v>
          </cell>
          <cell r="N2682">
            <v>0</v>
          </cell>
          <cell r="O2682">
            <v>0</v>
          </cell>
          <cell r="Q2682">
            <v>0</v>
          </cell>
          <cell r="R2682">
            <v>0</v>
          </cell>
          <cell r="T2682">
            <v>0</v>
          </cell>
          <cell r="U2682">
            <v>0</v>
          </cell>
          <cell r="W2682">
            <v>0</v>
          </cell>
          <cell r="X2682">
            <v>0</v>
          </cell>
          <cell r="Z2682">
            <v>0</v>
          </cell>
          <cell r="AA2682">
            <v>0</v>
          </cell>
          <cell r="AC2682">
            <v>0</v>
          </cell>
          <cell r="AD2682">
            <v>0</v>
          </cell>
          <cell r="AF2682">
            <v>0</v>
          </cell>
          <cell r="AG2682">
            <v>0</v>
          </cell>
          <cell r="AI2682">
            <v>0</v>
          </cell>
          <cell r="AJ2682">
            <v>0</v>
          </cell>
          <cell r="AL2682">
            <v>0</v>
          </cell>
          <cell r="AM2682">
            <v>0</v>
          </cell>
          <cell r="AO2682">
            <v>0</v>
          </cell>
          <cell r="AP2682">
            <v>0</v>
          </cell>
          <cell r="AR2682">
            <v>0</v>
          </cell>
          <cell r="AS2682">
            <v>0</v>
          </cell>
          <cell r="BF2682" t="str">
            <v>4520</v>
          </cell>
          <cell r="BG2682" t="str">
            <v>D011</v>
          </cell>
          <cell r="BH2682" t="str">
            <v>BUB</v>
          </cell>
        </row>
        <row r="2683">
          <cell r="K2683">
            <v>0</v>
          </cell>
          <cell r="L2683">
            <v>0</v>
          </cell>
          <cell r="N2683">
            <v>0</v>
          </cell>
          <cell r="O2683">
            <v>0</v>
          </cell>
          <cell r="Q2683">
            <v>0</v>
          </cell>
          <cell r="R2683">
            <v>0</v>
          </cell>
          <cell r="T2683">
            <v>0</v>
          </cell>
          <cell r="U2683">
            <v>0</v>
          </cell>
          <cell r="W2683">
            <v>0</v>
          </cell>
          <cell r="X2683">
            <v>0</v>
          </cell>
          <cell r="Z2683">
            <v>0</v>
          </cell>
          <cell r="AA2683">
            <v>0</v>
          </cell>
          <cell r="AC2683">
            <v>0</v>
          </cell>
          <cell r="AD2683">
            <v>0</v>
          </cell>
          <cell r="AF2683">
            <v>0</v>
          </cell>
          <cell r="AG2683">
            <v>0</v>
          </cell>
          <cell r="AI2683">
            <v>0</v>
          </cell>
          <cell r="AJ2683">
            <v>0</v>
          </cell>
          <cell r="AL2683">
            <v>0</v>
          </cell>
          <cell r="AM2683">
            <v>0</v>
          </cell>
          <cell r="AO2683">
            <v>0</v>
          </cell>
          <cell r="AP2683">
            <v>0</v>
          </cell>
          <cell r="AR2683">
            <v>0</v>
          </cell>
          <cell r="AS2683">
            <v>0</v>
          </cell>
          <cell r="BF2683" t="str">
            <v>4520</v>
          </cell>
          <cell r="BG2683" t="str">
            <v>D012</v>
          </cell>
          <cell r="BH2683" t="str">
            <v>BUB</v>
          </cell>
        </row>
        <row r="2684">
          <cell r="K2684">
            <v>0</v>
          </cell>
          <cell r="L2684">
            <v>0</v>
          </cell>
          <cell r="N2684">
            <v>0</v>
          </cell>
          <cell r="O2684">
            <v>0</v>
          </cell>
          <cell r="Q2684">
            <v>0</v>
          </cell>
          <cell r="R2684">
            <v>0</v>
          </cell>
          <cell r="T2684">
            <v>0</v>
          </cell>
          <cell r="U2684">
            <v>0</v>
          </cell>
          <cell r="W2684">
            <v>0</v>
          </cell>
          <cell r="X2684">
            <v>0</v>
          </cell>
          <cell r="Z2684">
            <v>0</v>
          </cell>
          <cell r="AA2684">
            <v>0</v>
          </cell>
          <cell r="AC2684">
            <v>0</v>
          </cell>
          <cell r="AD2684">
            <v>0</v>
          </cell>
          <cell r="AF2684">
            <v>0</v>
          </cell>
          <cell r="AG2684">
            <v>0</v>
          </cell>
          <cell r="AI2684">
            <v>0</v>
          </cell>
          <cell r="AJ2684">
            <v>0</v>
          </cell>
          <cell r="AL2684">
            <v>0</v>
          </cell>
          <cell r="AM2684">
            <v>0</v>
          </cell>
          <cell r="AO2684">
            <v>0</v>
          </cell>
          <cell r="AP2684">
            <v>0</v>
          </cell>
          <cell r="AR2684">
            <v>0</v>
          </cell>
          <cell r="AS2684">
            <v>0</v>
          </cell>
          <cell r="BF2684" t="str">
            <v>4520</v>
          </cell>
          <cell r="BG2684" t="str">
            <v>D013</v>
          </cell>
          <cell r="BH2684" t="str">
            <v>BUB</v>
          </cell>
        </row>
        <row r="2685">
          <cell r="K2685">
            <v>0</v>
          </cell>
          <cell r="L2685">
            <v>0</v>
          </cell>
          <cell r="N2685">
            <v>0</v>
          </cell>
          <cell r="O2685">
            <v>0</v>
          </cell>
          <cell r="Q2685">
            <v>0</v>
          </cell>
          <cell r="R2685">
            <v>0</v>
          </cell>
          <cell r="T2685">
            <v>0</v>
          </cell>
          <cell r="U2685">
            <v>0</v>
          </cell>
          <cell r="W2685">
            <v>0</v>
          </cell>
          <cell r="X2685">
            <v>0</v>
          </cell>
          <cell r="Z2685">
            <v>0</v>
          </cell>
          <cell r="AA2685">
            <v>0</v>
          </cell>
          <cell r="AC2685">
            <v>0</v>
          </cell>
          <cell r="AD2685">
            <v>0</v>
          </cell>
          <cell r="AF2685">
            <v>0</v>
          </cell>
          <cell r="AG2685">
            <v>0</v>
          </cell>
          <cell r="AI2685">
            <v>0</v>
          </cell>
          <cell r="AJ2685">
            <v>0</v>
          </cell>
          <cell r="AL2685">
            <v>0</v>
          </cell>
          <cell r="AM2685">
            <v>0</v>
          </cell>
          <cell r="AO2685">
            <v>0</v>
          </cell>
          <cell r="AP2685">
            <v>0</v>
          </cell>
          <cell r="AR2685">
            <v>0</v>
          </cell>
          <cell r="AS2685">
            <v>0</v>
          </cell>
          <cell r="BF2685" t="str">
            <v>4520</v>
          </cell>
          <cell r="BG2685" t="str">
            <v>D014</v>
          </cell>
          <cell r="BH2685" t="str">
            <v>BUB</v>
          </cell>
        </row>
        <row r="2686">
          <cell r="K2686">
            <v>0</v>
          </cell>
          <cell r="L2686">
            <v>0</v>
          </cell>
          <cell r="N2686">
            <v>0</v>
          </cell>
          <cell r="O2686">
            <v>0</v>
          </cell>
          <cell r="Q2686">
            <v>0</v>
          </cell>
          <cell r="R2686">
            <v>0</v>
          </cell>
          <cell r="T2686">
            <v>0</v>
          </cell>
          <cell r="U2686">
            <v>0</v>
          </cell>
          <cell r="W2686">
            <v>0</v>
          </cell>
          <cell r="X2686">
            <v>0</v>
          </cell>
          <cell r="Z2686">
            <v>0</v>
          </cell>
          <cell r="AA2686">
            <v>0</v>
          </cell>
          <cell r="AC2686">
            <v>0</v>
          </cell>
          <cell r="AD2686">
            <v>0</v>
          </cell>
          <cell r="AF2686">
            <v>0</v>
          </cell>
          <cell r="AG2686">
            <v>0</v>
          </cell>
          <cell r="AI2686">
            <v>0</v>
          </cell>
          <cell r="AJ2686">
            <v>0</v>
          </cell>
          <cell r="AL2686">
            <v>0</v>
          </cell>
          <cell r="AM2686">
            <v>0</v>
          </cell>
          <cell r="AO2686">
            <v>0</v>
          </cell>
          <cell r="AP2686">
            <v>0</v>
          </cell>
          <cell r="AR2686">
            <v>0</v>
          </cell>
          <cell r="AS2686">
            <v>0</v>
          </cell>
          <cell r="BF2686" t="str">
            <v>4520</v>
          </cell>
          <cell r="BG2686" t="str">
            <v>D015</v>
          </cell>
          <cell r="BH2686" t="str">
            <v>BUB</v>
          </cell>
        </row>
        <row r="2687">
          <cell r="K2687">
            <v>0</v>
          </cell>
          <cell r="L2687">
            <v>0</v>
          </cell>
          <cell r="N2687">
            <v>0</v>
          </cell>
          <cell r="O2687">
            <v>0</v>
          </cell>
          <cell r="Q2687">
            <v>0</v>
          </cell>
          <cell r="R2687">
            <v>0</v>
          </cell>
          <cell r="T2687">
            <v>0</v>
          </cell>
          <cell r="U2687">
            <v>0</v>
          </cell>
          <cell r="W2687">
            <v>0</v>
          </cell>
          <cell r="X2687">
            <v>0</v>
          </cell>
          <cell r="Z2687">
            <v>0</v>
          </cell>
          <cell r="AA2687">
            <v>0</v>
          </cell>
          <cell r="AC2687">
            <v>0</v>
          </cell>
          <cell r="AD2687">
            <v>0</v>
          </cell>
          <cell r="AF2687">
            <v>0</v>
          </cell>
          <cell r="AG2687">
            <v>0</v>
          </cell>
          <cell r="AI2687">
            <v>0</v>
          </cell>
          <cell r="AJ2687">
            <v>0</v>
          </cell>
          <cell r="AL2687">
            <v>0</v>
          </cell>
          <cell r="AM2687">
            <v>0</v>
          </cell>
          <cell r="AO2687">
            <v>0</v>
          </cell>
          <cell r="AP2687">
            <v>0</v>
          </cell>
          <cell r="AR2687">
            <v>0</v>
          </cell>
          <cell r="AS2687">
            <v>0</v>
          </cell>
          <cell r="BF2687" t="str">
            <v>4520</v>
          </cell>
          <cell r="BG2687" t="str">
            <v>D016</v>
          </cell>
          <cell r="BH2687" t="str">
            <v>BUB</v>
          </cell>
        </row>
        <row r="2688">
          <cell r="K2688">
            <v>0</v>
          </cell>
          <cell r="L2688">
            <v>0</v>
          </cell>
          <cell r="N2688">
            <v>0</v>
          </cell>
          <cell r="O2688">
            <v>0</v>
          </cell>
          <cell r="Q2688">
            <v>0</v>
          </cell>
          <cell r="R2688">
            <v>0</v>
          </cell>
          <cell r="T2688">
            <v>0</v>
          </cell>
          <cell r="U2688">
            <v>0</v>
          </cell>
          <cell r="W2688">
            <v>0</v>
          </cell>
          <cell r="X2688">
            <v>0</v>
          </cell>
          <cell r="Z2688">
            <v>0</v>
          </cell>
          <cell r="AA2688">
            <v>0</v>
          </cell>
          <cell r="AC2688">
            <v>0</v>
          </cell>
          <cell r="AD2688">
            <v>0</v>
          </cell>
          <cell r="AF2688">
            <v>0</v>
          </cell>
          <cell r="AG2688">
            <v>0</v>
          </cell>
          <cell r="AI2688">
            <v>0</v>
          </cell>
          <cell r="AJ2688">
            <v>0</v>
          </cell>
          <cell r="AL2688">
            <v>0</v>
          </cell>
          <cell r="AM2688">
            <v>0</v>
          </cell>
          <cell r="AO2688">
            <v>0</v>
          </cell>
          <cell r="AP2688">
            <v>0</v>
          </cell>
          <cell r="AR2688">
            <v>0</v>
          </cell>
          <cell r="AS2688">
            <v>0</v>
          </cell>
          <cell r="BF2688" t="str">
            <v>4560</v>
          </cell>
          <cell r="BG2688" t="str">
            <v>Z000</v>
          </cell>
          <cell r="BH2688" t="str">
            <v>BUB</v>
          </cell>
        </row>
        <row r="2689">
          <cell r="K2689">
            <v>0</v>
          </cell>
          <cell r="L2689">
            <v>0</v>
          </cell>
          <cell r="N2689">
            <v>0</v>
          </cell>
          <cell r="O2689">
            <v>0</v>
          </cell>
          <cell r="Q2689">
            <v>0</v>
          </cell>
          <cell r="R2689">
            <v>0</v>
          </cell>
          <cell r="T2689">
            <v>0</v>
          </cell>
          <cell r="U2689">
            <v>0</v>
          </cell>
          <cell r="W2689">
            <v>10266.67</v>
          </cell>
          <cell r="X2689">
            <v>0</v>
          </cell>
          <cell r="Z2689">
            <v>10266.67</v>
          </cell>
          <cell r="AA2689">
            <v>0</v>
          </cell>
          <cell r="AC2689">
            <v>10266.670000000002</v>
          </cell>
          <cell r="AD2689">
            <v>0</v>
          </cell>
          <cell r="AF2689">
            <v>10266.669999999998</v>
          </cell>
          <cell r="AG2689">
            <v>0</v>
          </cell>
          <cell r="AI2689">
            <v>10266.669999999998</v>
          </cell>
          <cell r="AJ2689">
            <v>0</v>
          </cell>
          <cell r="AL2689">
            <v>10266.669999999998</v>
          </cell>
          <cell r="AM2689">
            <v>0</v>
          </cell>
          <cell r="AO2689">
            <v>10266.670000000006</v>
          </cell>
          <cell r="AP2689">
            <v>0</v>
          </cell>
          <cell r="AR2689">
            <v>10266.669999999998</v>
          </cell>
          <cell r="AS2689">
            <v>0</v>
          </cell>
          <cell r="BF2689" t="str">
            <v>4580</v>
          </cell>
          <cell r="BG2689" t="str">
            <v>Z000</v>
          </cell>
          <cell r="BH2689" t="str">
            <v>BUB</v>
          </cell>
        </row>
        <row r="2690">
          <cell r="K2690">
            <v>0</v>
          </cell>
          <cell r="L2690">
            <v>0</v>
          </cell>
          <cell r="N2690">
            <v>0</v>
          </cell>
          <cell r="O2690">
            <v>0</v>
          </cell>
          <cell r="Q2690">
            <v>0</v>
          </cell>
          <cell r="R2690">
            <v>0</v>
          </cell>
          <cell r="T2690">
            <v>0</v>
          </cell>
          <cell r="U2690">
            <v>0</v>
          </cell>
          <cell r="W2690">
            <v>0</v>
          </cell>
          <cell r="X2690">
            <v>0</v>
          </cell>
          <cell r="Z2690">
            <v>0</v>
          </cell>
          <cell r="AA2690">
            <v>0</v>
          </cell>
          <cell r="AC2690">
            <v>0</v>
          </cell>
          <cell r="AD2690">
            <v>0</v>
          </cell>
          <cell r="AF2690">
            <v>0</v>
          </cell>
          <cell r="AG2690">
            <v>0</v>
          </cell>
          <cell r="AI2690">
            <v>0</v>
          </cell>
          <cell r="AJ2690">
            <v>0</v>
          </cell>
          <cell r="AL2690">
            <v>0</v>
          </cell>
          <cell r="AM2690">
            <v>0</v>
          </cell>
          <cell r="AO2690">
            <v>0</v>
          </cell>
          <cell r="AP2690">
            <v>0</v>
          </cell>
          <cell r="AR2690">
            <v>0</v>
          </cell>
          <cell r="AS2690">
            <v>0</v>
          </cell>
          <cell r="BF2690" t="str">
            <v>4585</v>
          </cell>
          <cell r="BG2690" t="str">
            <v>D021</v>
          </cell>
          <cell r="BH2690" t="str">
            <v>BUB</v>
          </cell>
        </row>
        <row r="2691">
          <cell r="K2691">
            <v>0</v>
          </cell>
          <cell r="L2691">
            <v>0</v>
          </cell>
          <cell r="N2691">
            <v>0</v>
          </cell>
          <cell r="O2691">
            <v>0</v>
          </cell>
          <cell r="Q2691">
            <v>0</v>
          </cell>
          <cell r="R2691">
            <v>0</v>
          </cell>
          <cell r="T2691">
            <v>0</v>
          </cell>
          <cell r="U2691">
            <v>0</v>
          </cell>
          <cell r="W2691">
            <v>0</v>
          </cell>
          <cell r="X2691">
            <v>0</v>
          </cell>
          <cell r="Z2691">
            <v>0</v>
          </cell>
          <cell r="AA2691">
            <v>0</v>
          </cell>
          <cell r="AC2691">
            <v>0</v>
          </cell>
          <cell r="AD2691">
            <v>0</v>
          </cell>
          <cell r="AF2691">
            <v>0</v>
          </cell>
          <cell r="AG2691">
            <v>0</v>
          </cell>
          <cell r="AI2691">
            <v>0</v>
          </cell>
          <cell r="AJ2691">
            <v>0</v>
          </cell>
          <cell r="AL2691">
            <v>0</v>
          </cell>
          <cell r="AM2691">
            <v>0</v>
          </cell>
          <cell r="AO2691">
            <v>0</v>
          </cell>
          <cell r="AP2691">
            <v>0</v>
          </cell>
          <cell r="AR2691">
            <v>0</v>
          </cell>
          <cell r="AS2691">
            <v>0</v>
          </cell>
          <cell r="BF2691" t="str">
            <v>4585</v>
          </cell>
          <cell r="BG2691" t="str">
            <v>D022</v>
          </cell>
          <cell r="BH2691" t="str">
            <v>BUB</v>
          </cell>
        </row>
        <row r="2692">
          <cell r="K2692">
            <v>0</v>
          </cell>
          <cell r="L2692">
            <v>0</v>
          </cell>
          <cell r="N2692">
            <v>0</v>
          </cell>
          <cell r="O2692">
            <v>0</v>
          </cell>
          <cell r="Q2692">
            <v>0</v>
          </cell>
          <cell r="R2692">
            <v>0</v>
          </cell>
          <cell r="T2692">
            <v>0</v>
          </cell>
          <cell r="U2692">
            <v>0</v>
          </cell>
          <cell r="W2692">
            <v>0</v>
          </cell>
          <cell r="X2692">
            <v>0</v>
          </cell>
          <cell r="Z2692">
            <v>0</v>
          </cell>
          <cell r="AA2692">
            <v>0</v>
          </cell>
          <cell r="AC2692">
            <v>0</v>
          </cell>
          <cell r="AD2692">
            <v>0</v>
          </cell>
          <cell r="AF2692">
            <v>0</v>
          </cell>
          <cell r="AG2692">
            <v>0</v>
          </cell>
          <cell r="AI2692">
            <v>0</v>
          </cell>
          <cell r="AJ2692">
            <v>0</v>
          </cell>
          <cell r="AL2692">
            <v>0</v>
          </cell>
          <cell r="AM2692">
            <v>0</v>
          </cell>
          <cell r="AO2692">
            <v>0</v>
          </cell>
          <cell r="AP2692">
            <v>0</v>
          </cell>
          <cell r="AR2692">
            <v>0</v>
          </cell>
          <cell r="AS2692">
            <v>0</v>
          </cell>
          <cell r="BF2692" t="str">
            <v>4585</v>
          </cell>
          <cell r="BG2692" t="str">
            <v>D023</v>
          </cell>
          <cell r="BH2692" t="str">
            <v>BUB</v>
          </cell>
        </row>
        <row r="2693">
          <cell r="K2693">
            <v>0</v>
          </cell>
          <cell r="L2693">
            <v>0</v>
          </cell>
          <cell r="N2693">
            <v>0</v>
          </cell>
          <cell r="O2693">
            <v>0</v>
          </cell>
          <cell r="Q2693">
            <v>0</v>
          </cell>
          <cell r="R2693">
            <v>0</v>
          </cell>
          <cell r="T2693">
            <v>0</v>
          </cell>
          <cell r="U2693">
            <v>0</v>
          </cell>
          <cell r="W2693">
            <v>0</v>
          </cell>
          <cell r="X2693">
            <v>0</v>
          </cell>
          <cell r="Z2693">
            <v>0</v>
          </cell>
          <cell r="AA2693">
            <v>0</v>
          </cell>
          <cell r="AC2693">
            <v>0</v>
          </cell>
          <cell r="AD2693">
            <v>0</v>
          </cell>
          <cell r="AF2693">
            <v>0</v>
          </cell>
          <cell r="AG2693">
            <v>0</v>
          </cell>
          <cell r="AI2693">
            <v>0</v>
          </cell>
          <cell r="AJ2693">
            <v>0</v>
          </cell>
          <cell r="AL2693">
            <v>0</v>
          </cell>
          <cell r="AM2693">
            <v>0</v>
          </cell>
          <cell r="AO2693">
            <v>0</v>
          </cell>
          <cell r="AP2693">
            <v>0</v>
          </cell>
          <cell r="AR2693">
            <v>0</v>
          </cell>
          <cell r="AS2693">
            <v>0</v>
          </cell>
          <cell r="BF2693" t="str">
            <v>4585</v>
          </cell>
          <cell r="BG2693" t="str">
            <v>D024</v>
          </cell>
          <cell r="BH2693" t="str">
            <v>BUB</v>
          </cell>
        </row>
        <row r="2694">
          <cell r="K2694">
            <v>0</v>
          </cell>
          <cell r="L2694">
            <v>0</v>
          </cell>
          <cell r="N2694">
            <v>0</v>
          </cell>
          <cell r="O2694">
            <v>0</v>
          </cell>
          <cell r="Q2694">
            <v>0</v>
          </cell>
          <cell r="R2694">
            <v>0</v>
          </cell>
          <cell r="T2694">
            <v>300000</v>
          </cell>
          <cell r="U2694">
            <v>0</v>
          </cell>
          <cell r="W2694">
            <v>10897.559999999998</v>
          </cell>
          <cell r="X2694">
            <v>0</v>
          </cell>
          <cell r="Z2694">
            <v>0</v>
          </cell>
          <cell r="AA2694">
            <v>0</v>
          </cell>
          <cell r="AC2694">
            <v>0</v>
          </cell>
          <cell r="AD2694">
            <v>0</v>
          </cell>
          <cell r="AF2694">
            <v>100</v>
          </cell>
          <cell r="AG2694">
            <v>0</v>
          </cell>
          <cell r="AI2694">
            <v>0</v>
          </cell>
          <cell r="AJ2694">
            <v>0</v>
          </cell>
          <cell r="AL2694">
            <v>0</v>
          </cell>
          <cell r="AM2694">
            <v>0</v>
          </cell>
          <cell r="AO2694">
            <v>0</v>
          </cell>
          <cell r="AP2694">
            <v>0</v>
          </cell>
          <cell r="AR2694">
            <v>0</v>
          </cell>
          <cell r="AS2694">
            <v>0</v>
          </cell>
          <cell r="BF2694" t="str">
            <v>4590</v>
          </cell>
          <cell r="BG2694" t="str">
            <v>Z000</v>
          </cell>
          <cell r="BH2694" t="str">
            <v>BUB</v>
          </cell>
        </row>
        <row r="2695">
          <cell r="K2695">
            <v>0</v>
          </cell>
          <cell r="L2695">
            <v>0</v>
          </cell>
          <cell r="N2695">
            <v>0</v>
          </cell>
          <cell r="O2695">
            <v>0</v>
          </cell>
          <cell r="Q2695">
            <v>0</v>
          </cell>
          <cell r="R2695">
            <v>0</v>
          </cell>
          <cell r="T2695">
            <v>0</v>
          </cell>
          <cell r="U2695">
            <v>0</v>
          </cell>
          <cell r="W2695">
            <v>0</v>
          </cell>
          <cell r="X2695">
            <v>0</v>
          </cell>
          <cell r="Z2695">
            <v>0</v>
          </cell>
          <cell r="AA2695">
            <v>0</v>
          </cell>
          <cell r="AC2695">
            <v>0</v>
          </cell>
          <cell r="AD2695">
            <v>0</v>
          </cell>
          <cell r="AF2695">
            <v>0</v>
          </cell>
          <cell r="AG2695">
            <v>0</v>
          </cell>
          <cell r="AI2695">
            <v>0</v>
          </cell>
          <cell r="AJ2695">
            <v>0</v>
          </cell>
          <cell r="AL2695">
            <v>0</v>
          </cell>
          <cell r="AM2695">
            <v>0</v>
          </cell>
          <cell r="AO2695">
            <v>0</v>
          </cell>
          <cell r="AP2695">
            <v>0</v>
          </cell>
          <cell r="AR2695">
            <v>0</v>
          </cell>
          <cell r="AS2695">
            <v>0</v>
          </cell>
          <cell r="BF2695" t="str">
            <v>4600</v>
          </cell>
          <cell r="BG2695" t="str">
            <v>Z000</v>
          </cell>
          <cell r="BH2695" t="str">
            <v>BUB</v>
          </cell>
        </row>
        <row r="2696">
          <cell r="K2696">
            <v>0</v>
          </cell>
          <cell r="L2696">
            <v>0</v>
          </cell>
          <cell r="N2696">
            <v>0</v>
          </cell>
          <cell r="O2696">
            <v>0</v>
          </cell>
          <cell r="Q2696">
            <v>0</v>
          </cell>
          <cell r="R2696">
            <v>0</v>
          </cell>
          <cell r="T2696">
            <v>0</v>
          </cell>
          <cell r="U2696">
            <v>0</v>
          </cell>
          <cell r="W2696">
            <v>0</v>
          </cell>
          <cell r="X2696">
            <v>0</v>
          </cell>
          <cell r="Z2696">
            <v>0</v>
          </cell>
          <cell r="AA2696">
            <v>0</v>
          </cell>
          <cell r="AC2696">
            <v>0</v>
          </cell>
          <cell r="AD2696">
            <v>0</v>
          </cell>
          <cell r="AF2696">
            <v>0</v>
          </cell>
          <cell r="AG2696">
            <v>0</v>
          </cell>
          <cell r="AI2696">
            <v>0</v>
          </cell>
          <cell r="AJ2696">
            <v>0</v>
          </cell>
          <cell r="AL2696">
            <v>0</v>
          </cell>
          <cell r="AM2696">
            <v>0</v>
          </cell>
          <cell r="AO2696">
            <v>0</v>
          </cell>
          <cell r="AP2696">
            <v>0</v>
          </cell>
          <cell r="AR2696">
            <v>0</v>
          </cell>
          <cell r="AS2696">
            <v>0</v>
          </cell>
          <cell r="BF2696" t="str">
            <v>4620</v>
          </cell>
          <cell r="BG2696" t="str">
            <v>Z000</v>
          </cell>
          <cell r="BH2696" t="str">
            <v>BUB</v>
          </cell>
        </row>
        <row r="2697">
          <cell r="K2697">
            <v>0</v>
          </cell>
          <cell r="L2697">
            <v>0</v>
          </cell>
          <cell r="N2697">
            <v>0</v>
          </cell>
          <cell r="O2697">
            <v>0</v>
          </cell>
          <cell r="Q2697">
            <v>0</v>
          </cell>
          <cell r="R2697">
            <v>0</v>
          </cell>
          <cell r="T2697">
            <v>0</v>
          </cell>
          <cell r="U2697">
            <v>0</v>
          </cell>
          <cell r="W2697">
            <v>560</v>
          </cell>
          <cell r="X2697">
            <v>0</v>
          </cell>
          <cell r="Z2697">
            <v>0</v>
          </cell>
          <cell r="AA2697">
            <v>0</v>
          </cell>
          <cell r="AC2697">
            <v>0</v>
          </cell>
          <cell r="AD2697">
            <v>0</v>
          </cell>
          <cell r="AF2697">
            <v>0</v>
          </cell>
          <cell r="AG2697">
            <v>0</v>
          </cell>
          <cell r="AI2697">
            <v>0</v>
          </cell>
          <cell r="AJ2697">
            <v>0</v>
          </cell>
          <cell r="AL2697">
            <v>0</v>
          </cell>
          <cell r="AM2697">
            <v>0</v>
          </cell>
          <cell r="AO2697">
            <v>0</v>
          </cell>
          <cell r="AP2697">
            <v>0</v>
          </cell>
          <cell r="AR2697">
            <v>0</v>
          </cell>
          <cell r="AS2697">
            <v>0</v>
          </cell>
          <cell r="BF2697" t="str">
            <v>4630</v>
          </cell>
          <cell r="BG2697" t="str">
            <v>Z000</v>
          </cell>
          <cell r="BH2697" t="str">
            <v>BUB</v>
          </cell>
        </row>
        <row r="2698">
          <cell r="K2698">
            <v>0</v>
          </cell>
          <cell r="L2698">
            <v>0</v>
          </cell>
          <cell r="N2698">
            <v>0</v>
          </cell>
          <cell r="O2698">
            <v>0</v>
          </cell>
          <cell r="Q2698">
            <v>0</v>
          </cell>
          <cell r="R2698">
            <v>0</v>
          </cell>
          <cell r="T2698">
            <v>7380.24</v>
          </cell>
          <cell r="U2698">
            <v>0</v>
          </cell>
          <cell r="W2698">
            <v>2880</v>
          </cell>
          <cell r="X2698">
            <v>0</v>
          </cell>
          <cell r="Z2698">
            <v>587.75</v>
          </cell>
          <cell r="AA2698">
            <v>0</v>
          </cell>
          <cell r="AC2698">
            <v>1164.7999999999993</v>
          </cell>
          <cell r="AD2698">
            <v>0</v>
          </cell>
          <cell r="AF2698">
            <v>0</v>
          </cell>
          <cell r="AG2698">
            <v>0</v>
          </cell>
          <cell r="AI2698">
            <v>200</v>
          </cell>
          <cell r="AJ2698">
            <v>0</v>
          </cell>
          <cell r="AL2698">
            <v>220.82999999999993</v>
          </cell>
          <cell r="AM2698">
            <v>0</v>
          </cell>
          <cell r="AO2698">
            <v>641.53000000000065</v>
          </cell>
          <cell r="AP2698">
            <v>0</v>
          </cell>
          <cell r="AR2698">
            <v>345.5099999999984</v>
          </cell>
          <cell r="AS2698">
            <v>0</v>
          </cell>
          <cell r="BF2698" t="str">
            <v>4660</v>
          </cell>
          <cell r="BG2698" t="str">
            <v>Z000</v>
          </cell>
          <cell r="BH2698" t="str">
            <v>BUB</v>
          </cell>
        </row>
        <row r="2699">
          <cell r="K2699">
            <v>0</v>
          </cell>
          <cell r="L2699">
            <v>0</v>
          </cell>
          <cell r="N2699">
            <v>0</v>
          </cell>
          <cell r="O2699">
            <v>0</v>
          </cell>
          <cell r="Q2699">
            <v>0</v>
          </cell>
          <cell r="R2699">
            <v>0</v>
          </cell>
          <cell r="T2699">
            <v>0</v>
          </cell>
          <cell r="U2699">
            <v>0</v>
          </cell>
          <cell r="W2699">
            <v>0</v>
          </cell>
          <cell r="X2699">
            <v>0</v>
          </cell>
          <cell r="Z2699">
            <v>0</v>
          </cell>
          <cell r="AA2699">
            <v>0</v>
          </cell>
          <cell r="AC2699">
            <v>0</v>
          </cell>
          <cell r="AD2699">
            <v>0</v>
          </cell>
          <cell r="AF2699">
            <v>0</v>
          </cell>
          <cell r="AG2699">
            <v>0</v>
          </cell>
          <cell r="AI2699">
            <v>0</v>
          </cell>
          <cell r="AJ2699">
            <v>0</v>
          </cell>
          <cell r="AL2699">
            <v>0</v>
          </cell>
          <cell r="AM2699">
            <v>0</v>
          </cell>
          <cell r="AO2699">
            <v>0</v>
          </cell>
          <cell r="AP2699">
            <v>0</v>
          </cell>
          <cell r="AR2699">
            <v>0</v>
          </cell>
          <cell r="AS2699">
            <v>0</v>
          </cell>
          <cell r="BF2699" t="str">
            <v>4670</v>
          </cell>
          <cell r="BG2699" t="str">
            <v>Z000</v>
          </cell>
          <cell r="BH2699" t="str">
            <v>BUB</v>
          </cell>
        </row>
        <row r="2700">
          <cell r="K2700">
            <v>0</v>
          </cell>
          <cell r="L2700">
            <v>0</v>
          </cell>
          <cell r="N2700">
            <v>0</v>
          </cell>
          <cell r="O2700">
            <v>0</v>
          </cell>
          <cell r="Q2700">
            <v>0</v>
          </cell>
          <cell r="R2700">
            <v>0</v>
          </cell>
          <cell r="T2700">
            <v>0</v>
          </cell>
          <cell r="U2700">
            <v>0</v>
          </cell>
          <cell r="W2700">
            <v>915.90000000000009</v>
          </cell>
          <cell r="X2700">
            <v>0</v>
          </cell>
          <cell r="Z2700">
            <v>5995.7999999999993</v>
          </cell>
          <cell r="AA2700">
            <v>0</v>
          </cell>
          <cell r="AC2700">
            <v>-24.819999999999709</v>
          </cell>
          <cell r="AD2700">
            <v>0</v>
          </cell>
          <cell r="AF2700">
            <v>0</v>
          </cell>
          <cell r="AG2700">
            <v>0</v>
          </cell>
          <cell r="AI2700">
            <v>0</v>
          </cell>
          <cell r="AJ2700">
            <v>0</v>
          </cell>
          <cell r="AL2700">
            <v>0</v>
          </cell>
          <cell r="AM2700">
            <v>0</v>
          </cell>
          <cell r="AO2700">
            <v>0</v>
          </cell>
          <cell r="AP2700">
            <v>0</v>
          </cell>
          <cell r="AR2700">
            <v>0</v>
          </cell>
          <cell r="AS2700">
            <v>0</v>
          </cell>
          <cell r="BF2700" t="str">
            <v>4690</v>
          </cell>
          <cell r="BG2700" t="str">
            <v>Z000</v>
          </cell>
          <cell r="BH2700" t="str">
            <v>BUB</v>
          </cell>
        </row>
        <row r="2701">
          <cell r="K2701">
            <v>0</v>
          </cell>
          <cell r="L2701">
            <v>0</v>
          </cell>
          <cell r="N2701">
            <v>0</v>
          </cell>
          <cell r="O2701">
            <v>0</v>
          </cell>
          <cell r="Q2701">
            <v>0</v>
          </cell>
          <cell r="R2701">
            <v>0</v>
          </cell>
          <cell r="T2701">
            <v>0</v>
          </cell>
          <cell r="U2701">
            <v>0</v>
          </cell>
          <cell r="W2701">
            <v>0</v>
          </cell>
          <cell r="X2701">
            <v>0</v>
          </cell>
          <cell r="Z2701">
            <v>7605</v>
          </cell>
          <cell r="AA2701">
            <v>0</v>
          </cell>
          <cell r="AC2701">
            <v>13704.75</v>
          </cell>
          <cell r="AD2701">
            <v>0</v>
          </cell>
          <cell r="AF2701">
            <v>4893.25</v>
          </cell>
          <cell r="AG2701">
            <v>0</v>
          </cell>
          <cell r="AI2701">
            <v>6550.75</v>
          </cell>
          <cell r="AJ2701">
            <v>0</v>
          </cell>
          <cell r="AL2701">
            <v>7411.6299999999974</v>
          </cell>
          <cell r="AM2701">
            <v>0</v>
          </cell>
          <cell r="AO2701">
            <v>6274.07</v>
          </cell>
          <cell r="AP2701">
            <v>0</v>
          </cell>
          <cell r="AR2701">
            <v>6696.8000000000029</v>
          </cell>
          <cell r="AS2701">
            <v>0</v>
          </cell>
          <cell r="BF2701" t="str">
            <v>4700</v>
          </cell>
          <cell r="BG2701" t="str">
            <v>D031</v>
          </cell>
          <cell r="BH2701" t="str">
            <v>BUB</v>
          </cell>
        </row>
        <row r="2702">
          <cell r="K2702">
            <v>0</v>
          </cell>
          <cell r="L2702">
            <v>0</v>
          </cell>
          <cell r="N2702">
            <v>0</v>
          </cell>
          <cell r="O2702">
            <v>0</v>
          </cell>
          <cell r="Q2702">
            <v>0</v>
          </cell>
          <cell r="R2702">
            <v>0</v>
          </cell>
          <cell r="T2702">
            <v>0</v>
          </cell>
          <cell r="U2702">
            <v>0</v>
          </cell>
          <cell r="W2702">
            <v>0</v>
          </cell>
          <cell r="X2702">
            <v>0</v>
          </cell>
          <cell r="Z2702">
            <v>0</v>
          </cell>
          <cell r="AA2702">
            <v>0</v>
          </cell>
          <cell r="AC2702">
            <v>0</v>
          </cell>
          <cell r="AD2702">
            <v>0</v>
          </cell>
          <cell r="AF2702">
            <v>0</v>
          </cell>
          <cell r="AG2702">
            <v>0</v>
          </cell>
          <cell r="AI2702">
            <v>0</v>
          </cell>
          <cell r="AJ2702">
            <v>0</v>
          </cell>
          <cell r="AL2702">
            <v>0</v>
          </cell>
          <cell r="AM2702">
            <v>0</v>
          </cell>
          <cell r="AO2702">
            <v>0</v>
          </cell>
          <cell r="AP2702">
            <v>0</v>
          </cell>
          <cell r="AR2702">
            <v>0</v>
          </cell>
          <cell r="AS2702">
            <v>0</v>
          </cell>
          <cell r="BF2702" t="str">
            <v>4700</v>
          </cell>
          <cell r="BG2702" t="str">
            <v>D032</v>
          </cell>
          <cell r="BH2702" t="str">
            <v>BUB</v>
          </cell>
        </row>
        <row r="2703">
          <cell r="K2703">
            <v>0</v>
          </cell>
          <cell r="L2703">
            <v>0</v>
          </cell>
          <cell r="N2703">
            <v>0</v>
          </cell>
          <cell r="O2703">
            <v>0</v>
          </cell>
          <cell r="Q2703">
            <v>0</v>
          </cell>
          <cell r="R2703">
            <v>0</v>
          </cell>
          <cell r="T2703">
            <v>0</v>
          </cell>
          <cell r="U2703">
            <v>0</v>
          </cell>
          <cell r="W2703">
            <v>16578.71</v>
          </cell>
          <cell r="X2703">
            <v>0</v>
          </cell>
          <cell r="Z2703">
            <v>13000.039999999997</v>
          </cell>
          <cell r="AA2703">
            <v>0</v>
          </cell>
          <cell r="AC2703">
            <v>13388.130000000001</v>
          </cell>
          <cell r="AD2703">
            <v>0</v>
          </cell>
          <cell r="AF2703">
            <v>15104.279999999999</v>
          </cell>
          <cell r="AG2703">
            <v>0</v>
          </cell>
          <cell r="AI2703">
            <v>16407.109999999993</v>
          </cell>
          <cell r="AJ2703">
            <v>0</v>
          </cell>
          <cell r="AL2703">
            <v>7904.9900000000052</v>
          </cell>
          <cell r="AM2703">
            <v>0</v>
          </cell>
          <cell r="AO2703">
            <v>4558.8100000000122</v>
          </cell>
          <cell r="AP2703">
            <v>0</v>
          </cell>
          <cell r="AR2703">
            <v>10710.380000000005</v>
          </cell>
          <cell r="AS2703">
            <v>0</v>
          </cell>
          <cell r="BF2703" t="str">
            <v>4740</v>
          </cell>
          <cell r="BG2703" t="str">
            <v>D041</v>
          </cell>
          <cell r="BH2703" t="str">
            <v>BUB</v>
          </cell>
        </row>
        <row r="2704">
          <cell r="K2704">
            <v>0</v>
          </cell>
          <cell r="L2704">
            <v>0</v>
          </cell>
          <cell r="N2704">
            <v>0</v>
          </cell>
          <cell r="O2704">
            <v>0</v>
          </cell>
          <cell r="Q2704">
            <v>0</v>
          </cell>
          <cell r="R2704">
            <v>0</v>
          </cell>
          <cell r="T2704">
            <v>0</v>
          </cell>
          <cell r="U2704">
            <v>0</v>
          </cell>
          <cell r="W2704">
            <v>1590.64</v>
          </cell>
          <cell r="X2704">
            <v>0</v>
          </cell>
          <cell r="Z2704">
            <v>1355.32</v>
          </cell>
          <cell r="AA2704">
            <v>0</v>
          </cell>
          <cell r="AC2704">
            <v>3658.55</v>
          </cell>
          <cell r="AD2704">
            <v>0</v>
          </cell>
          <cell r="AF2704">
            <v>687.18000000000029</v>
          </cell>
          <cell r="AG2704">
            <v>0</v>
          </cell>
          <cell r="AI2704">
            <v>52.309999999999491</v>
          </cell>
          <cell r="AJ2704">
            <v>0</v>
          </cell>
          <cell r="AL2704">
            <v>737.71999999999935</v>
          </cell>
          <cell r="AM2704">
            <v>0</v>
          </cell>
          <cell r="AO2704">
            <v>1135.4500000000007</v>
          </cell>
          <cell r="AP2704">
            <v>0</v>
          </cell>
          <cell r="AR2704">
            <v>2173.3899999999994</v>
          </cell>
          <cell r="AS2704">
            <v>0</v>
          </cell>
          <cell r="BF2704" t="str">
            <v>4740</v>
          </cell>
          <cell r="BG2704" t="str">
            <v>D042</v>
          </cell>
          <cell r="BH2704" t="str">
            <v>BUB</v>
          </cell>
        </row>
        <row r="2705">
          <cell r="K2705">
            <v>0</v>
          </cell>
          <cell r="L2705">
            <v>0</v>
          </cell>
          <cell r="N2705">
            <v>0</v>
          </cell>
          <cell r="O2705">
            <v>0</v>
          </cell>
          <cell r="Q2705">
            <v>0</v>
          </cell>
          <cell r="R2705">
            <v>0</v>
          </cell>
          <cell r="T2705">
            <v>0</v>
          </cell>
          <cell r="U2705">
            <v>0</v>
          </cell>
          <cell r="W2705">
            <v>0</v>
          </cell>
          <cell r="X2705">
            <v>0</v>
          </cell>
          <cell r="Z2705">
            <v>0</v>
          </cell>
          <cell r="AA2705">
            <v>0</v>
          </cell>
          <cell r="AC2705">
            <v>0</v>
          </cell>
          <cell r="AD2705">
            <v>0</v>
          </cell>
          <cell r="AF2705">
            <v>0</v>
          </cell>
          <cell r="AG2705">
            <v>0</v>
          </cell>
          <cell r="AI2705">
            <v>0</v>
          </cell>
          <cell r="AJ2705">
            <v>0</v>
          </cell>
          <cell r="AL2705">
            <v>0</v>
          </cell>
          <cell r="AM2705">
            <v>0</v>
          </cell>
          <cell r="AO2705">
            <v>0</v>
          </cell>
          <cell r="AP2705">
            <v>0</v>
          </cell>
          <cell r="AR2705">
            <v>0</v>
          </cell>
          <cell r="AS2705">
            <v>0</v>
          </cell>
          <cell r="BF2705" t="str">
            <v>4740</v>
          </cell>
          <cell r="BG2705" t="str">
            <v>D043</v>
          </cell>
          <cell r="BH2705" t="str">
            <v>BUB</v>
          </cell>
        </row>
        <row r="2706">
          <cell r="K2706">
            <v>0</v>
          </cell>
          <cell r="L2706">
            <v>0</v>
          </cell>
          <cell r="N2706">
            <v>0</v>
          </cell>
          <cell r="O2706">
            <v>0</v>
          </cell>
          <cell r="Q2706">
            <v>0</v>
          </cell>
          <cell r="R2706">
            <v>0</v>
          </cell>
          <cell r="T2706">
            <v>0</v>
          </cell>
          <cell r="U2706">
            <v>0</v>
          </cell>
          <cell r="W2706">
            <v>796.72</v>
          </cell>
          <cell r="X2706">
            <v>0</v>
          </cell>
          <cell r="Z2706">
            <v>7395.9099999999989</v>
          </cell>
          <cell r="AA2706">
            <v>0</v>
          </cell>
          <cell r="AC2706">
            <v>1115.6800000000003</v>
          </cell>
          <cell r="AD2706">
            <v>0</v>
          </cell>
          <cell r="AF2706">
            <v>1253.75</v>
          </cell>
          <cell r="AG2706">
            <v>0</v>
          </cell>
          <cell r="AI2706">
            <v>1359.08</v>
          </cell>
          <cell r="AJ2706">
            <v>0</v>
          </cell>
          <cell r="AL2706">
            <v>476.45000000000073</v>
          </cell>
          <cell r="AM2706">
            <v>0</v>
          </cell>
          <cell r="AO2706">
            <v>172.28000000000065</v>
          </cell>
          <cell r="AP2706">
            <v>0</v>
          </cell>
          <cell r="AR2706">
            <v>707.53999999999905</v>
          </cell>
          <cell r="AS2706">
            <v>0</v>
          </cell>
          <cell r="BF2706" t="str">
            <v>4740</v>
          </cell>
          <cell r="BG2706" t="str">
            <v>D044</v>
          </cell>
          <cell r="BH2706" t="str">
            <v>BUB</v>
          </cell>
        </row>
        <row r="2707">
          <cell r="K2707">
            <v>0</v>
          </cell>
          <cell r="L2707">
            <v>0</v>
          </cell>
          <cell r="N2707">
            <v>0</v>
          </cell>
          <cell r="O2707">
            <v>0</v>
          </cell>
          <cell r="Q2707">
            <v>0</v>
          </cell>
          <cell r="R2707">
            <v>0</v>
          </cell>
          <cell r="T2707">
            <v>0</v>
          </cell>
          <cell r="U2707">
            <v>0</v>
          </cell>
          <cell r="W2707">
            <v>0</v>
          </cell>
          <cell r="X2707">
            <v>0</v>
          </cell>
          <cell r="Z2707">
            <v>0</v>
          </cell>
          <cell r="AA2707">
            <v>0</v>
          </cell>
          <cell r="AC2707">
            <v>0</v>
          </cell>
          <cell r="AD2707">
            <v>0</v>
          </cell>
          <cell r="AF2707">
            <v>0</v>
          </cell>
          <cell r="AG2707">
            <v>0</v>
          </cell>
          <cell r="AI2707">
            <v>0</v>
          </cell>
          <cell r="AJ2707">
            <v>0</v>
          </cell>
          <cell r="AL2707">
            <v>0</v>
          </cell>
          <cell r="AM2707">
            <v>0</v>
          </cell>
          <cell r="AO2707">
            <v>0</v>
          </cell>
          <cell r="AP2707">
            <v>0</v>
          </cell>
          <cell r="AR2707">
            <v>0</v>
          </cell>
          <cell r="AS2707">
            <v>0</v>
          </cell>
          <cell r="BF2707" t="str">
            <v>4740</v>
          </cell>
          <cell r="BG2707" t="str">
            <v>D045</v>
          </cell>
          <cell r="BH2707" t="str">
            <v>BUB</v>
          </cell>
        </row>
        <row r="2708">
          <cell r="K2708">
            <v>0</v>
          </cell>
          <cell r="L2708">
            <v>0</v>
          </cell>
          <cell r="N2708">
            <v>0</v>
          </cell>
          <cell r="O2708">
            <v>0</v>
          </cell>
          <cell r="Q2708">
            <v>0</v>
          </cell>
          <cell r="R2708">
            <v>0</v>
          </cell>
          <cell r="T2708">
            <v>0</v>
          </cell>
          <cell r="U2708">
            <v>0</v>
          </cell>
          <cell r="W2708">
            <v>0</v>
          </cell>
          <cell r="X2708">
            <v>0</v>
          </cell>
          <cell r="Z2708">
            <v>0</v>
          </cell>
          <cell r="AA2708">
            <v>0</v>
          </cell>
          <cell r="AC2708">
            <v>0</v>
          </cell>
          <cell r="AD2708">
            <v>0</v>
          </cell>
          <cell r="AF2708">
            <v>0</v>
          </cell>
          <cell r="AG2708">
            <v>0</v>
          </cell>
          <cell r="AI2708">
            <v>0</v>
          </cell>
          <cell r="AJ2708">
            <v>0</v>
          </cell>
          <cell r="AL2708">
            <v>0</v>
          </cell>
          <cell r="AM2708">
            <v>0</v>
          </cell>
          <cell r="AO2708">
            <v>0</v>
          </cell>
          <cell r="AP2708">
            <v>0</v>
          </cell>
          <cell r="AR2708">
            <v>0</v>
          </cell>
          <cell r="AS2708">
            <v>0</v>
          </cell>
          <cell r="BF2708" t="str">
            <v>4760</v>
          </cell>
          <cell r="BG2708" t="str">
            <v>Z000</v>
          </cell>
          <cell r="BH2708" t="str">
            <v>BUB</v>
          </cell>
        </row>
        <row r="2709">
          <cell r="K2709">
            <v>0</v>
          </cell>
          <cell r="L2709">
            <v>0</v>
          </cell>
          <cell r="N2709">
            <v>0</v>
          </cell>
          <cell r="O2709">
            <v>0</v>
          </cell>
          <cell r="Q2709">
            <v>0</v>
          </cell>
          <cell r="R2709">
            <v>0</v>
          </cell>
          <cell r="T2709">
            <v>0</v>
          </cell>
          <cell r="U2709">
            <v>0</v>
          </cell>
          <cell r="W2709">
            <v>0</v>
          </cell>
          <cell r="X2709">
            <v>0</v>
          </cell>
          <cell r="Z2709">
            <v>0</v>
          </cell>
          <cell r="AA2709">
            <v>0</v>
          </cell>
          <cell r="AC2709">
            <v>0</v>
          </cell>
          <cell r="AD2709">
            <v>0</v>
          </cell>
          <cell r="AF2709">
            <v>0</v>
          </cell>
          <cell r="AG2709">
            <v>0</v>
          </cell>
          <cell r="AI2709">
            <v>0</v>
          </cell>
          <cell r="AJ2709">
            <v>0</v>
          </cell>
          <cell r="AL2709">
            <v>0</v>
          </cell>
          <cell r="AM2709">
            <v>0</v>
          </cell>
          <cell r="AO2709">
            <v>0</v>
          </cell>
          <cell r="AP2709">
            <v>0</v>
          </cell>
          <cell r="AR2709">
            <v>0</v>
          </cell>
          <cell r="AS2709">
            <v>0</v>
          </cell>
          <cell r="BF2709" t="str">
            <v>4800</v>
          </cell>
          <cell r="BG2709" t="str">
            <v>D101</v>
          </cell>
          <cell r="BH2709" t="str">
            <v>BUB</v>
          </cell>
        </row>
        <row r="2710">
          <cell r="K2710">
            <v>0</v>
          </cell>
          <cell r="L2710">
            <v>0</v>
          </cell>
          <cell r="N2710">
            <v>0</v>
          </cell>
          <cell r="O2710">
            <v>0</v>
          </cell>
          <cell r="Q2710">
            <v>0</v>
          </cell>
          <cell r="R2710">
            <v>0</v>
          </cell>
          <cell r="T2710">
            <v>0</v>
          </cell>
          <cell r="U2710">
            <v>0</v>
          </cell>
          <cell r="W2710">
            <v>1927.92</v>
          </cell>
          <cell r="X2710">
            <v>0</v>
          </cell>
          <cell r="Z2710">
            <v>819.90000000000009</v>
          </cell>
          <cell r="AA2710">
            <v>0</v>
          </cell>
          <cell r="AC2710">
            <v>200</v>
          </cell>
          <cell r="AD2710">
            <v>0</v>
          </cell>
          <cell r="AF2710">
            <v>494.94999999999982</v>
          </cell>
          <cell r="AG2710">
            <v>0</v>
          </cell>
          <cell r="AI2710">
            <v>300</v>
          </cell>
          <cell r="AJ2710">
            <v>0</v>
          </cell>
          <cell r="AL2710">
            <v>300</v>
          </cell>
          <cell r="AM2710">
            <v>0</v>
          </cell>
          <cell r="AO2710">
            <v>500.00000000000045</v>
          </cell>
          <cell r="AP2710">
            <v>0</v>
          </cell>
          <cell r="AR2710">
            <v>300</v>
          </cell>
          <cell r="AS2710">
            <v>0</v>
          </cell>
          <cell r="BF2710" t="str">
            <v>4800</v>
          </cell>
          <cell r="BG2710" t="str">
            <v>D102</v>
          </cell>
          <cell r="BH2710" t="str">
            <v>BUB</v>
          </cell>
        </row>
        <row r="2711">
          <cell r="K2711">
            <v>0</v>
          </cell>
          <cell r="L2711">
            <v>0</v>
          </cell>
          <cell r="N2711">
            <v>0</v>
          </cell>
          <cell r="O2711">
            <v>0</v>
          </cell>
          <cell r="Q2711">
            <v>0</v>
          </cell>
          <cell r="R2711">
            <v>0</v>
          </cell>
          <cell r="T2711">
            <v>0</v>
          </cell>
          <cell r="U2711">
            <v>0</v>
          </cell>
          <cell r="W2711">
            <v>0</v>
          </cell>
          <cell r="X2711">
            <v>0</v>
          </cell>
          <cell r="Z2711">
            <v>1614.8000000000002</v>
          </cell>
          <cell r="AA2711">
            <v>0</v>
          </cell>
          <cell r="AC2711">
            <v>0</v>
          </cell>
          <cell r="AD2711">
            <v>0</v>
          </cell>
          <cell r="AF2711">
            <v>0</v>
          </cell>
          <cell r="AG2711">
            <v>0</v>
          </cell>
          <cell r="AI2711">
            <v>0</v>
          </cell>
          <cell r="AJ2711">
            <v>0</v>
          </cell>
          <cell r="AL2711">
            <v>0</v>
          </cell>
          <cell r="AM2711">
            <v>0</v>
          </cell>
          <cell r="AO2711">
            <v>0</v>
          </cell>
          <cell r="AP2711">
            <v>0</v>
          </cell>
          <cell r="AR2711">
            <v>0</v>
          </cell>
          <cell r="AS2711">
            <v>0</v>
          </cell>
          <cell r="BF2711" t="str">
            <v>4800</v>
          </cell>
          <cell r="BG2711" t="str">
            <v>D103</v>
          </cell>
          <cell r="BH2711" t="str">
            <v>BUB</v>
          </cell>
        </row>
        <row r="2712">
          <cell r="K2712">
            <v>0</v>
          </cell>
          <cell r="L2712">
            <v>0</v>
          </cell>
          <cell r="N2712">
            <v>0</v>
          </cell>
          <cell r="O2712">
            <v>0</v>
          </cell>
          <cell r="Q2712">
            <v>0</v>
          </cell>
          <cell r="R2712">
            <v>0</v>
          </cell>
          <cell r="T2712">
            <v>0</v>
          </cell>
          <cell r="U2712">
            <v>0</v>
          </cell>
          <cell r="W2712">
            <v>0</v>
          </cell>
          <cell r="X2712">
            <v>0</v>
          </cell>
          <cell r="Z2712">
            <v>0</v>
          </cell>
          <cell r="AA2712">
            <v>0</v>
          </cell>
          <cell r="AC2712">
            <v>0</v>
          </cell>
          <cell r="AD2712">
            <v>0</v>
          </cell>
          <cell r="AF2712">
            <v>0</v>
          </cell>
          <cell r="AG2712">
            <v>0</v>
          </cell>
          <cell r="AI2712">
            <v>0</v>
          </cell>
          <cell r="AJ2712">
            <v>0</v>
          </cell>
          <cell r="AL2712">
            <v>0</v>
          </cell>
          <cell r="AM2712">
            <v>0</v>
          </cell>
          <cell r="AO2712">
            <v>0</v>
          </cell>
          <cell r="AP2712">
            <v>0</v>
          </cell>
          <cell r="AR2712">
            <v>0</v>
          </cell>
          <cell r="AS2712">
            <v>0</v>
          </cell>
          <cell r="BF2712" t="str">
            <v>4820</v>
          </cell>
          <cell r="BG2712" t="str">
            <v>Z000</v>
          </cell>
          <cell r="BH2712" t="str">
            <v>BUB</v>
          </cell>
        </row>
        <row r="2713">
          <cell r="K2713">
            <v>0</v>
          </cell>
          <cell r="L2713">
            <v>0</v>
          </cell>
          <cell r="N2713">
            <v>0</v>
          </cell>
          <cell r="O2713">
            <v>0</v>
          </cell>
          <cell r="Q2713">
            <v>0</v>
          </cell>
          <cell r="R2713">
            <v>0</v>
          </cell>
          <cell r="T2713">
            <v>0</v>
          </cell>
          <cell r="U2713">
            <v>0</v>
          </cell>
          <cell r="W2713">
            <v>1520</v>
          </cell>
          <cell r="X2713">
            <v>0</v>
          </cell>
          <cell r="Z2713">
            <v>4809.75</v>
          </cell>
          <cell r="AA2713">
            <v>0</v>
          </cell>
          <cell r="AC2713">
            <v>0</v>
          </cell>
          <cell r="AD2713">
            <v>0</v>
          </cell>
          <cell r="AF2713">
            <v>0</v>
          </cell>
          <cell r="AG2713">
            <v>0</v>
          </cell>
          <cell r="AI2713">
            <v>0</v>
          </cell>
          <cell r="AJ2713">
            <v>0</v>
          </cell>
          <cell r="AL2713">
            <v>0</v>
          </cell>
          <cell r="AM2713">
            <v>0</v>
          </cell>
          <cell r="AO2713">
            <v>0</v>
          </cell>
          <cell r="AP2713">
            <v>0</v>
          </cell>
          <cell r="AR2713">
            <v>0</v>
          </cell>
          <cell r="AS2713">
            <v>0</v>
          </cell>
          <cell r="BF2713" t="str">
            <v>4830</v>
          </cell>
          <cell r="BG2713" t="str">
            <v>D111</v>
          </cell>
          <cell r="BH2713" t="str">
            <v>BUB</v>
          </cell>
        </row>
        <row r="2714">
          <cell r="K2714">
            <v>0</v>
          </cell>
          <cell r="L2714">
            <v>0</v>
          </cell>
          <cell r="N2714">
            <v>0</v>
          </cell>
          <cell r="O2714">
            <v>0</v>
          </cell>
          <cell r="Q2714">
            <v>0</v>
          </cell>
          <cell r="R2714">
            <v>0</v>
          </cell>
          <cell r="T2714">
            <v>0</v>
          </cell>
          <cell r="U2714">
            <v>0</v>
          </cell>
          <cell r="W2714">
            <v>0</v>
          </cell>
          <cell r="X2714">
            <v>0</v>
          </cell>
          <cell r="Z2714">
            <v>0</v>
          </cell>
          <cell r="AA2714">
            <v>0</v>
          </cell>
          <cell r="AC2714">
            <v>0</v>
          </cell>
          <cell r="AD2714">
            <v>0</v>
          </cell>
          <cell r="AF2714">
            <v>0</v>
          </cell>
          <cell r="AG2714">
            <v>0</v>
          </cell>
          <cell r="AI2714">
            <v>0</v>
          </cell>
          <cell r="AJ2714">
            <v>0</v>
          </cell>
          <cell r="AL2714">
            <v>0</v>
          </cell>
          <cell r="AM2714">
            <v>0</v>
          </cell>
          <cell r="AO2714">
            <v>0</v>
          </cell>
          <cell r="AP2714">
            <v>0</v>
          </cell>
          <cell r="AR2714">
            <v>0</v>
          </cell>
          <cell r="AS2714">
            <v>0</v>
          </cell>
          <cell r="BF2714" t="str">
            <v>4830</v>
          </cell>
          <cell r="BG2714" t="str">
            <v>D112</v>
          </cell>
          <cell r="BH2714" t="str">
            <v>BUB</v>
          </cell>
        </row>
        <row r="2715">
          <cell r="K2715">
            <v>0</v>
          </cell>
          <cell r="L2715">
            <v>0</v>
          </cell>
          <cell r="N2715">
            <v>0</v>
          </cell>
          <cell r="O2715">
            <v>0</v>
          </cell>
          <cell r="Q2715">
            <v>0</v>
          </cell>
          <cell r="R2715">
            <v>0</v>
          </cell>
          <cell r="T2715">
            <v>0</v>
          </cell>
          <cell r="U2715">
            <v>0</v>
          </cell>
          <cell r="W2715">
            <v>0</v>
          </cell>
          <cell r="X2715">
            <v>0</v>
          </cell>
          <cell r="Z2715">
            <v>0</v>
          </cell>
          <cell r="AA2715">
            <v>0</v>
          </cell>
          <cell r="AC2715">
            <v>0</v>
          </cell>
          <cell r="AD2715">
            <v>0</v>
          </cell>
          <cell r="AF2715">
            <v>0</v>
          </cell>
          <cell r="AG2715">
            <v>0</v>
          </cell>
          <cell r="AI2715">
            <v>0</v>
          </cell>
          <cell r="AJ2715">
            <v>0</v>
          </cell>
          <cell r="AL2715">
            <v>0</v>
          </cell>
          <cell r="AM2715">
            <v>0</v>
          </cell>
          <cell r="AO2715">
            <v>0</v>
          </cell>
          <cell r="AP2715">
            <v>0</v>
          </cell>
          <cell r="AR2715">
            <v>0</v>
          </cell>
          <cell r="AS2715">
            <v>0</v>
          </cell>
          <cell r="BF2715" t="str">
            <v>4840</v>
          </cell>
          <cell r="BG2715" t="str">
            <v>Z000</v>
          </cell>
          <cell r="BH2715" t="str">
            <v>BUB</v>
          </cell>
        </row>
        <row r="2716">
          <cell r="K2716">
            <v>0</v>
          </cell>
          <cell r="L2716">
            <v>0</v>
          </cell>
          <cell r="N2716">
            <v>0</v>
          </cell>
          <cell r="O2716">
            <v>0</v>
          </cell>
          <cell r="Q2716">
            <v>0</v>
          </cell>
          <cell r="R2716">
            <v>0</v>
          </cell>
          <cell r="T2716">
            <v>0</v>
          </cell>
          <cell r="U2716">
            <v>0</v>
          </cell>
          <cell r="W2716">
            <v>0</v>
          </cell>
          <cell r="X2716">
            <v>0</v>
          </cell>
          <cell r="Z2716">
            <v>0</v>
          </cell>
          <cell r="AA2716">
            <v>0</v>
          </cell>
          <cell r="AC2716">
            <v>0</v>
          </cell>
          <cell r="AD2716">
            <v>0</v>
          </cell>
          <cell r="AF2716">
            <v>0</v>
          </cell>
          <cell r="AG2716">
            <v>0</v>
          </cell>
          <cell r="AI2716">
            <v>0</v>
          </cell>
          <cell r="AJ2716">
            <v>0</v>
          </cell>
          <cell r="AL2716">
            <v>0</v>
          </cell>
          <cell r="AM2716">
            <v>0</v>
          </cell>
          <cell r="AO2716">
            <v>0</v>
          </cell>
          <cell r="AP2716">
            <v>0</v>
          </cell>
          <cell r="AR2716">
            <v>0</v>
          </cell>
          <cell r="AS2716">
            <v>0</v>
          </cell>
          <cell r="BF2716" t="str">
            <v>4870</v>
          </cell>
          <cell r="BG2716" t="str">
            <v>Z000</v>
          </cell>
          <cell r="BH2716" t="str">
            <v>BUB</v>
          </cell>
        </row>
        <row r="2717">
          <cell r="K2717">
            <v>0</v>
          </cell>
          <cell r="L2717">
            <v>0</v>
          </cell>
          <cell r="N2717">
            <v>0</v>
          </cell>
          <cell r="O2717">
            <v>0</v>
          </cell>
          <cell r="Q2717">
            <v>0</v>
          </cell>
          <cell r="R2717">
            <v>0</v>
          </cell>
          <cell r="T2717">
            <v>0</v>
          </cell>
          <cell r="U2717">
            <v>0</v>
          </cell>
          <cell r="W2717">
            <v>0</v>
          </cell>
          <cell r="X2717">
            <v>0</v>
          </cell>
          <cell r="Z2717">
            <v>0</v>
          </cell>
          <cell r="AA2717">
            <v>0</v>
          </cell>
          <cell r="AC2717">
            <v>0</v>
          </cell>
          <cell r="AD2717">
            <v>0</v>
          </cell>
          <cell r="AF2717">
            <v>0</v>
          </cell>
          <cell r="AG2717">
            <v>0</v>
          </cell>
          <cell r="AI2717">
            <v>0</v>
          </cell>
          <cell r="AJ2717">
            <v>0</v>
          </cell>
          <cell r="AL2717">
            <v>0</v>
          </cell>
          <cell r="AM2717">
            <v>0</v>
          </cell>
          <cell r="AO2717">
            <v>0</v>
          </cell>
          <cell r="AP2717">
            <v>0</v>
          </cell>
          <cell r="AR2717">
            <v>0</v>
          </cell>
          <cell r="AS2717">
            <v>0</v>
          </cell>
          <cell r="BF2717" t="str">
            <v>4880</v>
          </cell>
          <cell r="BG2717" t="str">
            <v>Z000</v>
          </cell>
          <cell r="BH2717" t="str">
            <v>BUB</v>
          </cell>
        </row>
        <row r="2718">
          <cell r="K2718">
            <v>0</v>
          </cell>
          <cell r="L2718">
            <v>0</v>
          </cell>
          <cell r="N2718">
            <v>0</v>
          </cell>
          <cell r="O2718">
            <v>0</v>
          </cell>
          <cell r="Q2718">
            <v>0</v>
          </cell>
          <cell r="R2718">
            <v>0</v>
          </cell>
          <cell r="T2718">
            <v>0</v>
          </cell>
          <cell r="U2718">
            <v>0</v>
          </cell>
          <cell r="W2718">
            <v>0</v>
          </cell>
          <cell r="X2718">
            <v>0</v>
          </cell>
          <cell r="Z2718">
            <v>0</v>
          </cell>
          <cell r="AA2718">
            <v>0</v>
          </cell>
          <cell r="AC2718">
            <v>0</v>
          </cell>
          <cell r="AD2718">
            <v>0</v>
          </cell>
          <cell r="AF2718">
            <v>0</v>
          </cell>
          <cell r="AG2718">
            <v>0</v>
          </cell>
          <cell r="AI2718">
            <v>0</v>
          </cell>
          <cell r="AJ2718">
            <v>0</v>
          </cell>
          <cell r="AL2718">
            <v>0</v>
          </cell>
          <cell r="AM2718">
            <v>0</v>
          </cell>
          <cell r="AO2718">
            <v>0</v>
          </cell>
          <cell r="AP2718">
            <v>0</v>
          </cell>
          <cell r="AR2718">
            <v>0</v>
          </cell>
          <cell r="AS2718">
            <v>0</v>
          </cell>
          <cell r="BF2718" t="str">
            <v>4890</v>
          </cell>
          <cell r="BG2718" t="str">
            <v>Z000</v>
          </cell>
          <cell r="BH2718" t="str">
            <v>BUB</v>
          </cell>
        </row>
        <row r="2719">
          <cell r="K2719">
            <v>0</v>
          </cell>
          <cell r="L2719">
            <v>0</v>
          </cell>
          <cell r="N2719">
            <v>0</v>
          </cell>
          <cell r="O2719">
            <v>0</v>
          </cell>
          <cell r="Q2719">
            <v>0</v>
          </cell>
          <cell r="R2719">
            <v>0</v>
          </cell>
          <cell r="T2719">
            <v>0</v>
          </cell>
          <cell r="U2719">
            <v>0</v>
          </cell>
          <cell r="W2719">
            <v>0</v>
          </cell>
          <cell r="X2719">
            <v>0</v>
          </cell>
          <cell r="Z2719">
            <v>0</v>
          </cell>
          <cell r="AA2719">
            <v>0</v>
          </cell>
          <cell r="AC2719">
            <v>0</v>
          </cell>
          <cell r="AD2719">
            <v>0</v>
          </cell>
          <cell r="AF2719">
            <v>0</v>
          </cell>
          <cell r="AG2719">
            <v>0</v>
          </cell>
          <cell r="AI2719">
            <v>0</v>
          </cell>
          <cell r="AJ2719">
            <v>0</v>
          </cell>
          <cell r="AL2719">
            <v>0</v>
          </cell>
          <cell r="AM2719">
            <v>0</v>
          </cell>
          <cell r="AO2719">
            <v>0</v>
          </cell>
          <cell r="AP2719">
            <v>0</v>
          </cell>
          <cell r="AR2719">
            <v>0</v>
          </cell>
          <cell r="AS2719">
            <v>0</v>
          </cell>
          <cell r="BF2719" t="str">
            <v>4900</v>
          </cell>
          <cell r="BG2719" t="str">
            <v>Z000</v>
          </cell>
          <cell r="BH2719" t="str">
            <v>BUB</v>
          </cell>
        </row>
        <row r="2720">
          <cell r="K2720">
            <v>0</v>
          </cell>
          <cell r="L2720">
            <v>0</v>
          </cell>
          <cell r="N2720">
            <v>0</v>
          </cell>
          <cell r="O2720">
            <v>0</v>
          </cell>
          <cell r="Q2720">
            <v>0</v>
          </cell>
          <cell r="R2720">
            <v>0</v>
          </cell>
          <cell r="T2720">
            <v>0</v>
          </cell>
          <cell r="U2720">
            <v>0</v>
          </cell>
          <cell r="W2720">
            <v>0</v>
          </cell>
          <cell r="X2720">
            <v>0</v>
          </cell>
          <cell r="Z2720">
            <v>0</v>
          </cell>
          <cell r="AA2720">
            <v>0</v>
          </cell>
          <cell r="AC2720">
            <v>0</v>
          </cell>
          <cell r="AD2720">
            <v>0</v>
          </cell>
          <cell r="AF2720">
            <v>0</v>
          </cell>
          <cell r="AG2720">
            <v>0</v>
          </cell>
          <cell r="AI2720">
            <v>0</v>
          </cell>
          <cell r="AJ2720">
            <v>0</v>
          </cell>
          <cell r="AL2720">
            <v>0</v>
          </cell>
          <cell r="AM2720">
            <v>0</v>
          </cell>
          <cell r="AO2720">
            <v>0</v>
          </cell>
          <cell r="AP2720">
            <v>0</v>
          </cell>
          <cell r="AR2720">
            <v>0</v>
          </cell>
          <cell r="AS2720">
            <v>0</v>
          </cell>
          <cell r="BF2720" t="str">
            <v>4910</v>
          </cell>
          <cell r="BG2720" t="str">
            <v>Z000</v>
          </cell>
          <cell r="BH2720" t="str">
            <v>BUB</v>
          </cell>
        </row>
        <row r="2721">
          <cell r="K2721">
            <v>0</v>
          </cell>
          <cell r="L2721">
            <v>0</v>
          </cell>
          <cell r="N2721">
            <v>0</v>
          </cell>
          <cell r="O2721">
            <v>0</v>
          </cell>
          <cell r="Q2721">
            <v>0</v>
          </cell>
          <cell r="R2721">
            <v>0</v>
          </cell>
          <cell r="T2721">
            <v>0</v>
          </cell>
          <cell r="U2721">
            <v>0</v>
          </cell>
          <cell r="W2721">
            <v>0</v>
          </cell>
          <cell r="X2721">
            <v>0</v>
          </cell>
          <cell r="Z2721">
            <v>0</v>
          </cell>
          <cell r="AA2721">
            <v>0</v>
          </cell>
          <cell r="AC2721">
            <v>0</v>
          </cell>
          <cell r="AD2721">
            <v>0</v>
          </cell>
          <cell r="AF2721">
            <v>0</v>
          </cell>
          <cell r="AG2721">
            <v>0</v>
          </cell>
          <cell r="AI2721">
            <v>0</v>
          </cell>
          <cell r="AJ2721">
            <v>0</v>
          </cell>
          <cell r="AL2721">
            <v>0</v>
          </cell>
          <cell r="AM2721">
            <v>0</v>
          </cell>
          <cell r="AO2721">
            <v>0</v>
          </cell>
          <cell r="AP2721">
            <v>0</v>
          </cell>
          <cell r="AR2721">
            <v>0</v>
          </cell>
          <cell r="AS2721">
            <v>0</v>
          </cell>
          <cell r="BF2721" t="str">
            <v>4940</v>
          </cell>
          <cell r="BG2721" t="str">
            <v>Z000</v>
          </cell>
          <cell r="BH2721" t="str">
            <v>BUB</v>
          </cell>
        </row>
        <row r="2722">
          <cell r="K2722">
            <v>0</v>
          </cell>
          <cell r="L2722">
            <v>0</v>
          </cell>
          <cell r="N2722">
            <v>0</v>
          </cell>
          <cell r="O2722">
            <v>0</v>
          </cell>
          <cell r="Q2722">
            <v>0</v>
          </cell>
          <cell r="R2722">
            <v>0</v>
          </cell>
          <cell r="T2722">
            <v>0</v>
          </cell>
          <cell r="U2722">
            <v>0</v>
          </cell>
          <cell r="W2722">
            <v>0</v>
          </cell>
          <cell r="X2722">
            <v>0</v>
          </cell>
          <cell r="Z2722">
            <v>0</v>
          </cell>
          <cell r="AA2722">
            <v>0</v>
          </cell>
          <cell r="AC2722">
            <v>0</v>
          </cell>
          <cell r="AD2722">
            <v>0</v>
          </cell>
          <cell r="AF2722">
            <v>0</v>
          </cell>
          <cell r="AG2722">
            <v>0</v>
          </cell>
          <cell r="AI2722">
            <v>0</v>
          </cell>
          <cell r="AJ2722">
            <v>0</v>
          </cell>
          <cell r="AL2722">
            <v>0</v>
          </cell>
          <cell r="AM2722">
            <v>0</v>
          </cell>
          <cell r="AO2722">
            <v>0</v>
          </cell>
          <cell r="AP2722">
            <v>0</v>
          </cell>
          <cell r="AR2722">
            <v>0</v>
          </cell>
          <cell r="AS2722">
            <v>0</v>
          </cell>
          <cell r="BF2722" t="str">
            <v>4941</v>
          </cell>
          <cell r="BG2722" t="str">
            <v>Z000</v>
          </cell>
          <cell r="BH2722" t="str">
            <v>BUB</v>
          </cell>
        </row>
        <row r="2723">
          <cell r="K2723">
            <v>0</v>
          </cell>
          <cell r="L2723">
            <v>0</v>
          </cell>
          <cell r="N2723">
            <v>0</v>
          </cell>
          <cell r="O2723">
            <v>0</v>
          </cell>
          <cell r="Q2723">
            <v>0</v>
          </cell>
          <cell r="R2723">
            <v>0</v>
          </cell>
          <cell r="T2723">
            <v>0</v>
          </cell>
          <cell r="U2723">
            <v>0</v>
          </cell>
          <cell r="W2723">
            <v>0</v>
          </cell>
          <cell r="X2723">
            <v>0</v>
          </cell>
          <cell r="Z2723">
            <v>0</v>
          </cell>
          <cell r="AA2723">
            <v>0</v>
          </cell>
          <cell r="AC2723">
            <v>0</v>
          </cell>
          <cell r="AD2723">
            <v>0</v>
          </cell>
          <cell r="AF2723">
            <v>0</v>
          </cell>
          <cell r="AG2723">
            <v>0</v>
          </cell>
          <cell r="AI2723">
            <v>0</v>
          </cell>
          <cell r="AJ2723">
            <v>0</v>
          </cell>
          <cell r="AL2723">
            <v>0</v>
          </cell>
          <cell r="AM2723">
            <v>0</v>
          </cell>
          <cell r="AO2723">
            <v>0</v>
          </cell>
          <cell r="AP2723">
            <v>0</v>
          </cell>
          <cell r="AR2723">
            <v>0</v>
          </cell>
          <cell r="AS2723">
            <v>0</v>
          </cell>
          <cell r="BF2723" t="str">
            <v>4942</v>
          </cell>
          <cell r="BG2723" t="str">
            <v>Z000</v>
          </cell>
          <cell r="BH2723" t="str">
            <v>BUB</v>
          </cell>
        </row>
        <row r="2724">
          <cell r="K2724">
            <v>0</v>
          </cell>
          <cell r="L2724">
            <v>0</v>
          </cell>
          <cell r="N2724">
            <v>0</v>
          </cell>
          <cell r="O2724">
            <v>0</v>
          </cell>
          <cell r="Q2724">
            <v>0</v>
          </cell>
          <cell r="R2724">
            <v>0</v>
          </cell>
          <cell r="T2724">
            <v>0</v>
          </cell>
          <cell r="U2724">
            <v>0</v>
          </cell>
          <cell r="W2724">
            <v>0</v>
          </cell>
          <cell r="X2724">
            <v>0</v>
          </cell>
          <cell r="Z2724">
            <v>0</v>
          </cell>
          <cell r="AA2724">
            <v>0</v>
          </cell>
          <cell r="AC2724">
            <v>0</v>
          </cell>
          <cell r="AD2724">
            <v>0</v>
          </cell>
          <cell r="AF2724">
            <v>0</v>
          </cell>
          <cell r="AG2724">
            <v>0</v>
          </cell>
          <cell r="AI2724">
            <v>0</v>
          </cell>
          <cell r="AJ2724">
            <v>0</v>
          </cell>
          <cell r="AL2724">
            <v>0</v>
          </cell>
          <cell r="AM2724">
            <v>0</v>
          </cell>
          <cell r="AO2724">
            <v>0</v>
          </cell>
          <cell r="AP2724">
            <v>0</v>
          </cell>
          <cell r="AR2724">
            <v>0</v>
          </cell>
          <cell r="AS2724">
            <v>0</v>
          </cell>
          <cell r="BF2724" t="str">
            <v>4950</v>
          </cell>
          <cell r="BG2724" t="str">
            <v>Z000</v>
          </cell>
          <cell r="BH2724" t="str">
            <v>BUB</v>
          </cell>
        </row>
        <row r="2725">
          <cell r="K2725">
            <v>0</v>
          </cell>
          <cell r="L2725">
            <v>0</v>
          </cell>
          <cell r="N2725">
            <v>0</v>
          </cell>
          <cell r="O2725">
            <v>0</v>
          </cell>
          <cell r="Q2725">
            <v>0</v>
          </cell>
          <cell r="R2725">
            <v>0</v>
          </cell>
          <cell r="T2725">
            <v>0</v>
          </cell>
          <cell r="U2725">
            <v>0</v>
          </cell>
          <cell r="W2725">
            <v>120</v>
          </cell>
          <cell r="X2725">
            <v>0</v>
          </cell>
          <cell r="Z2725">
            <v>0</v>
          </cell>
          <cell r="AA2725">
            <v>0</v>
          </cell>
          <cell r="AC2725">
            <v>0</v>
          </cell>
          <cell r="AD2725">
            <v>0</v>
          </cell>
          <cell r="AF2725">
            <v>0</v>
          </cell>
          <cell r="AG2725">
            <v>0</v>
          </cell>
          <cell r="AI2725">
            <v>0</v>
          </cell>
          <cell r="AJ2725">
            <v>0</v>
          </cell>
          <cell r="AL2725">
            <v>0</v>
          </cell>
          <cell r="AM2725">
            <v>0</v>
          </cell>
          <cell r="AO2725">
            <v>0</v>
          </cell>
          <cell r="AP2725">
            <v>0</v>
          </cell>
          <cell r="AR2725">
            <v>0</v>
          </cell>
          <cell r="AS2725">
            <v>0</v>
          </cell>
          <cell r="BF2725" t="str">
            <v>5100</v>
          </cell>
          <cell r="BG2725" t="str">
            <v>E001</v>
          </cell>
          <cell r="BH2725" t="str">
            <v>BUB</v>
          </cell>
        </row>
        <row r="2726">
          <cell r="K2726">
            <v>0</v>
          </cell>
          <cell r="L2726">
            <v>0</v>
          </cell>
          <cell r="N2726">
            <v>0</v>
          </cell>
          <cell r="O2726">
            <v>0</v>
          </cell>
          <cell r="Q2726">
            <v>0</v>
          </cell>
          <cell r="R2726">
            <v>0</v>
          </cell>
          <cell r="T2726">
            <v>0</v>
          </cell>
          <cell r="U2726">
            <v>0</v>
          </cell>
          <cell r="W2726">
            <v>0</v>
          </cell>
          <cell r="X2726">
            <v>0</v>
          </cell>
          <cell r="Z2726">
            <v>0</v>
          </cell>
          <cell r="AA2726">
            <v>0</v>
          </cell>
          <cell r="AC2726">
            <v>0</v>
          </cell>
          <cell r="AD2726">
            <v>0</v>
          </cell>
          <cell r="AF2726">
            <v>0</v>
          </cell>
          <cell r="AG2726">
            <v>0</v>
          </cell>
          <cell r="AI2726">
            <v>0</v>
          </cell>
          <cell r="AJ2726">
            <v>0</v>
          </cell>
          <cell r="AL2726">
            <v>0</v>
          </cell>
          <cell r="AM2726">
            <v>0</v>
          </cell>
          <cell r="AO2726">
            <v>0</v>
          </cell>
          <cell r="AP2726">
            <v>0</v>
          </cell>
          <cell r="AR2726">
            <v>0</v>
          </cell>
          <cell r="AS2726">
            <v>0</v>
          </cell>
          <cell r="BF2726" t="str">
            <v>5100</v>
          </cell>
          <cell r="BG2726" t="str">
            <v>E002</v>
          </cell>
          <cell r="BH2726" t="str">
            <v>BUB</v>
          </cell>
        </row>
        <row r="2727">
          <cell r="K2727">
            <v>0</v>
          </cell>
          <cell r="L2727">
            <v>0</v>
          </cell>
          <cell r="N2727">
            <v>0</v>
          </cell>
          <cell r="O2727">
            <v>0</v>
          </cell>
          <cell r="Q2727">
            <v>0</v>
          </cell>
          <cell r="R2727">
            <v>0</v>
          </cell>
          <cell r="T2727">
            <v>0</v>
          </cell>
          <cell r="U2727">
            <v>0</v>
          </cell>
          <cell r="W2727">
            <v>0</v>
          </cell>
          <cell r="X2727">
            <v>0</v>
          </cell>
          <cell r="Z2727">
            <v>0</v>
          </cell>
          <cell r="AA2727">
            <v>0</v>
          </cell>
          <cell r="AC2727">
            <v>0</v>
          </cell>
          <cell r="AD2727">
            <v>0</v>
          </cell>
          <cell r="AF2727">
            <v>0</v>
          </cell>
          <cell r="AG2727">
            <v>0</v>
          </cell>
          <cell r="AI2727">
            <v>0</v>
          </cell>
          <cell r="AJ2727">
            <v>0</v>
          </cell>
          <cell r="AL2727">
            <v>0</v>
          </cell>
          <cell r="AM2727">
            <v>0</v>
          </cell>
          <cell r="AO2727">
            <v>0</v>
          </cell>
          <cell r="AP2727">
            <v>0</v>
          </cell>
          <cell r="AR2727">
            <v>0</v>
          </cell>
          <cell r="AS2727">
            <v>0</v>
          </cell>
          <cell r="BF2727" t="str">
            <v>5200</v>
          </cell>
          <cell r="BG2727" t="str">
            <v>Z000</v>
          </cell>
          <cell r="BH2727" t="str">
            <v>BUB</v>
          </cell>
        </row>
        <row r="2728">
          <cell r="K2728">
            <v>0</v>
          </cell>
          <cell r="L2728">
            <v>0</v>
          </cell>
          <cell r="N2728">
            <v>0</v>
          </cell>
          <cell r="O2728">
            <v>0</v>
          </cell>
          <cell r="Q2728">
            <v>0</v>
          </cell>
          <cell r="R2728">
            <v>0</v>
          </cell>
          <cell r="T2728">
            <v>0</v>
          </cell>
          <cell r="U2728">
            <v>0</v>
          </cell>
          <cell r="W2728">
            <v>0</v>
          </cell>
          <cell r="X2728">
            <v>0</v>
          </cell>
          <cell r="Z2728">
            <v>0</v>
          </cell>
          <cell r="AA2728">
            <v>0</v>
          </cell>
          <cell r="AC2728">
            <v>0</v>
          </cell>
          <cell r="AD2728">
            <v>0</v>
          </cell>
          <cell r="AF2728">
            <v>0</v>
          </cell>
          <cell r="AG2728">
            <v>0</v>
          </cell>
          <cell r="AI2728">
            <v>0</v>
          </cell>
          <cell r="AJ2728">
            <v>0</v>
          </cell>
          <cell r="AL2728">
            <v>0</v>
          </cell>
          <cell r="AM2728">
            <v>0</v>
          </cell>
          <cell r="AO2728">
            <v>0</v>
          </cell>
          <cell r="AP2728">
            <v>0</v>
          </cell>
          <cell r="AR2728">
            <v>0</v>
          </cell>
          <cell r="AS2728">
            <v>0</v>
          </cell>
          <cell r="BF2728" t="str">
            <v>5400</v>
          </cell>
          <cell r="BG2728" t="str">
            <v>F001</v>
          </cell>
          <cell r="BH2728" t="str">
            <v>BUB</v>
          </cell>
        </row>
        <row r="2729">
          <cell r="K2729">
            <v>0</v>
          </cell>
          <cell r="L2729">
            <v>0</v>
          </cell>
          <cell r="N2729">
            <v>0</v>
          </cell>
          <cell r="O2729">
            <v>0</v>
          </cell>
          <cell r="Q2729">
            <v>0</v>
          </cell>
          <cell r="R2729">
            <v>0</v>
          </cell>
          <cell r="T2729">
            <v>0</v>
          </cell>
          <cell r="U2729">
            <v>0</v>
          </cell>
          <cell r="W2729">
            <v>0</v>
          </cell>
          <cell r="X2729">
            <v>0</v>
          </cell>
          <cell r="Z2729">
            <v>0</v>
          </cell>
          <cell r="AA2729">
            <v>0</v>
          </cell>
          <cell r="AC2729">
            <v>0</v>
          </cell>
          <cell r="AD2729">
            <v>0</v>
          </cell>
          <cell r="AF2729">
            <v>0</v>
          </cell>
          <cell r="AG2729">
            <v>0</v>
          </cell>
          <cell r="AI2729">
            <v>0</v>
          </cell>
          <cell r="AJ2729">
            <v>0</v>
          </cell>
          <cell r="AL2729">
            <v>0</v>
          </cell>
          <cell r="AM2729">
            <v>0</v>
          </cell>
          <cell r="AO2729">
            <v>0</v>
          </cell>
          <cell r="AP2729">
            <v>0</v>
          </cell>
          <cell r="AR2729">
            <v>0</v>
          </cell>
          <cell r="AS2729">
            <v>0</v>
          </cell>
          <cell r="BF2729" t="str">
            <v>5400</v>
          </cell>
          <cell r="BG2729" t="str">
            <v>F002</v>
          </cell>
          <cell r="BH2729" t="str">
            <v>BUB</v>
          </cell>
        </row>
        <row r="2730">
          <cell r="K2730">
            <v>0</v>
          </cell>
          <cell r="L2730">
            <v>0</v>
          </cell>
          <cell r="N2730">
            <v>0</v>
          </cell>
          <cell r="O2730">
            <v>0</v>
          </cell>
          <cell r="Q2730">
            <v>0</v>
          </cell>
          <cell r="R2730">
            <v>0</v>
          </cell>
          <cell r="T2730">
            <v>0</v>
          </cell>
          <cell r="U2730">
            <v>0</v>
          </cell>
          <cell r="W2730">
            <v>0</v>
          </cell>
          <cell r="X2730">
            <v>0</v>
          </cell>
          <cell r="Z2730">
            <v>0</v>
          </cell>
          <cell r="AA2730">
            <v>0</v>
          </cell>
          <cell r="AC2730">
            <v>0</v>
          </cell>
          <cell r="AD2730">
            <v>0</v>
          </cell>
          <cell r="AF2730">
            <v>0</v>
          </cell>
          <cell r="AG2730">
            <v>0</v>
          </cell>
          <cell r="AI2730">
            <v>0</v>
          </cell>
          <cell r="AJ2730">
            <v>0</v>
          </cell>
          <cell r="AL2730">
            <v>0</v>
          </cell>
          <cell r="AM2730">
            <v>0</v>
          </cell>
          <cell r="AO2730">
            <v>0</v>
          </cell>
          <cell r="AP2730">
            <v>0</v>
          </cell>
          <cell r="AR2730">
            <v>0</v>
          </cell>
          <cell r="AS2730">
            <v>0</v>
          </cell>
          <cell r="BF2730" t="str">
            <v>5400</v>
          </cell>
          <cell r="BG2730" t="str">
            <v>F003</v>
          </cell>
          <cell r="BH2730" t="str">
            <v>BUB</v>
          </cell>
        </row>
        <row r="2731">
          <cell r="K2731">
            <v>0</v>
          </cell>
          <cell r="L2731">
            <v>0</v>
          </cell>
          <cell r="N2731">
            <v>0</v>
          </cell>
          <cell r="O2731">
            <v>0</v>
          </cell>
          <cell r="Q2731">
            <v>0</v>
          </cell>
          <cell r="R2731">
            <v>0</v>
          </cell>
          <cell r="T2731">
            <v>0</v>
          </cell>
          <cell r="U2731">
            <v>0</v>
          </cell>
          <cell r="W2731">
            <v>0</v>
          </cell>
          <cell r="X2731">
            <v>0</v>
          </cell>
          <cell r="Z2731">
            <v>0</v>
          </cell>
          <cell r="AA2731">
            <v>0</v>
          </cell>
          <cell r="AC2731">
            <v>0</v>
          </cell>
          <cell r="AD2731">
            <v>0</v>
          </cell>
          <cell r="AF2731">
            <v>0</v>
          </cell>
          <cell r="AG2731">
            <v>0</v>
          </cell>
          <cell r="AI2731">
            <v>0</v>
          </cell>
          <cell r="AJ2731">
            <v>0</v>
          </cell>
          <cell r="AL2731">
            <v>0</v>
          </cell>
          <cell r="AM2731">
            <v>0</v>
          </cell>
          <cell r="AO2731">
            <v>0</v>
          </cell>
          <cell r="AP2731">
            <v>0</v>
          </cell>
          <cell r="AR2731">
            <v>0</v>
          </cell>
          <cell r="AS2731">
            <v>0</v>
          </cell>
          <cell r="BF2731" t="str">
            <v>5400</v>
          </cell>
          <cell r="BG2731" t="str">
            <v>F004</v>
          </cell>
          <cell r="BH2731" t="str">
            <v>BUB</v>
          </cell>
        </row>
        <row r="2732">
          <cell r="K2732">
            <v>0</v>
          </cell>
          <cell r="L2732">
            <v>0</v>
          </cell>
          <cell r="N2732">
            <v>0</v>
          </cell>
          <cell r="O2732">
            <v>0</v>
          </cell>
          <cell r="Q2732">
            <v>0</v>
          </cell>
          <cell r="R2732">
            <v>0</v>
          </cell>
          <cell r="T2732">
            <v>0</v>
          </cell>
          <cell r="U2732">
            <v>0</v>
          </cell>
          <cell r="W2732">
            <v>0</v>
          </cell>
          <cell r="X2732">
            <v>0</v>
          </cell>
          <cell r="Z2732">
            <v>0</v>
          </cell>
          <cell r="AA2732">
            <v>0</v>
          </cell>
          <cell r="AC2732">
            <v>0</v>
          </cell>
          <cell r="AD2732">
            <v>0</v>
          </cell>
          <cell r="AF2732">
            <v>0</v>
          </cell>
          <cell r="AG2732">
            <v>0</v>
          </cell>
          <cell r="AI2732">
            <v>0</v>
          </cell>
          <cell r="AJ2732">
            <v>0</v>
          </cell>
          <cell r="AL2732">
            <v>0</v>
          </cell>
          <cell r="AM2732">
            <v>0</v>
          </cell>
          <cell r="AO2732">
            <v>0</v>
          </cell>
          <cell r="AP2732">
            <v>0</v>
          </cell>
          <cell r="AR2732">
            <v>0</v>
          </cell>
          <cell r="AS2732">
            <v>0</v>
          </cell>
          <cell r="BF2732" t="str">
            <v>5400</v>
          </cell>
          <cell r="BG2732" t="str">
            <v>F005</v>
          </cell>
          <cell r="BH2732" t="str">
            <v>BUB</v>
          </cell>
        </row>
        <row r="2733">
          <cell r="K2733">
            <v>0</v>
          </cell>
          <cell r="L2733">
            <v>0</v>
          </cell>
          <cell r="N2733">
            <v>0</v>
          </cell>
          <cell r="O2733">
            <v>0</v>
          </cell>
          <cell r="Q2733">
            <v>0</v>
          </cell>
          <cell r="R2733">
            <v>0</v>
          </cell>
          <cell r="T2733">
            <v>0</v>
          </cell>
          <cell r="U2733">
            <v>0</v>
          </cell>
          <cell r="W2733">
            <v>0</v>
          </cell>
          <cell r="X2733">
            <v>0</v>
          </cell>
          <cell r="Z2733">
            <v>0</v>
          </cell>
          <cell r="AA2733">
            <v>0</v>
          </cell>
          <cell r="AC2733">
            <v>0</v>
          </cell>
          <cell r="AD2733">
            <v>0</v>
          </cell>
          <cell r="AF2733">
            <v>0</v>
          </cell>
          <cell r="AG2733">
            <v>0</v>
          </cell>
          <cell r="AI2733">
            <v>0</v>
          </cell>
          <cell r="AJ2733">
            <v>0</v>
          </cell>
          <cell r="AL2733">
            <v>0</v>
          </cell>
          <cell r="AM2733">
            <v>0</v>
          </cell>
          <cell r="AO2733">
            <v>0</v>
          </cell>
          <cell r="AP2733">
            <v>0</v>
          </cell>
          <cell r="AR2733">
            <v>0</v>
          </cell>
          <cell r="AS2733">
            <v>0</v>
          </cell>
          <cell r="BF2733" t="str">
            <v>5400</v>
          </cell>
          <cell r="BG2733" t="str">
            <v>F006</v>
          </cell>
          <cell r="BH2733" t="str">
            <v>BUB</v>
          </cell>
        </row>
        <row r="2734">
          <cell r="K2734">
            <v>0</v>
          </cell>
          <cell r="L2734">
            <v>0</v>
          </cell>
          <cell r="N2734">
            <v>0</v>
          </cell>
          <cell r="O2734">
            <v>0</v>
          </cell>
          <cell r="Q2734">
            <v>0</v>
          </cell>
          <cell r="R2734">
            <v>0</v>
          </cell>
          <cell r="T2734">
            <v>0</v>
          </cell>
          <cell r="U2734">
            <v>0</v>
          </cell>
          <cell r="W2734">
            <v>0</v>
          </cell>
          <cell r="X2734">
            <v>0</v>
          </cell>
          <cell r="Z2734">
            <v>0</v>
          </cell>
          <cell r="AA2734">
            <v>0</v>
          </cell>
          <cell r="AC2734">
            <v>0</v>
          </cell>
          <cell r="AD2734">
            <v>0</v>
          </cell>
          <cell r="AF2734">
            <v>0</v>
          </cell>
          <cell r="AG2734">
            <v>0</v>
          </cell>
          <cell r="AI2734">
            <v>0</v>
          </cell>
          <cell r="AJ2734">
            <v>0</v>
          </cell>
          <cell r="AL2734">
            <v>0</v>
          </cell>
          <cell r="AM2734">
            <v>0</v>
          </cell>
          <cell r="AO2734">
            <v>0</v>
          </cell>
          <cell r="AP2734">
            <v>0</v>
          </cell>
          <cell r="AR2734">
            <v>0</v>
          </cell>
          <cell r="AS2734">
            <v>0</v>
          </cell>
          <cell r="BF2734" t="str">
            <v>5400</v>
          </cell>
          <cell r="BG2734" t="str">
            <v>F007</v>
          </cell>
          <cell r="BH2734" t="str">
            <v>BUB</v>
          </cell>
        </row>
        <row r="2735">
          <cell r="K2735">
            <v>0</v>
          </cell>
          <cell r="L2735">
            <v>0</v>
          </cell>
          <cell r="N2735">
            <v>0</v>
          </cell>
          <cell r="O2735">
            <v>0</v>
          </cell>
          <cell r="Q2735">
            <v>0</v>
          </cell>
          <cell r="R2735">
            <v>0</v>
          </cell>
          <cell r="T2735">
            <v>0</v>
          </cell>
          <cell r="U2735">
            <v>0</v>
          </cell>
          <cell r="W2735">
            <v>0</v>
          </cell>
          <cell r="X2735">
            <v>0</v>
          </cell>
          <cell r="Z2735">
            <v>0</v>
          </cell>
          <cell r="AA2735">
            <v>0</v>
          </cell>
          <cell r="AC2735">
            <v>0</v>
          </cell>
          <cell r="AD2735">
            <v>0</v>
          </cell>
          <cell r="AF2735">
            <v>0</v>
          </cell>
          <cell r="AG2735">
            <v>0</v>
          </cell>
          <cell r="AI2735">
            <v>0</v>
          </cell>
          <cell r="AJ2735">
            <v>0</v>
          </cell>
          <cell r="AL2735">
            <v>0</v>
          </cell>
          <cell r="AM2735">
            <v>0</v>
          </cell>
          <cell r="AO2735">
            <v>0</v>
          </cell>
          <cell r="AP2735">
            <v>0</v>
          </cell>
          <cell r="AR2735">
            <v>0</v>
          </cell>
          <cell r="AS2735">
            <v>0</v>
          </cell>
          <cell r="BF2735" t="str">
            <v>5400</v>
          </cell>
          <cell r="BG2735" t="str">
            <v>F008</v>
          </cell>
          <cell r="BH2735" t="str">
            <v>BUB</v>
          </cell>
        </row>
        <row r="2736">
          <cell r="K2736">
            <v>0</v>
          </cell>
          <cell r="L2736">
            <v>0</v>
          </cell>
          <cell r="N2736">
            <v>0</v>
          </cell>
          <cell r="O2736">
            <v>0</v>
          </cell>
          <cell r="Q2736">
            <v>0</v>
          </cell>
          <cell r="R2736">
            <v>0</v>
          </cell>
          <cell r="T2736">
            <v>0</v>
          </cell>
          <cell r="U2736">
            <v>0</v>
          </cell>
          <cell r="W2736">
            <v>0</v>
          </cell>
          <cell r="X2736">
            <v>0</v>
          </cell>
          <cell r="Z2736">
            <v>0</v>
          </cell>
          <cell r="AA2736">
            <v>0</v>
          </cell>
          <cell r="AC2736">
            <v>0</v>
          </cell>
          <cell r="AD2736">
            <v>0</v>
          </cell>
          <cell r="AF2736">
            <v>0</v>
          </cell>
          <cell r="AG2736">
            <v>0</v>
          </cell>
          <cell r="AI2736">
            <v>0</v>
          </cell>
          <cell r="AJ2736">
            <v>0</v>
          </cell>
          <cell r="AL2736">
            <v>0</v>
          </cell>
          <cell r="AM2736">
            <v>0</v>
          </cell>
          <cell r="AO2736">
            <v>0</v>
          </cell>
          <cell r="AP2736">
            <v>0</v>
          </cell>
          <cell r="AR2736">
            <v>0</v>
          </cell>
          <cell r="AS2736">
            <v>0</v>
          </cell>
          <cell r="BF2736" t="str">
            <v>5400</v>
          </cell>
          <cell r="BG2736" t="str">
            <v>F009</v>
          </cell>
          <cell r="BH2736" t="str">
            <v>BUB</v>
          </cell>
        </row>
        <row r="2737">
          <cell r="K2737">
            <v>0</v>
          </cell>
          <cell r="L2737">
            <v>0</v>
          </cell>
          <cell r="N2737">
            <v>0</v>
          </cell>
          <cell r="O2737">
            <v>0</v>
          </cell>
          <cell r="Q2737">
            <v>0</v>
          </cell>
          <cell r="R2737">
            <v>0</v>
          </cell>
          <cell r="T2737">
            <v>0</v>
          </cell>
          <cell r="U2737">
            <v>0</v>
          </cell>
          <cell r="W2737">
            <v>0</v>
          </cell>
          <cell r="X2737">
            <v>0</v>
          </cell>
          <cell r="Z2737">
            <v>0</v>
          </cell>
          <cell r="AA2737">
            <v>0</v>
          </cell>
          <cell r="AC2737">
            <v>0</v>
          </cell>
          <cell r="AD2737">
            <v>0</v>
          </cell>
          <cell r="AF2737">
            <v>0</v>
          </cell>
          <cell r="AG2737">
            <v>0</v>
          </cell>
          <cell r="AI2737">
            <v>0</v>
          </cell>
          <cell r="AJ2737">
            <v>0</v>
          </cell>
          <cell r="AL2737">
            <v>0</v>
          </cell>
          <cell r="AM2737">
            <v>0</v>
          </cell>
          <cell r="AO2737">
            <v>0</v>
          </cell>
          <cell r="AP2737">
            <v>0</v>
          </cell>
          <cell r="AR2737">
            <v>0</v>
          </cell>
          <cell r="AS2737">
            <v>0</v>
          </cell>
          <cell r="BF2737" t="str">
            <v>5400</v>
          </cell>
          <cell r="BG2737" t="str">
            <v>F010</v>
          </cell>
          <cell r="BH2737" t="str">
            <v>BUB</v>
          </cell>
        </row>
        <row r="2738">
          <cell r="K2738">
            <v>0</v>
          </cell>
          <cell r="L2738">
            <v>0</v>
          </cell>
          <cell r="N2738">
            <v>0</v>
          </cell>
          <cell r="O2738">
            <v>0</v>
          </cell>
          <cell r="Q2738">
            <v>0</v>
          </cell>
          <cell r="R2738">
            <v>0</v>
          </cell>
          <cell r="T2738">
            <v>0</v>
          </cell>
          <cell r="U2738">
            <v>0</v>
          </cell>
          <cell r="W2738">
            <v>0</v>
          </cell>
          <cell r="X2738">
            <v>0</v>
          </cell>
          <cell r="Z2738">
            <v>0</v>
          </cell>
          <cell r="AA2738">
            <v>0</v>
          </cell>
          <cell r="AC2738">
            <v>0</v>
          </cell>
          <cell r="AD2738">
            <v>0</v>
          </cell>
          <cell r="AF2738">
            <v>0</v>
          </cell>
          <cell r="AG2738">
            <v>0</v>
          </cell>
          <cell r="AI2738">
            <v>0</v>
          </cell>
          <cell r="AJ2738">
            <v>0</v>
          </cell>
          <cell r="AL2738">
            <v>0</v>
          </cell>
          <cell r="AM2738">
            <v>0</v>
          </cell>
          <cell r="AO2738">
            <v>0</v>
          </cell>
          <cell r="AP2738">
            <v>0</v>
          </cell>
          <cell r="AR2738">
            <v>0</v>
          </cell>
          <cell r="AS2738">
            <v>0</v>
          </cell>
          <cell r="BF2738" t="str">
            <v>5400</v>
          </cell>
          <cell r="BG2738" t="str">
            <v>F011</v>
          </cell>
          <cell r="BH2738" t="str">
            <v>BUB</v>
          </cell>
        </row>
        <row r="2739">
          <cell r="K2739">
            <v>0</v>
          </cell>
          <cell r="L2739">
            <v>0</v>
          </cell>
          <cell r="N2739">
            <v>0</v>
          </cell>
          <cell r="O2739">
            <v>0</v>
          </cell>
          <cell r="Q2739">
            <v>0</v>
          </cell>
          <cell r="R2739">
            <v>0</v>
          </cell>
          <cell r="T2739">
            <v>0</v>
          </cell>
          <cell r="U2739">
            <v>0</v>
          </cell>
          <cell r="W2739">
            <v>0</v>
          </cell>
          <cell r="X2739">
            <v>0</v>
          </cell>
          <cell r="Z2739">
            <v>0</v>
          </cell>
          <cell r="AA2739">
            <v>0</v>
          </cell>
          <cell r="AC2739">
            <v>0</v>
          </cell>
          <cell r="AD2739">
            <v>0</v>
          </cell>
          <cell r="AF2739">
            <v>0</v>
          </cell>
          <cell r="AG2739">
            <v>0</v>
          </cell>
          <cell r="AI2739">
            <v>0</v>
          </cell>
          <cell r="AJ2739">
            <v>0</v>
          </cell>
          <cell r="AL2739">
            <v>0</v>
          </cell>
          <cell r="AM2739">
            <v>0</v>
          </cell>
          <cell r="AO2739">
            <v>0</v>
          </cell>
          <cell r="AP2739">
            <v>0</v>
          </cell>
          <cell r="AR2739">
            <v>0</v>
          </cell>
          <cell r="AS2739">
            <v>0</v>
          </cell>
          <cell r="BF2739" t="str">
            <v>5400</v>
          </cell>
          <cell r="BG2739" t="str">
            <v>F012</v>
          </cell>
          <cell r="BH2739" t="str">
            <v>BUB</v>
          </cell>
        </row>
        <row r="2740">
          <cell r="K2740">
            <v>0</v>
          </cell>
          <cell r="L2740">
            <v>0</v>
          </cell>
          <cell r="N2740">
            <v>0</v>
          </cell>
          <cell r="O2740">
            <v>0</v>
          </cell>
          <cell r="Q2740">
            <v>0</v>
          </cell>
          <cell r="R2740">
            <v>0</v>
          </cell>
          <cell r="T2740">
            <v>0</v>
          </cell>
          <cell r="U2740">
            <v>0</v>
          </cell>
          <cell r="W2740">
            <v>0</v>
          </cell>
          <cell r="X2740">
            <v>0</v>
          </cell>
          <cell r="Z2740">
            <v>0</v>
          </cell>
          <cell r="AA2740">
            <v>0</v>
          </cell>
          <cell r="AC2740">
            <v>0</v>
          </cell>
          <cell r="AD2740">
            <v>0</v>
          </cell>
          <cell r="AF2740">
            <v>0</v>
          </cell>
          <cell r="AG2740">
            <v>0</v>
          </cell>
          <cell r="AI2740">
            <v>0</v>
          </cell>
          <cell r="AJ2740">
            <v>0</v>
          </cell>
          <cell r="AL2740">
            <v>0</v>
          </cell>
          <cell r="AM2740">
            <v>0</v>
          </cell>
          <cell r="AO2740">
            <v>0</v>
          </cell>
          <cell r="AP2740">
            <v>0</v>
          </cell>
          <cell r="AR2740">
            <v>0</v>
          </cell>
          <cell r="AS2740">
            <v>0</v>
          </cell>
          <cell r="BF2740" t="str">
            <v>5400</v>
          </cell>
          <cell r="BG2740" t="str">
            <v>F013</v>
          </cell>
          <cell r="BH2740" t="str">
            <v>BUB</v>
          </cell>
        </row>
        <row r="2741">
          <cell r="K2741">
            <v>0</v>
          </cell>
          <cell r="L2741">
            <v>0</v>
          </cell>
          <cell r="N2741">
            <v>0</v>
          </cell>
          <cell r="O2741">
            <v>0</v>
          </cell>
          <cell r="Q2741">
            <v>0</v>
          </cell>
          <cell r="R2741">
            <v>0</v>
          </cell>
          <cell r="T2741">
            <v>0</v>
          </cell>
          <cell r="U2741">
            <v>0</v>
          </cell>
          <cell r="W2741">
            <v>0</v>
          </cell>
          <cell r="X2741">
            <v>0</v>
          </cell>
          <cell r="Z2741">
            <v>0</v>
          </cell>
          <cell r="AA2741">
            <v>0</v>
          </cell>
          <cell r="AC2741">
            <v>0</v>
          </cell>
          <cell r="AD2741">
            <v>0</v>
          </cell>
          <cell r="AF2741">
            <v>0</v>
          </cell>
          <cell r="AG2741">
            <v>0</v>
          </cell>
          <cell r="AI2741">
            <v>0</v>
          </cell>
          <cell r="AJ2741">
            <v>0</v>
          </cell>
          <cell r="AL2741">
            <v>0</v>
          </cell>
          <cell r="AM2741">
            <v>0</v>
          </cell>
          <cell r="AO2741">
            <v>0</v>
          </cell>
          <cell r="AP2741">
            <v>0</v>
          </cell>
          <cell r="AR2741">
            <v>0</v>
          </cell>
          <cell r="AS2741">
            <v>0</v>
          </cell>
          <cell r="BF2741" t="str">
            <v>5400</v>
          </cell>
          <cell r="BG2741" t="str">
            <v>F014</v>
          </cell>
          <cell r="BH2741" t="str">
            <v>BUB</v>
          </cell>
        </row>
        <row r="2742">
          <cell r="K2742">
            <v>0</v>
          </cell>
          <cell r="L2742">
            <v>0</v>
          </cell>
          <cell r="N2742">
            <v>0</v>
          </cell>
          <cell r="O2742">
            <v>0</v>
          </cell>
          <cell r="Q2742">
            <v>0</v>
          </cell>
          <cell r="R2742">
            <v>0</v>
          </cell>
          <cell r="T2742">
            <v>0</v>
          </cell>
          <cell r="U2742">
            <v>0</v>
          </cell>
          <cell r="W2742">
            <v>0</v>
          </cell>
          <cell r="X2742">
            <v>0</v>
          </cell>
          <cell r="Z2742">
            <v>0</v>
          </cell>
          <cell r="AA2742">
            <v>0</v>
          </cell>
          <cell r="AC2742">
            <v>0</v>
          </cell>
          <cell r="AD2742">
            <v>0</v>
          </cell>
          <cell r="AF2742">
            <v>0</v>
          </cell>
          <cell r="AG2742">
            <v>0</v>
          </cell>
          <cell r="AI2742">
            <v>0</v>
          </cell>
          <cell r="AJ2742">
            <v>0</v>
          </cell>
          <cell r="AL2742">
            <v>0</v>
          </cell>
          <cell r="AM2742">
            <v>0</v>
          </cell>
          <cell r="AO2742">
            <v>0</v>
          </cell>
          <cell r="AP2742">
            <v>0</v>
          </cell>
          <cell r="AR2742">
            <v>0</v>
          </cell>
          <cell r="AS2742">
            <v>0</v>
          </cell>
          <cell r="BF2742" t="str">
            <v>5400</v>
          </cell>
          <cell r="BG2742" t="str">
            <v>F015</v>
          </cell>
          <cell r="BH2742" t="str">
            <v>BUB</v>
          </cell>
        </row>
        <row r="2743">
          <cell r="K2743">
            <v>0</v>
          </cell>
          <cell r="L2743">
            <v>0</v>
          </cell>
          <cell r="N2743">
            <v>0</v>
          </cell>
          <cell r="O2743">
            <v>0</v>
          </cell>
          <cell r="Q2743">
            <v>0</v>
          </cell>
          <cell r="R2743">
            <v>0</v>
          </cell>
          <cell r="T2743">
            <v>0</v>
          </cell>
          <cell r="U2743">
            <v>0</v>
          </cell>
          <cell r="W2743">
            <v>0</v>
          </cell>
          <cell r="X2743">
            <v>0</v>
          </cell>
          <cell r="Z2743">
            <v>0</v>
          </cell>
          <cell r="AA2743">
            <v>0</v>
          </cell>
          <cell r="AC2743">
            <v>0</v>
          </cell>
          <cell r="AD2743">
            <v>0</v>
          </cell>
          <cell r="AF2743">
            <v>0</v>
          </cell>
          <cell r="AG2743">
            <v>0</v>
          </cell>
          <cell r="AI2743">
            <v>0</v>
          </cell>
          <cell r="AJ2743">
            <v>0</v>
          </cell>
          <cell r="AL2743">
            <v>0</v>
          </cell>
          <cell r="AM2743">
            <v>0</v>
          </cell>
          <cell r="AO2743">
            <v>0</v>
          </cell>
          <cell r="AP2743">
            <v>0</v>
          </cell>
          <cell r="AR2743">
            <v>0</v>
          </cell>
          <cell r="AS2743">
            <v>0</v>
          </cell>
          <cell r="BF2743" t="str">
            <v>5400</v>
          </cell>
          <cell r="BG2743" t="str">
            <v>F016</v>
          </cell>
          <cell r="BH2743" t="str">
            <v>BUB</v>
          </cell>
        </row>
        <row r="2744">
          <cell r="K2744">
            <v>0</v>
          </cell>
          <cell r="L2744">
            <v>0</v>
          </cell>
          <cell r="N2744">
            <v>0</v>
          </cell>
          <cell r="O2744">
            <v>0</v>
          </cell>
          <cell r="Q2744">
            <v>0</v>
          </cell>
          <cell r="R2744">
            <v>0</v>
          </cell>
          <cell r="T2744">
            <v>0</v>
          </cell>
          <cell r="U2744">
            <v>0</v>
          </cell>
          <cell r="W2744">
            <v>0</v>
          </cell>
          <cell r="X2744">
            <v>0</v>
          </cell>
          <cell r="Z2744">
            <v>0</v>
          </cell>
          <cell r="AA2744">
            <v>0</v>
          </cell>
          <cell r="AC2744">
            <v>0</v>
          </cell>
          <cell r="AD2744">
            <v>0</v>
          </cell>
          <cell r="AF2744">
            <v>0</v>
          </cell>
          <cell r="AG2744">
            <v>0</v>
          </cell>
          <cell r="AI2744">
            <v>0</v>
          </cell>
          <cell r="AJ2744">
            <v>0</v>
          </cell>
          <cell r="AL2744">
            <v>0</v>
          </cell>
          <cell r="AM2744">
            <v>0</v>
          </cell>
          <cell r="AO2744">
            <v>0</v>
          </cell>
          <cell r="AP2744">
            <v>0</v>
          </cell>
          <cell r="AR2744">
            <v>0</v>
          </cell>
          <cell r="AS2744">
            <v>0</v>
          </cell>
          <cell r="BF2744" t="str">
            <v>5400</v>
          </cell>
          <cell r="BG2744" t="str">
            <v>F017</v>
          </cell>
          <cell r="BH2744" t="str">
            <v>BUB</v>
          </cell>
        </row>
        <row r="2745">
          <cell r="K2745">
            <v>0</v>
          </cell>
          <cell r="L2745">
            <v>0</v>
          </cell>
          <cell r="N2745">
            <v>0</v>
          </cell>
          <cell r="O2745">
            <v>0</v>
          </cell>
          <cell r="Q2745">
            <v>0</v>
          </cell>
          <cell r="R2745">
            <v>0</v>
          </cell>
          <cell r="T2745">
            <v>0</v>
          </cell>
          <cell r="U2745">
            <v>0</v>
          </cell>
          <cell r="W2745">
            <v>0</v>
          </cell>
          <cell r="X2745">
            <v>0</v>
          </cell>
          <cell r="Z2745">
            <v>0</v>
          </cell>
          <cell r="AA2745">
            <v>0</v>
          </cell>
          <cell r="AC2745">
            <v>0</v>
          </cell>
          <cell r="AD2745">
            <v>0</v>
          </cell>
          <cell r="AF2745">
            <v>0</v>
          </cell>
          <cell r="AG2745">
            <v>0</v>
          </cell>
          <cell r="AI2745">
            <v>0</v>
          </cell>
          <cell r="AJ2745">
            <v>0</v>
          </cell>
          <cell r="AL2745">
            <v>0</v>
          </cell>
          <cell r="AM2745">
            <v>0</v>
          </cell>
          <cell r="AO2745">
            <v>0</v>
          </cell>
          <cell r="AP2745">
            <v>0</v>
          </cell>
          <cell r="AR2745">
            <v>0</v>
          </cell>
          <cell r="AS2745">
            <v>0</v>
          </cell>
          <cell r="BF2745" t="str">
            <v>5400</v>
          </cell>
          <cell r="BG2745" t="str">
            <v>F018</v>
          </cell>
          <cell r="BH2745" t="str">
            <v>BUB</v>
          </cell>
        </row>
        <row r="2746">
          <cell r="K2746">
            <v>0</v>
          </cell>
          <cell r="L2746">
            <v>0</v>
          </cell>
          <cell r="N2746">
            <v>0</v>
          </cell>
          <cell r="O2746">
            <v>0</v>
          </cell>
          <cell r="Q2746">
            <v>0</v>
          </cell>
          <cell r="R2746">
            <v>0</v>
          </cell>
          <cell r="T2746">
            <v>0</v>
          </cell>
          <cell r="U2746">
            <v>0</v>
          </cell>
          <cell r="W2746">
            <v>0</v>
          </cell>
          <cell r="X2746">
            <v>0</v>
          </cell>
          <cell r="Z2746">
            <v>0</v>
          </cell>
          <cell r="AA2746">
            <v>0</v>
          </cell>
          <cell r="AC2746">
            <v>0</v>
          </cell>
          <cell r="AD2746">
            <v>0</v>
          </cell>
          <cell r="AF2746">
            <v>0</v>
          </cell>
          <cell r="AG2746">
            <v>0</v>
          </cell>
          <cell r="AI2746">
            <v>0</v>
          </cell>
          <cell r="AJ2746">
            <v>0</v>
          </cell>
          <cell r="AL2746">
            <v>0</v>
          </cell>
          <cell r="AM2746">
            <v>0</v>
          </cell>
          <cell r="AO2746">
            <v>0</v>
          </cell>
          <cell r="AP2746">
            <v>0</v>
          </cell>
          <cell r="AR2746">
            <v>0</v>
          </cell>
          <cell r="AS2746">
            <v>0</v>
          </cell>
          <cell r="BF2746" t="str">
            <v>5400</v>
          </cell>
          <cell r="BG2746" t="str">
            <v>F019</v>
          </cell>
          <cell r="BH2746" t="str">
            <v>BUB</v>
          </cell>
        </row>
        <row r="2747">
          <cell r="K2747">
            <v>0</v>
          </cell>
          <cell r="L2747">
            <v>0</v>
          </cell>
          <cell r="N2747">
            <v>0</v>
          </cell>
          <cell r="O2747">
            <v>0</v>
          </cell>
          <cell r="Q2747">
            <v>0</v>
          </cell>
          <cell r="R2747">
            <v>0</v>
          </cell>
          <cell r="T2747">
            <v>0</v>
          </cell>
          <cell r="U2747">
            <v>0</v>
          </cell>
          <cell r="W2747">
            <v>0</v>
          </cell>
          <cell r="X2747">
            <v>0</v>
          </cell>
          <cell r="Z2747">
            <v>0</v>
          </cell>
          <cell r="AA2747">
            <v>0</v>
          </cell>
          <cell r="AC2747">
            <v>0</v>
          </cell>
          <cell r="AD2747">
            <v>0</v>
          </cell>
          <cell r="AF2747">
            <v>0</v>
          </cell>
          <cell r="AG2747">
            <v>0</v>
          </cell>
          <cell r="AI2747">
            <v>0</v>
          </cell>
          <cell r="AJ2747">
            <v>0</v>
          </cell>
          <cell r="AL2747">
            <v>0</v>
          </cell>
          <cell r="AM2747">
            <v>0</v>
          </cell>
          <cell r="AO2747">
            <v>0</v>
          </cell>
          <cell r="AP2747">
            <v>0</v>
          </cell>
          <cell r="AR2747">
            <v>0</v>
          </cell>
          <cell r="AS2747">
            <v>0</v>
          </cell>
          <cell r="BF2747" t="str">
            <v>5400</v>
          </cell>
          <cell r="BG2747" t="str">
            <v>F020</v>
          </cell>
          <cell r="BH2747" t="str">
            <v>BUB</v>
          </cell>
        </row>
        <row r="2748">
          <cell r="K2748">
            <v>0</v>
          </cell>
          <cell r="L2748">
            <v>0</v>
          </cell>
          <cell r="N2748">
            <v>0</v>
          </cell>
          <cell r="O2748">
            <v>0</v>
          </cell>
          <cell r="Q2748">
            <v>0</v>
          </cell>
          <cell r="R2748">
            <v>0</v>
          </cell>
          <cell r="T2748">
            <v>0</v>
          </cell>
          <cell r="U2748">
            <v>0</v>
          </cell>
          <cell r="W2748">
            <v>0</v>
          </cell>
          <cell r="X2748">
            <v>0</v>
          </cell>
          <cell r="Z2748">
            <v>0</v>
          </cell>
          <cell r="AA2748">
            <v>0</v>
          </cell>
          <cell r="AC2748">
            <v>0</v>
          </cell>
          <cell r="AD2748">
            <v>0</v>
          </cell>
          <cell r="AF2748">
            <v>0</v>
          </cell>
          <cell r="AG2748">
            <v>0</v>
          </cell>
          <cell r="AI2748">
            <v>0</v>
          </cell>
          <cell r="AJ2748">
            <v>0</v>
          </cell>
          <cell r="AL2748">
            <v>0</v>
          </cell>
          <cell r="AM2748">
            <v>0</v>
          </cell>
          <cell r="AO2748">
            <v>0</v>
          </cell>
          <cell r="AP2748">
            <v>0</v>
          </cell>
          <cell r="AR2748">
            <v>0</v>
          </cell>
          <cell r="AS2748">
            <v>0</v>
          </cell>
          <cell r="BF2748" t="str">
            <v>5500</v>
          </cell>
          <cell r="BG2748" t="str">
            <v>G001</v>
          </cell>
          <cell r="BH2748" t="str">
            <v>BUB</v>
          </cell>
        </row>
        <row r="2749">
          <cell r="K2749">
            <v>0</v>
          </cell>
          <cell r="L2749">
            <v>0</v>
          </cell>
          <cell r="N2749">
            <v>0</v>
          </cell>
          <cell r="O2749">
            <v>0</v>
          </cell>
          <cell r="Q2749">
            <v>0</v>
          </cell>
          <cell r="R2749">
            <v>0</v>
          </cell>
          <cell r="T2749">
            <v>0</v>
          </cell>
          <cell r="U2749">
            <v>0</v>
          </cell>
          <cell r="W2749">
            <v>0</v>
          </cell>
          <cell r="X2749">
            <v>0</v>
          </cell>
          <cell r="Z2749">
            <v>0</v>
          </cell>
          <cell r="AA2749">
            <v>0</v>
          </cell>
          <cell r="AC2749">
            <v>0</v>
          </cell>
          <cell r="AD2749">
            <v>0</v>
          </cell>
          <cell r="AF2749">
            <v>0</v>
          </cell>
          <cell r="AG2749">
            <v>0</v>
          </cell>
          <cell r="AI2749">
            <v>0</v>
          </cell>
          <cell r="AJ2749">
            <v>0</v>
          </cell>
          <cell r="AL2749">
            <v>0</v>
          </cell>
          <cell r="AM2749">
            <v>0</v>
          </cell>
          <cell r="AO2749">
            <v>0</v>
          </cell>
          <cell r="AP2749">
            <v>0</v>
          </cell>
          <cell r="AR2749">
            <v>0</v>
          </cell>
          <cell r="AS2749">
            <v>0</v>
          </cell>
          <cell r="BF2749" t="str">
            <v>5500</v>
          </cell>
          <cell r="BG2749" t="str">
            <v>G002</v>
          </cell>
          <cell r="BH2749" t="str">
            <v>BUB</v>
          </cell>
        </row>
        <row r="2750">
          <cell r="K2750">
            <v>0</v>
          </cell>
          <cell r="L2750">
            <v>0</v>
          </cell>
          <cell r="N2750">
            <v>0</v>
          </cell>
          <cell r="O2750">
            <v>0</v>
          </cell>
          <cell r="Q2750">
            <v>0</v>
          </cell>
          <cell r="R2750">
            <v>0</v>
          </cell>
          <cell r="T2750">
            <v>0</v>
          </cell>
          <cell r="U2750">
            <v>0</v>
          </cell>
          <cell r="W2750">
            <v>0</v>
          </cell>
          <cell r="X2750">
            <v>0</v>
          </cell>
          <cell r="Z2750">
            <v>0</v>
          </cell>
          <cell r="AA2750">
            <v>0</v>
          </cell>
          <cell r="AC2750">
            <v>0</v>
          </cell>
          <cell r="AD2750">
            <v>0</v>
          </cell>
          <cell r="AF2750">
            <v>0</v>
          </cell>
          <cell r="AG2750">
            <v>0</v>
          </cell>
          <cell r="AI2750">
            <v>0</v>
          </cell>
          <cell r="AJ2750">
            <v>0</v>
          </cell>
          <cell r="AL2750">
            <v>0</v>
          </cell>
          <cell r="AM2750">
            <v>0</v>
          </cell>
          <cell r="AO2750">
            <v>0</v>
          </cell>
          <cell r="AP2750">
            <v>0</v>
          </cell>
          <cell r="AR2750">
            <v>0</v>
          </cell>
          <cell r="AS2750">
            <v>0</v>
          </cell>
          <cell r="BF2750" t="str">
            <v>5500</v>
          </cell>
          <cell r="BG2750" t="str">
            <v>G003</v>
          </cell>
          <cell r="BH2750" t="str">
            <v>BUB</v>
          </cell>
        </row>
        <row r="2751">
          <cell r="K2751">
            <v>0</v>
          </cell>
          <cell r="L2751">
            <v>0</v>
          </cell>
          <cell r="N2751">
            <v>0</v>
          </cell>
          <cell r="O2751">
            <v>0</v>
          </cell>
          <cell r="Q2751">
            <v>0</v>
          </cell>
          <cell r="R2751">
            <v>0</v>
          </cell>
          <cell r="T2751">
            <v>0</v>
          </cell>
          <cell r="U2751">
            <v>0</v>
          </cell>
          <cell r="W2751">
            <v>0</v>
          </cell>
          <cell r="X2751">
            <v>0</v>
          </cell>
          <cell r="Z2751">
            <v>0</v>
          </cell>
          <cell r="AA2751">
            <v>0</v>
          </cell>
          <cell r="AC2751">
            <v>0</v>
          </cell>
          <cell r="AD2751">
            <v>0</v>
          </cell>
          <cell r="AF2751">
            <v>0</v>
          </cell>
          <cell r="AG2751">
            <v>0</v>
          </cell>
          <cell r="AI2751">
            <v>0</v>
          </cell>
          <cell r="AJ2751">
            <v>0</v>
          </cell>
          <cell r="AL2751">
            <v>0</v>
          </cell>
          <cell r="AM2751">
            <v>0</v>
          </cell>
          <cell r="AO2751">
            <v>0</v>
          </cell>
          <cell r="AP2751">
            <v>0</v>
          </cell>
          <cell r="AR2751">
            <v>0</v>
          </cell>
          <cell r="AS2751">
            <v>0</v>
          </cell>
          <cell r="BF2751" t="str">
            <v>5500</v>
          </cell>
          <cell r="BG2751" t="str">
            <v>G004</v>
          </cell>
          <cell r="BH2751" t="str">
            <v>BUB</v>
          </cell>
        </row>
        <row r="2752">
          <cell r="K2752">
            <v>0</v>
          </cell>
          <cell r="L2752">
            <v>0</v>
          </cell>
          <cell r="N2752">
            <v>0</v>
          </cell>
          <cell r="O2752">
            <v>0</v>
          </cell>
          <cell r="Q2752">
            <v>0</v>
          </cell>
          <cell r="R2752">
            <v>0</v>
          </cell>
          <cell r="T2752">
            <v>0</v>
          </cell>
          <cell r="U2752">
            <v>0</v>
          </cell>
          <cell r="W2752">
            <v>0</v>
          </cell>
          <cell r="X2752">
            <v>0</v>
          </cell>
          <cell r="Z2752">
            <v>0</v>
          </cell>
          <cell r="AA2752">
            <v>0</v>
          </cell>
          <cell r="AC2752">
            <v>0</v>
          </cell>
          <cell r="AD2752">
            <v>0</v>
          </cell>
          <cell r="AF2752">
            <v>0</v>
          </cell>
          <cell r="AG2752">
            <v>0</v>
          </cell>
          <cell r="AI2752">
            <v>0</v>
          </cell>
          <cell r="AJ2752">
            <v>0</v>
          </cell>
          <cell r="AL2752">
            <v>0</v>
          </cell>
          <cell r="AM2752">
            <v>0</v>
          </cell>
          <cell r="AO2752">
            <v>0</v>
          </cell>
          <cell r="AP2752">
            <v>0</v>
          </cell>
          <cell r="AR2752">
            <v>0</v>
          </cell>
          <cell r="AS2752">
            <v>0</v>
          </cell>
          <cell r="BF2752" t="str">
            <v>5500</v>
          </cell>
          <cell r="BG2752" t="str">
            <v>G005</v>
          </cell>
          <cell r="BH2752" t="str">
            <v>BUB</v>
          </cell>
        </row>
        <row r="2753">
          <cell r="K2753">
            <v>0</v>
          </cell>
          <cell r="L2753">
            <v>0</v>
          </cell>
          <cell r="N2753">
            <v>0</v>
          </cell>
          <cell r="O2753">
            <v>0</v>
          </cell>
          <cell r="Q2753">
            <v>0</v>
          </cell>
          <cell r="R2753">
            <v>0</v>
          </cell>
          <cell r="T2753">
            <v>0</v>
          </cell>
          <cell r="U2753">
            <v>0</v>
          </cell>
          <cell r="W2753">
            <v>0</v>
          </cell>
          <cell r="X2753">
            <v>0</v>
          </cell>
          <cell r="Z2753">
            <v>0</v>
          </cell>
          <cell r="AA2753">
            <v>0</v>
          </cell>
          <cell r="AC2753">
            <v>0</v>
          </cell>
          <cell r="AD2753">
            <v>0</v>
          </cell>
          <cell r="AF2753">
            <v>0</v>
          </cell>
          <cell r="AG2753">
            <v>0</v>
          </cell>
          <cell r="AI2753">
            <v>0</v>
          </cell>
          <cell r="AJ2753">
            <v>0</v>
          </cell>
          <cell r="AL2753">
            <v>0</v>
          </cell>
          <cell r="AM2753">
            <v>0</v>
          </cell>
          <cell r="AO2753">
            <v>0</v>
          </cell>
          <cell r="AP2753">
            <v>0</v>
          </cell>
          <cell r="AR2753">
            <v>0</v>
          </cell>
          <cell r="AS2753">
            <v>0</v>
          </cell>
          <cell r="BF2753" t="str">
            <v>5500</v>
          </cell>
          <cell r="BG2753" t="str">
            <v>G006</v>
          </cell>
          <cell r="BH2753" t="str">
            <v>BUB</v>
          </cell>
        </row>
        <row r="2754">
          <cell r="K2754">
            <v>0</v>
          </cell>
          <cell r="L2754">
            <v>0</v>
          </cell>
          <cell r="N2754">
            <v>0</v>
          </cell>
          <cell r="O2754">
            <v>0</v>
          </cell>
          <cell r="Q2754">
            <v>0</v>
          </cell>
          <cell r="R2754">
            <v>0</v>
          </cell>
          <cell r="T2754">
            <v>0</v>
          </cell>
          <cell r="U2754">
            <v>0</v>
          </cell>
          <cell r="W2754">
            <v>0</v>
          </cell>
          <cell r="X2754">
            <v>0</v>
          </cell>
          <cell r="Z2754">
            <v>0</v>
          </cell>
          <cell r="AA2754">
            <v>0</v>
          </cell>
          <cell r="AC2754">
            <v>0</v>
          </cell>
          <cell r="AD2754">
            <v>0</v>
          </cell>
          <cell r="AF2754">
            <v>0</v>
          </cell>
          <cell r="AG2754">
            <v>0</v>
          </cell>
          <cell r="AI2754">
            <v>0</v>
          </cell>
          <cell r="AJ2754">
            <v>0</v>
          </cell>
          <cell r="AL2754">
            <v>0</v>
          </cell>
          <cell r="AM2754">
            <v>0</v>
          </cell>
          <cell r="AO2754">
            <v>0</v>
          </cell>
          <cell r="AP2754">
            <v>0</v>
          </cell>
          <cell r="AR2754">
            <v>0</v>
          </cell>
          <cell r="AS2754">
            <v>0</v>
          </cell>
          <cell r="BF2754" t="str">
            <v>5500</v>
          </cell>
          <cell r="BG2754" t="str">
            <v>G007</v>
          </cell>
          <cell r="BH2754" t="str">
            <v>BUB</v>
          </cell>
        </row>
        <row r="2755">
          <cell r="K2755">
            <v>0</v>
          </cell>
          <cell r="L2755">
            <v>0</v>
          </cell>
          <cell r="N2755">
            <v>0</v>
          </cell>
          <cell r="O2755">
            <v>0</v>
          </cell>
          <cell r="Q2755">
            <v>0</v>
          </cell>
          <cell r="R2755">
            <v>0</v>
          </cell>
          <cell r="T2755">
            <v>0</v>
          </cell>
          <cell r="U2755">
            <v>0</v>
          </cell>
          <cell r="W2755">
            <v>0</v>
          </cell>
          <cell r="X2755">
            <v>0</v>
          </cell>
          <cell r="Z2755">
            <v>0</v>
          </cell>
          <cell r="AA2755">
            <v>0</v>
          </cell>
          <cell r="AC2755">
            <v>0</v>
          </cell>
          <cell r="AD2755">
            <v>0</v>
          </cell>
          <cell r="AF2755">
            <v>0</v>
          </cell>
          <cell r="AG2755">
            <v>0</v>
          </cell>
          <cell r="AI2755">
            <v>0</v>
          </cell>
          <cell r="AJ2755">
            <v>0</v>
          </cell>
          <cell r="AL2755">
            <v>0</v>
          </cell>
          <cell r="AM2755">
            <v>0</v>
          </cell>
          <cell r="AO2755">
            <v>0</v>
          </cell>
          <cell r="AP2755">
            <v>0</v>
          </cell>
          <cell r="AR2755">
            <v>0</v>
          </cell>
          <cell r="AS2755">
            <v>0</v>
          </cell>
          <cell r="BF2755" t="str">
            <v>5500</v>
          </cell>
          <cell r="BG2755" t="str">
            <v>G008</v>
          </cell>
          <cell r="BH2755" t="str">
            <v>BUB</v>
          </cell>
        </row>
        <row r="2756">
          <cell r="K2756">
            <v>0</v>
          </cell>
          <cell r="L2756">
            <v>0</v>
          </cell>
          <cell r="N2756">
            <v>0</v>
          </cell>
          <cell r="O2756">
            <v>0</v>
          </cell>
          <cell r="Q2756">
            <v>0</v>
          </cell>
          <cell r="R2756">
            <v>0</v>
          </cell>
          <cell r="T2756">
            <v>0</v>
          </cell>
          <cell r="U2756">
            <v>0</v>
          </cell>
          <cell r="W2756">
            <v>0</v>
          </cell>
          <cell r="X2756">
            <v>0</v>
          </cell>
          <cell r="Z2756">
            <v>0</v>
          </cell>
          <cell r="AA2756">
            <v>0</v>
          </cell>
          <cell r="AC2756">
            <v>0</v>
          </cell>
          <cell r="AD2756">
            <v>0</v>
          </cell>
          <cell r="AF2756">
            <v>0</v>
          </cell>
          <cell r="AG2756">
            <v>0</v>
          </cell>
          <cell r="AI2756">
            <v>0</v>
          </cell>
          <cell r="AJ2756">
            <v>0</v>
          </cell>
          <cell r="AL2756">
            <v>0</v>
          </cell>
          <cell r="AM2756">
            <v>0</v>
          </cell>
          <cell r="AO2756">
            <v>0</v>
          </cell>
          <cell r="AP2756">
            <v>0</v>
          </cell>
          <cell r="AR2756">
            <v>0</v>
          </cell>
          <cell r="AS2756">
            <v>0</v>
          </cell>
          <cell r="BF2756" t="str">
            <v>5500</v>
          </cell>
          <cell r="BG2756" t="str">
            <v>G009</v>
          </cell>
          <cell r="BH2756" t="str">
            <v>BUB</v>
          </cell>
        </row>
        <row r="2757">
          <cell r="K2757">
            <v>0</v>
          </cell>
          <cell r="L2757">
            <v>0</v>
          </cell>
          <cell r="N2757">
            <v>0</v>
          </cell>
          <cell r="O2757">
            <v>0</v>
          </cell>
          <cell r="Q2757">
            <v>0</v>
          </cell>
          <cell r="R2757">
            <v>0</v>
          </cell>
          <cell r="T2757">
            <v>0</v>
          </cell>
          <cell r="U2757">
            <v>0</v>
          </cell>
          <cell r="W2757">
            <v>0</v>
          </cell>
          <cell r="X2757">
            <v>0</v>
          </cell>
          <cell r="Z2757">
            <v>0</v>
          </cell>
          <cell r="AA2757">
            <v>0</v>
          </cell>
          <cell r="AC2757">
            <v>0</v>
          </cell>
          <cell r="AD2757">
            <v>0</v>
          </cell>
          <cell r="AF2757">
            <v>0</v>
          </cell>
          <cell r="AG2757">
            <v>0</v>
          </cell>
          <cell r="AI2757">
            <v>0</v>
          </cell>
          <cell r="AJ2757">
            <v>0</v>
          </cell>
          <cell r="AL2757">
            <v>0</v>
          </cell>
          <cell r="AM2757">
            <v>0</v>
          </cell>
          <cell r="AO2757">
            <v>0</v>
          </cell>
          <cell r="AP2757">
            <v>0</v>
          </cell>
          <cell r="AR2757">
            <v>0</v>
          </cell>
          <cell r="AS2757">
            <v>0</v>
          </cell>
          <cell r="BF2757" t="str">
            <v>5500</v>
          </cell>
          <cell r="BG2757" t="str">
            <v>G010</v>
          </cell>
          <cell r="BH2757" t="str">
            <v>BUB</v>
          </cell>
        </row>
        <row r="2758">
          <cell r="K2758">
            <v>0</v>
          </cell>
          <cell r="L2758">
            <v>0</v>
          </cell>
          <cell r="N2758">
            <v>0</v>
          </cell>
          <cell r="O2758">
            <v>0</v>
          </cell>
          <cell r="Q2758">
            <v>0</v>
          </cell>
          <cell r="R2758">
            <v>0</v>
          </cell>
          <cell r="T2758">
            <v>0</v>
          </cell>
          <cell r="U2758">
            <v>0</v>
          </cell>
          <cell r="W2758">
            <v>0</v>
          </cell>
          <cell r="X2758">
            <v>0</v>
          </cell>
          <cell r="Z2758">
            <v>0</v>
          </cell>
          <cell r="AA2758">
            <v>0</v>
          </cell>
          <cell r="AC2758">
            <v>0</v>
          </cell>
          <cell r="AD2758">
            <v>0</v>
          </cell>
          <cell r="AF2758">
            <v>0</v>
          </cell>
          <cell r="AG2758">
            <v>0</v>
          </cell>
          <cell r="AI2758">
            <v>0</v>
          </cell>
          <cell r="AJ2758">
            <v>0</v>
          </cell>
          <cell r="AL2758">
            <v>0</v>
          </cell>
          <cell r="AM2758">
            <v>0</v>
          </cell>
          <cell r="AO2758">
            <v>0</v>
          </cell>
          <cell r="AP2758">
            <v>0</v>
          </cell>
          <cell r="AR2758">
            <v>0</v>
          </cell>
          <cell r="AS2758">
            <v>0</v>
          </cell>
          <cell r="BF2758" t="str">
            <v>5500</v>
          </cell>
          <cell r="BG2758" t="str">
            <v>G011</v>
          </cell>
          <cell r="BH2758" t="str">
            <v>BUB</v>
          </cell>
        </row>
        <row r="2759">
          <cell r="K2759">
            <v>0</v>
          </cell>
          <cell r="L2759">
            <v>0</v>
          </cell>
          <cell r="N2759">
            <v>0</v>
          </cell>
          <cell r="O2759">
            <v>0</v>
          </cell>
          <cell r="Q2759">
            <v>0</v>
          </cell>
          <cell r="R2759">
            <v>0</v>
          </cell>
          <cell r="T2759">
            <v>0</v>
          </cell>
          <cell r="U2759">
            <v>0</v>
          </cell>
          <cell r="W2759">
            <v>0</v>
          </cell>
          <cell r="X2759">
            <v>0</v>
          </cell>
          <cell r="Z2759">
            <v>0</v>
          </cell>
          <cell r="AA2759">
            <v>0</v>
          </cell>
          <cell r="AC2759">
            <v>0</v>
          </cell>
          <cell r="AD2759">
            <v>0</v>
          </cell>
          <cell r="AF2759">
            <v>0</v>
          </cell>
          <cell r="AG2759">
            <v>0</v>
          </cell>
          <cell r="AI2759">
            <v>0</v>
          </cell>
          <cell r="AJ2759">
            <v>0</v>
          </cell>
          <cell r="AL2759">
            <v>0</v>
          </cell>
          <cell r="AM2759">
            <v>0</v>
          </cell>
          <cell r="AO2759">
            <v>0</v>
          </cell>
          <cell r="AP2759">
            <v>0</v>
          </cell>
          <cell r="AR2759">
            <v>0</v>
          </cell>
          <cell r="AS2759">
            <v>0</v>
          </cell>
          <cell r="BF2759" t="str">
            <v>5500</v>
          </cell>
          <cell r="BG2759" t="str">
            <v>G012</v>
          </cell>
          <cell r="BH2759" t="str">
            <v>BUB</v>
          </cell>
        </row>
        <row r="2760">
          <cell r="K2760">
            <v>0</v>
          </cell>
          <cell r="L2760">
            <v>0</v>
          </cell>
          <cell r="N2760">
            <v>0</v>
          </cell>
          <cell r="O2760">
            <v>0</v>
          </cell>
          <cell r="Q2760">
            <v>0</v>
          </cell>
          <cell r="R2760">
            <v>0</v>
          </cell>
          <cell r="T2760">
            <v>0</v>
          </cell>
          <cell r="U2760">
            <v>0</v>
          </cell>
          <cell r="W2760">
            <v>0</v>
          </cell>
          <cell r="X2760">
            <v>0</v>
          </cell>
          <cell r="Z2760">
            <v>0</v>
          </cell>
          <cell r="AA2760">
            <v>0</v>
          </cell>
          <cell r="AC2760">
            <v>0</v>
          </cell>
          <cell r="AD2760">
            <v>0</v>
          </cell>
          <cell r="AF2760">
            <v>0</v>
          </cell>
          <cell r="AG2760">
            <v>0</v>
          </cell>
          <cell r="AI2760">
            <v>0</v>
          </cell>
          <cell r="AJ2760">
            <v>0</v>
          </cell>
          <cell r="AL2760">
            <v>0</v>
          </cell>
          <cell r="AM2760">
            <v>0</v>
          </cell>
          <cell r="AO2760">
            <v>0</v>
          </cell>
          <cell r="AP2760">
            <v>0</v>
          </cell>
          <cell r="AR2760">
            <v>0</v>
          </cell>
          <cell r="AS2760">
            <v>0</v>
          </cell>
          <cell r="BF2760" t="str">
            <v>5600</v>
          </cell>
          <cell r="BG2760" t="str">
            <v>H001</v>
          </cell>
          <cell r="BH2760" t="str">
            <v>BUB</v>
          </cell>
        </row>
        <row r="2761">
          <cell r="K2761">
            <v>0</v>
          </cell>
          <cell r="L2761">
            <v>0</v>
          </cell>
          <cell r="N2761">
            <v>0</v>
          </cell>
          <cell r="O2761">
            <v>0</v>
          </cell>
          <cell r="Q2761">
            <v>0</v>
          </cell>
          <cell r="R2761">
            <v>0</v>
          </cell>
          <cell r="T2761">
            <v>0</v>
          </cell>
          <cell r="U2761">
            <v>0</v>
          </cell>
          <cell r="W2761">
            <v>0</v>
          </cell>
          <cell r="X2761">
            <v>0</v>
          </cell>
          <cell r="Z2761">
            <v>0</v>
          </cell>
          <cell r="AA2761">
            <v>0</v>
          </cell>
          <cell r="AC2761">
            <v>0</v>
          </cell>
          <cell r="AD2761">
            <v>0</v>
          </cell>
          <cell r="AF2761">
            <v>0</v>
          </cell>
          <cell r="AG2761">
            <v>0</v>
          </cell>
          <cell r="AI2761">
            <v>0</v>
          </cell>
          <cell r="AJ2761">
            <v>0</v>
          </cell>
          <cell r="AL2761">
            <v>0</v>
          </cell>
          <cell r="AM2761">
            <v>0</v>
          </cell>
          <cell r="AO2761">
            <v>0</v>
          </cell>
          <cell r="AP2761">
            <v>0</v>
          </cell>
          <cell r="AR2761">
            <v>0</v>
          </cell>
          <cell r="AS2761">
            <v>0</v>
          </cell>
          <cell r="BF2761" t="str">
            <v>5600</v>
          </cell>
          <cell r="BG2761" t="str">
            <v>H002</v>
          </cell>
          <cell r="BH2761" t="str">
            <v>BUB</v>
          </cell>
        </row>
        <row r="2762">
          <cell r="K2762">
            <v>0</v>
          </cell>
          <cell r="L2762">
            <v>0</v>
          </cell>
          <cell r="N2762">
            <v>0</v>
          </cell>
          <cell r="O2762">
            <v>0</v>
          </cell>
          <cell r="Q2762">
            <v>0</v>
          </cell>
          <cell r="R2762">
            <v>0</v>
          </cell>
          <cell r="T2762">
            <v>0</v>
          </cell>
          <cell r="U2762">
            <v>0</v>
          </cell>
          <cell r="W2762">
            <v>0</v>
          </cell>
          <cell r="X2762">
            <v>0</v>
          </cell>
          <cell r="Z2762">
            <v>0</v>
          </cell>
          <cell r="AA2762">
            <v>0</v>
          </cell>
          <cell r="AC2762">
            <v>0</v>
          </cell>
          <cell r="AD2762">
            <v>0</v>
          </cell>
          <cell r="AF2762">
            <v>0</v>
          </cell>
          <cell r="AG2762">
            <v>0</v>
          </cell>
          <cell r="AI2762">
            <v>0</v>
          </cell>
          <cell r="AJ2762">
            <v>0</v>
          </cell>
          <cell r="AL2762">
            <v>0</v>
          </cell>
          <cell r="AM2762">
            <v>0</v>
          </cell>
          <cell r="AO2762">
            <v>0</v>
          </cell>
          <cell r="AP2762">
            <v>0</v>
          </cell>
          <cell r="AR2762">
            <v>0</v>
          </cell>
          <cell r="AS2762">
            <v>0</v>
          </cell>
          <cell r="BF2762" t="str">
            <v>5600</v>
          </cell>
          <cell r="BG2762" t="str">
            <v>H003</v>
          </cell>
          <cell r="BH2762" t="str">
            <v>BUB</v>
          </cell>
        </row>
        <row r="2763">
          <cell r="K2763">
            <v>0</v>
          </cell>
          <cell r="L2763">
            <v>0</v>
          </cell>
          <cell r="N2763">
            <v>0</v>
          </cell>
          <cell r="O2763">
            <v>0</v>
          </cell>
          <cell r="Q2763">
            <v>0</v>
          </cell>
          <cell r="R2763">
            <v>0</v>
          </cell>
          <cell r="T2763">
            <v>0</v>
          </cell>
          <cell r="U2763">
            <v>0</v>
          </cell>
          <cell r="W2763">
            <v>0</v>
          </cell>
          <cell r="X2763">
            <v>0</v>
          </cell>
          <cell r="Z2763">
            <v>0</v>
          </cell>
          <cell r="AA2763">
            <v>0</v>
          </cell>
          <cell r="AC2763">
            <v>0</v>
          </cell>
          <cell r="AD2763">
            <v>0</v>
          </cell>
          <cell r="AF2763">
            <v>0</v>
          </cell>
          <cell r="AG2763">
            <v>0</v>
          </cell>
          <cell r="AI2763">
            <v>0</v>
          </cell>
          <cell r="AJ2763">
            <v>0</v>
          </cell>
          <cell r="AL2763">
            <v>0</v>
          </cell>
          <cell r="AM2763">
            <v>0</v>
          </cell>
          <cell r="AO2763">
            <v>0</v>
          </cell>
          <cell r="AP2763">
            <v>0</v>
          </cell>
          <cell r="AR2763">
            <v>0</v>
          </cell>
          <cell r="AS2763">
            <v>0</v>
          </cell>
          <cell r="BF2763" t="str">
            <v>5600</v>
          </cell>
          <cell r="BG2763" t="str">
            <v>H004</v>
          </cell>
          <cell r="BH2763" t="str">
            <v>BUB</v>
          </cell>
        </row>
        <row r="2764">
          <cell r="K2764">
            <v>0</v>
          </cell>
          <cell r="L2764">
            <v>0</v>
          </cell>
          <cell r="N2764">
            <v>0</v>
          </cell>
          <cell r="O2764">
            <v>0</v>
          </cell>
          <cell r="Q2764">
            <v>0</v>
          </cell>
          <cell r="R2764">
            <v>0</v>
          </cell>
          <cell r="T2764">
            <v>0</v>
          </cell>
          <cell r="U2764">
            <v>0</v>
          </cell>
          <cell r="W2764">
            <v>0</v>
          </cell>
          <cell r="X2764">
            <v>0</v>
          </cell>
          <cell r="Z2764">
            <v>0</v>
          </cell>
          <cell r="AA2764">
            <v>0</v>
          </cell>
          <cell r="AC2764">
            <v>0</v>
          </cell>
          <cell r="AD2764">
            <v>0</v>
          </cell>
          <cell r="AF2764">
            <v>0</v>
          </cell>
          <cell r="AG2764">
            <v>0</v>
          </cell>
          <cell r="AI2764">
            <v>0</v>
          </cell>
          <cell r="AJ2764">
            <v>0</v>
          </cell>
          <cell r="AL2764">
            <v>0</v>
          </cell>
          <cell r="AM2764">
            <v>0</v>
          </cell>
          <cell r="AO2764">
            <v>0</v>
          </cell>
          <cell r="AP2764">
            <v>0</v>
          </cell>
          <cell r="AR2764">
            <v>0</v>
          </cell>
          <cell r="AS2764">
            <v>0</v>
          </cell>
          <cell r="BF2764" t="str">
            <v>5600</v>
          </cell>
          <cell r="BG2764" t="str">
            <v>H005</v>
          </cell>
          <cell r="BH2764" t="str">
            <v>BUB</v>
          </cell>
        </row>
        <row r="2765">
          <cell r="K2765">
            <v>0</v>
          </cell>
          <cell r="L2765">
            <v>0</v>
          </cell>
          <cell r="N2765">
            <v>0</v>
          </cell>
          <cell r="O2765">
            <v>0</v>
          </cell>
          <cell r="Q2765">
            <v>0</v>
          </cell>
          <cell r="R2765">
            <v>0</v>
          </cell>
          <cell r="T2765">
            <v>0</v>
          </cell>
          <cell r="U2765">
            <v>0</v>
          </cell>
          <cell r="W2765">
            <v>0</v>
          </cell>
          <cell r="X2765">
            <v>0</v>
          </cell>
          <cell r="Z2765">
            <v>0</v>
          </cell>
          <cell r="AA2765">
            <v>0</v>
          </cell>
          <cell r="AC2765">
            <v>0</v>
          </cell>
          <cell r="AD2765">
            <v>0</v>
          </cell>
          <cell r="AF2765">
            <v>0</v>
          </cell>
          <cell r="AG2765">
            <v>0</v>
          </cell>
          <cell r="AI2765">
            <v>0</v>
          </cell>
          <cell r="AJ2765">
            <v>0</v>
          </cell>
          <cell r="AL2765">
            <v>0</v>
          </cell>
          <cell r="AM2765">
            <v>0</v>
          </cell>
          <cell r="AO2765">
            <v>0</v>
          </cell>
          <cell r="AP2765">
            <v>0</v>
          </cell>
          <cell r="AR2765">
            <v>0</v>
          </cell>
          <cell r="AS2765">
            <v>0</v>
          </cell>
          <cell r="BF2765" t="str">
            <v>5600</v>
          </cell>
          <cell r="BG2765" t="str">
            <v>H006</v>
          </cell>
          <cell r="BH2765" t="str">
            <v>BUB</v>
          </cell>
        </row>
        <row r="2766">
          <cell r="K2766">
            <v>0</v>
          </cell>
          <cell r="L2766">
            <v>0</v>
          </cell>
          <cell r="N2766">
            <v>0</v>
          </cell>
          <cell r="O2766">
            <v>0</v>
          </cell>
          <cell r="Q2766">
            <v>0</v>
          </cell>
          <cell r="R2766">
            <v>0</v>
          </cell>
          <cell r="T2766">
            <v>0</v>
          </cell>
          <cell r="U2766">
            <v>0</v>
          </cell>
          <cell r="W2766">
            <v>0</v>
          </cell>
          <cell r="X2766">
            <v>0</v>
          </cell>
          <cell r="Z2766">
            <v>0</v>
          </cell>
          <cell r="AA2766">
            <v>0</v>
          </cell>
          <cell r="AC2766">
            <v>0</v>
          </cell>
          <cell r="AD2766">
            <v>0</v>
          </cell>
          <cell r="AF2766">
            <v>0</v>
          </cell>
          <cell r="AG2766">
            <v>0</v>
          </cell>
          <cell r="AI2766">
            <v>0</v>
          </cell>
          <cell r="AJ2766">
            <v>0</v>
          </cell>
          <cell r="AL2766">
            <v>0</v>
          </cell>
          <cell r="AM2766">
            <v>0</v>
          </cell>
          <cell r="AO2766">
            <v>0</v>
          </cell>
          <cell r="AP2766">
            <v>0</v>
          </cell>
          <cell r="AR2766">
            <v>0</v>
          </cell>
          <cell r="AS2766">
            <v>0</v>
          </cell>
          <cell r="BF2766" t="str">
            <v>5600</v>
          </cell>
          <cell r="BG2766" t="str">
            <v>H007</v>
          </cell>
          <cell r="BH2766" t="str">
            <v>BUB</v>
          </cell>
        </row>
        <row r="2767">
          <cell r="K2767">
            <v>0</v>
          </cell>
          <cell r="L2767">
            <v>0</v>
          </cell>
          <cell r="N2767">
            <v>0</v>
          </cell>
          <cell r="O2767">
            <v>0</v>
          </cell>
          <cell r="Q2767">
            <v>0</v>
          </cell>
          <cell r="R2767">
            <v>0</v>
          </cell>
          <cell r="T2767">
            <v>0</v>
          </cell>
          <cell r="U2767">
            <v>0</v>
          </cell>
          <cell r="W2767">
            <v>0</v>
          </cell>
          <cell r="X2767">
            <v>0</v>
          </cell>
          <cell r="Z2767">
            <v>0</v>
          </cell>
          <cell r="AA2767">
            <v>0</v>
          </cell>
          <cell r="AC2767">
            <v>0</v>
          </cell>
          <cell r="AD2767">
            <v>0</v>
          </cell>
          <cell r="AF2767">
            <v>0</v>
          </cell>
          <cell r="AG2767">
            <v>0</v>
          </cell>
          <cell r="AI2767">
            <v>0</v>
          </cell>
          <cell r="AJ2767">
            <v>0</v>
          </cell>
          <cell r="AL2767">
            <v>0</v>
          </cell>
          <cell r="AM2767">
            <v>0</v>
          </cell>
          <cell r="AO2767">
            <v>0</v>
          </cell>
          <cell r="AP2767">
            <v>0</v>
          </cell>
          <cell r="AR2767">
            <v>0</v>
          </cell>
          <cell r="AS2767">
            <v>0</v>
          </cell>
          <cell r="BF2767" t="str">
            <v>5600</v>
          </cell>
          <cell r="BG2767" t="str">
            <v>H008</v>
          </cell>
          <cell r="BH2767" t="str">
            <v>BUB</v>
          </cell>
        </row>
        <row r="2768">
          <cell r="K2768">
            <v>0</v>
          </cell>
          <cell r="L2768">
            <v>0</v>
          </cell>
          <cell r="N2768">
            <v>0</v>
          </cell>
          <cell r="O2768">
            <v>0</v>
          </cell>
          <cell r="Q2768">
            <v>0</v>
          </cell>
          <cell r="R2768">
            <v>0</v>
          </cell>
          <cell r="T2768">
            <v>0</v>
          </cell>
          <cell r="U2768">
            <v>0</v>
          </cell>
          <cell r="W2768">
            <v>0</v>
          </cell>
          <cell r="X2768">
            <v>0</v>
          </cell>
          <cell r="Z2768">
            <v>0</v>
          </cell>
          <cell r="AA2768">
            <v>0</v>
          </cell>
          <cell r="AC2768">
            <v>0</v>
          </cell>
          <cell r="AD2768">
            <v>0</v>
          </cell>
          <cell r="AF2768">
            <v>0</v>
          </cell>
          <cell r="AG2768">
            <v>0</v>
          </cell>
          <cell r="AI2768">
            <v>0</v>
          </cell>
          <cell r="AJ2768">
            <v>0</v>
          </cell>
          <cell r="AL2768">
            <v>0</v>
          </cell>
          <cell r="AM2768">
            <v>0</v>
          </cell>
          <cell r="AO2768">
            <v>0</v>
          </cell>
          <cell r="AP2768">
            <v>0</v>
          </cell>
          <cell r="AR2768">
            <v>0</v>
          </cell>
          <cell r="AS2768">
            <v>0</v>
          </cell>
          <cell r="BF2768" t="str">
            <v>5700</v>
          </cell>
          <cell r="BG2768" t="str">
            <v>I001</v>
          </cell>
          <cell r="BH2768" t="str">
            <v>BUB</v>
          </cell>
        </row>
        <row r="2769">
          <cell r="K2769">
            <v>0</v>
          </cell>
          <cell r="L2769">
            <v>0</v>
          </cell>
          <cell r="N2769">
            <v>0</v>
          </cell>
          <cell r="O2769">
            <v>0</v>
          </cell>
          <cell r="Q2769">
            <v>0</v>
          </cell>
          <cell r="R2769">
            <v>0</v>
          </cell>
          <cell r="T2769">
            <v>0</v>
          </cell>
          <cell r="U2769">
            <v>0</v>
          </cell>
          <cell r="W2769">
            <v>0</v>
          </cell>
          <cell r="X2769">
            <v>0</v>
          </cell>
          <cell r="Z2769">
            <v>0</v>
          </cell>
          <cell r="AA2769">
            <v>0</v>
          </cell>
          <cell r="AC2769">
            <v>0</v>
          </cell>
          <cell r="AD2769">
            <v>0</v>
          </cell>
          <cell r="AF2769">
            <v>0</v>
          </cell>
          <cell r="AG2769">
            <v>0</v>
          </cell>
          <cell r="AI2769">
            <v>0</v>
          </cell>
          <cell r="AJ2769">
            <v>0</v>
          </cell>
          <cell r="AL2769">
            <v>0</v>
          </cell>
          <cell r="AM2769">
            <v>0</v>
          </cell>
          <cell r="AO2769">
            <v>0</v>
          </cell>
          <cell r="AP2769">
            <v>0</v>
          </cell>
          <cell r="AR2769">
            <v>0</v>
          </cell>
          <cell r="AS2769">
            <v>0</v>
          </cell>
          <cell r="BF2769" t="str">
            <v>5700</v>
          </cell>
          <cell r="BG2769" t="str">
            <v>I002</v>
          </cell>
          <cell r="BH2769" t="str">
            <v>BUB</v>
          </cell>
        </row>
        <row r="2770">
          <cell r="K2770">
            <v>0</v>
          </cell>
          <cell r="L2770">
            <v>0</v>
          </cell>
          <cell r="N2770">
            <v>0</v>
          </cell>
          <cell r="O2770">
            <v>0</v>
          </cell>
          <cell r="Q2770">
            <v>0</v>
          </cell>
          <cell r="R2770">
            <v>0</v>
          </cell>
          <cell r="T2770">
            <v>0</v>
          </cell>
          <cell r="U2770">
            <v>0</v>
          </cell>
          <cell r="W2770">
            <v>0</v>
          </cell>
          <cell r="X2770">
            <v>0</v>
          </cell>
          <cell r="Z2770">
            <v>0</v>
          </cell>
          <cell r="AA2770">
            <v>0</v>
          </cell>
          <cell r="AC2770">
            <v>0</v>
          </cell>
          <cell r="AD2770">
            <v>0</v>
          </cell>
          <cell r="AF2770">
            <v>0</v>
          </cell>
          <cell r="AG2770">
            <v>0</v>
          </cell>
          <cell r="AI2770">
            <v>0</v>
          </cell>
          <cell r="AJ2770">
            <v>0</v>
          </cell>
          <cell r="AL2770">
            <v>0</v>
          </cell>
          <cell r="AM2770">
            <v>0</v>
          </cell>
          <cell r="AO2770">
            <v>0</v>
          </cell>
          <cell r="AP2770">
            <v>0</v>
          </cell>
          <cell r="AR2770">
            <v>0</v>
          </cell>
          <cell r="AS2770">
            <v>0</v>
          </cell>
          <cell r="BF2770" t="str">
            <v>5700</v>
          </cell>
          <cell r="BG2770" t="str">
            <v>I003</v>
          </cell>
          <cell r="BH2770" t="str">
            <v>BUB</v>
          </cell>
        </row>
        <row r="2771">
          <cell r="K2771">
            <v>0</v>
          </cell>
          <cell r="L2771">
            <v>0</v>
          </cell>
          <cell r="N2771">
            <v>0</v>
          </cell>
          <cell r="O2771">
            <v>0</v>
          </cell>
          <cell r="Q2771">
            <v>0</v>
          </cell>
          <cell r="R2771">
            <v>0</v>
          </cell>
          <cell r="T2771">
            <v>0</v>
          </cell>
          <cell r="U2771">
            <v>0</v>
          </cell>
          <cell r="W2771">
            <v>0</v>
          </cell>
          <cell r="X2771">
            <v>0</v>
          </cell>
          <cell r="Z2771">
            <v>0</v>
          </cell>
          <cell r="AA2771">
            <v>0</v>
          </cell>
          <cell r="AC2771">
            <v>0</v>
          </cell>
          <cell r="AD2771">
            <v>0</v>
          </cell>
          <cell r="AF2771">
            <v>0</v>
          </cell>
          <cell r="AG2771">
            <v>0</v>
          </cell>
          <cell r="AI2771">
            <v>0</v>
          </cell>
          <cell r="AJ2771">
            <v>0</v>
          </cell>
          <cell r="AL2771">
            <v>0</v>
          </cell>
          <cell r="AM2771">
            <v>0</v>
          </cell>
          <cell r="AO2771">
            <v>0</v>
          </cell>
          <cell r="AP2771">
            <v>0</v>
          </cell>
          <cell r="AR2771">
            <v>0</v>
          </cell>
          <cell r="AS2771">
            <v>0</v>
          </cell>
          <cell r="BF2771" t="str">
            <v>5700</v>
          </cell>
          <cell r="BG2771" t="str">
            <v>I004</v>
          </cell>
          <cell r="BH2771" t="str">
            <v>BUB</v>
          </cell>
        </row>
        <row r="2772">
          <cell r="K2772">
            <v>0</v>
          </cell>
          <cell r="L2772">
            <v>0</v>
          </cell>
          <cell r="N2772">
            <v>0</v>
          </cell>
          <cell r="O2772">
            <v>0</v>
          </cell>
          <cell r="Q2772">
            <v>0</v>
          </cell>
          <cell r="R2772">
            <v>0</v>
          </cell>
          <cell r="T2772">
            <v>0</v>
          </cell>
          <cell r="U2772">
            <v>0</v>
          </cell>
          <cell r="W2772">
            <v>0</v>
          </cell>
          <cell r="X2772">
            <v>0</v>
          </cell>
          <cell r="Z2772">
            <v>0</v>
          </cell>
          <cell r="AA2772">
            <v>0</v>
          </cell>
          <cell r="AC2772">
            <v>0</v>
          </cell>
          <cell r="AD2772">
            <v>0</v>
          </cell>
          <cell r="AF2772">
            <v>0</v>
          </cell>
          <cell r="AG2772">
            <v>0</v>
          </cell>
          <cell r="AI2772">
            <v>0</v>
          </cell>
          <cell r="AJ2772">
            <v>0</v>
          </cell>
          <cell r="AL2772">
            <v>0</v>
          </cell>
          <cell r="AM2772">
            <v>0</v>
          </cell>
          <cell r="AO2772">
            <v>0</v>
          </cell>
          <cell r="AP2772">
            <v>0</v>
          </cell>
          <cell r="AR2772">
            <v>0</v>
          </cell>
          <cell r="AS2772">
            <v>0</v>
          </cell>
          <cell r="BF2772" t="str">
            <v>5700</v>
          </cell>
          <cell r="BG2772" t="str">
            <v>I005</v>
          </cell>
          <cell r="BH2772" t="str">
            <v>BUB</v>
          </cell>
        </row>
        <row r="2773">
          <cell r="K2773">
            <v>0</v>
          </cell>
          <cell r="L2773">
            <v>0</v>
          </cell>
          <cell r="N2773">
            <v>0</v>
          </cell>
          <cell r="O2773">
            <v>0</v>
          </cell>
          <cell r="Q2773">
            <v>0</v>
          </cell>
          <cell r="R2773">
            <v>0</v>
          </cell>
          <cell r="T2773">
            <v>0</v>
          </cell>
          <cell r="U2773">
            <v>0</v>
          </cell>
          <cell r="W2773">
            <v>0</v>
          </cell>
          <cell r="X2773">
            <v>0</v>
          </cell>
          <cell r="Z2773">
            <v>0</v>
          </cell>
          <cell r="AA2773">
            <v>0</v>
          </cell>
          <cell r="AC2773">
            <v>0</v>
          </cell>
          <cell r="AD2773">
            <v>0</v>
          </cell>
          <cell r="AF2773">
            <v>0</v>
          </cell>
          <cell r="AG2773">
            <v>0</v>
          </cell>
          <cell r="AI2773">
            <v>0</v>
          </cell>
          <cell r="AJ2773">
            <v>0</v>
          </cell>
          <cell r="AL2773">
            <v>0</v>
          </cell>
          <cell r="AM2773">
            <v>0</v>
          </cell>
          <cell r="AO2773">
            <v>0</v>
          </cell>
          <cell r="AP2773">
            <v>0</v>
          </cell>
          <cell r="AR2773">
            <v>0</v>
          </cell>
          <cell r="AS2773">
            <v>0</v>
          </cell>
          <cell r="BF2773" t="str">
            <v>5700</v>
          </cell>
          <cell r="BG2773" t="str">
            <v>I006</v>
          </cell>
          <cell r="BH2773" t="str">
            <v>BUB</v>
          </cell>
        </row>
        <row r="2774">
          <cell r="K2774">
            <v>0</v>
          </cell>
          <cell r="L2774">
            <v>0</v>
          </cell>
          <cell r="N2774">
            <v>0</v>
          </cell>
          <cell r="O2774">
            <v>0</v>
          </cell>
          <cell r="Q2774">
            <v>0</v>
          </cell>
          <cell r="R2774">
            <v>0</v>
          </cell>
          <cell r="T2774">
            <v>-320212.33</v>
          </cell>
          <cell r="U2774">
            <v>0</v>
          </cell>
          <cell r="W2774">
            <v>-682579.56999999983</v>
          </cell>
          <cell r="X2774">
            <v>0</v>
          </cell>
          <cell r="Z2774">
            <v>-455162.50999999989</v>
          </cell>
          <cell r="AA2774">
            <v>0</v>
          </cell>
          <cell r="AC2774">
            <v>-520965.57999999984</v>
          </cell>
          <cell r="AD2774">
            <v>0</v>
          </cell>
          <cell r="AF2774">
            <v>-266459.90000000061</v>
          </cell>
          <cell r="AG2774">
            <v>0</v>
          </cell>
          <cell r="AI2774">
            <v>-283092.4599999995</v>
          </cell>
          <cell r="AJ2774">
            <v>0</v>
          </cell>
          <cell r="AL2774">
            <v>-140156.89000000013</v>
          </cell>
          <cell r="AM2774">
            <v>0</v>
          </cell>
          <cell r="AO2774">
            <v>-206708.03999999957</v>
          </cell>
          <cell r="AP2774">
            <v>0</v>
          </cell>
          <cell r="AR2774">
            <v>-326918.30999999959</v>
          </cell>
          <cell r="AS2774">
            <v>0</v>
          </cell>
          <cell r="BF2774" t="str">
            <v>5700</v>
          </cell>
          <cell r="BG2774" t="str">
            <v>I007</v>
          </cell>
          <cell r="BH2774" t="str">
            <v>BUB</v>
          </cell>
        </row>
        <row r="2775">
          <cell r="K2775">
            <v>0</v>
          </cell>
          <cell r="L2775">
            <v>0</v>
          </cell>
          <cell r="N2775">
            <v>0</v>
          </cell>
          <cell r="O2775">
            <v>0</v>
          </cell>
          <cell r="Q2775">
            <v>0</v>
          </cell>
          <cell r="R2775">
            <v>0</v>
          </cell>
          <cell r="T2775">
            <v>0</v>
          </cell>
          <cell r="U2775">
            <v>0</v>
          </cell>
          <cell r="W2775">
            <v>0</v>
          </cell>
          <cell r="X2775">
            <v>0</v>
          </cell>
          <cell r="Z2775">
            <v>0</v>
          </cell>
          <cell r="AA2775">
            <v>0</v>
          </cell>
          <cell r="AC2775">
            <v>0</v>
          </cell>
          <cell r="AD2775">
            <v>0</v>
          </cell>
          <cell r="AF2775">
            <v>0</v>
          </cell>
          <cell r="AG2775">
            <v>0</v>
          </cell>
          <cell r="AI2775">
            <v>0</v>
          </cell>
          <cell r="AJ2775">
            <v>0</v>
          </cell>
          <cell r="AL2775">
            <v>0</v>
          </cell>
          <cell r="AM2775">
            <v>0</v>
          </cell>
          <cell r="AO2775">
            <v>0</v>
          </cell>
          <cell r="AP2775">
            <v>0</v>
          </cell>
          <cell r="AR2775">
            <v>0</v>
          </cell>
          <cell r="AS2775">
            <v>0</v>
          </cell>
          <cell r="BF2775" t="str">
            <v>5700</v>
          </cell>
          <cell r="BG2775" t="str">
            <v>I008</v>
          </cell>
          <cell r="BH2775" t="str">
            <v>BUB</v>
          </cell>
        </row>
        <row r="2776">
          <cell r="K2776">
            <v>0</v>
          </cell>
          <cell r="L2776">
            <v>0</v>
          </cell>
          <cell r="N2776">
            <v>0</v>
          </cell>
          <cell r="O2776">
            <v>0</v>
          </cell>
          <cell r="Q2776">
            <v>0</v>
          </cell>
          <cell r="R2776">
            <v>0</v>
          </cell>
          <cell r="T2776">
            <v>0</v>
          </cell>
          <cell r="U2776">
            <v>0</v>
          </cell>
          <cell r="W2776">
            <v>0</v>
          </cell>
          <cell r="X2776">
            <v>0</v>
          </cell>
          <cell r="Z2776">
            <v>0</v>
          </cell>
          <cell r="AA2776">
            <v>0</v>
          </cell>
          <cell r="AC2776">
            <v>0</v>
          </cell>
          <cell r="AD2776">
            <v>0</v>
          </cell>
          <cell r="AF2776">
            <v>0</v>
          </cell>
          <cell r="AG2776">
            <v>0</v>
          </cell>
          <cell r="AI2776">
            <v>0</v>
          </cell>
          <cell r="AJ2776">
            <v>0</v>
          </cell>
          <cell r="AL2776">
            <v>0</v>
          </cell>
          <cell r="AM2776">
            <v>0</v>
          </cell>
          <cell r="AO2776">
            <v>0</v>
          </cell>
          <cell r="AP2776">
            <v>0</v>
          </cell>
          <cell r="AR2776">
            <v>0</v>
          </cell>
          <cell r="AS2776">
            <v>0</v>
          </cell>
          <cell r="BF2776" t="str">
            <v>5700</v>
          </cell>
          <cell r="BG2776" t="str">
            <v>I009</v>
          </cell>
          <cell r="BH2776" t="str">
            <v>BUB</v>
          </cell>
        </row>
        <row r="2777">
          <cell r="K2777">
            <v>0</v>
          </cell>
          <cell r="L2777">
            <v>0</v>
          </cell>
          <cell r="N2777">
            <v>0</v>
          </cell>
          <cell r="O2777">
            <v>0</v>
          </cell>
          <cell r="Q2777">
            <v>0</v>
          </cell>
          <cell r="R2777">
            <v>0</v>
          </cell>
          <cell r="T2777">
            <v>0</v>
          </cell>
          <cell r="U2777">
            <v>0</v>
          </cell>
          <cell r="W2777">
            <v>0</v>
          </cell>
          <cell r="X2777">
            <v>0</v>
          </cell>
          <cell r="Z2777">
            <v>0</v>
          </cell>
          <cell r="AA2777">
            <v>0</v>
          </cell>
          <cell r="AC2777">
            <v>0</v>
          </cell>
          <cell r="AD2777">
            <v>0</v>
          </cell>
          <cell r="AF2777">
            <v>0</v>
          </cell>
          <cell r="AG2777">
            <v>0</v>
          </cell>
          <cell r="AI2777">
            <v>0</v>
          </cell>
          <cell r="AJ2777">
            <v>0</v>
          </cell>
          <cell r="AL2777">
            <v>0</v>
          </cell>
          <cell r="AM2777">
            <v>0</v>
          </cell>
          <cell r="AO2777">
            <v>0</v>
          </cell>
          <cell r="AP2777">
            <v>0</v>
          </cell>
          <cell r="AR2777">
            <v>0</v>
          </cell>
          <cell r="AS2777">
            <v>0</v>
          </cell>
          <cell r="BF2777" t="str">
            <v>5700</v>
          </cell>
          <cell r="BG2777" t="str">
            <v>I010</v>
          </cell>
          <cell r="BH2777" t="str">
            <v>BUB</v>
          </cell>
        </row>
        <row r="2778">
          <cell r="K2778">
            <v>0</v>
          </cell>
          <cell r="L2778">
            <v>0</v>
          </cell>
          <cell r="N2778">
            <v>0</v>
          </cell>
          <cell r="O2778">
            <v>0</v>
          </cell>
          <cell r="Q2778">
            <v>0</v>
          </cell>
          <cell r="R2778">
            <v>0</v>
          </cell>
          <cell r="T2778">
            <v>0</v>
          </cell>
          <cell r="U2778">
            <v>0</v>
          </cell>
          <cell r="W2778">
            <v>0</v>
          </cell>
          <cell r="X2778">
            <v>0</v>
          </cell>
          <cell r="Z2778">
            <v>0</v>
          </cell>
          <cell r="AA2778">
            <v>0</v>
          </cell>
          <cell r="AC2778">
            <v>0</v>
          </cell>
          <cell r="AD2778">
            <v>0</v>
          </cell>
          <cell r="AF2778">
            <v>0</v>
          </cell>
          <cell r="AG2778">
            <v>0</v>
          </cell>
          <cell r="AI2778">
            <v>0</v>
          </cell>
          <cell r="AJ2778">
            <v>0</v>
          </cell>
          <cell r="AL2778">
            <v>0</v>
          </cell>
          <cell r="AM2778">
            <v>0</v>
          </cell>
          <cell r="AO2778">
            <v>0</v>
          </cell>
          <cell r="AP2778">
            <v>0</v>
          </cell>
          <cell r="AR2778">
            <v>0</v>
          </cell>
          <cell r="AS2778">
            <v>0</v>
          </cell>
          <cell r="BF2778" t="str">
            <v>5700</v>
          </cell>
          <cell r="BG2778" t="str">
            <v>I011</v>
          </cell>
          <cell r="BH2778" t="str">
            <v>BUB</v>
          </cell>
        </row>
        <row r="2779">
          <cell r="K2779">
            <v>0</v>
          </cell>
          <cell r="L2779">
            <v>0</v>
          </cell>
          <cell r="N2779">
            <v>0</v>
          </cell>
          <cell r="O2779">
            <v>0</v>
          </cell>
          <cell r="Q2779">
            <v>0</v>
          </cell>
          <cell r="R2779">
            <v>0</v>
          </cell>
          <cell r="T2779">
            <v>0</v>
          </cell>
          <cell r="U2779">
            <v>0</v>
          </cell>
          <cell r="W2779">
            <v>0</v>
          </cell>
          <cell r="X2779">
            <v>0</v>
          </cell>
          <cell r="Z2779">
            <v>0</v>
          </cell>
          <cell r="AA2779">
            <v>0</v>
          </cell>
          <cell r="AC2779">
            <v>0</v>
          </cell>
          <cell r="AD2779">
            <v>0</v>
          </cell>
          <cell r="AF2779">
            <v>0</v>
          </cell>
          <cell r="AG2779">
            <v>0</v>
          </cell>
          <cell r="AI2779">
            <v>0</v>
          </cell>
          <cell r="AJ2779">
            <v>0</v>
          </cell>
          <cell r="AL2779">
            <v>0</v>
          </cell>
          <cell r="AM2779">
            <v>0</v>
          </cell>
          <cell r="AO2779">
            <v>0</v>
          </cell>
          <cell r="AP2779">
            <v>0</v>
          </cell>
          <cell r="AR2779">
            <v>0</v>
          </cell>
          <cell r="AS2779">
            <v>0</v>
          </cell>
          <cell r="BF2779" t="str">
            <v>5700</v>
          </cell>
          <cell r="BG2779" t="str">
            <v>I012</v>
          </cell>
          <cell r="BH2779" t="str">
            <v>BUB</v>
          </cell>
        </row>
        <row r="2780">
          <cell r="K2780">
            <v>0</v>
          </cell>
          <cell r="L2780">
            <v>0</v>
          </cell>
          <cell r="N2780">
            <v>0</v>
          </cell>
          <cell r="O2780">
            <v>0</v>
          </cell>
          <cell r="Q2780">
            <v>0</v>
          </cell>
          <cell r="R2780">
            <v>0</v>
          </cell>
          <cell r="T2780">
            <v>0</v>
          </cell>
          <cell r="U2780">
            <v>0</v>
          </cell>
          <cell r="W2780">
            <v>0</v>
          </cell>
          <cell r="X2780">
            <v>0</v>
          </cell>
          <cell r="Z2780">
            <v>0</v>
          </cell>
          <cell r="AA2780">
            <v>0</v>
          </cell>
          <cell r="AC2780">
            <v>0</v>
          </cell>
          <cell r="AD2780">
            <v>0</v>
          </cell>
          <cell r="AF2780">
            <v>0</v>
          </cell>
          <cell r="AG2780">
            <v>0</v>
          </cell>
          <cell r="AI2780">
            <v>0</v>
          </cell>
          <cell r="AJ2780">
            <v>0</v>
          </cell>
          <cell r="AL2780">
            <v>0</v>
          </cell>
          <cell r="AM2780">
            <v>0</v>
          </cell>
          <cell r="AO2780">
            <v>0</v>
          </cell>
          <cell r="AP2780">
            <v>0</v>
          </cell>
          <cell r="AR2780">
            <v>0</v>
          </cell>
          <cell r="AS2780">
            <v>0</v>
          </cell>
          <cell r="BF2780" t="str">
            <v>5700</v>
          </cell>
          <cell r="BG2780" t="str">
            <v>I014</v>
          </cell>
          <cell r="BH2780" t="str">
            <v>BUB</v>
          </cell>
        </row>
        <row r="2781">
          <cell r="K2781">
            <v>0</v>
          </cell>
          <cell r="L2781">
            <v>0</v>
          </cell>
          <cell r="N2781">
            <v>0</v>
          </cell>
          <cell r="O2781">
            <v>0</v>
          </cell>
          <cell r="Q2781">
            <v>0</v>
          </cell>
          <cell r="R2781">
            <v>0</v>
          </cell>
          <cell r="T2781">
            <v>0</v>
          </cell>
          <cell r="U2781">
            <v>0</v>
          </cell>
          <cell r="W2781">
            <v>0</v>
          </cell>
          <cell r="X2781">
            <v>0</v>
          </cell>
          <cell r="Z2781">
            <v>0</v>
          </cell>
          <cell r="AA2781">
            <v>0</v>
          </cell>
          <cell r="AC2781">
            <v>0</v>
          </cell>
          <cell r="AD2781">
            <v>0</v>
          </cell>
          <cell r="AF2781">
            <v>0</v>
          </cell>
          <cell r="AG2781">
            <v>0</v>
          </cell>
          <cell r="AI2781">
            <v>0</v>
          </cell>
          <cell r="AJ2781">
            <v>0</v>
          </cell>
          <cell r="AL2781">
            <v>0</v>
          </cell>
          <cell r="AM2781">
            <v>0</v>
          </cell>
          <cell r="AO2781">
            <v>0</v>
          </cell>
          <cell r="AP2781">
            <v>0</v>
          </cell>
          <cell r="AR2781">
            <v>0</v>
          </cell>
          <cell r="AS2781">
            <v>0</v>
          </cell>
          <cell r="BF2781" t="str">
            <v>5800</v>
          </cell>
          <cell r="BG2781" t="str">
            <v>J001</v>
          </cell>
          <cell r="BH2781" t="str">
            <v>BUB</v>
          </cell>
        </row>
        <row r="2782">
          <cell r="K2782">
            <v>0</v>
          </cell>
          <cell r="L2782">
            <v>0</v>
          </cell>
          <cell r="N2782">
            <v>0</v>
          </cell>
          <cell r="O2782">
            <v>0</v>
          </cell>
          <cell r="Q2782">
            <v>0</v>
          </cell>
          <cell r="R2782">
            <v>0</v>
          </cell>
          <cell r="T2782">
            <v>0</v>
          </cell>
          <cell r="U2782">
            <v>0</v>
          </cell>
          <cell r="W2782">
            <v>0</v>
          </cell>
          <cell r="X2782">
            <v>0</v>
          </cell>
          <cell r="Z2782">
            <v>0</v>
          </cell>
          <cell r="AA2782">
            <v>0</v>
          </cell>
          <cell r="AC2782">
            <v>0</v>
          </cell>
          <cell r="AD2782">
            <v>0</v>
          </cell>
          <cell r="AF2782">
            <v>0</v>
          </cell>
          <cell r="AG2782">
            <v>0</v>
          </cell>
          <cell r="AI2782">
            <v>0</v>
          </cell>
          <cell r="AJ2782">
            <v>0</v>
          </cell>
          <cell r="AL2782">
            <v>0</v>
          </cell>
          <cell r="AM2782">
            <v>0</v>
          </cell>
          <cell r="AO2782">
            <v>0</v>
          </cell>
          <cell r="AP2782">
            <v>0</v>
          </cell>
          <cell r="AR2782">
            <v>0</v>
          </cell>
          <cell r="AS2782">
            <v>0</v>
          </cell>
          <cell r="BF2782" t="str">
            <v>5800</v>
          </cell>
          <cell r="BG2782" t="str">
            <v>J002</v>
          </cell>
          <cell r="BH2782" t="str">
            <v>BUB</v>
          </cell>
        </row>
        <row r="2783">
          <cell r="K2783">
            <v>0</v>
          </cell>
          <cell r="L2783">
            <v>0</v>
          </cell>
          <cell r="N2783">
            <v>0</v>
          </cell>
          <cell r="O2783">
            <v>0</v>
          </cell>
          <cell r="Q2783">
            <v>0</v>
          </cell>
          <cell r="R2783">
            <v>0</v>
          </cell>
          <cell r="T2783">
            <v>0</v>
          </cell>
          <cell r="U2783">
            <v>0</v>
          </cell>
          <cell r="W2783">
            <v>0</v>
          </cell>
          <cell r="X2783">
            <v>0</v>
          </cell>
          <cell r="Z2783">
            <v>0</v>
          </cell>
          <cell r="AA2783">
            <v>0</v>
          </cell>
          <cell r="AC2783">
            <v>0</v>
          </cell>
          <cell r="AD2783">
            <v>0</v>
          </cell>
          <cell r="AF2783">
            <v>0</v>
          </cell>
          <cell r="AG2783">
            <v>0</v>
          </cell>
          <cell r="AI2783">
            <v>0</v>
          </cell>
          <cell r="AJ2783">
            <v>0</v>
          </cell>
          <cell r="AL2783">
            <v>0</v>
          </cell>
          <cell r="AM2783">
            <v>0</v>
          </cell>
          <cell r="AO2783">
            <v>0</v>
          </cell>
          <cell r="AP2783">
            <v>0</v>
          </cell>
          <cell r="AR2783">
            <v>0</v>
          </cell>
          <cell r="AS2783">
            <v>0</v>
          </cell>
          <cell r="BF2783" t="str">
            <v>5800</v>
          </cell>
          <cell r="BG2783" t="str">
            <v>J003</v>
          </cell>
          <cell r="BH2783" t="str">
            <v>BUB</v>
          </cell>
        </row>
        <row r="2784">
          <cell r="K2784">
            <v>0</v>
          </cell>
          <cell r="L2784">
            <v>0</v>
          </cell>
          <cell r="N2784">
            <v>0</v>
          </cell>
          <cell r="O2784">
            <v>0</v>
          </cell>
          <cell r="Q2784">
            <v>0</v>
          </cell>
          <cell r="R2784">
            <v>0</v>
          </cell>
          <cell r="T2784">
            <v>0</v>
          </cell>
          <cell r="U2784">
            <v>0</v>
          </cell>
          <cell r="W2784">
            <v>0</v>
          </cell>
          <cell r="X2784">
            <v>0</v>
          </cell>
          <cell r="Z2784">
            <v>0</v>
          </cell>
          <cell r="AA2784">
            <v>0</v>
          </cell>
          <cell r="AC2784">
            <v>0</v>
          </cell>
          <cell r="AD2784">
            <v>0</v>
          </cell>
          <cell r="AF2784">
            <v>0</v>
          </cell>
          <cell r="AG2784">
            <v>0</v>
          </cell>
          <cell r="AI2784">
            <v>0</v>
          </cell>
          <cell r="AJ2784">
            <v>0</v>
          </cell>
          <cell r="AL2784">
            <v>0</v>
          </cell>
          <cell r="AM2784">
            <v>0</v>
          </cell>
          <cell r="AO2784">
            <v>0</v>
          </cell>
          <cell r="AP2784">
            <v>0</v>
          </cell>
          <cell r="AR2784">
            <v>0</v>
          </cell>
          <cell r="AS2784">
            <v>0</v>
          </cell>
          <cell r="BF2784" t="str">
            <v>5800</v>
          </cell>
          <cell r="BG2784" t="str">
            <v>J004</v>
          </cell>
          <cell r="BH2784" t="str">
            <v>BUB</v>
          </cell>
        </row>
        <row r="2785">
          <cell r="K2785">
            <v>0</v>
          </cell>
          <cell r="L2785">
            <v>0</v>
          </cell>
          <cell r="N2785">
            <v>0</v>
          </cell>
          <cell r="O2785">
            <v>0</v>
          </cell>
          <cell r="Q2785">
            <v>0</v>
          </cell>
          <cell r="R2785">
            <v>0</v>
          </cell>
          <cell r="T2785">
            <v>0</v>
          </cell>
          <cell r="U2785">
            <v>0</v>
          </cell>
          <cell r="W2785">
            <v>0</v>
          </cell>
          <cell r="X2785">
            <v>0</v>
          </cell>
          <cell r="Z2785">
            <v>0</v>
          </cell>
          <cell r="AA2785">
            <v>0</v>
          </cell>
          <cell r="AC2785">
            <v>0</v>
          </cell>
          <cell r="AD2785">
            <v>0</v>
          </cell>
          <cell r="AF2785">
            <v>0</v>
          </cell>
          <cell r="AG2785">
            <v>0</v>
          </cell>
          <cell r="AI2785">
            <v>0</v>
          </cell>
          <cell r="AJ2785">
            <v>0</v>
          </cell>
          <cell r="AL2785">
            <v>0</v>
          </cell>
          <cell r="AM2785">
            <v>0</v>
          </cell>
          <cell r="AO2785">
            <v>0</v>
          </cell>
          <cell r="AP2785">
            <v>0</v>
          </cell>
          <cell r="AR2785">
            <v>0</v>
          </cell>
          <cell r="AS2785">
            <v>0</v>
          </cell>
          <cell r="BF2785" t="str">
            <v>5800</v>
          </cell>
          <cell r="BG2785" t="str">
            <v>J005</v>
          </cell>
          <cell r="BH2785" t="str">
            <v>BUB</v>
          </cell>
        </row>
        <row r="2786">
          <cell r="K2786">
            <v>0</v>
          </cell>
          <cell r="L2786">
            <v>0</v>
          </cell>
          <cell r="N2786">
            <v>0</v>
          </cell>
          <cell r="O2786">
            <v>0</v>
          </cell>
          <cell r="Q2786">
            <v>0</v>
          </cell>
          <cell r="R2786">
            <v>0</v>
          </cell>
          <cell r="T2786">
            <v>0</v>
          </cell>
          <cell r="U2786">
            <v>0</v>
          </cell>
          <cell r="W2786">
            <v>0</v>
          </cell>
          <cell r="X2786">
            <v>0</v>
          </cell>
          <cell r="Z2786">
            <v>0</v>
          </cell>
          <cell r="AA2786">
            <v>0</v>
          </cell>
          <cell r="AC2786">
            <v>0</v>
          </cell>
          <cell r="AD2786">
            <v>0</v>
          </cell>
          <cell r="AF2786">
            <v>0</v>
          </cell>
          <cell r="AG2786">
            <v>0</v>
          </cell>
          <cell r="AI2786">
            <v>0</v>
          </cell>
          <cell r="AJ2786">
            <v>0</v>
          </cell>
          <cell r="AL2786">
            <v>0</v>
          </cell>
          <cell r="AM2786">
            <v>0</v>
          </cell>
          <cell r="AO2786">
            <v>0</v>
          </cell>
          <cell r="AP2786">
            <v>0</v>
          </cell>
          <cell r="AR2786">
            <v>0</v>
          </cell>
          <cell r="AS2786">
            <v>0</v>
          </cell>
          <cell r="BF2786" t="str">
            <v>5800</v>
          </cell>
          <cell r="BG2786" t="str">
            <v>J006</v>
          </cell>
          <cell r="BH2786" t="str">
            <v>BUB</v>
          </cell>
        </row>
        <row r="2787">
          <cell r="K2787">
            <v>0</v>
          </cell>
          <cell r="L2787">
            <v>0</v>
          </cell>
          <cell r="N2787">
            <v>0</v>
          </cell>
          <cell r="O2787">
            <v>0</v>
          </cell>
          <cell r="Q2787">
            <v>0</v>
          </cell>
          <cell r="R2787">
            <v>0</v>
          </cell>
          <cell r="T2787">
            <v>0</v>
          </cell>
          <cell r="U2787">
            <v>0</v>
          </cell>
          <cell r="W2787">
            <v>0</v>
          </cell>
          <cell r="X2787">
            <v>0</v>
          </cell>
          <cell r="Z2787">
            <v>0</v>
          </cell>
          <cell r="AA2787">
            <v>0</v>
          </cell>
          <cell r="AC2787">
            <v>0</v>
          </cell>
          <cell r="AD2787">
            <v>0</v>
          </cell>
          <cell r="AF2787">
            <v>0</v>
          </cell>
          <cell r="AG2787">
            <v>0</v>
          </cell>
          <cell r="AI2787">
            <v>0</v>
          </cell>
          <cell r="AJ2787">
            <v>0</v>
          </cell>
          <cell r="AL2787">
            <v>0</v>
          </cell>
          <cell r="AM2787">
            <v>0</v>
          </cell>
          <cell r="AO2787">
            <v>0</v>
          </cell>
          <cell r="AP2787">
            <v>0</v>
          </cell>
          <cell r="AR2787">
            <v>0</v>
          </cell>
          <cell r="AS2787">
            <v>0</v>
          </cell>
          <cell r="BF2787" t="str">
            <v>5800</v>
          </cell>
          <cell r="BG2787" t="str">
            <v>J007</v>
          </cell>
          <cell r="BH2787" t="str">
            <v>BUB</v>
          </cell>
        </row>
        <row r="2788">
          <cell r="K2788">
            <v>0</v>
          </cell>
          <cell r="L2788">
            <v>0</v>
          </cell>
          <cell r="N2788">
            <v>0</v>
          </cell>
          <cell r="O2788">
            <v>0</v>
          </cell>
          <cell r="Q2788">
            <v>0</v>
          </cell>
          <cell r="R2788">
            <v>0</v>
          </cell>
          <cell r="T2788">
            <v>0</v>
          </cell>
          <cell r="U2788">
            <v>0</v>
          </cell>
          <cell r="W2788">
            <v>0</v>
          </cell>
          <cell r="X2788">
            <v>0</v>
          </cell>
          <cell r="Z2788">
            <v>0</v>
          </cell>
          <cell r="AA2788">
            <v>0</v>
          </cell>
          <cell r="AC2788">
            <v>0</v>
          </cell>
          <cell r="AD2788">
            <v>0</v>
          </cell>
          <cell r="AF2788">
            <v>0</v>
          </cell>
          <cell r="AG2788">
            <v>0</v>
          </cell>
          <cell r="AI2788">
            <v>0</v>
          </cell>
          <cell r="AJ2788">
            <v>0</v>
          </cell>
          <cell r="AL2788">
            <v>0</v>
          </cell>
          <cell r="AM2788">
            <v>0</v>
          </cell>
          <cell r="AO2788">
            <v>0</v>
          </cell>
          <cell r="AP2788">
            <v>0</v>
          </cell>
          <cell r="AR2788">
            <v>0</v>
          </cell>
          <cell r="AS2788">
            <v>0</v>
          </cell>
          <cell r="BF2788" t="str">
            <v>5801</v>
          </cell>
          <cell r="BG2788" t="str">
            <v>J008</v>
          </cell>
          <cell r="BH2788" t="str">
            <v>BUB</v>
          </cell>
        </row>
        <row r="2789">
          <cell r="K2789">
            <v>0</v>
          </cell>
          <cell r="L2789">
            <v>0</v>
          </cell>
          <cell r="N2789">
            <v>0</v>
          </cell>
          <cell r="O2789">
            <v>0</v>
          </cell>
          <cell r="Q2789">
            <v>0</v>
          </cell>
          <cell r="R2789">
            <v>0</v>
          </cell>
          <cell r="T2789">
            <v>0</v>
          </cell>
          <cell r="U2789">
            <v>0</v>
          </cell>
          <cell r="W2789">
            <v>0</v>
          </cell>
          <cell r="X2789">
            <v>0</v>
          </cell>
          <cell r="Z2789">
            <v>0</v>
          </cell>
          <cell r="AA2789">
            <v>0</v>
          </cell>
          <cell r="AC2789">
            <v>0</v>
          </cell>
          <cell r="AD2789">
            <v>0</v>
          </cell>
          <cell r="AF2789">
            <v>0</v>
          </cell>
          <cell r="AG2789">
            <v>0</v>
          </cell>
          <cell r="AI2789">
            <v>0</v>
          </cell>
          <cell r="AJ2789">
            <v>0</v>
          </cell>
          <cell r="AL2789">
            <v>0</v>
          </cell>
          <cell r="AM2789">
            <v>0</v>
          </cell>
          <cell r="AO2789">
            <v>0</v>
          </cell>
          <cell r="AP2789">
            <v>0</v>
          </cell>
          <cell r="AR2789">
            <v>0</v>
          </cell>
          <cell r="AS2789">
            <v>0</v>
          </cell>
          <cell r="BF2789" t="str">
            <v>5801</v>
          </cell>
          <cell r="BG2789" t="str">
            <v>J009</v>
          </cell>
          <cell r="BH2789" t="str">
            <v>BUB</v>
          </cell>
        </row>
        <row r="2790">
          <cell r="K2790">
            <v>0</v>
          </cell>
          <cell r="L2790">
            <v>0</v>
          </cell>
          <cell r="N2790">
            <v>0</v>
          </cell>
          <cell r="O2790">
            <v>0</v>
          </cell>
          <cell r="Q2790">
            <v>0</v>
          </cell>
          <cell r="R2790">
            <v>0</v>
          </cell>
          <cell r="T2790">
            <v>0</v>
          </cell>
          <cell r="U2790">
            <v>0</v>
          </cell>
          <cell r="W2790">
            <v>0</v>
          </cell>
          <cell r="X2790">
            <v>0</v>
          </cell>
          <cell r="Z2790">
            <v>0</v>
          </cell>
          <cell r="AA2790">
            <v>0</v>
          </cell>
          <cell r="AC2790">
            <v>0</v>
          </cell>
          <cell r="AD2790">
            <v>0</v>
          </cell>
          <cell r="AF2790">
            <v>0</v>
          </cell>
          <cell r="AG2790">
            <v>0</v>
          </cell>
          <cell r="AI2790">
            <v>0</v>
          </cell>
          <cell r="AJ2790">
            <v>0</v>
          </cell>
          <cell r="AL2790">
            <v>0</v>
          </cell>
          <cell r="AM2790">
            <v>0</v>
          </cell>
          <cell r="AO2790">
            <v>0</v>
          </cell>
          <cell r="AP2790">
            <v>0</v>
          </cell>
          <cell r="AR2790">
            <v>0</v>
          </cell>
          <cell r="AS2790">
            <v>0</v>
          </cell>
          <cell r="BF2790" t="str">
            <v>6000</v>
          </cell>
          <cell r="BG2790" t="str">
            <v>K001</v>
          </cell>
          <cell r="BH2790" t="str">
            <v>BUB</v>
          </cell>
        </row>
        <row r="2791">
          <cell r="K2791">
            <v>0</v>
          </cell>
          <cell r="L2791">
            <v>0</v>
          </cell>
          <cell r="N2791">
            <v>0</v>
          </cell>
          <cell r="O2791">
            <v>0</v>
          </cell>
          <cell r="Q2791">
            <v>0</v>
          </cell>
          <cell r="R2791">
            <v>0</v>
          </cell>
          <cell r="T2791">
            <v>0</v>
          </cell>
          <cell r="U2791">
            <v>0</v>
          </cell>
          <cell r="W2791">
            <v>0</v>
          </cell>
          <cell r="X2791">
            <v>0</v>
          </cell>
          <cell r="Z2791">
            <v>0</v>
          </cell>
          <cell r="AA2791">
            <v>0</v>
          </cell>
          <cell r="AC2791">
            <v>0</v>
          </cell>
          <cell r="AD2791">
            <v>0</v>
          </cell>
          <cell r="AF2791">
            <v>0</v>
          </cell>
          <cell r="AG2791">
            <v>0</v>
          </cell>
          <cell r="AI2791">
            <v>0</v>
          </cell>
          <cell r="AJ2791">
            <v>0</v>
          </cell>
          <cell r="AL2791">
            <v>0</v>
          </cell>
          <cell r="AM2791">
            <v>0</v>
          </cell>
          <cell r="AO2791">
            <v>0</v>
          </cell>
          <cell r="AP2791">
            <v>0</v>
          </cell>
          <cell r="AR2791">
            <v>0</v>
          </cell>
          <cell r="AS2791">
            <v>0</v>
          </cell>
          <cell r="BF2791" t="str">
            <v>6000</v>
          </cell>
          <cell r="BG2791" t="str">
            <v>K002</v>
          </cell>
          <cell r="BH2791" t="str">
            <v>BUB</v>
          </cell>
        </row>
        <row r="2792">
          <cell r="K2792">
            <v>0</v>
          </cell>
          <cell r="L2792">
            <v>0</v>
          </cell>
          <cell r="N2792">
            <v>0</v>
          </cell>
          <cell r="O2792">
            <v>0</v>
          </cell>
          <cell r="Q2792">
            <v>0</v>
          </cell>
          <cell r="R2792">
            <v>0</v>
          </cell>
          <cell r="T2792">
            <v>0</v>
          </cell>
          <cell r="U2792">
            <v>0</v>
          </cell>
          <cell r="W2792">
            <v>3749.11</v>
          </cell>
          <cell r="X2792">
            <v>0</v>
          </cell>
          <cell r="Z2792">
            <v>3500.0000000000005</v>
          </cell>
          <cell r="AA2792">
            <v>0</v>
          </cell>
          <cell r="AC2792">
            <v>0</v>
          </cell>
          <cell r="AD2792">
            <v>0</v>
          </cell>
          <cell r="AF2792">
            <v>0</v>
          </cell>
          <cell r="AG2792">
            <v>0</v>
          </cell>
          <cell r="AI2792">
            <v>0</v>
          </cell>
          <cell r="AJ2792">
            <v>0</v>
          </cell>
          <cell r="AL2792">
            <v>0</v>
          </cell>
          <cell r="AM2792">
            <v>0</v>
          </cell>
          <cell r="AO2792">
            <v>0</v>
          </cell>
          <cell r="AP2792">
            <v>0</v>
          </cell>
          <cell r="AR2792">
            <v>0</v>
          </cell>
          <cell r="AS2792">
            <v>0</v>
          </cell>
          <cell r="BF2792" t="str">
            <v>6100</v>
          </cell>
          <cell r="BG2792" t="str">
            <v>K001</v>
          </cell>
          <cell r="BH2792" t="str">
            <v>BUB</v>
          </cell>
        </row>
        <row r="2793">
          <cell r="K2793">
            <v>0</v>
          </cell>
          <cell r="L2793">
            <v>0</v>
          </cell>
          <cell r="N2793">
            <v>0</v>
          </cell>
          <cell r="O2793">
            <v>0</v>
          </cell>
          <cell r="Q2793">
            <v>0</v>
          </cell>
          <cell r="R2793">
            <v>0</v>
          </cell>
          <cell r="T2793">
            <v>0</v>
          </cell>
          <cell r="U2793">
            <v>0</v>
          </cell>
          <cell r="W2793">
            <v>-106.13</v>
          </cell>
          <cell r="X2793">
            <v>0</v>
          </cell>
          <cell r="Z2793">
            <v>-144.47999999999999</v>
          </cell>
          <cell r="AA2793">
            <v>0</v>
          </cell>
          <cell r="AC2793">
            <v>-205.21</v>
          </cell>
          <cell r="AD2793">
            <v>0</v>
          </cell>
          <cell r="AF2793">
            <v>-185.34999999999997</v>
          </cell>
          <cell r="AG2793">
            <v>0</v>
          </cell>
          <cell r="AI2793">
            <v>-205.21000000000004</v>
          </cell>
          <cell r="AJ2793">
            <v>0</v>
          </cell>
          <cell r="AL2793">
            <v>-198.59000000000003</v>
          </cell>
          <cell r="AM2793">
            <v>0</v>
          </cell>
          <cell r="AO2793">
            <v>-205.21000000000004</v>
          </cell>
          <cell r="AP2793">
            <v>0</v>
          </cell>
          <cell r="AR2793">
            <v>-198.58999999999992</v>
          </cell>
          <cell r="AS2793">
            <v>0</v>
          </cell>
          <cell r="BF2793" t="str">
            <v>6100</v>
          </cell>
          <cell r="BG2793" t="str">
            <v>K002</v>
          </cell>
          <cell r="BH2793" t="str">
            <v>BUB</v>
          </cell>
        </row>
        <row r="2794">
          <cell r="K2794">
            <v>0</v>
          </cell>
          <cell r="L2794">
            <v>0</v>
          </cell>
          <cell r="N2794">
            <v>0</v>
          </cell>
          <cell r="O2794">
            <v>0</v>
          </cell>
          <cell r="Q2794">
            <v>0</v>
          </cell>
          <cell r="R2794">
            <v>0</v>
          </cell>
          <cell r="T2794">
            <v>0</v>
          </cell>
          <cell r="U2794">
            <v>0</v>
          </cell>
          <cell r="W2794">
            <v>1499.95</v>
          </cell>
          <cell r="X2794">
            <v>0</v>
          </cell>
          <cell r="Z2794">
            <v>0</v>
          </cell>
          <cell r="AA2794">
            <v>0</v>
          </cell>
          <cell r="AC2794">
            <v>0</v>
          </cell>
          <cell r="AD2794">
            <v>0</v>
          </cell>
          <cell r="AF2794">
            <v>0</v>
          </cell>
          <cell r="AG2794">
            <v>0</v>
          </cell>
          <cell r="AI2794">
            <v>0</v>
          </cell>
          <cell r="AJ2794">
            <v>0</v>
          </cell>
          <cell r="AL2794">
            <v>0</v>
          </cell>
          <cell r="AM2794">
            <v>0</v>
          </cell>
          <cell r="AO2794">
            <v>0</v>
          </cell>
          <cell r="AP2794">
            <v>0</v>
          </cell>
          <cell r="AR2794">
            <v>0</v>
          </cell>
          <cell r="AS2794">
            <v>0</v>
          </cell>
          <cell r="BF2794" t="str">
            <v>6200</v>
          </cell>
          <cell r="BG2794" t="str">
            <v>K001</v>
          </cell>
          <cell r="BH2794" t="str">
            <v>BUB</v>
          </cell>
        </row>
        <row r="2795">
          <cell r="K2795">
            <v>0</v>
          </cell>
          <cell r="L2795">
            <v>0</v>
          </cell>
          <cell r="N2795">
            <v>0</v>
          </cell>
          <cell r="O2795">
            <v>0</v>
          </cell>
          <cell r="Q2795">
            <v>0</v>
          </cell>
          <cell r="R2795">
            <v>0</v>
          </cell>
          <cell r="T2795">
            <v>0</v>
          </cell>
          <cell r="U2795">
            <v>0</v>
          </cell>
          <cell r="W2795">
            <v>0</v>
          </cell>
          <cell r="X2795">
            <v>0</v>
          </cell>
          <cell r="Z2795">
            <v>-42.46</v>
          </cell>
          <cell r="AA2795">
            <v>0</v>
          </cell>
          <cell r="AC2795">
            <v>-42.46</v>
          </cell>
          <cell r="AD2795">
            <v>0</v>
          </cell>
          <cell r="AF2795">
            <v>-38.350000000000009</v>
          </cell>
          <cell r="AG2795">
            <v>0</v>
          </cell>
          <cell r="AI2795">
            <v>-42.460000000000008</v>
          </cell>
          <cell r="AJ2795">
            <v>0</v>
          </cell>
          <cell r="AL2795">
            <v>-41.09</v>
          </cell>
          <cell r="AM2795">
            <v>0</v>
          </cell>
          <cell r="AO2795">
            <v>-42.460000000000008</v>
          </cell>
          <cell r="AP2795">
            <v>0</v>
          </cell>
          <cell r="AR2795">
            <v>-41.089999999999975</v>
          </cell>
          <cell r="AS2795">
            <v>0</v>
          </cell>
          <cell r="BF2795" t="str">
            <v>6200</v>
          </cell>
          <cell r="BG2795" t="str">
            <v>K002</v>
          </cell>
          <cell r="BH2795" t="str">
            <v>BUB</v>
          </cell>
        </row>
        <row r="2796">
          <cell r="K2796">
            <v>0</v>
          </cell>
          <cell r="L2796">
            <v>0</v>
          </cell>
          <cell r="N2796">
            <v>0</v>
          </cell>
          <cell r="O2796">
            <v>0</v>
          </cell>
          <cell r="Q2796">
            <v>0</v>
          </cell>
          <cell r="R2796">
            <v>0</v>
          </cell>
          <cell r="T2796">
            <v>0</v>
          </cell>
          <cell r="U2796">
            <v>0</v>
          </cell>
          <cell r="W2796">
            <v>0</v>
          </cell>
          <cell r="X2796">
            <v>0</v>
          </cell>
          <cell r="Z2796">
            <v>0</v>
          </cell>
          <cell r="AA2796">
            <v>0</v>
          </cell>
          <cell r="AC2796">
            <v>0</v>
          </cell>
          <cell r="AD2796">
            <v>0</v>
          </cell>
          <cell r="AF2796">
            <v>0</v>
          </cell>
          <cell r="AG2796">
            <v>0</v>
          </cell>
          <cell r="AI2796">
            <v>0</v>
          </cell>
          <cell r="AJ2796">
            <v>0</v>
          </cell>
          <cell r="AL2796">
            <v>0</v>
          </cell>
          <cell r="AM2796">
            <v>0</v>
          </cell>
          <cell r="AO2796">
            <v>0</v>
          </cell>
          <cell r="AP2796">
            <v>0</v>
          </cell>
          <cell r="AR2796">
            <v>0</v>
          </cell>
          <cell r="AS2796">
            <v>0</v>
          </cell>
          <cell r="BF2796" t="str">
            <v>6300</v>
          </cell>
          <cell r="BG2796" t="str">
            <v>K001</v>
          </cell>
          <cell r="BH2796" t="str">
            <v>BUB</v>
          </cell>
        </row>
        <row r="2797">
          <cell r="K2797">
            <v>0</v>
          </cell>
          <cell r="L2797">
            <v>0</v>
          </cell>
          <cell r="N2797">
            <v>0</v>
          </cell>
          <cell r="O2797">
            <v>0</v>
          </cell>
          <cell r="Q2797">
            <v>0</v>
          </cell>
          <cell r="R2797">
            <v>0</v>
          </cell>
          <cell r="T2797">
            <v>0</v>
          </cell>
          <cell r="U2797">
            <v>0</v>
          </cell>
          <cell r="W2797">
            <v>0</v>
          </cell>
          <cell r="X2797">
            <v>0</v>
          </cell>
          <cell r="Z2797">
            <v>0</v>
          </cell>
          <cell r="AA2797">
            <v>0</v>
          </cell>
          <cell r="AC2797">
            <v>0</v>
          </cell>
          <cell r="AD2797">
            <v>0</v>
          </cell>
          <cell r="AF2797">
            <v>0</v>
          </cell>
          <cell r="AG2797">
            <v>0</v>
          </cell>
          <cell r="AI2797">
            <v>0</v>
          </cell>
          <cell r="AJ2797">
            <v>0</v>
          </cell>
          <cell r="AL2797">
            <v>0</v>
          </cell>
          <cell r="AM2797">
            <v>0</v>
          </cell>
          <cell r="AO2797">
            <v>0</v>
          </cell>
          <cell r="AP2797">
            <v>0</v>
          </cell>
          <cell r="AR2797">
            <v>0</v>
          </cell>
          <cell r="AS2797">
            <v>0</v>
          </cell>
          <cell r="BF2797" t="str">
            <v>6300</v>
          </cell>
          <cell r="BG2797" t="str">
            <v>K002</v>
          </cell>
          <cell r="BH2797" t="str">
            <v>BUB</v>
          </cell>
        </row>
        <row r="2798">
          <cell r="K2798">
            <v>0</v>
          </cell>
          <cell r="L2798">
            <v>0</v>
          </cell>
          <cell r="N2798">
            <v>0</v>
          </cell>
          <cell r="O2798">
            <v>0</v>
          </cell>
          <cell r="Q2798">
            <v>0</v>
          </cell>
          <cell r="R2798">
            <v>0</v>
          </cell>
          <cell r="T2798">
            <v>0</v>
          </cell>
          <cell r="U2798">
            <v>0</v>
          </cell>
          <cell r="W2798">
            <v>0</v>
          </cell>
          <cell r="X2798">
            <v>0</v>
          </cell>
          <cell r="Z2798">
            <v>0</v>
          </cell>
          <cell r="AA2798">
            <v>0</v>
          </cell>
          <cell r="AC2798">
            <v>0</v>
          </cell>
          <cell r="AD2798">
            <v>0</v>
          </cell>
          <cell r="AF2798">
            <v>0</v>
          </cell>
          <cell r="AG2798">
            <v>0</v>
          </cell>
          <cell r="AI2798">
            <v>0</v>
          </cell>
          <cell r="AJ2798">
            <v>0</v>
          </cell>
          <cell r="AL2798">
            <v>0</v>
          </cell>
          <cell r="AM2798">
            <v>0</v>
          </cell>
          <cell r="AO2798">
            <v>0</v>
          </cell>
          <cell r="AP2798">
            <v>0</v>
          </cell>
          <cell r="AR2798">
            <v>0</v>
          </cell>
          <cell r="AS2798">
            <v>0</v>
          </cell>
          <cell r="BF2798" t="str">
            <v>6400</v>
          </cell>
          <cell r="BG2798" t="str">
            <v>K001</v>
          </cell>
          <cell r="BH2798" t="str">
            <v>BUB</v>
          </cell>
        </row>
        <row r="2799">
          <cell r="K2799">
            <v>0</v>
          </cell>
          <cell r="L2799">
            <v>0</v>
          </cell>
          <cell r="N2799">
            <v>0</v>
          </cell>
          <cell r="O2799">
            <v>0</v>
          </cell>
          <cell r="Q2799">
            <v>0</v>
          </cell>
          <cell r="R2799">
            <v>0</v>
          </cell>
          <cell r="T2799">
            <v>0</v>
          </cell>
          <cell r="U2799">
            <v>0</v>
          </cell>
          <cell r="W2799">
            <v>0</v>
          </cell>
          <cell r="X2799">
            <v>0</v>
          </cell>
          <cell r="Z2799">
            <v>0</v>
          </cell>
          <cell r="AA2799">
            <v>0</v>
          </cell>
          <cell r="AC2799">
            <v>0</v>
          </cell>
          <cell r="AD2799">
            <v>0</v>
          </cell>
          <cell r="AF2799">
            <v>0</v>
          </cell>
          <cell r="AG2799">
            <v>0</v>
          </cell>
          <cell r="AI2799">
            <v>0</v>
          </cell>
          <cell r="AJ2799">
            <v>0</v>
          </cell>
          <cell r="AL2799">
            <v>0</v>
          </cell>
          <cell r="AM2799">
            <v>0</v>
          </cell>
          <cell r="AO2799">
            <v>0</v>
          </cell>
          <cell r="AP2799">
            <v>0</v>
          </cell>
          <cell r="AR2799">
            <v>0</v>
          </cell>
          <cell r="AS2799">
            <v>0</v>
          </cell>
          <cell r="BF2799" t="str">
            <v>6400</v>
          </cell>
          <cell r="BG2799" t="str">
            <v>K002</v>
          </cell>
          <cell r="BH2799" t="str">
            <v>BUB</v>
          </cell>
        </row>
        <row r="2800">
          <cell r="K2800">
            <v>0</v>
          </cell>
          <cell r="L2800">
            <v>0</v>
          </cell>
          <cell r="N2800">
            <v>0</v>
          </cell>
          <cell r="O2800">
            <v>0</v>
          </cell>
          <cell r="Q2800">
            <v>0</v>
          </cell>
          <cell r="R2800">
            <v>0</v>
          </cell>
          <cell r="T2800">
            <v>0</v>
          </cell>
          <cell r="U2800">
            <v>0</v>
          </cell>
          <cell r="W2800">
            <v>0</v>
          </cell>
          <cell r="X2800">
            <v>0</v>
          </cell>
          <cell r="Z2800">
            <v>0</v>
          </cell>
          <cell r="AA2800">
            <v>0</v>
          </cell>
          <cell r="AC2800">
            <v>0</v>
          </cell>
          <cell r="AD2800">
            <v>0</v>
          </cell>
          <cell r="AF2800">
            <v>0</v>
          </cell>
          <cell r="AG2800">
            <v>0</v>
          </cell>
          <cell r="AI2800">
            <v>0</v>
          </cell>
          <cell r="AJ2800">
            <v>0</v>
          </cell>
          <cell r="AL2800">
            <v>0</v>
          </cell>
          <cell r="AM2800">
            <v>0</v>
          </cell>
          <cell r="AO2800">
            <v>0</v>
          </cell>
          <cell r="AP2800">
            <v>0</v>
          </cell>
          <cell r="AR2800">
            <v>0</v>
          </cell>
          <cell r="AS2800">
            <v>0</v>
          </cell>
          <cell r="BF2800" t="str">
            <v>6500</v>
          </cell>
          <cell r="BG2800" t="str">
            <v>K001</v>
          </cell>
          <cell r="BH2800" t="str">
            <v>BUB</v>
          </cell>
        </row>
        <row r="2801">
          <cell r="K2801">
            <v>0</v>
          </cell>
          <cell r="L2801">
            <v>0</v>
          </cell>
          <cell r="N2801">
            <v>0</v>
          </cell>
          <cell r="O2801">
            <v>0</v>
          </cell>
          <cell r="Q2801">
            <v>0</v>
          </cell>
          <cell r="R2801">
            <v>0</v>
          </cell>
          <cell r="T2801">
            <v>0</v>
          </cell>
          <cell r="U2801">
            <v>0</v>
          </cell>
          <cell r="W2801">
            <v>0</v>
          </cell>
          <cell r="X2801">
            <v>0</v>
          </cell>
          <cell r="Z2801">
            <v>0</v>
          </cell>
          <cell r="AA2801">
            <v>0</v>
          </cell>
          <cell r="AC2801">
            <v>0</v>
          </cell>
          <cell r="AD2801">
            <v>0</v>
          </cell>
          <cell r="AF2801">
            <v>0</v>
          </cell>
          <cell r="AG2801">
            <v>0</v>
          </cell>
          <cell r="AI2801">
            <v>0</v>
          </cell>
          <cell r="AJ2801">
            <v>0</v>
          </cell>
          <cell r="AL2801">
            <v>0</v>
          </cell>
          <cell r="AM2801">
            <v>0</v>
          </cell>
          <cell r="AO2801">
            <v>0</v>
          </cell>
          <cell r="AP2801">
            <v>0</v>
          </cell>
          <cell r="AR2801">
            <v>0</v>
          </cell>
          <cell r="AS2801">
            <v>0</v>
          </cell>
          <cell r="BF2801" t="str">
            <v>6500</v>
          </cell>
          <cell r="BG2801" t="str">
            <v>K002</v>
          </cell>
          <cell r="BH2801" t="str">
            <v>BUB</v>
          </cell>
        </row>
        <row r="2802">
          <cell r="K2802">
            <v>0</v>
          </cell>
          <cell r="L2802">
            <v>0</v>
          </cell>
          <cell r="N2802">
            <v>0</v>
          </cell>
          <cell r="O2802">
            <v>0</v>
          </cell>
          <cell r="Q2802">
            <v>0</v>
          </cell>
          <cell r="R2802">
            <v>0</v>
          </cell>
          <cell r="T2802">
            <v>0</v>
          </cell>
          <cell r="U2802">
            <v>0</v>
          </cell>
          <cell r="W2802">
            <v>0</v>
          </cell>
          <cell r="X2802">
            <v>0</v>
          </cell>
          <cell r="Z2802">
            <v>0</v>
          </cell>
          <cell r="AA2802">
            <v>0</v>
          </cell>
          <cell r="AC2802">
            <v>0</v>
          </cell>
          <cell r="AD2802">
            <v>0</v>
          </cell>
          <cell r="AF2802">
            <v>0</v>
          </cell>
          <cell r="AG2802">
            <v>0</v>
          </cell>
          <cell r="AI2802">
            <v>0</v>
          </cell>
          <cell r="AJ2802">
            <v>0</v>
          </cell>
          <cell r="AL2802">
            <v>0</v>
          </cell>
          <cell r="AM2802">
            <v>0</v>
          </cell>
          <cell r="AO2802">
            <v>0</v>
          </cell>
          <cell r="AP2802">
            <v>0</v>
          </cell>
          <cell r="AR2802">
            <v>0</v>
          </cell>
          <cell r="AS2802">
            <v>0</v>
          </cell>
          <cell r="BF2802" t="str">
            <v>6600</v>
          </cell>
          <cell r="BG2802" t="str">
            <v>K001</v>
          </cell>
          <cell r="BH2802" t="str">
            <v>BUB</v>
          </cell>
        </row>
        <row r="2803">
          <cell r="K2803">
            <v>0</v>
          </cell>
          <cell r="L2803">
            <v>0</v>
          </cell>
          <cell r="N2803">
            <v>0</v>
          </cell>
          <cell r="O2803">
            <v>0</v>
          </cell>
          <cell r="Q2803">
            <v>0</v>
          </cell>
          <cell r="R2803">
            <v>0</v>
          </cell>
          <cell r="T2803">
            <v>0</v>
          </cell>
          <cell r="U2803">
            <v>0</v>
          </cell>
          <cell r="W2803">
            <v>0</v>
          </cell>
          <cell r="X2803">
            <v>0</v>
          </cell>
          <cell r="Z2803">
            <v>0</v>
          </cell>
          <cell r="AA2803">
            <v>0</v>
          </cell>
          <cell r="AC2803">
            <v>0</v>
          </cell>
          <cell r="AD2803">
            <v>0</v>
          </cell>
          <cell r="AF2803">
            <v>0</v>
          </cell>
          <cell r="AG2803">
            <v>0</v>
          </cell>
          <cell r="AI2803">
            <v>0</v>
          </cell>
          <cell r="AJ2803">
            <v>0</v>
          </cell>
          <cell r="AL2803">
            <v>0</v>
          </cell>
          <cell r="AM2803">
            <v>0</v>
          </cell>
          <cell r="AO2803">
            <v>0</v>
          </cell>
          <cell r="AP2803">
            <v>0</v>
          </cell>
          <cell r="AR2803">
            <v>0</v>
          </cell>
          <cell r="AS2803">
            <v>0</v>
          </cell>
          <cell r="BF2803" t="str">
            <v>6600</v>
          </cell>
          <cell r="BG2803" t="str">
            <v>K002</v>
          </cell>
          <cell r="BH2803" t="str">
            <v>BUB</v>
          </cell>
        </row>
        <row r="2804">
          <cell r="K2804">
            <v>0</v>
          </cell>
          <cell r="L2804">
            <v>0</v>
          </cell>
          <cell r="N2804">
            <v>0</v>
          </cell>
          <cell r="O2804">
            <v>0</v>
          </cell>
          <cell r="Q2804">
            <v>0</v>
          </cell>
          <cell r="R2804">
            <v>0</v>
          </cell>
          <cell r="T2804">
            <v>0</v>
          </cell>
          <cell r="U2804">
            <v>0</v>
          </cell>
          <cell r="W2804">
            <v>174533.33000000002</v>
          </cell>
          <cell r="X2804">
            <v>0</v>
          </cell>
          <cell r="Z2804">
            <v>-10266.670000000013</v>
          </cell>
          <cell r="AA2804">
            <v>0</v>
          </cell>
          <cell r="AC2804">
            <v>-10266.670000000013</v>
          </cell>
          <cell r="AD2804">
            <v>0</v>
          </cell>
          <cell r="AF2804">
            <v>-10266.669999999984</v>
          </cell>
          <cell r="AG2804">
            <v>0</v>
          </cell>
          <cell r="AI2804">
            <v>5270.6700000000128</v>
          </cell>
          <cell r="AJ2804">
            <v>0</v>
          </cell>
          <cell r="AL2804">
            <v>-15445.779999999999</v>
          </cell>
          <cell r="AM2804">
            <v>0</v>
          </cell>
          <cell r="AO2804">
            <v>-12195.779999999999</v>
          </cell>
          <cell r="AP2804">
            <v>0</v>
          </cell>
          <cell r="AR2804">
            <v>-18554.870000000024</v>
          </cell>
          <cell r="AS2804">
            <v>0</v>
          </cell>
          <cell r="BF2804" t="str">
            <v>7000</v>
          </cell>
          <cell r="BG2804" t="str">
            <v>Z000</v>
          </cell>
          <cell r="BH2804" t="str">
            <v>BUB</v>
          </cell>
        </row>
        <row r="2805">
          <cell r="K2805">
            <v>0</v>
          </cell>
          <cell r="L2805">
            <v>0</v>
          </cell>
          <cell r="N2805">
            <v>0</v>
          </cell>
          <cell r="O2805">
            <v>0</v>
          </cell>
          <cell r="Q2805">
            <v>0</v>
          </cell>
          <cell r="R2805">
            <v>0</v>
          </cell>
          <cell r="T2805">
            <v>0</v>
          </cell>
          <cell r="U2805">
            <v>0</v>
          </cell>
          <cell r="W2805">
            <v>15000</v>
          </cell>
          <cell r="X2805">
            <v>0</v>
          </cell>
          <cell r="Z2805">
            <v>-13994.599999999999</v>
          </cell>
          <cell r="AA2805">
            <v>0</v>
          </cell>
          <cell r="AC2805">
            <v>-1005.3999999999996</v>
          </cell>
          <cell r="AD2805">
            <v>0</v>
          </cell>
          <cell r="AF2805">
            <v>0</v>
          </cell>
          <cell r="AG2805">
            <v>0</v>
          </cell>
          <cell r="AI2805">
            <v>0</v>
          </cell>
          <cell r="AJ2805">
            <v>0</v>
          </cell>
          <cell r="AL2805">
            <v>0</v>
          </cell>
          <cell r="AM2805">
            <v>0</v>
          </cell>
          <cell r="AO2805">
            <v>0</v>
          </cell>
          <cell r="AP2805">
            <v>0</v>
          </cell>
          <cell r="AR2805">
            <v>0</v>
          </cell>
          <cell r="AS2805">
            <v>0</v>
          </cell>
          <cell r="BF2805" t="str">
            <v>7100</v>
          </cell>
          <cell r="BG2805" t="str">
            <v>Z000</v>
          </cell>
          <cell r="BH2805" t="str">
            <v>BUB</v>
          </cell>
        </row>
        <row r="2806">
          <cell r="K2806">
            <v>0</v>
          </cell>
          <cell r="L2806">
            <v>0</v>
          </cell>
          <cell r="N2806">
            <v>0</v>
          </cell>
          <cell r="O2806">
            <v>0</v>
          </cell>
          <cell r="Q2806">
            <v>0</v>
          </cell>
          <cell r="R2806">
            <v>0</v>
          </cell>
          <cell r="T2806">
            <v>0</v>
          </cell>
          <cell r="U2806">
            <v>0</v>
          </cell>
          <cell r="W2806">
            <v>0</v>
          </cell>
          <cell r="X2806">
            <v>0</v>
          </cell>
          <cell r="Z2806">
            <v>0</v>
          </cell>
          <cell r="AA2806">
            <v>0</v>
          </cell>
          <cell r="AC2806">
            <v>0</v>
          </cell>
          <cell r="AD2806">
            <v>0</v>
          </cell>
          <cell r="AF2806">
            <v>0</v>
          </cell>
          <cell r="AG2806">
            <v>0</v>
          </cell>
          <cell r="AI2806">
            <v>0</v>
          </cell>
          <cell r="AJ2806">
            <v>0</v>
          </cell>
          <cell r="AL2806">
            <v>0</v>
          </cell>
          <cell r="AM2806">
            <v>0</v>
          </cell>
          <cell r="AO2806">
            <v>0</v>
          </cell>
          <cell r="AP2806">
            <v>0</v>
          </cell>
          <cell r="AR2806">
            <v>0</v>
          </cell>
          <cell r="AS2806">
            <v>0</v>
          </cell>
          <cell r="BF2806" t="str">
            <v>7300</v>
          </cell>
          <cell r="BG2806" t="str">
            <v>Z000</v>
          </cell>
          <cell r="BH2806" t="str">
            <v>BUB</v>
          </cell>
        </row>
        <row r="2807">
          <cell r="K2807">
            <v>0</v>
          </cell>
          <cell r="L2807">
            <v>0</v>
          </cell>
          <cell r="N2807">
            <v>0</v>
          </cell>
          <cell r="O2807">
            <v>0</v>
          </cell>
          <cell r="Q2807">
            <v>0</v>
          </cell>
          <cell r="R2807">
            <v>0</v>
          </cell>
          <cell r="T2807">
            <v>0</v>
          </cell>
          <cell r="U2807">
            <v>0</v>
          </cell>
          <cell r="W2807">
            <v>0</v>
          </cell>
          <cell r="X2807">
            <v>0</v>
          </cell>
          <cell r="Z2807">
            <v>0</v>
          </cell>
          <cell r="AA2807">
            <v>0</v>
          </cell>
          <cell r="AC2807">
            <v>0</v>
          </cell>
          <cell r="AD2807">
            <v>0</v>
          </cell>
          <cell r="AF2807">
            <v>0</v>
          </cell>
          <cell r="AG2807">
            <v>0</v>
          </cell>
          <cell r="AI2807">
            <v>0</v>
          </cell>
          <cell r="AJ2807">
            <v>0</v>
          </cell>
          <cell r="AL2807">
            <v>0</v>
          </cell>
          <cell r="AM2807">
            <v>0</v>
          </cell>
          <cell r="AO2807">
            <v>0</v>
          </cell>
          <cell r="AP2807">
            <v>0</v>
          </cell>
          <cell r="AR2807">
            <v>0</v>
          </cell>
          <cell r="AS2807">
            <v>0</v>
          </cell>
          <cell r="BF2807" t="str">
            <v>7350</v>
          </cell>
          <cell r="BG2807" t="str">
            <v>Z000</v>
          </cell>
          <cell r="BH2807" t="str">
            <v>BUB</v>
          </cell>
        </row>
        <row r="2808">
          <cell r="K2808">
            <v>0</v>
          </cell>
          <cell r="L2808">
            <v>0</v>
          </cell>
          <cell r="N2808">
            <v>0</v>
          </cell>
          <cell r="O2808">
            <v>0</v>
          </cell>
          <cell r="Q2808">
            <v>0</v>
          </cell>
          <cell r="R2808">
            <v>0</v>
          </cell>
          <cell r="T2808">
            <v>0</v>
          </cell>
          <cell r="U2808">
            <v>0</v>
          </cell>
          <cell r="W2808">
            <v>0</v>
          </cell>
          <cell r="X2808">
            <v>0</v>
          </cell>
          <cell r="Z2808">
            <v>0</v>
          </cell>
          <cell r="AA2808">
            <v>0</v>
          </cell>
          <cell r="AC2808">
            <v>0</v>
          </cell>
          <cell r="AD2808">
            <v>0</v>
          </cell>
          <cell r="AF2808">
            <v>0</v>
          </cell>
          <cell r="AG2808">
            <v>0</v>
          </cell>
          <cell r="AI2808">
            <v>0</v>
          </cell>
          <cell r="AJ2808">
            <v>0</v>
          </cell>
          <cell r="AL2808">
            <v>0</v>
          </cell>
          <cell r="AM2808">
            <v>0</v>
          </cell>
          <cell r="AO2808">
            <v>0</v>
          </cell>
          <cell r="AP2808">
            <v>0</v>
          </cell>
          <cell r="AR2808">
            <v>0</v>
          </cell>
          <cell r="AS2808">
            <v>0</v>
          </cell>
          <cell r="BF2808" t="str">
            <v>7400</v>
          </cell>
          <cell r="BG2808" t="str">
            <v>Z000</v>
          </cell>
          <cell r="BH2808" t="str">
            <v>BUB</v>
          </cell>
        </row>
        <row r="2809">
          <cell r="K2809">
            <v>0</v>
          </cell>
          <cell r="L2809">
            <v>0</v>
          </cell>
          <cell r="N2809">
            <v>0</v>
          </cell>
          <cell r="O2809">
            <v>0</v>
          </cell>
          <cell r="Q2809">
            <v>0</v>
          </cell>
          <cell r="R2809">
            <v>0</v>
          </cell>
          <cell r="T2809">
            <v>0</v>
          </cell>
          <cell r="U2809">
            <v>0</v>
          </cell>
          <cell r="W2809">
            <v>0</v>
          </cell>
          <cell r="X2809">
            <v>0</v>
          </cell>
          <cell r="Z2809">
            <v>0</v>
          </cell>
          <cell r="AA2809">
            <v>0</v>
          </cell>
          <cell r="AC2809">
            <v>0</v>
          </cell>
          <cell r="AD2809">
            <v>0</v>
          </cell>
          <cell r="AF2809">
            <v>0</v>
          </cell>
          <cell r="AG2809">
            <v>0</v>
          </cell>
          <cell r="AI2809">
            <v>0</v>
          </cell>
          <cell r="AJ2809">
            <v>0</v>
          </cell>
          <cell r="AL2809">
            <v>0</v>
          </cell>
          <cell r="AM2809">
            <v>0</v>
          </cell>
          <cell r="AO2809">
            <v>0</v>
          </cell>
          <cell r="AP2809">
            <v>0</v>
          </cell>
          <cell r="AR2809">
            <v>0</v>
          </cell>
          <cell r="AS2809">
            <v>0</v>
          </cell>
          <cell r="BF2809" t="str">
            <v>7500</v>
          </cell>
          <cell r="BG2809" t="str">
            <v>Z000</v>
          </cell>
          <cell r="BH2809" t="str">
            <v>BUB</v>
          </cell>
        </row>
        <row r="2810">
          <cell r="K2810">
            <v>0</v>
          </cell>
          <cell r="L2810">
            <v>0</v>
          </cell>
          <cell r="N2810">
            <v>0</v>
          </cell>
          <cell r="O2810">
            <v>0</v>
          </cell>
          <cell r="Q2810">
            <v>0</v>
          </cell>
          <cell r="R2810">
            <v>0</v>
          </cell>
          <cell r="T2810">
            <v>0</v>
          </cell>
          <cell r="U2810">
            <v>0</v>
          </cell>
          <cell r="W2810">
            <v>0</v>
          </cell>
          <cell r="X2810">
            <v>0</v>
          </cell>
          <cell r="Z2810">
            <v>0</v>
          </cell>
          <cell r="AA2810">
            <v>0</v>
          </cell>
          <cell r="AC2810">
            <v>0</v>
          </cell>
          <cell r="AD2810">
            <v>0</v>
          </cell>
          <cell r="AF2810">
            <v>0</v>
          </cell>
          <cell r="AG2810">
            <v>0</v>
          </cell>
          <cell r="AI2810">
            <v>0</v>
          </cell>
          <cell r="AJ2810">
            <v>0</v>
          </cell>
          <cell r="AL2810">
            <v>0</v>
          </cell>
          <cell r="AM2810">
            <v>0</v>
          </cell>
          <cell r="AO2810">
            <v>0</v>
          </cell>
          <cell r="AP2810">
            <v>0</v>
          </cell>
          <cell r="AR2810">
            <v>0</v>
          </cell>
          <cell r="AS2810">
            <v>0</v>
          </cell>
          <cell r="BF2810" t="str">
            <v>7600</v>
          </cell>
          <cell r="BG2810" t="str">
            <v>Z000</v>
          </cell>
          <cell r="BH2810" t="str">
            <v>BUB</v>
          </cell>
        </row>
        <row r="2811">
          <cell r="K2811">
            <v>0</v>
          </cell>
          <cell r="L2811">
            <v>0</v>
          </cell>
          <cell r="N2811">
            <v>0</v>
          </cell>
          <cell r="O2811">
            <v>0</v>
          </cell>
          <cell r="Q2811">
            <v>0</v>
          </cell>
          <cell r="R2811">
            <v>0</v>
          </cell>
          <cell r="T2811">
            <v>0</v>
          </cell>
          <cell r="U2811">
            <v>0</v>
          </cell>
          <cell r="W2811">
            <v>0</v>
          </cell>
          <cell r="X2811">
            <v>0</v>
          </cell>
          <cell r="Z2811">
            <v>0</v>
          </cell>
          <cell r="AA2811">
            <v>0</v>
          </cell>
          <cell r="AC2811">
            <v>0</v>
          </cell>
          <cell r="AD2811">
            <v>0</v>
          </cell>
          <cell r="AF2811">
            <v>0</v>
          </cell>
          <cell r="AG2811">
            <v>0</v>
          </cell>
          <cell r="AI2811">
            <v>0</v>
          </cell>
          <cell r="AJ2811">
            <v>0</v>
          </cell>
          <cell r="AL2811">
            <v>0</v>
          </cell>
          <cell r="AM2811">
            <v>0</v>
          </cell>
          <cell r="AO2811">
            <v>0</v>
          </cell>
          <cell r="AP2811">
            <v>0</v>
          </cell>
          <cell r="AR2811">
            <v>0</v>
          </cell>
          <cell r="AS2811">
            <v>0</v>
          </cell>
          <cell r="BF2811" t="str">
            <v>7700</v>
          </cell>
          <cell r="BG2811" t="str">
            <v>Z000</v>
          </cell>
          <cell r="BH2811" t="str">
            <v>BUB</v>
          </cell>
        </row>
        <row r="2812">
          <cell r="K2812">
            <v>0</v>
          </cell>
          <cell r="L2812">
            <v>0</v>
          </cell>
          <cell r="N2812">
            <v>0</v>
          </cell>
          <cell r="O2812">
            <v>0</v>
          </cell>
          <cell r="Q2812">
            <v>0</v>
          </cell>
          <cell r="R2812">
            <v>0</v>
          </cell>
          <cell r="T2812">
            <v>0</v>
          </cell>
          <cell r="U2812">
            <v>0</v>
          </cell>
          <cell r="W2812">
            <v>1186.67</v>
          </cell>
          <cell r="X2812">
            <v>0</v>
          </cell>
          <cell r="Z2812">
            <v>14327.360000000006</v>
          </cell>
          <cell r="AA2812">
            <v>0</v>
          </cell>
          <cell r="AC2812">
            <v>-12002.900000000016</v>
          </cell>
          <cell r="AD2812">
            <v>0</v>
          </cell>
          <cell r="AF2812">
            <v>21138.570000000022</v>
          </cell>
          <cell r="AG2812">
            <v>0</v>
          </cell>
          <cell r="AI2812">
            <v>-1847.0899999997346</v>
          </cell>
          <cell r="AJ2812">
            <v>0</v>
          </cell>
          <cell r="AL2812">
            <v>-6196.2199999989243</v>
          </cell>
          <cell r="AM2812">
            <v>0</v>
          </cell>
          <cell r="AO2812">
            <v>20364.119999998657</v>
          </cell>
          <cell r="AP2812">
            <v>0</v>
          </cell>
          <cell r="AR2812">
            <v>-1656.1100000014994</v>
          </cell>
          <cell r="AS2812">
            <v>0</v>
          </cell>
          <cell r="BF2812" t="str">
            <v>8002</v>
          </cell>
          <cell r="BG2812" t="str">
            <v>Z000</v>
          </cell>
          <cell r="BH2812" t="str">
            <v>BUB</v>
          </cell>
        </row>
        <row r="2813">
          <cell r="K2813">
            <v>0</v>
          </cell>
          <cell r="L2813">
            <v>0</v>
          </cell>
          <cell r="N2813">
            <v>0</v>
          </cell>
          <cell r="O2813">
            <v>0</v>
          </cell>
          <cell r="Q2813">
            <v>0</v>
          </cell>
          <cell r="R2813">
            <v>0</v>
          </cell>
          <cell r="T2813">
            <v>0</v>
          </cell>
          <cell r="U2813">
            <v>0</v>
          </cell>
          <cell r="W2813">
            <v>0</v>
          </cell>
          <cell r="X2813">
            <v>0</v>
          </cell>
          <cell r="Z2813">
            <v>0</v>
          </cell>
          <cell r="AA2813">
            <v>0</v>
          </cell>
          <cell r="AC2813">
            <v>0</v>
          </cell>
          <cell r="AD2813">
            <v>0</v>
          </cell>
          <cell r="AF2813">
            <v>0</v>
          </cell>
          <cell r="AG2813">
            <v>0</v>
          </cell>
          <cell r="AI2813">
            <v>0</v>
          </cell>
          <cell r="AJ2813">
            <v>0</v>
          </cell>
          <cell r="AL2813">
            <v>0</v>
          </cell>
          <cell r="AM2813">
            <v>0</v>
          </cell>
          <cell r="AO2813">
            <v>0</v>
          </cell>
          <cell r="AP2813">
            <v>0</v>
          </cell>
          <cell r="AR2813">
            <v>0</v>
          </cell>
          <cell r="AS2813">
            <v>0</v>
          </cell>
          <cell r="BF2813" t="str">
            <v>8003</v>
          </cell>
          <cell r="BG2813" t="str">
            <v>Z000</v>
          </cell>
          <cell r="BH2813" t="str">
            <v>BUB</v>
          </cell>
        </row>
        <row r="2814">
          <cell r="K2814">
            <v>0</v>
          </cell>
          <cell r="L2814">
            <v>0</v>
          </cell>
          <cell r="N2814">
            <v>0</v>
          </cell>
          <cell r="O2814">
            <v>0</v>
          </cell>
          <cell r="Q2814">
            <v>0</v>
          </cell>
          <cell r="R2814">
            <v>0</v>
          </cell>
          <cell r="T2814">
            <v>0</v>
          </cell>
          <cell r="U2814">
            <v>0</v>
          </cell>
          <cell r="W2814">
            <v>626550.61</v>
          </cell>
          <cell r="X2814">
            <v>0</v>
          </cell>
          <cell r="Z2814">
            <v>397815.37000000011</v>
          </cell>
          <cell r="AA2814">
            <v>0</v>
          </cell>
          <cell r="AC2814">
            <v>360517.28999999969</v>
          </cell>
          <cell r="AD2814">
            <v>0</v>
          </cell>
          <cell r="AF2814">
            <v>375483.38000000059</v>
          </cell>
          <cell r="AG2814">
            <v>0</v>
          </cell>
          <cell r="AI2814">
            <v>470080.27999999933</v>
          </cell>
          <cell r="AJ2814">
            <v>0</v>
          </cell>
          <cell r="AL2814">
            <v>182092.00000000186</v>
          </cell>
          <cell r="AM2814">
            <v>0</v>
          </cell>
          <cell r="AO2814">
            <v>-41693.869999999646</v>
          </cell>
          <cell r="AP2814">
            <v>0</v>
          </cell>
          <cell r="AR2814">
            <v>47556.119999994989</v>
          </cell>
          <cell r="AS2814">
            <v>0</v>
          </cell>
          <cell r="BF2814" t="str">
            <v>8200</v>
          </cell>
          <cell r="BG2814" t="str">
            <v>Z000</v>
          </cell>
          <cell r="BH2814" t="str">
            <v>BUB</v>
          </cell>
        </row>
        <row r="2815">
          <cell r="K2815">
            <v>0</v>
          </cell>
          <cell r="L2815">
            <v>0</v>
          </cell>
          <cell r="N2815">
            <v>0</v>
          </cell>
          <cell r="O2815">
            <v>0</v>
          </cell>
          <cell r="Q2815">
            <v>0</v>
          </cell>
          <cell r="R2815">
            <v>0</v>
          </cell>
          <cell r="T2815">
            <v>0</v>
          </cell>
          <cell r="U2815">
            <v>0</v>
          </cell>
          <cell r="W2815">
            <v>-28645.5</v>
          </cell>
          <cell r="X2815">
            <v>0</v>
          </cell>
          <cell r="Z2815">
            <v>-17132.669999999998</v>
          </cell>
          <cell r="AA2815">
            <v>0</v>
          </cell>
          <cell r="AC2815">
            <v>-14509.330000000002</v>
          </cell>
          <cell r="AD2815">
            <v>0</v>
          </cell>
          <cell r="AF2815">
            <v>-12715.330000000002</v>
          </cell>
          <cell r="AG2815">
            <v>0</v>
          </cell>
          <cell r="AI2815">
            <v>-17017.830000000016</v>
          </cell>
          <cell r="AJ2815">
            <v>0</v>
          </cell>
          <cell r="AL2815">
            <v>-4024</v>
          </cell>
          <cell r="AM2815">
            <v>0</v>
          </cell>
          <cell r="AO2815">
            <v>5111.4900000000052</v>
          </cell>
          <cell r="AP2815">
            <v>0</v>
          </cell>
          <cell r="AR2815">
            <v>-3233</v>
          </cell>
          <cell r="AS2815">
            <v>0</v>
          </cell>
          <cell r="BF2815" t="str">
            <v>8201</v>
          </cell>
          <cell r="BG2815" t="str">
            <v>Z000</v>
          </cell>
          <cell r="BH2815" t="str">
            <v>BUB</v>
          </cell>
        </row>
        <row r="2816">
          <cell r="K2816">
            <v>0</v>
          </cell>
          <cell r="L2816">
            <v>0</v>
          </cell>
          <cell r="N2816">
            <v>0</v>
          </cell>
          <cell r="O2816">
            <v>0</v>
          </cell>
          <cell r="Q2816">
            <v>0</v>
          </cell>
          <cell r="R2816">
            <v>0</v>
          </cell>
          <cell r="T2816">
            <v>0</v>
          </cell>
          <cell r="U2816">
            <v>0</v>
          </cell>
          <cell r="W2816">
            <v>31327.54</v>
          </cell>
          <cell r="X2816">
            <v>0</v>
          </cell>
          <cell r="Z2816">
            <v>52004.46</v>
          </cell>
          <cell r="AA2816">
            <v>0</v>
          </cell>
          <cell r="AC2816">
            <v>29328.25</v>
          </cell>
          <cell r="AD2816">
            <v>0</v>
          </cell>
          <cell r="AF2816">
            <v>215934.96999999997</v>
          </cell>
          <cell r="AG2816">
            <v>0</v>
          </cell>
          <cell r="AI2816">
            <v>-26090.049999999988</v>
          </cell>
          <cell r="AJ2816">
            <v>0</v>
          </cell>
          <cell r="AL2816">
            <v>110162.41000000003</v>
          </cell>
          <cell r="AM2816">
            <v>0</v>
          </cell>
          <cell r="AO2816">
            <v>-53145.48000000004</v>
          </cell>
          <cell r="AP2816">
            <v>0</v>
          </cell>
          <cell r="AR2816">
            <v>41534.130000000005</v>
          </cell>
          <cell r="AS2816">
            <v>0</v>
          </cell>
          <cell r="BF2816" t="str">
            <v>8300</v>
          </cell>
          <cell r="BG2816" t="str">
            <v>Z000</v>
          </cell>
          <cell r="BH2816" t="str">
            <v>BUB</v>
          </cell>
        </row>
        <row r="2817">
          <cell r="K2817">
            <v>0</v>
          </cell>
          <cell r="L2817">
            <v>0</v>
          </cell>
          <cell r="N2817">
            <v>0</v>
          </cell>
          <cell r="O2817">
            <v>0</v>
          </cell>
          <cell r="Q2817">
            <v>0</v>
          </cell>
          <cell r="R2817">
            <v>0</v>
          </cell>
          <cell r="T2817">
            <v>-233.62</v>
          </cell>
          <cell r="U2817">
            <v>0</v>
          </cell>
          <cell r="W2817">
            <v>23476.229999999996</v>
          </cell>
          <cell r="X2817">
            <v>0</v>
          </cell>
          <cell r="Z2817">
            <v>-11051.320000000011</v>
          </cell>
          <cell r="AA2817">
            <v>0</v>
          </cell>
          <cell r="AC2817">
            <v>-5552.7700000000259</v>
          </cell>
          <cell r="AD2817">
            <v>0</v>
          </cell>
          <cell r="AF2817">
            <v>85486.13</v>
          </cell>
          <cell r="AG2817">
            <v>0</v>
          </cell>
          <cell r="AI2817">
            <v>-21383.909999999974</v>
          </cell>
          <cell r="AJ2817">
            <v>0</v>
          </cell>
          <cell r="AL2817">
            <v>23439.110000000335</v>
          </cell>
          <cell r="AM2817">
            <v>0</v>
          </cell>
          <cell r="AO2817">
            <v>306764.91999999958</v>
          </cell>
          <cell r="AP2817">
            <v>0</v>
          </cell>
          <cell r="AR2817">
            <v>418614.84000000043</v>
          </cell>
          <cell r="AS2817">
            <v>0</v>
          </cell>
          <cell r="BF2817" t="str">
            <v>8400</v>
          </cell>
          <cell r="BG2817" t="str">
            <v>N001</v>
          </cell>
          <cell r="BH2817" t="str">
            <v>BUB</v>
          </cell>
        </row>
        <row r="2818">
          <cell r="K2818">
            <v>0</v>
          </cell>
          <cell r="L2818">
            <v>0</v>
          </cell>
          <cell r="N2818">
            <v>0</v>
          </cell>
          <cell r="O2818">
            <v>0</v>
          </cell>
          <cell r="Q2818">
            <v>0</v>
          </cell>
          <cell r="R2818">
            <v>0</v>
          </cell>
          <cell r="T2818">
            <v>-233.62</v>
          </cell>
          <cell r="U2818">
            <v>0</v>
          </cell>
          <cell r="W2818">
            <v>1840.3700000000581</v>
          </cell>
          <cell r="X2818">
            <v>0</v>
          </cell>
          <cell r="Z2818">
            <v>-4956.6000000000349</v>
          </cell>
          <cell r="AA2818">
            <v>0</v>
          </cell>
          <cell r="AC2818">
            <v>209283.15000000014</v>
          </cell>
          <cell r="AD2818">
            <v>0</v>
          </cell>
          <cell r="AF2818">
            <v>-149814.24999999988</v>
          </cell>
          <cell r="AG2818">
            <v>0</v>
          </cell>
          <cell r="AI2818">
            <v>-24511.16999999946</v>
          </cell>
          <cell r="AJ2818">
            <v>0</v>
          </cell>
          <cell r="AL2818">
            <v>15730.990000000224</v>
          </cell>
          <cell r="AM2818">
            <v>0</v>
          </cell>
          <cell r="AO2818">
            <v>116090.3899999992</v>
          </cell>
          <cell r="AP2818">
            <v>0</v>
          </cell>
          <cell r="AR2818">
            <v>-60254.25</v>
          </cell>
          <cell r="AS2818">
            <v>0</v>
          </cell>
          <cell r="BF2818" t="str">
            <v>8400</v>
          </cell>
          <cell r="BG2818" t="str">
            <v>N002</v>
          </cell>
          <cell r="BH2818" t="str">
            <v>BUB</v>
          </cell>
        </row>
        <row r="2819">
          <cell r="K2819">
            <v>0</v>
          </cell>
          <cell r="L2819">
            <v>0</v>
          </cell>
          <cell r="N2819">
            <v>0</v>
          </cell>
          <cell r="O2819">
            <v>0</v>
          </cell>
          <cell r="Q2819">
            <v>0</v>
          </cell>
          <cell r="R2819">
            <v>0</v>
          </cell>
          <cell r="T2819">
            <v>0</v>
          </cell>
          <cell r="U2819">
            <v>0</v>
          </cell>
          <cell r="W2819">
            <v>0</v>
          </cell>
          <cell r="X2819">
            <v>0</v>
          </cell>
          <cell r="Z2819">
            <v>0</v>
          </cell>
          <cell r="AA2819">
            <v>0</v>
          </cell>
          <cell r="AC2819">
            <v>0</v>
          </cell>
          <cell r="AD2819">
            <v>0</v>
          </cell>
          <cell r="AF2819">
            <v>0</v>
          </cell>
          <cell r="AG2819">
            <v>0</v>
          </cell>
          <cell r="AI2819">
            <v>0</v>
          </cell>
          <cell r="AJ2819">
            <v>0</v>
          </cell>
          <cell r="AL2819">
            <v>0</v>
          </cell>
          <cell r="AM2819">
            <v>0</v>
          </cell>
          <cell r="AO2819">
            <v>0</v>
          </cell>
          <cell r="AP2819">
            <v>0</v>
          </cell>
          <cell r="AR2819">
            <v>0</v>
          </cell>
          <cell r="AS2819">
            <v>0</v>
          </cell>
          <cell r="BF2819" t="str">
            <v>8400</v>
          </cell>
          <cell r="BG2819" t="str">
            <v>N003</v>
          </cell>
          <cell r="BH2819" t="str">
            <v>BUB</v>
          </cell>
        </row>
        <row r="2820">
          <cell r="K2820">
            <v>0</v>
          </cell>
          <cell r="L2820">
            <v>0</v>
          </cell>
          <cell r="N2820">
            <v>0</v>
          </cell>
          <cell r="O2820">
            <v>0</v>
          </cell>
          <cell r="Q2820">
            <v>0</v>
          </cell>
          <cell r="R2820">
            <v>0</v>
          </cell>
          <cell r="T2820">
            <v>0</v>
          </cell>
          <cell r="U2820">
            <v>0</v>
          </cell>
          <cell r="W2820">
            <v>0</v>
          </cell>
          <cell r="X2820">
            <v>0</v>
          </cell>
          <cell r="Z2820">
            <v>0</v>
          </cell>
          <cell r="AA2820">
            <v>0</v>
          </cell>
          <cell r="AC2820">
            <v>0</v>
          </cell>
          <cell r="AD2820">
            <v>0</v>
          </cell>
          <cell r="AF2820">
            <v>0</v>
          </cell>
          <cell r="AG2820">
            <v>0</v>
          </cell>
          <cell r="AI2820">
            <v>0</v>
          </cell>
          <cell r="AJ2820">
            <v>0</v>
          </cell>
          <cell r="AL2820">
            <v>0</v>
          </cell>
          <cell r="AM2820">
            <v>0</v>
          </cell>
          <cell r="AO2820">
            <v>0</v>
          </cell>
          <cell r="AP2820">
            <v>0</v>
          </cell>
          <cell r="AR2820">
            <v>0</v>
          </cell>
          <cell r="AS2820">
            <v>0</v>
          </cell>
          <cell r="BF2820" t="str">
            <v>8400</v>
          </cell>
          <cell r="BG2820" t="str">
            <v>N004</v>
          </cell>
          <cell r="BH2820" t="str">
            <v>BUB</v>
          </cell>
        </row>
        <row r="2821">
          <cell r="K2821">
            <v>0</v>
          </cell>
          <cell r="L2821">
            <v>0</v>
          </cell>
          <cell r="N2821">
            <v>0</v>
          </cell>
          <cell r="O2821">
            <v>0</v>
          </cell>
          <cell r="Q2821">
            <v>0</v>
          </cell>
          <cell r="R2821">
            <v>0</v>
          </cell>
          <cell r="T2821">
            <v>0</v>
          </cell>
          <cell r="U2821">
            <v>0</v>
          </cell>
          <cell r="W2821">
            <v>0</v>
          </cell>
          <cell r="X2821">
            <v>0</v>
          </cell>
          <cell r="Z2821">
            <v>0</v>
          </cell>
          <cell r="AA2821">
            <v>0</v>
          </cell>
          <cell r="AC2821">
            <v>0</v>
          </cell>
          <cell r="AD2821">
            <v>0</v>
          </cell>
          <cell r="AF2821">
            <v>0</v>
          </cell>
          <cell r="AG2821">
            <v>0</v>
          </cell>
          <cell r="AI2821">
            <v>0</v>
          </cell>
          <cell r="AJ2821">
            <v>0</v>
          </cell>
          <cell r="AL2821">
            <v>0</v>
          </cell>
          <cell r="AM2821">
            <v>0</v>
          </cell>
          <cell r="AO2821">
            <v>0</v>
          </cell>
          <cell r="AP2821">
            <v>0</v>
          </cell>
          <cell r="AR2821">
            <v>0</v>
          </cell>
          <cell r="AS2821">
            <v>0</v>
          </cell>
          <cell r="BF2821" t="str">
            <v>8400</v>
          </cell>
          <cell r="BG2821" t="str">
            <v>N005</v>
          </cell>
          <cell r="BH2821" t="str">
            <v>BUB</v>
          </cell>
        </row>
        <row r="2822">
          <cell r="K2822">
            <v>0</v>
          </cell>
          <cell r="L2822">
            <v>0</v>
          </cell>
          <cell r="N2822">
            <v>0</v>
          </cell>
          <cell r="O2822">
            <v>0</v>
          </cell>
          <cell r="Q2822">
            <v>0</v>
          </cell>
          <cell r="R2822">
            <v>0</v>
          </cell>
          <cell r="T2822">
            <v>0</v>
          </cell>
          <cell r="U2822">
            <v>0</v>
          </cell>
          <cell r="W2822">
            <v>0</v>
          </cell>
          <cell r="X2822">
            <v>0</v>
          </cell>
          <cell r="Z2822">
            <v>0</v>
          </cell>
          <cell r="AA2822">
            <v>0</v>
          </cell>
          <cell r="AC2822">
            <v>0</v>
          </cell>
          <cell r="AD2822">
            <v>0</v>
          </cell>
          <cell r="AF2822">
            <v>0</v>
          </cell>
          <cell r="AG2822">
            <v>0</v>
          </cell>
          <cell r="AI2822">
            <v>0</v>
          </cell>
          <cell r="AJ2822">
            <v>0</v>
          </cell>
          <cell r="AL2822">
            <v>0</v>
          </cell>
          <cell r="AM2822">
            <v>0</v>
          </cell>
          <cell r="AO2822">
            <v>0</v>
          </cell>
          <cell r="AP2822">
            <v>0</v>
          </cell>
          <cell r="AR2822">
            <v>0</v>
          </cell>
          <cell r="AS2822">
            <v>0</v>
          </cell>
          <cell r="BF2822" t="str">
            <v>8400</v>
          </cell>
          <cell r="BG2822" t="str">
            <v>N006</v>
          </cell>
          <cell r="BH2822" t="str">
            <v>BUB</v>
          </cell>
        </row>
        <row r="2823">
          <cell r="K2823">
            <v>0</v>
          </cell>
          <cell r="L2823">
            <v>0</v>
          </cell>
          <cell r="N2823">
            <v>0</v>
          </cell>
          <cell r="O2823">
            <v>0</v>
          </cell>
          <cell r="Q2823">
            <v>0</v>
          </cell>
          <cell r="R2823">
            <v>0</v>
          </cell>
          <cell r="T2823">
            <v>0</v>
          </cell>
          <cell r="U2823">
            <v>0</v>
          </cell>
          <cell r="W2823">
            <v>0</v>
          </cell>
          <cell r="X2823">
            <v>0</v>
          </cell>
          <cell r="Z2823">
            <v>0</v>
          </cell>
          <cell r="AA2823">
            <v>0</v>
          </cell>
          <cell r="AC2823">
            <v>0</v>
          </cell>
          <cell r="AD2823">
            <v>0</v>
          </cell>
          <cell r="AF2823">
            <v>0</v>
          </cell>
          <cell r="AG2823">
            <v>0</v>
          </cell>
          <cell r="AI2823">
            <v>0</v>
          </cell>
          <cell r="AJ2823">
            <v>0</v>
          </cell>
          <cell r="AL2823">
            <v>0</v>
          </cell>
          <cell r="AM2823">
            <v>0</v>
          </cell>
          <cell r="AO2823">
            <v>0</v>
          </cell>
          <cell r="AP2823">
            <v>0</v>
          </cell>
          <cell r="AR2823">
            <v>0</v>
          </cell>
          <cell r="AS2823">
            <v>0</v>
          </cell>
          <cell r="BF2823" t="str">
            <v>8400</v>
          </cell>
          <cell r="BG2823" t="str">
            <v>N007</v>
          </cell>
          <cell r="BH2823" t="str">
            <v>BUB</v>
          </cell>
        </row>
        <row r="2824">
          <cell r="K2824">
            <v>0</v>
          </cell>
          <cell r="L2824">
            <v>0</v>
          </cell>
          <cell r="N2824">
            <v>0</v>
          </cell>
          <cell r="O2824">
            <v>0</v>
          </cell>
          <cell r="Q2824">
            <v>0</v>
          </cell>
          <cell r="R2824">
            <v>0</v>
          </cell>
          <cell r="T2824">
            <v>0</v>
          </cell>
          <cell r="U2824">
            <v>0</v>
          </cell>
          <cell r="W2824">
            <v>0</v>
          </cell>
          <cell r="X2824">
            <v>0</v>
          </cell>
          <cell r="Z2824">
            <v>0</v>
          </cell>
          <cell r="AA2824">
            <v>0</v>
          </cell>
          <cell r="AC2824">
            <v>0</v>
          </cell>
          <cell r="AD2824">
            <v>0</v>
          </cell>
          <cell r="AF2824">
            <v>0</v>
          </cell>
          <cell r="AG2824">
            <v>0</v>
          </cell>
          <cell r="AI2824">
            <v>0</v>
          </cell>
          <cell r="AJ2824">
            <v>0</v>
          </cell>
          <cell r="AL2824">
            <v>0</v>
          </cell>
          <cell r="AM2824">
            <v>0</v>
          </cell>
          <cell r="AO2824">
            <v>0</v>
          </cell>
          <cell r="AP2824">
            <v>0</v>
          </cell>
          <cell r="AR2824">
            <v>0</v>
          </cell>
          <cell r="AS2824">
            <v>0</v>
          </cell>
          <cell r="BF2824" t="str">
            <v>8400</v>
          </cell>
          <cell r="BG2824" t="str">
            <v>N008</v>
          </cell>
          <cell r="BH2824" t="str">
            <v>BUB</v>
          </cell>
        </row>
        <row r="2825">
          <cell r="K2825">
            <v>0</v>
          </cell>
          <cell r="L2825">
            <v>0</v>
          </cell>
          <cell r="N2825">
            <v>0</v>
          </cell>
          <cell r="O2825">
            <v>0</v>
          </cell>
          <cell r="Q2825">
            <v>0</v>
          </cell>
          <cell r="R2825">
            <v>0</v>
          </cell>
          <cell r="T2825">
            <v>0</v>
          </cell>
          <cell r="U2825">
            <v>0</v>
          </cell>
          <cell r="W2825">
            <v>0</v>
          </cell>
          <cell r="X2825">
            <v>0</v>
          </cell>
          <cell r="Z2825">
            <v>0</v>
          </cell>
          <cell r="AA2825">
            <v>0</v>
          </cell>
          <cell r="AC2825">
            <v>0</v>
          </cell>
          <cell r="AD2825">
            <v>0</v>
          </cell>
          <cell r="AF2825">
            <v>0</v>
          </cell>
          <cell r="AG2825">
            <v>0</v>
          </cell>
          <cell r="AI2825">
            <v>0</v>
          </cell>
          <cell r="AJ2825">
            <v>0</v>
          </cell>
          <cell r="AL2825">
            <v>0</v>
          </cell>
          <cell r="AM2825">
            <v>0</v>
          </cell>
          <cell r="AO2825">
            <v>0</v>
          </cell>
          <cell r="AP2825">
            <v>0</v>
          </cell>
          <cell r="AR2825">
            <v>0</v>
          </cell>
          <cell r="AS2825">
            <v>0</v>
          </cell>
          <cell r="BF2825" t="str">
            <v>8400</v>
          </cell>
          <cell r="BG2825" t="str">
            <v>N009</v>
          </cell>
          <cell r="BH2825" t="str">
            <v>BUB</v>
          </cell>
        </row>
        <row r="2826">
          <cell r="K2826">
            <v>0</v>
          </cell>
          <cell r="L2826">
            <v>0</v>
          </cell>
          <cell r="N2826">
            <v>0</v>
          </cell>
          <cell r="O2826">
            <v>0</v>
          </cell>
          <cell r="Q2826">
            <v>0</v>
          </cell>
          <cell r="R2826">
            <v>0</v>
          </cell>
          <cell r="T2826">
            <v>0</v>
          </cell>
          <cell r="U2826">
            <v>0</v>
          </cell>
          <cell r="W2826">
            <v>0</v>
          </cell>
          <cell r="X2826">
            <v>0</v>
          </cell>
          <cell r="Z2826">
            <v>0</v>
          </cell>
          <cell r="AA2826">
            <v>0</v>
          </cell>
          <cell r="AC2826">
            <v>0</v>
          </cell>
          <cell r="AD2826">
            <v>0</v>
          </cell>
          <cell r="AF2826">
            <v>0</v>
          </cell>
          <cell r="AG2826">
            <v>0</v>
          </cell>
          <cell r="AI2826">
            <v>0</v>
          </cell>
          <cell r="AJ2826">
            <v>0</v>
          </cell>
          <cell r="AL2826">
            <v>0</v>
          </cell>
          <cell r="AM2826">
            <v>0</v>
          </cell>
          <cell r="AO2826">
            <v>0</v>
          </cell>
          <cell r="AP2826">
            <v>0</v>
          </cell>
          <cell r="AR2826">
            <v>0</v>
          </cell>
          <cell r="AS2826">
            <v>0</v>
          </cell>
          <cell r="BF2826" t="str">
            <v>8400</v>
          </cell>
          <cell r="BG2826" t="str">
            <v>N999</v>
          </cell>
          <cell r="BH2826" t="str">
            <v>BUB</v>
          </cell>
        </row>
        <row r="2827">
          <cell r="K2827">
            <v>0</v>
          </cell>
          <cell r="L2827">
            <v>0</v>
          </cell>
          <cell r="N2827">
            <v>0</v>
          </cell>
          <cell r="O2827">
            <v>0</v>
          </cell>
          <cell r="Q2827">
            <v>0</v>
          </cell>
          <cell r="R2827">
            <v>0</v>
          </cell>
          <cell r="T2827">
            <v>0</v>
          </cell>
          <cell r="U2827">
            <v>0</v>
          </cell>
          <cell r="W2827">
            <v>0</v>
          </cell>
          <cell r="X2827">
            <v>0</v>
          </cell>
          <cell r="Z2827">
            <v>0</v>
          </cell>
          <cell r="AA2827">
            <v>0</v>
          </cell>
          <cell r="AC2827">
            <v>0</v>
          </cell>
          <cell r="AD2827">
            <v>0</v>
          </cell>
          <cell r="AF2827">
            <v>0</v>
          </cell>
          <cell r="AG2827">
            <v>0</v>
          </cell>
          <cell r="AI2827">
            <v>0</v>
          </cell>
          <cell r="AJ2827">
            <v>0</v>
          </cell>
          <cell r="AL2827">
            <v>0</v>
          </cell>
          <cell r="AM2827">
            <v>0</v>
          </cell>
          <cell r="AO2827">
            <v>0</v>
          </cell>
          <cell r="AP2827">
            <v>0</v>
          </cell>
          <cell r="AR2827">
            <v>0</v>
          </cell>
          <cell r="AS2827">
            <v>0</v>
          </cell>
          <cell r="BF2827" t="str">
            <v>8420</v>
          </cell>
          <cell r="BG2827" t="str">
            <v>Z000</v>
          </cell>
          <cell r="BH2827" t="str">
            <v>BUB</v>
          </cell>
        </row>
        <row r="2828">
          <cell r="K2828">
            <v>0</v>
          </cell>
          <cell r="L2828">
            <v>0</v>
          </cell>
          <cell r="N2828">
            <v>0</v>
          </cell>
          <cell r="O2828">
            <v>0</v>
          </cell>
          <cell r="Q2828">
            <v>0</v>
          </cell>
          <cell r="R2828">
            <v>0</v>
          </cell>
          <cell r="T2828">
            <v>0</v>
          </cell>
          <cell r="U2828">
            <v>0</v>
          </cell>
          <cell r="W2828">
            <v>471.07999999999993</v>
          </cell>
          <cell r="X2828">
            <v>0</v>
          </cell>
          <cell r="Z2828">
            <v>-495.89999999999964</v>
          </cell>
          <cell r="AA2828">
            <v>0</v>
          </cell>
          <cell r="AC2828">
            <v>24.819999999999709</v>
          </cell>
          <cell r="AD2828">
            <v>0</v>
          </cell>
          <cell r="AF2828">
            <v>0</v>
          </cell>
          <cell r="AG2828">
            <v>0</v>
          </cell>
          <cell r="AI2828">
            <v>0</v>
          </cell>
          <cell r="AJ2828">
            <v>0</v>
          </cell>
          <cell r="AL2828">
            <v>0</v>
          </cell>
          <cell r="AM2828">
            <v>0</v>
          </cell>
          <cell r="AO2828">
            <v>0</v>
          </cell>
          <cell r="AP2828">
            <v>0</v>
          </cell>
          <cell r="AR2828">
            <v>0</v>
          </cell>
          <cell r="AS2828">
            <v>0</v>
          </cell>
          <cell r="BF2828" t="str">
            <v>8500</v>
          </cell>
          <cell r="BG2828" t="str">
            <v>O101</v>
          </cell>
          <cell r="BH2828" t="str">
            <v>BUB</v>
          </cell>
        </row>
        <row r="2829">
          <cell r="K2829">
            <v>0</v>
          </cell>
          <cell r="L2829">
            <v>0</v>
          </cell>
          <cell r="N2829">
            <v>0</v>
          </cell>
          <cell r="O2829">
            <v>0</v>
          </cell>
          <cell r="Q2829">
            <v>0</v>
          </cell>
          <cell r="R2829">
            <v>0</v>
          </cell>
          <cell r="T2829">
            <v>0</v>
          </cell>
          <cell r="U2829">
            <v>0</v>
          </cell>
          <cell r="W2829">
            <v>0</v>
          </cell>
          <cell r="X2829">
            <v>0</v>
          </cell>
          <cell r="Z2829">
            <v>0</v>
          </cell>
          <cell r="AA2829">
            <v>0</v>
          </cell>
          <cell r="AC2829">
            <v>0</v>
          </cell>
          <cell r="AD2829">
            <v>0</v>
          </cell>
          <cell r="AF2829">
            <v>0</v>
          </cell>
          <cell r="AG2829">
            <v>0</v>
          </cell>
          <cell r="AI2829">
            <v>0</v>
          </cell>
          <cell r="AJ2829">
            <v>0</v>
          </cell>
          <cell r="AL2829">
            <v>0</v>
          </cell>
          <cell r="AM2829">
            <v>0</v>
          </cell>
          <cell r="AO2829">
            <v>0</v>
          </cell>
          <cell r="AP2829">
            <v>0</v>
          </cell>
          <cell r="AR2829">
            <v>0</v>
          </cell>
          <cell r="AS2829">
            <v>0</v>
          </cell>
          <cell r="BF2829" t="str">
            <v>8500</v>
          </cell>
          <cell r="BG2829" t="str">
            <v>O102</v>
          </cell>
          <cell r="BH2829" t="str">
            <v>BUB</v>
          </cell>
        </row>
        <row r="2830">
          <cell r="K2830">
            <v>0</v>
          </cell>
          <cell r="L2830">
            <v>0</v>
          </cell>
          <cell r="N2830">
            <v>0</v>
          </cell>
          <cell r="O2830">
            <v>0</v>
          </cell>
          <cell r="Q2830">
            <v>0</v>
          </cell>
          <cell r="R2830">
            <v>0</v>
          </cell>
          <cell r="T2830">
            <v>0</v>
          </cell>
          <cell r="U2830">
            <v>0</v>
          </cell>
          <cell r="W2830">
            <v>0</v>
          </cell>
          <cell r="X2830">
            <v>0</v>
          </cell>
          <cell r="Z2830">
            <v>0</v>
          </cell>
          <cell r="AA2830">
            <v>0</v>
          </cell>
          <cell r="AC2830">
            <v>0</v>
          </cell>
          <cell r="AD2830">
            <v>0</v>
          </cell>
          <cell r="AF2830">
            <v>0</v>
          </cell>
          <cell r="AG2830">
            <v>0</v>
          </cell>
          <cell r="AI2830">
            <v>0</v>
          </cell>
          <cell r="AJ2830">
            <v>0</v>
          </cell>
          <cell r="AL2830">
            <v>0</v>
          </cell>
          <cell r="AM2830">
            <v>0</v>
          </cell>
          <cell r="AO2830">
            <v>0</v>
          </cell>
          <cell r="AP2830">
            <v>0</v>
          </cell>
          <cell r="AR2830">
            <v>0</v>
          </cell>
          <cell r="AS2830">
            <v>0</v>
          </cell>
          <cell r="BF2830" t="str">
            <v>8500</v>
          </cell>
          <cell r="BG2830" t="str">
            <v>O103</v>
          </cell>
          <cell r="BH2830" t="str">
            <v>BUB</v>
          </cell>
        </row>
        <row r="2831">
          <cell r="K2831">
            <v>0</v>
          </cell>
          <cell r="L2831">
            <v>0</v>
          </cell>
          <cell r="N2831">
            <v>0</v>
          </cell>
          <cell r="O2831">
            <v>0</v>
          </cell>
          <cell r="Q2831">
            <v>0</v>
          </cell>
          <cell r="R2831">
            <v>0</v>
          </cell>
          <cell r="T2831">
            <v>0</v>
          </cell>
          <cell r="U2831">
            <v>0</v>
          </cell>
          <cell r="W2831">
            <v>0</v>
          </cell>
          <cell r="X2831">
            <v>0</v>
          </cell>
          <cell r="Z2831">
            <v>0</v>
          </cell>
          <cell r="AA2831">
            <v>0</v>
          </cell>
          <cell r="AC2831">
            <v>0</v>
          </cell>
          <cell r="AD2831">
            <v>0</v>
          </cell>
          <cell r="AF2831">
            <v>0</v>
          </cell>
          <cell r="AG2831">
            <v>0</v>
          </cell>
          <cell r="AI2831">
            <v>0</v>
          </cell>
          <cell r="AJ2831">
            <v>0</v>
          </cell>
          <cell r="AL2831">
            <v>0</v>
          </cell>
          <cell r="AM2831">
            <v>0</v>
          </cell>
          <cell r="AO2831">
            <v>0</v>
          </cell>
          <cell r="AP2831">
            <v>0</v>
          </cell>
          <cell r="AR2831">
            <v>0</v>
          </cell>
          <cell r="AS2831">
            <v>0</v>
          </cell>
          <cell r="BF2831" t="str">
            <v>8500</v>
          </cell>
          <cell r="BG2831" t="str">
            <v>O104</v>
          </cell>
          <cell r="BH2831" t="str">
            <v>BUB</v>
          </cell>
        </row>
        <row r="2832">
          <cell r="K2832">
            <v>0</v>
          </cell>
          <cell r="L2832">
            <v>0</v>
          </cell>
          <cell r="N2832">
            <v>0</v>
          </cell>
          <cell r="O2832">
            <v>0</v>
          </cell>
          <cell r="Q2832">
            <v>0</v>
          </cell>
          <cell r="R2832">
            <v>0</v>
          </cell>
          <cell r="T2832">
            <v>0</v>
          </cell>
          <cell r="U2832">
            <v>0</v>
          </cell>
          <cell r="W2832">
            <v>0</v>
          </cell>
          <cell r="X2832">
            <v>0</v>
          </cell>
          <cell r="Z2832">
            <v>0</v>
          </cell>
          <cell r="AA2832">
            <v>0</v>
          </cell>
          <cell r="AC2832">
            <v>0</v>
          </cell>
          <cell r="AD2832">
            <v>0</v>
          </cell>
          <cell r="AF2832">
            <v>0</v>
          </cell>
          <cell r="AG2832">
            <v>0</v>
          </cell>
          <cell r="AI2832">
            <v>0</v>
          </cell>
          <cell r="AJ2832">
            <v>0</v>
          </cell>
          <cell r="AL2832">
            <v>0</v>
          </cell>
          <cell r="AM2832">
            <v>0</v>
          </cell>
          <cell r="AO2832">
            <v>0</v>
          </cell>
          <cell r="AP2832">
            <v>0</v>
          </cell>
          <cell r="AR2832">
            <v>0</v>
          </cell>
          <cell r="AS2832">
            <v>0</v>
          </cell>
          <cell r="BF2832" t="str">
            <v>8500</v>
          </cell>
          <cell r="BG2832" t="str">
            <v>O105</v>
          </cell>
          <cell r="BH2832" t="str">
            <v>BUB</v>
          </cell>
        </row>
        <row r="2833">
          <cell r="K2833">
            <v>0</v>
          </cell>
          <cell r="L2833">
            <v>0</v>
          </cell>
          <cell r="N2833">
            <v>0</v>
          </cell>
          <cell r="O2833">
            <v>0</v>
          </cell>
          <cell r="Q2833">
            <v>0</v>
          </cell>
          <cell r="R2833">
            <v>0</v>
          </cell>
          <cell r="T2833">
            <v>0</v>
          </cell>
          <cell r="U2833">
            <v>0</v>
          </cell>
          <cell r="W2833">
            <v>0</v>
          </cell>
          <cell r="X2833">
            <v>0</v>
          </cell>
          <cell r="Z2833">
            <v>0</v>
          </cell>
          <cell r="AA2833">
            <v>0</v>
          </cell>
          <cell r="AC2833">
            <v>0</v>
          </cell>
          <cell r="AD2833">
            <v>0</v>
          </cell>
          <cell r="AF2833">
            <v>0</v>
          </cell>
          <cell r="AG2833">
            <v>0</v>
          </cell>
          <cell r="AI2833">
            <v>0</v>
          </cell>
          <cell r="AJ2833">
            <v>0</v>
          </cell>
          <cell r="AL2833">
            <v>0</v>
          </cell>
          <cell r="AM2833">
            <v>0</v>
          </cell>
          <cell r="AO2833">
            <v>0</v>
          </cell>
          <cell r="AP2833">
            <v>0</v>
          </cell>
          <cell r="AR2833">
            <v>0</v>
          </cell>
          <cell r="AS2833">
            <v>0</v>
          </cell>
          <cell r="BF2833" t="str">
            <v>8500</v>
          </cell>
          <cell r="BG2833" t="str">
            <v>O106</v>
          </cell>
          <cell r="BH2833" t="str">
            <v>BUB</v>
          </cell>
        </row>
        <row r="2834">
          <cell r="K2834">
            <v>0</v>
          </cell>
          <cell r="L2834">
            <v>0</v>
          </cell>
          <cell r="N2834">
            <v>0</v>
          </cell>
          <cell r="O2834">
            <v>0</v>
          </cell>
          <cell r="Q2834">
            <v>0</v>
          </cell>
          <cell r="R2834">
            <v>0</v>
          </cell>
          <cell r="T2834">
            <v>0</v>
          </cell>
          <cell r="U2834">
            <v>0</v>
          </cell>
          <cell r="W2834">
            <v>0</v>
          </cell>
          <cell r="X2834">
            <v>0</v>
          </cell>
          <cell r="Z2834">
            <v>0</v>
          </cell>
          <cell r="AA2834">
            <v>0</v>
          </cell>
          <cell r="AC2834">
            <v>0</v>
          </cell>
          <cell r="AD2834">
            <v>0</v>
          </cell>
          <cell r="AF2834">
            <v>0</v>
          </cell>
          <cell r="AG2834">
            <v>0</v>
          </cell>
          <cell r="AI2834">
            <v>0</v>
          </cell>
          <cell r="AJ2834">
            <v>0</v>
          </cell>
          <cell r="AL2834">
            <v>0</v>
          </cell>
          <cell r="AM2834">
            <v>0</v>
          </cell>
          <cell r="AO2834">
            <v>0</v>
          </cell>
          <cell r="AP2834">
            <v>0</v>
          </cell>
          <cell r="AR2834">
            <v>0</v>
          </cell>
          <cell r="AS2834">
            <v>0</v>
          </cell>
          <cell r="BF2834" t="str">
            <v>8500</v>
          </cell>
          <cell r="BG2834" t="str">
            <v>O107</v>
          </cell>
          <cell r="BH2834" t="str">
            <v>BUB</v>
          </cell>
        </row>
        <row r="2835">
          <cell r="K2835">
            <v>0</v>
          </cell>
          <cell r="L2835">
            <v>0</v>
          </cell>
          <cell r="N2835">
            <v>0</v>
          </cell>
          <cell r="O2835">
            <v>0</v>
          </cell>
          <cell r="Q2835">
            <v>0</v>
          </cell>
          <cell r="R2835">
            <v>0</v>
          </cell>
          <cell r="T2835">
            <v>0</v>
          </cell>
          <cell r="U2835">
            <v>0</v>
          </cell>
          <cell r="W2835">
            <v>0</v>
          </cell>
          <cell r="X2835">
            <v>0</v>
          </cell>
          <cell r="Z2835">
            <v>0</v>
          </cell>
          <cell r="AA2835">
            <v>0</v>
          </cell>
          <cell r="AC2835">
            <v>0</v>
          </cell>
          <cell r="AD2835">
            <v>0</v>
          </cell>
          <cell r="AF2835">
            <v>0</v>
          </cell>
          <cell r="AG2835">
            <v>0</v>
          </cell>
          <cell r="AI2835">
            <v>0</v>
          </cell>
          <cell r="AJ2835">
            <v>0</v>
          </cell>
          <cell r="AL2835">
            <v>0</v>
          </cell>
          <cell r="AM2835">
            <v>0</v>
          </cell>
          <cell r="AO2835">
            <v>0</v>
          </cell>
          <cell r="AP2835">
            <v>0</v>
          </cell>
          <cell r="AR2835">
            <v>0</v>
          </cell>
          <cell r="AS2835">
            <v>0</v>
          </cell>
          <cell r="BF2835" t="str">
            <v>8500</v>
          </cell>
          <cell r="BG2835" t="str">
            <v>O108</v>
          </cell>
          <cell r="BH2835" t="str">
            <v>BUB</v>
          </cell>
        </row>
        <row r="2836">
          <cell r="K2836">
            <v>0</v>
          </cell>
          <cell r="L2836">
            <v>0</v>
          </cell>
          <cell r="N2836">
            <v>0</v>
          </cell>
          <cell r="O2836">
            <v>0</v>
          </cell>
          <cell r="Q2836">
            <v>0</v>
          </cell>
          <cell r="R2836">
            <v>0</v>
          </cell>
          <cell r="T2836">
            <v>0</v>
          </cell>
          <cell r="U2836">
            <v>0</v>
          </cell>
          <cell r="W2836">
            <v>0</v>
          </cell>
          <cell r="X2836">
            <v>0</v>
          </cell>
          <cell r="Z2836">
            <v>0</v>
          </cell>
          <cell r="AA2836">
            <v>0</v>
          </cell>
          <cell r="AC2836">
            <v>0</v>
          </cell>
          <cell r="AD2836">
            <v>0</v>
          </cell>
          <cell r="AF2836">
            <v>0</v>
          </cell>
          <cell r="AG2836">
            <v>0</v>
          </cell>
          <cell r="AI2836">
            <v>0</v>
          </cell>
          <cell r="AJ2836">
            <v>0</v>
          </cell>
          <cell r="AL2836">
            <v>0</v>
          </cell>
          <cell r="AM2836">
            <v>0</v>
          </cell>
          <cell r="AO2836">
            <v>0</v>
          </cell>
          <cell r="AP2836">
            <v>0</v>
          </cell>
          <cell r="AR2836">
            <v>0</v>
          </cell>
          <cell r="AS2836">
            <v>0</v>
          </cell>
          <cell r="BF2836" t="str">
            <v>8600</v>
          </cell>
          <cell r="BG2836" t="str">
            <v>P201</v>
          </cell>
          <cell r="BH2836" t="str">
            <v>BUB</v>
          </cell>
        </row>
        <row r="2837">
          <cell r="K2837">
            <v>0</v>
          </cell>
          <cell r="L2837">
            <v>0</v>
          </cell>
          <cell r="N2837">
            <v>0</v>
          </cell>
          <cell r="O2837">
            <v>0</v>
          </cell>
          <cell r="Q2837">
            <v>0</v>
          </cell>
          <cell r="R2837">
            <v>0</v>
          </cell>
          <cell r="T2837">
            <v>0</v>
          </cell>
          <cell r="U2837">
            <v>0</v>
          </cell>
          <cell r="W2837">
            <v>0</v>
          </cell>
          <cell r="X2837">
            <v>0</v>
          </cell>
          <cell r="Z2837">
            <v>0</v>
          </cell>
          <cell r="AA2837">
            <v>0</v>
          </cell>
          <cell r="AC2837">
            <v>0</v>
          </cell>
          <cell r="AD2837">
            <v>0</v>
          </cell>
          <cell r="AF2837">
            <v>0</v>
          </cell>
          <cell r="AG2837">
            <v>0</v>
          </cell>
          <cell r="AI2837">
            <v>0</v>
          </cell>
          <cell r="AJ2837">
            <v>0</v>
          </cell>
          <cell r="AL2837">
            <v>0</v>
          </cell>
          <cell r="AM2837">
            <v>0</v>
          </cell>
          <cell r="AO2837">
            <v>0</v>
          </cell>
          <cell r="AP2837">
            <v>0</v>
          </cell>
          <cell r="AR2837">
            <v>0</v>
          </cell>
          <cell r="AS2837">
            <v>0</v>
          </cell>
          <cell r="BF2837" t="str">
            <v>8600</v>
          </cell>
          <cell r="BG2837" t="str">
            <v>P202</v>
          </cell>
          <cell r="BH2837" t="str">
            <v>BUB</v>
          </cell>
        </row>
        <row r="2838">
          <cell r="K2838">
            <v>0</v>
          </cell>
          <cell r="L2838">
            <v>0</v>
          </cell>
          <cell r="N2838">
            <v>0</v>
          </cell>
          <cell r="O2838">
            <v>0</v>
          </cell>
          <cell r="Q2838">
            <v>0</v>
          </cell>
          <cell r="R2838">
            <v>0</v>
          </cell>
          <cell r="T2838">
            <v>0</v>
          </cell>
          <cell r="U2838">
            <v>0</v>
          </cell>
          <cell r="W2838">
            <v>0</v>
          </cell>
          <cell r="X2838">
            <v>0</v>
          </cell>
          <cell r="Z2838">
            <v>0</v>
          </cell>
          <cell r="AA2838">
            <v>0</v>
          </cell>
          <cell r="AC2838">
            <v>0</v>
          </cell>
          <cell r="AD2838">
            <v>0</v>
          </cell>
          <cell r="AF2838">
            <v>0</v>
          </cell>
          <cell r="AG2838">
            <v>0</v>
          </cell>
          <cell r="AI2838">
            <v>0</v>
          </cell>
          <cell r="AJ2838">
            <v>0</v>
          </cell>
          <cell r="AL2838">
            <v>0</v>
          </cell>
          <cell r="AM2838">
            <v>0</v>
          </cell>
          <cell r="AO2838">
            <v>0</v>
          </cell>
          <cell r="AP2838">
            <v>0</v>
          </cell>
          <cell r="AR2838">
            <v>0</v>
          </cell>
          <cell r="AS2838">
            <v>0</v>
          </cell>
          <cell r="BF2838" t="str">
            <v>8600</v>
          </cell>
          <cell r="BG2838" t="str">
            <v>P203</v>
          </cell>
          <cell r="BH2838" t="str">
            <v>BUB</v>
          </cell>
        </row>
        <row r="2839">
          <cell r="K2839">
            <v>0</v>
          </cell>
          <cell r="L2839">
            <v>0</v>
          </cell>
          <cell r="N2839">
            <v>0</v>
          </cell>
          <cell r="O2839">
            <v>0</v>
          </cell>
          <cell r="Q2839">
            <v>0</v>
          </cell>
          <cell r="R2839">
            <v>0</v>
          </cell>
          <cell r="T2839">
            <v>0</v>
          </cell>
          <cell r="U2839">
            <v>0</v>
          </cell>
          <cell r="W2839">
            <v>0</v>
          </cell>
          <cell r="X2839">
            <v>0</v>
          </cell>
          <cell r="Z2839">
            <v>0</v>
          </cell>
          <cell r="AA2839">
            <v>0</v>
          </cell>
          <cell r="AC2839">
            <v>0</v>
          </cell>
          <cell r="AD2839">
            <v>0</v>
          </cell>
          <cell r="AF2839">
            <v>0</v>
          </cell>
          <cell r="AG2839">
            <v>0</v>
          </cell>
          <cell r="AI2839">
            <v>0</v>
          </cell>
          <cell r="AJ2839">
            <v>0</v>
          </cell>
          <cell r="AL2839">
            <v>0</v>
          </cell>
          <cell r="AM2839">
            <v>0</v>
          </cell>
          <cell r="AO2839">
            <v>0</v>
          </cell>
          <cell r="AP2839">
            <v>0</v>
          </cell>
          <cell r="AR2839">
            <v>0</v>
          </cell>
          <cell r="AS2839">
            <v>0</v>
          </cell>
          <cell r="BF2839" t="str">
            <v>8600</v>
          </cell>
          <cell r="BG2839" t="str">
            <v>P204</v>
          </cell>
          <cell r="BH2839" t="str">
            <v>BUB</v>
          </cell>
        </row>
        <row r="2840">
          <cell r="K2840">
            <v>0</v>
          </cell>
          <cell r="L2840">
            <v>0</v>
          </cell>
          <cell r="N2840">
            <v>0</v>
          </cell>
          <cell r="O2840">
            <v>0</v>
          </cell>
          <cell r="Q2840">
            <v>0</v>
          </cell>
          <cell r="R2840">
            <v>0</v>
          </cell>
          <cell r="T2840">
            <v>0</v>
          </cell>
          <cell r="U2840">
            <v>0</v>
          </cell>
          <cell r="W2840">
            <v>0</v>
          </cell>
          <cell r="X2840">
            <v>0</v>
          </cell>
          <cell r="Z2840">
            <v>0</v>
          </cell>
          <cell r="AA2840">
            <v>0</v>
          </cell>
          <cell r="AC2840">
            <v>0</v>
          </cell>
          <cell r="AD2840">
            <v>0</v>
          </cell>
          <cell r="AF2840">
            <v>0</v>
          </cell>
          <cell r="AG2840">
            <v>0</v>
          </cell>
          <cell r="AI2840">
            <v>0</v>
          </cell>
          <cell r="AJ2840">
            <v>0</v>
          </cell>
          <cell r="AL2840">
            <v>0</v>
          </cell>
          <cell r="AM2840">
            <v>0</v>
          </cell>
          <cell r="AO2840">
            <v>0</v>
          </cell>
          <cell r="AP2840">
            <v>0</v>
          </cell>
          <cell r="AR2840">
            <v>0</v>
          </cell>
          <cell r="AS2840">
            <v>0</v>
          </cell>
          <cell r="BF2840" t="str">
            <v>8600</v>
          </cell>
          <cell r="BG2840" t="str">
            <v>P205</v>
          </cell>
          <cell r="BH2840" t="str">
            <v>BUB</v>
          </cell>
        </row>
        <row r="2841">
          <cell r="K2841">
            <v>0</v>
          </cell>
          <cell r="L2841">
            <v>0</v>
          </cell>
          <cell r="N2841">
            <v>0</v>
          </cell>
          <cell r="O2841">
            <v>0</v>
          </cell>
          <cell r="Q2841">
            <v>0</v>
          </cell>
          <cell r="R2841">
            <v>0</v>
          </cell>
          <cell r="T2841">
            <v>0</v>
          </cell>
          <cell r="U2841">
            <v>0</v>
          </cell>
          <cell r="W2841">
            <v>0</v>
          </cell>
          <cell r="X2841">
            <v>0</v>
          </cell>
          <cell r="Z2841">
            <v>0</v>
          </cell>
          <cell r="AA2841">
            <v>0</v>
          </cell>
          <cell r="AC2841">
            <v>0</v>
          </cell>
          <cell r="AD2841">
            <v>0</v>
          </cell>
          <cell r="AF2841">
            <v>0</v>
          </cell>
          <cell r="AG2841">
            <v>0</v>
          </cell>
          <cell r="AI2841">
            <v>0</v>
          </cell>
          <cell r="AJ2841">
            <v>0</v>
          </cell>
          <cell r="AL2841">
            <v>0</v>
          </cell>
          <cell r="AM2841">
            <v>0</v>
          </cell>
          <cell r="AO2841">
            <v>0</v>
          </cell>
          <cell r="AP2841">
            <v>0</v>
          </cell>
          <cell r="AR2841">
            <v>0</v>
          </cell>
          <cell r="AS2841">
            <v>0</v>
          </cell>
          <cell r="BF2841" t="str">
            <v>8600</v>
          </cell>
          <cell r="BG2841" t="str">
            <v>P206</v>
          </cell>
          <cell r="BH2841" t="str">
            <v>BUB</v>
          </cell>
        </row>
        <row r="2842">
          <cell r="K2842">
            <v>0</v>
          </cell>
          <cell r="L2842">
            <v>0</v>
          </cell>
          <cell r="N2842">
            <v>0</v>
          </cell>
          <cell r="O2842">
            <v>0</v>
          </cell>
          <cell r="Q2842">
            <v>0</v>
          </cell>
          <cell r="R2842">
            <v>0</v>
          </cell>
          <cell r="T2842">
            <v>0</v>
          </cell>
          <cell r="U2842">
            <v>0</v>
          </cell>
          <cell r="W2842">
            <v>0</v>
          </cell>
          <cell r="X2842">
            <v>0</v>
          </cell>
          <cell r="Z2842">
            <v>0</v>
          </cell>
          <cell r="AA2842">
            <v>0</v>
          </cell>
          <cell r="AC2842">
            <v>0</v>
          </cell>
          <cell r="AD2842">
            <v>0</v>
          </cell>
          <cell r="AF2842">
            <v>0</v>
          </cell>
          <cell r="AG2842">
            <v>0</v>
          </cell>
          <cell r="AI2842">
            <v>0</v>
          </cell>
          <cell r="AJ2842">
            <v>0</v>
          </cell>
          <cell r="AL2842">
            <v>0</v>
          </cell>
          <cell r="AM2842">
            <v>0</v>
          </cell>
          <cell r="AO2842">
            <v>0</v>
          </cell>
          <cell r="AP2842">
            <v>0</v>
          </cell>
          <cell r="AR2842">
            <v>0</v>
          </cell>
          <cell r="AS2842">
            <v>0</v>
          </cell>
          <cell r="BF2842" t="str">
            <v>8600</v>
          </cell>
          <cell r="BG2842" t="str">
            <v>P207</v>
          </cell>
          <cell r="BH2842" t="str">
            <v>BUB</v>
          </cell>
        </row>
        <row r="2843">
          <cell r="K2843">
            <v>0</v>
          </cell>
          <cell r="L2843">
            <v>0</v>
          </cell>
          <cell r="N2843">
            <v>0</v>
          </cell>
          <cell r="O2843">
            <v>0</v>
          </cell>
          <cell r="Q2843">
            <v>0</v>
          </cell>
          <cell r="R2843">
            <v>0</v>
          </cell>
          <cell r="T2843">
            <v>0</v>
          </cell>
          <cell r="U2843">
            <v>0</v>
          </cell>
          <cell r="W2843">
            <v>0</v>
          </cell>
          <cell r="X2843">
            <v>0</v>
          </cell>
          <cell r="Z2843">
            <v>0</v>
          </cell>
          <cell r="AA2843">
            <v>0</v>
          </cell>
          <cell r="AC2843">
            <v>0</v>
          </cell>
          <cell r="AD2843">
            <v>0</v>
          </cell>
          <cell r="AF2843">
            <v>0</v>
          </cell>
          <cell r="AG2843">
            <v>0</v>
          </cell>
          <cell r="AI2843">
            <v>0</v>
          </cell>
          <cell r="AJ2843">
            <v>0</v>
          </cell>
          <cell r="AL2843">
            <v>0</v>
          </cell>
          <cell r="AM2843">
            <v>0</v>
          </cell>
          <cell r="AO2843">
            <v>0</v>
          </cell>
          <cell r="AP2843">
            <v>0</v>
          </cell>
          <cell r="AR2843">
            <v>0</v>
          </cell>
          <cell r="AS2843">
            <v>0</v>
          </cell>
          <cell r="BF2843" t="str">
            <v>8600</v>
          </cell>
          <cell r="BG2843" t="str">
            <v>P208</v>
          </cell>
          <cell r="BH2843" t="str">
            <v>BUB</v>
          </cell>
        </row>
        <row r="2844">
          <cell r="K2844">
            <v>0</v>
          </cell>
          <cell r="L2844">
            <v>0</v>
          </cell>
          <cell r="N2844">
            <v>0</v>
          </cell>
          <cell r="O2844">
            <v>0</v>
          </cell>
          <cell r="Q2844">
            <v>0</v>
          </cell>
          <cell r="R2844">
            <v>0</v>
          </cell>
          <cell r="T2844">
            <v>3400</v>
          </cell>
          <cell r="U2844">
            <v>0</v>
          </cell>
          <cell r="W2844">
            <v>96841.16</v>
          </cell>
          <cell r="X2844">
            <v>0</v>
          </cell>
          <cell r="Z2844">
            <v>-80852.48000000001</v>
          </cell>
          <cell r="AA2844">
            <v>0</v>
          </cell>
          <cell r="AC2844">
            <v>39738.839999999997</v>
          </cell>
          <cell r="AD2844">
            <v>0</v>
          </cell>
          <cell r="AF2844">
            <v>12034.440000000002</v>
          </cell>
          <cell r="AG2844">
            <v>0</v>
          </cell>
          <cell r="AI2844">
            <v>21273.780000000028</v>
          </cell>
          <cell r="AJ2844">
            <v>0</v>
          </cell>
          <cell r="AL2844">
            <v>17772.450000000012</v>
          </cell>
          <cell r="AM2844">
            <v>0</v>
          </cell>
          <cell r="AO2844">
            <v>22622.96000000005</v>
          </cell>
          <cell r="AP2844">
            <v>0</v>
          </cell>
          <cell r="AR2844">
            <v>19932.869999999995</v>
          </cell>
          <cell r="AS2844">
            <v>0</v>
          </cell>
          <cell r="BF2844" t="str">
            <v>9000</v>
          </cell>
          <cell r="BG2844" t="str">
            <v>Z000</v>
          </cell>
          <cell r="BH2844" t="str">
            <v>BUB</v>
          </cell>
        </row>
        <row r="2845">
          <cell r="K2845">
            <v>0</v>
          </cell>
          <cell r="L2845">
            <v>0</v>
          </cell>
          <cell r="N2845">
            <v>0</v>
          </cell>
          <cell r="O2845">
            <v>0</v>
          </cell>
          <cell r="Q2845">
            <v>0</v>
          </cell>
          <cell r="R2845">
            <v>0</v>
          </cell>
          <cell r="T2845">
            <v>0</v>
          </cell>
          <cell r="U2845">
            <v>0</v>
          </cell>
          <cell r="W2845">
            <v>0</v>
          </cell>
          <cell r="X2845">
            <v>0</v>
          </cell>
          <cell r="Z2845">
            <v>0</v>
          </cell>
          <cell r="AA2845">
            <v>0</v>
          </cell>
          <cell r="AC2845">
            <v>0</v>
          </cell>
          <cell r="AD2845">
            <v>0</v>
          </cell>
          <cell r="AF2845">
            <v>0</v>
          </cell>
          <cell r="AG2845">
            <v>0</v>
          </cell>
          <cell r="AI2845">
            <v>28432.030000000002</v>
          </cell>
          <cell r="AJ2845">
            <v>0</v>
          </cell>
          <cell r="AL2845">
            <v>-25832.030000000002</v>
          </cell>
          <cell r="AM2845">
            <v>0</v>
          </cell>
          <cell r="AO2845">
            <v>54186.91</v>
          </cell>
          <cell r="AP2845">
            <v>0</v>
          </cell>
          <cell r="AR2845">
            <v>-4565.0899999999965</v>
          </cell>
          <cell r="AS2845">
            <v>0</v>
          </cell>
          <cell r="BF2845" t="str">
            <v>9050</v>
          </cell>
          <cell r="BG2845" t="str">
            <v>Z000</v>
          </cell>
          <cell r="BH2845" t="str">
            <v>BUB</v>
          </cell>
        </row>
        <row r="2846">
          <cell r="K2846">
            <v>0</v>
          </cell>
          <cell r="L2846">
            <v>0</v>
          </cell>
          <cell r="N2846">
            <v>0</v>
          </cell>
          <cell r="O2846">
            <v>0</v>
          </cell>
          <cell r="Q2846">
            <v>0</v>
          </cell>
          <cell r="R2846">
            <v>0</v>
          </cell>
          <cell r="T2846">
            <v>0</v>
          </cell>
          <cell r="U2846">
            <v>0</v>
          </cell>
          <cell r="W2846">
            <v>20933.280000000028</v>
          </cell>
          <cell r="X2846">
            <v>0</v>
          </cell>
          <cell r="Z2846">
            <v>-14804.150000000023</v>
          </cell>
          <cell r="AA2846">
            <v>0</v>
          </cell>
          <cell r="AC2846">
            <v>959.45000000006985</v>
          </cell>
          <cell r="AD2846">
            <v>0</v>
          </cell>
          <cell r="AF2846">
            <v>-16030.639999999898</v>
          </cell>
          <cell r="AG2846">
            <v>0</v>
          </cell>
          <cell r="AI2846">
            <v>10637.840000000084</v>
          </cell>
          <cell r="AJ2846">
            <v>0</v>
          </cell>
          <cell r="AL2846">
            <v>-1869.3599999998696</v>
          </cell>
          <cell r="AM2846">
            <v>0</v>
          </cell>
          <cell r="AO2846">
            <v>-2000</v>
          </cell>
          <cell r="AP2846">
            <v>0</v>
          </cell>
          <cell r="AR2846">
            <v>0</v>
          </cell>
          <cell r="AS2846">
            <v>0</v>
          </cell>
          <cell r="BF2846" t="str">
            <v>9051</v>
          </cell>
          <cell r="BG2846" t="str">
            <v>Z000</v>
          </cell>
          <cell r="BH2846" t="str">
            <v>BUB</v>
          </cell>
        </row>
        <row r="2847">
          <cell r="K2847">
            <v>0</v>
          </cell>
          <cell r="L2847">
            <v>0</v>
          </cell>
          <cell r="N2847">
            <v>0</v>
          </cell>
          <cell r="O2847">
            <v>0</v>
          </cell>
          <cell r="Q2847">
            <v>0</v>
          </cell>
          <cell r="R2847">
            <v>0</v>
          </cell>
          <cell r="T2847">
            <v>0</v>
          </cell>
          <cell r="U2847">
            <v>0</v>
          </cell>
          <cell r="W2847">
            <v>0</v>
          </cell>
          <cell r="X2847">
            <v>0</v>
          </cell>
          <cell r="Z2847">
            <v>0</v>
          </cell>
          <cell r="AA2847">
            <v>0</v>
          </cell>
          <cell r="AC2847">
            <v>0</v>
          </cell>
          <cell r="AD2847">
            <v>0</v>
          </cell>
          <cell r="AF2847">
            <v>0</v>
          </cell>
          <cell r="AG2847">
            <v>0</v>
          </cell>
          <cell r="AI2847">
            <v>0</v>
          </cell>
          <cell r="AJ2847">
            <v>0</v>
          </cell>
          <cell r="AL2847">
            <v>0</v>
          </cell>
          <cell r="AM2847">
            <v>0</v>
          </cell>
          <cell r="AO2847">
            <v>0</v>
          </cell>
          <cell r="AP2847">
            <v>0</v>
          </cell>
          <cell r="AR2847">
            <v>0</v>
          </cell>
          <cell r="AS2847">
            <v>0</v>
          </cell>
          <cell r="BF2847" t="str">
            <v>9100</v>
          </cell>
          <cell r="BG2847" t="str">
            <v>Z000</v>
          </cell>
          <cell r="BH2847" t="str">
            <v>BUB</v>
          </cell>
        </row>
        <row r="2848">
          <cell r="K2848">
            <v>0</v>
          </cell>
          <cell r="L2848">
            <v>0</v>
          </cell>
          <cell r="N2848">
            <v>0</v>
          </cell>
          <cell r="O2848">
            <v>0</v>
          </cell>
          <cell r="Q2848">
            <v>0</v>
          </cell>
          <cell r="R2848">
            <v>0</v>
          </cell>
          <cell r="T2848">
            <v>0</v>
          </cell>
          <cell r="U2848">
            <v>0</v>
          </cell>
          <cell r="W2848">
            <v>0</v>
          </cell>
          <cell r="X2848">
            <v>0</v>
          </cell>
          <cell r="Z2848">
            <v>0</v>
          </cell>
          <cell r="AA2848">
            <v>0</v>
          </cell>
          <cell r="AC2848">
            <v>0</v>
          </cell>
          <cell r="AD2848">
            <v>0</v>
          </cell>
          <cell r="AF2848">
            <v>0</v>
          </cell>
          <cell r="AG2848">
            <v>0</v>
          </cell>
          <cell r="AI2848">
            <v>0</v>
          </cell>
          <cell r="AJ2848">
            <v>0</v>
          </cell>
          <cell r="AL2848">
            <v>0</v>
          </cell>
          <cell r="AM2848">
            <v>0</v>
          </cell>
          <cell r="AO2848">
            <v>0</v>
          </cell>
          <cell r="AP2848">
            <v>0</v>
          </cell>
          <cell r="AR2848">
            <v>0</v>
          </cell>
          <cell r="AS2848">
            <v>0</v>
          </cell>
          <cell r="BF2848" t="str">
            <v>9200</v>
          </cell>
          <cell r="BG2848" t="str">
            <v>Q001</v>
          </cell>
          <cell r="BH2848" t="str">
            <v>BUB</v>
          </cell>
        </row>
        <row r="2849">
          <cell r="K2849">
            <v>0</v>
          </cell>
          <cell r="L2849">
            <v>0</v>
          </cell>
          <cell r="N2849">
            <v>0</v>
          </cell>
          <cell r="O2849">
            <v>0</v>
          </cell>
          <cell r="Q2849">
            <v>0</v>
          </cell>
          <cell r="R2849">
            <v>0</v>
          </cell>
          <cell r="T2849">
            <v>0</v>
          </cell>
          <cell r="U2849">
            <v>0</v>
          </cell>
          <cell r="W2849">
            <v>0</v>
          </cell>
          <cell r="X2849">
            <v>0</v>
          </cell>
          <cell r="Z2849">
            <v>0</v>
          </cell>
          <cell r="AA2849">
            <v>0</v>
          </cell>
          <cell r="AC2849">
            <v>0</v>
          </cell>
          <cell r="AD2849">
            <v>0</v>
          </cell>
          <cell r="AF2849">
            <v>0</v>
          </cell>
          <cell r="AG2849">
            <v>0</v>
          </cell>
          <cell r="AI2849">
            <v>0</v>
          </cell>
          <cell r="AJ2849">
            <v>0</v>
          </cell>
          <cell r="AL2849">
            <v>0</v>
          </cell>
          <cell r="AM2849">
            <v>0</v>
          </cell>
          <cell r="AO2849">
            <v>0</v>
          </cell>
          <cell r="AP2849">
            <v>0</v>
          </cell>
          <cell r="AR2849">
            <v>0</v>
          </cell>
          <cell r="AS2849">
            <v>0</v>
          </cell>
          <cell r="BF2849" t="str">
            <v>9200</v>
          </cell>
          <cell r="BG2849" t="str">
            <v>Q002</v>
          </cell>
          <cell r="BH2849" t="str">
            <v>BUB</v>
          </cell>
        </row>
        <row r="2850">
          <cell r="K2850">
            <v>0</v>
          </cell>
          <cell r="L2850">
            <v>0</v>
          </cell>
          <cell r="N2850">
            <v>0</v>
          </cell>
          <cell r="O2850">
            <v>0</v>
          </cell>
          <cell r="Q2850">
            <v>0</v>
          </cell>
          <cell r="R2850">
            <v>0</v>
          </cell>
          <cell r="T2850">
            <v>0</v>
          </cell>
          <cell r="U2850">
            <v>0</v>
          </cell>
          <cell r="W2850">
            <v>0</v>
          </cell>
          <cell r="X2850">
            <v>0</v>
          </cell>
          <cell r="Z2850">
            <v>0</v>
          </cell>
          <cell r="AA2850">
            <v>0</v>
          </cell>
          <cell r="AC2850">
            <v>0</v>
          </cell>
          <cell r="AD2850">
            <v>0</v>
          </cell>
          <cell r="AF2850">
            <v>0</v>
          </cell>
          <cell r="AG2850">
            <v>0</v>
          </cell>
          <cell r="AI2850">
            <v>0</v>
          </cell>
          <cell r="AJ2850">
            <v>0</v>
          </cell>
          <cell r="AL2850">
            <v>0</v>
          </cell>
          <cell r="AM2850">
            <v>0</v>
          </cell>
          <cell r="AO2850">
            <v>0</v>
          </cell>
          <cell r="AP2850">
            <v>0</v>
          </cell>
          <cell r="AR2850">
            <v>0</v>
          </cell>
          <cell r="AS2850">
            <v>0</v>
          </cell>
          <cell r="BF2850" t="str">
            <v>9200</v>
          </cell>
          <cell r="BG2850" t="str">
            <v>Q003</v>
          </cell>
          <cell r="BH2850" t="str">
            <v>BUB</v>
          </cell>
        </row>
        <row r="2851">
          <cell r="K2851">
            <v>0</v>
          </cell>
          <cell r="L2851">
            <v>0</v>
          </cell>
          <cell r="N2851">
            <v>0</v>
          </cell>
          <cell r="O2851">
            <v>0</v>
          </cell>
          <cell r="Q2851">
            <v>0</v>
          </cell>
          <cell r="R2851">
            <v>0</v>
          </cell>
          <cell r="T2851">
            <v>0</v>
          </cell>
          <cell r="U2851">
            <v>0</v>
          </cell>
          <cell r="W2851">
            <v>0</v>
          </cell>
          <cell r="X2851">
            <v>0</v>
          </cell>
          <cell r="Z2851">
            <v>0</v>
          </cell>
          <cell r="AA2851">
            <v>0</v>
          </cell>
          <cell r="AC2851">
            <v>0</v>
          </cell>
          <cell r="AD2851">
            <v>0</v>
          </cell>
          <cell r="AF2851">
            <v>0</v>
          </cell>
          <cell r="AG2851">
            <v>0</v>
          </cell>
          <cell r="AI2851">
            <v>0</v>
          </cell>
          <cell r="AJ2851">
            <v>0</v>
          </cell>
          <cell r="AL2851">
            <v>0</v>
          </cell>
          <cell r="AM2851">
            <v>0</v>
          </cell>
          <cell r="AO2851">
            <v>0</v>
          </cell>
          <cell r="AP2851">
            <v>0</v>
          </cell>
          <cell r="AR2851">
            <v>0</v>
          </cell>
          <cell r="AS2851">
            <v>0</v>
          </cell>
          <cell r="BF2851" t="str">
            <v>9200</v>
          </cell>
          <cell r="BG2851" t="str">
            <v>Q004</v>
          </cell>
          <cell r="BH2851" t="str">
            <v>BUB</v>
          </cell>
        </row>
        <row r="2852">
          <cell r="K2852">
            <v>0</v>
          </cell>
          <cell r="L2852">
            <v>0</v>
          </cell>
          <cell r="N2852">
            <v>0</v>
          </cell>
          <cell r="O2852">
            <v>0</v>
          </cell>
          <cell r="Q2852">
            <v>0</v>
          </cell>
          <cell r="R2852">
            <v>0</v>
          </cell>
          <cell r="T2852">
            <v>0</v>
          </cell>
          <cell r="U2852">
            <v>0</v>
          </cell>
          <cell r="W2852">
            <v>0</v>
          </cell>
          <cell r="X2852">
            <v>0</v>
          </cell>
          <cell r="Z2852">
            <v>0</v>
          </cell>
          <cell r="AA2852">
            <v>0</v>
          </cell>
          <cell r="AC2852">
            <v>0</v>
          </cell>
          <cell r="AD2852">
            <v>0</v>
          </cell>
          <cell r="AF2852">
            <v>0</v>
          </cell>
          <cell r="AG2852">
            <v>0</v>
          </cell>
          <cell r="AI2852">
            <v>0</v>
          </cell>
          <cell r="AJ2852">
            <v>0</v>
          </cell>
          <cell r="AL2852">
            <v>0</v>
          </cell>
          <cell r="AM2852">
            <v>0</v>
          </cell>
          <cell r="AO2852">
            <v>0</v>
          </cell>
          <cell r="AP2852">
            <v>0</v>
          </cell>
          <cell r="AR2852">
            <v>0</v>
          </cell>
          <cell r="AS2852">
            <v>0</v>
          </cell>
          <cell r="BF2852" t="str">
            <v>9300</v>
          </cell>
          <cell r="BG2852" t="str">
            <v>Z000</v>
          </cell>
          <cell r="BH2852" t="str">
            <v>BUB</v>
          </cell>
        </row>
        <row r="2853">
          <cell r="K2853">
            <v>0</v>
          </cell>
          <cell r="L2853">
            <v>0</v>
          </cell>
          <cell r="N2853">
            <v>0</v>
          </cell>
          <cell r="O2853">
            <v>0</v>
          </cell>
          <cell r="Q2853">
            <v>0</v>
          </cell>
          <cell r="R2853">
            <v>0</v>
          </cell>
          <cell r="T2853">
            <v>0</v>
          </cell>
          <cell r="U2853">
            <v>0</v>
          </cell>
          <cell r="W2853">
            <v>0</v>
          </cell>
          <cell r="X2853">
            <v>0</v>
          </cell>
          <cell r="Z2853">
            <v>0</v>
          </cell>
          <cell r="AA2853">
            <v>0</v>
          </cell>
          <cell r="AC2853">
            <v>0</v>
          </cell>
          <cell r="AD2853">
            <v>0</v>
          </cell>
          <cell r="AF2853">
            <v>0</v>
          </cell>
          <cell r="AG2853">
            <v>0</v>
          </cell>
          <cell r="AI2853">
            <v>0</v>
          </cell>
          <cell r="AJ2853">
            <v>0</v>
          </cell>
          <cell r="AL2853">
            <v>0</v>
          </cell>
          <cell r="AM2853">
            <v>0</v>
          </cell>
          <cell r="AO2853">
            <v>0</v>
          </cell>
          <cell r="AP2853">
            <v>0</v>
          </cell>
          <cell r="AR2853">
            <v>0</v>
          </cell>
          <cell r="AS2853">
            <v>0</v>
          </cell>
          <cell r="BF2853" t="str">
            <v>9400</v>
          </cell>
          <cell r="BG2853" t="str">
            <v>Z000</v>
          </cell>
          <cell r="BH2853" t="str">
            <v>BUB</v>
          </cell>
        </row>
        <row r="2854">
          <cell r="K2854">
            <v>0</v>
          </cell>
          <cell r="L2854">
            <v>0</v>
          </cell>
          <cell r="N2854">
            <v>0</v>
          </cell>
          <cell r="O2854">
            <v>0</v>
          </cell>
          <cell r="Q2854">
            <v>0</v>
          </cell>
          <cell r="R2854">
            <v>0</v>
          </cell>
          <cell r="T2854">
            <v>0</v>
          </cell>
          <cell r="U2854">
            <v>0</v>
          </cell>
          <cell r="W2854">
            <v>-120</v>
          </cell>
          <cell r="X2854">
            <v>0</v>
          </cell>
          <cell r="Z2854">
            <v>0</v>
          </cell>
          <cell r="AA2854">
            <v>0</v>
          </cell>
          <cell r="AC2854">
            <v>1020</v>
          </cell>
          <cell r="AD2854">
            <v>0</v>
          </cell>
          <cell r="AF2854">
            <v>-1020</v>
          </cell>
          <cell r="AG2854">
            <v>0</v>
          </cell>
          <cell r="AI2854">
            <v>0</v>
          </cell>
          <cell r="AJ2854">
            <v>0</v>
          </cell>
          <cell r="AL2854">
            <v>0</v>
          </cell>
          <cell r="AM2854">
            <v>0</v>
          </cell>
          <cell r="AO2854">
            <v>120</v>
          </cell>
          <cell r="AP2854">
            <v>0</v>
          </cell>
          <cell r="AR2854">
            <v>0</v>
          </cell>
          <cell r="AS2854">
            <v>0</v>
          </cell>
          <cell r="BF2854" t="str">
            <v>9500</v>
          </cell>
          <cell r="BG2854" t="str">
            <v>Z000</v>
          </cell>
          <cell r="BH2854" t="str">
            <v>BUB</v>
          </cell>
        </row>
        <row r="2855">
          <cell r="K2855">
            <v>0</v>
          </cell>
          <cell r="L2855">
            <v>0</v>
          </cell>
          <cell r="N2855">
            <v>0</v>
          </cell>
          <cell r="O2855">
            <v>0</v>
          </cell>
          <cell r="Q2855">
            <v>0</v>
          </cell>
          <cell r="R2855">
            <v>0</v>
          </cell>
          <cell r="T2855">
            <v>0</v>
          </cell>
          <cell r="U2855">
            <v>0</v>
          </cell>
          <cell r="W2855">
            <v>0</v>
          </cell>
          <cell r="X2855">
            <v>0</v>
          </cell>
          <cell r="Z2855">
            <v>0</v>
          </cell>
          <cell r="AA2855">
            <v>0</v>
          </cell>
          <cell r="AC2855">
            <v>0</v>
          </cell>
          <cell r="AD2855">
            <v>0</v>
          </cell>
          <cell r="AF2855">
            <v>0</v>
          </cell>
          <cell r="AG2855">
            <v>0</v>
          </cell>
          <cell r="AI2855">
            <v>0</v>
          </cell>
          <cell r="AJ2855">
            <v>0</v>
          </cell>
          <cell r="AL2855">
            <v>0</v>
          </cell>
          <cell r="AM2855">
            <v>0</v>
          </cell>
          <cell r="AO2855">
            <v>0</v>
          </cell>
          <cell r="AP2855">
            <v>0</v>
          </cell>
          <cell r="AR2855">
            <v>0</v>
          </cell>
          <cell r="AS2855">
            <v>0</v>
          </cell>
          <cell r="BF2855" t="str">
            <v>9550</v>
          </cell>
          <cell r="BG2855" t="str">
            <v>Z000</v>
          </cell>
          <cell r="BH2855" t="str">
            <v>BUB</v>
          </cell>
        </row>
        <row r="2856">
          <cell r="K2856">
            <v>0</v>
          </cell>
          <cell r="L2856">
            <v>0</v>
          </cell>
          <cell r="N2856">
            <v>0</v>
          </cell>
          <cell r="O2856">
            <v>0</v>
          </cell>
          <cell r="Q2856">
            <v>0</v>
          </cell>
          <cell r="R2856">
            <v>0</v>
          </cell>
          <cell r="T2856">
            <v>0</v>
          </cell>
          <cell r="U2856">
            <v>0</v>
          </cell>
          <cell r="W2856">
            <v>0</v>
          </cell>
          <cell r="X2856">
            <v>0</v>
          </cell>
          <cell r="Z2856">
            <v>0</v>
          </cell>
          <cell r="AA2856">
            <v>0</v>
          </cell>
          <cell r="AC2856">
            <v>0</v>
          </cell>
          <cell r="AD2856">
            <v>0</v>
          </cell>
          <cell r="AF2856">
            <v>0</v>
          </cell>
          <cell r="AG2856">
            <v>0</v>
          </cell>
          <cell r="AI2856">
            <v>0</v>
          </cell>
          <cell r="AJ2856">
            <v>0</v>
          </cell>
          <cell r="AL2856">
            <v>0</v>
          </cell>
          <cell r="AM2856">
            <v>0</v>
          </cell>
          <cell r="AO2856">
            <v>0</v>
          </cell>
          <cell r="AP2856">
            <v>0</v>
          </cell>
          <cell r="AR2856">
            <v>0</v>
          </cell>
          <cell r="AS2856">
            <v>0</v>
          </cell>
          <cell r="BF2856" t="str">
            <v>9600</v>
          </cell>
          <cell r="BG2856" t="str">
            <v>Z000</v>
          </cell>
          <cell r="BH2856" t="str">
            <v>BUB</v>
          </cell>
        </row>
        <row r="2857">
          <cell r="K2857">
            <v>0</v>
          </cell>
          <cell r="L2857">
            <v>0</v>
          </cell>
          <cell r="N2857">
            <v>0</v>
          </cell>
          <cell r="O2857">
            <v>0</v>
          </cell>
          <cell r="Q2857">
            <v>0</v>
          </cell>
          <cell r="R2857">
            <v>0</v>
          </cell>
          <cell r="T2857">
            <v>0</v>
          </cell>
          <cell r="U2857">
            <v>0</v>
          </cell>
          <cell r="W2857">
            <v>0</v>
          </cell>
          <cell r="X2857">
            <v>0</v>
          </cell>
          <cell r="Z2857">
            <v>0</v>
          </cell>
          <cell r="AA2857">
            <v>0</v>
          </cell>
          <cell r="AC2857">
            <v>0</v>
          </cell>
          <cell r="AD2857">
            <v>0</v>
          </cell>
          <cell r="AF2857">
            <v>0</v>
          </cell>
          <cell r="AG2857">
            <v>0</v>
          </cell>
          <cell r="AI2857">
            <v>0</v>
          </cell>
          <cell r="AJ2857">
            <v>0</v>
          </cell>
          <cell r="AL2857">
            <v>585.23000000000025</v>
          </cell>
          <cell r="AM2857">
            <v>0</v>
          </cell>
          <cell r="AO2857">
            <v>-422.73</v>
          </cell>
          <cell r="AP2857">
            <v>0</v>
          </cell>
          <cell r="AR2857">
            <v>0</v>
          </cell>
          <cell r="AS2857">
            <v>0</v>
          </cell>
          <cell r="BF2857" t="str">
            <v>9700</v>
          </cell>
          <cell r="BG2857" t="str">
            <v>Z000</v>
          </cell>
          <cell r="BH2857" t="str">
            <v>BUB</v>
          </cell>
        </row>
        <row r="2858">
          <cell r="K2858">
            <v>0</v>
          </cell>
          <cell r="L2858">
            <v>0</v>
          </cell>
          <cell r="N2858">
            <v>0</v>
          </cell>
          <cell r="O2858">
            <v>0</v>
          </cell>
          <cell r="Q2858">
            <v>0</v>
          </cell>
          <cell r="R2858">
            <v>0</v>
          </cell>
          <cell r="T2858">
            <v>0</v>
          </cell>
          <cell r="U2858">
            <v>0</v>
          </cell>
          <cell r="W2858">
            <v>0</v>
          </cell>
          <cell r="X2858">
            <v>0</v>
          </cell>
          <cell r="Z2858">
            <v>0</v>
          </cell>
          <cell r="AA2858">
            <v>0</v>
          </cell>
          <cell r="AC2858">
            <v>0</v>
          </cell>
          <cell r="AD2858">
            <v>0</v>
          </cell>
          <cell r="AF2858">
            <v>0</v>
          </cell>
          <cell r="AG2858">
            <v>0</v>
          </cell>
          <cell r="AI2858">
            <v>0</v>
          </cell>
          <cell r="AJ2858">
            <v>0</v>
          </cell>
          <cell r="AL2858">
            <v>0</v>
          </cell>
          <cell r="AM2858">
            <v>0</v>
          </cell>
          <cell r="AO2858">
            <v>0</v>
          </cell>
          <cell r="AP2858">
            <v>0</v>
          </cell>
          <cell r="AR2858">
            <v>0</v>
          </cell>
          <cell r="AS2858">
            <v>0</v>
          </cell>
          <cell r="BF2858" t="str">
            <v>9702</v>
          </cell>
          <cell r="BG2858" t="str">
            <v>Z000</v>
          </cell>
          <cell r="BH2858" t="str">
            <v>BUB</v>
          </cell>
        </row>
        <row r="2859">
          <cell r="K2859">
            <v>0</v>
          </cell>
          <cell r="L2859">
            <v>0</v>
          </cell>
          <cell r="N2859">
            <v>0</v>
          </cell>
          <cell r="O2859">
            <v>0</v>
          </cell>
          <cell r="Q2859">
            <v>0</v>
          </cell>
          <cell r="R2859">
            <v>0</v>
          </cell>
          <cell r="T2859">
            <v>0</v>
          </cell>
          <cell r="U2859">
            <v>0</v>
          </cell>
          <cell r="W2859">
            <v>0</v>
          </cell>
          <cell r="X2859">
            <v>0</v>
          </cell>
          <cell r="Z2859">
            <v>0</v>
          </cell>
          <cell r="AA2859">
            <v>0</v>
          </cell>
          <cell r="AC2859">
            <v>0</v>
          </cell>
          <cell r="AD2859">
            <v>0</v>
          </cell>
          <cell r="AF2859">
            <v>0</v>
          </cell>
          <cell r="AG2859">
            <v>0</v>
          </cell>
          <cell r="AI2859">
            <v>0</v>
          </cell>
          <cell r="AJ2859">
            <v>0</v>
          </cell>
          <cell r="AL2859">
            <v>0</v>
          </cell>
          <cell r="AM2859">
            <v>0</v>
          </cell>
          <cell r="AO2859">
            <v>0</v>
          </cell>
          <cell r="AP2859">
            <v>0</v>
          </cell>
          <cell r="AR2859">
            <v>0</v>
          </cell>
          <cell r="AS2859">
            <v>0</v>
          </cell>
          <cell r="BF2859" t="str">
            <v>9750</v>
          </cell>
          <cell r="BG2859" t="str">
            <v>Z000</v>
          </cell>
          <cell r="BH2859" t="str">
            <v>BUB</v>
          </cell>
        </row>
        <row r="2860">
          <cell r="K2860">
            <v>0</v>
          </cell>
          <cell r="L2860">
            <v>0</v>
          </cell>
          <cell r="N2860">
            <v>0</v>
          </cell>
          <cell r="O2860">
            <v>0</v>
          </cell>
          <cell r="Q2860">
            <v>0</v>
          </cell>
          <cell r="R2860">
            <v>0</v>
          </cell>
          <cell r="T2860">
            <v>0</v>
          </cell>
          <cell r="U2860">
            <v>0</v>
          </cell>
          <cell r="W2860">
            <v>0</v>
          </cell>
          <cell r="X2860">
            <v>0</v>
          </cell>
          <cell r="Z2860">
            <v>0</v>
          </cell>
          <cell r="AA2860">
            <v>0</v>
          </cell>
          <cell r="AC2860">
            <v>0</v>
          </cell>
          <cell r="AD2860">
            <v>0</v>
          </cell>
          <cell r="AF2860">
            <v>0</v>
          </cell>
          <cell r="AG2860">
            <v>0</v>
          </cell>
          <cell r="AI2860">
            <v>0</v>
          </cell>
          <cell r="AJ2860">
            <v>0</v>
          </cell>
          <cell r="AL2860">
            <v>0</v>
          </cell>
          <cell r="AM2860">
            <v>0</v>
          </cell>
          <cell r="AO2860">
            <v>0</v>
          </cell>
          <cell r="AP2860">
            <v>0</v>
          </cell>
          <cell r="AR2860">
            <v>0</v>
          </cell>
          <cell r="AS2860">
            <v>0</v>
          </cell>
          <cell r="BF2860" t="str">
            <v>3100</v>
          </cell>
          <cell r="BG2860" t="str">
            <v>C001</v>
          </cell>
          <cell r="BH2860" t="str">
            <v>VSS</v>
          </cell>
        </row>
        <row r="2861">
          <cell r="K2861">
            <v>0</v>
          </cell>
          <cell r="L2861">
            <v>0</v>
          </cell>
          <cell r="N2861">
            <v>0</v>
          </cell>
          <cell r="O2861">
            <v>0</v>
          </cell>
          <cell r="Q2861">
            <v>0</v>
          </cell>
          <cell r="R2861">
            <v>0</v>
          </cell>
          <cell r="T2861">
            <v>0</v>
          </cell>
          <cell r="U2861">
            <v>0</v>
          </cell>
          <cell r="W2861">
            <v>0</v>
          </cell>
          <cell r="X2861">
            <v>0</v>
          </cell>
          <cell r="Z2861">
            <v>0</v>
          </cell>
          <cell r="AA2861">
            <v>0</v>
          </cell>
          <cell r="AC2861">
            <v>0</v>
          </cell>
          <cell r="AD2861">
            <v>0</v>
          </cell>
          <cell r="AF2861">
            <v>46.550000000017462</v>
          </cell>
          <cell r="AG2861">
            <v>0</v>
          </cell>
          <cell r="AI2861">
            <v>-46.549999999988358</v>
          </cell>
          <cell r="AJ2861">
            <v>0</v>
          </cell>
          <cell r="AL2861">
            <v>0</v>
          </cell>
          <cell r="AM2861">
            <v>0</v>
          </cell>
          <cell r="AO2861">
            <v>2.9103830456733704E-11</v>
          </cell>
          <cell r="AP2861">
            <v>0</v>
          </cell>
          <cell r="AR2861">
            <v>5.8207660913467407E-11</v>
          </cell>
          <cell r="AS2861">
            <v>0</v>
          </cell>
          <cell r="BF2861" t="str">
            <v>8400</v>
          </cell>
          <cell r="BG2861" t="str">
            <v>N015</v>
          </cell>
          <cell r="BH2861" t="str">
            <v>VSS</v>
          </cell>
        </row>
        <row r="2862">
          <cell r="K2862">
            <v>0</v>
          </cell>
          <cell r="L2862">
            <v>0</v>
          </cell>
          <cell r="N2862">
            <v>0</v>
          </cell>
          <cell r="O2862">
            <v>0</v>
          </cell>
          <cell r="Q2862">
            <v>-2.34</v>
          </cell>
          <cell r="R2862">
            <v>0</v>
          </cell>
          <cell r="T2862">
            <v>-2.0000000000000018E-2</v>
          </cell>
          <cell r="U2862">
            <v>0</v>
          </cell>
          <cell r="W2862">
            <v>-8.3999999999999986</v>
          </cell>
          <cell r="X2862">
            <v>0</v>
          </cell>
          <cell r="Z2862">
            <v>-8.509999999999998</v>
          </cell>
          <cell r="AA2862">
            <v>0</v>
          </cell>
          <cell r="AC2862">
            <v>-9.66</v>
          </cell>
          <cell r="AD2862">
            <v>0</v>
          </cell>
          <cell r="AF2862">
            <v>-9.73</v>
          </cell>
          <cell r="AG2862">
            <v>0</v>
          </cell>
          <cell r="AI2862">
            <v>-10.939999999999998</v>
          </cell>
          <cell r="AJ2862">
            <v>0</v>
          </cell>
          <cell r="AL2862">
            <v>-5.7999999999999972</v>
          </cell>
          <cell r="AM2862">
            <v>0</v>
          </cell>
          <cell r="AO2862">
            <v>-5.9100000000000037</v>
          </cell>
          <cell r="AP2862">
            <v>0</v>
          </cell>
          <cell r="AR2862">
            <v>-4.9100000000000037</v>
          </cell>
          <cell r="AS2862">
            <v>0</v>
          </cell>
          <cell r="BF2862" t="str">
            <v>8400</v>
          </cell>
          <cell r="BG2862" t="str">
            <v>N016</v>
          </cell>
          <cell r="BH2862" t="str">
            <v>VSS</v>
          </cell>
        </row>
        <row r="2863">
          <cell r="K2863">
            <v>0</v>
          </cell>
          <cell r="L2863">
            <v>0</v>
          </cell>
          <cell r="N2863">
            <v>0</v>
          </cell>
          <cell r="O2863">
            <v>0</v>
          </cell>
          <cell r="Q2863">
            <v>0</v>
          </cell>
          <cell r="R2863">
            <v>0</v>
          </cell>
          <cell r="T2863">
            <v>246422.59000000003</v>
          </cell>
          <cell r="U2863">
            <v>0</v>
          </cell>
          <cell r="W2863">
            <v>-100272.52999999997</v>
          </cell>
          <cell r="X2863">
            <v>0</v>
          </cell>
          <cell r="Z2863">
            <v>56176.020000000019</v>
          </cell>
          <cell r="AA2863">
            <v>0</v>
          </cell>
          <cell r="AC2863">
            <v>56176</v>
          </cell>
          <cell r="AD2863">
            <v>0</v>
          </cell>
          <cell r="AF2863">
            <v>105788.01000000001</v>
          </cell>
          <cell r="AG2863">
            <v>0</v>
          </cell>
          <cell r="AI2863">
            <v>103781.3600000001</v>
          </cell>
          <cell r="AJ2863">
            <v>0</v>
          </cell>
          <cell r="AL2863">
            <v>142517.57999999984</v>
          </cell>
          <cell r="AM2863">
            <v>0</v>
          </cell>
          <cell r="AO2863">
            <v>-610589.03</v>
          </cell>
          <cell r="AP2863">
            <v>0</v>
          </cell>
          <cell r="AR2863">
            <v>0</v>
          </cell>
          <cell r="AS2863">
            <v>0</v>
          </cell>
          <cell r="BF2863" t="str">
            <v>2002</v>
          </cell>
          <cell r="BG2863" t="str">
            <v>B501</v>
          </cell>
          <cell r="BH2863" t="str">
            <v>GSA</v>
          </cell>
        </row>
        <row r="2864">
          <cell r="K2864">
            <v>0</v>
          </cell>
          <cell r="L2864">
            <v>0</v>
          </cell>
          <cell r="N2864">
            <v>0</v>
          </cell>
          <cell r="O2864">
            <v>0</v>
          </cell>
          <cell r="Q2864">
            <v>0</v>
          </cell>
          <cell r="R2864">
            <v>0</v>
          </cell>
          <cell r="T2864">
            <v>0</v>
          </cell>
          <cell r="U2864">
            <v>0</v>
          </cell>
          <cell r="W2864">
            <v>0</v>
          </cell>
          <cell r="X2864">
            <v>0</v>
          </cell>
          <cell r="Z2864">
            <v>0</v>
          </cell>
          <cell r="AA2864">
            <v>0</v>
          </cell>
          <cell r="AC2864">
            <v>0</v>
          </cell>
          <cell r="AD2864">
            <v>0</v>
          </cell>
          <cell r="AF2864">
            <v>0</v>
          </cell>
          <cell r="AG2864">
            <v>0</v>
          </cell>
          <cell r="AI2864">
            <v>0</v>
          </cell>
          <cell r="AJ2864">
            <v>0</v>
          </cell>
          <cell r="AL2864">
            <v>0</v>
          </cell>
          <cell r="AM2864">
            <v>0</v>
          </cell>
          <cell r="AO2864">
            <v>0</v>
          </cell>
          <cell r="AP2864">
            <v>0</v>
          </cell>
          <cell r="AR2864">
            <v>0</v>
          </cell>
          <cell r="AS2864">
            <v>0</v>
          </cell>
          <cell r="BF2864" t="str">
            <v>3100</v>
          </cell>
          <cell r="BG2864" t="str">
            <v>C001</v>
          </cell>
          <cell r="BH2864" t="str">
            <v>GSA</v>
          </cell>
        </row>
        <row r="2865">
          <cell r="K2865">
            <v>0</v>
          </cell>
          <cell r="L2865">
            <v>0</v>
          </cell>
          <cell r="N2865">
            <v>0</v>
          </cell>
          <cell r="O2865">
            <v>0</v>
          </cell>
          <cell r="Q2865">
            <v>-627114.37000000011</v>
          </cell>
          <cell r="R2865">
            <v>0</v>
          </cell>
          <cell r="T2865">
            <v>-116820.82999999996</v>
          </cell>
          <cell r="U2865">
            <v>0</v>
          </cell>
          <cell r="W2865">
            <v>443519.4</v>
          </cell>
          <cell r="X2865">
            <v>0</v>
          </cell>
          <cell r="Z2865">
            <v>122159.44999999995</v>
          </cell>
          <cell r="AA2865">
            <v>0</v>
          </cell>
          <cell r="AC2865">
            <v>75177.850000000093</v>
          </cell>
          <cell r="AD2865">
            <v>0</v>
          </cell>
          <cell r="AF2865">
            <v>46424.850000000093</v>
          </cell>
          <cell r="AG2865">
            <v>0</v>
          </cell>
          <cell r="AI2865">
            <v>46677.25</v>
          </cell>
          <cell r="AJ2865">
            <v>0</v>
          </cell>
          <cell r="AL2865">
            <v>7447.8500000000931</v>
          </cell>
          <cell r="AM2865">
            <v>0</v>
          </cell>
          <cell r="AO2865">
            <v>2528.5499999998137</v>
          </cell>
          <cell r="AP2865">
            <v>0</v>
          </cell>
          <cell r="AR2865">
            <v>0</v>
          </cell>
          <cell r="AS2865">
            <v>0</v>
          </cell>
          <cell r="BF2865" t="str">
            <v>8202</v>
          </cell>
          <cell r="BG2865" t="str">
            <v>Z000</v>
          </cell>
          <cell r="BH2865" t="str">
            <v>GSA</v>
          </cell>
        </row>
        <row r="2866">
          <cell r="K2866">
            <v>0</v>
          </cell>
          <cell r="L2866">
            <v>0</v>
          </cell>
          <cell r="N2866">
            <v>0</v>
          </cell>
          <cell r="O2866">
            <v>0</v>
          </cell>
          <cell r="Q2866">
            <v>0</v>
          </cell>
          <cell r="R2866">
            <v>0</v>
          </cell>
          <cell r="T2866">
            <v>0</v>
          </cell>
          <cell r="U2866">
            <v>0</v>
          </cell>
          <cell r="W2866">
            <v>0</v>
          </cell>
          <cell r="X2866">
            <v>0</v>
          </cell>
          <cell r="Z2866">
            <v>0</v>
          </cell>
          <cell r="AA2866">
            <v>0</v>
          </cell>
          <cell r="AC2866">
            <v>0</v>
          </cell>
          <cell r="AD2866">
            <v>0</v>
          </cell>
          <cell r="AF2866">
            <v>0</v>
          </cell>
          <cell r="AG2866">
            <v>0</v>
          </cell>
          <cell r="AI2866">
            <v>0</v>
          </cell>
          <cell r="AJ2866">
            <v>0</v>
          </cell>
          <cell r="AL2866">
            <v>0</v>
          </cell>
          <cell r="AM2866">
            <v>0</v>
          </cell>
          <cell r="AO2866">
            <v>0</v>
          </cell>
          <cell r="AP2866">
            <v>0</v>
          </cell>
          <cell r="AR2866">
            <v>0</v>
          </cell>
          <cell r="AS2866">
            <v>0</v>
          </cell>
          <cell r="BF2866" t="str">
            <v>3100</v>
          </cell>
          <cell r="BG2866" t="str">
            <v>C001</v>
          </cell>
          <cell r="BH2866" t="str">
            <v>GBM</v>
          </cell>
        </row>
        <row r="2867">
          <cell r="K2867">
            <v>0</v>
          </cell>
          <cell r="L2867">
            <v>0</v>
          </cell>
          <cell r="N2867">
            <v>0</v>
          </cell>
          <cell r="O2867">
            <v>0</v>
          </cell>
          <cell r="Q2867">
            <v>0</v>
          </cell>
          <cell r="R2867">
            <v>0</v>
          </cell>
          <cell r="T2867">
            <v>222.7</v>
          </cell>
          <cell r="U2867">
            <v>0</v>
          </cell>
          <cell r="W2867">
            <v>222.7</v>
          </cell>
          <cell r="X2867">
            <v>0</v>
          </cell>
          <cell r="Z2867">
            <v>222.69999999999993</v>
          </cell>
          <cell r="AA2867">
            <v>0</v>
          </cell>
          <cell r="AC2867">
            <v>222.70000000000005</v>
          </cell>
          <cell r="AD2867">
            <v>0</v>
          </cell>
          <cell r="AF2867">
            <v>223</v>
          </cell>
          <cell r="AG2867">
            <v>0</v>
          </cell>
          <cell r="AI2867">
            <v>222.70000000000005</v>
          </cell>
          <cell r="AJ2867">
            <v>0</v>
          </cell>
          <cell r="AL2867">
            <v>222.70000000000005</v>
          </cell>
          <cell r="AM2867">
            <v>0</v>
          </cell>
          <cell r="AO2867">
            <v>222.70000000000005</v>
          </cell>
          <cell r="AP2867">
            <v>0</v>
          </cell>
          <cell r="AR2867">
            <v>222.70000000000005</v>
          </cell>
          <cell r="AS2867">
            <v>0</v>
          </cell>
          <cell r="BF2867" t="str">
            <v>4770</v>
          </cell>
          <cell r="BG2867" t="str">
            <v>Z000</v>
          </cell>
          <cell r="BH2867" t="str">
            <v>GBM</v>
          </cell>
        </row>
        <row r="2868">
          <cell r="K2868">
            <v>0</v>
          </cell>
          <cell r="L2868">
            <v>0</v>
          </cell>
          <cell r="N2868">
            <v>0</v>
          </cell>
          <cell r="O2868">
            <v>0</v>
          </cell>
          <cell r="Q2868">
            <v>0</v>
          </cell>
          <cell r="R2868">
            <v>0</v>
          </cell>
          <cell r="T2868">
            <v>20887.5</v>
          </cell>
          <cell r="U2868">
            <v>0</v>
          </cell>
          <cell r="W2868">
            <v>10275</v>
          </cell>
          <cell r="X2868">
            <v>0</v>
          </cell>
          <cell r="Z2868">
            <v>0</v>
          </cell>
          <cell r="AA2868">
            <v>0</v>
          </cell>
          <cell r="AC2868">
            <v>1348305.84</v>
          </cell>
          <cell r="AD2868">
            <v>0</v>
          </cell>
          <cell r="AF2868">
            <v>-7000663.8699999992</v>
          </cell>
          <cell r="AG2868">
            <v>0</v>
          </cell>
          <cell r="AI2868">
            <v>-416629.96999999881</v>
          </cell>
          <cell r="AJ2868">
            <v>0</v>
          </cell>
          <cell r="AL2868">
            <v>-690326.59000000171</v>
          </cell>
          <cell r="AM2868">
            <v>0</v>
          </cell>
          <cell r="AO2868">
            <v>-33814.260000000708</v>
          </cell>
          <cell r="AP2868">
            <v>0</v>
          </cell>
          <cell r="AR2868">
            <v>-112896.60000000149</v>
          </cell>
          <cell r="AS2868">
            <v>0</v>
          </cell>
          <cell r="BF2868" t="str">
            <v>5700</v>
          </cell>
          <cell r="BG2868" t="str">
            <v>I015</v>
          </cell>
          <cell r="BH2868" t="str">
            <v>GBM</v>
          </cell>
        </row>
        <row r="2869">
          <cell r="K2869">
            <v>0</v>
          </cell>
          <cell r="L2869">
            <v>0</v>
          </cell>
          <cell r="N2869">
            <v>0</v>
          </cell>
          <cell r="O2869">
            <v>0</v>
          </cell>
          <cell r="Q2869">
            <v>0</v>
          </cell>
          <cell r="R2869">
            <v>0</v>
          </cell>
          <cell r="T2869">
            <v>0</v>
          </cell>
          <cell r="U2869">
            <v>0</v>
          </cell>
          <cell r="W2869">
            <v>0</v>
          </cell>
          <cell r="X2869">
            <v>0</v>
          </cell>
          <cell r="Z2869">
            <v>0</v>
          </cell>
          <cell r="AA2869">
            <v>0</v>
          </cell>
          <cell r="AC2869">
            <v>0</v>
          </cell>
          <cell r="AD2869">
            <v>0</v>
          </cell>
          <cell r="AF2869">
            <v>0</v>
          </cell>
          <cell r="AG2869">
            <v>0</v>
          </cell>
          <cell r="AI2869">
            <v>0</v>
          </cell>
          <cell r="AJ2869">
            <v>0</v>
          </cell>
          <cell r="AL2869">
            <v>0</v>
          </cell>
          <cell r="AM2869">
            <v>0</v>
          </cell>
          <cell r="AO2869">
            <v>0</v>
          </cell>
          <cell r="AP2869">
            <v>0</v>
          </cell>
          <cell r="AR2869">
            <v>0</v>
          </cell>
          <cell r="AS2869">
            <v>0</v>
          </cell>
          <cell r="BF2869" t="str">
            <v>3100</v>
          </cell>
          <cell r="BG2869" t="str">
            <v>C001</v>
          </cell>
          <cell r="BH2869" t="str">
            <v>GFS</v>
          </cell>
        </row>
        <row r="2870">
          <cell r="K2870">
            <v>0</v>
          </cell>
          <cell r="L2870">
            <v>0</v>
          </cell>
          <cell r="N2870">
            <v>0</v>
          </cell>
          <cell r="O2870">
            <v>0</v>
          </cell>
          <cell r="Q2870">
            <v>973.2</v>
          </cell>
          <cell r="R2870">
            <v>0</v>
          </cell>
          <cell r="T2870">
            <v>0</v>
          </cell>
          <cell r="U2870">
            <v>0</v>
          </cell>
          <cell r="W2870">
            <v>0</v>
          </cell>
          <cell r="X2870">
            <v>0</v>
          </cell>
          <cell r="Z2870">
            <v>0</v>
          </cell>
          <cell r="AA2870">
            <v>0</v>
          </cell>
          <cell r="AC2870">
            <v>0</v>
          </cell>
          <cell r="AD2870">
            <v>0</v>
          </cell>
          <cell r="AF2870">
            <v>0</v>
          </cell>
          <cell r="AG2870">
            <v>0</v>
          </cell>
          <cell r="AI2870">
            <v>0</v>
          </cell>
          <cell r="AJ2870">
            <v>0</v>
          </cell>
          <cell r="AL2870">
            <v>0</v>
          </cell>
          <cell r="AM2870">
            <v>0</v>
          </cell>
          <cell r="AO2870">
            <v>0</v>
          </cell>
          <cell r="AP2870">
            <v>0</v>
          </cell>
          <cell r="AR2870">
            <v>0</v>
          </cell>
          <cell r="AS2870">
            <v>0</v>
          </cell>
          <cell r="BF2870" t="str">
            <v>3160</v>
          </cell>
          <cell r="BG2870" t="str">
            <v>C026</v>
          </cell>
          <cell r="BH2870" t="str">
            <v>GFS</v>
          </cell>
        </row>
        <row r="2871">
          <cell r="K2871">
            <v>0</v>
          </cell>
          <cell r="L2871">
            <v>0</v>
          </cell>
          <cell r="N2871">
            <v>0</v>
          </cell>
          <cell r="O2871">
            <v>0</v>
          </cell>
          <cell r="Q2871">
            <v>0</v>
          </cell>
          <cell r="R2871">
            <v>0</v>
          </cell>
          <cell r="T2871">
            <v>502000</v>
          </cell>
          <cell r="U2871">
            <v>0</v>
          </cell>
          <cell r="W2871">
            <v>5500</v>
          </cell>
          <cell r="X2871">
            <v>0</v>
          </cell>
          <cell r="Z2871">
            <v>0</v>
          </cell>
          <cell r="AA2871">
            <v>0</v>
          </cell>
          <cell r="AC2871">
            <v>-507500</v>
          </cell>
          <cell r="AD2871">
            <v>0</v>
          </cell>
          <cell r="AF2871">
            <v>0</v>
          </cell>
          <cell r="AG2871">
            <v>0</v>
          </cell>
          <cell r="AI2871">
            <v>0</v>
          </cell>
          <cell r="AJ2871">
            <v>0</v>
          </cell>
          <cell r="AL2871">
            <v>0</v>
          </cell>
          <cell r="AM2871">
            <v>0</v>
          </cell>
          <cell r="AO2871">
            <v>0</v>
          </cell>
          <cell r="AP2871">
            <v>0</v>
          </cell>
          <cell r="AR2871">
            <v>0</v>
          </cell>
          <cell r="AS2871">
            <v>0</v>
          </cell>
          <cell r="BF2871" t="str">
            <v>5400</v>
          </cell>
          <cell r="BG2871" t="str">
            <v>F023</v>
          </cell>
          <cell r="BH2871" t="str">
            <v>GFS</v>
          </cell>
        </row>
        <row r="2872">
          <cell r="K2872">
            <v>0</v>
          </cell>
          <cell r="L2872">
            <v>0</v>
          </cell>
          <cell r="N2872">
            <v>0</v>
          </cell>
          <cell r="O2872">
            <v>0</v>
          </cell>
          <cell r="Q2872">
            <v>0</v>
          </cell>
          <cell r="R2872">
            <v>0</v>
          </cell>
          <cell r="T2872">
            <v>0</v>
          </cell>
          <cell r="U2872">
            <v>0</v>
          </cell>
          <cell r="W2872">
            <v>0</v>
          </cell>
          <cell r="X2872">
            <v>0</v>
          </cell>
          <cell r="Z2872">
            <v>0</v>
          </cell>
          <cell r="AA2872">
            <v>0</v>
          </cell>
          <cell r="AC2872">
            <v>0</v>
          </cell>
          <cell r="AD2872">
            <v>0</v>
          </cell>
          <cell r="AF2872">
            <v>0</v>
          </cell>
          <cell r="AG2872">
            <v>0</v>
          </cell>
          <cell r="AI2872">
            <v>0</v>
          </cell>
          <cell r="AJ2872">
            <v>0</v>
          </cell>
          <cell r="AL2872">
            <v>0</v>
          </cell>
          <cell r="AM2872">
            <v>0</v>
          </cell>
          <cell r="AO2872">
            <v>0</v>
          </cell>
          <cell r="AP2872">
            <v>0</v>
          </cell>
          <cell r="AR2872">
            <v>0</v>
          </cell>
          <cell r="AS2872">
            <v>0</v>
          </cell>
          <cell r="BF2872" t="str">
            <v>3100</v>
          </cell>
          <cell r="BG2872" t="str">
            <v>C001</v>
          </cell>
          <cell r="BH2872" t="str">
            <v>GML</v>
          </cell>
        </row>
        <row r="2873">
          <cell r="K2873">
            <v>0</v>
          </cell>
          <cell r="L2873">
            <v>0</v>
          </cell>
          <cell r="N2873">
            <v>0</v>
          </cell>
          <cell r="O2873">
            <v>0</v>
          </cell>
          <cell r="Q2873">
            <v>0</v>
          </cell>
          <cell r="R2873">
            <v>0</v>
          </cell>
          <cell r="T2873">
            <v>601.02999999999884</v>
          </cell>
          <cell r="U2873">
            <v>0</v>
          </cell>
          <cell r="W2873">
            <v>-5500</v>
          </cell>
          <cell r="X2873">
            <v>0</v>
          </cell>
          <cell r="Z2873">
            <v>147376.95999999999</v>
          </cell>
          <cell r="AA2873">
            <v>0</v>
          </cell>
          <cell r="AC2873">
            <v>-5500</v>
          </cell>
          <cell r="AD2873">
            <v>0</v>
          </cell>
          <cell r="AF2873">
            <v>3530113</v>
          </cell>
          <cell r="AG2873">
            <v>0</v>
          </cell>
          <cell r="AI2873">
            <v>2881073.4600000009</v>
          </cell>
          <cell r="AJ2873">
            <v>0</v>
          </cell>
          <cell r="AL2873">
            <v>-4816264.410000002</v>
          </cell>
          <cell r="AM2873">
            <v>0</v>
          </cell>
          <cell r="AO2873">
            <v>3149384.1799999997</v>
          </cell>
          <cell r="AP2873">
            <v>0</v>
          </cell>
          <cell r="AR2873">
            <v>-4090124.3999999911</v>
          </cell>
          <cell r="AS2873">
            <v>0</v>
          </cell>
          <cell r="BF2873" t="str">
            <v>8400</v>
          </cell>
          <cell r="BG2873" t="str">
            <v>N006</v>
          </cell>
          <cell r="BH2873" t="str">
            <v>GML</v>
          </cell>
        </row>
        <row r="2874">
          <cell r="K2874">
            <v>0</v>
          </cell>
          <cell r="L2874">
            <v>0</v>
          </cell>
          <cell r="N2874">
            <v>0</v>
          </cell>
          <cell r="O2874">
            <v>0</v>
          </cell>
          <cell r="Q2874">
            <v>0</v>
          </cell>
          <cell r="R2874">
            <v>0</v>
          </cell>
          <cell r="T2874">
            <v>393071.87</v>
          </cell>
          <cell r="U2874">
            <v>0</v>
          </cell>
          <cell r="W2874">
            <v>-379302.26000000059</v>
          </cell>
          <cell r="X2874">
            <v>0</v>
          </cell>
          <cell r="Z2874">
            <v>8702704.4599999934</v>
          </cell>
          <cell r="AA2874">
            <v>0</v>
          </cell>
          <cell r="AC2874">
            <v>-5838422.3999999911</v>
          </cell>
          <cell r="AD2874">
            <v>0</v>
          </cell>
          <cell r="AF2874">
            <v>12450395.660000011</v>
          </cell>
          <cell r="AG2874">
            <v>0</v>
          </cell>
          <cell r="AI2874">
            <v>-15916519.350000024</v>
          </cell>
          <cell r="AJ2874">
            <v>0</v>
          </cell>
          <cell r="AL2874">
            <v>-70482.789999991655</v>
          </cell>
          <cell r="AM2874">
            <v>0</v>
          </cell>
          <cell r="AO2874">
            <v>1499149.349999994</v>
          </cell>
          <cell r="AP2874">
            <v>0</v>
          </cell>
          <cell r="AR2874">
            <v>-1747411.1900000274</v>
          </cell>
          <cell r="AS2874">
            <v>0</v>
          </cell>
          <cell r="BF2874" t="str">
            <v>8400</v>
          </cell>
          <cell r="BG2874" t="str">
            <v>N007</v>
          </cell>
          <cell r="BH2874" t="str">
            <v>GML</v>
          </cell>
        </row>
        <row r="2875">
          <cell r="K2875">
            <v>0</v>
          </cell>
          <cell r="L2875">
            <v>0</v>
          </cell>
          <cell r="N2875">
            <v>0</v>
          </cell>
          <cell r="O2875">
            <v>0</v>
          </cell>
          <cell r="Q2875">
            <v>0</v>
          </cell>
          <cell r="R2875">
            <v>0</v>
          </cell>
          <cell r="T2875">
            <v>400000</v>
          </cell>
          <cell r="U2875">
            <v>0</v>
          </cell>
          <cell r="W2875">
            <v>8514455.8700000048</v>
          </cell>
          <cell r="X2875">
            <v>0</v>
          </cell>
          <cell r="Z2875">
            <v>-2975227.9799999967</v>
          </cell>
          <cell r="AA2875">
            <v>0</v>
          </cell>
          <cell r="AC2875">
            <v>-4525417.6300000176</v>
          </cell>
          <cell r="AD2875">
            <v>0</v>
          </cell>
          <cell r="AF2875">
            <v>16690961.86999999</v>
          </cell>
          <cell r="AG2875">
            <v>0</v>
          </cell>
          <cell r="AI2875">
            <v>393761.30999995768</v>
          </cell>
          <cell r="AJ2875">
            <v>0</v>
          </cell>
          <cell r="AL2875">
            <v>-13620898.99000001</v>
          </cell>
          <cell r="AM2875">
            <v>0</v>
          </cell>
          <cell r="AO2875">
            <v>291244.98999994993</v>
          </cell>
          <cell r="AP2875">
            <v>0</v>
          </cell>
          <cell r="AR2875">
            <v>636343.57000002265</v>
          </cell>
          <cell r="AS2875">
            <v>0</v>
          </cell>
          <cell r="BF2875" t="str">
            <v>8400</v>
          </cell>
          <cell r="BG2875" t="str">
            <v>N008</v>
          </cell>
          <cell r="BH2875" t="str">
            <v>GML</v>
          </cell>
        </row>
        <row r="2876">
          <cell r="K2876">
            <v>0</v>
          </cell>
          <cell r="L2876">
            <v>0</v>
          </cell>
          <cell r="N2876">
            <v>0</v>
          </cell>
          <cell r="O2876">
            <v>0</v>
          </cell>
          <cell r="Q2876">
            <v>53929.05</v>
          </cell>
          <cell r="R2876">
            <v>0</v>
          </cell>
          <cell r="T2876">
            <v>28907.650000000009</v>
          </cell>
          <cell r="U2876">
            <v>0</v>
          </cell>
          <cell r="W2876">
            <v>46325.110000000015</v>
          </cell>
          <cell r="X2876">
            <v>0</v>
          </cell>
          <cell r="Z2876">
            <v>50512.51999999999</v>
          </cell>
          <cell r="AA2876">
            <v>0</v>
          </cell>
          <cell r="AC2876">
            <v>64173.880000000034</v>
          </cell>
          <cell r="AD2876">
            <v>0</v>
          </cell>
          <cell r="AF2876">
            <v>52332.22</v>
          </cell>
          <cell r="AG2876">
            <v>0</v>
          </cell>
          <cell r="AI2876">
            <v>87977.710000000079</v>
          </cell>
          <cell r="AJ2876">
            <v>0</v>
          </cell>
          <cell r="AL2876">
            <v>106922.23999999999</v>
          </cell>
          <cell r="AM2876">
            <v>0</v>
          </cell>
          <cell r="AO2876">
            <v>133594.20999999996</v>
          </cell>
          <cell r="AP2876">
            <v>0</v>
          </cell>
          <cell r="AR2876">
            <v>191932.17000000016</v>
          </cell>
          <cell r="AS2876">
            <v>0</v>
          </cell>
          <cell r="BF2876" t="str">
            <v>2002</v>
          </cell>
          <cell r="BG2876" t="str">
            <v>B501</v>
          </cell>
          <cell r="BH2876" t="str">
            <v>EMU</v>
          </cell>
        </row>
        <row r="2877">
          <cell r="K2877">
            <v>0</v>
          </cell>
          <cell r="L2877">
            <v>0</v>
          </cell>
          <cell r="N2877">
            <v>0</v>
          </cell>
          <cell r="O2877">
            <v>0</v>
          </cell>
          <cell r="Q2877">
            <v>0</v>
          </cell>
          <cell r="R2877">
            <v>0</v>
          </cell>
          <cell r="T2877">
            <v>0</v>
          </cell>
          <cell r="U2877">
            <v>0</v>
          </cell>
          <cell r="W2877">
            <v>0</v>
          </cell>
          <cell r="X2877">
            <v>0</v>
          </cell>
          <cell r="Z2877">
            <v>0</v>
          </cell>
          <cell r="AA2877">
            <v>0</v>
          </cell>
          <cell r="AC2877">
            <v>0</v>
          </cell>
          <cell r="AD2877">
            <v>0</v>
          </cell>
          <cell r="AF2877">
            <v>0</v>
          </cell>
          <cell r="AG2877">
            <v>0</v>
          </cell>
          <cell r="AI2877">
            <v>0</v>
          </cell>
          <cell r="AJ2877">
            <v>0</v>
          </cell>
          <cell r="AL2877">
            <v>0</v>
          </cell>
          <cell r="AM2877">
            <v>0</v>
          </cell>
          <cell r="AO2877">
            <v>0</v>
          </cell>
          <cell r="AP2877">
            <v>0</v>
          </cell>
          <cell r="AR2877">
            <v>0</v>
          </cell>
          <cell r="AS2877">
            <v>0</v>
          </cell>
          <cell r="BF2877" t="str">
            <v>3100</v>
          </cell>
          <cell r="BG2877" t="str">
            <v>C001</v>
          </cell>
          <cell r="BH2877" t="str">
            <v>EMU</v>
          </cell>
        </row>
        <row r="2878">
          <cell r="K2878">
            <v>0</v>
          </cell>
          <cell r="L2878">
            <v>0</v>
          </cell>
          <cell r="N2878">
            <v>0</v>
          </cell>
          <cell r="O2878">
            <v>0</v>
          </cell>
          <cell r="Q2878">
            <v>-2702262.4</v>
          </cell>
          <cell r="R2878">
            <v>0</v>
          </cell>
          <cell r="T2878">
            <v>-1218220.8000000007</v>
          </cell>
          <cell r="U2878">
            <v>0</v>
          </cell>
          <cell r="W2878">
            <v>-1362106.8600000008</v>
          </cell>
          <cell r="X2878">
            <v>0</v>
          </cell>
          <cell r="Z2878">
            <v>-1225546.4799999995</v>
          </cell>
          <cell r="AA2878">
            <v>0</v>
          </cell>
          <cell r="AC2878">
            <v>-1233185.4899999993</v>
          </cell>
          <cell r="AD2878">
            <v>0</v>
          </cell>
          <cell r="AF2878">
            <v>-752014.44000000041</v>
          </cell>
          <cell r="AG2878">
            <v>0</v>
          </cell>
          <cell r="AI2878">
            <v>-2841893.0399999991</v>
          </cell>
          <cell r="AJ2878">
            <v>0</v>
          </cell>
          <cell r="AL2878">
            <v>-2440851.7800000012</v>
          </cell>
          <cell r="AM2878">
            <v>0</v>
          </cell>
          <cell r="AO2878">
            <v>13776081.290000001</v>
          </cell>
          <cell r="AP2878">
            <v>0</v>
          </cell>
          <cell r="AR2878">
            <v>0</v>
          </cell>
          <cell r="AS2878">
            <v>0</v>
          </cell>
          <cell r="BF2878" t="str">
            <v>8202</v>
          </cell>
          <cell r="BG2878" t="str">
            <v>Z000</v>
          </cell>
          <cell r="BH2878" t="str">
            <v>EMU</v>
          </cell>
        </row>
        <row r="2879">
          <cell r="K2879">
            <v>0</v>
          </cell>
          <cell r="L2879">
            <v>0</v>
          </cell>
          <cell r="N2879">
            <v>0</v>
          </cell>
          <cell r="O2879">
            <v>0</v>
          </cell>
          <cell r="Q2879">
            <v>0</v>
          </cell>
          <cell r="R2879">
            <v>0</v>
          </cell>
          <cell r="T2879">
            <v>0</v>
          </cell>
          <cell r="U2879">
            <v>0</v>
          </cell>
          <cell r="W2879">
            <v>0</v>
          </cell>
          <cell r="X2879">
            <v>0</v>
          </cell>
          <cell r="Z2879">
            <v>0</v>
          </cell>
          <cell r="AA2879">
            <v>0</v>
          </cell>
          <cell r="AC2879">
            <v>0</v>
          </cell>
          <cell r="AD2879">
            <v>0</v>
          </cell>
          <cell r="AF2879">
            <v>0</v>
          </cell>
          <cell r="AG2879">
            <v>0</v>
          </cell>
          <cell r="AI2879">
            <v>0</v>
          </cell>
          <cell r="AJ2879">
            <v>0</v>
          </cell>
          <cell r="AL2879">
            <v>0</v>
          </cell>
          <cell r="AM2879">
            <v>0</v>
          </cell>
          <cell r="AO2879">
            <v>0</v>
          </cell>
          <cell r="AP2879">
            <v>0</v>
          </cell>
          <cell r="AR2879">
            <v>0</v>
          </cell>
          <cell r="AS2879">
            <v>0</v>
          </cell>
          <cell r="BF2879" t="str">
            <v>3100</v>
          </cell>
          <cell r="BG2879" t="str">
            <v>C001</v>
          </cell>
          <cell r="BH2879" t="str">
            <v>TUL</v>
          </cell>
        </row>
        <row r="2880">
          <cell r="K2880">
            <v>0</v>
          </cell>
          <cell r="L2880">
            <v>0</v>
          </cell>
          <cell r="N2880">
            <v>0</v>
          </cell>
          <cell r="O2880">
            <v>0</v>
          </cell>
          <cell r="Q2880">
            <v>0</v>
          </cell>
          <cell r="R2880">
            <v>0</v>
          </cell>
          <cell r="T2880">
            <v>0</v>
          </cell>
          <cell r="U2880">
            <v>0</v>
          </cell>
          <cell r="W2880">
            <v>0</v>
          </cell>
          <cell r="X2880">
            <v>0</v>
          </cell>
          <cell r="Z2880">
            <v>0</v>
          </cell>
          <cell r="AA2880">
            <v>0</v>
          </cell>
          <cell r="AC2880">
            <v>0</v>
          </cell>
          <cell r="AD2880">
            <v>0</v>
          </cell>
          <cell r="AF2880">
            <v>0</v>
          </cell>
          <cell r="AG2880">
            <v>0</v>
          </cell>
          <cell r="AI2880">
            <v>0</v>
          </cell>
          <cell r="AJ2880">
            <v>0</v>
          </cell>
          <cell r="AL2880">
            <v>0</v>
          </cell>
          <cell r="AM2880">
            <v>0</v>
          </cell>
          <cell r="AO2880">
            <v>0</v>
          </cell>
          <cell r="AP2880">
            <v>0</v>
          </cell>
          <cell r="AR2880">
            <v>0</v>
          </cell>
          <cell r="AS2880">
            <v>0</v>
          </cell>
          <cell r="BF2880" t="str">
            <v>5700</v>
          </cell>
          <cell r="BG2880" t="str">
            <v>I014</v>
          </cell>
          <cell r="BH2880" t="str">
            <v>TUL</v>
          </cell>
        </row>
        <row r="2881">
          <cell r="K2881">
            <v>0</v>
          </cell>
          <cell r="L2881">
            <v>0</v>
          </cell>
          <cell r="N2881">
            <v>0</v>
          </cell>
          <cell r="O2881">
            <v>0</v>
          </cell>
          <cell r="Q2881">
            <v>0</v>
          </cell>
          <cell r="R2881">
            <v>0</v>
          </cell>
          <cell r="T2881">
            <v>272861.17000000132</v>
          </cell>
          <cell r="U2881">
            <v>0</v>
          </cell>
          <cell r="W2881">
            <v>-396320.19000000553</v>
          </cell>
          <cell r="X2881">
            <v>0</v>
          </cell>
          <cell r="Z2881">
            <v>328487.47999999765</v>
          </cell>
          <cell r="AA2881">
            <v>0</v>
          </cell>
          <cell r="AC2881">
            <v>475840.20999999903</v>
          </cell>
          <cell r="AD2881">
            <v>0</v>
          </cell>
          <cell r="AF2881">
            <v>-543167.71000001021</v>
          </cell>
          <cell r="AG2881">
            <v>0</v>
          </cell>
          <cell r="AI2881">
            <v>930996.16999995336</v>
          </cell>
          <cell r="AJ2881">
            <v>0</v>
          </cell>
          <cell r="AL2881">
            <v>613994.11999998614</v>
          </cell>
          <cell r="AM2881">
            <v>0</v>
          </cell>
          <cell r="AO2881">
            <v>-392347.8400000371</v>
          </cell>
          <cell r="AP2881">
            <v>0</v>
          </cell>
          <cell r="AR2881">
            <v>-830920.70000013709</v>
          </cell>
          <cell r="AS2881">
            <v>0</v>
          </cell>
          <cell r="BF2881" t="str">
            <v>8400</v>
          </cell>
          <cell r="BG2881" t="str">
            <v>N008</v>
          </cell>
          <cell r="BH2881" t="str">
            <v>TUL</v>
          </cell>
        </row>
        <row r="2882">
          <cell r="K2882">
            <v>0</v>
          </cell>
          <cell r="L2882">
            <v>0</v>
          </cell>
          <cell r="N2882">
            <v>0</v>
          </cell>
          <cell r="O2882">
            <v>0</v>
          </cell>
          <cell r="Q2882">
            <v>0</v>
          </cell>
          <cell r="R2882">
            <v>0</v>
          </cell>
          <cell r="T2882">
            <v>19704.879999999997</v>
          </cell>
          <cell r="U2882">
            <v>0</v>
          </cell>
          <cell r="W2882">
            <v>134445.78000000009</v>
          </cell>
          <cell r="X2882">
            <v>0</v>
          </cell>
          <cell r="Z2882">
            <v>25963.690000000468</v>
          </cell>
          <cell r="AA2882">
            <v>0</v>
          </cell>
          <cell r="AC2882">
            <v>1227156.8900000001</v>
          </cell>
          <cell r="AD2882">
            <v>0</v>
          </cell>
          <cell r="AF2882">
            <v>-1202788.1599999988</v>
          </cell>
          <cell r="AG2882">
            <v>0</v>
          </cell>
          <cell r="AI2882">
            <v>87738.220000000671</v>
          </cell>
          <cell r="AJ2882">
            <v>0</v>
          </cell>
          <cell r="AL2882">
            <v>245838.87999999709</v>
          </cell>
          <cell r="AM2882">
            <v>0</v>
          </cell>
          <cell r="AO2882">
            <v>-129776.98000003025</v>
          </cell>
          <cell r="AP2882">
            <v>0</v>
          </cell>
          <cell r="AR2882">
            <v>132873.07999999821</v>
          </cell>
          <cell r="AS2882">
            <v>0</v>
          </cell>
          <cell r="BF2882" t="str">
            <v>8400</v>
          </cell>
          <cell r="BG2882" t="str">
            <v>N009</v>
          </cell>
          <cell r="BH2882" t="str">
            <v>TUL</v>
          </cell>
        </row>
        <row r="2883">
          <cell r="K2883">
            <v>0</v>
          </cell>
          <cell r="L2883">
            <v>0</v>
          </cell>
          <cell r="N2883">
            <v>0</v>
          </cell>
          <cell r="O2883">
            <v>0</v>
          </cell>
          <cell r="Q2883">
            <v>0</v>
          </cell>
          <cell r="R2883">
            <v>0</v>
          </cell>
          <cell r="T2883">
            <v>0</v>
          </cell>
          <cell r="U2883">
            <v>0</v>
          </cell>
          <cell r="W2883">
            <v>0</v>
          </cell>
          <cell r="X2883">
            <v>0</v>
          </cell>
          <cell r="Z2883">
            <v>0</v>
          </cell>
          <cell r="AA2883">
            <v>0</v>
          </cell>
          <cell r="AC2883">
            <v>0</v>
          </cell>
          <cell r="AD2883">
            <v>0</v>
          </cell>
          <cell r="AF2883">
            <v>0</v>
          </cell>
          <cell r="AG2883">
            <v>0</v>
          </cell>
          <cell r="AI2883">
            <v>0</v>
          </cell>
          <cell r="AJ2883">
            <v>0</v>
          </cell>
          <cell r="AL2883">
            <v>0</v>
          </cell>
          <cell r="AM2883">
            <v>0</v>
          </cell>
          <cell r="AO2883">
            <v>0</v>
          </cell>
          <cell r="AP2883">
            <v>0</v>
          </cell>
          <cell r="AR2883">
            <v>0</v>
          </cell>
          <cell r="AS2883">
            <v>0</v>
          </cell>
          <cell r="BF2883" t="str">
            <v>3100</v>
          </cell>
          <cell r="BG2883" t="str">
            <v>C001</v>
          </cell>
          <cell r="BH2883" t="str">
            <v>GBB</v>
          </cell>
        </row>
        <row r="2884">
          <cell r="K2884">
            <v>0</v>
          </cell>
          <cell r="L2884">
            <v>0</v>
          </cell>
          <cell r="N2884">
            <v>0</v>
          </cell>
          <cell r="O2884">
            <v>0</v>
          </cell>
          <cell r="Q2884">
            <v>0</v>
          </cell>
          <cell r="R2884">
            <v>0</v>
          </cell>
          <cell r="T2884">
            <v>320212.33</v>
          </cell>
          <cell r="U2884">
            <v>0</v>
          </cell>
          <cell r="W2884">
            <v>682579.57000000007</v>
          </cell>
          <cell r="X2884">
            <v>0</v>
          </cell>
          <cell r="Z2884">
            <v>455162.51999999979</v>
          </cell>
          <cell r="AA2884">
            <v>0</v>
          </cell>
          <cell r="AC2884">
            <v>519585.79000000004</v>
          </cell>
          <cell r="AD2884">
            <v>0</v>
          </cell>
          <cell r="AF2884">
            <v>267839.69000000041</v>
          </cell>
          <cell r="AG2884">
            <v>0</v>
          </cell>
          <cell r="AI2884">
            <v>283092.4599999995</v>
          </cell>
          <cell r="AJ2884">
            <v>0</v>
          </cell>
          <cell r="AL2884">
            <v>140156.88999999966</v>
          </cell>
          <cell r="AM2884">
            <v>0</v>
          </cell>
          <cell r="AO2884">
            <v>206708.0400000005</v>
          </cell>
          <cell r="AP2884">
            <v>0</v>
          </cell>
          <cell r="AR2884">
            <v>326918.30999999819</v>
          </cell>
          <cell r="AS2884">
            <v>0</v>
          </cell>
          <cell r="BF2884" t="str">
            <v>5700</v>
          </cell>
          <cell r="BG2884" t="str">
            <v>I014</v>
          </cell>
          <cell r="BH2884" t="str">
            <v>GBB</v>
          </cell>
        </row>
        <row r="2885">
          <cell r="K2885">
            <v>0</v>
          </cell>
          <cell r="L2885">
            <v>0</v>
          </cell>
          <cell r="N2885">
            <v>0</v>
          </cell>
          <cell r="O2885">
            <v>0</v>
          </cell>
          <cell r="Q2885">
            <v>35000</v>
          </cell>
          <cell r="R2885">
            <v>0</v>
          </cell>
          <cell r="T2885">
            <v>-7224.8099999999977</v>
          </cell>
          <cell r="U2885">
            <v>0</v>
          </cell>
          <cell r="W2885">
            <v>744431</v>
          </cell>
          <cell r="X2885">
            <v>0</v>
          </cell>
          <cell r="Z2885">
            <v>-510000.47999999975</v>
          </cell>
          <cell r="AA2885">
            <v>0</v>
          </cell>
          <cell r="AC2885">
            <v>567777.19999999995</v>
          </cell>
          <cell r="AD2885">
            <v>0</v>
          </cell>
          <cell r="AF2885">
            <v>393860.70000000112</v>
          </cell>
          <cell r="AG2885">
            <v>0</v>
          </cell>
          <cell r="AI2885">
            <v>-454879.97000000067</v>
          </cell>
          <cell r="AJ2885">
            <v>0</v>
          </cell>
          <cell r="AL2885">
            <v>46927.239999999292</v>
          </cell>
          <cell r="AM2885">
            <v>0</v>
          </cell>
          <cell r="AO2885">
            <v>-35810.669999999925</v>
          </cell>
          <cell r="AP2885">
            <v>0</v>
          </cell>
          <cell r="AR2885">
            <v>55281.980000001378</v>
          </cell>
          <cell r="AS2885">
            <v>0</v>
          </cell>
          <cell r="BF2885" t="str">
            <v>8400</v>
          </cell>
          <cell r="BG2885" t="str">
            <v>N005</v>
          </cell>
          <cell r="BH2885" t="str">
            <v>GBB</v>
          </cell>
        </row>
        <row r="2886">
          <cell r="K2886">
            <v>0</v>
          </cell>
          <cell r="L2886">
            <v>0</v>
          </cell>
          <cell r="N2886">
            <v>0</v>
          </cell>
          <cell r="O2886">
            <v>0</v>
          </cell>
          <cell r="Q2886">
            <v>0</v>
          </cell>
          <cell r="R2886">
            <v>0</v>
          </cell>
          <cell r="T2886">
            <v>-763.62</v>
          </cell>
          <cell r="U2886">
            <v>0</v>
          </cell>
          <cell r="W2886">
            <v>-1786.9500000000362</v>
          </cell>
          <cell r="X2886">
            <v>0</v>
          </cell>
          <cell r="Z2886">
            <v>102822.56000000014</v>
          </cell>
          <cell r="AA2886">
            <v>0</v>
          </cell>
          <cell r="AC2886">
            <v>-94052.13</v>
          </cell>
          <cell r="AD2886">
            <v>0</v>
          </cell>
          <cell r="AF2886">
            <v>44577.130000000354</v>
          </cell>
          <cell r="AG2886">
            <v>0</v>
          </cell>
          <cell r="AI2886">
            <v>22786.909999999916</v>
          </cell>
          <cell r="AJ2886">
            <v>0</v>
          </cell>
          <cell r="AL2886">
            <v>-31793.420000000391</v>
          </cell>
          <cell r="AM2886">
            <v>0</v>
          </cell>
          <cell r="AO2886">
            <v>-10781.130000001285</v>
          </cell>
          <cell r="AP2886">
            <v>0</v>
          </cell>
          <cell r="AR2886">
            <v>32488.839999999851</v>
          </cell>
          <cell r="AS2886">
            <v>0</v>
          </cell>
          <cell r="BF2886" t="str">
            <v>8400</v>
          </cell>
          <cell r="BG2886" t="str">
            <v>N006</v>
          </cell>
          <cell r="BH2886" t="str">
            <v>GBB</v>
          </cell>
        </row>
        <row r="2887">
          <cell r="K2887">
            <v>0</v>
          </cell>
          <cell r="L2887">
            <v>0</v>
          </cell>
          <cell r="N2887">
            <v>0</v>
          </cell>
          <cell r="O2887">
            <v>0</v>
          </cell>
          <cell r="Q2887">
            <v>0</v>
          </cell>
          <cell r="R2887">
            <v>0</v>
          </cell>
          <cell r="T2887">
            <v>0</v>
          </cell>
          <cell r="U2887">
            <v>0</v>
          </cell>
          <cell r="W2887">
            <v>0</v>
          </cell>
          <cell r="X2887">
            <v>0</v>
          </cell>
          <cell r="Z2887">
            <v>0</v>
          </cell>
          <cell r="AA2887">
            <v>0</v>
          </cell>
          <cell r="AC2887">
            <v>0</v>
          </cell>
          <cell r="AD2887">
            <v>0</v>
          </cell>
          <cell r="AF2887">
            <v>0</v>
          </cell>
          <cell r="AG2887">
            <v>0</v>
          </cell>
          <cell r="AI2887">
            <v>0</v>
          </cell>
          <cell r="AJ2887">
            <v>0</v>
          </cell>
          <cell r="AL2887">
            <v>0</v>
          </cell>
          <cell r="AM2887">
            <v>0</v>
          </cell>
          <cell r="AO2887">
            <v>0</v>
          </cell>
          <cell r="AP2887">
            <v>0</v>
          </cell>
          <cell r="AR2887">
            <v>0</v>
          </cell>
          <cell r="AS2887">
            <v>0</v>
          </cell>
          <cell r="BF2887" t="str">
            <v>8400</v>
          </cell>
          <cell r="BG2887" t="str">
            <v>N007</v>
          </cell>
          <cell r="BH2887" t="str">
            <v>GBB</v>
          </cell>
        </row>
        <row r="2888">
          <cell r="K2888">
            <v>0</v>
          </cell>
          <cell r="L2888">
            <v>0</v>
          </cell>
          <cell r="N2888">
            <v>0</v>
          </cell>
          <cell r="O2888">
            <v>0</v>
          </cell>
          <cell r="Q2888">
            <v>0</v>
          </cell>
          <cell r="R2888">
            <v>0</v>
          </cell>
          <cell r="T2888">
            <v>0</v>
          </cell>
          <cell r="U2888">
            <v>0</v>
          </cell>
          <cell r="W2888">
            <v>0</v>
          </cell>
          <cell r="X2888">
            <v>0</v>
          </cell>
          <cell r="Z2888">
            <v>0</v>
          </cell>
          <cell r="AA2888">
            <v>0</v>
          </cell>
          <cell r="AC2888">
            <v>0</v>
          </cell>
          <cell r="AD2888">
            <v>0</v>
          </cell>
          <cell r="AF2888">
            <v>0</v>
          </cell>
          <cell r="AG2888">
            <v>0</v>
          </cell>
          <cell r="AI2888">
            <v>0</v>
          </cell>
          <cell r="AJ2888">
            <v>0</v>
          </cell>
          <cell r="AL2888">
            <v>0</v>
          </cell>
          <cell r="AM2888">
            <v>0</v>
          </cell>
          <cell r="AO2888">
            <v>0</v>
          </cell>
          <cell r="AP2888">
            <v>0</v>
          </cell>
          <cell r="AR2888">
            <v>0</v>
          </cell>
          <cell r="AS2888">
            <v>0</v>
          </cell>
          <cell r="BF2888" t="str">
            <v>8400</v>
          </cell>
          <cell r="BG2888" t="str">
            <v>N008</v>
          </cell>
          <cell r="BH2888" t="str">
            <v>GBB</v>
          </cell>
        </row>
        <row r="2891">
          <cell r="K2891">
            <v>0</v>
          </cell>
          <cell r="L2891">
            <v>0</v>
          </cell>
          <cell r="N2891">
            <v>0</v>
          </cell>
          <cell r="O2891">
            <v>0</v>
          </cell>
          <cell r="Q2891">
            <v>0</v>
          </cell>
          <cell r="R2891">
            <v>0</v>
          </cell>
          <cell r="T2891">
            <v>0</v>
          </cell>
          <cell r="U2891">
            <v>0</v>
          </cell>
          <cell r="W2891">
            <v>349566.88</v>
          </cell>
          <cell r="X2891">
            <v>0</v>
          </cell>
          <cell r="Z2891">
            <v>-5200</v>
          </cell>
          <cell r="AA2891">
            <v>0</v>
          </cell>
          <cell r="AC2891">
            <v>-5500</v>
          </cell>
          <cell r="AD2891">
            <v>0</v>
          </cell>
          <cell r="AF2891">
            <v>-5500</v>
          </cell>
          <cell r="AG2891">
            <v>0</v>
          </cell>
          <cell r="AI2891">
            <v>151600</v>
          </cell>
          <cell r="AJ2891">
            <v>0</v>
          </cell>
          <cell r="AL2891">
            <v>2736834.69</v>
          </cell>
          <cell r="AM2891">
            <v>0</v>
          </cell>
          <cell r="AO2891">
            <v>2187930.1300000004</v>
          </cell>
          <cell r="AP2891">
            <v>0</v>
          </cell>
          <cell r="AR2891">
            <v>-2577490.3500000024</v>
          </cell>
          <cell r="AS2891">
            <v>0</v>
          </cell>
          <cell r="BF2891" t="str">
            <v>8400</v>
          </cell>
          <cell r="BG2891" t="str">
            <v>N009</v>
          </cell>
          <cell r="BH2891" t="str">
            <v>GML</v>
          </cell>
        </row>
        <row r="2894">
          <cell r="K2894">
            <v>0</v>
          </cell>
          <cell r="L2894">
            <v>0</v>
          </cell>
          <cell r="N2894">
            <v>0</v>
          </cell>
          <cell r="O2894">
            <v>0</v>
          </cell>
          <cell r="Q2894">
            <v>0</v>
          </cell>
          <cell r="R2894">
            <v>0</v>
          </cell>
          <cell r="T2894">
            <v>0</v>
          </cell>
          <cell r="U2894">
            <v>0</v>
          </cell>
          <cell r="W2894">
            <v>9960.7199999999993</v>
          </cell>
          <cell r="X2894">
            <v>0</v>
          </cell>
          <cell r="Z2894">
            <v>3003</v>
          </cell>
          <cell r="AA2894">
            <v>0</v>
          </cell>
          <cell r="AC2894">
            <v>464.03999999999542</v>
          </cell>
          <cell r="AD2894">
            <v>0</v>
          </cell>
          <cell r="AF2894">
            <v>-14.999999999992724</v>
          </cell>
          <cell r="AG2894">
            <v>0</v>
          </cell>
          <cell r="AI2894">
            <v>7.2759576141834259E-12</v>
          </cell>
          <cell r="AJ2894">
            <v>0</v>
          </cell>
          <cell r="AL2894">
            <v>2555.890000000014</v>
          </cell>
          <cell r="AM2894">
            <v>0</v>
          </cell>
          <cell r="AO2894">
            <v>1687</v>
          </cell>
          <cell r="AP2894">
            <v>0</v>
          </cell>
          <cell r="AR2894">
            <v>-799.80000000000291</v>
          </cell>
          <cell r="AS2894">
            <v>0</v>
          </cell>
          <cell r="BF2894" t="str">
            <v>9200</v>
          </cell>
          <cell r="BG2894" t="str">
            <v>Q006</v>
          </cell>
          <cell r="BH2894" t="str">
            <v>VSS</v>
          </cell>
        </row>
        <row r="2895">
          <cell r="K2895">
            <v>0</v>
          </cell>
          <cell r="L2895">
            <v>0</v>
          </cell>
          <cell r="N2895">
            <v>0</v>
          </cell>
          <cell r="O2895">
            <v>0</v>
          </cell>
          <cell r="Q2895">
            <v>0</v>
          </cell>
          <cell r="R2895">
            <v>0</v>
          </cell>
          <cell r="T2895">
            <v>0</v>
          </cell>
          <cell r="U2895">
            <v>0</v>
          </cell>
          <cell r="W2895">
            <v>10672.97</v>
          </cell>
          <cell r="X2895">
            <v>0</v>
          </cell>
          <cell r="Z2895">
            <v>-300.29999999999927</v>
          </cell>
          <cell r="AA2895">
            <v>0</v>
          </cell>
          <cell r="AC2895">
            <v>10372.669999999996</v>
          </cell>
          <cell r="AD2895">
            <v>0</v>
          </cell>
          <cell r="AF2895">
            <v>-8638.6699999999983</v>
          </cell>
          <cell r="AG2895">
            <v>0</v>
          </cell>
          <cell r="AI2895">
            <v>1923.070000000007</v>
          </cell>
          <cell r="AJ2895">
            <v>0</v>
          </cell>
          <cell r="AL2895">
            <v>570</v>
          </cell>
          <cell r="AM2895">
            <v>0</v>
          </cell>
          <cell r="AO2895">
            <v>615.59999999999127</v>
          </cell>
          <cell r="AP2895">
            <v>0</v>
          </cell>
          <cell r="AR2895">
            <v>661.4600000000064</v>
          </cell>
          <cell r="AS2895">
            <v>0</v>
          </cell>
          <cell r="BF2895" t="str">
            <v>9200</v>
          </cell>
          <cell r="BG2895" t="str">
            <v>Q006</v>
          </cell>
          <cell r="BH2895" t="str">
            <v>GSA</v>
          </cell>
        </row>
        <row r="2898">
          <cell r="K2898">
            <v>0</v>
          </cell>
          <cell r="L2898">
            <v>0</v>
          </cell>
          <cell r="N2898">
            <v>0</v>
          </cell>
          <cell r="O2898">
            <v>0</v>
          </cell>
          <cell r="Q2898">
            <v>0</v>
          </cell>
          <cell r="R2898">
            <v>0</v>
          </cell>
          <cell r="T2898">
            <v>0</v>
          </cell>
          <cell r="U2898">
            <v>0</v>
          </cell>
          <cell r="W2898">
            <v>-115289.96999999997</v>
          </cell>
          <cell r="X2898">
            <v>0</v>
          </cell>
          <cell r="Z2898">
            <v>171465.96999999997</v>
          </cell>
          <cell r="AA2898">
            <v>0</v>
          </cell>
          <cell r="AC2898">
            <v>56176.020000000019</v>
          </cell>
          <cell r="AD2898">
            <v>0</v>
          </cell>
          <cell r="AF2898">
            <v>49071.979999999981</v>
          </cell>
          <cell r="AG2898">
            <v>0</v>
          </cell>
          <cell r="AI2898">
            <v>-57642.670000000158</v>
          </cell>
          <cell r="AJ2898">
            <v>0</v>
          </cell>
          <cell r="AL2898">
            <v>19578.690000000177</v>
          </cell>
          <cell r="AM2898">
            <v>0</v>
          </cell>
          <cell r="AO2898">
            <v>361493.92000000039</v>
          </cell>
          <cell r="AP2898">
            <v>0</v>
          </cell>
          <cell r="AR2898">
            <v>130858.8499999987</v>
          </cell>
          <cell r="AS2898">
            <v>0</v>
          </cell>
          <cell r="BF2898" t="str">
            <v>9000</v>
          </cell>
          <cell r="BG2898" t="str">
            <v>Q101</v>
          </cell>
          <cell r="BH2898" t="str">
            <v>GSA</v>
          </cell>
        </row>
        <row r="2901">
          <cell r="K2901">
            <v>0</v>
          </cell>
          <cell r="L2901">
            <v>0</v>
          </cell>
          <cell r="N2901">
            <v>0</v>
          </cell>
          <cell r="O2901">
            <v>0</v>
          </cell>
          <cell r="Q2901">
            <v>0</v>
          </cell>
          <cell r="R2901">
            <v>0</v>
          </cell>
          <cell r="T2901">
            <v>0</v>
          </cell>
          <cell r="U2901">
            <v>0</v>
          </cell>
          <cell r="W2901">
            <v>0</v>
          </cell>
          <cell r="X2901">
            <v>0</v>
          </cell>
          <cell r="Z2901">
            <v>153000</v>
          </cell>
          <cell r="AA2901">
            <v>0</v>
          </cell>
          <cell r="AC2901">
            <v>0</v>
          </cell>
          <cell r="AD2901">
            <v>0</v>
          </cell>
          <cell r="AF2901">
            <v>0</v>
          </cell>
          <cell r="AG2901">
            <v>0</v>
          </cell>
          <cell r="AI2901">
            <v>3724.7999999999884</v>
          </cell>
          <cell r="AJ2901">
            <v>0</v>
          </cell>
          <cell r="AL2901">
            <v>0</v>
          </cell>
          <cell r="AM2901">
            <v>0</v>
          </cell>
          <cell r="AO2901">
            <v>120000</v>
          </cell>
          <cell r="AP2901">
            <v>0</v>
          </cell>
          <cell r="AR2901">
            <v>0</v>
          </cell>
          <cell r="AS2901">
            <v>0</v>
          </cell>
          <cell r="BF2901" t="str">
            <v>4750</v>
          </cell>
          <cell r="BG2901" t="str">
            <v>Z000</v>
          </cell>
          <cell r="BH2901" t="str">
            <v>VSS</v>
          </cell>
        </row>
        <row r="2902">
          <cell r="K2902">
            <v>0</v>
          </cell>
          <cell r="L2902">
            <v>0</v>
          </cell>
          <cell r="N2902">
            <v>0</v>
          </cell>
          <cell r="O2902">
            <v>0</v>
          </cell>
          <cell r="Q2902">
            <v>0</v>
          </cell>
          <cell r="R2902">
            <v>0</v>
          </cell>
          <cell r="T2902">
            <v>0</v>
          </cell>
          <cell r="U2902">
            <v>0</v>
          </cell>
          <cell r="W2902">
            <v>0</v>
          </cell>
          <cell r="X2902">
            <v>0</v>
          </cell>
          <cell r="Z2902">
            <v>502632.58</v>
          </cell>
          <cell r="AA2902">
            <v>0</v>
          </cell>
          <cell r="AC2902">
            <v>87862.850000000035</v>
          </cell>
          <cell r="AD2902">
            <v>0</v>
          </cell>
          <cell r="AF2902">
            <v>95878.170000000042</v>
          </cell>
          <cell r="AG2902">
            <v>0</v>
          </cell>
          <cell r="AI2902">
            <v>151622.83000000007</v>
          </cell>
          <cell r="AJ2902">
            <v>0</v>
          </cell>
          <cell r="AL2902">
            <v>103776.01000000001</v>
          </cell>
          <cell r="AM2902">
            <v>0</v>
          </cell>
          <cell r="AO2902">
            <v>-55120.90000000014</v>
          </cell>
          <cell r="AP2902">
            <v>0</v>
          </cell>
          <cell r="AR2902">
            <v>75249.079999999609</v>
          </cell>
          <cell r="AS2902">
            <v>0</v>
          </cell>
          <cell r="BF2902" t="str">
            <v>5700</v>
          </cell>
          <cell r="BG2902" t="str">
            <v>I016</v>
          </cell>
          <cell r="BH2902" t="str">
            <v>GSA</v>
          </cell>
        </row>
        <row r="2903">
          <cell r="K2903">
            <v>0</v>
          </cell>
          <cell r="L2903">
            <v>0</v>
          </cell>
          <cell r="N2903">
            <v>0</v>
          </cell>
          <cell r="O2903">
            <v>0</v>
          </cell>
          <cell r="Q2903">
            <v>0</v>
          </cell>
          <cell r="R2903">
            <v>0</v>
          </cell>
          <cell r="T2903">
            <v>0</v>
          </cell>
          <cell r="U2903">
            <v>0</v>
          </cell>
          <cell r="W2903">
            <v>0</v>
          </cell>
          <cell r="X2903">
            <v>0</v>
          </cell>
          <cell r="Z2903">
            <v>300000</v>
          </cell>
          <cell r="AA2903">
            <v>0</v>
          </cell>
          <cell r="AC2903">
            <v>0</v>
          </cell>
          <cell r="AD2903">
            <v>0</v>
          </cell>
          <cell r="AF2903">
            <v>-93618.959999999963</v>
          </cell>
          <cell r="AG2903">
            <v>0</v>
          </cell>
          <cell r="AI2903">
            <v>-200167.5</v>
          </cell>
          <cell r="AJ2903">
            <v>0</v>
          </cell>
          <cell r="AL2903">
            <v>-228.2900000018999</v>
          </cell>
          <cell r="AM2903">
            <v>0</v>
          </cell>
          <cell r="AO2903">
            <v>-124.53999999910593</v>
          </cell>
          <cell r="AP2903">
            <v>0</v>
          </cell>
          <cell r="AR2903">
            <v>-15</v>
          </cell>
          <cell r="AS2903">
            <v>0</v>
          </cell>
          <cell r="BF2903" t="str">
            <v>8400</v>
          </cell>
          <cell r="BG2903" t="str">
            <v>N002</v>
          </cell>
          <cell r="BH2903" t="str">
            <v>GBM</v>
          </cell>
        </row>
        <row r="2904">
          <cell r="K2904">
            <v>0</v>
          </cell>
          <cell r="L2904">
            <v>0</v>
          </cell>
          <cell r="N2904">
            <v>0</v>
          </cell>
          <cell r="O2904">
            <v>0</v>
          </cell>
          <cell r="Q2904">
            <v>0</v>
          </cell>
          <cell r="R2904">
            <v>0</v>
          </cell>
          <cell r="T2904">
            <v>0</v>
          </cell>
          <cell r="U2904">
            <v>0</v>
          </cell>
          <cell r="W2904">
            <v>0</v>
          </cell>
          <cell r="X2904">
            <v>0</v>
          </cell>
          <cell r="Z2904">
            <v>0</v>
          </cell>
          <cell r="AA2904">
            <v>0</v>
          </cell>
          <cell r="AC2904">
            <v>0</v>
          </cell>
          <cell r="AD2904">
            <v>0</v>
          </cell>
          <cell r="AF2904">
            <v>0</v>
          </cell>
          <cell r="AG2904">
            <v>0</v>
          </cell>
          <cell r="AI2904">
            <v>0</v>
          </cell>
          <cell r="AJ2904">
            <v>0</v>
          </cell>
          <cell r="AL2904">
            <v>0</v>
          </cell>
          <cell r="AM2904">
            <v>0</v>
          </cell>
          <cell r="AO2904">
            <v>-1</v>
          </cell>
          <cell r="AP2904">
            <v>0</v>
          </cell>
          <cell r="AR2904">
            <v>0</v>
          </cell>
          <cell r="AS2904">
            <v>0</v>
          </cell>
          <cell r="BF2904" t="str">
            <v>8400</v>
          </cell>
          <cell r="BG2904" t="str">
            <v>N008</v>
          </cell>
          <cell r="BH2904" t="str">
            <v>GFS</v>
          </cell>
        </row>
        <row r="2905">
          <cell r="K2905">
            <v>0</v>
          </cell>
          <cell r="L2905">
            <v>0</v>
          </cell>
          <cell r="N2905">
            <v>0</v>
          </cell>
          <cell r="O2905">
            <v>0</v>
          </cell>
          <cell r="Q2905">
            <v>0</v>
          </cell>
          <cell r="R2905">
            <v>0</v>
          </cell>
          <cell r="T2905">
            <v>0</v>
          </cell>
          <cell r="U2905">
            <v>0</v>
          </cell>
          <cell r="W2905">
            <v>0</v>
          </cell>
          <cell r="X2905">
            <v>0</v>
          </cell>
          <cell r="Z2905">
            <v>78777693.769999996</v>
          </cell>
          <cell r="AA2905">
            <v>0</v>
          </cell>
          <cell r="AC2905">
            <v>126243887.72000001</v>
          </cell>
          <cell r="AD2905">
            <v>0</v>
          </cell>
          <cell r="AF2905">
            <v>151040457.77999997</v>
          </cell>
          <cell r="AG2905">
            <v>0</v>
          </cell>
          <cell r="AI2905">
            <v>132947778.02000004</v>
          </cell>
          <cell r="AJ2905">
            <v>0</v>
          </cell>
          <cell r="AL2905">
            <v>-34923272.119999945</v>
          </cell>
          <cell r="AM2905">
            <v>0</v>
          </cell>
          <cell r="AO2905">
            <v>31764958.019999981</v>
          </cell>
          <cell r="AP2905">
            <v>0</v>
          </cell>
          <cell r="AR2905">
            <v>23668551.129999995</v>
          </cell>
          <cell r="AS2905">
            <v>0</v>
          </cell>
          <cell r="BF2905" t="str">
            <v>5400</v>
          </cell>
          <cell r="BG2905" t="str">
            <v>F024</v>
          </cell>
          <cell r="BH2905" t="str">
            <v>GML</v>
          </cell>
        </row>
        <row r="2906">
          <cell r="K2906">
            <v>0</v>
          </cell>
          <cell r="L2906">
            <v>0</v>
          </cell>
          <cell r="N2906">
            <v>0</v>
          </cell>
          <cell r="O2906">
            <v>0</v>
          </cell>
          <cell r="Q2906">
            <v>0</v>
          </cell>
          <cell r="R2906">
            <v>0</v>
          </cell>
          <cell r="T2906">
            <v>0</v>
          </cell>
          <cell r="U2906">
            <v>0</v>
          </cell>
          <cell r="W2906">
            <v>0</v>
          </cell>
          <cell r="X2906">
            <v>0</v>
          </cell>
          <cell r="Z2906">
            <v>0</v>
          </cell>
          <cell r="AA2906">
            <v>0</v>
          </cell>
          <cell r="AC2906">
            <v>0</v>
          </cell>
          <cell r="AD2906">
            <v>0</v>
          </cell>
          <cell r="AF2906">
            <v>800</v>
          </cell>
          <cell r="AG2906">
            <v>0</v>
          </cell>
          <cell r="AI2906">
            <v>800</v>
          </cell>
          <cell r="AJ2906">
            <v>0</v>
          </cell>
          <cell r="AL2906">
            <v>-800</v>
          </cell>
          <cell r="AM2906">
            <v>0</v>
          </cell>
          <cell r="AO2906">
            <v>-800</v>
          </cell>
          <cell r="AP2906">
            <v>0</v>
          </cell>
          <cell r="AR2906">
            <v>0</v>
          </cell>
          <cell r="AS2906">
            <v>0</v>
          </cell>
          <cell r="BF2906" t="str">
            <v>9200</v>
          </cell>
          <cell r="BG2906" t="str">
            <v>Q005</v>
          </cell>
          <cell r="BH2906" t="str">
            <v>GBB</v>
          </cell>
        </row>
        <row r="2909">
          <cell r="K2909">
            <v>0</v>
          </cell>
          <cell r="L2909">
            <v>0</v>
          </cell>
          <cell r="N2909">
            <v>0</v>
          </cell>
          <cell r="O2909">
            <v>0</v>
          </cell>
          <cell r="Q2909">
            <v>0</v>
          </cell>
          <cell r="R2909">
            <v>0</v>
          </cell>
          <cell r="T2909">
            <v>0</v>
          </cell>
          <cell r="U2909">
            <v>0</v>
          </cell>
          <cell r="W2909">
            <v>0</v>
          </cell>
          <cell r="X2909">
            <v>0</v>
          </cell>
          <cell r="Z2909">
            <v>0</v>
          </cell>
          <cell r="AA2909">
            <v>0</v>
          </cell>
          <cell r="AC2909">
            <v>300533.33</v>
          </cell>
          <cell r="AD2909">
            <v>0</v>
          </cell>
          <cell r="AF2909">
            <v>-300533.33</v>
          </cell>
          <cell r="AG2909">
            <v>0</v>
          </cell>
          <cell r="AI2909">
            <v>0</v>
          </cell>
          <cell r="AJ2909">
            <v>0</v>
          </cell>
          <cell r="AL2909">
            <v>0</v>
          </cell>
          <cell r="AM2909">
            <v>0</v>
          </cell>
          <cell r="AO2909">
            <v>0</v>
          </cell>
          <cell r="AP2909">
            <v>0</v>
          </cell>
          <cell r="AR2909">
            <v>0</v>
          </cell>
          <cell r="AS2909">
            <v>0</v>
          </cell>
          <cell r="BF2909" t="str">
            <v>5400</v>
          </cell>
          <cell r="BG2909" t="str">
            <v>F026</v>
          </cell>
          <cell r="BH2909" t="str">
            <v>GFS</v>
          </cell>
        </row>
        <row r="2912">
          <cell r="K2912">
            <v>0</v>
          </cell>
          <cell r="L2912">
            <v>0</v>
          </cell>
          <cell r="N2912">
            <v>0</v>
          </cell>
          <cell r="O2912">
            <v>0</v>
          </cell>
          <cell r="Q2912">
            <v>0</v>
          </cell>
          <cell r="R2912">
            <v>0</v>
          </cell>
          <cell r="T2912">
            <v>0</v>
          </cell>
          <cell r="U2912">
            <v>0</v>
          </cell>
          <cell r="W2912">
            <v>0</v>
          </cell>
          <cell r="X2912">
            <v>0</v>
          </cell>
          <cell r="Z2912">
            <v>0</v>
          </cell>
          <cell r="AA2912">
            <v>0</v>
          </cell>
          <cell r="AC2912">
            <v>0</v>
          </cell>
          <cell r="AD2912">
            <v>0</v>
          </cell>
          <cell r="AF2912">
            <v>0</v>
          </cell>
          <cell r="AG2912">
            <v>0</v>
          </cell>
          <cell r="AI2912">
            <v>22.95</v>
          </cell>
          <cell r="AJ2912">
            <v>0</v>
          </cell>
          <cell r="AL2912">
            <v>2311.3800000000006</v>
          </cell>
          <cell r="AM2912">
            <v>0</v>
          </cell>
          <cell r="AO2912">
            <v>3628.9999999999995</v>
          </cell>
          <cell r="AP2912">
            <v>0</v>
          </cell>
          <cell r="AR2912">
            <v>8497.9499999999989</v>
          </cell>
          <cell r="AS2912">
            <v>0</v>
          </cell>
          <cell r="BF2912" t="str">
            <v>1000</v>
          </cell>
          <cell r="BG2912" t="str">
            <v>A001</v>
          </cell>
          <cell r="BH2912" t="str">
            <v>GES</v>
          </cell>
        </row>
        <row r="2913">
          <cell r="K2913">
            <v>0</v>
          </cell>
          <cell r="L2913">
            <v>0</v>
          </cell>
          <cell r="N2913">
            <v>0</v>
          </cell>
          <cell r="O2913">
            <v>0</v>
          </cell>
          <cell r="Q2913">
            <v>0</v>
          </cell>
          <cell r="R2913">
            <v>0</v>
          </cell>
          <cell r="T2913">
            <v>0</v>
          </cell>
          <cell r="U2913">
            <v>0</v>
          </cell>
          <cell r="W2913">
            <v>0</v>
          </cell>
          <cell r="X2913">
            <v>0</v>
          </cell>
          <cell r="Z2913">
            <v>0</v>
          </cell>
          <cell r="AA2913">
            <v>0</v>
          </cell>
          <cell r="AC2913">
            <v>0</v>
          </cell>
          <cell r="AD2913">
            <v>0</v>
          </cell>
          <cell r="AF2913">
            <v>0</v>
          </cell>
          <cell r="AG2913">
            <v>0</v>
          </cell>
          <cell r="AI2913">
            <v>0</v>
          </cell>
          <cell r="AJ2913">
            <v>0</v>
          </cell>
          <cell r="AL2913">
            <v>0</v>
          </cell>
          <cell r="AM2913">
            <v>0</v>
          </cell>
          <cell r="AO2913">
            <v>0</v>
          </cell>
          <cell r="AP2913">
            <v>0</v>
          </cell>
          <cell r="AR2913">
            <v>0</v>
          </cell>
          <cell r="AS2913">
            <v>0</v>
          </cell>
          <cell r="BF2913" t="str">
            <v>1000</v>
          </cell>
          <cell r="BG2913" t="str">
            <v>A002</v>
          </cell>
          <cell r="BH2913" t="str">
            <v>GES</v>
          </cell>
        </row>
        <row r="2914">
          <cell r="K2914">
            <v>0</v>
          </cell>
          <cell r="L2914">
            <v>0</v>
          </cell>
          <cell r="N2914">
            <v>0</v>
          </cell>
          <cell r="O2914">
            <v>0</v>
          </cell>
          <cell r="Q2914">
            <v>0</v>
          </cell>
          <cell r="R2914">
            <v>0</v>
          </cell>
          <cell r="T2914">
            <v>0</v>
          </cell>
          <cell r="U2914">
            <v>0</v>
          </cell>
          <cell r="W2914">
            <v>0</v>
          </cell>
          <cell r="X2914">
            <v>0</v>
          </cell>
          <cell r="Z2914">
            <v>0</v>
          </cell>
          <cell r="AA2914">
            <v>0</v>
          </cell>
          <cell r="AC2914">
            <v>0</v>
          </cell>
          <cell r="AD2914">
            <v>0</v>
          </cell>
          <cell r="AF2914">
            <v>0</v>
          </cell>
          <cell r="AG2914">
            <v>0</v>
          </cell>
          <cell r="AI2914">
            <v>0</v>
          </cell>
          <cell r="AJ2914">
            <v>0</v>
          </cell>
          <cell r="AL2914">
            <v>0</v>
          </cell>
          <cell r="AM2914">
            <v>0</v>
          </cell>
          <cell r="AO2914">
            <v>0</v>
          </cell>
          <cell r="AP2914">
            <v>0</v>
          </cell>
          <cell r="AR2914">
            <v>0</v>
          </cell>
          <cell r="AS2914">
            <v>0</v>
          </cell>
          <cell r="BF2914" t="str">
            <v>1000</v>
          </cell>
          <cell r="BG2914" t="str">
            <v>A003</v>
          </cell>
          <cell r="BH2914" t="str">
            <v>GES</v>
          </cell>
        </row>
        <row r="2915">
          <cell r="K2915">
            <v>0</v>
          </cell>
          <cell r="L2915">
            <v>0</v>
          </cell>
          <cell r="N2915">
            <v>0</v>
          </cell>
          <cell r="O2915">
            <v>0</v>
          </cell>
          <cell r="Q2915">
            <v>0</v>
          </cell>
          <cell r="R2915">
            <v>0</v>
          </cell>
          <cell r="T2915">
            <v>0</v>
          </cell>
          <cell r="U2915">
            <v>0</v>
          </cell>
          <cell r="W2915">
            <v>0</v>
          </cell>
          <cell r="X2915">
            <v>0</v>
          </cell>
          <cell r="Z2915">
            <v>0</v>
          </cell>
          <cell r="AA2915">
            <v>0</v>
          </cell>
          <cell r="AC2915">
            <v>0</v>
          </cell>
          <cell r="AD2915">
            <v>0</v>
          </cell>
          <cell r="AF2915">
            <v>0</v>
          </cell>
          <cell r="AG2915">
            <v>0</v>
          </cell>
          <cell r="AI2915">
            <v>0</v>
          </cell>
          <cell r="AJ2915">
            <v>0</v>
          </cell>
          <cell r="AL2915">
            <v>0</v>
          </cell>
          <cell r="AM2915">
            <v>0</v>
          </cell>
          <cell r="AO2915">
            <v>0</v>
          </cell>
          <cell r="AP2915">
            <v>0</v>
          </cell>
          <cell r="AR2915">
            <v>0</v>
          </cell>
          <cell r="AS2915">
            <v>0</v>
          </cell>
          <cell r="BF2915" t="str">
            <v>1000</v>
          </cell>
          <cell r="BG2915" t="str">
            <v>A004</v>
          </cell>
          <cell r="BH2915" t="str">
            <v>GES</v>
          </cell>
        </row>
        <row r="2916">
          <cell r="K2916">
            <v>0</v>
          </cell>
          <cell r="L2916">
            <v>0</v>
          </cell>
          <cell r="N2916">
            <v>0</v>
          </cell>
          <cell r="O2916">
            <v>0</v>
          </cell>
          <cell r="Q2916">
            <v>0</v>
          </cell>
          <cell r="R2916">
            <v>0</v>
          </cell>
          <cell r="T2916">
            <v>0</v>
          </cell>
          <cell r="U2916">
            <v>0</v>
          </cell>
          <cell r="W2916">
            <v>0</v>
          </cell>
          <cell r="X2916">
            <v>0</v>
          </cell>
          <cell r="Z2916">
            <v>0</v>
          </cell>
          <cell r="AA2916">
            <v>0</v>
          </cell>
          <cell r="AC2916">
            <v>0</v>
          </cell>
          <cell r="AD2916">
            <v>0</v>
          </cell>
          <cell r="AF2916">
            <v>0</v>
          </cell>
          <cell r="AG2916">
            <v>0</v>
          </cell>
          <cell r="AI2916">
            <v>0</v>
          </cell>
          <cell r="AJ2916">
            <v>0</v>
          </cell>
          <cell r="AL2916">
            <v>0</v>
          </cell>
          <cell r="AM2916">
            <v>0</v>
          </cell>
          <cell r="AO2916">
            <v>0</v>
          </cell>
          <cell r="AP2916">
            <v>0</v>
          </cell>
          <cell r="AR2916">
            <v>0</v>
          </cell>
          <cell r="AS2916">
            <v>0</v>
          </cell>
          <cell r="BF2916" t="str">
            <v>1000</v>
          </cell>
          <cell r="BG2916" t="str">
            <v>A005</v>
          </cell>
          <cell r="BH2916" t="str">
            <v>GES</v>
          </cell>
        </row>
        <row r="2917">
          <cell r="K2917">
            <v>0</v>
          </cell>
          <cell r="L2917">
            <v>0</v>
          </cell>
          <cell r="N2917">
            <v>0</v>
          </cell>
          <cell r="O2917">
            <v>0</v>
          </cell>
          <cell r="Q2917">
            <v>0</v>
          </cell>
          <cell r="R2917">
            <v>0</v>
          </cell>
          <cell r="T2917">
            <v>0</v>
          </cell>
          <cell r="U2917">
            <v>0</v>
          </cell>
          <cell r="W2917">
            <v>0</v>
          </cell>
          <cell r="X2917">
            <v>0</v>
          </cell>
          <cell r="Z2917">
            <v>0</v>
          </cell>
          <cell r="AA2917">
            <v>0</v>
          </cell>
          <cell r="AC2917">
            <v>0</v>
          </cell>
          <cell r="AD2917">
            <v>0</v>
          </cell>
          <cell r="AF2917">
            <v>0</v>
          </cell>
          <cell r="AG2917">
            <v>0</v>
          </cell>
          <cell r="AI2917">
            <v>0</v>
          </cell>
          <cell r="AJ2917">
            <v>0</v>
          </cell>
          <cell r="AL2917">
            <v>0</v>
          </cell>
          <cell r="AM2917">
            <v>0</v>
          </cell>
          <cell r="AO2917">
            <v>0</v>
          </cell>
          <cell r="AP2917">
            <v>0</v>
          </cell>
          <cell r="AR2917">
            <v>0</v>
          </cell>
          <cell r="AS2917">
            <v>0</v>
          </cell>
          <cell r="BF2917" t="str">
            <v>1000</v>
          </cell>
          <cell r="BG2917" t="str">
            <v>A006</v>
          </cell>
          <cell r="BH2917" t="str">
            <v>GES</v>
          </cell>
        </row>
        <row r="2918">
          <cell r="K2918">
            <v>0</v>
          </cell>
          <cell r="L2918">
            <v>0</v>
          </cell>
          <cell r="N2918">
            <v>0</v>
          </cell>
          <cell r="O2918">
            <v>0</v>
          </cell>
          <cell r="Q2918">
            <v>0</v>
          </cell>
          <cell r="R2918">
            <v>0</v>
          </cell>
          <cell r="T2918">
            <v>0</v>
          </cell>
          <cell r="U2918">
            <v>0</v>
          </cell>
          <cell r="W2918">
            <v>0</v>
          </cell>
          <cell r="X2918">
            <v>0</v>
          </cell>
          <cell r="Z2918">
            <v>0</v>
          </cell>
          <cell r="AA2918">
            <v>0</v>
          </cell>
          <cell r="AC2918">
            <v>0</v>
          </cell>
          <cell r="AD2918">
            <v>0</v>
          </cell>
          <cell r="AF2918">
            <v>0</v>
          </cell>
          <cell r="AG2918">
            <v>0</v>
          </cell>
          <cell r="AI2918">
            <v>0</v>
          </cell>
          <cell r="AJ2918">
            <v>0</v>
          </cell>
          <cell r="AL2918">
            <v>0</v>
          </cell>
          <cell r="AM2918">
            <v>0</v>
          </cell>
          <cell r="AO2918">
            <v>0</v>
          </cell>
          <cell r="AP2918">
            <v>0</v>
          </cell>
          <cell r="AR2918">
            <v>0</v>
          </cell>
          <cell r="AS2918">
            <v>0</v>
          </cell>
          <cell r="BF2918" t="str">
            <v>1000</v>
          </cell>
          <cell r="BG2918" t="str">
            <v>A007</v>
          </cell>
          <cell r="BH2918" t="str">
            <v>GES</v>
          </cell>
        </row>
        <row r="2919">
          <cell r="K2919">
            <v>0</v>
          </cell>
          <cell r="L2919">
            <v>0</v>
          </cell>
          <cell r="N2919">
            <v>0</v>
          </cell>
          <cell r="O2919">
            <v>0</v>
          </cell>
          <cell r="Q2919">
            <v>0</v>
          </cell>
          <cell r="R2919">
            <v>0</v>
          </cell>
          <cell r="T2919">
            <v>0</v>
          </cell>
          <cell r="U2919">
            <v>0</v>
          </cell>
          <cell r="W2919">
            <v>0</v>
          </cell>
          <cell r="X2919">
            <v>0</v>
          </cell>
          <cell r="Z2919">
            <v>0</v>
          </cell>
          <cell r="AA2919">
            <v>0</v>
          </cell>
          <cell r="AC2919">
            <v>0</v>
          </cell>
          <cell r="AD2919">
            <v>0</v>
          </cell>
          <cell r="AF2919">
            <v>0</v>
          </cell>
          <cell r="AG2919">
            <v>0</v>
          </cell>
          <cell r="AI2919">
            <v>0</v>
          </cell>
          <cell r="AJ2919">
            <v>0</v>
          </cell>
          <cell r="AL2919">
            <v>0</v>
          </cell>
          <cell r="AM2919">
            <v>0</v>
          </cell>
          <cell r="AO2919">
            <v>0</v>
          </cell>
          <cell r="AP2919">
            <v>0</v>
          </cell>
          <cell r="AR2919">
            <v>0</v>
          </cell>
          <cell r="AS2919">
            <v>0</v>
          </cell>
          <cell r="BF2919" t="str">
            <v>1000</v>
          </cell>
          <cell r="BG2919" t="str">
            <v>A008</v>
          </cell>
          <cell r="BH2919" t="str">
            <v>GES</v>
          </cell>
        </row>
        <row r="2920">
          <cell r="K2920">
            <v>0</v>
          </cell>
          <cell r="L2920">
            <v>0</v>
          </cell>
          <cell r="N2920">
            <v>0</v>
          </cell>
          <cell r="O2920">
            <v>0</v>
          </cell>
          <cell r="Q2920">
            <v>0</v>
          </cell>
          <cell r="R2920">
            <v>0</v>
          </cell>
          <cell r="T2920">
            <v>0</v>
          </cell>
          <cell r="U2920">
            <v>0</v>
          </cell>
          <cell r="W2920">
            <v>0</v>
          </cell>
          <cell r="X2920">
            <v>0</v>
          </cell>
          <cell r="Z2920">
            <v>0</v>
          </cell>
          <cell r="AA2920">
            <v>0</v>
          </cell>
          <cell r="AC2920">
            <v>0</v>
          </cell>
          <cell r="AD2920">
            <v>0</v>
          </cell>
          <cell r="AF2920">
            <v>0</v>
          </cell>
          <cell r="AG2920">
            <v>0</v>
          </cell>
          <cell r="AI2920">
            <v>0</v>
          </cell>
          <cell r="AJ2920">
            <v>0</v>
          </cell>
          <cell r="AL2920">
            <v>0</v>
          </cell>
          <cell r="AM2920">
            <v>0</v>
          </cell>
          <cell r="AO2920">
            <v>0</v>
          </cell>
          <cell r="AP2920">
            <v>0</v>
          </cell>
          <cell r="AR2920">
            <v>0</v>
          </cell>
          <cell r="AS2920">
            <v>0</v>
          </cell>
          <cell r="BF2920" t="str">
            <v>1000</v>
          </cell>
          <cell r="BG2920" t="str">
            <v>A009</v>
          </cell>
          <cell r="BH2920" t="str">
            <v>GES</v>
          </cell>
        </row>
        <row r="2921">
          <cell r="K2921">
            <v>0</v>
          </cell>
          <cell r="L2921">
            <v>0</v>
          </cell>
          <cell r="N2921">
            <v>0</v>
          </cell>
          <cell r="O2921">
            <v>0</v>
          </cell>
          <cell r="Q2921">
            <v>0</v>
          </cell>
          <cell r="R2921">
            <v>0</v>
          </cell>
          <cell r="T2921">
            <v>0</v>
          </cell>
          <cell r="U2921">
            <v>0</v>
          </cell>
          <cell r="W2921">
            <v>0</v>
          </cell>
          <cell r="X2921">
            <v>0</v>
          </cell>
          <cell r="Z2921">
            <v>0</v>
          </cell>
          <cell r="AA2921">
            <v>0</v>
          </cell>
          <cell r="AC2921">
            <v>0</v>
          </cell>
          <cell r="AD2921">
            <v>0</v>
          </cell>
          <cell r="AF2921">
            <v>0</v>
          </cell>
          <cell r="AG2921">
            <v>0</v>
          </cell>
          <cell r="AI2921">
            <v>0</v>
          </cell>
          <cell r="AJ2921">
            <v>0</v>
          </cell>
          <cell r="AL2921">
            <v>0</v>
          </cell>
          <cell r="AM2921">
            <v>0</v>
          </cell>
          <cell r="AO2921">
            <v>0</v>
          </cell>
          <cell r="AP2921">
            <v>0</v>
          </cell>
          <cell r="AR2921">
            <v>0</v>
          </cell>
          <cell r="AS2921">
            <v>0</v>
          </cell>
          <cell r="BF2921" t="str">
            <v>1000</v>
          </cell>
          <cell r="BG2921" t="str">
            <v>A010</v>
          </cell>
          <cell r="BH2921" t="str">
            <v>GES</v>
          </cell>
        </row>
        <row r="2922">
          <cell r="K2922">
            <v>0</v>
          </cell>
          <cell r="L2922">
            <v>0</v>
          </cell>
          <cell r="N2922">
            <v>0</v>
          </cell>
          <cell r="O2922">
            <v>0</v>
          </cell>
          <cell r="Q2922">
            <v>0</v>
          </cell>
          <cell r="R2922">
            <v>0</v>
          </cell>
          <cell r="T2922">
            <v>0</v>
          </cell>
          <cell r="U2922">
            <v>0</v>
          </cell>
          <cell r="W2922">
            <v>0</v>
          </cell>
          <cell r="X2922">
            <v>0</v>
          </cell>
          <cell r="Z2922">
            <v>0</v>
          </cell>
          <cell r="AA2922">
            <v>0</v>
          </cell>
          <cell r="AC2922">
            <v>0</v>
          </cell>
          <cell r="AD2922">
            <v>0</v>
          </cell>
          <cell r="AF2922">
            <v>0</v>
          </cell>
          <cell r="AG2922">
            <v>0</v>
          </cell>
          <cell r="AI2922">
            <v>0</v>
          </cell>
          <cell r="AJ2922">
            <v>0</v>
          </cell>
          <cell r="AL2922">
            <v>0</v>
          </cell>
          <cell r="AM2922">
            <v>0</v>
          </cell>
          <cell r="AO2922">
            <v>0</v>
          </cell>
          <cell r="AP2922">
            <v>0</v>
          </cell>
          <cell r="AR2922">
            <v>0</v>
          </cell>
          <cell r="AS2922">
            <v>0</v>
          </cell>
          <cell r="BF2922" t="str">
            <v>1005</v>
          </cell>
          <cell r="BG2922" t="str">
            <v>A081</v>
          </cell>
          <cell r="BH2922" t="str">
            <v>GES</v>
          </cell>
        </row>
        <row r="2923">
          <cell r="K2923">
            <v>0</v>
          </cell>
          <cell r="L2923">
            <v>0</v>
          </cell>
          <cell r="N2923">
            <v>0</v>
          </cell>
          <cell r="O2923">
            <v>0</v>
          </cell>
          <cell r="Q2923">
            <v>0</v>
          </cell>
          <cell r="R2923">
            <v>0</v>
          </cell>
          <cell r="T2923">
            <v>0</v>
          </cell>
          <cell r="U2923">
            <v>0</v>
          </cell>
          <cell r="W2923">
            <v>0</v>
          </cell>
          <cell r="X2923">
            <v>0</v>
          </cell>
          <cell r="Z2923">
            <v>0</v>
          </cell>
          <cell r="AA2923">
            <v>0</v>
          </cell>
          <cell r="AC2923">
            <v>0</v>
          </cell>
          <cell r="AD2923">
            <v>0</v>
          </cell>
          <cell r="AF2923">
            <v>0</v>
          </cell>
          <cell r="AG2923">
            <v>0</v>
          </cell>
          <cell r="AI2923">
            <v>0</v>
          </cell>
          <cell r="AJ2923">
            <v>0</v>
          </cell>
          <cell r="AL2923">
            <v>0</v>
          </cell>
          <cell r="AM2923">
            <v>0</v>
          </cell>
          <cell r="AO2923">
            <v>0</v>
          </cell>
          <cell r="AP2923">
            <v>0</v>
          </cell>
          <cell r="AR2923">
            <v>0</v>
          </cell>
          <cell r="AS2923">
            <v>0</v>
          </cell>
          <cell r="BF2923" t="str">
            <v>1005</v>
          </cell>
          <cell r="BG2923" t="str">
            <v>A082</v>
          </cell>
          <cell r="BH2923" t="str">
            <v>GES</v>
          </cell>
        </row>
        <row r="2924">
          <cell r="K2924">
            <v>0</v>
          </cell>
          <cell r="L2924">
            <v>0</v>
          </cell>
          <cell r="N2924">
            <v>0</v>
          </cell>
          <cell r="O2924">
            <v>0</v>
          </cell>
          <cell r="Q2924">
            <v>0</v>
          </cell>
          <cell r="R2924">
            <v>0</v>
          </cell>
          <cell r="T2924">
            <v>0</v>
          </cell>
          <cell r="U2924">
            <v>0</v>
          </cell>
          <cell r="W2924">
            <v>0</v>
          </cell>
          <cell r="X2924">
            <v>0</v>
          </cell>
          <cell r="Z2924">
            <v>0</v>
          </cell>
          <cell r="AA2924">
            <v>0</v>
          </cell>
          <cell r="AC2924">
            <v>0</v>
          </cell>
          <cell r="AD2924">
            <v>0</v>
          </cell>
          <cell r="AF2924">
            <v>0</v>
          </cell>
          <cell r="AG2924">
            <v>0</v>
          </cell>
          <cell r="AI2924">
            <v>0</v>
          </cell>
          <cell r="AJ2924">
            <v>0</v>
          </cell>
          <cell r="AL2924">
            <v>0</v>
          </cell>
          <cell r="AM2924">
            <v>0</v>
          </cell>
          <cell r="AO2924">
            <v>0</v>
          </cell>
          <cell r="AP2924">
            <v>0</v>
          </cell>
          <cell r="AR2924">
            <v>0</v>
          </cell>
          <cell r="AS2924">
            <v>0</v>
          </cell>
          <cell r="BF2924" t="str">
            <v>1005</v>
          </cell>
          <cell r="BG2924" t="str">
            <v>A083</v>
          </cell>
          <cell r="BH2924" t="str">
            <v>GES</v>
          </cell>
        </row>
        <row r="2925">
          <cell r="K2925">
            <v>0</v>
          </cell>
          <cell r="L2925">
            <v>0</v>
          </cell>
          <cell r="N2925">
            <v>0</v>
          </cell>
          <cell r="O2925">
            <v>0</v>
          </cell>
          <cell r="Q2925">
            <v>0</v>
          </cell>
          <cell r="R2925">
            <v>0</v>
          </cell>
          <cell r="T2925">
            <v>0</v>
          </cell>
          <cell r="U2925">
            <v>0</v>
          </cell>
          <cell r="W2925">
            <v>0</v>
          </cell>
          <cell r="X2925">
            <v>0</v>
          </cell>
          <cell r="Z2925">
            <v>0</v>
          </cell>
          <cell r="AA2925">
            <v>0</v>
          </cell>
          <cell r="AC2925">
            <v>0</v>
          </cell>
          <cell r="AD2925">
            <v>0</v>
          </cell>
          <cell r="AF2925">
            <v>0</v>
          </cell>
          <cell r="AG2925">
            <v>0</v>
          </cell>
          <cell r="AI2925">
            <v>0</v>
          </cell>
          <cell r="AJ2925">
            <v>0</v>
          </cell>
          <cell r="AL2925">
            <v>0</v>
          </cell>
          <cell r="AM2925">
            <v>0</v>
          </cell>
          <cell r="AO2925">
            <v>0</v>
          </cell>
          <cell r="AP2925">
            <v>0</v>
          </cell>
          <cell r="AR2925">
            <v>0</v>
          </cell>
          <cell r="AS2925">
            <v>0</v>
          </cell>
          <cell r="BF2925" t="str">
            <v>1005</v>
          </cell>
          <cell r="BG2925" t="str">
            <v>A084</v>
          </cell>
          <cell r="BH2925" t="str">
            <v>GES</v>
          </cell>
        </row>
        <row r="2926">
          <cell r="K2926">
            <v>0</v>
          </cell>
          <cell r="L2926">
            <v>0</v>
          </cell>
          <cell r="N2926">
            <v>0</v>
          </cell>
          <cell r="O2926">
            <v>0</v>
          </cell>
          <cell r="Q2926">
            <v>0</v>
          </cell>
          <cell r="R2926">
            <v>0</v>
          </cell>
          <cell r="T2926">
            <v>0</v>
          </cell>
          <cell r="U2926">
            <v>0</v>
          </cell>
          <cell r="W2926">
            <v>0</v>
          </cell>
          <cell r="X2926">
            <v>0</v>
          </cell>
          <cell r="Z2926">
            <v>0</v>
          </cell>
          <cell r="AA2926">
            <v>0</v>
          </cell>
          <cell r="AC2926">
            <v>0</v>
          </cell>
          <cell r="AD2926">
            <v>0</v>
          </cell>
          <cell r="AF2926">
            <v>0</v>
          </cell>
          <cell r="AG2926">
            <v>0</v>
          </cell>
          <cell r="AI2926">
            <v>0</v>
          </cell>
          <cell r="AJ2926">
            <v>0</v>
          </cell>
          <cell r="AL2926">
            <v>0</v>
          </cell>
          <cell r="AM2926">
            <v>0</v>
          </cell>
          <cell r="AO2926">
            <v>0</v>
          </cell>
          <cell r="AP2926">
            <v>0</v>
          </cell>
          <cell r="AR2926">
            <v>0</v>
          </cell>
          <cell r="AS2926">
            <v>0</v>
          </cell>
          <cell r="BF2926" t="str">
            <v>1005</v>
          </cell>
          <cell r="BG2926" t="str">
            <v>A085</v>
          </cell>
          <cell r="BH2926" t="str">
            <v>GES</v>
          </cell>
        </row>
        <row r="2927">
          <cell r="K2927">
            <v>0</v>
          </cell>
          <cell r="L2927">
            <v>0</v>
          </cell>
          <cell r="N2927">
            <v>0</v>
          </cell>
          <cell r="O2927">
            <v>0</v>
          </cell>
          <cell r="Q2927">
            <v>0</v>
          </cell>
          <cell r="R2927">
            <v>0</v>
          </cell>
          <cell r="T2927">
            <v>0</v>
          </cell>
          <cell r="U2927">
            <v>0</v>
          </cell>
          <cell r="W2927">
            <v>0</v>
          </cell>
          <cell r="X2927">
            <v>0</v>
          </cell>
          <cell r="Z2927">
            <v>0</v>
          </cell>
          <cell r="AA2927">
            <v>0</v>
          </cell>
          <cell r="AC2927">
            <v>0</v>
          </cell>
          <cell r="AD2927">
            <v>0</v>
          </cell>
          <cell r="AF2927">
            <v>0</v>
          </cell>
          <cell r="AG2927">
            <v>0</v>
          </cell>
          <cell r="AI2927">
            <v>0</v>
          </cell>
          <cell r="AJ2927">
            <v>0</v>
          </cell>
          <cell r="AL2927">
            <v>0</v>
          </cell>
          <cell r="AM2927">
            <v>0</v>
          </cell>
          <cell r="AO2927">
            <v>0</v>
          </cell>
          <cell r="AP2927">
            <v>0</v>
          </cell>
          <cell r="AR2927">
            <v>0</v>
          </cell>
          <cell r="AS2927">
            <v>0</v>
          </cell>
          <cell r="BF2927" t="str">
            <v>1005</v>
          </cell>
          <cell r="BG2927" t="str">
            <v>A086</v>
          </cell>
          <cell r="BH2927" t="str">
            <v>GES</v>
          </cell>
        </row>
        <row r="2928">
          <cell r="K2928">
            <v>0</v>
          </cell>
          <cell r="L2928">
            <v>0</v>
          </cell>
          <cell r="N2928">
            <v>0</v>
          </cell>
          <cell r="O2928">
            <v>0</v>
          </cell>
          <cell r="Q2928">
            <v>0</v>
          </cell>
          <cell r="R2928">
            <v>0</v>
          </cell>
          <cell r="T2928">
            <v>0</v>
          </cell>
          <cell r="U2928">
            <v>0</v>
          </cell>
          <cell r="W2928">
            <v>0</v>
          </cell>
          <cell r="X2928">
            <v>0</v>
          </cell>
          <cell r="Z2928">
            <v>0</v>
          </cell>
          <cell r="AA2928">
            <v>0</v>
          </cell>
          <cell r="AC2928">
            <v>0</v>
          </cell>
          <cell r="AD2928">
            <v>0</v>
          </cell>
          <cell r="AF2928">
            <v>0</v>
          </cell>
          <cell r="AG2928">
            <v>0</v>
          </cell>
          <cell r="AI2928">
            <v>0</v>
          </cell>
          <cell r="AJ2928">
            <v>0</v>
          </cell>
          <cell r="AL2928">
            <v>0</v>
          </cell>
          <cell r="AM2928">
            <v>0</v>
          </cell>
          <cell r="AO2928">
            <v>0</v>
          </cell>
          <cell r="AP2928">
            <v>0</v>
          </cell>
          <cell r="AR2928">
            <v>0</v>
          </cell>
          <cell r="AS2928">
            <v>0</v>
          </cell>
          <cell r="BF2928" t="str">
            <v>1008</v>
          </cell>
          <cell r="BG2928" t="str">
            <v>A041</v>
          </cell>
          <cell r="BH2928" t="str">
            <v>GES</v>
          </cell>
        </row>
        <row r="2929">
          <cell r="K2929">
            <v>0</v>
          </cell>
          <cell r="L2929">
            <v>0</v>
          </cell>
          <cell r="N2929">
            <v>0</v>
          </cell>
          <cell r="O2929">
            <v>0</v>
          </cell>
          <cell r="Q2929">
            <v>0</v>
          </cell>
          <cell r="R2929">
            <v>0</v>
          </cell>
          <cell r="T2929">
            <v>0</v>
          </cell>
          <cell r="U2929">
            <v>0</v>
          </cell>
          <cell r="W2929">
            <v>0</v>
          </cell>
          <cell r="X2929">
            <v>0</v>
          </cell>
          <cell r="Z2929">
            <v>0</v>
          </cell>
          <cell r="AA2929">
            <v>0</v>
          </cell>
          <cell r="AC2929">
            <v>0</v>
          </cell>
          <cell r="AD2929">
            <v>0</v>
          </cell>
          <cell r="AF2929">
            <v>0</v>
          </cell>
          <cell r="AG2929">
            <v>0</v>
          </cell>
          <cell r="AI2929">
            <v>0</v>
          </cell>
          <cell r="AJ2929">
            <v>0</v>
          </cell>
          <cell r="AL2929">
            <v>0</v>
          </cell>
          <cell r="AM2929">
            <v>0</v>
          </cell>
          <cell r="AO2929">
            <v>0</v>
          </cell>
          <cell r="AP2929">
            <v>0</v>
          </cell>
          <cell r="AR2929">
            <v>0</v>
          </cell>
          <cell r="AS2929">
            <v>0</v>
          </cell>
          <cell r="BF2929" t="str">
            <v>1008</v>
          </cell>
          <cell r="BG2929" t="str">
            <v>A042</v>
          </cell>
          <cell r="BH2929" t="str">
            <v>GES</v>
          </cell>
        </row>
        <row r="2930">
          <cell r="K2930">
            <v>0</v>
          </cell>
          <cell r="L2930">
            <v>0</v>
          </cell>
          <cell r="N2930">
            <v>0</v>
          </cell>
          <cell r="O2930">
            <v>0</v>
          </cell>
          <cell r="Q2930">
            <v>0</v>
          </cell>
          <cell r="R2930">
            <v>0</v>
          </cell>
          <cell r="T2930">
            <v>0</v>
          </cell>
          <cell r="U2930">
            <v>0</v>
          </cell>
          <cell r="W2930">
            <v>0</v>
          </cell>
          <cell r="X2930">
            <v>0</v>
          </cell>
          <cell r="Z2930">
            <v>0</v>
          </cell>
          <cell r="AA2930">
            <v>0</v>
          </cell>
          <cell r="AC2930">
            <v>0</v>
          </cell>
          <cell r="AD2930">
            <v>0</v>
          </cell>
          <cell r="AF2930">
            <v>0</v>
          </cell>
          <cell r="AG2930">
            <v>0</v>
          </cell>
          <cell r="AI2930">
            <v>0</v>
          </cell>
          <cell r="AJ2930">
            <v>0</v>
          </cell>
          <cell r="AL2930">
            <v>0</v>
          </cell>
          <cell r="AM2930">
            <v>0</v>
          </cell>
          <cell r="AO2930">
            <v>0</v>
          </cell>
          <cell r="AP2930">
            <v>0</v>
          </cell>
          <cell r="AR2930">
            <v>0</v>
          </cell>
          <cell r="AS2930">
            <v>0</v>
          </cell>
          <cell r="BF2930" t="str">
            <v>1008</v>
          </cell>
          <cell r="BG2930" t="str">
            <v>A043</v>
          </cell>
          <cell r="BH2930" t="str">
            <v>GES</v>
          </cell>
        </row>
        <row r="2931">
          <cell r="K2931">
            <v>0</v>
          </cell>
          <cell r="L2931">
            <v>0</v>
          </cell>
          <cell r="N2931">
            <v>0</v>
          </cell>
          <cell r="O2931">
            <v>0</v>
          </cell>
          <cell r="Q2931">
            <v>0</v>
          </cell>
          <cell r="R2931">
            <v>0</v>
          </cell>
          <cell r="T2931">
            <v>0</v>
          </cell>
          <cell r="U2931">
            <v>0</v>
          </cell>
          <cell r="W2931">
            <v>0</v>
          </cell>
          <cell r="X2931">
            <v>0</v>
          </cell>
          <cell r="Z2931">
            <v>0</v>
          </cell>
          <cell r="AA2931">
            <v>0</v>
          </cell>
          <cell r="AC2931">
            <v>0</v>
          </cell>
          <cell r="AD2931">
            <v>0</v>
          </cell>
          <cell r="AF2931">
            <v>0</v>
          </cell>
          <cell r="AG2931">
            <v>0</v>
          </cell>
          <cell r="AI2931">
            <v>0</v>
          </cell>
          <cell r="AJ2931">
            <v>0</v>
          </cell>
          <cell r="AL2931">
            <v>0</v>
          </cell>
          <cell r="AM2931">
            <v>0</v>
          </cell>
          <cell r="AO2931">
            <v>0</v>
          </cell>
          <cell r="AP2931">
            <v>0</v>
          </cell>
          <cell r="AR2931">
            <v>0</v>
          </cell>
          <cell r="AS2931">
            <v>0</v>
          </cell>
          <cell r="BF2931" t="str">
            <v>1008</v>
          </cell>
          <cell r="BG2931" t="str">
            <v>A044</v>
          </cell>
          <cell r="BH2931" t="str">
            <v>GES</v>
          </cell>
        </row>
        <row r="2932">
          <cell r="K2932">
            <v>0</v>
          </cell>
          <cell r="L2932">
            <v>0</v>
          </cell>
          <cell r="N2932">
            <v>0</v>
          </cell>
          <cell r="O2932">
            <v>0</v>
          </cell>
          <cell r="Q2932">
            <v>0</v>
          </cell>
          <cell r="R2932">
            <v>0</v>
          </cell>
          <cell r="T2932">
            <v>0</v>
          </cell>
          <cell r="U2932">
            <v>0</v>
          </cell>
          <cell r="W2932">
            <v>0</v>
          </cell>
          <cell r="X2932">
            <v>0</v>
          </cell>
          <cell r="Z2932">
            <v>0</v>
          </cell>
          <cell r="AA2932">
            <v>0</v>
          </cell>
          <cell r="AC2932">
            <v>0</v>
          </cell>
          <cell r="AD2932">
            <v>0</v>
          </cell>
          <cell r="AF2932">
            <v>0</v>
          </cell>
          <cell r="AG2932">
            <v>0</v>
          </cell>
          <cell r="AI2932">
            <v>0</v>
          </cell>
          <cell r="AJ2932">
            <v>0</v>
          </cell>
          <cell r="AL2932">
            <v>0</v>
          </cell>
          <cell r="AM2932">
            <v>0</v>
          </cell>
          <cell r="AO2932">
            <v>0</v>
          </cell>
          <cell r="AP2932">
            <v>0</v>
          </cell>
          <cell r="AR2932">
            <v>0</v>
          </cell>
          <cell r="AS2932">
            <v>0</v>
          </cell>
          <cell r="BF2932" t="str">
            <v>1009</v>
          </cell>
          <cell r="BG2932" t="str">
            <v>A061</v>
          </cell>
          <cell r="BH2932" t="str">
            <v>GES</v>
          </cell>
        </row>
        <row r="2933">
          <cell r="K2933">
            <v>0</v>
          </cell>
          <cell r="L2933">
            <v>0</v>
          </cell>
          <cell r="N2933">
            <v>0</v>
          </cell>
          <cell r="O2933">
            <v>0</v>
          </cell>
          <cell r="Q2933">
            <v>0</v>
          </cell>
          <cell r="R2933">
            <v>0</v>
          </cell>
          <cell r="T2933">
            <v>0</v>
          </cell>
          <cell r="U2933">
            <v>0</v>
          </cell>
          <cell r="W2933">
            <v>0</v>
          </cell>
          <cell r="X2933">
            <v>0</v>
          </cell>
          <cell r="Z2933">
            <v>0</v>
          </cell>
          <cell r="AA2933">
            <v>0</v>
          </cell>
          <cell r="AC2933">
            <v>0</v>
          </cell>
          <cell r="AD2933">
            <v>0</v>
          </cell>
          <cell r="AF2933">
            <v>0</v>
          </cell>
          <cell r="AG2933">
            <v>0</v>
          </cell>
          <cell r="AI2933">
            <v>0</v>
          </cell>
          <cell r="AJ2933">
            <v>0</v>
          </cell>
          <cell r="AL2933">
            <v>0</v>
          </cell>
          <cell r="AM2933">
            <v>0</v>
          </cell>
          <cell r="AO2933">
            <v>0</v>
          </cell>
          <cell r="AP2933">
            <v>0</v>
          </cell>
          <cell r="AR2933">
            <v>0</v>
          </cell>
          <cell r="AS2933">
            <v>0</v>
          </cell>
          <cell r="BF2933" t="str">
            <v>1009</v>
          </cell>
          <cell r="BG2933" t="str">
            <v>A062</v>
          </cell>
          <cell r="BH2933" t="str">
            <v>GES</v>
          </cell>
        </row>
        <row r="2934">
          <cell r="K2934">
            <v>0</v>
          </cell>
          <cell r="L2934">
            <v>0</v>
          </cell>
          <cell r="N2934">
            <v>0</v>
          </cell>
          <cell r="O2934">
            <v>0</v>
          </cell>
          <cell r="Q2934">
            <v>0</v>
          </cell>
          <cell r="R2934">
            <v>0</v>
          </cell>
          <cell r="T2934">
            <v>0</v>
          </cell>
          <cell r="U2934">
            <v>0</v>
          </cell>
          <cell r="W2934">
            <v>0</v>
          </cell>
          <cell r="X2934">
            <v>0</v>
          </cell>
          <cell r="Z2934">
            <v>0</v>
          </cell>
          <cell r="AA2934">
            <v>0</v>
          </cell>
          <cell r="AC2934">
            <v>0</v>
          </cell>
          <cell r="AD2934">
            <v>0</v>
          </cell>
          <cell r="AF2934">
            <v>0</v>
          </cell>
          <cell r="AG2934">
            <v>0</v>
          </cell>
          <cell r="AI2934">
            <v>0</v>
          </cell>
          <cell r="AJ2934">
            <v>0</v>
          </cell>
          <cell r="AL2934">
            <v>0</v>
          </cell>
          <cell r="AM2934">
            <v>0</v>
          </cell>
          <cell r="AO2934">
            <v>0</v>
          </cell>
          <cell r="AP2934">
            <v>0</v>
          </cell>
          <cell r="AR2934">
            <v>0</v>
          </cell>
          <cell r="AS2934">
            <v>0</v>
          </cell>
          <cell r="BF2934" t="str">
            <v>1009</v>
          </cell>
          <cell r="BG2934" t="str">
            <v>A063</v>
          </cell>
          <cell r="BH2934" t="str">
            <v>GES</v>
          </cell>
        </row>
        <row r="2935">
          <cell r="K2935">
            <v>0</v>
          </cell>
          <cell r="L2935">
            <v>0</v>
          </cell>
          <cell r="N2935">
            <v>0</v>
          </cell>
          <cell r="O2935">
            <v>0</v>
          </cell>
          <cell r="Q2935">
            <v>0</v>
          </cell>
          <cell r="R2935">
            <v>0</v>
          </cell>
          <cell r="T2935">
            <v>0</v>
          </cell>
          <cell r="U2935">
            <v>0</v>
          </cell>
          <cell r="W2935">
            <v>0</v>
          </cell>
          <cell r="X2935">
            <v>0</v>
          </cell>
          <cell r="Z2935">
            <v>0</v>
          </cell>
          <cell r="AA2935">
            <v>0</v>
          </cell>
          <cell r="AC2935">
            <v>0</v>
          </cell>
          <cell r="AD2935">
            <v>0</v>
          </cell>
          <cell r="AF2935">
            <v>0</v>
          </cell>
          <cell r="AG2935">
            <v>0</v>
          </cell>
          <cell r="AI2935">
            <v>0</v>
          </cell>
          <cell r="AJ2935">
            <v>0</v>
          </cell>
          <cell r="AL2935">
            <v>0</v>
          </cell>
          <cell r="AM2935">
            <v>0</v>
          </cell>
          <cell r="AO2935">
            <v>0</v>
          </cell>
          <cell r="AP2935">
            <v>0</v>
          </cell>
          <cell r="AR2935">
            <v>0</v>
          </cell>
          <cell r="AS2935">
            <v>0</v>
          </cell>
          <cell r="BF2935" t="str">
            <v>1009</v>
          </cell>
          <cell r="BG2935" t="str">
            <v>A064</v>
          </cell>
          <cell r="BH2935" t="str">
            <v>GES</v>
          </cell>
        </row>
        <row r="2936">
          <cell r="K2936">
            <v>0</v>
          </cell>
          <cell r="L2936">
            <v>0</v>
          </cell>
          <cell r="N2936">
            <v>0</v>
          </cell>
          <cell r="O2936">
            <v>0</v>
          </cell>
          <cell r="Q2936">
            <v>0</v>
          </cell>
          <cell r="R2936">
            <v>0</v>
          </cell>
          <cell r="T2936">
            <v>0</v>
          </cell>
          <cell r="U2936">
            <v>0</v>
          </cell>
          <cell r="W2936">
            <v>0</v>
          </cell>
          <cell r="X2936">
            <v>0</v>
          </cell>
          <cell r="Z2936">
            <v>0</v>
          </cell>
          <cell r="AA2936">
            <v>0</v>
          </cell>
          <cell r="AC2936">
            <v>0</v>
          </cell>
          <cell r="AD2936">
            <v>0</v>
          </cell>
          <cell r="AF2936">
            <v>0</v>
          </cell>
          <cell r="AG2936">
            <v>0</v>
          </cell>
          <cell r="AI2936">
            <v>0</v>
          </cell>
          <cell r="AJ2936">
            <v>0</v>
          </cell>
          <cell r="AL2936">
            <v>0</v>
          </cell>
          <cell r="AM2936">
            <v>0</v>
          </cell>
          <cell r="AO2936">
            <v>0</v>
          </cell>
          <cell r="AP2936">
            <v>0</v>
          </cell>
          <cell r="AR2936">
            <v>0</v>
          </cell>
          <cell r="AS2936">
            <v>0</v>
          </cell>
          <cell r="BF2936" t="str">
            <v>1009</v>
          </cell>
          <cell r="BG2936" t="str">
            <v>A065</v>
          </cell>
          <cell r="BH2936" t="str">
            <v>GES</v>
          </cell>
        </row>
        <row r="2937">
          <cell r="K2937">
            <v>0</v>
          </cell>
          <cell r="L2937">
            <v>0</v>
          </cell>
          <cell r="N2937">
            <v>0</v>
          </cell>
          <cell r="O2937">
            <v>0</v>
          </cell>
          <cell r="Q2937">
            <v>0</v>
          </cell>
          <cell r="R2937">
            <v>0</v>
          </cell>
          <cell r="T2937">
            <v>0</v>
          </cell>
          <cell r="U2937">
            <v>0</v>
          </cell>
          <cell r="W2937">
            <v>0</v>
          </cell>
          <cell r="X2937">
            <v>0</v>
          </cell>
          <cell r="Z2937">
            <v>0</v>
          </cell>
          <cell r="AA2937">
            <v>0</v>
          </cell>
          <cell r="AC2937">
            <v>0</v>
          </cell>
          <cell r="AD2937">
            <v>0</v>
          </cell>
          <cell r="AF2937">
            <v>0</v>
          </cell>
          <cell r="AG2937">
            <v>0</v>
          </cell>
          <cell r="AI2937">
            <v>0</v>
          </cell>
          <cell r="AJ2937">
            <v>0</v>
          </cell>
          <cell r="AL2937">
            <v>0</v>
          </cell>
          <cell r="AM2937">
            <v>0</v>
          </cell>
          <cell r="AO2937">
            <v>0</v>
          </cell>
          <cell r="AP2937">
            <v>0</v>
          </cell>
          <cell r="AR2937">
            <v>0</v>
          </cell>
          <cell r="AS2937">
            <v>0</v>
          </cell>
          <cell r="BF2937" t="str">
            <v>2001</v>
          </cell>
          <cell r="BG2937" t="str">
            <v>B001</v>
          </cell>
          <cell r="BH2937" t="str">
            <v>GES</v>
          </cell>
        </row>
        <row r="2938">
          <cell r="K2938">
            <v>0</v>
          </cell>
          <cell r="L2938">
            <v>0</v>
          </cell>
          <cell r="N2938">
            <v>0</v>
          </cell>
          <cell r="O2938">
            <v>0</v>
          </cell>
          <cell r="Q2938">
            <v>0</v>
          </cell>
          <cell r="R2938">
            <v>0</v>
          </cell>
          <cell r="T2938">
            <v>0</v>
          </cell>
          <cell r="U2938">
            <v>0</v>
          </cell>
          <cell r="W2938">
            <v>0</v>
          </cell>
          <cell r="X2938">
            <v>0</v>
          </cell>
          <cell r="Z2938">
            <v>0</v>
          </cell>
          <cell r="AA2938">
            <v>0</v>
          </cell>
          <cell r="AC2938">
            <v>0</v>
          </cell>
          <cell r="AD2938">
            <v>0</v>
          </cell>
          <cell r="AF2938">
            <v>0</v>
          </cell>
          <cell r="AG2938">
            <v>0</v>
          </cell>
          <cell r="AI2938">
            <v>2450.4900000000002</v>
          </cell>
          <cell r="AJ2938">
            <v>0</v>
          </cell>
          <cell r="AL2938">
            <v>1112.56</v>
          </cell>
          <cell r="AM2938">
            <v>0</v>
          </cell>
          <cell r="AO2938">
            <v>1226.79</v>
          </cell>
          <cell r="AP2938">
            <v>0</v>
          </cell>
          <cell r="AR2938">
            <v>1547.33</v>
          </cell>
          <cell r="AS2938">
            <v>0</v>
          </cell>
          <cell r="BF2938" t="str">
            <v>2001</v>
          </cell>
          <cell r="BG2938" t="str">
            <v>B002</v>
          </cell>
          <cell r="BH2938" t="str">
            <v>GES</v>
          </cell>
        </row>
        <row r="2939">
          <cell r="K2939">
            <v>0</v>
          </cell>
          <cell r="L2939">
            <v>0</v>
          </cell>
          <cell r="N2939">
            <v>0</v>
          </cell>
          <cell r="O2939">
            <v>0</v>
          </cell>
          <cell r="Q2939">
            <v>0</v>
          </cell>
          <cell r="R2939">
            <v>0</v>
          </cell>
          <cell r="T2939">
            <v>0</v>
          </cell>
          <cell r="U2939">
            <v>0</v>
          </cell>
          <cell r="W2939">
            <v>0</v>
          </cell>
          <cell r="X2939">
            <v>0</v>
          </cell>
          <cell r="Z2939">
            <v>0</v>
          </cell>
          <cell r="AA2939">
            <v>0</v>
          </cell>
          <cell r="AC2939">
            <v>0</v>
          </cell>
          <cell r="AD2939">
            <v>0</v>
          </cell>
          <cell r="AF2939">
            <v>0</v>
          </cell>
          <cell r="AG2939">
            <v>0</v>
          </cell>
          <cell r="AI2939">
            <v>0</v>
          </cell>
          <cell r="AJ2939">
            <v>0</v>
          </cell>
          <cell r="AL2939">
            <v>0</v>
          </cell>
          <cell r="AM2939">
            <v>0</v>
          </cell>
          <cell r="AO2939">
            <v>0</v>
          </cell>
          <cell r="AP2939">
            <v>0</v>
          </cell>
          <cell r="AR2939">
            <v>0</v>
          </cell>
          <cell r="AS2939">
            <v>0</v>
          </cell>
          <cell r="BF2939" t="str">
            <v>2001</v>
          </cell>
          <cell r="BG2939" t="str">
            <v>B003</v>
          </cell>
          <cell r="BH2939" t="str">
            <v>GES</v>
          </cell>
        </row>
        <row r="2940">
          <cell r="K2940">
            <v>0</v>
          </cell>
          <cell r="L2940">
            <v>0</v>
          </cell>
          <cell r="N2940">
            <v>0</v>
          </cell>
          <cell r="O2940">
            <v>0</v>
          </cell>
          <cell r="Q2940">
            <v>0</v>
          </cell>
          <cell r="R2940">
            <v>0</v>
          </cell>
          <cell r="T2940">
            <v>0</v>
          </cell>
          <cell r="U2940">
            <v>0</v>
          </cell>
          <cell r="W2940">
            <v>0</v>
          </cell>
          <cell r="X2940">
            <v>0</v>
          </cell>
          <cell r="Z2940">
            <v>0</v>
          </cell>
          <cell r="AA2940">
            <v>0</v>
          </cell>
          <cell r="AC2940">
            <v>0</v>
          </cell>
          <cell r="AD2940">
            <v>0</v>
          </cell>
          <cell r="AF2940">
            <v>0.41</v>
          </cell>
          <cell r="AG2940">
            <v>0</v>
          </cell>
          <cell r="AI2940">
            <v>0</v>
          </cell>
          <cell r="AJ2940">
            <v>0</v>
          </cell>
          <cell r="AL2940">
            <v>0</v>
          </cell>
          <cell r="AM2940">
            <v>0</v>
          </cell>
          <cell r="AO2940">
            <v>0</v>
          </cell>
          <cell r="AP2940">
            <v>0</v>
          </cell>
          <cell r="AR2940">
            <v>0</v>
          </cell>
          <cell r="AS2940">
            <v>0</v>
          </cell>
          <cell r="BF2940" t="str">
            <v>2001</v>
          </cell>
          <cell r="BG2940" t="str">
            <v>B004</v>
          </cell>
          <cell r="BH2940" t="str">
            <v>GES</v>
          </cell>
        </row>
        <row r="2941">
          <cell r="K2941">
            <v>0</v>
          </cell>
          <cell r="L2941">
            <v>0</v>
          </cell>
          <cell r="N2941">
            <v>0</v>
          </cell>
          <cell r="O2941">
            <v>0</v>
          </cell>
          <cell r="Q2941">
            <v>0</v>
          </cell>
          <cell r="R2941">
            <v>0</v>
          </cell>
          <cell r="T2941">
            <v>0</v>
          </cell>
          <cell r="U2941">
            <v>0</v>
          </cell>
          <cell r="W2941">
            <v>0</v>
          </cell>
          <cell r="X2941">
            <v>0</v>
          </cell>
          <cell r="Z2941">
            <v>0</v>
          </cell>
          <cell r="AA2941">
            <v>0</v>
          </cell>
          <cell r="AC2941">
            <v>0</v>
          </cell>
          <cell r="AD2941">
            <v>0</v>
          </cell>
          <cell r="AF2941">
            <v>0</v>
          </cell>
          <cell r="AG2941">
            <v>0</v>
          </cell>
          <cell r="AI2941">
            <v>0</v>
          </cell>
          <cell r="AJ2941">
            <v>0</v>
          </cell>
          <cell r="AL2941">
            <v>0</v>
          </cell>
          <cell r="AM2941">
            <v>0</v>
          </cell>
          <cell r="AO2941">
            <v>0</v>
          </cell>
          <cell r="AP2941">
            <v>0</v>
          </cell>
          <cell r="AR2941">
            <v>0</v>
          </cell>
          <cell r="AS2941">
            <v>0</v>
          </cell>
          <cell r="BF2941" t="str">
            <v>2001</v>
          </cell>
          <cell r="BG2941" t="str">
            <v>B005</v>
          </cell>
          <cell r="BH2941" t="str">
            <v>GES</v>
          </cell>
        </row>
        <row r="2942">
          <cell r="K2942">
            <v>0</v>
          </cell>
          <cell r="L2942">
            <v>0</v>
          </cell>
          <cell r="N2942">
            <v>0</v>
          </cell>
          <cell r="O2942">
            <v>0</v>
          </cell>
          <cell r="Q2942">
            <v>0</v>
          </cell>
          <cell r="R2942">
            <v>0</v>
          </cell>
          <cell r="T2942">
            <v>0</v>
          </cell>
          <cell r="U2942">
            <v>0</v>
          </cell>
          <cell r="W2942">
            <v>0</v>
          </cell>
          <cell r="X2942">
            <v>0</v>
          </cell>
          <cell r="Z2942">
            <v>0</v>
          </cell>
          <cell r="AA2942">
            <v>0</v>
          </cell>
          <cell r="AC2942">
            <v>0</v>
          </cell>
          <cell r="AD2942">
            <v>0</v>
          </cell>
          <cell r="AF2942">
            <v>0</v>
          </cell>
          <cell r="AG2942">
            <v>0</v>
          </cell>
          <cell r="AI2942">
            <v>0</v>
          </cell>
          <cell r="AJ2942">
            <v>0</v>
          </cell>
          <cell r="AL2942">
            <v>0</v>
          </cell>
          <cell r="AM2942">
            <v>0</v>
          </cell>
          <cell r="AO2942">
            <v>0</v>
          </cell>
          <cell r="AP2942">
            <v>0</v>
          </cell>
          <cell r="AR2942">
            <v>0</v>
          </cell>
          <cell r="AS2942">
            <v>0</v>
          </cell>
          <cell r="BF2942" t="str">
            <v>2001</v>
          </cell>
          <cell r="BG2942" t="str">
            <v>B006</v>
          </cell>
          <cell r="BH2942" t="str">
            <v>GES</v>
          </cell>
        </row>
        <row r="2943">
          <cell r="K2943">
            <v>0</v>
          </cell>
          <cell r="L2943">
            <v>0</v>
          </cell>
          <cell r="N2943">
            <v>0</v>
          </cell>
          <cell r="O2943">
            <v>0</v>
          </cell>
          <cell r="Q2943">
            <v>0</v>
          </cell>
          <cell r="R2943">
            <v>0</v>
          </cell>
          <cell r="T2943">
            <v>0</v>
          </cell>
          <cell r="U2943">
            <v>0</v>
          </cell>
          <cell r="W2943">
            <v>0</v>
          </cell>
          <cell r="X2943">
            <v>0</v>
          </cell>
          <cell r="Z2943">
            <v>0</v>
          </cell>
          <cell r="AA2943">
            <v>0</v>
          </cell>
          <cell r="AC2943">
            <v>0</v>
          </cell>
          <cell r="AD2943">
            <v>0</v>
          </cell>
          <cell r="AF2943">
            <v>0</v>
          </cell>
          <cell r="AG2943">
            <v>0</v>
          </cell>
          <cell r="AI2943">
            <v>0</v>
          </cell>
          <cell r="AJ2943">
            <v>0</v>
          </cell>
          <cell r="AL2943">
            <v>0</v>
          </cell>
          <cell r="AM2943">
            <v>0</v>
          </cell>
          <cell r="AO2943">
            <v>0</v>
          </cell>
          <cell r="AP2943">
            <v>0</v>
          </cell>
          <cell r="AR2943">
            <v>0</v>
          </cell>
          <cell r="AS2943">
            <v>0</v>
          </cell>
          <cell r="BF2943" t="str">
            <v>2002</v>
          </cell>
          <cell r="BG2943" t="str">
            <v>B501</v>
          </cell>
          <cell r="BH2943" t="str">
            <v>GES</v>
          </cell>
        </row>
        <row r="2944">
          <cell r="K2944">
            <v>0</v>
          </cell>
          <cell r="L2944">
            <v>0</v>
          </cell>
          <cell r="N2944">
            <v>0</v>
          </cell>
          <cell r="O2944">
            <v>0</v>
          </cell>
          <cell r="Q2944">
            <v>0</v>
          </cell>
          <cell r="R2944">
            <v>0</v>
          </cell>
          <cell r="T2944">
            <v>0</v>
          </cell>
          <cell r="U2944">
            <v>0</v>
          </cell>
          <cell r="W2944">
            <v>0</v>
          </cell>
          <cell r="X2944">
            <v>0</v>
          </cell>
          <cell r="Z2944">
            <v>0</v>
          </cell>
          <cell r="AA2944">
            <v>0</v>
          </cell>
          <cell r="AC2944">
            <v>0</v>
          </cell>
          <cell r="AD2944">
            <v>0</v>
          </cell>
          <cell r="AF2944">
            <v>459.26</v>
          </cell>
          <cell r="AG2944">
            <v>0</v>
          </cell>
          <cell r="AI2944">
            <v>-459.26000000000005</v>
          </cell>
          <cell r="AJ2944">
            <v>0</v>
          </cell>
          <cell r="AL2944">
            <v>0</v>
          </cell>
          <cell r="AM2944">
            <v>0</v>
          </cell>
          <cell r="AO2944">
            <v>0</v>
          </cell>
          <cell r="AP2944">
            <v>0</v>
          </cell>
          <cell r="AR2944">
            <v>0</v>
          </cell>
          <cell r="AS2944">
            <v>0</v>
          </cell>
          <cell r="BF2944" t="str">
            <v>2008</v>
          </cell>
          <cell r="BG2944" t="str">
            <v>Z000</v>
          </cell>
          <cell r="BH2944" t="str">
            <v>GES</v>
          </cell>
        </row>
        <row r="2945">
          <cell r="K2945">
            <v>0</v>
          </cell>
          <cell r="L2945">
            <v>0</v>
          </cell>
          <cell r="N2945">
            <v>0</v>
          </cell>
          <cell r="O2945">
            <v>0</v>
          </cell>
          <cell r="Q2945">
            <v>0</v>
          </cell>
          <cell r="R2945">
            <v>0</v>
          </cell>
          <cell r="T2945">
            <v>0</v>
          </cell>
          <cell r="U2945">
            <v>0</v>
          </cell>
          <cell r="W2945">
            <v>0</v>
          </cell>
          <cell r="X2945">
            <v>0</v>
          </cell>
          <cell r="Z2945">
            <v>0</v>
          </cell>
          <cell r="AA2945">
            <v>0</v>
          </cell>
          <cell r="AC2945">
            <v>0</v>
          </cell>
          <cell r="AD2945">
            <v>0</v>
          </cell>
          <cell r="AF2945">
            <v>0</v>
          </cell>
          <cell r="AG2945">
            <v>0</v>
          </cell>
          <cell r="AI2945">
            <v>0</v>
          </cell>
          <cell r="AJ2945">
            <v>0</v>
          </cell>
          <cell r="AL2945">
            <v>2403.3200000000002</v>
          </cell>
          <cell r="AM2945">
            <v>0</v>
          </cell>
          <cell r="AO2945">
            <v>4331.4600000000009</v>
          </cell>
          <cell r="AP2945">
            <v>0</v>
          </cell>
          <cell r="AR2945">
            <v>1875.5999999999985</v>
          </cell>
          <cell r="AS2945">
            <v>0</v>
          </cell>
          <cell r="BF2945" t="str">
            <v>2010</v>
          </cell>
          <cell r="BG2945" t="str">
            <v>B021</v>
          </cell>
          <cell r="BH2945" t="str">
            <v>GES</v>
          </cell>
        </row>
        <row r="2946">
          <cell r="K2946">
            <v>0</v>
          </cell>
          <cell r="L2946">
            <v>0</v>
          </cell>
          <cell r="N2946">
            <v>0</v>
          </cell>
          <cell r="O2946">
            <v>0</v>
          </cell>
          <cell r="Q2946">
            <v>0</v>
          </cell>
          <cell r="R2946">
            <v>0</v>
          </cell>
          <cell r="T2946">
            <v>0</v>
          </cell>
          <cell r="U2946">
            <v>0</v>
          </cell>
          <cell r="W2946">
            <v>0</v>
          </cell>
          <cell r="X2946">
            <v>0</v>
          </cell>
          <cell r="Z2946">
            <v>0</v>
          </cell>
          <cell r="AA2946">
            <v>0</v>
          </cell>
          <cell r="AC2946">
            <v>0</v>
          </cell>
          <cell r="AD2946">
            <v>0</v>
          </cell>
          <cell r="AF2946">
            <v>0</v>
          </cell>
          <cell r="AG2946">
            <v>0</v>
          </cell>
          <cell r="AI2946">
            <v>0</v>
          </cell>
          <cell r="AJ2946">
            <v>0</v>
          </cell>
          <cell r="AL2946">
            <v>0</v>
          </cell>
          <cell r="AM2946">
            <v>0</v>
          </cell>
          <cell r="AO2946">
            <v>0</v>
          </cell>
          <cell r="AP2946">
            <v>0</v>
          </cell>
          <cell r="AR2946">
            <v>0</v>
          </cell>
          <cell r="AS2946">
            <v>0</v>
          </cell>
          <cell r="BF2946" t="str">
            <v>2010</v>
          </cell>
          <cell r="BG2946" t="str">
            <v>B022</v>
          </cell>
          <cell r="BH2946" t="str">
            <v>GES</v>
          </cell>
        </row>
        <row r="2947">
          <cell r="K2947">
            <v>0</v>
          </cell>
          <cell r="L2947">
            <v>0</v>
          </cell>
          <cell r="N2947">
            <v>0</v>
          </cell>
          <cell r="O2947">
            <v>0</v>
          </cell>
          <cell r="Q2947">
            <v>0</v>
          </cell>
          <cell r="R2947">
            <v>0</v>
          </cell>
          <cell r="T2947">
            <v>0</v>
          </cell>
          <cell r="U2947">
            <v>0</v>
          </cell>
          <cell r="W2947">
            <v>0</v>
          </cell>
          <cell r="X2947">
            <v>0</v>
          </cell>
          <cell r="Z2947">
            <v>0</v>
          </cell>
          <cell r="AA2947">
            <v>0</v>
          </cell>
          <cell r="AC2947">
            <v>0</v>
          </cell>
          <cell r="AD2947">
            <v>0</v>
          </cell>
          <cell r="AF2947">
            <v>0</v>
          </cell>
          <cell r="AG2947">
            <v>0</v>
          </cell>
          <cell r="AI2947">
            <v>0</v>
          </cell>
          <cell r="AJ2947">
            <v>0</v>
          </cell>
          <cell r="AL2947">
            <v>0</v>
          </cell>
          <cell r="AM2947">
            <v>0</v>
          </cell>
          <cell r="AO2947">
            <v>0</v>
          </cell>
          <cell r="AP2947">
            <v>0</v>
          </cell>
          <cell r="AR2947">
            <v>0</v>
          </cell>
          <cell r="AS2947">
            <v>0</v>
          </cell>
          <cell r="BF2947" t="str">
            <v>2010</v>
          </cell>
          <cell r="BG2947" t="str">
            <v>B023</v>
          </cell>
          <cell r="BH2947" t="str">
            <v>GES</v>
          </cell>
        </row>
        <row r="2948">
          <cell r="K2948">
            <v>0</v>
          </cell>
          <cell r="L2948">
            <v>0</v>
          </cell>
          <cell r="N2948">
            <v>0</v>
          </cell>
          <cell r="O2948">
            <v>0</v>
          </cell>
          <cell r="Q2948">
            <v>0</v>
          </cell>
          <cell r="R2948">
            <v>0</v>
          </cell>
          <cell r="T2948">
            <v>0</v>
          </cell>
          <cell r="U2948">
            <v>0</v>
          </cell>
          <cell r="W2948">
            <v>0</v>
          </cell>
          <cell r="X2948">
            <v>0</v>
          </cell>
          <cell r="Z2948">
            <v>0</v>
          </cell>
          <cell r="AA2948">
            <v>0</v>
          </cell>
          <cell r="AC2948">
            <v>0</v>
          </cell>
          <cell r="AD2948">
            <v>0</v>
          </cell>
          <cell r="AF2948">
            <v>0</v>
          </cell>
          <cell r="AG2948">
            <v>0</v>
          </cell>
          <cell r="AI2948">
            <v>0</v>
          </cell>
          <cell r="AJ2948">
            <v>0</v>
          </cell>
          <cell r="AL2948">
            <v>0</v>
          </cell>
          <cell r="AM2948">
            <v>0</v>
          </cell>
          <cell r="AO2948">
            <v>0</v>
          </cell>
          <cell r="AP2948">
            <v>0</v>
          </cell>
          <cell r="AR2948">
            <v>0</v>
          </cell>
          <cell r="AS2948">
            <v>0</v>
          </cell>
          <cell r="BF2948" t="str">
            <v>2010</v>
          </cell>
          <cell r="BG2948" t="str">
            <v>B024</v>
          </cell>
          <cell r="BH2948" t="str">
            <v>GES</v>
          </cell>
        </row>
        <row r="2949">
          <cell r="K2949">
            <v>0</v>
          </cell>
          <cell r="L2949">
            <v>0</v>
          </cell>
          <cell r="N2949">
            <v>0</v>
          </cell>
          <cell r="O2949">
            <v>0</v>
          </cell>
          <cell r="Q2949">
            <v>0</v>
          </cell>
          <cell r="R2949">
            <v>0</v>
          </cell>
          <cell r="T2949">
            <v>0</v>
          </cell>
          <cell r="U2949">
            <v>0</v>
          </cell>
          <cell r="W2949">
            <v>0</v>
          </cell>
          <cell r="X2949">
            <v>0</v>
          </cell>
          <cell r="Z2949">
            <v>0</v>
          </cell>
          <cell r="AA2949">
            <v>0</v>
          </cell>
          <cell r="AC2949">
            <v>0</v>
          </cell>
          <cell r="AD2949">
            <v>0</v>
          </cell>
          <cell r="AF2949">
            <v>0</v>
          </cell>
          <cell r="AG2949">
            <v>0</v>
          </cell>
          <cell r="AI2949">
            <v>3450</v>
          </cell>
          <cell r="AJ2949">
            <v>0</v>
          </cell>
          <cell r="AL2949">
            <v>0</v>
          </cell>
          <cell r="AM2949">
            <v>0</v>
          </cell>
          <cell r="AO2949">
            <v>4306.1000000000004</v>
          </cell>
          <cell r="AP2949">
            <v>0</v>
          </cell>
          <cell r="AR2949">
            <v>4427.0299999999988</v>
          </cell>
          <cell r="AS2949">
            <v>0</v>
          </cell>
          <cell r="BF2949" t="str">
            <v>2015</v>
          </cell>
          <cell r="BG2949" t="str">
            <v>B201</v>
          </cell>
          <cell r="BH2949" t="str">
            <v>GES</v>
          </cell>
        </row>
        <row r="2950">
          <cell r="K2950">
            <v>0</v>
          </cell>
          <cell r="L2950">
            <v>0</v>
          </cell>
          <cell r="N2950">
            <v>0</v>
          </cell>
          <cell r="O2950">
            <v>0</v>
          </cell>
          <cell r="Q2950">
            <v>0</v>
          </cell>
          <cell r="R2950">
            <v>0</v>
          </cell>
          <cell r="T2950">
            <v>0</v>
          </cell>
          <cell r="U2950">
            <v>0</v>
          </cell>
          <cell r="W2950">
            <v>0</v>
          </cell>
          <cell r="X2950">
            <v>0</v>
          </cell>
          <cell r="Z2950">
            <v>0</v>
          </cell>
          <cell r="AA2950">
            <v>0</v>
          </cell>
          <cell r="AC2950">
            <v>0</v>
          </cell>
          <cell r="AD2950">
            <v>0</v>
          </cell>
          <cell r="AF2950">
            <v>0</v>
          </cell>
          <cell r="AG2950">
            <v>0</v>
          </cell>
          <cell r="AI2950">
            <v>7617</v>
          </cell>
          <cell r="AJ2950">
            <v>0</v>
          </cell>
          <cell r="AL2950">
            <v>0</v>
          </cell>
          <cell r="AM2950">
            <v>0</v>
          </cell>
          <cell r="AO2950">
            <v>4252.3499999999985</v>
          </cell>
          <cell r="AP2950">
            <v>0</v>
          </cell>
          <cell r="AR2950">
            <v>4417.4900000000016</v>
          </cell>
          <cell r="AS2950">
            <v>0</v>
          </cell>
          <cell r="BF2950" t="str">
            <v>2015</v>
          </cell>
          <cell r="BG2950" t="str">
            <v>B202</v>
          </cell>
          <cell r="BH2950" t="str">
            <v>GES</v>
          </cell>
        </row>
        <row r="2951">
          <cell r="K2951">
            <v>0</v>
          </cell>
          <cell r="L2951">
            <v>0</v>
          </cell>
          <cell r="N2951">
            <v>0</v>
          </cell>
          <cell r="O2951">
            <v>0</v>
          </cell>
          <cell r="Q2951">
            <v>0</v>
          </cell>
          <cell r="R2951">
            <v>0</v>
          </cell>
          <cell r="T2951">
            <v>0</v>
          </cell>
          <cell r="U2951">
            <v>0</v>
          </cell>
          <cell r="W2951">
            <v>0</v>
          </cell>
          <cell r="X2951">
            <v>0</v>
          </cell>
          <cell r="Z2951">
            <v>0</v>
          </cell>
          <cell r="AA2951">
            <v>0</v>
          </cell>
          <cell r="AC2951">
            <v>0</v>
          </cell>
          <cell r="AD2951">
            <v>0</v>
          </cell>
          <cell r="AF2951">
            <v>0</v>
          </cell>
          <cell r="AG2951">
            <v>0</v>
          </cell>
          <cell r="AI2951">
            <v>0</v>
          </cell>
          <cell r="AJ2951">
            <v>0</v>
          </cell>
          <cell r="AL2951">
            <v>0</v>
          </cell>
          <cell r="AM2951">
            <v>0</v>
          </cell>
          <cell r="AO2951">
            <v>0</v>
          </cell>
          <cell r="AP2951">
            <v>0</v>
          </cell>
          <cell r="AR2951">
            <v>0</v>
          </cell>
          <cell r="AS2951">
            <v>0</v>
          </cell>
          <cell r="BF2951" t="str">
            <v>2015</v>
          </cell>
          <cell r="BG2951" t="str">
            <v>B203</v>
          </cell>
          <cell r="BH2951" t="str">
            <v>GES</v>
          </cell>
        </row>
        <row r="2952">
          <cell r="K2952">
            <v>0</v>
          </cell>
          <cell r="L2952">
            <v>0</v>
          </cell>
          <cell r="N2952">
            <v>0</v>
          </cell>
          <cell r="O2952">
            <v>0</v>
          </cell>
          <cell r="Q2952">
            <v>0</v>
          </cell>
          <cell r="R2952">
            <v>0</v>
          </cell>
          <cell r="T2952">
            <v>0</v>
          </cell>
          <cell r="U2952">
            <v>0</v>
          </cell>
          <cell r="W2952">
            <v>0</v>
          </cell>
          <cell r="X2952">
            <v>0</v>
          </cell>
          <cell r="Z2952">
            <v>0</v>
          </cell>
          <cell r="AA2952">
            <v>0</v>
          </cell>
          <cell r="AC2952">
            <v>0</v>
          </cell>
          <cell r="AD2952">
            <v>0</v>
          </cell>
          <cell r="AF2952">
            <v>0</v>
          </cell>
          <cell r="AG2952">
            <v>0</v>
          </cell>
          <cell r="AI2952">
            <v>0</v>
          </cell>
          <cell r="AJ2952">
            <v>0</v>
          </cell>
          <cell r="AL2952">
            <v>0</v>
          </cell>
          <cell r="AM2952">
            <v>0</v>
          </cell>
          <cell r="AO2952">
            <v>0</v>
          </cell>
          <cell r="AP2952">
            <v>0</v>
          </cell>
          <cell r="AR2952">
            <v>0</v>
          </cell>
          <cell r="AS2952">
            <v>0</v>
          </cell>
          <cell r="BF2952" t="str">
            <v>2015</v>
          </cell>
          <cell r="BG2952" t="str">
            <v>B204</v>
          </cell>
          <cell r="BH2952" t="str">
            <v>GES</v>
          </cell>
        </row>
        <row r="2953">
          <cell r="K2953">
            <v>0</v>
          </cell>
          <cell r="L2953">
            <v>0</v>
          </cell>
          <cell r="N2953">
            <v>0</v>
          </cell>
          <cell r="O2953">
            <v>0</v>
          </cell>
          <cell r="Q2953">
            <v>0</v>
          </cell>
          <cell r="R2953">
            <v>0</v>
          </cell>
          <cell r="T2953">
            <v>0</v>
          </cell>
          <cell r="U2953">
            <v>0</v>
          </cell>
          <cell r="W2953">
            <v>0</v>
          </cell>
          <cell r="X2953">
            <v>0</v>
          </cell>
          <cell r="Z2953">
            <v>0</v>
          </cell>
          <cell r="AA2953">
            <v>0</v>
          </cell>
          <cell r="AC2953">
            <v>0</v>
          </cell>
          <cell r="AD2953">
            <v>0</v>
          </cell>
          <cell r="AF2953">
            <v>0</v>
          </cell>
          <cell r="AG2953">
            <v>0</v>
          </cell>
          <cell r="AI2953">
            <v>0</v>
          </cell>
          <cell r="AJ2953">
            <v>0</v>
          </cell>
          <cell r="AL2953">
            <v>0</v>
          </cell>
          <cell r="AM2953">
            <v>0</v>
          </cell>
          <cell r="AO2953">
            <v>0</v>
          </cell>
          <cell r="AP2953">
            <v>0</v>
          </cell>
          <cell r="AR2953">
            <v>0</v>
          </cell>
          <cell r="AS2953">
            <v>0</v>
          </cell>
          <cell r="BF2953" t="str">
            <v>2015</v>
          </cell>
          <cell r="BG2953" t="str">
            <v>B205</v>
          </cell>
          <cell r="BH2953" t="str">
            <v>GES</v>
          </cell>
        </row>
        <row r="2954">
          <cell r="K2954">
            <v>0</v>
          </cell>
          <cell r="L2954">
            <v>0</v>
          </cell>
          <cell r="N2954">
            <v>0</v>
          </cell>
          <cell r="O2954">
            <v>0</v>
          </cell>
          <cell r="Q2954">
            <v>0</v>
          </cell>
          <cell r="R2954">
            <v>0</v>
          </cell>
          <cell r="T2954">
            <v>0</v>
          </cell>
          <cell r="U2954">
            <v>0</v>
          </cell>
          <cell r="W2954">
            <v>0</v>
          </cell>
          <cell r="X2954">
            <v>0</v>
          </cell>
          <cell r="Z2954">
            <v>0</v>
          </cell>
          <cell r="AA2954">
            <v>0</v>
          </cell>
          <cell r="AC2954">
            <v>0</v>
          </cell>
          <cell r="AD2954">
            <v>0</v>
          </cell>
          <cell r="AF2954">
            <v>0</v>
          </cell>
          <cell r="AG2954">
            <v>0</v>
          </cell>
          <cell r="AI2954">
            <v>0</v>
          </cell>
          <cell r="AJ2954">
            <v>0</v>
          </cell>
          <cell r="AL2954">
            <v>0</v>
          </cell>
          <cell r="AM2954">
            <v>0</v>
          </cell>
          <cell r="AO2954">
            <v>0</v>
          </cell>
          <cell r="AP2954">
            <v>0</v>
          </cell>
          <cell r="AR2954">
            <v>0</v>
          </cell>
          <cell r="AS2954">
            <v>0</v>
          </cell>
          <cell r="BF2954" t="str">
            <v>2015</v>
          </cell>
          <cell r="BG2954" t="str">
            <v>B206</v>
          </cell>
          <cell r="BH2954" t="str">
            <v>GES</v>
          </cell>
        </row>
        <row r="2955">
          <cell r="K2955">
            <v>0</v>
          </cell>
          <cell r="L2955">
            <v>0</v>
          </cell>
          <cell r="N2955">
            <v>0</v>
          </cell>
          <cell r="O2955">
            <v>0</v>
          </cell>
          <cell r="Q2955">
            <v>0</v>
          </cell>
          <cell r="R2955">
            <v>0</v>
          </cell>
          <cell r="T2955">
            <v>0</v>
          </cell>
          <cell r="U2955">
            <v>0</v>
          </cell>
          <cell r="W2955">
            <v>0</v>
          </cell>
          <cell r="X2955">
            <v>0</v>
          </cell>
          <cell r="Z2955">
            <v>0</v>
          </cell>
          <cell r="AA2955">
            <v>0</v>
          </cell>
          <cell r="AC2955">
            <v>0</v>
          </cell>
          <cell r="AD2955">
            <v>0</v>
          </cell>
          <cell r="AF2955">
            <v>0</v>
          </cell>
          <cell r="AG2955">
            <v>0</v>
          </cell>
          <cell r="AI2955">
            <v>0</v>
          </cell>
          <cell r="AJ2955">
            <v>0</v>
          </cell>
          <cell r="AL2955">
            <v>0</v>
          </cell>
          <cell r="AM2955">
            <v>0</v>
          </cell>
          <cell r="AO2955">
            <v>0</v>
          </cell>
          <cell r="AP2955">
            <v>0</v>
          </cell>
          <cell r="AR2955">
            <v>0</v>
          </cell>
          <cell r="AS2955">
            <v>0</v>
          </cell>
          <cell r="BF2955" t="str">
            <v>2015</v>
          </cell>
          <cell r="BG2955" t="str">
            <v>B207</v>
          </cell>
          <cell r="BH2955" t="str">
            <v>GES</v>
          </cell>
        </row>
        <row r="2956">
          <cell r="K2956">
            <v>0</v>
          </cell>
          <cell r="L2956">
            <v>0</v>
          </cell>
          <cell r="N2956">
            <v>0</v>
          </cell>
          <cell r="O2956">
            <v>0</v>
          </cell>
          <cell r="Q2956">
            <v>0</v>
          </cell>
          <cell r="R2956">
            <v>0</v>
          </cell>
          <cell r="T2956">
            <v>0</v>
          </cell>
          <cell r="U2956">
            <v>0</v>
          </cell>
          <cell r="W2956">
            <v>0</v>
          </cell>
          <cell r="X2956">
            <v>0</v>
          </cell>
          <cell r="Z2956">
            <v>0</v>
          </cell>
          <cell r="AA2956">
            <v>0</v>
          </cell>
          <cell r="AC2956">
            <v>0</v>
          </cell>
          <cell r="AD2956">
            <v>0</v>
          </cell>
          <cell r="AF2956">
            <v>0</v>
          </cell>
          <cell r="AG2956">
            <v>0</v>
          </cell>
          <cell r="AI2956">
            <v>0</v>
          </cell>
          <cell r="AJ2956">
            <v>0</v>
          </cell>
          <cell r="AL2956">
            <v>0</v>
          </cell>
          <cell r="AM2956">
            <v>0</v>
          </cell>
          <cell r="AO2956">
            <v>0</v>
          </cell>
          <cell r="AP2956">
            <v>0</v>
          </cell>
          <cell r="AR2956">
            <v>0</v>
          </cell>
          <cell r="AS2956">
            <v>0</v>
          </cell>
          <cell r="BF2956" t="str">
            <v>2015</v>
          </cell>
          <cell r="BG2956" t="str">
            <v>B208</v>
          </cell>
          <cell r="BH2956" t="str">
            <v>GES</v>
          </cell>
        </row>
        <row r="2957">
          <cell r="K2957">
            <v>0</v>
          </cell>
          <cell r="L2957">
            <v>0</v>
          </cell>
          <cell r="N2957">
            <v>0</v>
          </cell>
          <cell r="O2957">
            <v>0</v>
          </cell>
          <cell r="Q2957">
            <v>0</v>
          </cell>
          <cell r="R2957">
            <v>0</v>
          </cell>
          <cell r="T2957">
            <v>0</v>
          </cell>
          <cell r="U2957">
            <v>0</v>
          </cell>
          <cell r="W2957">
            <v>0</v>
          </cell>
          <cell r="X2957">
            <v>0</v>
          </cell>
          <cell r="Z2957">
            <v>0</v>
          </cell>
          <cell r="AA2957">
            <v>0</v>
          </cell>
          <cell r="AC2957">
            <v>0</v>
          </cell>
          <cell r="AD2957">
            <v>0</v>
          </cell>
          <cell r="AF2957">
            <v>0</v>
          </cell>
          <cell r="AG2957">
            <v>0</v>
          </cell>
          <cell r="AI2957">
            <v>0</v>
          </cell>
          <cell r="AJ2957">
            <v>0</v>
          </cell>
          <cell r="AL2957">
            <v>0</v>
          </cell>
          <cell r="AM2957">
            <v>0</v>
          </cell>
          <cell r="AO2957">
            <v>0</v>
          </cell>
          <cell r="AP2957">
            <v>0</v>
          </cell>
          <cell r="AR2957">
            <v>0</v>
          </cell>
          <cell r="AS2957">
            <v>0</v>
          </cell>
          <cell r="BF2957" t="str">
            <v>2015</v>
          </cell>
          <cell r="BG2957" t="str">
            <v>B209</v>
          </cell>
          <cell r="BH2957" t="str">
            <v>GES</v>
          </cell>
        </row>
        <row r="2958">
          <cell r="K2958">
            <v>0</v>
          </cell>
          <cell r="L2958">
            <v>0</v>
          </cell>
          <cell r="N2958">
            <v>0</v>
          </cell>
          <cell r="O2958">
            <v>0</v>
          </cell>
          <cell r="Q2958">
            <v>0</v>
          </cell>
          <cell r="R2958">
            <v>0</v>
          </cell>
          <cell r="T2958">
            <v>0</v>
          </cell>
          <cell r="U2958">
            <v>0</v>
          </cell>
          <cell r="W2958">
            <v>0</v>
          </cell>
          <cell r="X2958">
            <v>0</v>
          </cell>
          <cell r="Z2958">
            <v>0</v>
          </cell>
          <cell r="AA2958">
            <v>0</v>
          </cell>
          <cell r="AC2958">
            <v>0</v>
          </cell>
          <cell r="AD2958">
            <v>0</v>
          </cell>
          <cell r="AF2958">
            <v>0</v>
          </cell>
          <cell r="AG2958">
            <v>0</v>
          </cell>
          <cell r="AI2958">
            <v>0</v>
          </cell>
          <cell r="AJ2958">
            <v>0</v>
          </cell>
          <cell r="AL2958">
            <v>0</v>
          </cell>
          <cell r="AM2958">
            <v>0</v>
          </cell>
          <cell r="AO2958">
            <v>0</v>
          </cell>
          <cell r="AP2958">
            <v>0</v>
          </cell>
          <cell r="AR2958">
            <v>0</v>
          </cell>
          <cell r="AS2958">
            <v>0</v>
          </cell>
          <cell r="BF2958" t="str">
            <v>2015</v>
          </cell>
          <cell r="BG2958" t="str">
            <v>B210</v>
          </cell>
          <cell r="BH2958" t="str">
            <v>GES</v>
          </cell>
        </row>
        <row r="2959">
          <cell r="K2959">
            <v>0</v>
          </cell>
          <cell r="L2959">
            <v>0</v>
          </cell>
          <cell r="N2959">
            <v>0</v>
          </cell>
          <cell r="O2959">
            <v>0</v>
          </cell>
          <cell r="Q2959">
            <v>0</v>
          </cell>
          <cell r="R2959">
            <v>0</v>
          </cell>
          <cell r="T2959">
            <v>0</v>
          </cell>
          <cell r="U2959">
            <v>0</v>
          </cell>
          <cell r="W2959">
            <v>0</v>
          </cell>
          <cell r="X2959">
            <v>0</v>
          </cell>
          <cell r="Z2959">
            <v>0</v>
          </cell>
          <cell r="AA2959">
            <v>0</v>
          </cell>
          <cell r="AC2959">
            <v>0</v>
          </cell>
          <cell r="AD2959">
            <v>0</v>
          </cell>
          <cell r="AF2959">
            <v>0</v>
          </cell>
          <cell r="AG2959">
            <v>0</v>
          </cell>
          <cell r="AI2959">
            <v>0</v>
          </cell>
          <cell r="AJ2959">
            <v>0</v>
          </cell>
          <cell r="AL2959">
            <v>0</v>
          </cell>
          <cell r="AM2959">
            <v>0</v>
          </cell>
          <cell r="AO2959">
            <v>0</v>
          </cell>
          <cell r="AP2959">
            <v>0</v>
          </cell>
          <cell r="AR2959">
            <v>0</v>
          </cell>
          <cell r="AS2959">
            <v>0</v>
          </cell>
          <cell r="BF2959" t="str">
            <v>2016</v>
          </cell>
          <cell r="BG2959" t="str">
            <v>B301</v>
          </cell>
          <cell r="BH2959" t="str">
            <v>GES</v>
          </cell>
        </row>
        <row r="2960">
          <cell r="K2960">
            <v>0</v>
          </cell>
          <cell r="L2960">
            <v>0</v>
          </cell>
          <cell r="N2960">
            <v>0</v>
          </cell>
          <cell r="O2960">
            <v>0</v>
          </cell>
          <cell r="Q2960">
            <v>0</v>
          </cell>
          <cell r="R2960">
            <v>0</v>
          </cell>
          <cell r="T2960">
            <v>0</v>
          </cell>
          <cell r="U2960">
            <v>0</v>
          </cell>
          <cell r="W2960">
            <v>0</v>
          </cell>
          <cell r="X2960">
            <v>0</v>
          </cell>
          <cell r="Z2960">
            <v>0</v>
          </cell>
          <cell r="AA2960">
            <v>0</v>
          </cell>
          <cell r="AC2960">
            <v>0</v>
          </cell>
          <cell r="AD2960">
            <v>0</v>
          </cell>
          <cell r="AF2960">
            <v>0</v>
          </cell>
          <cell r="AG2960">
            <v>0</v>
          </cell>
          <cell r="AI2960">
            <v>0</v>
          </cell>
          <cell r="AJ2960">
            <v>0</v>
          </cell>
          <cell r="AL2960">
            <v>0</v>
          </cell>
          <cell r="AM2960">
            <v>0</v>
          </cell>
          <cell r="AO2960">
            <v>0</v>
          </cell>
          <cell r="AP2960">
            <v>0</v>
          </cell>
          <cell r="AR2960">
            <v>0</v>
          </cell>
          <cell r="AS2960">
            <v>0</v>
          </cell>
          <cell r="BF2960" t="str">
            <v>2016</v>
          </cell>
          <cell r="BG2960" t="str">
            <v>B302</v>
          </cell>
          <cell r="BH2960" t="str">
            <v>GES</v>
          </cell>
        </row>
        <row r="2961">
          <cell r="K2961">
            <v>0</v>
          </cell>
          <cell r="L2961">
            <v>0</v>
          </cell>
          <cell r="N2961">
            <v>0</v>
          </cell>
          <cell r="O2961">
            <v>0</v>
          </cell>
          <cell r="Q2961">
            <v>0</v>
          </cell>
          <cell r="R2961">
            <v>0</v>
          </cell>
          <cell r="T2961">
            <v>0</v>
          </cell>
          <cell r="U2961">
            <v>0</v>
          </cell>
          <cell r="W2961">
            <v>0</v>
          </cell>
          <cell r="X2961">
            <v>0</v>
          </cell>
          <cell r="Z2961">
            <v>0</v>
          </cell>
          <cell r="AA2961">
            <v>0</v>
          </cell>
          <cell r="AC2961">
            <v>0</v>
          </cell>
          <cell r="AD2961">
            <v>0</v>
          </cell>
          <cell r="AF2961">
            <v>13355.43</v>
          </cell>
          <cell r="AG2961">
            <v>0</v>
          </cell>
          <cell r="AI2961">
            <v>15148.5</v>
          </cell>
          <cell r="AJ2961">
            <v>0</v>
          </cell>
          <cell r="AL2961">
            <v>6985.5999999999985</v>
          </cell>
          <cell r="AM2961">
            <v>0</v>
          </cell>
          <cell r="AO2961">
            <v>6976.4000000000015</v>
          </cell>
          <cell r="AP2961">
            <v>0</v>
          </cell>
          <cell r="AR2961">
            <v>0</v>
          </cell>
          <cell r="AS2961">
            <v>0</v>
          </cell>
          <cell r="BF2961" t="str">
            <v>2016</v>
          </cell>
          <cell r="BG2961" t="str">
            <v>B303</v>
          </cell>
          <cell r="BH2961" t="str">
            <v>GES</v>
          </cell>
        </row>
        <row r="2962">
          <cell r="K2962">
            <v>0</v>
          </cell>
          <cell r="L2962">
            <v>0</v>
          </cell>
          <cell r="N2962">
            <v>0</v>
          </cell>
          <cell r="O2962">
            <v>0</v>
          </cell>
          <cell r="Q2962">
            <v>0</v>
          </cell>
          <cell r="R2962">
            <v>0</v>
          </cell>
          <cell r="T2962">
            <v>0</v>
          </cell>
          <cell r="U2962">
            <v>0</v>
          </cell>
          <cell r="W2962">
            <v>0</v>
          </cell>
          <cell r="X2962">
            <v>0</v>
          </cell>
          <cell r="Z2962">
            <v>0</v>
          </cell>
          <cell r="AA2962">
            <v>0</v>
          </cell>
          <cell r="AC2962">
            <v>0</v>
          </cell>
          <cell r="AD2962">
            <v>0</v>
          </cell>
          <cell r="AF2962">
            <v>0</v>
          </cell>
          <cell r="AG2962">
            <v>0</v>
          </cell>
          <cell r="AI2962">
            <v>0</v>
          </cell>
          <cell r="AJ2962">
            <v>0</v>
          </cell>
          <cell r="AL2962">
            <v>0</v>
          </cell>
          <cell r="AM2962">
            <v>0</v>
          </cell>
          <cell r="AO2962">
            <v>0</v>
          </cell>
          <cell r="AP2962">
            <v>0</v>
          </cell>
          <cell r="AR2962">
            <v>0</v>
          </cell>
          <cell r="AS2962">
            <v>0</v>
          </cell>
          <cell r="BF2962" t="str">
            <v>2017</v>
          </cell>
          <cell r="BG2962" t="str">
            <v>B401</v>
          </cell>
          <cell r="BH2962" t="str">
            <v>GES</v>
          </cell>
        </row>
        <row r="2963">
          <cell r="K2963">
            <v>0</v>
          </cell>
          <cell r="L2963">
            <v>0</v>
          </cell>
          <cell r="N2963">
            <v>0</v>
          </cell>
          <cell r="O2963">
            <v>0</v>
          </cell>
          <cell r="Q2963">
            <v>0</v>
          </cell>
          <cell r="R2963">
            <v>0</v>
          </cell>
          <cell r="T2963">
            <v>0</v>
          </cell>
          <cell r="U2963">
            <v>0</v>
          </cell>
          <cell r="W2963">
            <v>0</v>
          </cell>
          <cell r="X2963">
            <v>0</v>
          </cell>
          <cell r="Z2963">
            <v>0</v>
          </cell>
          <cell r="AA2963">
            <v>0</v>
          </cell>
          <cell r="AC2963">
            <v>0</v>
          </cell>
          <cell r="AD2963">
            <v>0</v>
          </cell>
          <cell r="AF2963">
            <v>0</v>
          </cell>
          <cell r="AG2963">
            <v>0</v>
          </cell>
          <cell r="AI2963">
            <v>0</v>
          </cell>
          <cell r="AJ2963">
            <v>0</v>
          </cell>
          <cell r="AL2963">
            <v>0</v>
          </cell>
          <cell r="AM2963">
            <v>0</v>
          </cell>
          <cell r="AO2963">
            <v>0</v>
          </cell>
          <cell r="AP2963">
            <v>0</v>
          </cell>
          <cell r="AR2963">
            <v>0</v>
          </cell>
          <cell r="AS2963">
            <v>0</v>
          </cell>
          <cell r="BF2963" t="str">
            <v>2017</v>
          </cell>
          <cell r="BG2963" t="str">
            <v>B402</v>
          </cell>
          <cell r="BH2963" t="str">
            <v>GES</v>
          </cell>
        </row>
        <row r="2964">
          <cell r="K2964">
            <v>0</v>
          </cell>
          <cell r="L2964">
            <v>0</v>
          </cell>
          <cell r="N2964">
            <v>0</v>
          </cell>
          <cell r="O2964">
            <v>0</v>
          </cell>
          <cell r="Q2964">
            <v>0</v>
          </cell>
          <cell r="R2964">
            <v>0</v>
          </cell>
          <cell r="T2964">
            <v>0</v>
          </cell>
          <cell r="U2964">
            <v>0</v>
          </cell>
          <cell r="W2964">
            <v>0</v>
          </cell>
          <cell r="X2964">
            <v>0</v>
          </cell>
          <cell r="Z2964">
            <v>0</v>
          </cell>
          <cell r="AA2964">
            <v>0</v>
          </cell>
          <cell r="AC2964">
            <v>0</v>
          </cell>
          <cell r="AD2964">
            <v>0</v>
          </cell>
          <cell r="AF2964">
            <v>0</v>
          </cell>
          <cell r="AG2964">
            <v>0</v>
          </cell>
          <cell r="AI2964">
            <v>0</v>
          </cell>
          <cell r="AJ2964">
            <v>0</v>
          </cell>
          <cell r="AL2964">
            <v>0</v>
          </cell>
          <cell r="AM2964">
            <v>0</v>
          </cell>
          <cell r="AO2964">
            <v>0</v>
          </cell>
          <cell r="AP2964">
            <v>0</v>
          </cell>
          <cell r="AR2964">
            <v>0</v>
          </cell>
          <cell r="AS2964">
            <v>0</v>
          </cell>
          <cell r="BF2964" t="str">
            <v>2017</v>
          </cell>
          <cell r="BG2964" t="str">
            <v>B403</v>
          </cell>
          <cell r="BH2964" t="str">
            <v>GES</v>
          </cell>
        </row>
        <row r="2965">
          <cell r="K2965">
            <v>0</v>
          </cell>
          <cell r="L2965">
            <v>0</v>
          </cell>
          <cell r="N2965">
            <v>0</v>
          </cell>
          <cell r="O2965">
            <v>0</v>
          </cell>
          <cell r="Q2965">
            <v>0</v>
          </cell>
          <cell r="R2965">
            <v>0</v>
          </cell>
          <cell r="T2965">
            <v>0</v>
          </cell>
          <cell r="U2965">
            <v>0</v>
          </cell>
          <cell r="W2965">
            <v>0</v>
          </cell>
          <cell r="X2965">
            <v>0</v>
          </cell>
          <cell r="Z2965">
            <v>0</v>
          </cell>
          <cell r="AA2965">
            <v>0</v>
          </cell>
          <cell r="AC2965">
            <v>0</v>
          </cell>
          <cell r="AD2965">
            <v>0</v>
          </cell>
          <cell r="AF2965">
            <v>0</v>
          </cell>
          <cell r="AG2965">
            <v>0</v>
          </cell>
          <cell r="AI2965">
            <v>0</v>
          </cell>
          <cell r="AJ2965">
            <v>0</v>
          </cell>
          <cell r="AL2965">
            <v>0</v>
          </cell>
          <cell r="AM2965">
            <v>0</v>
          </cell>
          <cell r="AO2965">
            <v>0</v>
          </cell>
          <cell r="AP2965">
            <v>0</v>
          </cell>
          <cell r="AR2965">
            <v>0</v>
          </cell>
          <cell r="AS2965">
            <v>0</v>
          </cell>
          <cell r="BF2965" t="str">
            <v>3100</v>
          </cell>
          <cell r="BG2965" t="str">
            <v>C001</v>
          </cell>
          <cell r="BH2965" t="str">
            <v>GES</v>
          </cell>
        </row>
        <row r="2966">
          <cell r="K2966">
            <v>0</v>
          </cell>
          <cell r="L2966">
            <v>0</v>
          </cell>
          <cell r="N2966">
            <v>0</v>
          </cell>
          <cell r="O2966">
            <v>0</v>
          </cell>
          <cell r="Q2966">
            <v>0</v>
          </cell>
          <cell r="R2966">
            <v>0</v>
          </cell>
          <cell r="T2966">
            <v>0</v>
          </cell>
          <cell r="U2966">
            <v>0</v>
          </cell>
          <cell r="W2966">
            <v>0</v>
          </cell>
          <cell r="X2966">
            <v>0</v>
          </cell>
          <cell r="Z2966">
            <v>0</v>
          </cell>
          <cell r="AA2966">
            <v>0</v>
          </cell>
          <cell r="AC2966">
            <v>0</v>
          </cell>
          <cell r="AD2966">
            <v>0</v>
          </cell>
          <cell r="AF2966">
            <v>0</v>
          </cell>
          <cell r="AG2966">
            <v>0</v>
          </cell>
          <cell r="AI2966">
            <v>0</v>
          </cell>
          <cell r="AJ2966">
            <v>0</v>
          </cell>
          <cell r="AL2966">
            <v>0</v>
          </cell>
          <cell r="AM2966">
            <v>0</v>
          </cell>
          <cell r="AO2966">
            <v>0</v>
          </cell>
          <cell r="AP2966">
            <v>0</v>
          </cell>
          <cell r="AR2966">
            <v>0</v>
          </cell>
          <cell r="AS2966">
            <v>0</v>
          </cell>
          <cell r="BF2966" t="str">
            <v>3100</v>
          </cell>
          <cell r="BG2966" t="str">
            <v>C002</v>
          </cell>
          <cell r="BH2966" t="str">
            <v>GES</v>
          </cell>
        </row>
        <row r="2967">
          <cell r="K2967">
            <v>0</v>
          </cell>
          <cell r="L2967">
            <v>0</v>
          </cell>
          <cell r="N2967">
            <v>0</v>
          </cell>
          <cell r="O2967">
            <v>0</v>
          </cell>
          <cell r="Q2967">
            <v>0</v>
          </cell>
          <cell r="R2967">
            <v>0</v>
          </cell>
          <cell r="T2967">
            <v>0</v>
          </cell>
          <cell r="U2967">
            <v>0</v>
          </cell>
          <cell r="W2967">
            <v>0</v>
          </cell>
          <cell r="X2967">
            <v>0</v>
          </cell>
          <cell r="Z2967">
            <v>0</v>
          </cell>
          <cell r="AA2967">
            <v>0</v>
          </cell>
          <cell r="AC2967">
            <v>0</v>
          </cell>
          <cell r="AD2967">
            <v>0</v>
          </cell>
          <cell r="AF2967">
            <v>0</v>
          </cell>
          <cell r="AG2967">
            <v>0</v>
          </cell>
          <cell r="AI2967">
            <v>0</v>
          </cell>
          <cell r="AJ2967">
            <v>0</v>
          </cell>
          <cell r="AL2967">
            <v>0</v>
          </cell>
          <cell r="AM2967">
            <v>0</v>
          </cell>
          <cell r="AO2967">
            <v>0</v>
          </cell>
          <cell r="AP2967">
            <v>0</v>
          </cell>
          <cell r="AR2967">
            <v>0</v>
          </cell>
          <cell r="AS2967">
            <v>0</v>
          </cell>
          <cell r="BF2967" t="str">
            <v>3100</v>
          </cell>
          <cell r="BG2967" t="str">
            <v>C003</v>
          </cell>
          <cell r="BH2967" t="str">
            <v>GES</v>
          </cell>
        </row>
        <row r="2968">
          <cell r="K2968">
            <v>0</v>
          </cell>
          <cell r="L2968">
            <v>0</v>
          </cell>
          <cell r="N2968">
            <v>0</v>
          </cell>
          <cell r="O2968">
            <v>0</v>
          </cell>
          <cell r="Q2968">
            <v>0</v>
          </cell>
          <cell r="R2968">
            <v>0</v>
          </cell>
          <cell r="T2968">
            <v>0</v>
          </cell>
          <cell r="U2968">
            <v>0</v>
          </cell>
          <cell r="W2968">
            <v>0</v>
          </cell>
          <cell r="X2968">
            <v>0</v>
          </cell>
          <cell r="Z2968">
            <v>0</v>
          </cell>
          <cell r="AA2968">
            <v>0</v>
          </cell>
          <cell r="AC2968">
            <v>0</v>
          </cell>
          <cell r="AD2968">
            <v>0</v>
          </cell>
          <cell r="AF2968">
            <v>0</v>
          </cell>
          <cell r="AG2968">
            <v>0</v>
          </cell>
          <cell r="AI2968">
            <v>0</v>
          </cell>
          <cell r="AJ2968">
            <v>0</v>
          </cell>
          <cell r="AL2968">
            <v>0</v>
          </cell>
          <cell r="AM2968">
            <v>0</v>
          </cell>
          <cell r="AO2968">
            <v>0</v>
          </cell>
          <cell r="AP2968">
            <v>0</v>
          </cell>
          <cell r="AR2968">
            <v>0</v>
          </cell>
          <cell r="AS2968">
            <v>0</v>
          </cell>
          <cell r="BF2968" t="str">
            <v>3100</v>
          </cell>
          <cell r="BG2968" t="str">
            <v>C004</v>
          </cell>
          <cell r="BH2968" t="str">
            <v>GES</v>
          </cell>
        </row>
        <row r="2969">
          <cell r="K2969">
            <v>0</v>
          </cell>
          <cell r="L2969">
            <v>0</v>
          </cell>
          <cell r="N2969">
            <v>0</v>
          </cell>
          <cell r="O2969">
            <v>0</v>
          </cell>
          <cell r="Q2969">
            <v>0</v>
          </cell>
          <cell r="R2969">
            <v>0</v>
          </cell>
          <cell r="T2969">
            <v>0</v>
          </cell>
          <cell r="U2969">
            <v>0</v>
          </cell>
          <cell r="W2969">
            <v>0</v>
          </cell>
          <cell r="X2969">
            <v>0</v>
          </cell>
          <cell r="Z2969">
            <v>0</v>
          </cell>
          <cell r="AA2969">
            <v>0</v>
          </cell>
          <cell r="AC2969">
            <v>0</v>
          </cell>
          <cell r="AD2969">
            <v>0</v>
          </cell>
          <cell r="AF2969">
            <v>0</v>
          </cell>
          <cell r="AG2969">
            <v>0</v>
          </cell>
          <cell r="AI2969">
            <v>0</v>
          </cell>
          <cell r="AJ2969">
            <v>0</v>
          </cell>
          <cell r="AL2969">
            <v>0</v>
          </cell>
          <cell r="AM2969">
            <v>0</v>
          </cell>
          <cell r="AO2969">
            <v>0</v>
          </cell>
          <cell r="AP2969">
            <v>0</v>
          </cell>
          <cell r="AR2969">
            <v>0</v>
          </cell>
          <cell r="AS2969">
            <v>0</v>
          </cell>
          <cell r="BF2969" t="str">
            <v>3100</v>
          </cell>
          <cell r="BG2969" t="str">
            <v>C005</v>
          </cell>
          <cell r="BH2969" t="str">
            <v>GES</v>
          </cell>
        </row>
        <row r="2970">
          <cell r="K2970">
            <v>0</v>
          </cell>
          <cell r="L2970">
            <v>0</v>
          </cell>
          <cell r="N2970">
            <v>0</v>
          </cell>
          <cell r="O2970">
            <v>0</v>
          </cell>
          <cell r="Q2970">
            <v>0</v>
          </cell>
          <cell r="R2970">
            <v>0</v>
          </cell>
          <cell r="T2970">
            <v>0</v>
          </cell>
          <cell r="U2970">
            <v>0</v>
          </cell>
          <cell r="W2970">
            <v>0</v>
          </cell>
          <cell r="X2970">
            <v>0</v>
          </cell>
          <cell r="Z2970">
            <v>0</v>
          </cell>
          <cell r="AA2970">
            <v>0</v>
          </cell>
          <cell r="AC2970">
            <v>0</v>
          </cell>
          <cell r="AD2970">
            <v>0</v>
          </cell>
          <cell r="AF2970">
            <v>0</v>
          </cell>
          <cell r="AG2970">
            <v>0</v>
          </cell>
          <cell r="AI2970">
            <v>0</v>
          </cell>
          <cell r="AJ2970">
            <v>0</v>
          </cell>
          <cell r="AL2970">
            <v>0</v>
          </cell>
          <cell r="AM2970">
            <v>0</v>
          </cell>
          <cell r="AO2970">
            <v>0</v>
          </cell>
          <cell r="AP2970">
            <v>0</v>
          </cell>
          <cell r="AR2970">
            <v>0</v>
          </cell>
          <cell r="AS2970">
            <v>0</v>
          </cell>
          <cell r="BF2970" t="str">
            <v>3100</v>
          </cell>
          <cell r="BG2970" t="str">
            <v>C006</v>
          </cell>
          <cell r="BH2970" t="str">
            <v>GES</v>
          </cell>
        </row>
        <row r="2971">
          <cell r="K2971">
            <v>0</v>
          </cell>
          <cell r="L2971">
            <v>0</v>
          </cell>
          <cell r="N2971">
            <v>0</v>
          </cell>
          <cell r="O2971">
            <v>0</v>
          </cell>
          <cell r="Q2971">
            <v>0</v>
          </cell>
          <cell r="R2971">
            <v>0</v>
          </cell>
          <cell r="T2971">
            <v>0</v>
          </cell>
          <cell r="U2971">
            <v>0</v>
          </cell>
          <cell r="W2971">
            <v>0</v>
          </cell>
          <cell r="X2971">
            <v>0</v>
          </cell>
          <cell r="Z2971">
            <v>0</v>
          </cell>
          <cell r="AA2971">
            <v>0</v>
          </cell>
          <cell r="AC2971">
            <v>0</v>
          </cell>
          <cell r="AD2971">
            <v>0</v>
          </cell>
          <cell r="AF2971">
            <v>0</v>
          </cell>
          <cell r="AG2971">
            <v>0</v>
          </cell>
          <cell r="AI2971">
            <v>0</v>
          </cell>
          <cell r="AJ2971">
            <v>0</v>
          </cell>
          <cell r="AL2971">
            <v>0</v>
          </cell>
          <cell r="AM2971">
            <v>0</v>
          </cell>
          <cell r="AO2971">
            <v>0</v>
          </cell>
          <cell r="AP2971">
            <v>0</v>
          </cell>
          <cell r="AR2971">
            <v>0</v>
          </cell>
          <cell r="AS2971">
            <v>0</v>
          </cell>
          <cell r="BF2971" t="str">
            <v>3150</v>
          </cell>
          <cell r="BG2971" t="str">
            <v>Z000</v>
          </cell>
          <cell r="BH2971" t="str">
            <v>GES</v>
          </cell>
        </row>
        <row r="2972">
          <cell r="K2972">
            <v>0</v>
          </cell>
          <cell r="L2972">
            <v>0</v>
          </cell>
          <cell r="N2972">
            <v>0</v>
          </cell>
          <cell r="O2972">
            <v>0</v>
          </cell>
          <cell r="Q2972">
            <v>0</v>
          </cell>
          <cell r="R2972">
            <v>0</v>
          </cell>
          <cell r="T2972">
            <v>0</v>
          </cell>
          <cell r="U2972">
            <v>0</v>
          </cell>
          <cell r="W2972">
            <v>0</v>
          </cell>
          <cell r="X2972">
            <v>0</v>
          </cell>
          <cell r="Z2972">
            <v>0</v>
          </cell>
          <cell r="AA2972">
            <v>0</v>
          </cell>
          <cell r="AC2972">
            <v>0</v>
          </cell>
          <cell r="AD2972">
            <v>0</v>
          </cell>
          <cell r="AF2972">
            <v>0</v>
          </cell>
          <cell r="AG2972">
            <v>0</v>
          </cell>
          <cell r="AI2972">
            <v>0</v>
          </cell>
          <cell r="AJ2972">
            <v>0</v>
          </cell>
          <cell r="AL2972">
            <v>2000</v>
          </cell>
          <cell r="AM2972">
            <v>0</v>
          </cell>
          <cell r="AO2972">
            <v>2000</v>
          </cell>
          <cell r="AP2972">
            <v>0</v>
          </cell>
          <cell r="AR2972">
            <v>6000</v>
          </cell>
          <cell r="AS2972">
            <v>0</v>
          </cell>
          <cell r="BF2972" t="str">
            <v>4000</v>
          </cell>
          <cell r="BG2972" t="str">
            <v>D001</v>
          </cell>
          <cell r="BH2972" t="str">
            <v>GES</v>
          </cell>
        </row>
        <row r="2973">
          <cell r="K2973">
            <v>0</v>
          </cell>
          <cell r="L2973">
            <v>0</v>
          </cell>
          <cell r="N2973">
            <v>0</v>
          </cell>
          <cell r="O2973">
            <v>0</v>
          </cell>
          <cell r="Q2973">
            <v>0</v>
          </cell>
          <cell r="R2973">
            <v>0</v>
          </cell>
          <cell r="T2973">
            <v>0</v>
          </cell>
          <cell r="U2973">
            <v>0</v>
          </cell>
          <cell r="W2973">
            <v>0</v>
          </cell>
          <cell r="X2973">
            <v>0</v>
          </cell>
          <cell r="Z2973">
            <v>0</v>
          </cell>
          <cell r="AA2973">
            <v>0</v>
          </cell>
          <cell r="AC2973">
            <v>0</v>
          </cell>
          <cell r="AD2973">
            <v>0</v>
          </cell>
          <cell r="AF2973">
            <v>0</v>
          </cell>
          <cell r="AG2973">
            <v>0</v>
          </cell>
          <cell r="AI2973">
            <v>0</v>
          </cell>
          <cell r="AJ2973">
            <v>0</v>
          </cell>
          <cell r="AL2973">
            <v>0</v>
          </cell>
          <cell r="AM2973">
            <v>0</v>
          </cell>
          <cell r="AO2973">
            <v>0</v>
          </cell>
          <cell r="AP2973">
            <v>0</v>
          </cell>
          <cell r="AR2973">
            <v>0</v>
          </cell>
          <cell r="AS2973">
            <v>0</v>
          </cell>
          <cell r="BF2973" t="str">
            <v>4000</v>
          </cell>
          <cell r="BG2973" t="str">
            <v>D002</v>
          </cell>
          <cell r="BH2973" t="str">
            <v>GES</v>
          </cell>
        </row>
        <row r="2974">
          <cell r="K2974">
            <v>0</v>
          </cell>
          <cell r="L2974">
            <v>0</v>
          </cell>
          <cell r="N2974">
            <v>0</v>
          </cell>
          <cell r="O2974">
            <v>0</v>
          </cell>
          <cell r="Q2974">
            <v>0</v>
          </cell>
          <cell r="R2974">
            <v>0</v>
          </cell>
          <cell r="T2974">
            <v>0</v>
          </cell>
          <cell r="U2974">
            <v>0</v>
          </cell>
          <cell r="W2974">
            <v>0</v>
          </cell>
          <cell r="X2974">
            <v>0</v>
          </cell>
          <cell r="Z2974">
            <v>0</v>
          </cell>
          <cell r="AA2974">
            <v>0</v>
          </cell>
          <cell r="AC2974">
            <v>0</v>
          </cell>
          <cell r="AD2974">
            <v>0</v>
          </cell>
          <cell r="AF2974">
            <v>0</v>
          </cell>
          <cell r="AG2974">
            <v>0</v>
          </cell>
          <cell r="AI2974">
            <v>0</v>
          </cell>
          <cell r="AJ2974">
            <v>0</v>
          </cell>
          <cell r="AL2974">
            <v>0</v>
          </cell>
          <cell r="AM2974">
            <v>0</v>
          </cell>
          <cell r="AO2974">
            <v>0</v>
          </cell>
          <cell r="AP2974">
            <v>0</v>
          </cell>
          <cell r="AR2974">
            <v>0</v>
          </cell>
          <cell r="AS2974">
            <v>0</v>
          </cell>
          <cell r="BF2974" t="str">
            <v>4010</v>
          </cell>
          <cell r="BG2974" t="str">
            <v>Z000</v>
          </cell>
          <cell r="BH2974" t="str">
            <v>GES</v>
          </cell>
        </row>
        <row r="2975">
          <cell r="K2975">
            <v>0</v>
          </cell>
          <cell r="L2975">
            <v>0</v>
          </cell>
          <cell r="N2975">
            <v>0</v>
          </cell>
          <cell r="O2975">
            <v>0</v>
          </cell>
          <cell r="Q2975">
            <v>0</v>
          </cell>
          <cell r="R2975">
            <v>0</v>
          </cell>
          <cell r="T2975">
            <v>0</v>
          </cell>
          <cell r="U2975">
            <v>0</v>
          </cell>
          <cell r="W2975">
            <v>0</v>
          </cell>
          <cell r="X2975">
            <v>0</v>
          </cell>
          <cell r="Z2975">
            <v>0</v>
          </cell>
          <cell r="AA2975">
            <v>0</v>
          </cell>
          <cell r="AC2975">
            <v>0</v>
          </cell>
          <cell r="AD2975">
            <v>0</v>
          </cell>
          <cell r="AF2975">
            <v>675.08999999999992</v>
          </cell>
          <cell r="AG2975">
            <v>0</v>
          </cell>
          <cell r="AI2975">
            <v>483.19999999999959</v>
          </cell>
          <cell r="AJ2975">
            <v>0</v>
          </cell>
          <cell r="AL2975">
            <v>144.79999999999791</v>
          </cell>
          <cell r="AM2975">
            <v>0</v>
          </cell>
          <cell r="AO2975">
            <v>702.999999999995</v>
          </cell>
          <cell r="AP2975">
            <v>0</v>
          </cell>
          <cell r="AR2975">
            <v>628.75999999998976</v>
          </cell>
          <cell r="AS2975">
            <v>0</v>
          </cell>
          <cell r="BF2975" t="str">
            <v>4150</v>
          </cell>
          <cell r="BG2975" t="str">
            <v>Z000</v>
          </cell>
          <cell r="BH2975" t="str">
            <v>GES</v>
          </cell>
        </row>
        <row r="2976">
          <cell r="K2976">
            <v>0</v>
          </cell>
          <cell r="L2976">
            <v>0</v>
          </cell>
          <cell r="N2976">
            <v>0</v>
          </cell>
          <cell r="O2976">
            <v>0</v>
          </cell>
          <cell r="Q2976">
            <v>0</v>
          </cell>
          <cell r="R2976">
            <v>0</v>
          </cell>
          <cell r="T2976">
            <v>0</v>
          </cell>
          <cell r="U2976">
            <v>0</v>
          </cell>
          <cell r="W2976">
            <v>0</v>
          </cell>
          <cell r="X2976">
            <v>0</v>
          </cell>
          <cell r="Z2976">
            <v>0</v>
          </cell>
          <cell r="AA2976">
            <v>0</v>
          </cell>
          <cell r="AC2976">
            <v>0</v>
          </cell>
          <cell r="AD2976">
            <v>0</v>
          </cell>
          <cell r="AF2976">
            <v>0</v>
          </cell>
          <cell r="AG2976">
            <v>0</v>
          </cell>
          <cell r="AI2976">
            <v>0</v>
          </cell>
          <cell r="AJ2976">
            <v>0</v>
          </cell>
          <cell r="AL2976">
            <v>0</v>
          </cell>
          <cell r="AM2976">
            <v>0</v>
          </cell>
          <cell r="AO2976">
            <v>0</v>
          </cell>
          <cell r="AP2976">
            <v>0</v>
          </cell>
          <cell r="AR2976">
            <v>0</v>
          </cell>
          <cell r="AS2976">
            <v>0</v>
          </cell>
          <cell r="BF2976" t="str">
            <v>4200</v>
          </cell>
          <cell r="BG2976" t="str">
            <v>Z000</v>
          </cell>
          <cell r="BH2976" t="str">
            <v>GES</v>
          </cell>
        </row>
        <row r="2977">
          <cell r="K2977">
            <v>0</v>
          </cell>
          <cell r="L2977">
            <v>0</v>
          </cell>
          <cell r="N2977">
            <v>0</v>
          </cell>
          <cell r="O2977">
            <v>0</v>
          </cell>
          <cell r="Q2977">
            <v>0</v>
          </cell>
          <cell r="R2977">
            <v>0</v>
          </cell>
          <cell r="T2977">
            <v>0</v>
          </cell>
          <cell r="U2977">
            <v>0</v>
          </cell>
          <cell r="W2977">
            <v>0</v>
          </cell>
          <cell r="X2977">
            <v>0</v>
          </cell>
          <cell r="Z2977">
            <v>0</v>
          </cell>
          <cell r="AA2977">
            <v>0</v>
          </cell>
          <cell r="AC2977">
            <v>0</v>
          </cell>
          <cell r="AD2977">
            <v>0</v>
          </cell>
          <cell r="AF2977">
            <v>0</v>
          </cell>
          <cell r="AG2977">
            <v>0</v>
          </cell>
          <cell r="AI2977">
            <v>0</v>
          </cell>
          <cell r="AJ2977">
            <v>0</v>
          </cell>
          <cell r="AL2977">
            <v>0</v>
          </cell>
          <cell r="AM2977">
            <v>0</v>
          </cell>
          <cell r="AO2977">
            <v>0</v>
          </cell>
          <cell r="AP2977">
            <v>0</v>
          </cell>
          <cell r="AR2977">
            <v>0</v>
          </cell>
          <cell r="AS2977">
            <v>0</v>
          </cell>
          <cell r="BF2977" t="str">
            <v>4215</v>
          </cell>
          <cell r="BG2977" t="str">
            <v>Z000</v>
          </cell>
          <cell r="BH2977" t="str">
            <v>GES</v>
          </cell>
        </row>
        <row r="2978">
          <cell r="K2978">
            <v>0</v>
          </cell>
          <cell r="L2978">
            <v>0</v>
          </cell>
          <cell r="N2978">
            <v>0</v>
          </cell>
          <cell r="O2978">
            <v>0</v>
          </cell>
          <cell r="Q2978">
            <v>0</v>
          </cell>
          <cell r="R2978">
            <v>0</v>
          </cell>
          <cell r="T2978">
            <v>0</v>
          </cell>
          <cell r="U2978">
            <v>0</v>
          </cell>
          <cell r="W2978">
            <v>0</v>
          </cell>
          <cell r="X2978">
            <v>0</v>
          </cell>
          <cell r="Z2978">
            <v>0</v>
          </cell>
          <cell r="AA2978">
            <v>0</v>
          </cell>
          <cell r="AC2978">
            <v>0</v>
          </cell>
          <cell r="AD2978">
            <v>0</v>
          </cell>
          <cell r="AF2978">
            <v>0</v>
          </cell>
          <cell r="AG2978">
            <v>0</v>
          </cell>
          <cell r="AI2978">
            <v>0</v>
          </cell>
          <cell r="AJ2978">
            <v>0</v>
          </cell>
          <cell r="AL2978">
            <v>0</v>
          </cell>
          <cell r="AM2978">
            <v>0</v>
          </cell>
          <cell r="AO2978">
            <v>574.29999999999995</v>
          </cell>
          <cell r="AP2978">
            <v>0</v>
          </cell>
          <cell r="AR2978">
            <v>0</v>
          </cell>
          <cell r="AS2978">
            <v>0</v>
          </cell>
          <cell r="BF2978" t="str">
            <v>4230</v>
          </cell>
          <cell r="BG2978" t="str">
            <v>Z000</v>
          </cell>
          <cell r="BH2978" t="str">
            <v>GES</v>
          </cell>
        </row>
        <row r="2979">
          <cell r="K2979">
            <v>0</v>
          </cell>
          <cell r="L2979">
            <v>0</v>
          </cell>
          <cell r="N2979">
            <v>0</v>
          </cell>
          <cell r="O2979">
            <v>0</v>
          </cell>
          <cell r="Q2979">
            <v>0</v>
          </cell>
          <cell r="R2979">
            <v>0</v>
          </cell>
          <cell r="T2979">
            <v>0</v>
          </cell>
          <cell r="U2979">
            <v>0</v>
          </cell>
          <cell r="W2979">
            <v>0</v>
          </cell>
          <cell r="X2979">
            <v>0</v>
          </cell>
          <cell r="Z2979">
            <v>0</v>
          </cell>
          <cell r="AA2979">
            <v>0</v>
          </cell>
          <cell r="AC2979">
            <v>0</v>
          </cell>
          <cell r="AD2979">
            <v>0</v>
          </cell>
          <cell r="AF2979">
            <v>0</v>
          </cell>
          <cell r="AG2979">
            <v>0</v>
          </cell>
          <cell r="AI2979">
            <v>0</v>
          </cell>
          <cell r="AJ2979">
            <v>0</v>
          </cell>
          <cell r="AL2979">
            <v>0</v>
          </cell>
          <cell r="AM2979">
            <v>0</v>
          </cell>
          <cell r="AO2979">
            <v>0</v>
          </cell>
          <cell r="AP2979">
            <v>0</v>
          </cell>
          <cell r="AR2979">
            <v>0</v>
          </cell>
          <cell r="AS2979">
            <v>0</v>
          </cell>
          <cell r="BF2979" t="str">
            <v>4240</v>
          </cell>
          <cell r="BG2979" t="str">
            <v>Z000</v>
          </cell>
          <cell r="BH2979" t="str">
            <v>GES</v>
          </cell>
        </row>
        <row r="2980">
          <cell r="K2980">
            <v>0</v>
          </cell>
          <cell r="L2980">
            <v>0</v>
          </cell>
          <cell r="N2980">
            <v>0</v>
          </cell>
          <cell r="O2980">
            <v>0</v>
          </cell>
          <cell r="Q2980">
            <v>0</v>
          </cell>
          <cell r="R2980">
            <v>0</v>
          </cell>
          <cell r="T2980">
            <v>0</v>
          </cell>
          <cell r="U2980">
            <v>0</v>
          </cell>
          <cell r="W2980">
            <v>0</v>
          </cell>
          <cell r="X2980">
            <v>0</v>
          </cell>
          <cell r="Z2980">
            <v>0</v>
          </cell>
          <cell r="AA2980">
            <v>0</v>
          </cell>
          <cell r="AC2980">
            <v>0</v>
          </cell>
          <cell r="AD2980">
            <v>0</v>
          </cell>
          <cell r="AF2980">
            <v>0</v>
          </cell>
          <cell r="AG2980">
            <v>0</v>
          </cell>
          <cell r="AI2980">
            <v>0</v>
          </cell>
          <cell r="AJ2980">
            <v>0</v>
          </cell>
          <cell r="AL2980">
            <v>0</v>
          </cell>
          <cell r="AM2980">
            <v>0</v>
          </cell>
          <cell r="AO2980">
            <v>0</v>
          </cell>
          <cell r="AP2980">
            <v>0</v>
          </cell>
          <cell r="AR2980">
            <v>0</v>
          </cell>
          <cell r="AS2980">
            <v>0</v>
          </cell>
          <cell r="BF2980" t="str">
            <v>4250</v>
          </cell>
          <cell r="BG2980" t="str">
            <v>Z000</v>
          </cell>
          <cell r="BH2980" t="str">
            <v>GES</v>
          </cell>
        </row>
        <row r="2981">
          <cell r="K2981">
            <v>0</v>
          </cell>
          <cell r="L2981">
            <v>0</v>
          </cell>
          <cell r="N2981">
            <v>0</v>
          </cell>
          <cell r="O2981">
            <v>0</v>
          </cell>
          <cell r="Q2981">
            <v>0</v>
          </cell>
          <cell r="R2981">
            <v>0</v>
          </cell>
          <cell r="T2981">
            <v>0</v>
          </cell>
          <cell r="U2981">
            <v>0</v>
          </cell>
          <cell r="W2981">
            <v>0</v>
          </cell>
          <cell r="X2981">
            <v>0</v>
          </cell>
          <cell r="Z2981">
            <v>0</v>
          </cell>
          <cell r="AA2981">
            <v>0</v>
          </cell>
          <cell r="AC2981">
            <v>0</v>
          </cell>
          <cell r="AD2981">
            <v>0</v>
          </cell>
          <cell r="AF2981">
            <v>0</v>
          </cell>
          <cell r="AG2981">
            <v>0</v>
          </cell>
          <cell r="AI2981">
            <v>0</v>
          </cell>
          <cell r="AJ2981">
            <v>0</v>
          </cell>
          <cell r="AL2981">
            <v>0</v>
          </cell>
          <cell r="AM2981">
            <v>0</v>
          </cell>
          <cell r="AO2981">
            <v>0</v>
          </cell>
          <cell r="AP2981">
            <v>0</v>
          </cell>
          <cell r="AR2981">
            <v>0</v>
          </cell>
          <cell r="AS2981">
            <v>0</v>
          </cell>
          <cell r="BF2981" t="str">
            <v>4275</v>
          </cell>
          <cell r="BG2981" t="str">
            <v>Z000</v>
          </cell>
          <cell r="BH2981" t="str">
            <v>GES</v>
          </cell>
        </row>
        <row r="2982">
          <cell r="K2982">
            <v>0</v>
          </cell>
          <cell r="L2982">
            <v>0</v>
          </cell>
          <cell r="N2982">
            <v>0</v>
          </cell>
          <cell r="O2982">
            <v>0</v>
          </cell>
          <cell r="Q2982">
            <v>0</v>
          </cell>
          <cell r="R2982">
            <v>0</v>
          </cell>
          <cell r="T2982">
            <v>0</v>
          </cell>
          <cell r="U2982">
            <v>0</v>
          </cell>
          <cell r="W2982">
            <v>0</v>
          </cell>
          <cell r="X2982">
            <v>0</v>
          </cell>
          <cell r="Z2982">
            <v>0</v>
          </cell>
          <cell r="AA2982">
            <v>0</v>
          </cell>
          <cell r="AC2982">
            <v>0</v>
          </cell>
          <cell r="AD2982">
            <v>0</v>
          </cell>
          <cell r="AF2982">
            <v>0</v>
          </cell>
          <cell r="AG2982">
            <v>0</v>
          </cell>
          <cell r="AI2982">
            <v>0</v>
          </cell>
          <cell r="AJ2982">
            <v>0</v>
          </cell>
          <cell r="AL2982">
            <v>0</v>
          </cell>
          <cell r="AM2982">
            <v>0</v>
          </cell>
          <cell r="AO2982">
            <v>0</v>
          </cell>
          <cell r="AP2982">
            <v>0</v>
          </cell>
          <cell r="AR2982">
            <v>0</v>
          </cell>
          <cell r="AS2982">
            <v>0</v>
          </cell>
          <cell r="BF2982" t="str">
            <v>4300</v>
          </cell>
          <cell r="BG2982" t="str">
            <v>Z000</v>
          </cell>
          <cell r="BH2982" t="str">
            <v>GES</v>
          </cell>
        </row>
        <row r="2983">
          <cell r="K2983">
            <v>0</v>
          </cell>
          <cell r="L2983">
            <v>0</v>
          </cell>
          <cell r="N2983">
            <v>0</v>
          </cell>
          <cell r="O2983">
            <v>0</v>
          </cell>
          <cell r="Q2983">
            <v>0</v>
          </cell>
          <cell r="R2983">
            <v>0</v>
          </cell>
          <cell r="T2983">
            <v>0</v>
          </cell>
          <cell r="U2983">
            <v>0</v>
          </cell>
          <cell r="W2983">
            <v>0</v>
          </cell>
          <cell r="X2983">
            <v>0</v>
          </cell>
          <cell r="Z2983">
            <v>0</v>
          </cell>
          <cell r="AA2983">
            <v>0</v>
          </cell>
          <cell r="AC2983">
            <v>0</v>
          </cell>
          <cell r="AD2983">
            <v>0</v>
          </cell>
          <cell r="AF2983">
            <v>0</v>
          </cell>
          <cell r="AG2983">
            <v>0</v>
          </cell>
          <cell r="AI2983">
            <v>0</v>
          </cell>
          <cell r="AJ2983">
            <v>0</v>
          </cell>
          <cell r="AL2983">
            <v>0</v>
          </cell>
          <cell r="AM2983">
            <v>0</v>
          </cell>
          <cell r="AO2983">
            <v>0</v>
          </cell>
          <cell r="AP2983">
            <v>0</v>
          </cell>
          <cell r="AR2983">
            <v>0</v>
          </cell>
          <cell r="AS2983">
            <v>0</v>
          </cell>
          <cell r="BF2983" t="str">
            <v>4320</v>
          </cell>
          <cell r="BG2983" t="str">
            <v>Z000</v>
          </cell>
          <cell r="BH2983" t="str">
            <v>GES</v>
          </cell>
        </row>
        <row r="2984">
          <cell r="K2984">
            <v>0</v>
          </cell>
          <cell r="L2984">
            <v>0</v>
          </cell>
          <cell r="N2984">
            <v>0</v>
          </cell>
          <cell r="O2984">
            <v>0</v>
          </cell>
          <cell r="Q2984">
            <v>0</v>
          </cell>
          <cell r="R2984">
            <v>0</v>
          </cell>
          <cell r="T2984">
            <v>0</v>
          </cell>
          <cell r="U2984">
            <v>0</v>
          </cell>
          <cell r="W2984">
            <v>0</v>
          </cell>
          <cell r="X2984">
            <v>0</v>
          </cell>
          <cell r="Z2984">
            <v>0</v>
          </cell>
          <cell r="AA2984">
            <v>0</v>
          </cell>
          <cell r="AC2984">
            <v>0</v>
          </cell>
          <cell r="AD2984">
            <v>0</v>
          </cell>
          <cell r="AF2984">
            <v>0</v>
          </cell>
          <cell r="AG2984">
            <v>0</v>
          </cell>
          <cell r="AI2984">
            <v>0</v>
          </cell>
          <cell r="AJ2984">
            <v>0</v>
          </cell>
          <cell r="AL2984">
            <v>0</v>
          </cell>
          <cell r="AM2984">
            <v>0</v>
          </cell>
          <cell r="AO2984">
            <v>0</v>
          </cell>
          <cell r="AP2984">
            <v>0</v>
          </cell>
          <cell r="AR2984">
            <v>0</v>
          </cell>
          <cell r="AS2984">
            <v>0</v>
          </cell>
          <cell r="BF2984" t="str">
            <v>4330</v>
          </cell>
          <cell r="BG2984" t="str">
            <v>Z000</v>
          </cell>
          <cell r="BH2984" t="str">
            <v>GES</v>
          </cell>
        </row>
        <row r="2985">
          <cell r="K2985">
            <v>0</v>
          </cell>
          <cell r="L2985">
            <v>0</v>
          </cell>
          <cell r="N2985">
            <v>0</v>
          </cell>
          <cell r="O2985">
            <v>0</v>
          </cell>
          <cell r="Q2985">
            <v>0</v>
          </cell>
          <cell r="R2985">
            <v>0</v>
          </cell>
          <cell r="T2985">
            <v>0</v>
          </cell>
          <cell r="U2985">
            <v>0</v>
          </cell>
          <cell r="W2985">
            <v>0</v>
          </cell>
          <cell r="X2985">
            <v>0</v>
          </cell>
          <cell r="Z2985">
            <v>0</v>
          </cell>
          <cell r="AA2985">
            <v>0</v>
          </cell>
          <cell r="AC2985">
            <v>0</v>
          </cell>
          <cell r="AD2985">
            <v>0</v>
          </cell>
          <cell r="AF2985">
            <v>0</v>
          </cell>
          <cell r="AG2985">
            <v>0</v>
          </cell>
          <cell r="AI2985">
            <v>0</v>
          </cell>
          <cell r="AJ2985">
            <v>0</v>
          </cell>
          <cell r="AL2985">
            <v>0</v>
          </cell>
          <cell r="AM2985">
            <v>0</v>
          </cell>
          <cell r="AO2985">
            <v>0</v>
          </cell>
          <cell r="AP2985">
            <v>0</v>
          </cell>
          <cell r="AR2985">
            <v>0</v>
          </cell>
          <cell r="AS2985">
            <v>0</v>
          </cell>
          <cell r="BF2985" t="str">
            <v>4340</v>
          </cell>
          <cell r="BG2985" t="str">
            <v>D006</v>
          </cell>
          <cell r="BH2985" t="str">
            <v>GES</v>
          </cell>
        </row>
        <row r="2986">
          <cell r="K2986">
            <v>0</v>
          </cell>
          <cell r="L2986">
            <v>0</v>
          </cell>
          <cell r="N2986">
            <v>0</v>
          </cell>
          <cell r="O2986">
            <v>0</v>
          </cell>
          <cell r="Q2986">
            <v>0</v>
          </cell>
          <cell r="R2986">
            <v>0</v>
          </cell>
          <cell r="T2986">
            <v>0</v>
          </cell>
          <cell r="U2986">
            <v>0</v>
          </cell>
          <cell r="W2986">
            <v>0</v>
          </cell>
          <cell r="X2986">
            <v>0</v>
          </cell>
          <cell r="Z2986">
            <v>0</v>
          </cell>
          <cell r="AA2986">
            <v>0</v>
          </cell>
          <cell r="AC2986">
            <v>0</v>
          </cell>
          <cell r="AD2986">
            <v>0</v>
          </cell>
          <cell r="AF2986">
            <v>0</v>
          </cell>
          <cell r="AG2986">
            <v>0</v>
          </cell>
          <cell r="AI2986">
            <v>0</v>
          </cell>
          <cell r="AJ2986">
            <v>0</v>
          </cell>
          <cell r="AL2986">
            <v>0</v>
          </cell>
          <cell r="AM2986">
            <v>0</v>
          </cell>
          <cell r="AO2986">
            <v>0</v>
          </cell>
          <cell r="AP2986">
            <v>0</v>
          </cell>
          <cell r="AR2986">
            <v>0</v>
          </cell>
          <cell r="AS2986">
            <v>0</v>
          </cell>
          <cell r="BF2986" t="str">
            <v>4340</v>
          </cell>
          <cell r="BG2986" t="str">
            <v>D007</v>
          </cell>
          <cell r="BH2986" t="str">
            <v>GES</v>
          </cell>
        </row>
        <row r="2987">
          <cell r="K2987">
            <v>0</v>
          </cell>
          <cell r="L2987">
            <v>0</v>
          </cell>
          <cell r="N2987">
            <v>0</v>
          </cell>
          <cell r="O2987">
            <v>0</v>
          </cell>
          <cell r="Q2987">
            <v>0</v>
          </cell>
          <cell r="R2987">
            <v>0</v>
          </cell>
          <cell r="T2987">
            <v>0</v>
          </cell>
          <cell r="U2987">
            <v>0</v>
          </cell>
          <cell r="W2987">
            <v>0</v>
          </cell>
          <cell r="X2987">
            <v>0</v>
          </cell>
          <cell r="Z2987">
            <v>0</v>
          </cell>
          <cell r="AA2987">
            <v>0</v>
          </cell>
          <cell r="AC2987">
            <v>0</v>
          </cell>
          <cell r="AD2987">
            <v>0</v>
          </cell>
          <cell r="AF2987">
            <v>0</v>
          </cell>
          <cell r="AG2987">
            <v>0</v>
          </cell>
          <cell r="AI2987">
            <v>0</v>
          </cell>
          <cell r="AJ2987">
            <v>0</v>
          </cell>
          <cell r="AL2987">
            <v>0</v>
          </cell>
          <cell r="AM2987">
            <v>0</v>
          </cell>
          <cell r="AO2987">
            <v>0</v>
          </cell>
          <cell r="AP2987">
            <v>0</v>
          </cell>
          <cell r="AR2987">
            <v>0</v>
          </cell>
          <cell r="AS2987">
            <v>0</v>
          </cell>
          <cell r="BF2987" t="str">
            <v>4340</v>
          </cell>
          <cell r="BG2987" t="str">
            <v>D008</v>
          </cell>
          <cell r="BH2987" t="str">
            <v>GES</v>
          </cell>
        </row>
        <row r="2988">
          <cell r="K2988">
            <v>0</v>
          </cell>
          <cell r="L2988">
            <v>0</v>
          </cell>
          <cell r="N2988">
            <v>0</v>
          </cell>
          <cell r="O2988">
            <v>0</v>
          </cell>
          <cell r="Q2988">
            <v>0</v>
          </cell>
          <cell r="R2988">
            <v>0</v>
          </cell>
          <cell r="T2988">
            <v>0</v>
          </cell>
          <cell r="U2988">
            <v>0</v>
          </cell>
          <cell r="W2988">
            <v>0</v>
          </cell>
          <cell r="X2988">
            <v>0</v>
          </cell>
          <cell r="Z2988">
            <v>0</v>
          </cell>
          <cell r="AA2988">
            <v>0</v>
          </cell>
          <cell r="AC2988">
            <v>0</v>
          </cell>
          <cell r="AD2988">
            <v>0</v>
          </cell>
          <cell r="AF2988">
            <v>0</v>
          </cell>
          <cell r="AG2988">
            <v>0</v>
          </cell>
          <cell r="AI2988">
            <v>0</v>
          </cell>
          <cell r="AJ2988">
            <v>0</v>
          </cell>
          <cell r="AL2988">
            <v>0</v>
          </cell>
          <cell r="AM2988">
            <v>0</v>
          </cell>
          <cell r="AO2988">
            <v>0</v>
          </cell>
          <cell r="AP2988">
            <v>0</v>
          </cell>
          <cell r="AR2988">
            <v>0</v>
          </cell>
          <cell r="AS2988">
            <v>0</v>
          </cell>
          <cell r="BF2988" t="str">
            <v>4360</v>
          </cell>
          <cell r="BG2988" t="str">
            <v>Z000</v>
          </cell>
          <cell r="BH2988" t="str">
            <v>GES</v>
          </cell>
        </row>
        <row r="2989">
          <cell r="K2989">
            <v>0</v>
          </cell>
          <cell r="L2989">
            <v>0</v>
          </cell>
          <cell r="N2989">
            <v>0</v>
          </cell>
          <cell r="O2989">
            <v>0</v>
          </cell>
          <cell r="Q2989">
            <v>0</v>
          </cell>
          <cell r="R2989">
            <v>0</v>
          </cell>
          <cell r="T2989">
            <v>0</v>
          </cell>
          <cell r="U2989">
            <v>0</v>
          </cell>
          <cell r="W2989">
            <v>0</v>
          </cell>
          <cell r="X2989">
            <v>0</v>
          </cell>
          <cell r="Z2989">
            <v>0</v>
          </cell>
          <cell r="AA2989">
            <v>0</v>
          </cell>
          <cell r="AC2989">
            <v>0</v>
          </cell>
          <cell r="AD2989">
            <v>0</v>
          </cell>
          <cell r="AF2989">
            <v>0</v>
          </cell>
          <cell r="AG2989">
            <v>0</v>
          </cell>
          <cell r="AI2989">
            <v>0</v>
          </cell>
          <cell r="AJ2989">
            <v>0</v>
          </cell>
          <cell r="AL2989">
            <v>0</v>
          </cell>
          <cell r="AM2989">
            <v>0</v>
          </cell>
          <cell r="AO2989">
            <v>0</v>
          </cell>
          <cell r="AP2989">
            <v>0</v>
          </cell>
          <cell r="AR2989">
            <v>0</v>
          </cell>
          <cell r="AS2989">
            <v>0</v>
          </cell>
          <cell r="BF2989" t="str">
            <v>4380</v>
          </cell>
          <cell r="BG2989" t="str">
            <v>Z000</v>
          </cell>
          <cell r="BH2989" t="str">
            <v>GES</v>
          </cell>
        </row>
        <row r="2990">
          <cell r="K2990">
            <v>0</v>
          </cell>
          <cell r="L2990">
            <v>0</v>
          </cell>
          <cell r="N2990">
            <v>0</v>
          </cell>
          <cell r="O2990">
            <v>0</v>
          </cell>
          <cell r="Q2990">
            <v>0</v>
          </cell>
          <cell r="R2990">
            <v>0</v>
          </cell>
          <cell r="T2990">
            <v>0</v>
          </cell>
          <cell r="U2990">
            <v>0</v>
          </cell>
          <cell r="W2990">
            <v>0</v>
          </cell>
          <cell r="X2990">
            <v>0</v>
          </cell>
          <cell r="Z2990">
            <v>0</v>
          </cell>
          <cell r="AA2990">
            <v>0</v>
          </cell>
          <cell r="AC2990">
            <v>0</v>
          </cell>
          <cell r="AD2990">
            <v>0</v>
          </cell>
          <cell r="AF2990">
            <v>0</v>
          </cell>
          <cell r="AG2990">
            <v>0</v>
          </cell>
          <cell r="AI2990">
            <v>0</v>
          </cell>
          <cell r="AJ2990">
            <v>0</v>
          </cell>
          <cell r="AL2990">
            <v>0</v>
          </cell>
          <cell r="AM2990">
            <v>0</v>
          </cell>
          <cell r="AO2990">
            <v>0</v>
          </cell>
          <cell r="AP2990">
            <v>0</v>
          </cell>
          <cell r="AR2990">
            <v>0</v>
          </cell>
          <cell r="AS2990">
            <v>0</v>
          </cell>
          <cell r="BF2990" t="str">
            <v>4400</v>
          </cell>
          <cell r="BG2990" t="str">
            <v>Z000</v>
          </cell>
          <cell r="BH2990" t="str">
            <v>GES</v>
          </cell>
        </row>
        <row r="2991">
          <cell r="K2991">
            <v>0</v>
          </cell>
          <cell r="L2991">
            <v>0</v>
          </cell>
          <cell r="N2991">
            <v>0</v>
          </cell>
          <cell r="O2991">
            <v>0</v>
          </cell>
          <cell r="Q2991">
            <v>0</v>
          </cell>
          <cell r="R2991">
            <v>0</v>
          </cell>
          <cell r="T2991">
            <v>0</v>
          </cell>
          <cell r="U2991">
            <v>0</v>
          </cell>
          <cell r="W2991">
            <v>0</v>
          </cell>
          <cell r="X2991">
            <v>0</v>
          </cell>
          <cell r="Z2991">
            <v>0</v>
          </cell>
          <cell r="AA2991">
            <v>0</v>
          </cell>
          <cell r="AC2991">
            <v>0</v>
          </cell>
          <cell r="AD2991">
            <v>0</v>
          </cell>
          <cell r="AF2991">
            <v>0</v>
          </cell>
          <cell r="AG2991">
            <v>0</v>
          </cell>
          <cell r="AI2991">
            <v>0</v>
          </cell>
          <cell r="AJ2991">
            <v>0</v>
          </cell>
          <cell r="AL2991">
            <v>0</v>
          </cell>
          <cell r="AM2991">
            <v>0</v>
          </cell>
          <cell r="AO2991">
            <v>0</v>
          </cell>
          <cell r="AP2991">
            <v>0</v>
          </cell>
          <cell r="AR2991">
            <v>0</v>
          </cell>
          <cell r="AS2991">
            <v>0</v>
          </cell>
          <cell r="BF2991" t="str">
            <v>4480</v>
          </cell>
          <cell r="BG2991" t="str">
            <v>Z000</v>
          </cell>
          <cell r="BH2991" t="str">
            <v>GES</v>
          </cell>
        </row>
        <row r="2992">
          <cell r="K2992">
            <v>0</v>
          </cell>
          <cell r="L2992">
            <v>0</v>
          </cell>
          <cell r="N2992">
            <v>0</v>
          </cell>
          <cell r="O2992">
            <v>0</v>
          </cell>
          <cell r="Q2992">
            <v>0</v>
          </cell>
          <cell r="R2992">
            <v>0</v>
          </cell>
          <cell r="T2992">
            <v>0</v>
          </cell>
          <cell r="U2992">
            <v>0</v>
          </cell>
          <cell r="W2992">
            <v>0</v>
          </cell>
          <cell r="X2992">
            <v>0</v>
          </cell>
          <cell r="Z2992">
            <v>0</v>
          </cell>
          <cell r="AA2992">
            <v>0</v>
          </cell>
          <cell r="AC2992">
            <v>0</v>
          </cell>
          <cell r="AD2992">
            <v>0</v>
          </cell>
          <cell r="AF2992">
            <v>0</v>
          </cell>
          <cell r="AG2992">
            <v>0</v>
          </cell>
          <cell r="AI2992">
            <v>0</v>
          </cell>
          <cell r="AJ2992">
            <v>0</v>
          </cell>
          <cell r="AL2992">
            <v>0</v>
          </cell>
          <cell r="AM2992">
            <v>0</v>
          </cell>
          <cell r="AO2992">
            <v>0</v>
          </cell>
          <cell r="AP2992">
            <v>0</v>
          </cell>
          <cell r="AR2992">
            <v>0</v>
          </cell>
          <cell r="AS2992">
            <v>0</v>
          </cell>
          <cell r="BF2992" t="str">
            <v>4500</v>
          </cell>
          <cell r="BG2992" t="str">
            <v>Z000</v>
          </cell>
          <cell r="BH2992" t="str">
            <v>GES</v>
          </cell>
        </row>
        <row r="2993">
          <cell r="K2993">
            <v>0</v>
          </cell>
          <cell r="L2993">
            <v>0</v>
          </cell>
          <cell r="N2993">
            <v>0</v>
          </cell>
          <cell r="O2993">
            <v>0</v>
          </cell>
          <cell r="Q2993">
            <v>0</v>
          </cell>
          <cell r="R2993">
            <v>0</v>
          </cell>
          <cell r="T2993">
            <v>0</v>
          </cell>
          <cell r="U2993">
            <v>0</v>
          </cell>
          <cell r="W2993">
            <v>0</v>
          </cell>
          <cell r="X2993">
            <v>0</v>
          </cell>
          <cell r="Z2993">
            <v>0</v>
          </cell>
          <cell r="AA2993">
            <v>0</v>
          </cell>
          <cell r="AC2993">
            <v>0</v>
          </cell>
          <cell r="AD2993">
            <v>0</v>
          </cell>
          <cell r="AF2993">
            <v>0</v>
          </cell>
          <cell r="AG2993">
            <v>0</v>
          </cell>
          <cell r="AI2993">
            <v>0</v>
          </cell>
          <cell r="AJ2993">
            <v>0</v>
          </cell>
          <cell r="AL2993">
            <v>0</v>
          </cell>
          <cell r="AM2993">
            <v>0</v>
          </cell>
          <cell r="AO2993">
            <v>0</v>
          </cell>
          <cell r="AP2993">
            <v>0</v>
          </cell>
          <cell r="AR2993">
            <v>0</v>
          </cell>
          <cell r="AS2993">
            <v>0</v>
          </cell>
          <cell r="BF2993" t="str">
            <v>4520</v>
          </cell>
          <cell r="BG2993" t="str">
            <v>D011</v>
          </cell>
          <cell r="BH2993" t="str">
            <v>GES</v>
          </cell>
        </row>
        <row r="2994">
          <cell r="K2994">
            <v>0</v>
          </cell>
          <cell r="L2994">
            <v>0</v>
          </cell>
          <cell r="N2994">
            <v>0</v>
          </cell>
          <cell r="O2994">
            <v>0</v>
          </cell>
          <cell r="Q2994">
            <v>0</v>
          </cell>
          <cell r="R2994">
            <v>0</v>
          </cell>
          <cell r="T2994">
            <v>0</v>
          </cell>
          <cell r="U2994">
            <v>0</v>
          </cell>
          <cell r="W2994">
            <v>0</v>
          </cell>
          <cell r="X2994">
            <v>0</v>
          </cell>
          <cell r="Z2994">
            <v>0</v>
          </cell>
          <cell r="AA2994">
            <v>0</v>
          </cell>
          <cell r="AC2994">
            <v>0</v>
          </cell>
          <cell r="AD2994">
            <v>0</v>
          </cell>
          <cell r="AF2994">
            <v>0</v>
          </cell>
          <cell r="AG2994">
            <v>0</v>
          </cell>
          <cell r="AI2994">
            <v>0</v>
          </cell>
          <cell r="AJ2994">
            <v>0</v>
          </cell>
          <cell r="AL2994">
            <v>0</v>
          </cell>
          <cell r="AM2994">
            <v>0</v>
          </cell>
          <cell r="AO2994">
            <v>0</v>
          </cell>
          <cell r="AP2994">
            <v>0</v>
          </cell>
          <cell r="AR2994">
            <v>0</v>
          </cell>
          <cell r="AS2994">
            <v>0</v>
          </cell>
          <cell r="BF2994" t="str">
            <v>4520</v>
          </cell>
          <cell r="BG2994" t="str">
            <v>D012</v>
          </cell>
          <cell r="BH2994" t="str">
            <v>GES</v>
          </cell>
        </row>
        <row r="2995">
          <cell r="K2995">
            <v>0</v>
          </cell>
          <cell r="L2995">
            <v>0</v>
          </cell>
          <cell r="N2995">
            <v>0</v>
          </cell>
          <cell r="O2995">
            <v>0</v>
          </cell>
          <cell r="Q2995">
            <v>0</v>
          </cell>
          <cell r="R2995">
            <v>0</v>
          </cell>
          <cell r="T2995">
            <v>0</v>
          </cell>
          <cell r="U2995">
            <v>0</v>
          </cell>
          <cell r="W2995">
            <v>0</v>
          </cell>
          <cell r="X2995">
            <v>0</v>
          </cell>
          <cell r="Z2995">
            <v>0</v>
          </cell>
          <cell r="AA2995">
            <v>0</v>
          </cell>
          <cell r="AC2995">
            <v>0</v>
          </cell>
          <cell r="AD2995">
            <v>0</v>
          </cell>
          <cell r="AF2995">
            <v>0</v>
          </cell>
          <cell r="AG2995">
            <v>0</v>
          </cell>
          <cell r="AI2995">
            <v>0</v>
          </cell>
          <cell r="AJ2995">
            <v>0</v>
          </cell>
          <cell r="AL2995">
            <v>0</v>
          </cell>
          <cell r="AM2995">
            <v>0</v>
          </cell>
          <cell r="AO2995">
            <v>0</v>
          </cell>
          <cell r="AP2995">
            <v>0</v>
          </cell>
          <cell r="AR2995">
            <v>0</v>
          </cell>
          <cell r="AS2995">
            <v>0</v>
          </cell>
          <cell r="BF2995" t="str">
            <v>4520</v>
          </cell>
          <cell r="BG2995" t="str">
            <v>D013</v>
          </cell>
          <cell r="BH2995" t="str">
            <v>GES</v>
          </cell>
        </row>
        <row r="2996">
          <cell r="K2996">
            <v>0</v>
          </cell>
          <cell r="L2996">
            <v>0</v>
          </cell>
          <cell r="N2996">
            <v>0</v>
          </cell>
          <cell r="O2996">
            <v>0</v>
          </cell>
          <cell r="Q2996">
            <v>0</v>
          </cell>
          <cell r="R2996">
            <v>0</v>
          </cell>
          <cell r="T2996">
            <v>0</v>
          </cell>
          <cell r="U2996">
            <v>0</v>
          </cell>
          <cell r="W2996">
            <v>0</v>
          </cell>
          <cell r="X2996">
            <v>0</v>
          </cell>
          <cell r="Z2996">
            <v>0</v>
          </cell>
          <cell r="AA2996">
            <v>0</v>
          </cell>
          <cell r="AC2996">
            <v>0</v>
          </cell>
          <cell r="AD2996">
            <v>0</v>
          </cell>
          <cell r="AF2996">
            <v>0</v>
          </cell>
          <cell r="AG2996">
            <v>0</v>
          </cell>
          <cell r="AI2996">
            <v>0</v>
          </cell>
          <cell r="AJ2996">
            <v>0</v>
          </cell>
          <cell r="AL2996">
            <v>0</v>
          </cell>
          <cell r="AM2996">
            <v>0</v>
          </cell>
          <cell r="AO2996">
            <v>0</v>
          </cell>
          <cell r="AP2996">
            <v>0</v>
          </cell>
          <cell r="AR2996">
            <v>0</v>
          </cell>
          <cell r="AS2996">
            <v>0</v>
          </cell>
          <cell r="BF2996" t="str">
            <v>4520</v>
          </cell>
          <cell r="BG2996" t="str">
            <v>D014</v>
          </cell>
          <cell r="BH2996" t="str">
            <v>GES</v>
          </cell>
        </row>
        <row r="2997">
          <cell r="K2997">
            <v>0</v>
          </cell>
          <cell r="L2997">
            <v>0</v>
          </cell>
          <cell r="N2997">
            <v>0</v>
          </cell>
          <cell r="O2997">
            <v>0</v>
          </cell>
          <cell r="Q2997">
            <v>0</v>
          </cell>
          <cell r="R2997">
            <v>0</v>
          </cell>
          <cell r="T2997">
            <v>0</v>
          </cell>
          <cell r="U2997">
            <v>0</v>
          </cell>
          <cell r="W2997">
            <v>0</v>
          </cell>
          <cell r="X2997">
            <v>0</v>
          </cell>
          <cell r="Z2997">
            <v>0</v>
          </cell>
          <cell r="AA2997">
            <v>0</v>
          </cell>
          <cell r="AC2997">
            <v>0</v>
          </cell>
          <cell r="AD2997">
            <v>0</v>
          </cell>
          <cell r="AF2997">
            <v>0</v>
          </cell>
          <cell r="AG2997">
            <v>0</v>
          </cell>
          <cell r="AI2997">
            <v>0</v>
          </cell>
          <cell r="AJ2997">
            <v>0</v>
          </cell>
          <cell r="AL2997">
            <v>0</v>
          </cell>
          <cell r="AM2997">
            <v>0</v>
          </cell>
          <cell r="AO2997">
            <v>0</v>
          </cell>
          <cell r="AP2997">
            <v>0</v>
          </cell>
          <cell r="AR2997">
            <v>0</v>
          </cell>
          <cell r="AS2997">
            <v>0</v>
          </cell>
          <cell r="BF2997" t="str">
            <v>4520</v>
          </cell>
          <cell r="BG2997" t="str">
            <v>D015</v>
          </cell>
          <cell r="BH2997" t="str">
            <v>GES</v>
          </cell>
        </row>
        <row r="2998">
          <cell r="K2998">
            <v>0</v>
          </cell>
          <cell r="L2998">
            <v>0</v>
          </cell>
          <cell r="N2998">
            <v>0</v>
          </cell>
          <cell r="O2998">
            <v>0</v>
          </cell>
          <cell r="Q2998">
            <v>0</v>
          </cell>
          <cell r="R2998">
            <v>0</v>
          </cell>
          <cell r="T2998">
            <v>0</v>
          </cell>
          <cell r="U2998">
            <v>0</v>
          </cell>
          <cell r="W2998">
            <v>0</v>
          </cell>
          <cell r="X2998">
            <v>0</v>
          </cell>
          <cell r="Z2998">
            <v>0</v>
          </cell>
          <cell r="AA2998">
            <v>0</v>
          </cell>
          <cell r="AC2998">
            <v>0</v>
          </cell>
          <cell r="AD2998">
            <v>0</v>
          </cell>
          <cell r="AF2998">
            <v>0</v>
          </cell>
          <cell r="AG2998">
            <v>0</v>
          </cell>
          <cell r="AI2998">
            <v>0</v>
          </cell>
          <cell r="AJ2998">
            <v>0</v>
          </cell>
          <cell r="AL2998">
            <v>0</v>
          </cell>
          <cell r="AM2998">
            <v>0</v>
          </cell>
          <cell r="AO2998">
            <v>0</v>
          </cell>
          <cell r="AP2998">
            <v>0</v>
          </cell>
          <cell r="AR2998">
            <v>0</v>
          </cell>
          <cell r="AS2998">
            <v>0</v>
          </cell>
          <cell r="BF2998" t="str">
            <v>4520</v>
          </cell>
          <cell r="BG2998" t="str">
            <v>D016</v>
          </cell>
          <cell r="BH2998" t="str">
            <v>GES</v>
          </cell>
        </row>
        <row r="2999">
          <cell r="K2999">
            <v>0</v>
          </cell>
          <cell r="L2999">
            <v>0</v>
          </cell>
          <cell r="N2999">
            <v>0</v>
          </cell>
          <cell r="O2999">
            <v>0</v>
          </cell>
          <cell r="Q2999">
            <v>0</v>
          </cell>
          <cell r="R2999">
            <v>0</v>
          </cell>
          <cell r="T2999">
            <v>0</v>
          </cell>
          <cell r="U2999">
            <v>0</v>
          </cell>
          <cell r="W2999">
            <v>0</v>
          </cell>
          <cell r="X2999">
            <v>0</v>
          </cell>
          <cell r="Z2999">
            <v>0</v>
          </cell>
          <cell r="AA2999">
            <v>0</v>
          </cell>
          <cell r="AC2999">
            <v>0</v>
          </cell>
          <cell r="AD2999">
            <v>0</v>
          </cell>
          <cell r="AF2999">
            <v>3162.65</v>
          </cell>
          <cell r="AG2999">
            <v>0</v>
          </cell>
          <cell r="AI2999">
            <v>0</v>
          </cell>
          <cell r="AJ2999">
            <v>0</v>
          </cell>
          <cell r="AL2999">
            <v>0</v>
          </cell>
          <cell r="AM2999">
            <v>0</v>
          </cell>
          <cell r="AO2999">
            <v>0</v>
          </cell>
          <cell r="AP2999">
            <v>0</v>
          </cell>
          <cell r="AR2999">
            <v>1178.9000000000001</v>
          </cell>
          <cell r="AS2999">
            <v>0</v>
          </cell>
          <cell r="BF2999" t="str">
            <v>4560</v>
          </cell>
          <cell r="BG2999" t="str">
            <v>Z000</v>
          </cell>
          <cell r="BH2999" t="str">
            <v>GES</v>
          </cell>
        </row>
        <row r="3000">
          <cell r="K3000">
            <v>0</v>
          </cell>
          <cell r="L3000">
            <v>0</v>
          </cell>
          <cell r="N3000">
            <v>0</v>
          </cell>
          <cell r="O3000">
            <v>0</v>
          </cell>
          <cell r="Q3000">
            <v>0</v>
          </cell>
          <cell r="R3000">
            <v>0</v>
          </cell>
          <cell r="T3000">
            <v>0</v>
          </cell>
          <cell r="U3000">
            <v>0</v>
          </cell>
          <cell r="W3000">
            <v>0</v>
          </cell>
          <cell r="X3000">
            <v>0</v>
          </cell>
          <cell r="Z3000">
            <v>0</v>
          </cell>
          <cell r="AA3000">
            <v>0</v>
          </cell>
          <cell r="AC3000">
            <v>0</v>
          </cell>
          <cell r="AD3000">
            <v>0</v>
          </cell>
          <cell r="AF3000">
            <v>3427.3500000000008</v>
          </cell>
          <cell r="AG3000">
            <v>0</v>
          </cell>
          <cell r="AI3000">
            <v>243.90000000000009</v>
          </cell>
          <cell r="AJ3000">
            <v>0</v>
          </cell>
          <cell r="AL3000">
            <v>268.69000000000005</v>
          </cell>
          <cell r="AM3000">
            <v>0</v>
          </cell>
          <cell r="AO3000">
            <v>241.42000000000053</v>
          </cell>
          <cell r="AP3000">
            <v>0</v>
          </cell>
          <cell r="AR3000">
            <v>241.42000000000007</v>
          </cell>
          <cell r="AS3000">
            <v>0</v>
          </cell>
          <cell r="BF3000" t="str">
            <v>4580</v>
          </cell>
          <cell r="BG3000" t="str">
            <v>Z000</v>
          </cell>
          <cell r="BH3000" t="str">
            <v>GES</v>
          </cell>
        </row>
        <row r="3001">
          <cell r="K3001">
            <v>0</v>
          </cell>
          <cell r="L3001">
            <v>0</v>
          </cell>
          <cell r="N3001">
            <v>0</v>
          </cell>
          <cell r="O3001">
            <v>0</v>
          </cell>
          <cell r="Q3001">
            <v>0</v>
          </cell>
          <cell r="R3001">
            <v>0</v>
          </cell>
          <cell r="T3001">
            <v>0</v>
          </cell>
          <cell r="U3001">
            <v>0</v>
          </cell>
          <cell r="W3001">
            <v>0</v>
          </cell>
          <cell r="X3001">
            <v>0</v>
          </cell>
          <cell r="Z3001">
            <v>0</v>
          </cell>
          <cell r="AA3001">
            <v>0</v>
          </cell>
          <cell r="AC3001">
            <v>0</v>
          </cell>
          <cell r="AD3001">
            <v>0</v>
          </cell>
          <cell r="AF3001">
            <v>0</v>
          </cell>
          <cell r="AG3001">
            <v>0</v>
          </cell>
          <cell r="AI3001">
            <v>0</v>
          </cell>
          <cell r="AJ3001">
            <v>0</v>
          </cell>
          <cell r="AL3001">
            <v>0</v>
          </cell>
          <cell r="AM3001">
            <v>0</v>
          </cell>
          <cell r="AO3001">
            <v>0</v>
          </cell>
          <cell r="AP3001">
            <v>0</v>
          </cell>
          <cell r="AR3001">
            <v>0</v>
          </cell>
          <cell r="AS3001">
            <v>0</v>
          </cell>
          <cell r="BF3001" t="str">
            <v>4585</v>
          </cell>
          <cell r="BG3001" t="str">
            <v>D021</v>
          </cell>
          <cell r="BH3001" t="str">
            <v>GES</v>
          </cell>
        </row>
        <row r="3002">
          <cell r="K3002">
            <v>0</v>
          </cell>
          <cell r="L3002">
            <v>0</v>
          </cell>
          <cell r="N3002">
            <v>0</v>
          </cell>
          <cell r="O3002">
            <v>0</v>
          </cell>
          <cell r="Q3002">
            <v>0</v>
          </cell>
          <cell r="R3002">
            <v>0</v>
          </cell>
          <cell r="T3002">
            <v>0</v>
          </cell>
          <cell r="U3002">
            <v>0</v>
          </cell>
          <cell r="W3002">
            <v>0</v>
          </cell>
          <cell r="X3002">
            <v>0</v>
          </cell>
          <cell r="Z3002">
            <v>0</v>
          </cell>
          <cell r="AA3002">
            <v>0</v>
          </cell>
          <cell r="AC3002">
            <v>0</v>
          </cell>
          <cell r="AD3002">
            <v>0</v>
          </cell>
          <cell r="AF3002">
            <v>0</v>
          </cell>
          <cell r="AG3002">
            <v>0</v>
          </cell>
          <cell r="AI3002">
            <v>11900</v>
          </cell>
          <cell r="AJ3002">
            <v>0</v>
          </cell>
          <cell r="AL3002">
            <v>11567.84</v>
          </cell>
          <cell r="AM3002">
            <v>0</v>
          </cell>
          <cell r="AO3002">
            <v>11424.319999999996</v>
          </cell>
          <cell r="AP3002">
            <v>0</v>
          </cell>
          <cell r="AR3002">
            <v>11684.799999999996</v>
          </cell>
          <cell r="AS3002">
            <v>0</v>
          </cell>
          <cell r="BF3002" t="str">
            <v>4585</v>
          </cell>
          <cell r="BG3002" t="str">
            <v>D022</v>
          </cell>
          <cell r="BH3002" t="str">
            <v>GES</v>
          </cell>
        </row>
        <row r="3003">
          <cell r="K3003">
            <v>0</v>
          </cell>
          <cell r="L3003">
            <v>0</v>
          </cell>
          <cell r="N3003">
            <v>0</v>
          </cell>
          <cell r="O3003">
            <v>0</v>
          </cell>
          <cell r="Q3003">
            <v>0</v>
          </cell>
          <cell r="R3003">
            <v>0</v>
          </cell>
          <cell r="T3003">
            <v>0</v>
          </cell>
          <cell r="U3003">
            <v>0</v>
          </cell>
          <cell r="W3003">
            <v>0</v>
          </cell>
          <cell r="X3003">
            <v>0</v>
          </cell>
          <cell r="Z3003">
            <v>0</v>
          </cell>
          <cell r="AA3003">
            <v>0</v>
          </cell>
          <cell r="AC3003">
            <v>0</v>
          </cell>
          <cell r="AD3003">
            <v>0</v>
          </cell>
          <cell r="AF3003">
            <v>0</v>
          </cell>
          <cell r="AG3003">
            <v>0</v>
          </cell>
          <cell r="AI3003">
            <v>0</v>
          </cell>
          <cell r="AJ3003">
            <v>0</v>
          </cell>
          <cell r="AL3003">
            <v>0</v>
          </cell>
          <cell r="AM3003">
            <v>0</v>
          </cell>
          <cell r="AO3003">
            <v>0</v>
          </cell>
          <cell r="AP3003">
            <v>0</v>
          </cell>
          <cell r="AR3003">
            <v>0</v>
          </cell>
          <cell r="AS3003">
            <v>0</v>
          </cell>
          <cell r="BF3003" t="str">
            <v>4585</v>
          </cell>
          <cell r="BG3003" t="str">
            <v>D023</v>
          </cell>
          <cell r="BH3003" t="str">
            <v>GES</v>
          </cell>
        </row>
        <row r="3004">
          <cell r="K3004">
            <v>0</v>
          </cell>
          <cell r="L3004">
            <v>0</v>
          </cell>
          <cell r="N3004">
            <v>0</v>
          </cell>
          <cell r="O3004">
            <v>0</v>
          </cell>
          <cell r="Q3004">
            <v>0</v>
          </cell>
          <cell r="R3004">
            <v>0</v>
          </cell>
          <cell r="T3004">
            <v>0</v>
          </cell>
          <cell r="U3004">
            <v>0</v>
          </cell>
          <cell r="W3004">
            <v>0</v>
          </cell>
          <cell r="X3004">
            <v>0</v>
          </cell>
          <cell r="Z3004">
            <v>0</v>
          </cell>
          <cell r="AA3004">
            <v>0</v>
          </cell>
          <cell r="AC3004">
            <v>0</v>
          </cell>
          <cell r="AD3004">
            <v>0</v>
          </cell>
          <cell r="AF3004">
            <v>0</v>
          </cell>
          <cell r="AG3004">
            <v>0</v>
          </cell>
          <cell r="AI3004">
            <v>0</v>
          </cell>
          <cell r="AJ3004">
            <v>0</v>
          </cell>
          <cell r="AL3004">
            <v>0</v>
          </cell>
          <cell r="AM3004">
            <v>0</v>
          </cell>
          <cell r="AO3004">
            <v>0</v>
          </cell>
          <cell r="AP3004">
            <v>0</v>
          </cell>
          <cell r="AR3004">
            <v>0</v>
          </cell>
          <cell r="AS3004">
            <v>0</v>
          </cell>
          <cell r="BF3004" t="str">
            <v>4585</v>
          </cell>
          <cell r="BG3004" t="str">
            <v>D024</v>
          </cell>
          <cell r="BH3004" t="str">
            <v>GES</v>
          </cell>
        </row>
        <row r="3005">
          <cell r="K3005">
            <v>0</v>
          </cell>
          <cell r="L3005">
            <v>0</v>
          </cell>
          <cell r="N3005">
            <v>0</v>
          </cell>
          <cell r="O3005">
            <v>0</v>
          </cell>
          <cell r="Q3005">
            <v>0</v>
          </cell>
          <cell r="R3005">
            <v>0</v>
          </cell>
          <cell r="T3005">
            <v>0</v>
          </cell>
          <cell r="U3005">
            <v>0</v>
          </cell>
          <cell r="W3005">
            <v>0</v>
          </cell>
          <cell r="X3005">
            <v>0</v>
          </cell>
          <cell r="Z3005">
            <v>0</v>
          </cell>
          <cell r="AA3005">
            <v>0</v>
          </cell>
          <cell r="AC3005">
            <v>0</v>
          </cell>
          <cell r="AD3005">
            <v>0</v>
          </cell>
          <cell r="AF3005">
            <v>1573</v>
          </cell>
          <cell r="AG3005">
            <v>0</v>
          </cell>
          <cell r="AI3005">
            <v>0</v>
          </cell>
          <cell r="AJ3005">
            <v>0</v>
          </cell>
          <cell r="AL3005">
            <v>0</v>
          </cell>
          <cell r="AM3005">
            <v>0</v>
          </cell>
          <cell r="AO3005">
            <v>335.78999999999996</v>
          </cell>
          <cell r="AP3005">
            <v>0</v>
          </cell>
          <cell r="AR3005">
            <v>0</v>
          </cell>
          <cell r="AS3005">
            <v>0</v>
          </cell>
          <cell r="BF3005" t="str">
            <v>4590</v>
          </cell>
          <cell r="BG3005" t="str">
            <v>Z000</v>
          </cell>
          <cell r="BH3005" t="str">
            <v>GES</v>
          </cell>
        </row>
        <row r="3006">
          <cell r="K3006">
            <v>0</v>
          </cell>
          <cell r="L3006">
            <v>0</v>
          </cell>
          <cell r="N3006">
            <v>0</v>
          </cell>
          <cell r="O3006">
            <v>0</v>
          </cell>
          <cell r="Q3006">
            <v>0</v>
          </cell>
          <cell r="R3006">
            <v>0</v>
          </cell>
          <cell r="T3006">
            <v>0</v>
          </cell>
          <cell r="U3006">
            <v>0</v>
          </cell>
          <cell r="W3006">
            <v>0</v>
          </cell>
          <cell r="X3006">
            <v>0</v>
          </cell>
          <cell r="Z3006">
            <v>0</v>
          </cell>
          <cell r="AA3006">
            <v>0</v>
          </cell>
          <cell r="AC3006">
            <v>0</v>
          </cell>
          <cell r="AD3006">
            <v>0</v>
          </cell>
          <cell r="AF3006">
            <v>0</v>
          </cell>
          <cell r="AG3006">
            <v>0</v>
          </cell>
          <cell r="AI3006">
            <v>0</v>
          </cell>
          <cell r="AJ3006">
            <v>0</v>
          </cell>
          <cell r="AL3006">
            <v>0</v>
          </cell>
          <cell r="AM3006">
            <v>0</v>
          </cell>
          <cell r="AO3006">
            <v>0</v>
          </cell>
          <cell r="AP3006">
            <v>0</v>
          </cell>
          <cell r="AR3006">
            <v>0</v>
          </cell>
          <cell r="AS3006">
            <v>0</v>
          </cell>
          <cell r="BF3006" t="str">
            <v>4600</v>
          </cell>
          <cell r="BG3006" t="str">
            <v>Z000</v>
          </cell>
          <cell r="BH3006" t="str">
            <v>GES</v>
          </cell>
        </row>
        <row r="3007">
          <cell r="K3007">
            <v>0</v>
          </cell>
          <cell r="L3007">
            <v>0</v>
          </cell>
          <cell r="N3007">
            <v>0</v>
          </cell>
          <cell r="O3007">
            <v>0</v>
          </cell>
          <cell r="Q3007">
            <v>0</v>
          </cell>
          <cell r="R3007">
            <v>0</v>
          </cell>
          <cell r="T3007">
            <v>0</v>
          </cell>
          <cell r="U3007">
            <v>0</v>
          </cell>
          <cell r="W3007">
            <v>0</v>
          </cell>
          <cell r="X3007">
            <v>0</v>
          </cell>
          <cell r="Z3007">
            <v>0</v>
          </cell>
          <cell r="AA3007">
            <v>0</v>
          </cell>
          <cell r="AC3007">
            <v>0</v>
          </cell>
          <cell r="AD3007">
            <v>0</v>
          </cell>
          <cell r="AF3007">
            <v>0</v>
          </cell>
          <cell r="AG3007">
            <v>0</v>
          </cell>
          <cell r="AI3007">
            <v>0</v>
          </cell>
          <cell r="AJ3007">
            <v>0</v>
          </cell>
          <cell r="AL3007">
            <v>0</v>
          </cell>
          <cell r="AM3007">
            <v>0</v>
          </cell>
          <cell r="AO3007">
            <v>0</v>
          </cell>
          <cell r="AP3007">
            <v>0</v>
          </cell>
          <cell r="AR3007">
            <v>0</v>
          </cell>
          <cell r="AS3007">
            <v>0</v>
          </cell>
          <cell r="BF3007" t="str">
            <v>4620</v>
          </cell>
          <cell r="BG3007" t="str">
            <v>Z000</v>
          </cell>
          <cell r="BH3007" t="str">
            <v>GES</v>
          </cell>
        </row>
        <row r="3008">
          <cell r="K3008">
            <v>0</v>
          </cell>
          <cell r="L3008">
            <v>0</v>
          </cell>
          <cell r="N3008">
            <v>0</v>
          </cell>
          <cell r="O3008">
            <v>0</v>
          </cell>
          <cell r="Q3008">
            <v>0</v>
          </cell>
          <cell r="R3008">
            <v>0</v>
          </cell>
          <cell r="T3008">
            <v>0</v>
          </cell>
          <cell r="U3008">
            <v>0</v>
          </cell>
          <cell r="W3008">
            <v>0</v>
          </cell>
          <cell r="X3008">
            <v>0</v>
          </cell>
          <cell r="Z3008">
            <v>0</v>
          </cell>
          <cell r="AA3008">
            <v>0</v>
          </cell>
          <cell r="AC3008">
            <v>0</v>
          </cell>
          <cell r="AD3008">
            <v>0</v>
          </cell>
          <cell r="AF3008">
            <v>0</v>
          </cell>
          <cell r="AG3008">
            <v>0</v>
          </cell>
          <cell r="AI3008">
            <v>0</v>
          </cell>
          <cell r="AJ3008">
            <v>0</v>
          </cell>
          <cell r="AL3008">
            <v>0</v>
          </cell>
          <cell r="AM3008">
            <v>0</v>
          </cell>
          <cell r="AO3008">
            <v>0</v>
          </cell>
          <cell r="AP3008">
            <v>0</v>
          </cell>
          <cell r="AR3008">
            <v>0</v>
          </cell>
          <cell r="AS3008">
            <v>0</v>
          </cell>
          <cell r="BF3008" t="str">
            <v>4630</v>
          </cell>
          <cell r="BG3008" t="str">
            <v>Z000</v>
          </cell>
          <cell r="BH3008" t="str">
            <v>GES</v>
          </cell>
        </row>
        <row r="3009">
          <cell r="K3009">
            <v>0</v>
          </cell>
          <cell r="L3009">
            <v>0</v>
          </cell>
          <cell r="N3009">
            <v>0</v>
          </cell>
          <cell r="O3009">
            <v>0</v>
          </cell>
          <cell r="Q3009">
            <v>0</v>
          </cell>
          <cell r="R3009">
            <v>0</v>
          </cell>
          <cell r="T3009">
            <v>0</v>
          </cell>
          <cell r="U3009">
            <v>0</v>
          </cell>
          <cell r="W3009">
            <v>0</v>
          </cell>
          <cell r="X3009">
            <v>0</v>
          </cell>
          <cell r="Z3009">
            <v>0</v>
          </cell>
          <cell r="AA3009">
            <v>0</v>
          </cell>
          <cell r="AC3009">
            <v>0</v>
          </cell>
          <cell r="AD3009">
            <v>0</v>
          </cell>
          <cell r="AF3009">
            <v>0</v>
          </cell>
          <cell r="AG3009">
            <v>0</v>
          </cell>
          <cell r="AI3009">
            <v>0</v>
          </cell>
          <cell r="AJ3009">
            <v>0</v>
          </cell>
          <cell r="AL3009">
            <v>0</v>
          </cell>
          <cell r="AM3009">
            <v>0</v>
          </cell>
          <cell r="AO3009">
            <v>0</v>
          </cell>
          <cell r="AP3009">
            <v>0</v>
          </cell>
          <cell r="AR3009">
            <v>0</v>
          </cell>
          <cell r="AS3009">
            <v>0</v>
          </cell>
          <cell r="BF3009" t="str">
            <v>4660</v>
          </cell>
          <cell r="BG3009" t="str">
            <v>Z000</v>
          </cell>
          <cell r="BH3009" t="str">
            <v>GES</v>
          </cell>
        </row>
        <row r="3010">
          <cell r="K3010">
            <v>0</v>
          </cell>
          <cell r="L3010">
            <v>0</v>
          </cell>
          <cell r="N3010">
            <v>0</v>
          </cell>
          <cell r="O3010">
            <v>0</v>
          </cell>
          <cell r="Q3010">
            <v>0</v>
          </cell>
          <cell r="R3010">
            <v>0</v>
          </cell>
          <cell r="T3010">
            <v>0</v>
          </cell>
          <cell r="U3010">
            <v>0</v>
          </cell>
          <cell r="W3010">
            <v>0</v>
          </cell>
          <cell r="X3010">
            <v>0</v>
          </cell>
          <cell r="Z3010">
            <v>0</v>
          </cell>
          <cell r="AA3010">
            <v>0</v>
          </cell>
          <cell r="AC3010">
            <v>0</v>
          </cell>
          <cell r="AD3010">
            <v>0</v>
          </cell>
          <cell r="AF3010">
            <v>0</v>
          </cell>
          <cell r="AG3010">
            <v>0</v>
          </cell>
          <cell r="AI3010">
            <v>0</v>
          </cell>
          <cell r="AJ3010">
            <v>0</v>
          </cell>
          <cell r="AL3010">
            <v>0</v>
          </cell>
          <cell r="AM3010">
            <v>0</v>
          </cell>
          <cell r="AO3010">
            <v>0</v>
          </cell>
          <cell r="AP3010">
            <v>0</v>
          </cell>
          <cell r="AR3010">
            <v>0</v>
          </cell>
          <cell r="AS3010">
            <v>0</v>
          </cell>
          <cell r="BF3010" t="str">
            <v>4670</v>
          </cell>
          <cell r="BG3010" t="str">
            <v>Z000</v>
          </cell>
          <cell r="BH3010" t="str">
            <v>GES</v>
          </cell>
        </row>
        <row r="3011">
          <cell r="K3011">
            <v>0</v>
          </cell>
          <cell r="L3011">
            <v>0</v>
          </cell>
          <cell r="N3011">
            <v>0</v>
          </cell>
          <cell r="O3011">
            <v>0</v>
          </cell>
          <cell r="Q3011">
            <v>0</v>
          </cell>
          <cell r="R3011">
            <v>0</v>
          </cell>
          <cell r="T3011">
            <v>0</v>
          </cell>
          <cell r="U3011">
            <v>0</v>
          </cell>
          <cell r="W3011">
            <v>0</v>
          </cell>
          <cell r="X3011">
            <v>0</v>
          </cell>
          <cell r="Z3011">
            <v>0</v>
          </cell>
          <cell r="AA3011">
            <v>0</v>
          </cell>
          <cell r="AC3011">
            <v>0</v>
          </cell>
          <cell r="AD3011">
            <v>0</v>
          </cell>
          <cell r="AF3011">
            <v>0</v>
          </cell>
          <cell r="AG3011">
            <v>0</v>
          </cell>
          <cell r="AI3011">
            <v>0</v>
          </cell>
          <cell r="AJ3011">
            <v>0</v>
          </cell>
          <cell r="AL3011">
            <v>0</v>
          </cell>
          <cell r="AM3011">
            <v>0</v>
          </cell>
          <cell r="AO3011">
            <v>0</v>
          </cell>
          <cell r="AP3011">
            <v>0</v>
          </cell>
          <cell r="AR3011">
            <v>0</v>
          </cell>
          <cell r="AS3011">
            <v>0</v>
          </cell>
          <cell r="BF3011" t="str">
            <v>4690</v>
          </cell>
          <cell r="BG3011" t="str">
            <v>Z000</v>
          </cell>
          <cell r="BH3011" t="str">
            <v>GES</v>
          </cell>
        </row>
        <row r="3012">
          <cell r="K3012">
            <v>0</v>
          </cell>
          <cell r="L3012">
            <v>0</v>
          </cell>
          <cell r="N3012">
            <v>0</v>
          </cell>
          <cell r="O3012">
            <v>0</v>
          </cell>
          <cell r="Q3012">
            <v>0</v>
          </cell>
          <cell r="R3012">
            <v>0</v>
          </cell>
          <cell r="T3012">
            <v>0</v>
          </cell>
          <cell r="U3012">
            <v>0</v>
          </cell>
          <cell r="W3012">
            <v>0</v>
          </cell>
          <cell r="X3012">
            <v>0</v>
          </cell>
          <cell r="Z3012">
            <v>0</v>
          </cell>
          <cell r="AA3012">
            <v>0</v>
          </cell>
          <cell r="AC3012">
            <v>0</v>
          </cell>
          <cell r="AD3012">
            <v>0</v>
          </cell>
          <cell r="AF3012">
            <v>0</v>
          </cell>
          <cell r="AG3012">
            <v>0</v>
          </cell>
          <cell r="AI3012">
            <v>48.4</v>
          </cell>
          <cell r="AJ3012">
            <v>0</v>
          </cell>
          <cell r="AL3012">
            <v>63.29999999999999</v>
          </cell>
          <cell r="AM3012">
            <v>0</v>
          </cell>
          <cell r="AO3012">
            <v>48.400000000000006</v>
          </cell>
          <cell r="AP3012">
            <v>0</v>
          </cell>
          <cell r="AR3012">
            <v>48.400000000000006</v>
          </cell>
          <cell r="AS3012">
            <v>0</v>
          </cell>
          <cell r="BF3012" t="str">
            <v>4700</v>
          </cell>
          <cell r="BG3012" t="str">
            <v>D031</v>
          </cell>
          <cell r="BH3012" t="str">
            <v>GES</v>
          </cell>
        </row>
        <row r="3013">
          <cell r="K3013">
            <v>0</v>
          </cell>
          <cell r="L3013">
            <v>0</v>
          </cell>
          <cell r="N3013">
            <v>0</v>
          </cell>
          <cell r="O3013">
            <v>0</v>
          </cell>
          <cell r="Q3013">
            <v>0</v>
          </cell>
          <cell r="R3013">
            <v>0</v>
          </cell>
          <cell r="T3013">
            <v>0</v>
          </cell>
          <cell r="U3013">
            <v>0</v>
          </cell>
          <cell r="W3013">
            <v>0</v>
          </cell>
          <cell r="X3013">
            <v>0</v>
          </cell>
          <cell r="Z3013">
            <v>0</v>
          </cell>
          <cell r="AA3013">
            <v>0</v>
          </cell>
          <cell r="AC3013">
            <v>0</v>
          </cell>
          <cell r="AD3013">
            <v>0</v>
          </cell>
          <cell r="AF3013">
            <v>0</v>
          </cell>
          <cell r="AG3013">
            <v>0</v>
          </cell>
          <cell r="AI3013">
            <v>0</v>
          </cell>
          <cell r="AJ3013">
            <v>0</v>
          </cell>
          <cell r="AL3013">
            <v>0</v>
          </cell>
          <cell r="AM3013">
            <v>0</v>
          </cell>
          <cell r="AO3013">
            <v>0</v>
          </cell>
          <cell r="AP3013">
            <v>0</v>
          </cell>
          <cell r="AR3013">
            <v>0</v>
          </cell>
          <cell r="AS3013">
            <v>0</v>
          </cell>
          <cell r="BF3013" t="str">
            <v>4700</v>
          </cell>
          <cell r="BG3013" t="str">
            <v>D032</v>
          </cell>
          <cell r="BH3013" t="str">
            <v>GES</v>
          </cell>
        </row>
        <row r="3014">
          <cell r="K3014">
            <v>0</v>
          </cell>
          <cell r="L3014">
            <v>0</v>
          </cell>
          <cell r="N3014">
            <v>0</v>
          </cell>
          <cell r="O3014">
            <v>0</v>
          </cell>
          <cell r="Q3014">
            <v>0</v>
          </cell>
          <cell r="R3014">
            <v>0</v>
          </cell>
          <cell r="T3014">
            <v>0</v>
          </cell>
          <cell r="U3014">
            <v>0</v>
          </cell>
          <cell r="W3014">
            <v>0</v>
          </cell>
          <cell r="X3014">
            <v>0</v>
          </cell>
          <cell r="Z3014">
            <v>0</v>
          </cell>
          <cell r="AA3014">
            <v>0</v>
          </cell>
          <cell r="AC3014">
            <v>0</v>
          </cell>
          <cell r="AD3014">
            <v>0</v>
          </cell>
          <cell r="AF3014">
            <v>0</v>
          </cell>
          <cell r="AG3014">
            <v>0</v>
          </cell>
          <cell r="AI3014">
            <v>0</v>
          </cell>
          <cell r="AJ3014">
            <v>0</v>
          </cell>
          <cell r="AL3014">
            <v>0</v>
          </cell>
          <cell r="AM3014">
            <v>0</v>
          </cell>
          <cell r="AO3014">
            <v>0</v>
          </cell>
          <cell r="AP3014">
            <v>0</v>
          </cell>
          <cell r="AR3014">
            <v>0</v>
          </cell>
          <cell r="AS3014">
            <v>0</v>
          </cell>
          <cell r="BF3014" t="str">
            <v>4740</v>
          </cell>
          <cell r="BG3014" t="str">
            <v>D041</v>
          </cell>
          <cell r="BH3014" t="str">
            <v>GES</v>
          </cell>
        </row>
        <row r="3015">
          <cell r="K3015">
            <v>0</v>
          </cell>
          <cell r="L3015">
            <v>0</v>
          </cell>
          <cell r="N3015">
            <v>0</v>
          </cell>
          <cell r="O3015">
            <v>0</v>
          </cell>
          <cell r="Q3015">
            <v>0</v>
          </cell>
          <cell r="R3015">
            <v>0</v>
          </cell>
          <cell r="T3015">
            <v>0</v>
          </cell>
          <cell r="U3015">
            <v>0</v>
          </cell>
          <cell r="W3015">
            <v>0</v>
          </cell>
          <cell r="X3015">
            <v>0</v>
          </cell>
          <cell r="Z3015">
            <v>0</v>
          </cell>
          <cell r="AA3015">
            <v>0</v>
          </cell>
          <cell r="AC3015">
            <v>0</v>
          </cell>
          <cell r="AD3015">
            <v>0</v>
          </cell>
          <cell r="AF3015">
            <v>0</v>
          </cell>
          <cell r="AG3015">
            <v>0</v>
          </cell>
          <cell r="AI3015">
            <v>0</v>
          </cell>
          <cell r="AJ3015">
            <v>0</v>
          </cell>
          <cell r="AL3015">
            <v>0</v>
          </cell>
          <cell r="AM3015">
            <v>0</v>
          </cell>
          <cell r="AO3015">
            <v>0</v>
          </cell>
          <cell r="AP3015">
            <v>0</v>
          </cell>
          <cell r="AR3015">
            <v>0</v>
          </cell>
          <cell r="AS3015">
            <v>0</v>
          </cell>
          <cell r="BF3015" t="str">
            <v>4740</v>
          </cell>
          <cell r="BG3015" t="str">
            <v>D042</v>
          </cell>
          <cell r="BH3015" t="str">
            <v>GES</v>
          </cell>
        </row>
        <row r="3016">
          <cell r="K3016">
            <v>0</v>
          </cell>
          <cell r="L3016">
            <v>0</v>
          </cell>
          <cell r="N3016">
            <v>0</v>
          </cell>
          <cell r="O3016">
            <v>0</v>
          </cell>
          <cell r="Q3016">
            <v>0</v>
          </cell>
          <cell r="R3016">
            <v>0</v>
          </cell>
          <cell r="T3016">
            <v>0</v>
          </cell>
          <cell r="U3016">
            <v>0</v>
          </cell>
          <cell r="W3016">
            <v>0</v>
          </cell>
          <cell r="X3016">
            <v>0</v>
          </cell>
          <cell r="Z3016">
            <v>0</v>
          </cell>
          <cell r="AA3016">
            <v>0</v>
          </cell>
          <cell r="AC3016">
            <v>0</v>
          </cell>
          <cell r="AD3016">
            <v>0</v>
          </cell>
          <cell r="AF3016">
            <v>0</v>
          </cell>
          <cell r="AG3016">
            <v>0</v>
          </cell>
          <cell r="AI3016">
            <v>0</v>
          </cell>
          <cell r="AJ3016">
            <v>0</v>
          </cell>
          <cell r="AL3016">
            <v>0</v>
          </cell>
          <cell r="AM3016">
            <v>0</v>
          </cell>
          <cell r="AO3016">
            <v>0</v>
          </cell>
          <cell r="AP3016">
            <v>0</v>
          </cell>
          <cell r="AR3016">
            <v>0</v>
          </cell>
          <cell r="AS3016">
            <v>0</v>
          </cell>
          <cell r="BF3016" t="str">
            <v>4740</v>
          </cell>
          <cell r="BG3016" t="str">
            <v>D043</v>
          </cell>
          <cell r="BH3016" t="str">
            <v>GES</v>
          </cell>
        </row>
        <row r="3017">
          <cell r="K3017">
            <v>0</v>
          </cell>
          <cell r="L3017">
            <v>0</v>
          </cell>
          <cell r="N3017">
            <v>0</v>
          </cell>
          <cell r="O3017">
            <v>0</v>
          </cell>
          <cell r="Q3017">
            <v>0</v>
          </cell>
          <cell r="R3017">
            <v>0</v>
          </cell>
          <cell r="T3017">
            <v>0</v>
          </cell>
          <cell r="U3017">
            <v>0</v>
          </cell>
          <cell r="W3017">
            <v>0</v>
          </cell>
          <cell r="X3017">
            <v>0</v>
          </cell>
          <cell r="Z3017">
            <v>0</v>
          </cell>
          <cell r="AA3017">
            <v>0</v>
          </cell>
          <cell r="AC3017">
            <v>0</v>
          </cell>
          <cell r="AD3017">
            <v>0</v>
          </cell>
          <cell r="AF3017">
            <v>0</v>
          </cell>
          <cell r="AG3017">
            <v>0</v>
          </cell>
          <cell r="AI3017">
            <v>0</v>
          </cell>
          <cell r="AJ3017">
            <v>0</v>
          </cell>
          <cell r="AL3017">
            <v>0</v>
          </cell>
          <cell r="AM3017">
            <v>0</v>
          </cell>
          <cell r="AO3017">
            <v>0</v>
          </cell>
          <cell r="AP3017">
            <v>0</v>
          </cell>
          <cell r="AR3017">
            <v>0</v>
          </cell>
          <cell r="AS3017">
            <v>0</v>
          </cell>
          <cell r="BF3017" t="str">
            <v>4740</v>
          </cell>
          <cell r="BG3017" t="str">
            <v>D044</v>
          </cell>
          <cell r="BH3017" t="str">
            <v>GES</v>
          </cell>
        </row>
        <row r="3018">
          <cell r="K3018">
            <v>0</v>
          </cell>
          <cell r="L3018">
            <v>0</v>
          </cell>
          <cell r="N3018">
            <v>0</v>
          </cell>
          <cell r="O3018">
            <v>0</v>
          </cell>
          <cell r="Q3018">
            <v>0</v>
          </cell>
          <cell r="R3018">
            <v>0</v>
          </cell>
          <cell r="T3018">
            <v>0</v>
          </cell>
          <cell r="U3018">
            <v>0</v>
          </cell>
          <cell r="W3018">
            <v>0</v>
          </cell>
          <cell r="X3018">
            <v>0</v>
          </cell>
          <cell r="Z3018">
            <v>0</v>
          </cell>
          <cell r="AA3018">
            <v>0</v>
          </cell>
          <cell r="AC3018">
            <v>0</v>
          </cell>
          <cell r="AD3018">
            <v>0</v>
          </cell>
          <cell r="AF3018">
            <v>0</v>
          </cell>
          <cell r="AG3018">
            <v>0</v>
          </cell>
          <cell r="AI3018">
            <v>0</v>
          </cell>
          <cell r="AJ3018">
            <v>0</v>
          </cell>
          <cell r="AL3018">
            <v>0</v>
          </cell>
          <cell r="AM3018">
            <v>0</v>
          </cell>
          <cell r="AO3018">
            <v>0</v>
          </cell>
          <cell r="AP3018">
            <v>0</v>
          </cell>
          <cell r="AR3018">
            <v>0</v>
          </cell>
          <cell r="AS3018">
            <v>0</v>
          </cell>
          <cell r="BF3018" t="str">
            <v>4740</v>
          </cell>
          <cell r="BG3018" t="str">
            <v>D045</v>
          </cell>
          <cell r="BH3018" t="str">
            <v>GES</v>
          </cell>
        </row>
        <row r="3019">
          <cell r="K3019">
            <v>0</v>
          </cell>
          <cell r="L3019">
            <v>0</v>
          </cell>
          <cell r="N3019">
            <v>0</v>
          </cell>
          <cell r="O3019">
            <v>0</v>
          </cell>
          <cell r="Q3019">
            <v>0</v>
          </cell>
          <cell r="R3019">
            <v>0</v>
          </cell>
          <cell r="T3019">
            <v>0</v>
          </cell>
          <cell r="U3019">
            <v>0</v>
          </cell>
          <cell r="W3019">
            <v>0</v>
          </cell>
          <cell r="X3019">
            <v>0</v>
          </cell>
          <cell r="Z3019">
            <v>0</v>
          </cell>
          <cell r="AA3019">
            <v>0</v>
          </cell>
          <cell r="AC3019">
            <v>0</v>
          </cell>
          <cell r="AD3019">
            <v>0</v>
          </cell>
          <cell r="AF3019">
            <v>0</v>
          </cell>
          <cell r="AG3019">
            <v>0</v>
          </cell>
          <cell r="AI3019">
            <v>0</v>
          </cell>
          <cell r="AJ3019">
            <v>0</v>
          </cell>
          <cell r="AL3019">
            <v>0</v>
          </cell>
          <cell r="AM3019">
            <v>0</v>
          </cell>
          <cell r="AO3019">
            <v>0</v>
          </cell>
          <cell r="AP3019">
            <v>0</v>
          </cell>
          <cell r="AR3019">
            <v>0</v>
          </cell>
          <cell r="AS3019">
            <v>0</v>
          </cell>
          <cell r="BF3019" t="str">
            <v>4740</v>
          </cell>
          <cell r="BG3019" t="str">
            <v>D046</v>
          </cell>
          <cell r="BH3019" t="str">
            <v>GES</v>
          </cell>
        </row>
        <row r="3020">
          <cell r="K3020">
            <v>0</v>
          </cell>
          <cell r="L3020">
            <v>0</v>
          </cell>
          <cell r="N3020">
            <v>0</v>
          </cell>
          <cell r="O3020">
            <v>0</v>
          </cell>
          <cell r="Q3020">
            <v>0</v>
          </cell>
          <cell r="R3020">
            <v>0</v>
          </cell>
          <cell r="T3020">
            <v>0</v>
          </cell>
          <cell r="U3020">
            <v>0</v>
          </cell>
          <cell r="W3020">
            <v>0</v>
          </cell>
          <cell r="X3020">
            <v>0</v>
          </cell>
          <cell r="Z3020">
            <v>0</v>
          </cell>
          <cell r="AA3020">
            <v>0</v>
          </cell>
          <cell r="AC3020">
            <v>0</v>
          </cell>
          <cell r="AD3020">
            <v>0</v>
          </cell>
          <cell r="AF3020">
            <v>0</v>
          </cell>
          <cell r="AG3020">
            <v>0</v>
          </cell>
          <cell r="AI3020">
            <v>0</v>
          </cell>
          <cell r="AJ3020">
            <v>0</v>
          </cell>
          <cell r="AL3020">
            <v>0</v>
          </cell>
          <cell r="AM3020">
            <v>0</v>
          </cell>
          <cell r="AO3020">
            <v>0</v>
          </cell>
          <cell r="AP3020">
            <v>0</v>
          </cell>
          <cell r="AR3020">
            <v>0</v>
          </cell>
          <cell r="AS3020">
            <v>0</v>
          </cell>
          <cell r="BF3020" t="str">
            <v>4750</v>
          </cell>
          <cell r="BG3020" t="str">
            <v>Z000</v>
          </cell>
          <cell r="BH3020" t="str">
            <v>GES</v>
          </cell>
        </row>
        <row r="3021">
          <cell r="K3021">
            <v>0</v>
          </cell>
          <cell r="L3021">
            <v>0</v>
          </cell>
          <cell r="N3021">
            <v>0</v>
          </cell>
          <cell r="O3021">
            <v>0</v>
          </cell>
          <cell r="Q3021">
            <v>0</v>
          </cell>
          <cell r="R3021">
            <v>0</v>
          </cell>
          <cell r="T3021">
            <v>0</v>
          </cell>
          <cell r="U3021">
            <v>0</v>
          </cell>
          <cell r="W3021">
            <v>0</v>
          </cell>
          <cell r="X3021">
            <v>0</v>
          </cell>
          <cell r="Z3021">
            <v>0</v>
          </cell>
          <cell r="AA3021">
            <v>0</v>
          </cell>
          <cell r="AC3021">
            <v>0</v>
          </cell>
          <cell r="AD3021">
            <v>0</v>
          </cell>
          <cell r="AF3021">
            <v>0</v>
          </cell>
          <cell r="AG3021">
            <v>0</v>
          </cell>
          <cell r="AI3021">
            <v>0</v>
          </cell>
          <cell r="AJ3021">
            <v>0</v>
          </cell>
          <cell r="AL3021">
            <v>0</v>
          </cell>
          <cell r="AM3021">
            <v>0</v>
          </cell>
          <cell r="AO3021">
            <v>0</v>
          </cell>
          <cell r="AP3021">
            <v>0</v>
          </cell>
          <cell r="AR3021">
            <v>0</v>
          </cell>
          <cell r="AS3021">
            <v>0</v>
          </cell>
          <cell r="BF3021" t="str">
            <v>4760</v>
          </cell>
          <cell r="BG3021" t="str">
            <v>Z000</v>
          </cell>
          <cell r="BH3021" t="str">
            <v>GES</v>
          </cell>
        </row>
        <row r="3022">
          <cell r="K3022">
            <v>0</v>
          </cell>
          <cell r="L3022">
            <v>0</v>
          </cell>
          <cell r="N3022">
            <v>0</v>
          </cell>
          <cell r="O3022">
            <v>0</v>
          </cell>
          <cell r="Q3022">
            <v>0</v>
          </cell>
          <cell r="R3022">
            <v>0</v>
          </cell>
          <cell r="T3022">
            <v>0</v>
          </cell>
          <cell r="U3022">
            <v>0</v>
          </cell>
          <cell r="W3022">
            <v>0</v>
          </cell>
          <cell r="X3022">
            <v>0</v>
          </cell>
          <cell r="Z3022">
            <v>0</v>
          </cell>
          <cell r="AA3022">
            <v>0</v>
          </cell>
          <cell r="AC3022">
            <v>0</v>
          </cell>
          <cell r="AD3022">
            <v>0</v>
          </cell>
          <cell r="AF3022">
            <v>1525.28</v>
          </cell>
          <cell r="AG3022">
            <v>0</v>
          </cell>
          <cell r="AI3022">
            <v>-1310.6099999999999</v>
          </cell>
          <cell r="AJ3022">
            <v>0</v>
          </cell>
          <cell r="AL3022">
            <v>-39.670000000001892</v>
          </cell>
          <cell r="AM3022">
            <v>0</v>
          </cell>
          <cell r="AO3022">
            <v>89.25</v>
          </cell>
          <cell r="AP3022">
            <v>0</v>
          </cell>
          <cell r="AR3022">
            <v>65.1200000000008</v>
          </cell>
          <cell r="AS3022">
            <v>0</v>
          </cell>
          <cell r="BF3022" t="str">
            <v>4800</v>
          </cell>
          <cell r="BG3022" t="str">
            <v>D101</v>
          </cell>
          <cell r="BH3022" t="str">
            <v>GES</v>
          </cell>
        </row>
        <row r="3023">
          <cell r="K3023">
            <v>0</v>
          </cell>
          <cell r="L3023">
            <v>0</v>
          </cell>
          <cell r="N3023">
            <v>0</v>
          </cell>
          <cell r="O3023">
            <v>0</v>
          </cell>
          <cell r="Q3023">
            <v>0</v>
          </cell>
          <cell r="R3023">
            <v>0</v>
          </cell>
          <cell r="T3023">
            <v>0</v>
          </cell>
          <cell r="U3023">
            <v>0</v>
          </cell>
          <cell r="W3023">
            <v>0</v>
          </cell>
          <cell r="X3023">
            <v>0</v>
          </cell>
          <cell r="Z3023">
            <v>0</v>
          </cell>
          <cell r="AA3023">
            <v>0</v>
          </cell>
          <cell r="AC3023">
            <v>0</v>
          </cell>
          <cell r="AD3023">
            <v>0</v>
          </cell>
          <cell r="AF3023">
            <v>0</v>
          </cell>
          <cell r="AG3023">
            <v>0</v>
          </cell>
          <cell r="AI3023">
            <v>0</v>
          </cell>
          <cell r="AJ3023">
            <v>0</v>
          </cell>
          <cell r="AL3023">
            <v>0</v>
          </cell>
          <cell r="AM3023">
            <v>0</v>
          </cell>
          <cell r="AO3023">
            <v>0</v>
          </cell>
          <cell r="AP3023">
            <v>0</v>
          </cell>
          <cell r="AR3023">
            <v>0</v>
          </cell>
          <cell r="AS3023">
            <v>0</v>
          </cell>
          <cell r="BF3023" t="str">
            <v>4800</v>
          </cell>
          <cell r="BG3023" t="str">
            <v>D102</v>
          </cell>
          <cell r="BH3023" t="str">
            <v>GES</v>
          </cell>
        </row>
        <row r="3024">
          <cell r="K3024">
            <v>0</v>
          </cell>
          <cell r="L3024">
            <v>0</v>
          </cell>
          <cell r="N3024">
            <v>0</v>
          </cell>
          <cell r="O3024">
            <v>0</v>
          </cell>
          <cell r="Q3024">
            <v>0</v>
          </cell>
          <cell r="R3024">
            <v>0</v>
          </cell>
          <cell r="T3024">
            <v>0</v>
          </cell>
          <cell r="U3024">
            <v>0</v>
          </cell>
          <cell r="W3024">
            <v>0</v>
          </cell>
          <cell r="X3024">
            <v>0</v>
          </cell>
          <cell r="Z3024">
            <v>0</v>
          </cell>
          <cell r="AA3024">
            <v>0</v>
          </cell>
          <cell r="AC3024">
            <v>0</v>
          </cell>
          <cell r="AD3024">
            <v>0</v>
          </cell>
          <cell r="AF3024">
            <v>0</v>
          </cell>
          <cell r="AG3024">
            <v>0</v>
          </cell>
          <cell r="AI3024">
            <v>0</v>
          </cell>
          <cell r="AJ3024">
            <v>0</v>
          </cell>
          <cell r="AL3024">
            <v>0</v>
          </cell>
          <cell r="AM3024">
            <v>0</v>
          </cell>
          <cell r="AO3024">
            <v>0</v>
          </cell>
          <cell r="AP3024">
            <v>0</v>
          </cell>
          <cell r="AR3024">
            <v>0</v>
          </cell>
          <cell r="AS3024">
            <v>0</v>
          </cell>
          <cell r="BF3024" t="str">
            <v>4800</v>
          </cell>
          <cell r="BG3024" t="str">
            <v>D103</v>
          </cell>
          <cell r="BH3024" t="str">
            <v>GES</v>
          </cell>
        </row>
        <row r="3025">
          <cell r="K3025">
            <v>0</v>
          </cell>
          <cell r="L3025">
            <v>0</v>
          </cell>
          <cell r="N3025">
            <v>0</v>
          </cell>
          <cell r="O3025">
            <v>0</v>
          </cell>
          <cell r="Q3025">
            <v>0</v>
          </cell>
          <cell r="R3025">
            <v>0</v>
          </cell>
          <cell r="T3025">
            <v>0</v>
          </cell>
          <cell r="U3025">
            <v>0</v>
          </cell>
          <cell r="W3025">
            <v>0</v>
          </cell>
          <cell r="X3025">
            <v>0</v>
          </cell>
          <cell r="Z3025">
            <v>0</v>
          </cell>
          <cell r="AA3025">
            <v>0</v>
          </cell>
          <cell r="AC3025">
            <v>0</v>
          </cell>
          <cell r="AD3025">
            <v>0</v>
          </cell>
          <cell r="AF3025">
            <v>1670.81</v>
          </cell>
          <cell r="AG3025">
            <v>0</v>
          </cell>
          <cell r="AI3025">
            <v>0</v>
          </cell>
          <cell r="AJ3025">
            <v>0</v>
          </cell>
          <cell r="AL3025">
            <v>0</v>
          </cell>
          <cell r="AM3025">
            <v>0</v>
          </cell>
          <cell r="AO3025">
            <v>0</v>
          </cell>
          <cell r="AP3025">
            <v>0</v>
          </cell>
          <cell r="AR3025">
            <v>0</v>
          </cell>
          <cell r="AS3025">
            <v>0</v>
          </cell>
          <cell r="BF3025" t="str">
            <v>4800</v>
          </cell>
          <cell r="BG3025" t="str">
            <v>D104</v>
          </cell>
          <cell r="BH3025" t="str">
            <v>GES</v>
          </cell>
        </row>
        <row r="3026">
          <cell r="K3026">
            <v>0</v>
          </cell>
          <cell r="L3026">
            <v>0</v>
          </cell>
          <cell r="N3026">
            <v>0</v>
          </cell>
          <cell r="O3026">
            <v>0</v>
          </cell>
          <cell r="Q3026">
            <v>0</v>
          </cell>
          <cell r="R3026">
            <v>0</v>
          </cell>
          <cell r="T3026">
            <v>0</v>
          </cell>
          <cell r="U3026">
            <v>0</v>
          </cell>
          <cell r="W3026">
            <v>0</v>
          </cell>
          <cell r="X3026">
            <v>0</v>
          </cell>
          <cell r="Z3026">
            <v>0</v>
          </cell>
          <cell r="AA3026">
            <v>0</v>
          </cell>
          <cell r="AC3026">
            <v>0</v>
          </cell>
          <cell r="AD3026">
            <v>0</v>
          </cell>
          <cell r="AF3026">
            <v>0</v>
          </cell>
          <cell r="AG3026">
            <v>0</v>
          </cell>
          <cell r="AI3026">
            <v>0</v>
          </cell>
          <cell r="AJ3026">
            <v>0</v>
          </cell>
          <cell r="AL3026">
            <v>0</v>
          </cell>
          <cell r="AM3026">
            <v>0</v>
          </cell>
          <cell r="AO3026">
            <v>0</v>
          </cell>
          <cell r="AP3026">
            <v>0</v>
          </cell>
          <cell r="AR3026">
            <v>0</v>
          </cell>
          <cell r="AS3026">
            <v>0</v>
          </cell>
          <cell r="BF3026" t="str">
            <v>4820</v>
          </cell>
          <cell r="BG3026" t="str">
            <v>Z000</v>
          </cell>
          <cell r="BH3026" t="str">
            <v>GES</v>
          </cell>
        </row>
        <row r="3027">
          <cell r="K3027">
            <v>0</v>
          </cell>
          <cell r="L3027">
            <v>0</v>
          </cell>
          <cell r="N3027">
            <v>0</v>
          </cell>
          <cell r="O3027">
            <v>0</v>
          </cell>
          <cell r="Q3027">
            <v>0</v>
          </cell>
          <cell r="R3027">
            <v>0</v>
          </cell>
          <cell r="T3027">
            <v>0</v>
          </cell>
          <cell r="U3027">
            <v>0</v>
          </cell>
          <cell r="W3027">
            <v>0</v>
          </cell>
          <cell r="X3027">
            <v>0</v>
          </cell>
          <cell r="Z3027">
            <v>0</v>
          </cell>
          <cell r="AA3027">
            <v>0</v>
          </cell>
          <cell r="AC3027">
            <v>0</v>
          </cell>
          <cell r="AD3027">
            <v>0</v>
          </cell>
          <cell r="AF3027">
            <v>0</v>
          </cell>
          <cell r="AG3027">
            <v>0</v>
          </cell>
          <cell r="AI3027">
            <v>0</v>
          </cell>
          <cell r="AJ3027">
            <v>0</v>
          </cell>
          <cell r="AL3027">
            <v>35.61</v>
          </cell>
          <cell r="AM3027">
            <v>0</v>
          </cell>
          <cell r="AO3027">
            <v>0</v>
          </cell>
          <cell r="AP3027">
            <v>0</v>
          </cell>
          <cell r="AR3027">
            <v>0</v>
          </cell>
          <cell r="AS3027">
            <v>0</v>
          </cell>
          <cell r="BF3027" t="str">
            <v>4830</v>
          </cell>
          <cell r="BG3027" t="str">
            <v>D111</v>
          </cell>
          <cell r="BH3027" t="str">
            <v>GES</v>
          </cell>
        </row>
        <row r="3028">
          <cell r="K3028">
            <v>0</v>
          </cell>
          <cell r="L3028">
            <v>0</v>
          </cell>
          <cell r="N3028">
            <v>0</v>
          </cell>
          <cell r="O3028">
            <v>0</v>
          </cell>
          <cell r="Q3028">
            <v>0</v>
          </cell>
          <cell r="R3028">
            <v>0</v>
          </cell>
          <cell r="T3028">
            <v>0</v>
          </cell>
          <cell r="U3028">
            <v>0</v>
          </cell>
          <cell r="W3028">
            <v>0</v>
          </cell>
          <cell r="X3028">
            <v>0</v>
          </cell>
          <cell r="Z3028">
            <v>0</v>
          </cell>
          <cell r="AA3028">
            <v>0</v>
          </cell>
          <cell r="AC3028">
            <v>0</v>
          </cell>
          <cell r="AD3028">
            <v>0</v>
          </cell>
          <cell r="AF3028">
            <v>0</v>
          </cell>
          <cell r="AG3028">
            <v>0</v>
          </cell>
          <cell r="AI3028">
            <v>0</v>
          </cell>
          <cell r="AJ3028">
            <v>0</v>
          </cell>
          <cell r="AL3028">
            <v>0</v>
          </cell>
          <cell r="AM3028">
            <v>0</v>
          </cell>
          <cell r="AO3028">
            <v>0</v>
          </cell>
          <cell r="AP3028">
            <v>0</v>
          </cell>
          <cell r="AR3028">
            <v>0</v>
          </cell>
          <cell r="AS3028">
            <v>0</v>
          </cell>
          <cell r="BF3028" t="str">
            <v>4830</v>
          </cell>
          <cell r="BG3028" t="str">
            <v>D112</v>
          </cell>
          <cell r="BH3028" t="str">
            <v>GES</v>
          </cell>
        </row>
        <row r="3029">
          <cell r="K3029">
            <v>0</v>
          </cell>
          <cell r="L3029">
            <v>0</v>
          </cell>
          <cell r="N3029">
            <v>0</v>
          </cell>
          <cell r="O3029">
            <v>0</v>
          </cell>
          <cell r="Q3029">
            <v>0</v>
          </cell>
          <cell r="R3029">
            <v>0</v>
          </cell>
          <cell r="T3029">
            <v>0</v>
          </cell>
          <cell r="U3029">
            <v>0</v>
          </cell>
          <cell r="W3029">
            <v>0</v>
          </cell>
          <cell r="X3029">
            <v>0</v>
          </cell>
          <cell r="Z3029">
            <v>0</v>
          </cell>
          <cell r="AA3029">
            <v>0</v>
          </cell>
          <cell r="AC3029">
            <v>0</v>
          </cell>
          <cell r="AD3029">
            <v>0</v>
          </cell>
          <cell r="AF3029">
            <v>0</v>
          </cell>
          <cell r="AG3029">
            <v>0</v>
          </cell>
          <cell r="AI3029">
            <v>0</v>
          </cell>
          <cell r="AJ3029">
            <v>0</v>
          </cell>
          <cell r="AL3029">
            <v>0</v>
          </cell>
          <cell r="AM3029">
            <v>0</v>
          </cell>
          <cell r="AO3029">
            <v>0</v>
          </cell>
          <cell r="AP3029">
            <v>0</v>
          </cell>
          <cell r="AR3029">
            <v>0</v>
          </cell>
          <cell r="AS3029">
            <v>0</v>
          </cell>
          <cell r="BF3029" t="str">
            <v>4840</v>
          </cell>
          <cell r="BG3029" t="str">
            <v>Z000</v>
          </cell>
          <cell r="BH3029" t="str">
            <v>GES</v>
          </cell>
        </row>
        <row r="3030">
          <cell r="K3030">
            <v>0</v>
          </cell>
          <cell r="L3030">
            <v>0</v>
          </cell>
          <cell r="N3030">
            <v>0</v>
          </cell>
          <cell r="O3030">
            <v>0</v>
          </cell>
          <cell r="Q3030">
            <v>0</v>
          </cell>
          <cell r="R3030">
            <v>0</v>
          </cell>
          <cell r="T3030">
            <v>0</v>
          </cell>
          <cell r="U3030">
            <v>0</v>
          </cell>
          <cell r="W3030">
            <v>0</v>
          </cell>
          <cell r="X3030">
            <v>0</v>
          </cell>
          <cell r="Z3030">
            <v>0</v>
          </cell>
          <cell r="AA3030">
            <v>0</v>
          </cell>
          <cell r="AC3030">
            <v>0</v>
          </cell>
          <cell r="AD3030">
            <v>0</v>
          </cell>
          <cell r="AF3030">
            <v>0</v>
          </cell>
          <cell r="AG3030">
            <v>0</v>
          </cell>
          <cell r="AI3030">
            <v>0</v>
          </cell>
          <cell r="AJ3030">
            <v>0</v>
          </cell>
          <cell r="AL3030">
            <v>0</v>
          </cell>
          <cell r="AM3030">
            <v>0</v>
          </cell>
          <cell r="AO3030">
            <v>0</v>
          </cell>
          <cell r="AP3030">
            <v>0</v>
          </cell>
          <cell r="AR3030">
            <v>0</v>
          </cell>
          <cell r="AS3030">
            <v>0</v>
          </cell>
          <cell r="BF3030" t="str">
            <v>4870</v>
          </cell>
          <cell r="BG3030" t="str">
            <v>Z000</v>
          </cell>
          <cell r="BH3030" t="str">
            <v>GES</v>
          </cell>
        </row>
        <row r="3031">
          <cell r="K3031">
            <v>0</v>
          </cell>
          <cell r="L3031">
            <v>0</v>
          </cell>
          <cell r="N3031">
            <v>0</v>
          </cell>
          <cell r="O3031">
            <v>0</v>
          </cell>
          <cell r="Q3031">
            <v>0</v>
          </cell>
          <cell r="R3031">
            <v>0</v>
          </cell>
          <cell r="T3031">
            <v>0</v>
          </cell>
          <cell r="U3031">
            <v>0</v>
          </cell>
          <cell r="W3031">
            <v>0</v>
          </cell>
          <cell r="X3031">
            <v>0</v>
          </cell>
          <cell r="Z3031">
            <v>0</v>
          </cell>
          <cell r="AA3031">
            <v>0</v>
          </cell>
          <cell r="AC3031">
            <v>0</v>
          </cell>
          <cell r="AD3031">
            <v>0</v>
          </cell>
          <cell r="AF3031">
            <v>0</v>
          </cell>
          <cell r="AG3031">
            <v>0</v>
          </cell>
          <cell r="AI3031">
            <v>0</v>
          </cell>
          <cell r="AJ3031">
            <v>0</v>
          </cell>
          <cell r="AL3031">
            <v>0</v>
          </cell>
          <cell r="AM3031">
            <v>0</v>
          </cell>
          <cell r="AO3031">
            <v>0</v>
          </cell>
          <cell r="AP3031">
            <v>0</v>
          </cell>
          <cell r="AR3031">
            <v>0</v>
          </cell>
          <cell r="AS3031">
            <v>0</v>
          </cell>
          <cell r="BF3031" t="str">
            <v>4880</v>
          </cell>
          <cell r="BG3031" t="str">
            <v>Z000</v>
          </cell>
          <cell r="BH3031" t="str">
            <v>GES</v>
          </cell>
        </row>
        <row r="3032">
          <cell r="K3032">
            <v>0</v>
          </cell>
          <cell r="L3032">
            <v>0</v>
          </cell>
          <cell r="N3032">
            <v>0</v>
          </cell>
          <cell r="O3032">
            <v>0</v>
          </cell>
          <cell r="Q3032">
            <v>0</v>
          </cell>
          <cell r="R3032">
            <v>0</v>
          </cell>
          <cell r="T3032">
            <v>0</v>
          </cell>
          <cell r="U3032">
            <v>0</v>
          </cell>
          <cell r="W3032">
            <v>0</v>
          </cell>
          <cell r="X3032">
            <v>0</v>
          </cell>
          <cell r="Z3032">
            <v>0</v>
          </cell>
          <cell r="AA3032">
            <v>0</v>
          </cell>
          <cell r="AC3032">
            <v>0</v>
          </cell>
          <cell r="AD3032">
            <v>0</v>
          </cell>
          <cell r="AF3032">
            <v>0</v>
          </cell>
          <cell r="AG3032">
            <v>0</v>
          </cell>
          <cell r="AI3032">
            <v>0</v>
          </cell>
          <cell r="AJ3032">
            <v>0</v>
          </cell>
          <cell r="AL3032">
            <v>0</v>
          </cell>
          <cell r="AM3032">
            <v>0</v>
          </cell>
          <cell r="AO3032">
            <v>0</v>
          </cell>
          <cell r="AP3032">
            <v>0</v>
          </cell>
          <cell r="AR3032">
            <v>0</v>
          </cell>
          <cell r="AS3032">
            <v>0</v>
          </cell>
          <cell r="BF3032" t="str">
            <v>4890</v>
          </cell>
          <cell r="BG3032" t="str">
            <v>Z000</v>
          </cell>
          <cell r="BH3032" t="str">
            <v>GES</v>
          </cell>
        </row>
        <row r="3033">
          <cell r="K3033">
            <v>0</v>
          </cell>
          <cell r="L3033">
            <v>0</v>
          </cell>
          <cell r="N3033">
            <v>0</v>
          </cell>
          <cell r="O3033">
            <v>0</v>
          </cell>
          <cell r="Q3033">
            <v>0</v>
          </cell>
          <cell r="R3033">
            <v>0</v>
          </cell>
          <cell r="T3033">
            <v>0</v>
          </cell>
          <cell r="U3033">
            <v>0</v>
          </cell>
          <cell r="W3033">
            <v>0</v>
          </cell>
          <cell r="X3033">
            <v>0</v>
          </cell>
          <cell r="Z3033">
            <v>0</v>
          </cell>
          <cell r="AA3033">
            <v>0</v>
          </cell>
          <cell r="AC3033">
            <v>0</v>
          </cell>
          <cell r="AD3033">
            <v>0</v>
          </cell>
          <cell r="AF3033">
            <v>0</v>
          </cell>
          <cell r="AG3033">
            <v>0</v>
          </cell>
          <cell r="AI3033">
            <v>0</v>
          </cell>
          <cell r="AJ3033">
            <v>0</v>
          </cell>
          <cell r="AL3033">
            <v>0</v>
          </cell>
          <cell r="AM3033">
            <v>0</v>
          </cell>
          <cell r="AO3033">
            <v>0</v>
          </cell>
          <cell r="AP3033">
            <v>0</v>
          </cell>
          <cell r="AR3033">
            <v>0</v>
          </cell>
          <cell r="AS3033">
            <v>0</v>
          </cell>
          <cell r="BF3033" t="str">
            <v>4900</v>
          </cell>
          <cell r="BG3033" t="str">
            <v>Z000</v>
          </cell>
          <cell r="BH3033" t="str">
            <v>GES</v>
          </cell>
        </row>
        <row r="3034">
          <cell r="K3034">
            <v>0</v>
          </cell>
          <cell r="L3034">
            <v>0</v>
          </cell>
          <cell r="N3034">
            <v>0</v>
          </cell>
          <cell r="O3034">
            <v>0</v>
          </cell>
          <cell r="Q3034">
            <v>0</v>
          </cell>
          <cell r="R3034">
            <v>0</v>
          </cell>
          <cell r="T3034">
            <v>0</v>
          </cell>
          <cell r="U3034">
            <v>0</v>
          </cell>
          <cell r="W3034">
            <v>0</v>
          </cell>
          <cell r="X3034">
            <v>0</v>
          </cell>
          <cell r="Z3034">
            <v>0</v>
          </cell>
          <cell r="AA3034">
            <v>0</v>
          </cell>
          <cell r="AC3034">
            <v>0</v>
          </cell>
          <cell r="AD3034">
            <v>0</v>
          </cell>
          <cell r="AF3034">
            <v>0</v>
          </cell>
          <cell r="AG3034">
            <v>0</v>
          </cell>
          <cell r="AI3034">
            <v>0</v>
          </cell>
          <cell r="AJ3034">
            <v>0</v>
          </cell>
          <cell r="AL3034">
            <v>0</v>
          </cell>
          <cell r="AM3034">
            <v>0</v>
          </cell>
          <cell r="AO3034">
            <v>0</v>
          </cell>
          <cell r="AP3034">
            <v>0</v>
          </cell>
          <cell r="AR3034">
            <v>0</v>
          </cell>
          <cell r="AS3034">
            <v>0</v>
          </cell>
          <cell r="BF3034" t="str">
            <v>4910</v>
          </cell>
          <cell r="BG3034" t="str">
            <v>Z000</v>
          </cell>
          <cell r="BH3034" t="str">
            <v>GES</v>
          </cell>
        </row>
        <row r="3035">
          <cell r="K3035">
            <v>0</v>
          </cell>
          <cell r="L3035">
            <v>0</v>
          </cell>
          <cell r="N3035">
            <v>0</v>
          </cell>
          <cell r="O3035">
            <v>0</v>
          </cell>
          <cell r="Q3035">
            <v>0</v>
          </cell>
          <cell r="R3035">
            <v>0</v>
          </cell>
          <cell r="T3035">
            <v>0</v>
          </cell>
          <cell r="U3035">
            <v>0</v>
          </cell>
          <cell r="W3035">
            <v>0</v>
          </cell>
          <cell r="X3035">
            <v>0</v>
          </cell>
          <cell r="Z3035">
            <v>0</v>
          </cell>
          <cell r="AA3035">
            <v>0</v>
          </cell>
          <cell r="AC3035">
            <v>0</v>
          </cell>
          <cell r="AD3035">
            <v>0</v>
          </cell>
          <cell r="AF3035">
            <v>0</v>
          </cell>
          <cell r="AG3035">
            <v>0</v>
          </cell>
          <cell r="AI3035">
            <v>0</v>
          </cell>
          <cell r="AJ3035">
            <v>0</v>
          </cell>
          <cell r="AL3035">
            <v>0</v>
          </cell>
          <cell r="AM3035">
            <v>0</v>
          </cell>
          <cell r="AO3035">
            <v>0</v>
          </cell>
          <cell r="AP3035">
            <v>0</v>
          </cell>
          <cell r="AR3035">
            <v>0</v>
          </cell>
          <cell r="AS3035">
            <v>0</v>
          </cell>
          <cell r="BF3035" t="str">
            <v>4940</v>
          </cell>
          <cell r="BG3035" t="str">
            <v>Z000</v>
          </cell>
          <cell r="BH3035" t="str">
            <v>GES</v>
          </cell>
        </row>
        <row r="3036">
          <cell r="K3036">
            <v>0</v>
          </cell>
          <cell r="L3036">
            <v>0</v>
          </cell>
          <cell r="N3036">
            <v>0</v>
          </cell>
          <cell r="O3036">
            <v>0</v>
          </cell>
          <cell r="Q3036">
            <v>0</v>
          </cell>
          <cell r="R3036">
            <v>0</v>
          </cell>
          <cell r="T3036">
            <v>0</v>
          </cell>
          <cell r="U3036">
            <v>0</v>
          </cell>
          <cell r="W3036">
            <v>0</v>
          </cell>
          <cell r="X3036">
            <v>0</v>
          </cell>
          <cell r="Z3036">
            <v>0</v>
          </cell>
          <cell r="AA3036">
            <v>0</v>
          </cell>
          <cell r="AC3036">
            <v>0</v>
          </cell>
          <cell r="AD3036">
            <v>0</v>
          </cell>
          <cell r="AF3036">
            <v>0</v>
          </cell>
          <cell r="AG3036">
            <v>0</v>
          </cell>
          <cell r="AI3036">
            <v>0</v>
          </cell>
          <cell r="AJ3036">
            <v>0</v>
          </cell>
          <cell r="AL3036">
            <v>0</v>
          </cell>
          <cell r="AM3036">
            <v>0</v>
          </cell>
          <cell r="AO3036">
            <v>0</v>
          </cell>
          <cell r="AP3036">
            <v>0</v>
          </cell>
          <cell r="AR3036">
            <v>0</v>
          </cell>
          <cell r="AS3036">
            <v>0</v>
          </cell>
          <cell r="BF3036" t="str">
            <v>4941</v>
          </cell>
          <cell r="BG3036" t="str">
            <v>Z000</v>
          </cell>
          <cell r="BH3036" t="str">
            <v>GES</v>
          </cell>
        </row>
        <row r="3037">
          <cell r="K3037">
            <v>0</v>
          </cell>
          <cell r="L3037">
            <v>0</v>
          </cell>
          <cell r="N3037">
            <v>0</v>
          </cell>
          <cell r="O3037">
            <v>0</v>
          </cell>
          <cell r="Q3037">
            <v>0</v>
          </cell>
          <cell r="R3037">
            <v>0</v>
          </cell>
          <cell r="T3037">
            <v>0</v>
          </cell>
          <cell r="U3037">
            <v>0</v>
          </cell>
          <cell r="W3037">
            <v>0</v>
          </cell>
          <cell r="X3037">
            <v>0</v>
          </cell>
          <cell r="Z3037">
            <v>0</v>
          </cell>
          <cell r="AA3037">
            <v>0</v>
          </cell>
          <cell r="AC3037">
            <v>0</v>
          </cell>
          <cell r="AD3037">
            <v>0</v>
          </cell>
          <cell r="AF3037">
            <v>0</v>
          </cell>
          <cell r="AG3037">
            <v>0</v>
          </cell>
          <cell r="AI3037">
            <v>0</v>
          </cell>
          <cell r="AJ3037">
            <v>0</v>
          </cell>
          <cell r="AL3037">
            <v>0</v>
          </cell>
          <cell r="AM3037">
            <v>0</v>
          </cell>
          <cell r="AO3037">
            <v>0</v>
          </cell>
          <cell r="AP3037">
            <v>0</v>
          </cell>
          <cell r="AR3037">
            <v>0</v>
          </cell>
          <cell r="AS3037">
            <v>0</v>
          </cell>
          <cell r="BF3037" t="str">
            <v>4942</v>
          </cell>
          <cell r="BG3037" t="str">
            <v>Z000</v>
          </cell>
          <cell r="BH3037" t="str">
            <v>GES</v>
          </cell>
        </row>
        <row r="3038">
          <cell r="K3038">
            <v>0</v>
          </cell>
          <cell r="L3038">
            <v>0</v>
          </cell>
          <cell r="N3038">
            <v>0</v>
          </cell>
          <cell r="O3038">
            <v>0</v>
          </cell>
          <cell r="Q3038">
            <v>0</v>
          </cell>
          <cell r="R3038">
            <v>0</v>
          </cell>
          <cell r="T3038">
            <v>0</v>
          </cell>
          <cell r="U3038">
            <v>0</v>
          </cell>
          <cell r="W3038">
            <v>0</v>
          </cell>
          <cell r="X3038">
            <v>0</v>
          </cell>
          <cell r="Z3038">
            <v>0</v>
          </cell>
          <cell r="AA3038">
            <v>0</v>
          </cell>
          <cell r="AC3038">
            <v>0</v>
          </cell>
          <cell r="AD3038">
            <v>0</v>
          </cell>
          <cell r="AF3038">
            <v>0</v>
          </cell>
          <cell r="AG3038">
            <v>0</v>
          </cell>
          <cell r="AI3038">
            <v>0</v>
          </cell>
          <cell r="AJ3038">
            <v>0</v>
          </cell>
          <cell r="AL3038">
            <v>0</v>
          </cell>
          <cell r="AM3038">
            <v>0</v>
          </cell>
          <cell r="AO3038">
            <v>0</v>
          </cell>
          <cell r="AP3038">
            <v>0</v>
          </cell>
          <cell r="AR3038">
            <v>0</v>
          </cell>
          <cell r="AS3038">
            <v>0</v>
          </cell>
          <cell r="BF3038" t="str">
            <v>4950</v>
          </cell>
          <cell r="BG3038" t="str">
            <v>Z000</v>
          </cell>
          <cell r="BH3038" t="str">
            <v>GES</v>
          </cell>
        </row>
        <row r="3039">
          <cell r="K3039">
            <v>0</v>
          </cell>
          <cell r="L3039">
            <v>0</v>
          </cell>
          <cell r="N3039">
            <v>0</v>
          </cell>
          <cell r="O3039">
            <v>0</v>
          </cell>
          <cell r="Q3039">
            <v>0</v>
          </cell>
          <cell r="R3039">
            <v>0</v>
          </cell>
          <cell r="T3039">
            <v>0</v>
          </cell>
          <cell r="U3039">
            <v>0</v>
          </cell>
          <cell r="W3039">
            <v>0</v>
          </cell>
          <cell r="X3039">
            <v>0</v>
          </cell>
          <cell r="Z3039">
            <v>0</v>
          </cell>
          <cell r="AA3039">
            <v>0</v>
          </cell>
          <cell r="AC3039">
            <v>0</v>
          </cell>
          <cell r="AD3039">
            <v>0</v>
          </cell>
          <cell r="AF3039">
            <v>3000</v>
          </cell>
          <cell r="AG3039">
            <v>0</v>
          </cell>
          <cell r="AI3039">
            <v>0</v>
          </cell>
          <cell r="AJ3039">
            <v>0</v>
          </cell>
          <cell r="AL3039">
            <v>4.5474735088646412E-13</v>
          </cell>
          <cell r="AM3039">
            <v>0</v>
          </cell>
          <cell r="AO3039">
            <v>0</v>
          </cell>
          <cell r="AP3039">
            <v>0</v>
          </cell>
          <cell r="AR3039">
            <v>0</v>
          </cell>
          <cell r="AS3039">
            <v>0</v>
          </cell>
          <cell r="BF3039" t="str">
            <v>5100</v>
          </cell>
          <cell r="BG3039" t="str">
            <v>E001</v>
          </cell>
          <cell r="BH3039" t="str">
            <v>GES</v>
          </cell>
        </row>
        <row r="3040">
          <cell r="K3040">
            <v>0</v>
          </cell>
          <cell r="L3040">
            <v>0</v>
          </cell>
          <cell r="N3040">
            <v>0</v>
          </cell>
          <cell r="O3040">
            <v>0</v>
          </cell>
          <cell r="Q3040">
            <v>0</v>
          </cell>
          <cell r="R3040">
            <v>0</v>
          </cell>
          <cell r="T3040">
            <v>0</v>
          </cell>
          <cell r="U3040">
            <v>0</v>
          </cell>
          <cell r="W3040">
            <v>0</v>
          </cell>
          <cell r="X3040">
            <v>0</v>
          </cell>
          <cell r="Z3040">
            <v>0</v>
          </cell>
          <cell r="AA3040">
            <v>0</v>
          </cell>
          <cell r="AC3040">
            <v>0</v>
          </cell>
          <cell r="AD3040">
            <v>0</v>
          </cell>
          <cell r="AF3040">
            <v>0</v>
          </cell>
          <cell r="AG3040">
            <v>0</v>
          </cell>
          <cell r="AI3040">
            <v>0</v>
          </cell>
          <cell r="AJ3040">
            <v>0</v>
          </cell>
          <cell r="AL3040">
            <v>0</v>
          </cell>
          <cell r="AM3040">
            <v>0</v>
          </cell>
          <cell r="AO3040">
            <v>0</v>
          </cell>
          <cell r="AP3040">
            <v>0</v>
          </cell>
          <cell r="AR3040">
            <v>0</v>
          </cell>
          <cell r="AS3040">
            <v>0</v>
          </cell>
          <cell r="BF3040" t="str">
            <v>5100</v>
          </cell>
          <cell r="BG3040" t="str">
            <v>E002</v>
          </cell>
          <cell r="BH3040" t="str">
            <v>GES</v>
          </cell>
        </row>
        <row r="3041">
          <cell r="K3041">
            <v>0</v>
          </cell>
          <cell r="L3041">
            <v>0</v>
          </cell>
          <cell r="N3041">
            <v>0</v>
          </cell>
          <cell r="O3041">
            <v>0</v>
          </cell>
          <cell r="Q3041">
            <v>0</v>
          </cell>
          <cell r="R3041">
            <v>0</v>
          </cell>
          <cell r="T3041">
            <v>0</v>
          </cell>
          <cell r="U3041">
            <v>0</v>
          </cell>
          <cell r="W3041">
            <v>0</v>
          </cell>
          <cell r="X3041">
            <v>0</v>
          </cell>
          <cell r="Z3041">
            <v>0</v>
          </cell>
          <cell r="AA3041">
            <v>0</v>
          </cell>
          <cell r="AC3041">
            <v>0</v>
          </cell>
          <cell r="AD3041">
            <v>0</v>
          </cell>
          <cell r="AF3041">
            <v>0</v>
          </cell>
          <cell r="AG3041">
            <v>0</v>
          </cell>
          <cell r="AI3041">
            <v>0</v>
          </cell>
          <cell r="AJ3041">
            <v>0</v>
          </cell>
          <cell r="AL3041">
            <v>0</v>
          </cell>
          <cell r="AM3041">
            <v>0</v>
          </cell>
          <cell r="AO3041">
            <v>0</v>
          </cell>
          <cell r="AP3041">
            <v>0</v>
          </cell>
          <cell r="AR3041">
            <v>0</v>
          </cell>
          <cell r="AS3041">
            <v>0</v>
          </cell>
          <cell r="BF3041" t="str">
            <v>5200</v>
          </cell>
          <cell r="BG3041" t="str">
            <v>Z000</v>
          </cell>
          <cell r="BH3041" t="str">
            <v>GES</v>
          </cell>
        </row>
        <row r="3042">
          <cell r="K3042">
            <v>0</v>
          </cell>
          <cell r="L3042">
            <v>0</v>
          </cell>
          <cell r="N3042">
            <v>0</v>
          </cell>
          <cell r="O3042">
            <v>0</v>
          </cell>
          <cell r="Q3042">
            <v>0</v>
          </cell>
          <cell r="R3042">
            <v>0</v>
          </cell>
          <cell r="T3042">
            <v>0</v>
          </cell>
          <cell r="U3042">
            <v>0</v>
          </cell>
          <cell r="W3042">
            <v>0</v>
          </cell>
          <cell r="X3042">
            <v>0</v>
          </cell>
          <cell r="Z3042">
            <v>0</v>
          </cell>
          <cell r="AA3042">
            <v>0</v>
          </cell>
          <cell r="AC3042">
            <v>0</v>
          </cell>
          <cell r="AD3042">
            <v>0</v>
          </cell>
          <cell r="AF3042">
            <v>0</v>
          </cell>
          <cell r="AG3042">
            <v>0</v>
          </cell>
          <cell r="AI3042">
            <v>0</v>
          </cell>
          <cell r="AJ3042">
            <v>0</v>
          </cell>
          <cell r="AL3042">
            <v>0</v>
          </cell>
          <cell r="AM3042">
            <v>0</v>
          </cell>
          <cell r="AO3042">
            <v>0</v>
          </cell>
          <cell r="AP3042">
            <v>0</v>
          </cell>
          <cell r="AR3042">
            <v>0</v>
          </cell>
          <cell r="AS3042">
            <v>0</v>
          </cell>
          <cell r="BF3042" t="str">
            <v>5400</v>
          </cell>
          <cell r="BG3042" t="str">
            <v>F001</v>
          </cell>
          <cell r="BH3042" t="str">
            <v>GES</v>
          </cell>
        </row>
        <row r="3043">
          <cell r="K3043">
            <v>0</v>
          </cell>
          <cell r="L3043">
            <v>0</v>
          </cell>
          <cell r="N3043">
            <v>0</v>
          </cell>
          <cell r="O3043">
            <v>0</v>
          </cell>
          <cell r="Q3043">
            <v>0</v>
          </cell>
          <cell r="R3043">
            <v>0</v>
          </cell>
          <cell r="T3043">
            <v>0</v>
          </cell>
          <cell r="U3043">
            <v>0</v>
          </cell>
          <cell r="W3043">
            <v>0</v>
          </cell>
          <cell r="X3043">
            <v>0</v>
          </cell>
          <cell r="Z3043">
            <v>0</v>
          </cell>
          <cell r="AA3043">
            <v>0</v>
          </cell>
          <cell r="AC3043">
            <v>0</v>
          </cell>
          <cell r="AD3043">
            <v>0</v>
          </cell>
          <cell r="AF3043">
            <v>0</v>
          </cell>
          <cell r="AG3043">
            <v>0</v>
          </cell>
          <cell r="AI3043">
            <v>0</v>
          </cell>
          <cell r="AJ3043">
            <v>0</v>
          </cell>
          <cell r="AL3043">
            <v>0</v>
          </cell>
          <cell r="AM3043">
            <v>0</v>
          </cell>
          <cell r="AO3043">
            <v>0</v>
          </cell>
          <cell r="AP3043">
            <v>0</v>
          </cell>
          <cell r="AR3043">
            <v>0</v>
          </cell>
          <cell r="AS3043">
            <v>0</v>
          </cell>
          <cell r="BF3043" t="str">
            <v>5400</v>
          </cell>
          <cell r="BG3043" t="str">
            <v>F002</v>
          </cell>
          <cell r="BH3043" t="str">
            <v>GES</v>
          </cell>
        </row>
        <row r="3044">
          <cell r="K3044">
            <v>0</v>
          </cell>
          <cell r="L3044">
            <v>0</v>
          </cell>
          <cell r="N3044">
            <v>0</v>
          </cell>
          <cell r="O3044">
            <v>0</v>
          </cell>
          <cell r="Q3044">
            <v>0</v>
          </cell>
          <cell r="R3044">
            <v>0</v>
          </cell>
          <cell r="T3044">
            <v>0</v>
          </cell>
          <cell r="U3044">
            <v>0</v>
          </cell>
          <cell r="W3044">
            <v>0</v>
          </cell>
          <cell r="X3044">
            <v>0</v>
          </cell>
          <cell r="Z3044">
            <v>0</v>
          </cell>
          <cell r="AA3044">
            <v>0</v>
          </cell>
          <cell r="AC3044">
            <v>0</v>
          </cell>
          <cell r="AD3044">
            <v>0</v>
          </cell>
          <cell r="AF3044">
            <v>0</v>
          </cell>
          <cell r="AG3044">
            <v>0</v>
          </cell>
          <cell r="AI3044">
            <v>0</v>
          </cell>
          <cell r="AJ3044">
            <v>0</v>
          </cell>
          <cell r="AL3044">
            <v>0</v>
          </cell>
          <cell r="AM3044">
            <v>0</v>
          </cell>
          <cell r="AO3044">
            <v>0</v>
          </cell>
          <cell r="AP3044">
            <v>0</v>
          </cell>
          <cell r="AR3044">
            <v>0</v>
          </cell>
          <cell r="AS3044">
            <v>0</v>
          </cell>
          <cell r="BF3044" t="str">
            <v>5400</v>
          </cell>
          <cell r="BG3044" t="str">
            <v>F003</v>
          </cell>
          <cell r="BH3044" t="str">
            <v>GES</v>
          </cell>
        </row>
        <row r="3045">
          <cell r="K3045">
            <v>0</v>
          </cell>
          <cell r="L3045">
            <v>0</v>
          </cell>
          <cell r="N3045">
            <v>0</v>
          </cell>
          <cell r="O3045">
            <v>0</v>
          </cell>
          <cell r="Q3045">
            <v>0</v>
          </cell>
          <cell r="R3045">
            <v>0</v>
          </cell>
          <cell r="T3045">
            <v>0</v>
          </cell>
          <cell r="U3045">
            <v>0</v>
          </cell>
          <cell r="W3045">
            <v>0</v>
          </cell>
          <cell r="X3045">
            <v>0</v>
          </cell>
          <cell r="Z3045">
            <v>0</v>
          </cell>
          <cell r="AA3045">
            <v>0</v>
          </cell>
          <cell r="AC3045">
            <v>0</v>
          </cell>
          <cell r="AD3045">
            <v>0</v>
          </cell>
          <cell r="AF3045">
            <v>0</v>
          </cell>
          <cell r="AG3045">
            <v>0</v>
          </cell>
          <cell r="AI3045">
            <v>0</v>
          </cell>
          <cell r="AJ3045">
            <v>0</v>
          </cell>
          <cell r="AL3045">
            <v>0</v>
          </cell>
          <cell r="AM3045">
            <v>0</v>
          </cell>
          <cell r="AO3045">
            <v>0</v>
          </cell>
          <cell r="AP3045">
            <v>0</v>
          </cell>
          <cell r="AR3045">
            <v>0</v>
          </cell>
          <cell r="AS3045">
            <v>0</v>
          </cell>
          <cell r="BF3045" t="str">
            <v>5400</v>
          </cell>
          <cell r="BG3045" t="str">
            <v>F004</v>
          </cell>
          <cell r="BH3045" t="str">
            <v>GES</v>
          </cell>
        </row>
        <row r="3046">
          <cell r="K3046">
            <v>0</v>
          </cell>
          <cell r="L3046">
            <v>0</v>
          </cell>
          <cell r="N3046">
            <v>0</v>
          </cell>
          <cell r="O3046">
            <v>0</v>
          </cell>
          <cell r="Q3046">
            <v>0</v>
          </cell>
          <cell r="R3046">
            <v>0</v>
          </cell>
          <cell r="T3046">
            <v>0</v>
          </cell>
          <cell r="U3046">
            <v>0</v>
          </cell>
          <cell r="W3046">
            <v>0</v>
          </cell>
          <cell r="X3046">
            <v>0</v>
          </cell>
          <cell r="Z3046">
            <v>0</v>
          </cell>
          <cell r="AA3046">
            <v>0</v>
          </cell>
          <cell r="AC3046">
            <v>0</v>
          </cell>
          <cell r="AD3046">
            <v>0</v>
          </cell>
          <cell r="AF3046">
            <v>0</v>
          </cell>
          <cell r="AG3046">
            <v>0</v>
          </cell>
          <cell r="AI3046">
            <v>0</v>
          </cell>
          <cell r="AJ3046">
            <v>0</v>
          </cell>
          <cell r="AL3046">
            <v>0</v>
          </cell>
          <cell r="AM3046">
            <v>0</v>
          </cell>
          <cell r="AO3046">
            <v>0</v>
          </cell>
          <cell r="AP3046">
            <v>0</v>
          </cell>
          <cell r="AR3046">
            <v>0</v>
          </cell>
          <cell r="AS3046">
            <v>0</v>
          </cell>
          <cell r="BF3046" t="str">
            <v>5400</v>
          </cell>
          <cell r="BG3046" t="str">
            <v>F005</v>
          </cell>
          <cell r="BH3046" t="str">
            <v>GES</v>
          </cell>
        </row>
        <row r="3047">
          <cell r="K3047">
            <v>0</v>
          </cell>
          <cell r="L3047">
            <v>0</v>
          </cell>
          <cell r="N3047">
            <v>0</v>
          </cell>
          <cell r="O3047">
            <v>0</v>
          </cell>
          <cell r="Q3047">
            <v>0</v>
          </cell>
          <cell r="R3047">
            <v>0</v>
          </cell>
          <cell r="T3047">
            <v>0</v>
          </cell>
          <cell r="U3047">
            <v>0</v>
          </cell>
          <cell r="W3047">
            <v>0</v>
          </cell>
          <cell r="X3047">
            <v>0</v>
          </cell>
          <cell r="Z3047">
            <v>0</v>
          </cell>
          <cell r="AA3047">
            <v>0</v>
          </cell>
          <cell r="AC3047">
            <v>0</v>
          </cell>
          <cell r="AD3047">
            <v>0</v>
          </cell>
          <cell r="AF3047">
            <v>0</v>
          </cell>
          <cell r="AG3047">
            <v>0</v>
          </cell>
          <cell r="AI3047">
            <v>0</v>
          </cell>
          <cell r="AJ3047">
            <v>0</v>
          </cell>
          <cell r="AL3047">
            <v>0</v>
          </cell>
          <cell r="AM3047">
            <v>0</v>
          </cell>
          <cell r="AO3047">
            <v>0</v>
          </cell>
          <cell r="AP3047">
            <v>0</v>
          </cell>
          <cell r="AR3047">
            <v>0</v>
          </cell>
          <cell r="AS3047">
            <v>0</v>
          </cell>
          <cell r="BF3047" t="str">
            <v>5400</v>
          </cell>
          <cell r="BG3047" t="str">
            <v>F006</v>
          </cell>
          <cell r="BH3047" t="str">
            <v>GES</v>
          </cell>
        </row>
        <row r="3048">
          <cell r="K3048">
            <v>0</v>
          </cell>
          <cell r="L3048">
            <v>0</v>
          </cell>
          <cell r="N3048">
            <v>0</v>
          </cell>
          <cell r="O3048">
            <v>0</v>
          </cell>
          <cell r="Q3048">
            <v>0</v>
          </cell>
          <cell r="R3048">
            <v>0</v>
          </cell>
          <cell r="T3048">
            <v>0</v>
          </cell>
          <cell r="U3048">
            <v>0</v>
          </cell>
          <cell r="W3048">
            <v>0</v>
          </cell>
          <cell r="X3048">
            <v>0</v>
          </cell>
          <cell r="Z3048">
            <v>0</v>
          </cell>
          <cell r="AA3048">
            <v>0</v>
          </cell>
          <cell r="AC3048">
            <v>0</v>
          </cell>
          <cell r="AD3048">
            <v>0</v>
          </cell>
          <cell r="AF3048">
            <v>0</v>
          </cell>
          <cell r="AG3048">
            <v>0</v>
          </cell>
          <cell r="AI3048">
            <v>0</v>
          </cell>
          <cell r="AJ3048">
            <v>0</v>
          </cell>
          <cell r="AL3048">
            <v>0</v>
          </cell>
          <cell r="AM3048">
            <v>0</v>
          </cell>
          <cell r="AO3048">
            <v>0</v>
          </cell>
          <cell r="AP3048">
            <v>0</v>
          </cell>
          <cell r="AR3048">
            <v>0</v>
          </cell>
          <cell r="AS3048">
            <v>0</v>
          </cell>
          <cell r="BF3048" t="str">
            <v>5400</v>
          </cell>
          <cell r="BG3048" t="str">
            <v>F007</v>
          </cell>
          <cell r="BH3048" t="str">
            <v>GES</v>
          </cell>
        </row>
        <row r="3049">
          <cell r="K3049">
            <v>0</v>
          </cell>
          <cell r="L3049">
            <v>0</v>
          </cell>
          <cell r="N3049">
            <v>0</v>
          </cell>
          <cell r="O3049">
            <v>0</v>
          </cell>
          <cell r="Q3049">
            <v>0</v>
          </cell>
          <cell r="R3049">
            <v>0</v>
          </cell>
          <cell r="T3049">
            <v>0</v>
          </cell>
          <cell r="U3049">
            <v>0</v>
          </cell>
          <cell r="W3049">
            <v>0</v>
          </cell>
          <cell r="X3049">
            <v>0</v>
          </cell>
          <cell r="Z3049">
            <v>0</v>
          </cell>
          <cell r="AA3049">
            <v>0</v>
          </cell>
          <cell r="AC3049">
            <v>0</v>
          </cell>
          <cell r="AD3049">
            <v>0</v>
          </cell>
          <cell r="AF3049">
            <v>0</v>
          </cell>
          <cell r="AG3049">
            <v>0</v>
          </cell>
          <cell r="AI3049">
            <v>0</v>
          </cell>
          <cell r="AJ3049">
            <v>0</v>
          </cell>
          <cell r="AL3049">
            <v>0</v>
          </cell>
          <cell r="AM3049">
            <v>0</v>
          </cell>
          <cell r="AO3049">
            <v>0</v>
          </cell>
          <cell r="AP3049">
            <v>0</v>
          </cell>
          <cell r="AR3049">
            <v>0</v>
          </cell>
          <cell r="AS3049">
            <v>0</v>
          </cell>
          <cell r="BF3049" t="str">
            <v>5400</v>
          </cell>
          <cell r="BG3049" t="str">
            <v>F008</v>
          </cell>
          <cell r="BH3049" t="str">
            <v>GES</v>
          </cell>
        </row>
        <row r="3050">
          <cell r="K3050">
            <v>0</v>
          </cell>
          <cell r="L3050">
            <v>0</v>
          </cell>
          <cell r="N3050">
            <v>0</v>
          </cell>
          <cell r="O3050">
            <v>0</v>
          </cell>
          <cell r="Q3050">
            <v>0</v>
          </cell>
          <cell r="R3050">
            <v>0</v>
          </cell>
          <cell r="T3050">
            <v>0</v>
          </cell>
          <cell r="U3050">
            <v>0</v>
          </cell>
          <cell r="W3050">
            <v>0</v>
          </cell>
          <cell r="X3050">
            <v>0</v>
          </cell>
          <cell r="Z3050">
            <v>0</v>
          </cell>
          <cell r="AA3050">
            <v>0</v>
          </cell>
          <cell r="AC3050">
            <v>0</v>
          </cell>
          <cell r="AD3050">
            <v>0</v>
          </cell>
          <cell r="AF3050">
            <v>0</v>
          </cell>
          <cell r="AG3050">
            <v>0</v>
          </cell>
          <cell r="AI3050">
            <v>0</v>
          </cell>
          <cell r="AJ3050">
            <v>0</v>
          </cell>
          <cell r="AL3050">
            <v>0</v>
          </cell>
          <cell r="AM3050">
            <v>0</v>
          </cell>
          <cell r="AO3050">
            <v>0</v>
          </cell>
          <cell r="AP3050">
            <v>0</v>
          </cell>
          <cell r="AR3050">
            <v>0</v>
          </cell>
          <cell r="AS3050">
            <v>0</v>
          </cell>
          <cell r="BF3050" t="str">
            <v>5400</v>
          </cell>
          <cell r="BG3050" t="str">
            <v>F009</v>
          </cell>
          <cell r="BH3050" t="str">
            <v>GES</v>
          </cell>
        </row>
        <row r="3051">
          <cell r="K3051">
            <v>0</v>
          </cell>
          <cell r="L3051">
            <v>0</v>
          </cell>
          <cell r="N3051">
            <v>0</v>
          </cell>
          <cell r="O3051">
            <v>0</v>
          </cell>
          <cell r="Q3051">
            <v>0</v>
          </cell>
          <cell r="R3051">
            <v>0</v>
          </cell>
          <cell r="T3051">
            <v>0</v>
          </cell>
          <cell r="U3051">
            <v>0</v>
          </cell>
          <cell r="W3051">
            <v>0</v>
          </cell>
          <cell r="X3051">
            <v>0</v>
          </cell>
          <cell r="Z3051">
            <v>0</v>
          </cell>
          <cell r="AA3051">
            <v>0</v>
          </cell>
          <cell r="AC3051">
            <v>0</v>
          </cell>
          <cell r="AD3051">
            <v>0</v>
          </cell>
          <cell r="AF3051">
            <v>0</v>
          </cell>
          <cell r="AG3051">
            <v>0</v>
          </cell>
          <cell r="AI3051">
            <v>0</v>
          </cell>
          <cell r="AJ3051">
            <v>0</v>
          </cell>
          <cell r="AL3051">
            <v>0</v>
          </cell>
          <cell r="AM3051">
            <v>0</v>
          </cell>
          <cell r="AO3051">
            <v>0</v>
          </cell>
          <cell r="AP3051">
            <v>0</v>
          </cell>
          <cell r="AR3051">
            <v>0</v>
          </cell>
          <cell r="AS3051">
            <v>0</v>
          </cell>
          <cell r="BF3051" t="str">
            <v>5400</v>
          </cell>
          <cell r="BG3051" t="str">
            <v>F010</v>
          </cell>
          <cell r="BH3051" t="str">
            <v>GES</v>
          </cell>
        </row>
        <row r="3052">
          <cell r="K3052">
            <v>0</v>
          </cell>
          <cell r="L3052">
            <v>0</v>
          </cell>
          <cell r="N3052">
            <v>0</v>
          </cell>
          <cell r="O3052">
            <v>0</v>
          </cell>
          <cell r="Q3052">
            <v>0</v>
          </cell>
          <cell r="R3052">
            <v>0</v>
          </cell>
          <cell r="T3052">
            <v>0</v>
          </cell>
          <cell r="U3052">
            <v>0</v>
          </cell>
          <cell r="W3052">
            <v>0</v>
          </cell>
          <cell r="X3052">
            <v>0</v>
          </cell>
          <cell r="Z3052">
            <v>0</v>
          </cell>
          <cell r="AA3052">
            <v>0</v>
          </cell>
          <cell r="AC3052">
            <v>0</v>
          </cell>
          <cell r="AD3052">
            <v>0</v>
          </cell>
          <cell r="AF3052">
            <v>0</v>
          </cell>
          <cell r="AG3052">
            <v>0</v>
          </cell>
          <cell r="AI3052">
            <v>0</v>
          </cell>
          <cell r="AJ3052">
            <v>0</v>
          </cell>
          <cell r="AL3052">
            <v>0</v>
          </cell>
          <cell r="AM3052">
            <v>0</v>
          </cell>
          <cell r="AO3052">
            <v>0</v>
          </cell>
          <cell r="AP3052">
            <v>0</v>
          </cell>
          <cell r="AR3052">
            <v>0</v>
          </cell>
          <cell r="AS3052">
            <v>0</v>
          </cell>
          <cell r="BF3052" t="str">
            <v>5400</v>
          </cell>
          <cell r="BG3052" t="str">
            <v>F011</v>
          </cell>
          <cell r="BH3052" t="str">
            <v>GES</v>
          </cell>
        </row>
        <row r="3053">
          <cell r="K3053">
            <v>0</v>
          </cell>
          <cell r="L3053">
            <v>0</v>
          </cell>
          <cell r="N3053">
            <v>0</v>
          </cell>
          <cell r="O3053">
            <v>0</v>
          </cell>
          <cell r="Q3053">
            <v>0</v>
          </cell>
          <cell r="R3053">
            <v>0</v>
          </cell>
          <cell r="T3053">
            <v>0</v>
          </cell>
          <cell r="U3053">
            <v>0</v>
          </cell>
          <cell r="W3053">
            <v>0</v>
          </cell>
          <cell r="X3053">
            <v>0</v>
          </cell>
          <cell r="Z3053">
            <v>0</v>
          </cell>
          <cell r="AA3053">
            <v>0</v>
          </cell>
          <cell r="AC3053">
            <v>0</v>
          </cell>
          <cell r="AD3053">
            <v>0</v>
          </cell>
          <cell r="AF3053">
            <v>0</v>
          </cell>
          <cell r="AG3053">
            <v>0</v>
          </cell>
          <cell r="AI3053">
            <v>0</v>
          </cell>
          <cell r="AJ3053">
            <v>0</v>
          </cell>
          <cell r="AL3053">
            <v>0</v>
          </cell>
          <cell r="AM3053">
            <v>0</v>
          </cell>
          <cell r="AO3053">
            <v>0</v>
          </cell>
          <cell r="AP3053">
            <v>0</v>
          </cell>
          <cell r="AR3053">
            <v>0</v>
          </cell>
          <cell r="AS3053">
            <v>0</v>
          </cell>
          <cell r="BF3053" t="str">
            <v>5400</v>
          </cell>
          <cell r="BG3053" t="str">
            <v>F012</v>
          </cell>
          <cell r="BH3053" t="str">
            <v>GES</v>
          </cell>
        </row>
        <row r="3054">
          <cell r="K3054">
            <v>0</v>
          </cell>
          <cell r="L3054">
            <v>0</v>
          </cell>
          <cell r="N3054">
            <v>0</v>
          </cell>
          <cell r="O3054">
            <v>0</v>
          </cell>
          <cell r="Q3054">
            <v>0</v>
          </cell>
          <cell r="R3054">
            <v>0</v>
          </cell>
          <cell r="T3054">
            <v>0</v>
          </cell>
          <cell r="U3054">
            <v>0</v>
          </cell>
          <cell r="W3054">
            <v>0</v>
          </cell>
          <cell r="X3054">
            <v>0</v>
          </cell>
          <cell r="Z3054">
            <v>0</v>
          </cell>
          <cell r="AA3054">
            <v>0</v>
          </cell>
          <cell r="AC3054">
            <v>0</v>
          </cell>
          <cell r="AD3054">
            <v>0</v>
          </cell>
          <cell r="AF3054">
            <v>0</v>
          </cell>
          <cell r="AG3054">
            <v>0</v>
          </cell>
          <cell r="AI3054">
            <v>0</v>
          </cell>
          <cell r="AJ3054">
            <v>0</v>
          </cell>
          <cell r="AL3054">
            <v>0</v>
          </cell>
          <cell r="AM3054">
            <v>0</v>
          </cell>
          <cell r="AO3054">
            <v>0</v>
          </cell>
          <cell r="AP3054">
            <v>0</v>
          </cell>
          <cell r="AR3054">
            <v>0</v>
          </cell>
          <cell r="AS3054">
            <v>0</v>
          </cell>
          <cell r="BF3054" t="str">
            <v>5400</v>
          </cell>
          <cell r="BG3054" t="str">
            <v>F013</v>
          </cell>
          <cell r="BH3054" t="str">
            <v>GES</v>
          </cell>
        </row>
        <row r="3055">
          <cell r="K3055">
            <v>0</v>
          </cell>
          <cell r="L3055">
            <v>0</v>
          </cell>
          <cell r="N3055">
            <v>0</v>
          </cell>
          <cell r="O3055">
            <v>0</v>
          </cell>
          <cell r="Q3055">
            <v>0</v>
          </cell>
          <cell r="R3055">
            <v>0</v>
          </cell>
          <cell r="T3055">
            <v>0</v>
          </cell>
          <cell r="U3055">
            <v>0</v>
          </cell>
          <cell r="W3055">
            <v>0</v>
          </cell>
          <cell r="X3055">
            <v>0</v>
          </cell>
          <cell r="Z3055">
            <v>0</v>
          </cell>
          <cell r="AA3055">
            <v>0</v>
          </cell>
          <cell r="AC3055">
            <v>0</v>
          </cell>
          <cell r="AD3055">
            <v>0</v>
          </cell>
          <cell r="AF3055">
            <v>0</v>
          </cell>
          <cell r="AG3055">
            <v>0</v>
          </cell>
          <cell r="AI3055">
            <v>0</v>
          </cell>
          <cell r="AJ3055">
            <v>0</v>
          </cell>
          <cell r="AL3055">
            <v>0</v>
          </cell>
          <cell r="AM3055">
            <v>0</v>
          </cell>
          <cell r="AO3055">
            <v>0</v>
          </cell>
          <cell r="AP3055">
            <v>0</v>
          </cell>
          <cell r="AR3055">
            <v>0</v>
          </cell>
          <cell r="AS3055">
            <v>0</v>
          </cell>
          <cell r="BF3055" t="str">
            <v>5400</v>
          </cell>
          <cell r="BG3055" t="str">
            <v>F014</v>
          </cell>
          <cell r="BH3055" t="str">
            <v>GES</v>
          </cell>
        </row>
        <row r="3056">
          <cell r="K3056">
            <v>0</v>
          </cell>
          <cell r="L3056">
            <v>0</v>
          </cell>
          <cell r="N3056">
            <v>0</v>
          </cell>
          <cell r="O3056">
            <v>0</v>
          </cell>
          <cell r="Q3056">
            <v>0</v>
          </cell>
          <cell r="R3056">
            <v>0</v>
          </cell>
          <cell r="T3056">
            <v>0</v>
          </cell>
          <cell r="U3056">
            <v>0</v>
          </cell>
          <cell r="W3056">
            <v>0</v>
          </cell>
          <cell r="X3056">
            <v>0</v>
          </cell>
          <cell r="Z3056">
            <v>0</v>
          </cell>
          <cell r="AA3056">
            <v>0</v>
          </cell>
          <cell r="AC3056">
            <v>0</v>
          </cell>
          <cell r="AD3056">
            <v>0</v>
          </cell>
          <cell r="AF3056">
            <v>0</v>
          </cell>
          <cell r="AG3056">
            <v>0</v>
          </cell>
          <cell r="AI3056">
            <v>0</v>
          </cell>
          <cell r="AJ3056">
            <v>0</v>
          </cell>
          <cell r="AL3056">
            <v>0</v>
          </cell>
          <cell r="AM3056">
            <v>0</v>
          </cell>
          <cell r="AO3056">
            <v>0</v>
          </cell>
          <cell r="AP3056">
            <v>0</v>
          </cell>
          <cell r="AR3056">
            <v>0</v>
          </cell>
          <cell r="AS3056">
            <v>0</v>
          </cell>
          <cell r="BF3056" t="str">
            <v>5400</v>
          </cell>
          <cell r="BG3056" t="str">
            <v>F015</v>
          </cell>
          <cell r="BH3056" t="str">
            <v>GES</v>
          </cell>
        </row>
        <row r="3057">
          <cell r="K3057">
            <v>0</v>
          </cell>
          <cell r="L3057">
            <v>0</v>
          </cell>
          <cell r="N3057">
            <v>0</v>
          </cell>
          <cell r="O3057">
            <v>0</v>
          </cell>
          <cell r="Q3057">
            <v>0</v>
          </cell>
          <cell r="R3057">
            <v>0</v>
          </cell>
          <cell r="T3057">
            <v>0</v>
          </cell>
          <cell r="U3057">
            <v>0</v>
          </cell>
          <cell r="W3057">
            <v>0</v>
          </cell>
          <cell r="X3057">
            <v>0</v>
          </cell>
          <cell r="Z3057">
            <v>0</v>
          </cell>
          <cell r="AA3057">
            <v>0</v>
          </cell>
          <cell r="AC3057">
            <v>0</v>
          </cell>
          <cell r="AD3057">
            <v>0</v>
          </cell>
          <cell r="AF3057">
            <v>0</v>
          </cell>
          <cell r="AG3057">
            <v>0</v>
          </cell>
          <cell r="AI3057">
            <v>0</v>
          </cell>
          <cell r="AJ3057">
            <v>0</v>
          </cell>
          <cell r="AL3057">
            <v>0</v>
          </cell>
          <cell r="AM3057">
            <v>0</v>
          </cell>
          <cell r="AO3057">
            <v>0</v>
          </cell>
          <cell r="AP3057">
            <v>0</v>
          </cell>
          <cell r="AR3057">
            <v>0</v>
          </cell>
          <cell r="AS3057">
            <v>0</v>
          </cell>
          <cell r="BF3057" t="str">
            <v>5400</v>
          </cell>
          <cell r="BG3057" t="str">
            <v>F016</v>
          </cell>
          <cell r="BH3057" t="str">
            <v>GES</v>
          </cell>
        </row>
        <row r="3058">
          <cell r="K3058">
            <v>0</v>
          </cell>
          <cell r="L3058">
            <v>0</v>
          </cell>
          <cell r="N3058">
            <v>0</v>
          </cell>
          <cell r="O3058">
            <v>0</v>
          </cell>
          <cell r="Q3058">
            <v>0</v>
          </cell>
          <cell r="R3058">
            <v>0</v>
          </cell>
          <cell r="T3058">
            <v>0</v>
          </cell>
          <cell r="U3058">
            <v>0</v>
          </cell>
          <cell r="W3058">
            <v>0</v>
          </cell>
          <cell r="X3058">
            <v>0</v>
          </cell>
          <cell r="Z3058">
            <v>0</v>
          </cell>
          <cell r="AA3058">
            <v>0</v>
          </cell>
          <cell r="AC3058">
            <v>0</v>
          </cell>
          <cell r="AD3058">
            <v>0</v>
          </cell>
          <cell r="AF3058">
            <v>0</v>
          </cell>
          <cell r="AG3058">
            <v>0</v>
          </cell>
          <cell r="AI3058">
            <v>0</v>
          </cell>
          <cell r="AJ3058">
            <v>0</v>
          </cell>
          <cell r="AL3058">
            <v>0</v>
          </cell>
          <cell r="AM3058">
            <v>0</v>
          </cell>
          <cell r="AO3058">
            <v>0</v>
          </cell>
          <cell r="AP3058">
            <v>0</v>
          </cell>
          <cell r="AR3058">
            <v>0</v>
          </cell>
          <cell r="AS3058">
            <v>0</v>
          </cell>
          <cell r="BF3058" t="str">
            <v>5400</v>
          </cell>
          <cell r="BG3058" t="str">
            <v>F017</v>
          </cell>
          <cell r="BH3058" t="str">
            <v>GES</v>
          </cell>
        </row>
        <row r="3059">
          <cell r="K3059">
            <v>0</v>
          </cell>
          <cell r="L3059">
            <v>0</v>
          </cell>
          <cell r="N3059">
            <v>0</v>
          </cell>
          <cell r="O3059">
            <v>0</v>
          </cell>
          <cell r="Q3059">
            <v>0</v>
          </cell>
          <cell r="R3059">
            <v>0</v>
          </cell>
          <cell r="T3059">
            <v>0</v>
          </cell>
          <cell r="U3059">
            <v>0</v>
          </cell>
          <cell r="W3059">
            <v>0</v>
          </cell>
          <cell r="X3059">
            <v>0</v>
          </cell>
          <cell r="Z3059">
            <v>0</v>
          </cell>
          <cell r="AA3059">
            <v>0</v>
          </cell>
          <cell r="AC3059">
            <v>0</v>
          </cell>
          <cell r="AD3059">
            <v>0</v>
          </cell>
          <cell r="AF3059">
            <v>0</v>
          </cell>
          <cell r="AG3059">
            <v>0</v>
          </cell>
          <cell r="AI3059">
            <v>0</v>
          </cell>
          <cell r="AJ3059">
            <v>0</v>
          </cell>
          <cell r="AL3059">
            <v>0</v>
          </cell>
          <cell r="AM3059">
            <v>0</v>
          </cell>
          <cell r="AO3059">
            <v>0</v>
          </cell>
          <cell r="AP3059">
            <v>0</v>
          </cell>
          <cell r="AR3059">
            <v>0</v>
          </cell>
          <cell r="AS3059">
            <v>0</v>
          </cell>
          <cell r="BF3059" t="str">
            <v>5400</v>
          </cell>
          <cell r="BG3059" t="str">
            <v>F018</v>
          </cell>
          <cell r="BH3059" t="str">
            <v>GES</v>
          </cell>
        </row>
        <row r="3060">
          <cell r="K3060">
            <v>0</v>
          </cell>
          <cell r="L3060">
            <v>0</v>
          </cell>
          <cell r="N3060">
            <v>0</v>
          </cell>
          <cell r="O3060">
            <v>0</v>
          </cell>
          <cell r="Q3060">
            <v>0</v>
          </cell>
          <cell r="R3060">
            <v>0</v>
          </cell>
          <cell r="T3060">
            <v>0</v>
          </cell>
          <cell r="U3060">
            <v>0</v>
          </cell>
          <cell r="W3060">
            <v>0</v>
          </cell>
          <cell r="X3060">
            <v>0</v>
          </cell>
          <cell r="Z3060">
            <v>0</v>
          </cell>
          <cell r="AA3060">
            <v>0</v>
          </cell>
          <cell r="AC3060">
            <v>0</v>
          </cell>
          <cell r="AD3060">
            <v>0</v>
          </cell>
          <cell r="AF3060">
            <v>0</v>
          </cell>
          <cell r="AG3060">
            <v>0</v>
          </cell>
          <cell r="AI3060">
            <v>0</v>
          </cell>
          <cell r="AJ3060">
            <v>0</v>
          </cell>
          <cell r="AL3060">
            <v>0</v>
          </cell>
          <cell r="AM3060">
            <v>0</v>
          </cell>
          <cell r="AO3060">
            <v>0</v>
          </cell>
          <cell r="AP3060">
            <v>0</v>
          </cell>
          <cell r="AR3060">
            <v>0</v>
          </cell>
          <cell r="AS3060">
            <v>0</v>
          </cell>
          <cell r="BF3060" t="str">
            <v>5400</v>
          </cell>
          <cell r="BG3060" t="str">
            <v>F019</v>
          </cell>
          <cell r="BH3060" t="str">
            <v>GES</v>
          </cell>
        </row>
        <row r="3061">
          <cell r="K3061">
            <v>0</v>
          </cell>
          <cell r="L3061">
            <v>0</v>
          </cell>
          <cell r="N3061">
            <v>0</v>
          </cell>
          <cell r="O3061">
            <v>0</v>
          </cell>
          <cell r="Q3061">
            <v>0</v>
          </cell>
          <cell r="R3061">
            <v>0</v>
          </cell>
          <cell r="T3061">
            <v>0</v>
          </cell>
          <cell r="U3061">
            <v>0</v>
          </cell>
          <cell r="W3061">
            <v>0</v>
          </cell>
          <cell r="X3061">
            <v>0</v>
          </cell>
          <cell r="Z3061">
            <v>0</v>
          </cell>
          <cell r="AA3061">
            <v>0</v>
          </cell>
          <cell r="AC3061">
            <v>0</v>
          </cell>
          <cell r="AD3061">
            <v>0</v>
          </cell>
          <cell r="AF3061">
            <v>0</v>
          </cell>
          <cell r="AG3061">
            <v>0</v>
          </cell>
          <cell r="AI3061">
            <v>0</v>
          </cell>
          <cell r="AJ3061">
            <v>0</v>
          </cell>
          <cell r="AL3061">
            <v>0</v>
          </cell>
          <cell r="AM3061">
            <v>0</v>
          </cell>
          <cell r="AO3061">
            <v>0</v>
          </cell>
          <cell r="AP3061">
            <v>0</v>
          </cell>
          <cell r="AR3061">
            <v>0</v>
          </cell>
          <cell r="AS3061">
            <v>0</v>
          </cell>
          <cell r="BF3061" t="str">
            <v>5400</v>
          </cell>
          <cell r="BG3061" t="str">
            <v>F020</v>
          </cell>
          <cell r="BH3061" t="str">
            <v>GES</v>
          </cell>
        </row>
        <row r="3062">
          <cell r="K3062">
            <v>0</v>
          </cell>
          <cell r="L3062">
            <v>0</v>
          </cell>
          <cell r="N3062">
            <v>0</v>
          </cell>
          <cell r="O3062">
            <v>0</v>
          </cell>
          <cell r="Q3062">
            <v>0</v>
          </cell>
          <cell r="R3062">
            <v>0</v>
          </cell>
          <cell r="T3062">
            <v>0</v>
          </cell>
          <cell r="U3062">
            <v>0</v>
          </cell>
          <cell r="W3062">
            <v>0</v>
          </cell>
          <cell r="X3062">
            <v>0</v>
          </cell>
          <cell r="Z3062">
            <v>0</v>
          </cell>
          <cell r="AA3062">
            <v>0</v>
          </cell>
          <cell r="AC3062">
            <v>0</v>
          </cell>
          <cell r="AD3062">
            <v>0</v>
          </cell>
          <cell r="AF3062">
            <v>38187.21</v>
          </cell>
          <cell r="AG3062">
            <v>0</v>
          </cell>
          <cell r="AI3062">
            <v>-18033.230000000018</v>
          </cell>
          <cell r="AJ3062">
            <v>0</v>
          </cell>
          <cell r="AL3062">
            <v>215.33999999999651</v>
          </cell>
          <cell r="AM3062">
            <v>0</v>
          </cell>
          <cell r="AO3062">
            <v>24625.460000000021</v>
          </cell>
          <cell r="AP3062">
            <v>0</v>
          </cell>
          <cell r="AR3062">
            <v>22038.410000000003</v>
          </cell>
          <cell r="AS3062">
            <v>0</v>
          </cell>
          <cell r="BF3062" t="str">
            <v>5500</v>
          </cell>
          <cell r="BG3062" t="str">
            <v>G001</v>
          </cell>
          <cell r="BH3062" t="str">
            <v>GES</v>
          </cell>
        </row>
        <row r="3063">
          <cell r="K3063">
            <v>0</v>
          </cell>
          <cell r="L3063">
            <v>0</v>
          </cell>
          <cell r="N3063">
            <v>0</v>
          </cell>
          <cell r="O3063">
            <v>0</v>
          </cell>
          <cell r="Q3063">
            <v>0</v>
          </cell>
          <cell r="R3063">
            <v>0</v>
          </cell>
          <cell r="T3063">
            <v>0</v>
          </cell>
          <cell r="U3063">
            <v>0</v>
          </cell>
          <cell r="W3063">
            <v>0</v>
          </cell>
          <cell r="X3063">
            <v>0</v>
          </cell>
          <cell r="Z3063">
            <v>0</v>
          </cell>
          <cell r="AA3063">
            <v>0</v>
          </cell>
          <cell r="AC3063">
            <v>0</v>
          </cell>
          <cell r="AD3063">
            <v>0</v>
          </cell>
          <cell r="AF3063">
            <v>0</v>
          </cell>
          <cell r="AG3063">
            <v>0</v>
          </cell>
          <cell r="AI3063">
            <v>0</v>
          </cell>
          <cell r="AJ3063">
            <v>0</v>
          </cell>
          <cell r="AL3063">
            <v>0</v>
          </cell>
          <cell r="AM3063">
            <v>0</v>
          </cell>
          <cell r="AO3063">
            <v>0</v>
          </cell>
          <cell r="AP3063">
            <v>0</v>
          </cell>
          <cell r="AR3063">
            <v>0</v>
          </cell>
          <cell r="AS3063">
            <v>0</v>
          </cell>
          <cell r="BF3063" t="str">
            <v>5500</v>
          </cell>
          <cell r="BG3063" t="str">
            <v>G002</v>
          </cell>
          <cell r="BH3063" t="str">
            <v>GES</v>
          </cell>
        </row>
        <row r="3064">
          <cell r="K3064">
            <v>0</v>
          </cell>
          <cell r="L3064">
            <v>0</v>
          </cell>
          <cell r="N3064">
            <v>0</v>
          </cell>
          <cell r="O3064">
            <v>0</v>
          </cell>
          <cell r="Q3064">
            <v>0</v>
          </cell>
          <cell r="R3064">
            <v>0</v>
          </cell>
          <cell r="T3064">
            <v>0</v>
          </cell>
          <cell r="U3064">
            <v>0</v>
          </cell>
          <cell r="W3064">
            <v>0</v>
          </cell>
          <cell r="X3064">
            <v>0</v>
          </cell>
          <cell r="Z3064">
            <v>0</v>
          </cell>
          <cell r="AA3064">
            <v>0</v>
          </cell>
          <cell r="AC3064">
            <v>0</v>
          </cell>
          <cell r="AD3064">
            <v>0</v>
          </cell>
          <cell r="AF3064">
            <v>0</v>
          </cell>
          <cell r="AG3064">
            <v>0</v>
          </cell>
          <cell r="AI3064">
            <v>0</v>
          </cell>
          <cell r="AJ3064">
            <v>0</v>
          </cell>
          <cell r="AL3064">
            <v>0</v>
          </cell>
          <cell r="AM3064">
            <v>0</v>
          </cell>
          <cell r="AO3064">
            <v>0</v>
          </cell>
          <cell r="AP3064">
            <v>0</v>
          </cell>
          <cell r="AR3064">
            <v>0</v>
          </cell>
          <cell r="AS3064">
            <v>0</v>
          </cell>
          <cell r="BF3064" t="str">
            <v>5500</v>
          </cell>
          <cell r="BG3064" t="str">
            <v>G003</v>
          </cell>
          <cell r="BH3064" t="str">
            <v>GES</v>
          </cell>
        </row>
        <row r="3065">
          <cell r="K3065">
            <v>0</v>
          </cell>
          <cell r="L3065">
            <v>0</v>
          </cell>
          <cell r="N3065">
            <v>0</v>
          </cell>
          <cell r="O3065">
            <v>0</v>
          </cell>
          <cell r="Q3065">
            <v>0</v>
          </cell>
          <cell r="R3065">
            <v>0</v>
          </cell>
          <cell r="T3065">
            <v>0</v>
          </cell>
          <cell r="U3065">
            <v>0</v>
          </cell>
          <cell r="W3065">
            <v>0</v>
          </cell>
          <cell r="X3065">
            <v>0</v>
          </cell>
          <cell r="Z3065">
            <v>0</v>
          </cell>
          <cell r="AA3065">
            <v>0</v>
          </cell>
          <cell r="AC3065">
            <v>0</v>
          </cell>
          <cell r="AD3065">
            <v>0</v>
          </cell>
          <cell r="AF3065">
            <v>0</v>
          </cell>
          <cell r="AG3065">
            <v>0</v>
          </cell>
          <cell r="AI3065">
            <v>0</v>
          </cell>
          <cell r="AJ3065">
            <v>0</v>
          </cell>
          <cell r="AL3065">
            <v>0</v>
          </cell>
          <cell r="AM3065">
            <v>0</v>
          </cell>
          <cell r="AO3065">
            <v>0</v>
          </cell>
          <cell r="AP3065">
            <v>0</v>
          </cell>
          <cell r="AR3065">
            <v>0</v>
          </cell>
          <cell r="AS3065">
            <v>0</v>
          </cell>
          <cell r="BF3065" t="str">
            <v>5500</v>
          </cell>
          <cell r="BG3065" t="str">
            <v>G004</v>
          </cell>
          <cell r="BH3065" t="str">
            <v>GES</v>
          </cell>
        </row>
        <row r="3066">
          <cell r="K3066">
            <v>0</v>
          </cell>
          <cell r="L3066">
            <v>0</v>
          </cell>
          <cell r="N3066">
            <v>0</v>
          </cell>
          <cell r="O3066">
            <v>0</v>
          </cell>
          <cell r="Q3066">
            <v>0</v>
          </cell>
          <cell r="R3066">
            <v>0</v>
          </cell>
          <cell r="T3066">
            <v>0</v>
          </cell>
          <cell r="U3066">
            <v>0</v>
          </cell>
          <cell r="W3066">
            <v>0</v>
          </cell>
          <cell r="X3066">
            <v>0</v>
          </cell>
          <cell r="Z3066">
            <v>0</v>
          </cell>
          <cell r="AA3066">
            <v>0</v>
          </cell>
          <cell r="AC3066">
            <v>0</v>
          </cell>
          <cell r="AD3066">
            <v>0</v>
          </cell>
          <cell r="AF3066">
            <v>0</v>
          </cell>
          <cell r="AG3066">
            <v>0</v>
          </cell>
          <cell r="AI3066">
            <v>0</v>
          </cell>
          <cell r="AJ3066">
            <v>0</v>
          </cell>
          <cell r="AL3066">
            <v>0</v>
          </cell>
          <cell r="AM3066">
            <v>0</v>
          </cell>
          <cell r="AO3066">
            <v>0</v>
          </cell>
          <cell r="AP3066">
            <v>0</v>
          </cell>
          <cell r="AR3066">
            <v>0</v>
          </cell>
          <cell r="AS3066">
            <v>0</v>
          </cell>
          <cell r="BF3066" t="str">
            <v>5500</v>
          </cell>
          <cell r="BG3066" t="str">
            <v>G005</v>
          </cell>
          <cell r="BH3066" t="str">
            <v>GES</v>
          </cell>
        </row>
        <row r="3067">
          <cell r="K3067">
            <v>0</v>
          </cell>
          <cell r="L3067">
            <v>0</v>
          </cell>
          <cell r="N3067">
            <v>0</v>
          </cell>
          <cell r="O3067">
            <v>0</v>
          </cell>
          <cell r="Q3067">
            <v>0</v>
          </cell>
          <cell r="R3067">
            <v>0</v>
          </cell>
          <cell r="T3067">
            <v>0</v>
          </cell>
          <cell r="U3067">
            <v>0</v>
          </cell>
          <cell r="W3067">
            <v>0</v>
          </cell>
          <cell r="X3067">
            <v>0</v>
          </cell>
          <cell r="Z3067">
            <v>0</v>
          </cell>
          <cell r="AA3067">
            <v>0</v>
          </cell>
          <cell r="AC3067">
            <v>0</v>
          </cell>
          <cell r="AD3067">
            <v>0</v>
          </cell>
          <cell r="AF3067">
            <v>0</v>
          </cell>
          <cell r="AG3067">
            <v>0</v>
          </cell>
          <cell r="AI3067">
            <v>0</v>
          </cell>
          <cell r="AJ3067">
            <v>0</v>
          </cell>
          <cell r="AL3067">
            <v>0</v>
          </cell>
          <cell r="AM3067">
            <v>0</v>
          </cell>
          <cell r="AO3067">
            <v>0</v>
          </cell>
          <cell r="AP3067">
            <v>0</v>
          </cell>
          <cell r="AR3067">
            <v>0</v>
          </cell>
          <cell r="AS3067">
            <v>0</v>
          </cell>
          <cell r="BF3067" t="str">
            <v>5500</v>
          </cell>
          <cell r="BG3067" t="str">
            <v>G006</v>
          </cell>
          <cell r="BH3067" t="str">
            <v>GES</v>
          </cell>
        </row>
        <row r="3068">
          <cell r="K3068">
            <v>0</v>
          </cell>
          <cell r="L3068">
            <v>0</v>
          </cell>
          <cell r="N3068">
            <v>0</v>
          </cell>
          <cell r="O3068">
            <v>0</v>
          </cell>
          <cell r="Q3068">
            <v>0</v>
          </cell>
          <cell r="R3068">
            <v>0</v>
          </cell>
          <cell r="T3068">
            <v>0</v>
          </cell>
          <cell r="U3068">
            <v>0</v>
          </cell>
          <cell r="W3068">
            <v>0</v>
          </cell>
          <cell r="X3068">
            <v>0</v>
          </cell>
          <cell r="Z3068">
            <v>0</v>
          </cell>
          <cell r="AA3068">
            <v>0</v>
          </cell>
          <cell r="AC3068">
            <v>0</v>
          </cell>
          <cell r="AD3068">
            <v>0</v>
          </cell>
          <cell r="AF3068">
            <v>0</v>
          </cell>
          <cell r="AG3068">
            <v>0</v>
          </cell>
          <cell r="AI3068">
            <v>0</v>
          </cell>
          <cell r="AJ3068">
            <v>0</v>
          </cell>
          <cell r="AL3068">
            <v>0</v>
          </cell>
          <cell r="AM3068">
            <v>0</v>
          </cell>
          <cell r="AO3068">
            <v>0</v>
          </cell>
          <cell r="AP3068">
            <v>0</v>
          </cell>
          <cell r="AR3068">
            <v>0</v>
          </cell>
          <cell r="AS3068">
            <v>0</v>
          </cell>
          <cell r="BF3068" t="str">
            <v>5500</v>
          </cell>
          <cell r="BG3068" t="str">
            <v>G007</v>
          </cell>
          <cell r="BH3068" t="str">
            <v>GES</v>
          </cell>
        </row>
        <row r="3069">
          <cell r="K3069">
            <v>0</v>
          </cell>
          <cell r="L3069">
            <v>0</v>
          </cell>
          <cell r="N3069">
            <v>0</v>
          </cell>
          <cell r="O3069">
            <v>0</v>
          </cell>
          <cell r="Q3069">
            <v>0</v>
          </cell>
          <cell r="R3069">
            <v>0</v>
          </cell>
          <cell r="T3069">
            <v>0</v>
          </cell>
          <cell r="U3069">
            <v>0</v>
          </cell>
          <cell r="W3069">
            <v>0</v>
          </cell>
          <cell r="X3069">
            <v>0</v>
          </cell>
          <cell r="Z3069">
            <v>0</v>
          </cell>
          <cell r="AA3069">
            <v>0</v>
          </cell>
          <cell r="AC3069">
            <v>0</v>
          </cell>
          <cell r="AD3069">
            <v>0</v>
          </cell>
          <cell r="AF3069">
            <v>0</v>
          </cell>
          <cell r="AG3069">
            <v>0</v>
          </cell>
          <cell r="AI3069">
            <v>0</v>
          </cell>
          <cell r="AJ3069">
            <v>0</v>
          </cell>
          <cell r="AL3069">
            <v>0</v>
          </cell>
          <cell r="AM3069">
            <v>0</v>
          </cell>
          <cell r="AO3069">
            <v>0</v>
          </cell>
          <cell r="AP3069">
            <v>0</v>
          </cell>
          <cell r="AR3069">
            <v>0</v>
          </cell>
          <cell r="AS3069">
            <v>0</v>
          </cell>
          <cell r="BF3069" t="str">
            <v>5500</v>
          </cell>
          <cell r="BG3069" t="str">
            <v>G008</v>
          </cell>
          <cell r="BH3069" t="str">
            <v>GES</v>
          </cell>
        </row>
        <row r="3070">
          <cell r="K3070">
            <v>0</v>
          </cell>
          <cell r="L3070">
            <v>0</v>
          </cell>
          <cell r="N3070">
            <v>0</v>
          </cell>
          <cell r="O3070">
            <v>0</v>
          </cell>
          <cell r="Q3070">
            <v>0</v>
          </cell>
          <cell r="R3070">
            <v>0</v>
          </cell>
          <cell r="T3070">
            <v>0</v>
          </cell>
          <cell r="U3070">
            <v>0</v>
          </cell>
          <cell r="W3070">
            <v>0</v>
          </cell>
          <cell r="X3070">
            <v>0</v>
          </cell>
          <cell r="Z3070">
            <v>0</v>
          </cell>
          <cell r="AA3070">
            <v>0</v>
          </cell>
          <cell r="AC3070">
            <v>0</v>
          </cell>
          <cell r="AD3070">
            <v>0</v>
          </cell>
          <cell r="AF3070">
            <v>0</v>
          </cell>
          <cell r="AG3070">
            <v>0</v>
          </cell>
          <cell r="AI3070">
            <v>0</v>
          </cell>
          <cell r="AJ3070">
            <v>0</v>
          </cell>
          <cell r="AL3070">
            <v>0</v>
          </cell>
          <cell r="AM3070">
            <v>0</v>
          </cell>
          <cell r="AO3070">
            <v>0</v>
          </cell>
          <cell r="AP3070">
            <v>0</v>
          </cell>
          <cell r="AR3070">
            <v>0</v>
          </cell>
          <cell r="AS3070">
            <v>0</v>
          </cell>
          <cell r="BF3070" t="str">
            <v>5500</v>
          </cell>
          <cell r="BG3070" t="str">
            <v>G009</v>
          </cell>
          <cell r="BH3070" t="str">
            <v>GES</v>
          </cell>
        </row>
        <row r="3071">
          <cell r="K3071">
            <v>0</v>
          </cell>
          <cell r="L3071">
            <v>0</v>
          </cell>
          <cell r="N3071">
            <v>0</v>
          </cell>
          <cell r="O3071">
            <v>0</v>
          </cell>
          <cell r="Q3071">
            <v>0</v>
          </cell>
          <cell r="R3071">
            <v>0</v>
          </cell>
          <cell r="T3071">
            <v>0</v>
          </cell>
          <cell r="U3071">
            <v>0</v>
          </cell>
          <cell r="W3071">
            <v>0</v>
          </cell>
          <cell r="X3071">
            <v>0</v>
          </cell>
          <cell r="Z3071">
            <v>0</v>
          </cell>
          <cell r="AA3071">
            <v>0</v>
          </cell>
          <cell r="AC3071">
            <v>0</v>
          </cell>
          <cell r="AD3071">
            <v>0</v>
          </cell>
          <cell r="AF3071">
            <v>0</v>
          </cell>
          <cell r="AG3071">
            <v>0</v>
          </cell>
          <cell r="AI3071">
            <v>0</v>
          </cell>
          <cell r="AJ3071">
            <v>0</v>
          </cell>
          <cell r="AL3071">
            <v>0</v>
          </cell>
          <cell r="AM3071">
            <v>0</v>
          </cell>
          <cell r="AO3071">
            <v>0</v>
          </cell>
          <cell r="AP3071">
            <v>0</v>
          </cell>
          <cell r="AR3071">
            <v>0</v>
          </cell>
          <cell r="AS3071">
            <v>0</v>
          </cell>
          <cell r="BF3071" t="str">
            <v>5500</v>
          </cell>
          <cell r="BG3071" t="str">
            <v>G010</v>
          </cell>
          <cell r="BH3071" t="str">
            <v>GES</v>
          </cell>
        </row>
        <row r="3072">
          <cell r="K3072">
            <v>0</v>
          </cell>
          <cell r="L3072">
            <v>0</v>
          </cell>
          <cell r="N3072">
            <v>0</v>
          </cell>
          <cell r="O3072">
            <v>0</v>
          </cell>
          <cell r="Q3072">
            <v>0</v>
          </cell>
          <cell r="R3072">
            <v>0</v>
          </cell>
          <cell r="T3072">
            <v>0</v>
          </cell>
          <cell r="U3072">
            <v>0</v>
          </cell>
          <cell r="W3072">
            <v>0</v>
          </cell>
          <cell r="X3072">
            <v>0</v>
          </cell>
          <cell r="Z3072">
            <v>0</v>
          </cell>
          <cell r="AA3072">
            <v>0</v>
          </cell>
          <cell r="AC3072">
            <v>0</v>
          </cell>
          <cell r="AD3072">
            <v>0</v>
          </cell>
          <cell r="AF3072">
            <v>0</v>
          </cell>
          <cell r="AG3072">
            <v>0</v>
          </cell>
          <cell r="AI3072">
            <v>0</v>
          </cell>
          <cell r="AJ3072">
            <v>0</v>
          </cell>
          <cell r="AL3072">
            <v>0</v>
          </cell>
          <cell r="AM3072">
            <v>0</v>
          </cell>
          <cell r="AO3072">
            <v>0</v>
          </cell>
          <cell r="AP3072">
            <v>0</v>
          </cell>
          <cell r="AR3072">
            <v>0</v>
          </cell>
          <cell r="AS3072">
            <v>0</v>
          </cell>
          <cell r="BF3072" t="str">
            <v>5500</v>
          </cell>
          <cell r="BG3072" t="str">
            <v>G011</v>
          </cell>
          <cell r="BH3072" t="str">
            <v>GES</v>
          </cell>
        </row>
        <row r="3073">
          <cell r="K3073">
            <v>0</v>
          </cell>
          <cell r="L3073">
            <v>0</v>
          </cell>
          <cell r="N3073">
            <v>0</v>
          </cell>
          <cell r="O3073">
            <v>0</v>
          </cell>
          <cell r="Q3073">
            <v>0</v>
          </cell>
          <cell r="R3073">
            <v>0</v>
          </cell>
          <cell r="T3073">
            <v>0</v>
          </cell>
          <cell r="U3073">
            <v>0</v>
          </cell>
          <cell r="W3073">
            <v>0</v>
          </cell>
          <cell r="X3073">
            <v>0</v>
          </cell>
          <cell r="Z3073">
            <v>0</v>
          </cell>
          <cell r="AA3073">
            <v>0</v>
          </cell>
          <cell r="AC3073">
            <v>0</v>
          </cell>
          <cell r="AD3073">
            <v>0</v>
          </cell>
          <cell r="AF3073">
            <v>0</v>
          </cell>
          <cell r="AG3073">
            <v>0</v>
          </cell>
          <cell r="AI3073">
            <v>0</v>
          </cell>
          <cell r="AJ3073">
            <v>0</v>
          </cell>
          <cell r="AL3073">
            <v>0</v>
          </cell>
          <cell r="AM3073">
            <v>0</v>
          </cell>
          <cell r="AO3073">
            <v>0</v>
          </cell>
          <cell r="AP3073">
            <v>0</v>
          </cell>
          <cell r="AR3073">
            <v>0</v>
          </cell>
          <cell r="AS3073">
            <v>0</v>
          </cell>
          <cell r="BF3073" t="str">
            <v>5500</v>
          </cell>
          <cell r="BG3073" t="str">
            <v>G012</v>
          </cell>
          <cell r="BH3073" t="str">
            <v>GES</v>
          </cell>
        </row>
        <row r="3074">
          <cell r="K3074">
            <v>0</v>
          </cell>
          <cell r="L3074">
            <v>0</v>
          </cell>
          <cell r="N3074">
            <v>0</v>
          </cell>
          <cell r="O3074">
            <v>0</v>
          </cell>
          <cell r="Q3074">
            <v>0</v>
          </cell>
          <cell r="R3074">
            <v>0</v>
          </cell>
          <cell r="T3074">
            <v>0</v>
          </cell>
          <cell r="U3074">
            <v>0</v>
          </cell>
          <cell r="W3074">
            <v>0</v>
          </cell>
          <cell r="X3074">
            <v>0</v>
          </cell>
          <cell r="Z3074">
            <v>0</v>
          </cell>
          <cell r="AA3074">
            <v>0</v>
          </cell>
          <cell r="AC3074">
            <v>0</v>
          </cell>
          <cell r="AD3074">
            <v>0</v>
          </cell>
          <cell r="AF3074">
            <v>0</v>
          </cell>
          <cell r="AG3074">
            <v>0</v>
          </cell>
          <cell r="AI3074">
            <v>0</v>
          </cell>
          <cell r="AJ3074">
            <v>0</v>
          </cell>
          <cell r="AL3074">
            <v>0</v>
          </cell>
          <cell r="AM3074">
            <v>0</v>
          </cell>
          <cell r="AO3074">
            <v>0</v>
          </cell>
          <cell r="AP3074">
            <v>0</v>
          </cell>
          <cell r="AR3074">
            <v>0</v>
          </cell>
          <cell r="AS3074">
            <v>0</v>
          </cell>
          <cell r="BF3074" t="str">
            <v>5600</v>
          </cell>
          <cell r="BG3074" t="str">
            <v>H001</v>
          </cell>
          <cell r="BH3074" t="str">
            <v>GES</v>
          </cell>
        </row>
        <row r="3075">
          <cell r="K3075">
            <v>0</v>
          </cell>
          <cell r="L3075">
            <v>0</v>
          </cell>
          <cell r="N3075">
            <v>0</v>
          </cell>
          <cell r="O3075">
            <v>0</v>
          </cell>
          <cell r="Q3075">
            <v>0</v>
          </cell>
          <cell r="R3075">
            <v>0</v>
          </cell>
          <cell r="T3075">
            <v>0</v>
          </cell>
          <cell r="U3075">
            <v>0</v>
          </cell>
          <cell r="W3075">
            <v>0</v>
          </cell>
          <cell r="X3075">
            <v>0</v>
          </cell>
          <cell r="Z3075">
            <v>0</v>
          </cell>
          <cell r="AA3075">
            <v>0</v>
          </cell>
          <cell r="AC3075">
            <v>0</v>
          </cell>
          <cell r="AD3075">
            <v>0</v>
          </cell>
          <cell r="AF3075">
            <v>0</v>
          </cell>
          <cell r="AG3075">
            <v>0</v>
          </cell>
          <cell r="AI3075">
            <v>0</v>
          </cell>
          <cell r="AJ3075">
            <v>0</v>
          </cell>
          <cell r="AL3075">
            <v>0</v>
          </cell>
          <cell r="AM3075">
            <v>0</v>
          </cell>
          <cell r="AO3075">
            <v>0</v>
          </cell>
          <cell r="AP3075">
            <v>0</v>
          </cell>
          <cell r="AR3075">
            <v>0</v>
          </cell>
          <cell r="AS3075">
            <v>0</v>
          </cell>
          <cell r="BF3075" t="str">
            <v>5600</v>
          </cell>
          <cell r="BG3075" t="str">
            <v>H002</v>
          </cell>
          <cell r="BH3075" t="str">
            <v>GES</v>
          </cell>
        </row>
        <row r="3076">
          <cell r="K3076">
            <v>0</v>
          </cell>
          <cell r="L3076">
            <v>0</v>
          </cell>
          <cell r="N3076">
            <v>0</v>
          </cell>
          <cell r="O3076">
            <v>0</v>
          </cell>
          <cell r="Q3076">
            <v>0</v>
          </cell>
          <cell r="R3076">
            <v>0</v>
          </cell>
          <cell r="T3076">
            <v>0</v>
          </cell>
          <cell r="U3076">
            <v>0</v>
          </cell>
          <cell r="W3076">
            <v>0</v>
          </cell>
          <cell r="X3076">
            <v>0</v>
          </cell>
          <cell r="Z3076">
            <v>0</v>
          </cell>
          <cell r="AA3076">
            <v>0</v>
          </cell>
          <cell r="AC3076">
            <v>0</v>
          </cell>
          <cell r="AD3076">
            <v>0</v>
          </cell>
          <cell r="AF3076">
            <v>0</v>
          </cell>
          <cell r="AG3076">
            <v>0</v>
          </cell>
          <cell r="AI3076">
            <v>0</v>
          </cell>
          <cell r="AJ3076">
            <v>0</v>
          </cell>
          <cell r="AL3076">
            <v>0</v>
          </cell>
          <cell r="AM3076">
            <v>0</v>
          </cell>
          <cell r="AO3076">
            <v>0</v>
          </cell>
          <cell r="AP3076">
            <v>0</v>
          </cell>
          <cell r="AR3076">
            <v>0</v>
          </cell>
          <cell r="AS3076">
            <v>0</v>
          </cell>
          <cell r="BF3076" t="str">
            <v>5600</v>
          </cell>
          <cell r="BG3076" t="str">
            <v>H003</v>
          </cell>
          <cell r="BH3076" t="str">
            <v>GES</v>
          </cell>
        </row>
        <row r="3077">
          <cell r="K3077">
            <v>0</v>
          </cell>
          <cell r="L3077">
            <v>0</v>
          </cell>
          <cell r="N3077">
            <v>0</v>
          </cell>
          <cell r="O3077">
            <v>0</v>
          </cell>
          <cell r="Q3077">
            <v>0</v>
          </cell>
          <cell r="R3077">
            <v>0</v>
          </cell>
          <cell r="T3077">
            <v>0</v>
          </cell>
          <cell r="U3077">
            <v>0</v>
          </cell>
          <cell r="W3077">
            <v>0</v>
          </cell>
          <cell r="X3077">
            <v>0</v>
          </cell>
          <cell r="Z3077">
            <v>0</v>
          </cell>
          <cell r="AA3077">
            <v>0</v>
          </cell>
          <cell r="AC3077">
            <v>0</v>
          </cell>
          <cell r="AD3077">
            <v>0</v>
          </cell>
          <cell r="AF3077">
            <v>0</v>
          </cell>
          <cell r="AG3077">
            <v>0</v>
          </cell>
          <cell r="AI3077">
            <v>0</v>
          </cell>
          <cell r="AJ3077">
            <v>0</v>
          </cell>
          <cell r="AL3077">
            <v>0</v>
          </cell>
          <cell r="AM3077">
            <v>0</v>
          </cell>
          <cell r="AO3077">
            <v>0</v>
          </cell>
          <cell r="AP3077">
            <v>0</v>
          </cell>
          <cell r="AR3077">
            <v>0</v>
          </cell>
          <cell r="AS3077">
            <v>0</v>
          </cell>
          <cell r="BF3077" t="str">
            <v>5600</v>
          </cell>
          <cell r="BG3077" t="str">
            <v>H004</v>
          </cell>
          <cell r="BH3077" t="str">
            <v>GES</v>
          </cell>
        </row>
        <row r="3078">
          <cell r="K3078">
            <v>0</v>
          </cell>
          <cell r="L3078">
            <v>0</v>
          </cell>
          <cell r="N3078">
            <v>0</v>
          </cell>
          <cell r="O3078">
            <v>0</v>
          </cell>
          <cell r="Q3078">
            <v>0</v>
          </cell>
          <cell r="R3078">
            <v>0</v>
          </cell>
          <cell r="T3078">
            <v>0</v>
          </cell>
          <cell r="U3078">
            <v>0</v>
          </cell>
          <cell r="W3078">
            <v>0</v>
          </cell>
          <cell r="X3078">
            <v>0</v>
          </cell>
          <cell r="Z3078">
            <v>0</v>
          </cell>
          <cell r="AA3078">
            <v>0</v>
          </cell>
          <cell r="AC3078">
            <v>0</v>
          </cell>
          <cell r="AD3078">
            <v>0</v>
          </cell>
          <cell r="AF3078">
            <v>0</v>
          </cell>
          <cell r="AG3078">
            <v>0</v>
          </cell>
          <cell r="AI3078">
            <v>0</v>
          </cell>
          <cell r="AJ3078">
            <v>0</v>
          </cell>
          <cell r="AL3078">
            <v>0</v>
          </cell>
          <cell r="AM3078">
            <v>0</v>
          </cell>
          <cell r="AO3078">
            <v>0</v>
          </cell>
          <cell r="AP3078">
            <v>0</v>
          </cell>
          <cell r="AR3078">
            <v>0</v>
          </cell>
          <cell r="AS3078">
            <v>0</v>
          </cell>
          <cell r="BF3078" t="str">
            <v>5600</v>
          </cell>
          <cell r="BG3078" t="str">
            <v>H005</v>
          </cell>
          <cell r="BH3078" t="str">
            <v>GES</v>
          </cell>
        </row>
        <row r="3079">
          <cell r="K3079">
            <v>0</v>
          </cell>
          <cell r="L3079">
            <v>0</v>
          </cell>
          <cell r="N3079">
            <v>0</v>
          </cell>
          <cell r="O3079">
            <v>0</v>
          </cell>
          <cell r="Q3079">
            <v>0</v>
          </cell>
          <cell r="R3079">
            <v>0</v>
          </cell>
          <cell r="T3079">
            <v>0</v>
          </cell>
          <cell r="U3079">
            <v>0</v>
          </cell>
          <cell r="W3079">
            <v>0</v>
          </cell>
          <cell r="X3079">
            <v>0</v>
          </cell>
          <cell r="Z3079">
            <v>0</v>
          </cell>
          <cell r="AA3079">
            <v>0</v>
          </cell>
          <cell r="AC3079">
            <v>0</v>
          </cell>
          <cell r="AD3079">
            <v>0</v>
          </cell>
          <cell r="AF3079">
            <v>0</v>
          </cell>
          <cell r="AG3079">
            <v>0</v>
          </cell>
          <cell r="AI3079">
            <v>0</v>
          </cell>
          <cell r="AJ3079">
            <v>0</v>
          </cell>
          <cell r="AL3079">
            <v>0</v>
          </cell>
          <cell r="AM3079">
            <v>0</v>
          </cell>
          <cell r="AO3079">
            <v>0</v>
          </cell>
          <cell r="AP3079">
            <v>0</v>
          </cell>
          <cell r="AR3079">
            <v>0</v>
          </cell>
          <cell r="AS3079">
            <v>0</v>
          </cell>
          <cell r="BF3079" t="str">
            <v>5600</v>
          </cell>
          <cell r="BG3079" t="str">
            <v>H006</v>
          </cell>
          <cell r="BH3079" t="str">
            <v>GES</v>
          </cell>
        </row>
        <row r="3080">
          <cell r="K3080">
            <v>0</v>
          </cell>
          <cell r="L3080">
            <v>0</v>
          </cell>
          <cell r="N3080">
            <v>0</v>
          </cell>
          <cell r="O3080">
            <v>0</v>
          </cell>
          <cell r="Q3080">
            <v>0</v>
          </cell>
          <cell r="R3080">
            <v>0</v>
          </cell>
          <cell r="T3080">
            <v>0</v>
          </cell>
          <cell r="U3080">
            <v>0</v>
          </cell>
          <cell r="W3080">
            <v>0</v>
          </cell>
          <cell r="X3080">
            <v>0</v>
          </cell>
          <cell r="Z3080">
            <v>0</v>
          </cell>
          <cell r="AA3080">
            <v>0</v>
          </cell>
          <cell r="AC3080">
            <v>0</v>
          </cell>
          <cell r="AD3080">
            <v>0</v>
          </cell>
          <cell r="AF3080">
            <v>0</v>
          </cell>
          <cell r="AG3080">
            <v>0</v>
          </cell>
          <cell r="AI3080">
            <v>0</v>
          </cell>
          <cell r="AJ3080">
            <v>0</v>
          </cell>
          <cell r="AL3080">
            <v>0</v>
          </cell>
          <cell r="AM3080">
            <v>0</v>
          </cell>
          <cell r="AO3080">
            <v>0</v>
          </cell>
          <cell r="AP3080">
            <v>0</v>
          </cell>
          <cell r="AR3080">
            <v>0</v>
          </cell>
          <cell r="AS3080">
            <v>0</v>
          </cell>
          <cell r="BF3080" t="str">
            <v>5600</v>
          </cell>
          <cell r="BG3080" t="str">
            <v>H007</v>
          </cell>
          <cell r="BH3080" t="str">
            <v>GES</v>
          </cell>
        </row>
        <row r="3081">
          <cell r="K3081">
            <v>0</v>
          </cell>
          <cell r="L3081">
            <v>0</v>
          </cell>
          <cell r="N3081">
            <v>0</v>
          </cell>
          <cell r="O3081">
            <v>0</v>
          </cell>
          <cell r="Q3081">
            <v>0</v>
          </cell>
          <cell r="R3081">
            <v>0</v>
          </cell>
          <cell r="T3081">
            <v>0</v>
          </cell>
          <cell r="U3081">
            <v>0</v>
          </cell>
          <cell r="W3081">
            <v>0</v>
          </cell>
          <cell r="X3081">
            <v>0</v>
          </cell>
          <cell r="Z3081">
            <v>0</v>
          </cell>
          <cell r="AA3081">
            <v>0</v>
          </cell>
          <cell r="AC3081">
            <v>0</v>
          </cell>
          <cell r="AD3081">
            <v>0</v>
          </cell>
          <cell r="AF3081">
            <v>0</v>
          </cell>
          <cell r="AG3081">
            <v>0</v>
          </cell>
          <cell r="AI3081">
            <v>0</v>
          </cell>
          <cell r="AJ3081">
            <v>0</v>
          </cell>
          <cell r="AL3081">
            <v>0</v>
          </cell>
          <cell r="AM3081">
            <v>0</v>
          </cell>
          <cell r="AO3081">
            <v>0</v>
          </cell>
          <cell r="AP3081">
            <v>0</v>
          </cell>
          <cell r="AR3081">
            <v>0</v>
          </cell>
          <cell r="AS3081">
            <v>0</v>
          </cell>
          <cell r="BF3081" t="str">
            <v>5600</v>
          </cell>
          <cell r="BG3081" t="str">
            <v>H008</v>
          </cell>
          <cell r="BH3081" t="str">
            <v>GES</v>
          </cell>
        </row>
        <row r="3082">
          <cell r="K3082">
            <v>0</v>
          </cell>
          <cell r="L3082">
            <v>0</v>
          </cell>
          <cell r="N3082">
            <v>0</v>
          </cell>
          <cell r="O3082">
            <v>0</v>
          </cell>
          <cell r="Q3082">
            <v>0</v>
          </cell>
          <cell r="R3082">
            <v>0</v>
          </cell>
          <cell r="T3082">
            <v>0</v>
          </cell>
          <cell r="U3082">
            <v>0</v>
          </cell>
          <cell r="W3082">
            <v>0</v>
          </cell>
          <cell r="X3082">
            <v>0</v>
          </cell>
          <cell r="Z3082">
            <v>0</v>
          </cell>
          <cell r="AA3082">
            <v>0</v>
          </cell>
          <cell r="AC3082">
            <v>0</v>
          </cell>
          <cell r="AD3082">
            <v>0</v>
          </cell>
          <cell r="AF3082">
            <v>0</v>
          </cell>
          <cell r="AG3082">
            <v>0</v>
          </cell>
          <cell r="AI3082">
            <v>0</v>
          </cell>
          <cell r="AJ3082">
            <v>0</v>
          </cell>
          <cell r="AL3082">
            <v>0</v>
          </cell>
          <cell r="AM3082">
            <v>0</v>
          </cell>
          <cell r="AO3082">
            <v>0</v>
          </cell>
          <cell r="AP3082">
            <v>0</v>
          </cell>
          <cell r="AR3082">
            <v>0</v>
          </cell>
          <cell r="AS3082">
            <v>0</v>
          </cell>
          <cell r="BF3082" t="str">
            <v>5700</v>
          </cell>
          <cell r="BG3082" t="str">
            <v>I001</v>
          </cell>
          <cell r="BH3082" t="str">
            <v>GES</v>
          </cell>
        </row>
        <row r="3083">
          <cell r="K3083">
            <v>0</v>
          </cell>
          <cell r="L3083">
            <v>0</v>
          </cell>
          <cell r="N3083">
            <v>0</v>
          </cell>
          <cell r="O3083">
            <v>0</v>
          </cell>
          <cell r="Q3083">
            <v>0</v>
          </cell>
          <cell r="R3083">
            <v>0</v>
          </cell>
          <cell r="T3083">
            <v>0</v>
          </cell>
          <cell r="U3083">
            <v>0</v>
          </cell>
          <cell r="W3083">
            <v>0</v>
          </cell>
          <cell r="X3083">
            <v>0</v>
          </cell>
          <cell r="Z3083">
            <v>0</v>
          </cell>
          <cell r="AA3083">
            <v>0</v>
          </cell>
          <cell r="AC3083">
            <v>0</v>
          </cell>
          <cell r="AD3083">
            <v>0</v>
          </cell>
          <cell r="AF3083">
            <v>0</v>
          </cell>
          <cell r="AG3083">
            <v>0</v>
          </cell>
          <cell r="AI3083">
            <v>0</v>
          </cell>
          <cell r="AJ3083">
            <v>0</v>
          </cell>
          <cell r="AL3083">
            <v>0</v>
          </cell>
          <cell r="AM3083">
            <v>0</v>
          </cell>
          <cell r="AO3083">
            <v>0</v>
          </cell>
          <cell r="AP3083">
            <v>0</v>
          </cell>
          <cell r="AR3083">
            <v>0</v>
          </cell>
          <cell r="AS3083">
            <v>0</v>
          </cell>
          <cell r="BF3083" t="str">
            <v>5700</v>
          </cell>
          <cell r="BG3083" t="str">
            <v>I002</v>
          </cell>
          <cell r="BH3083" t="str">
            <v>GES</v>
          </cell>
        </row>
        <row r="3084">
          <cell r="K3084">
            <v>0</v>
          </cell>
          <cell r="L3084">
            <v>0</v>
          </cell>
          <cell r="N3084">
            <v>0</v>
          </cell>
          <cell r="O3084">
            <v>0</v>
          </cell>
          <cell r="Q3084">
            <v>0</v>
          </cell>
          <cell r="R3084">
            <v>0</v>
          </cell>
          <cell r="T3084">
            <v>0</v>
          </cell>
          <cell r="U3084">
            <v>0</v>
          </cell>
          <cell r="W3084">
            <v>0</v>
          </cell>
          <cell r="X3084">
            <v>0</v>
          </cell>
          <cell r="Z3084">
            <v>0</v>
          </cell>
          <cell r="AA3084">
            <v>0</v>
          </cell>
          <cell r="AC3084">
            <v>0</v>
          </cell>
          <cell r="AD3084">
            <v>0</v>
          </cell>
          <cell r="AF3084">
            <v>0</v>
          </cell>
          <cell r="AG3084">
            <v>0</v>
          </cell>
          <cell r="AI3084">
            <v>0</v>
          </cell>
          <cell r="AJ3084">
            <v>0</v>
          </cell>
          <cell r="AL3084">
            <v>0</v>
          </cell>
          <cell r="AM3084">
            <v>0</v>
          </cell>
          <cell r="AO3084">
            <v>0</v>
          </cell>
          <cell r="AP3084">
            <v>0</v>
          </cell>
          <cell r="AR3084">
            <v>0</v>
          </cell>
          <cell r="AS3084">
            <v>0</v>
          </cell>
          <cell r="BF3084" t="str">
            <v>5700</v>
          </cell>
          <cell r="BG3084" t="str">
            <v>I003</v>
          </cell>
          <cell r="BH3084" t="str">
            <v>GES</v>
          </cell>
        </row>
        <row r="3085">
          <cell r="K3085">
            <v>0</v>
          </cell>
          <cell r="L3085">
            <v>0</v>
          </cell>
          <cell r="N3085">
            <v>0</v>
          </cell>
          <cell r="O3085">
            <v>0</v>
          </cell>
          <cell r="Q3085">
            <v>0</v>
          </cell>
          <cell r="R3085">
            <v>0</v>
          </cell>
          <cell r="T3085">
            <v>0</v>
          </cell>
          <cell r="U3085">
            <v>0</v>
          </cell>
          <cell r="W3085">
            <v>0</v>
          </cell>
          <cell r="X3085">
            <v>0</v>
          </cell>
          <cell r="Z3085">
            <v>0</v>
          </cell>
          <cell r="AA3085">
            <v>0</v>
          </cell>
          <cell r="AC3085">
            <v>0</v>
          </cell>
          <cell r="AD3085">
            <v>0</v>
          </cell>
          <cell r="AF3085">
            <v>0</v>
          </cell>
          <cell r="AG3085">
            <v>0</v>
          </cell>
          <cell r="AI3085">
            <v>0</v>
          </cell>
          <cell r="AJ3085">
            <v>0</v>
          </cell>
          <cell r="AL3085">
            <v>0</v>
          </cell>
          <cell r="AM3085">
            <v>0</v>
          </cell>
          <cell r="AO3085">
            <v>0</v>
          </cell>
          <cell r="AP3085">
            <v>0</v>
          </cell>
          <cell r="AR3085">
            <v>0</v>
          </cell>
          <cell r="AS3085">
            <v>0</v>
          </cell>
          <cell r="BF3085" t="str">
            <v>5700</v>
          </cell>
          <cell r="BG3085" t="str">
            <v>I004</v>
          </cell>
          <cell r="BH3085" t="str">
            <v>GES</v>
          </cell>
        </row>
        <row r="3086">
          <cell r="K3086">
            <v>0</v>
          </cell>
          <cell r="L3086">
            <v>0</v>
          </cell>
          <cell r="N3086">
            <v>0</v>
          </cell>
          <cell r="O3086">
            <v>0</v>
          </cell>
          <cell r="Q3086">
            <v>0</v>
          </cell>
          <cell r="R3086">
            <v>0</v>
          </cell>
          <cell r="T3086">
            <v>0</v>
          </cell>
          <cell r="U3086">
            <v>0</v>
          </cell>
          <cell r="W3086">
            <v>0</v>
          </cell>
          <cell r="X3086">
            <v>0</v>
          </cell>
          <cell r="Z3086">
            <v>0</v>
          </cell>
          <cell r="AA3086">
            <v>0</v>
          </cell>
          <cell r="AC3086">
            <v>0</v>
          </cell>
          <cell r="AD3086">
            <v>0</v>
          </cell>
          <cell r="AF3086">
            <v>0</v>
          </cell>
          <cell r="AG3086">
            <v>0</v>
          </cell>
          <cell r="AI3086">
            <v>0</v>
          </cell>
          <cell r="AJ3086">
            <v>0</v>
          </cell>
          <cell r="AL3086">
            <v>0</v>
          </cell>
          <cell r="AM3086">
            <v>0</v>
          </cell>
          <cell r="AO3086">
            <v>0</v>
          </cell>
          <cell r="AP3086">
            <v>0</v>
          </cell>
          <cell r="AR3086">
            <v>0</v>
          </cell>
          <cell r="AS3086">
            <v>0</v>
          </cell>
          <cell r="BF3086" t="str">
            <v>5700</v>
          </cell>
          <cell r="BG3086" t="str">
            <v>I005</v>
          </cell>
          <cell r="BH3086" t="str">
            <v>GES</v>
          </cell>
        </row>
        <row r="3087">
          <cell r="K3087">
            <v>0</v>
          </cell>
          <cell r="L3087">
            <v>0</v>
          </cell>
          <cell r="N3087">
            <v>0</v>
          </cell>
          <cell r="O3087">
            <v>0</v>
          </cell>
          <cell r="Q3087">
            <v>0</v>
          </cell>
          <cell r="R3087">
            <v>0</v>
          </cell>
          <cell r="T3087">
            <v>0</v>
          </cell>
          <cell r="U3087">
            <v>0</v>
          </cell>
          <cell r="W3087">
            <v>0</v>
          </cell>
          <cell r="X3087">
            <v>0</v>
          </cell>
          <cell r="Z3087">
            <v>0</v>
          </cell>
          <cell r="AA3087">
            <v>0</v>
          </cell>
          <cell r="AC3087">
            <v>0</v>
          </cell>
          <cell r="AD3087">
            <v>0</v>
          </cell>
          <cell r="AF3087">
            <v>0</v>
          </cell>
          <cell r="AG3087">
            <v>0</v>
          </cell>
          <cell r="AI3087">
            <v>0</v>
          </cell>
          <cell r="AJ3087">
            <v>0</v>
          </cell>
          <cell r="AL3087">
            <v>0</v>
          </cell>
          <cell r="AM3087">
            <v>0</v>
          </cell>
          <cell r="AO3087">
            <v>0</v>
          </cell>
          <cell r="AP3087">
            <v>0</v>
          </cell>
          <cell r="AR3087">
            <v>0</v>
          </cell>
          <cell r="AS3087">
            <v>0</v>
          </cell>
          <cell r="BF3087" t="str">
            <v>5700</v>
          </cell>
          <cell r="BG3087" t="str">
            <v>I006</v>
          </cell>
          <cell r="BH3087" t="str">
            <v>GES</v>
          </cell>
        </row>
        <row r="3088">
          <cell r="K3088">
            <v>0</v>
          </cell>
          <cell r="L3088">
            <v>0</v>
          </cell>
          <cell r="N3088">
            <v>0</v>
          </cell>
          <cell r="O3088">
            <v>0</v>
          </cell>
          <cell r="Q3088">
            <v>0</v>
          </cell>
          <cell r="R3088">
            <v>0</v>
          </cell>
          <cell r="T3088">
            <v>0</v>
          </cell>
          <cell r="U3088">
            <v>0</v>
          </cell>
          <cell r="W3088">
            <v>0</v>
          </cell>
          <cell r="X3088">
            <v>0</v>
          </cell>
          <cell r="Z3088">
            <v>0</v>
          </cell>
          <cell r="AA3088">
            <v>0</v>
          </cell>
          <cell r="AC3088">
            <v>0</v>
          </cell>
          <cell r="AD3088">
            <v>0</v>
          </cell>
          <cell r="AF3088">
            <v>0</v>
          </cell>
          <cell r="AG3088">
            <v>0</v>
          </cell>
          <cell r="AI3088">
            <v>0</v>
          </cell>
          <cell r="AJ3088">
            <v>0</v>
          </cell>
          <cell r="AL3088">
            <v>0</v>
          </cell>
          <cell r="AM3088">
            <v>0</v>
          </cell>
          <cell r="AO3088">
            <v>0</v>
          </cell>
          <cell r="AP3088">
            <v>0</v>
          </cell>
          <cell r="AR3088">
            <v>0</v>
          </cell>
          <cell r="AS3088">
            <v>0</v>
          </cell>
          <cell r="BF3088" t="str">
            <v>5700</v>
          </cell>
          <cell r="BG3088" t="str">
            <v>I007</v>
          </cell>
          <cell r="BH3088" t="str">
            <v>GES</v>
          </cell>
        </row>
        <row r="3089">
          <cell r="K3089">
            <v>0</v>
          </cell>
          <cell r="L3089">
            <v>0</v>
          </cell>
          <cell r="N3089">
            <v>0</v>
          </cell>
          <cell r="O3089">
            <v>0</v>
          </cell>
          <cell r="Q3089">
            <v>0</v>
          </cell>
          <cell r="R3089">
            <v>0</v>
          </cell>
          <cell r="T3089">
            <v>0</v>
          </cell>
          <cell r="U3089">
            <v>0</v>
          </cell>
          <cell r="W3089">
            <v>0</v>
          </cell>
          <cell r="X3089">
            <v>0</v>
          </cell>
          <cell r="Z3089">
            <v>0</v>
          </cell>
          <cell r="AA3089">
            <v>0</v>
          </cell>
          <cell r="AC3089">
            <v>0</v>
          </cell>
          <cell r="AD3089">
            <v>0</v>
          </cell>
          <cell r="AF3089">
            <v>0</v>
          </cell>
          <cell r="AG3089">
            <v>0</v>
          </cell>
          <cell r="AI3089">
            <v>0</v>
          </cell>
          <cell r="AJ3089">
            <v>0</v>
          </cell>
          <cell r="AL3089">
            <v>0</v>
          </cell>
          <cell r="AM3089">
            <v>0</v>
          </cell>
          <cell r="AO3089">
            <v>0</v>
          </cell>
          <cell r="AP3089">
            <v>0</v>
          </cell>
          <cell r="AR3089">
            <v>0</v>
          </cell>
          <cell r="AS3089">
            <v>0</v>
          </cell>
          <cell r="BF3089" t="str">
            <v>5700</v>
          </cell>
          <cell r="BG3089" t="str">
            <v>I008</v>
          </cell>
          <cell r="BH3089" t="str">
            <v>GES</v>
          </cell>
        </row>
        <row r="3090">
          <cell r="K3090">
            <v>0</v>
          </cell>
          <cell r="L3090">
            <v>0</v>
          </cell>
          <cell r="N3090">
            <v>0</v>
          </cell>
          <cell r="O3090">
            <v>0</v>
          </cell>
          <cell r="Q3090">
            <v>0</v>
          </cell>
          <cell r="R3090">
            <v>0</v>
          </cell>
          <cell r="T3090">
            <v>0</v>
          </cell>
          <cell r="U3090">
            <v>0</v>
          </cell>
          <cell r="W3090">
            <v>0</v>
          </cell>
          <cell r="X3090">
            <v>0</v>
          </cell>
          <cell r="Z3090">
            <v>0</v>
          </cell>
          <cell r="AA3090">
            <v>0</v>
          </cell>
          <cell r="AC3090">
            <v>0</v>
          </cell>
          <cell r="AD3090">
            <v>0</v>
          </cell>
          <cell r="AF3090">
            <v>0</v>
          </cell>
          <cell r="AG3090">
            <v>0</v>
          </cell>
          <cell r="AI3090">
            <v>0</v>
          </cell>
          <cell r="AJ3090">
            <v>0</v>
          </cell>
          <cell r="AL3090">
            <v>0</v>
          </cell>
          <cell r="AM3090">
            <v>0</v>
          </cell>
          <cell r="AO3090">
            <v>0</v>
          </cell>
          <cell r="AP3090">
            <v>0</v>
          </cell>
          <cell r="AR3090">
            <v>0</v>
          </cell>
          <cell r="AS3090">
            <v>0</v>
          </cell>
          <cell r="BF3090" t="str">
            <v>5700</v>
          </cell>
          <cell r="BG3090" t="str">
            <v>I009</v>
          </cell>
          <cell r="BH3090" t="str">
            <v>GES</v>
          </cell>
        </row>
        <row r="3091">
          <cell r="K3091">
            <v>0</v>
          </cell>
          <cell r="L3091">
            <v>0</v>
          </cell>
          <cell r="N3091">
            <v>0</v>
          </cell>
          <cell r="O3091">
            <v>0</v>
          </cell>
          <cell r="Q3091">
            <v>0</v>
          </cell>
          <cell r="R3091">
            <v>0</v>
          </cell>
          <cell r="T3091">
            <v>0</v>
          </cell>
          <cell r="U3091">
            <v>0</v>
          </cell>
          <cell r="W3091">
            <v>0</v>
          </cell>
          <cell r="X3091">
            <v>0</v>
          </cell>
          <cell r="Z3091">
            <v>0</v>
          </cell>
          <cell r="AA3091">
            <v>0</v>
          </cell>
          <cell r="AC3091">
            <v>0</v>
          </cell>
          <cell r="AD3091">
            <v>0</v>
          </cell>
          <cell r="AF3091">
            <v>0</v>
          </cell>
          <cell r="AG3091">
            <v>0</v>
          </cell>
          <cell r="AI3091">
            <v>0</v>
          </cell>
          <cell r="AJ3091">
            <v>0</v>
          </cell>
          <cell r="AL3091">
            <v>0</v>
          </cell>
          <cell r="AM3091">
            <v>0</v>
          </cell>
          <cell r="AO3091">
            <v>0</v>
          </cell>
          <cell r="AP3091">
            <v>0</v>
          </cell>
          <cell r="AR3091">
            <v>0</v>
          </cell>
          <cell r="AS3091">
            <v>0</v>
          </cell>
          <cell r="BF3091" t="str">
            <v>5700</v>
          </cell>
          <cell r="BG3091" t="str">
            <v>I010</v>
          </cell>
          <cell r="BH3091" t="str">
            <v>GES</v>
          </cell>
        </row>
        <row r="3092">
          <cell r="K3092">
            <v>0</v>
          </cell>
          <cell r="L3092">
            <v>0</v>
          </cell>
          <cell r="N3092">
            <v>0</v>
          </cell>
          <cell r="O3092">
            <v>0</v>
          </cell>
          <cell r="Q3092">
            <v>0</v>
          </cell>
          <cell r="R3092">
            <v>0</v>
          </cell>
          <cell r="T3092">
            <v>0</v>
          </cell>
          <cell r="U3092">
            <v>0</v>
          </cell>
          <cell r="W3092">
            <v>0</v>
          </cell>
          <cell r="X3092">
            <v>0</v>
          </cell>
          <cell r="Z3092">
            <v>0</v>
          </cell>
          <cell r="AA3092">
            <v>0</v>
          </cell>
          <cell r="AC3092">
            <v>0</v>
          </cell>
          <cell r="AD3092">
            <v>0</v>
          </cell>
          <cell r="AF3092">
            <v>-1525.28</v>
          </cell>
          <cell r="AG3092">
            <v>0</v>
          </cell>
          <cell r="AI3092">
            <v>1410.39</v>
          </cell>
          <cell r="AJ3092">
            <v>0</v>
          </cell>
          <cell r="AL3092">
            <v>104.89000000000169</v>
          </cell>
          <cell r="AM3092">
            <v>0</v>
          </cell>
          <cell r="AO3092">
            <v>0</v>
          </cell>
          <cell r="AP3092">
            <v>0</v>
          </cell>
          <cell r="AR3092">
            <v>10</v>
          </cell>
          <cell r="AS3092">
            <v>0</v>
          </cell>
          <cell r="BF3092" t="str">
            <v>5700</v>
          </cell>
          <cell r="BG3092" t="str">
            <v>I011</v>
          </cell>
          <cell r="BH3092" t="str">
            <v>GES</v>
          </cell>
        </row>
        <row r="3093">
          <cell r="K3093">
            <v>0</v>
          </cell>
          <cell r="L3093">
            <v>0</v>
          </cell>
          <cell r="N3093">
            <v>0</v>
          </cell>
          <cell r="O3093">
            <v>0</v>
          </cell>
          <cell r="Q3093">
            <v>0</v>
          </cell>
          <cell r="R3093">
            <v>0</v>
          </cell>
          <cell r="T3093">
            <v>0</v>
          </cell>
          <cell r="U3093">
            <v>0</v>
          </cell>
          <cell r="W3093">
            <v>0</v>
          </cell>
          <cell r="X3093">
            <v>0</v>
          </cell>
          <cell r="Z3093">
            <v>0</v>
          </cell>
          <cell r="AA3093">
            <v>0</v>
          </cell>
          <cell r="AC3093">
            <v>0</v>
          </cell>
          <cell r="AD3093">
            <v>0</v>
          </cell>
          <cell r="AF3093">
            <v>0</v>
          </cell>
          <cell r="AG3093">
            <v>0</v>
          </cell>
          <cell r="AI3093">
            <v>0</v>
          </cell>
          <cell r="AJ3093">
            <v>0</v>
          </cell>
          <cell r="AL3093">
            <v>0</v>
          </cell>
          <cell r="AM3093">
            <v>0</v>
          </cell>
          <cell r="AO3093">
            <v>0</v>
          </cell>
          <cell r="AP3093">
            <v>0</v>
          </cell>
          <cell r="AR3093">
            <v>0</v>
          </cell>
          <cell r="AS3093">
            <v>0</v>
          </cell>
          <cell r="BF3093" t="str">
            <v>5700</v>
          </cell>
          <cell r="BG3093" t="str">
            <v>I012</v>
          </cell>
          <cell r="BH3093" t="str">
            <v>GES</v>
          </cell>
        </row>
        <row r="3094">
          <cell r="K3094">
            <v>0</v>
          </cell>
          <cell r="L3094">
            <v>0</v>
          </cell>
          <cell r="N3094">
            <v>0</v>
          </cell>
          <cell r="O3094">
            <v>0</v>
          </cell>
          <cell r="Q3094">
            <v>0</v>
          </cell>
          <cell r="R3094">
            <v>0</v>
          </cell>
          <cell r="T3094">
            <v>0</v>
          </cell>
          <cell r="U3094">
            <v>0</v>
          </cell>
          <cell r="W3094">
            <v>0</v>
          </cell>
          <cell r="X3094">
            <v>0</v>
          </cell>
          <cell r="Z3094">
            <v>0</v>
          </cell>
          <cell r="AA3094">
            <v>0</v>
          </cell>
          <cell r="AC3094">
            <v>0</v>
          </cell>
          <cell r="AD3094">
            <v>0</v>
          </cell>
          <cell r="AF3094">
            <v>0</v>
          </cell>
          <cell r="AG3094">
            <v>0</v>
          </cell>
          <cell r="AI3094">
            <v>0</v>
          </cell>
          <cell r="AJ3094">
            <v>0</v>
          </cell>
          <cell r="AL3094">
            <v>0</v>
          </cell>
          <cell r="AM3094">
            <v>0</v>
          </cell>
          <cell r="AO3094">
            <v>0</v>
          </cell>
          <cell r="AP3094">
            <v>0</v>
          </cell>
          <cell r="AR3094">
            <v>0</v>
          </cell>
          <cell r="AS3094">
            <v>0</v>
          </cell>
          <cell r="BF3094" t="str">
            <v>5700</v>
          </cell>
          <cell r="BG3094" t="str">
            <v>I016</v>
          </cell>
          <cell r="BH3094" t="str">
            <v>GES</v>
          </cell>
        </row>
        <row r="3095">
          <cell r="K3095">
            <v>0</v>
          </cell>
          <cell r="L3095">
            <v>0</v>
          </cell>
          <cell r="N3095">
            <v>0</v>
          </cell>
          <cell r="O3095">
            <v>0</v>
          </cell>
          <cell r="Q3095">
            <v>0</v>
          </cell>
          <cell r="R3095">
            <v>0</v>
          </cell>
          <cell r="T3095">
            <v>0</v>
          </cell>
          <cell r="U3095">
            <v>0</v>
          </cell>
          <cell r="W3095">
            <v>0</v>
          </cell>
          <cell r="X3095">
            <v>0</v>
          </cell>
          <cell r="Z3095">
            <v>0</v>
          </cell>
          <cell r="AA3095">
            <v>0</v>
          </cell>
          <cell r="AC3095">
            <v>0</v>
          </cell>
          <cell r="AD3095">
            <v>0</v>
          </cell>
          <cell r="AF3095">
            <v>0</v>
          </cell>
          <cell r="AG3095">
            <v>0</v>
          </cell>
          <cell r="AI3095">
            <v>0</v>
          </cell>
          <cell r="AJ3095">
            <v>0</v>
          </cell>
          <cell r="AL3095">
            <v>0</v>
          </cell>
          <cell r="AM3095">
            <v>0</v>
          </cell>
          <cell r="AO3095">
            <v>0</v>
          </cell>
          <cell r="AP3095">
            <v>0</v>
          </cell>
          <cell r="AR3095">
            <v>0</v>
          </cell>
          <cell r="AS3095">
            <v>0</v>
          </cell>
          <cell r="BF3095" t="str">
            <v>5800</v>
          </cell>
          <cell r="BG3095" t="str">
            <v>J001</v>
          </cell>
          <cell r="BH3095" t="str">
            <v>GES</v>
          </cell>
        </row>
        <row r="3096">
          <cell r="K3096">
            <v>0</v>
          </cell>
          <cell r="L3096">
            <v>0</v>
          </cell>
          <cell r="N3096">
            <v>0</v>
          </cell>
          <cell r="O3096">
            <v>0</v>
          </cell>
          <cell r="Q3096">
            <v>0</v>
          </cell>
          <cell r="R3096">
            <v>0</v>
          </cell>
          <cell r="T3096">
            <v>0</v>
          </cell>
          <cell r="U3096">
            <v>0</v>
          </cell>
          <cell r="W3096">
            <v>0</v>
          </cell>
          <cell r="X3096">
            <v>0</v>
          </cell>
          <cell r="Z3096">
            <v>0</v>
          </cell>
          <cell r="AA3096">
            <v>0</v>
          </cell>
          <cell r="AC3096">
            <v>0</v>
          </cell>
          <cell r="AD3096">
            <v>0</v>
          </cell>
          <cell r="AF3096">
            <v>0</v>
          </cell>
          <cell r="AG3096">
            <v>0</v>
          </cell>
          <cell r="AI3096">
            <v>0</v>
          </cell>
          <cell r="AJ3096">
            <v>0</v>
          </cell>
          <cell r="AL3096">
            <v>0</v>
          </cell>
          <cell r="AM3096">
            <v>0</v>
          </cell>
          <cell r="AO3096">
            <v>0</v>
          </cell>
          <cell r="AP3096">
            <v>0</v>
          </cell>
          <cell r="AR3096">
            <v>0</v>
          </cell>
          <cell r="AS3096">
            <v>0</v>
          </cell>
          <cell r="BF3096" t="str">
            <v>5800</v>
          </cell>
          <cell r="BG3096" t="str">
            <v>J002</v>
          </cell>
          <cell r="BH3096" t="str">
            <v>GES</v>
          </cell>
        </row>
        <row r="3097">
          <cell r="K3097">
            <v>0</v>
          </cell>
          <cell r="L3097">
            <v>0</v>
          </cell>
          <cell r="N3097">
            <v>0</v>
          </cell>
          <cell r="O3097">
            <v>0</v>
          </cell>
          <cell r="Q3097">
            <v>0</v>
          </cell>
          <cell r="R3097">
            <v>0</v>
          </cell>
          <cell r="T3097">
            <v>0</v>
          </cell>
          <cell r="U3097">
            <v>0</v>
          </cell>
          <cell r="W3097">
            <v>0</v>
          </cell>
          <cell r="X3097">
            <v>0</v>
          </cell>
          <cell r="Z3097">
            <v>0</v>
          </cell>
          <cell r="AA3097">
            <v>0</v>
          </cell>
          <cell r="AC3097">
            <v>0</v>
          </cell>
          <cell r="AD3097">
            <v>0</v>
          </cell>
          <cell r="AF3097">
            <v>0</v>
          </cell>
          <cell r="AG3097">
            <v>0</v>
          </cell>
          <cell r="AI3097">
            <v>0</v>
          </cell>
          <cell r="AJ3097">
            <v>0</v>
          </cell>
          <cell r="AL3097">
            <v>0</v>
          </cell>
          <cell r="AM3097">
            <v>0</v>
          </cell>
          <cell r="AO3097">
            <v>0</v>
          </cell>
          <cell r="AP3097">
            <v>0</v>
          </cell>
          <cell r="AR3097">
            <v>0</v>
          </cell>
          <cell r="AS3097">
            <v>0</v>
          </cell>
          <cell r="BF3097" t="str">
            <v>5800</v>
          </cell>
          <cell r="BG3097" t="str">
            <v>J003</v>
          </cell>
          <cell r="BH3097" t="str">
            <v>GES</v>
          </cell>
        </row>
        <row r="3098">
          <cell r="K3098">
            <v>0</v>
          </cell>
          <cell r="L3098">
            <v>0</v>
          </cell>
          <cell r="N3098">
            <v>0</v>
          </cell>
          <cell r="O3098">
            <v>0</v>
          </cell>
          <cell r="Q3098">
            <v>0</v>
          </cell>
          <cell r="R3098">
            <v>0</v>
          </cell>
          <cell r="T3098">
            <v>0</v>
          </cell>
          <cell r="U3098">
            <v>0</v>
          </cell>
          <cell r="W3098">
            <v>0</v>
          </cell>
          <cell r="X3098">
            <v>0</v>
          </cell>
          <cell r="Z3098">
            <v>0</v>
          </cell>
          <cell r="AA3098">
            <v>0</v>
          </cell>
          <cell r="AC3098">
            <v>0</v>
          </cell>
          <cell r="AD3098">
            <v>0</v>
          </cell>
          <cell r="AF3098">
            <v>0</v>
          </cell>
          <cell r="AG3098">
            <v>0</v>
          </cell>
          <cell r="AI3098">
            <v>0</v>
          </cell>
          <cell r="AJ3098">
            <v>0</v>
          </cell>
          <cell r="AL3098">
            <v>0</v>
          </cell>
          <cell r="AM3098">
            <v>0</v>
          </cell>
          <cell r="AO3098">
            <v>0</v>
          </cell>
          <cell r="AP3098">
            <v>0</v>
          </cell>
          <cell r="AR3098">
            <v>0</v>
          </cell>
          <cell r="AS3098">
            <v>0</v>
          </cell>
          <cell r="BF3098" t="str">
            <v>5800</v>
          </cell>
          <cell r="BG3098" t="str">
            <v>J004</v>
          </cell>
          <cell r="BH3098" t="str">
            <v>GES</v>
          </cell>
        </row>
        <row r="3099">
          <cell r="K3099">
            <v>0</v>
          </cell>
          <cell r="L3099">
            <v>0</v>
          </cell>
          <cell r="N3099">
            <v>0</v>
          </cell>
          <cell r="O3099">
            <v>0</v>
          </cell>
          <cell r="Q3099">
            <v>0</v>
          </cell>
          <cell r="R3099">
            <v>0</v>
          </cell>
          <cell r="T3099">
            <v>0</v>
          </cell>
          <cell r="U3099">
            <v>0</v>
          </cell>
          <cell r="W3099">
            <v>0</v>
          </cell>
          <cell r="X3099">
            <v>0</v>
          </cell>
          <cell r="Z3099">
            <v>0</v>
          </cell>
          <cell r="AA3099">
            <v>0</v>
          </cell>
          <cell r="AC3099">
            <v>0</v>
          </cell>
          <cell r="AD3099">
            <v>0</v>
          </cell>
          <cell r="AF3099">
            <v>0</v>
          </cell>
          <cell r="AG3099">
            <v>0</v>
          </cell>
          <cell r="AI3099">
            <v>0</v>
          </cell>
          <cell r="AJ3099">
            <v>0</v>
          </cell>
          <cell r="AL3099">
            <v>0</v>
          </cell>
          <cell r="AM3099">
            <v>0</v>
          </cell>
          <cell r="AO3099">
            <v>0</v>
          </cell>
          <cell r="AP3099">
            <v>0</v>
          </cell>
          <cell r="AR3099">
            <v>0</v>
          </cell>
          <cell r="AS3099">
            <v>0</v>
          </cell>
          <cell r="BF3099" t="str">
            <v>5800</v>
          </cell>
          <cell r="BG3099" t="str">
            <v>J005</v>
          </cell>
          <cell r="BH3099" t="str">
            <v>GES</v>
          </cell>
        </row>
        <row r="3100">
          <cell r="K3100">
            <v>0</v>
          </cell>
          <cell r="L3100">
            <v>0</v>
          </cell>
          <cell r="N3100">
            <v>0</v>
          </cell>
          <cell r="O3100">
            <v>0</v>
          </cell>
          <cell r="Q3100">
            <v>0</v>
          </cell>
          <cell r="R3100">
            <v>0</v>
          </cell>
          <cell r="T3100">
            <v>0</v>
          </cell>
          <cell r="U3100">
            <v>0</v>
          </cell>
          <cell r="W3100">
            <v>0</v>
          </cell>
          <cell r="X3100">
            <v>0</v>
          </cell>
          <cell r="Z3100">
            <v>0</v>
          </cell>
          <cell r="AA3100">
            <v>0</v>
          </cell>
          <cell r="AC3100">
            <v>0</v>
          </cell>
          <cell r="AD3100">
            <v>0</v>
          </cell>
          <cell r="AF3100">
            <v>0</v>
          </cell>
          <cell r="AG3100">
            <v>0</v>
          </cell>
          <cell r="AI3100">
            <v>0</v>
          </cell>
          <cell r="AJ3100">
            <v>0</v>
          </cell>
          <cell r="AL3100">
            <v>0</v>
          </cell>
          <cell r="AM3100">
            <v>0</v>
          </cell>
          <cell r="AO3100">
            <v>0</v>
          </cell>
          <cell r="AP3100">
            <v>0</v>
          </cell>
          <cell r="AR3100">
            <v>0</v>
          </cell>
          <cell r="AS3100">
            <v>0</v>
          </cell>
          <cell r="BF3100" t="str">
            <v>5800</v>
          </cell>
          <cell r="BG3100" t="str">
            <v>J006</v>
          </cell>
          <cell r="BH3100" t="str">
            <v>GES</v>
          </cell>
        </row>
        <row r="3101">
          <cell r="K3101">
            <v>0</v>
          </cell>
          <cell r="L3101">
            <v>0</v>
          </cell>
          <cell r="N3101">
            <v>0</v>
          </cell>
          <cell r="O3101">
            <v>0</v>
          </cell>
          <cell r="Q3101">
            <v>0</v>
          </cell>
          <cell r="R3101">
            <v>0</v>
          </cell>
          <cell r="T3101">
            <v>0</v>
          </cell>
          <cell r="U3101">
            <v>0</v>
          </cell>
          <cell r="W3101">
            <v>0</v>
          </cell>
          <cell r="X3101">
            <v>0</v>
          </cell>
          <cell r="Z3101">
            <v>0</v>
          </cell>
          <cell r="AA3101">
            <v>0</v>
          </cell>
          <cell r="AC3101">
            <v>0</v>
          </cell>
          <cell r="AD3101">
            <v>0</v>
          </cell>
          <cell r="AF3101">
            <v>0</v>
          </cell>
          <cell r="AG3101">
            <v>0</v>
          </cell>
          <cell r="AI3101">
            <v>0</v>
          </cell>
          <cell r="AJ3101">
            <v>0</v>
          </cell>
          <cell r="AL3101">
            <v>0</v>
          </cell>
          <cell r="AM3101">
            <v>0</v>
          </cell>
          <cell r="AO3101">
            <v>0</v>
          </cell>
          <cell r="AP3101">
            <v>0</v>
          </cell>
          <cell r="AR3101">
            <v>0</v>
          </cell>
          <cell r="AS3101">
            <v>0</v>
          </cell>
          <cell r="BF3101" t="str">
            <v>5800</v>
          </cell>
          <cell r="BG3101" t="str">
            <v>J007</v>
          </cell>
          <cell r="BH3101" t="str">
            <v>GES</v>
          </cell>
        </row>
        <row r="3102">
          <cell r="K3102">
            <v>0</v>
          </cell>
          <cell r="L3102">
            <v>0</v>
          </cell>
          <cell r="N3102">
            <v>0</v>
          </cell>
          <cell r="O3102">
            <v>0</v>
          </cell>
          <cell r="Q3102">
            <v>0</v>
          </cell>
          <cell r="R3102">
            <v>0</v>
          </cell>
          <cell r="T3102">
            <v>0</v>
          </cell>
          <cell r="U3102">
            <v>0</v>
          </cell>
          <cell r="W3102">
            <v>0</v>
          </cell>
          <cell r="X3102">
            <v>0</v>
          </cell>
          <cell r="Z3102">
            <v>0</v>
          </cell>
          <cell r="AA3102">
            <v>0</v>
          </cell>
          <cell r="AC3102">
            <v>0</v>
          </cell>
          <cell r="AD3102">
            <v>0</v>
          </cell>
          <cell r="AF3102">
            <v>0</v>
          </cell>
          <cell r="AG3102">
            <v>0</v>
          </cell>
          <cell r="AI3102">
            <v>0</v>
          </cell>
          <cell r="AJ3102">
            <v>0</v>
          </cell>
          <cell r="AL3102">
            <v>0</v>
          </cell>
          <cell r="AM3102">
            <v>0</v>
          </cell>
          <cell r="AO3102">
            <v>0</v>
          </cell>
          <cell r="AP3102">
            <v>0</v>
          </cell>
          <cell r="AR3102">
            <v>0</v>
          </cell>
          <cell r="AS3102">
            <v>0</v>
          </cell>
          <cell r="BF3102" t="str">
            <v>5801</v>
          </cell>
          <cell r="BG3102" t="str">
            <v>J008</v>
          </cell>
          <cell r="BH3102" t="str">
            <v>GES</v>
          </cell>
        </row>
        <row r="3103">
          <cell r="K3103">
            <v>0</v>
          </cell>
          <cell r="L3103">
            <v>0</v>
          </cell>
          <cell r="N3103">
            <v>0</v>
          </cell>
          <cell r="O3103">
            <v>0</v>
          </cell>
          <cell r="Q3103">
            <v>0</v>
          </cell>
          <cell r="R3103">
            <v>0</v>
          </cell>
          <cell r="T3103">
            <v>0</v>
          </cell>
          <cell r="U3103">
            <v>0</v>
          </cell>
          <cell r="W3103">
            <v>0</v>
          </cell>
          <cell r="X3103">
            <v>0</v>
          </cell>
          <cell r="Z3103">
            <v>0</v>
          </cell>
          <cell r="AA3103">
            <v>0</v>
          </cell>
          <cell r="AC3103">
            <v>0</v>
          </cell>
          <cell r="AD3103">
            <v>0</v>
          </cell>
          <cell r="AF3103">
            <v>0</v>
          </cell>
          <cell r="AG3103">
            <v>0</v>
          </cell>
          <cell r="AI3103">
            <v>0</v>
          </cell>
          <cell r="AJ3103">
            <v>0</v>
          </cell>
          <cell r="AL3103">
            <v>0</v>
          </cell>
          <cell r="AM3103">
            <v>0</v>
          </cell>
          <cell r="AO3103">
            <v>0</v>
          </cell>
          <cell r="AP3103">
            <v>0</v>
          </cell>
          <cell r="AR3103">
            <v>0</v>
          </cell>
          <cell r="AS3103">
            <v>0</v>
          </cell>
          <cell r="BF3103" t="str">
            <v>5801</v>
          </cell>
          <cell r="BG3103" t="str">
            <v>J009</v>
          </cell>
          <cell r="BH3103" t="str">
            <v>GES</v>
          </cell>
        </row>
        <row r="3104">
          <cell r="K3104">
            <v>0</v>
          </cell>
          <cell r="L3104">
            <v>0</v>
          </cell>
          <cell r="N3104">
            <v>0</v>
          </cell>
          <cell r="O3104">
            <v>0</v>
          </cell>
          <cell r="Q3104">
            <v>0</v>
          </cell>
          <cell r="R3104">
            <v>0</v>
          </cell>
          <cell r="T3104">
            <v>0</v>
          </cell>
          <cell r="U3104">
            <v>0</v>
          </cell>
          <cell r="W3104">
            <v>0</v>
          </cell>
          <cell r="X3104">
            <v>0</v>
          </cell>
          <cell r="Z3104">
            <v>0</v>
          </cell>
          <cell r="AA3104">
            <v>0</v>
          </cell>
          <cell r="AC3104">
            <v>0</v>
          </cell>
          <cell r="AD3104">
            <v>0</v>
          </cell>
          <cell r="AF3104">
            <v>0</v>
          </cell>
          <cell r="AG3104">
            <v>0</v>
          </cell>
          <cell r="AI3104">
            <v>0</v>
          </cell>
          <cell r="AJ3104">
            <v>0</v>
          </cell>
          <cell r="AL3104">
            <v>0</v>
          </cell>
          <cell r="AM3104">
            <v>0</v>
          </cell>
          <cell r="AO3104">
            <v>0</v>
          </cell>
          <cell r="AP3104">
            <v>0</v>
          </cell>
          <cell r="AR3104">
            <v>0</v>
          </cell>
          <cell r="AS3104">
            <v>0</v>
          </cell>
          <cell r="BF3104" t="str">
            <v>6000</v>
          </cell>
          <cell r="BG3104" t="str">
            <v>K001</v>
          </cell>
          <cell r="BH3104" t="str">
            <v>GES</v>
          </cell>
        </row>
        <row r="3105">
          <cell r="K3105">
            <v>0</v>
          </cell>
          <cell r="L3105">
            <v>0</v>
          </cell>
          <cell r="N3105">
            <v>0</v>
          </cell>
          <cell r="O3105">
            <v>0</v>
          </cell>
          <cell r="Q3105">
            <v>0</v>
          </cell>
          <cell r="R3105">
            <v>0</v>
          </cell>
          <cell r="T3105">
            <v>0</v>
          </cell>
          <cell r="U3105">
            <v>0</v>
          </cell>
          <cell r="W3105">
            <v>0</v>
          </cell>
          <cell r="X3105">
            <v>0</v>
          </cell>
          <cell r="Z3105">
            <v>0</v>
          </cell>
          <cell r="AA3105">
            <v>0</v>
          </cell>
          <cell r="AC3105">
            <v>0</v>
          </cell>
          <cell r="AD3105">
            <v>0</v>
          </cell>
          <cell r="AF3105">
            <v>0</v>
          </cell>
          <cell r="AG3105">
            <v>0</v>
          </cell>
          <cell r="AI3105">
            <v>0</v>
          </cell>
          <cell r="AJ3105">
            <v>0</v>
          </cell>
          <cell r="AL3105">
            <v>0</v>
          </cell>
          <cell r="AM3105">
            <v>0</v>
          </cell>
          <cell r="AO3105">
            <v>0</v>
          </cell>
          <cell r="AP3105">
            <v>0</v>
          </cell>
          <cell r="AR3105">
            <v>0</v>
          </cell>
          <cell r="AS3105">
            <v>0</v>
          </cell>
          <cell r="BF3105" t="str">
            <v>6000</v>
          </cell>
          <cell r="BG3105" t="str">
            <v>K002</v>
          </cell>
          <cell r="BH3105" t="str">
            <v>GES</v>
          </cell>
        </row>
        <row r="3106">
          <cell r="K3106">
            <v>0</v>
          </cell>
          <cell r="L3106">
            <v>0</v>
          </cell>
          <cell r="N3106">
            <v>0</v>
          </cell>
          <cell r="O3106">
            <v>0</v>
          </cell>
          <cell r="Q3106">
            <v>0</v>
          </cell>
          <cell r="R3106">
            <v>0</v>
          </cell>
          <cell r="T3106">
            <v>0</v>
          </cell>
          <cell r="U3106">
            <v>0</v>
          </cell>
          <cell r="W3106">
            <v>0</v>
          </cell>
          <cell r="X3106">
            <v>0</v>
          </cell>
          <cell r="Z3106">
            <v>0</v>
          </cell>
          <cell r="AA3106">
            <v>0</v>
          </cell>
          <cell r="AC3106">
            <v>0</v>
          </cell>
          <cell r="AD3106">
            <v>0</v>
          </cell>
          <cell r="AF3106">
            <v>0</v>
          </cell>
          <cell r="AG3106">
            <v>0</v>
          </cell>
          <cell r="AI3106">
            <v>0</v>
          </cell>
          <cell r="AJ3106">
            <v>0</v>
          </cell>
          <cell r="AL3106">
            <v>0</v>
          </cell>
          <cell r="AM3106">
            <v>0</v>
          </cell>
          <cell r="AO3106">
            <v>0</v>
          </cell>
          <cell r="AP3106">
            <v>0</v>
          </cell>
          <cell r="AR3106">
            <v>0</v>
          </cell>
          <cell r="AS3106">
            <v>0</v>
          </cell>
          <cell r="BF3106" t="str">
            <v>6100</v>
          </cell>
          <cell r="BG3106" t="str">
            <v>K001</v>
          </cell>
          <cell r="BH3106" t="str">
            <v>GES</v>
          </cell>
        </row>
        <row r="3107">
          <cell r="K3107">
            <v>0</v>
          </cell>
          <cell r="L3107">
            <v>0</v>
          </cell>
          <cell r="N3107">
            <v>0</v>
          </cell>
          <cell r="O3107">
            <v>0</v>
          </cell>
          <cell r="Q3107">
            <v>0</v>
          </cell>
          <cell r="R3107">
            <v>0</v>
          </cell>
          <cell r="T3107">
            <v>0</v>
          </cell>
          <cell r="U3107">
            <v>0</v>
          </cell>
          <cell r="W3107">
            <v>0</v>
          </cell>
          <cell r="X3107">
            <v>0</v>
          </cell>
          <cell r="Z3107">
            <v>0</v>
          </cell>
          <cell r="AA3107">
            <v>0</v>
          </cell>
          <cell r="AC3107">
            <v>0</v>
          </cell>
          <cell r="AD3107">
            <v>0</v>
          </cell>
          <cell r="AF3107">
            <v>0</v>
          </cell>
          <cell r="AG3107">
            <v>0</v>
          </cell>
          <cell r="AI3107">
            <v>0</v>
          </cell>
          <cell r="AJ3107">
            <v>0</v>
          </cell>
          <cell r="AL3107">
            <v>0</v>
          </cell>
          <cell r="AM3107">
            <v>0</v>
          </cell>
          <cell r="AO3107">
            <v>0</v>
          </cell>
          <cell r="AP3107">
            <v>0</v>
          </cell>
          <cell r="AR3107">
            <v>0</v>
          </cell>
          <cell r="AS3107">
            <v>0</v>
          </cell>
          <cell r="BF3107" t="str">
            <v>6100</v>
          </cell>
          <cell r="BG3107" t="str">
            <v>K002</v>
          </cell>
          <cell r="BH3107" t="str">
            <v>GES</v>
          </cell>
        </row>
        <row r="3108">
          <cell r="K3108">
            <v>0</v>
          </cell>
          <cell r="L3108">
            <v>0</v>
          </cell>
          <cell r="N3108">
            <v>0</v>
          </cell>
          <cell r="O3108">
            <v>0</v>
          </cell>
          <cell r="Q3108">
            <v>0</v>
          </cell>
          <cell r="R3108">
            <v>0</v>
          </cell>
          <cell r="T3108">
            <v>0</v>
          </cell>
          <cell r="U3108">
            <v>0</v>
          </cell>
          <cell r="W3108">
            <v>0</v>
          </cell>
          <cell r="X3108">
            <v>0</v>
          </cell>
          <cell r="Z3108">
            <v>0</v>
          </cell>
          <cell r="AA3108">
            <v>0</v>
          </cell>
          <cell r="AC3108">
            <v>0</v>
          </cell>
          <cell r="AD3108">
            <v>0</v>
          </cell>
          <cell r="AF3108">
            <v>0</v>
          </cell>
          <cell r="AG3108">
            <v>0</v>
          </cell>
          <cell r="AI3108">
            <v>0</v>
          </cell>
          <cell r="AJ3108">
            <v>0</v>
          </cell>
          <cell r="AL3108">
            <v>0</v>
          </cell>
          <cell r="AM3108">
            <v>0</v>
          </cell>
          <cell r="AO3108">
            <v>0</v>
          </cell>
          <cell r="AP3108">
            <v>0</v>
          </cell>
          <cell r="AR3108">
            <v>0</v>
          </cell>
          <cell r="AS3108">
            <v>0</v>
          </cell>
          <cell r="BF3108" t="str">
            <v>6200</v>
          </cell>
          <cell r="BG3108" t="str">
            <v>K001</v>
          </cell>
          <cell r="BH3108" t="str">
            <v>GES</v>
          </cell>
        </row>
        <row r="3109">
          <cell r="K3109">
            <v>0</v>
          </cell>
          <cell r="L3109">
            <v>0</v>
          </cell>
          <cell r="N3109">
            <v>0</v>
          </cell>
          <cell r="O3109">
            <v>0</v>
          </cell>
          <cell r="Q3109">
            <v>0</v>
          </cell>
          <cell r="R3109">
            <v>0</v>
          </cell>
          <cell r="T3109">
            <v>0</v>
          </cell>
          <cell r="U3109">
            <v>0</v>
          </cell>
          <cell r="W3109">
            <v>0</v>
          </cell>
          <cell r="X3109">
            <v>0</v>
          </cell>
          <cell r="Z3109">
            <v>0</v>
          </cell>
          <cell r="AA3109">
            <v>0</v>
          </cell>
          <cell r="AC3109">
            <v>0</v>
          </cell>
          <cell r="AD3109">
            <v>0</v>
          </cell>
          <cell r="AF3109">
            <v>0</v>
          </cell>
          <cell r="AG3109">
            <v>0</v>
          </cell>
          <cell r="AI3109">
            <v>0</v>
          </cell>
          <cell r="AJ3109">
            <v>0</v>
          </cell>
          <cell r="AL3109">
            <v>0</v>
          </cell>
          <cell r="AM3109">
            <v>0</v>
          </cell>
          <cell r="AO3109">
            <v>0</v>
          </cell>
          <cell r="AP3109">
            <v>0</v>
          </cell>
          <cell r="AR3109">
            <v>0</v>
          </cell>
          <cell r="AS3109">
            <v>0</v>
          </cell>
          <cell r="BF3109" t="str">
            <v>6200</v>
          </cell>
          <cell r="BG3109" t="str">
            <v>K002</v>
          </cell>
          <cell r="BH3109" t="str">
            <v>GES</v>
          </cell>
        </row>
        <row r="3110">
          <cell r="K3110">
            <v>0</v>
          </cell>
          <cell r="L3110">
            <v>0</v>
          </cell>
          <cell r="N3110">
            <v>0</v>
          </cell>
          <cell r="O3110">
            <v>0</v>
          </cell>
          <cell r="Q3110">
            <v>0</v>
          </cell>
          <cell r="R3110">
            <v>0</v>
          </cell>
          <cell r="T3110">
            <v>0</v>
          </cell>
          <cell r="U3110">
            <v>0</v>
          </cell>
          <cell r="W3110">
            <v>0</v>
          </cell>
          <cell r="X3110">
            <v>0</v>
          </cell>
          <cell r="Z3110">
            <v>0</v>
          </cell>
          <cell r="AA3110">
            <v>0</v>
          </cell>
          <cell r="AC3110">
            <v>0</v>
          </cell>
          <cell r="AD3110">
            <v>0</v>
          </cell>
          <cell r="AF3110">
            <v>0</v>
          </cell>
          <cell r="AG3110">
            <v>0</v>
          </cell>
          <cell r="AI3110">
            <v>0</v>
          </cell>
          <cell r="AJ3110">
            <v>0</v>
          </cell>
          <cell r="AL3110">
            <v>0</v>
          </cell>
          <cell r="AM3110">
            <v>0</v>
          </cell>
          <cell r="AO3110">
            <v>0</v>
          </cell>
          <cell r="AP3110">
            <v>0</v>
          </cell>
          <cell r="AR3110">
            <v>0</v>
          </cell>
          <cell r="AS3110">
            <v>0</v>
          </cell>
          <cell r="BF3110" t="str">
            <v>6300</v>
          </cell>
          <cell r="BG3110" t="str">
            <v>K001</v>
          </cell>
          <cell r="BH3110" t="str">
            <v>GES</v>
          </cell>
        </row>
        <row r="3111">
          <cell r="K3111">
            <v>0</v>
          </cell>
          <cell r="L3111">
            <v>0</v>
          </cell>
          <cell r="N3111">
            <v>0</v>
          </cell>
          <cell r="O3111">
            <v>0</v>
          </cell>
          <cell r="Q3111">
            <v>0</v>
          </cell>
          <cell r="R3111">
            <v>0</v>
          </cell>
          <cell r="T3111">
            <v>0</v>
          </cell>
          <cell r="U3111">
            <v>0</v>
          </cell>
          <cell r="W3111">
            <v>0</v>
          </cell>
          <cell r="X3111">
            <v>0</v>
          </cell>
          <cell r="Z3111">
            <v>0</v>
          </cell>
          <cell r="AA3111">
            <v>0</v>
          </cell>
          <cell r="AC3111">
            <v>0</v>
          </cell>
          <cell r="AD3111">
            <v>0</v>
          </cell>
          <cell r="AF3111">
            <v>0</v>
          </cell>
          <cell r="AG3111">
            <v>0</v>
          </cell>
          <cell r="AI3111">
            <v>0</v>
          </cell>
          <cell r="AJ3111">
            <v>0</v>
          </cell>
          <cell r="AL3111">
            <v>0</v>
          </cell>
          <cell r="AM3111">
            <v>0</v>
          </cell>
          <cell r="AO3111">
            <v>0</v>
          </cell>
          <cell r="AP3111">
            <v>0</v>
          </cell>
          <cell r="AR3111">
            <v>0</v>
          </cell>
          <cell r="AS3111">
            <v>0</v>
          </cell>
          <cell r="BF3111" t="str">
            <v>6300</v>
          </cell>
          <cell r="BG3111" t="str">
            <v>K002</v>
          </cell>
          <cell r="BH3111" t="str">
            <v>GES</v>
          </cell>
        </row>
        <row r="3112">
          <cell r="K3112">
            <v>0</v>
          </cell>
          <cell r="L3112">
            <v>0</v>
          </cell>
          <cell r="N3112">
            <v>0</v>
          </cell>
          <cell r="O3112">
            <v>0</v>
          </cell>
          <cell r="Q3112">
            <v>0</v>
          </cell>
          <cell r="R3112">
            <v>0</v>
          </cell>
          <cell r="T3112">
            <v>0</v>
          </cell>
          <cell r="U3112">
            <v>0</v>
          </cell>
          <cell r="W3112">
            <v>0</v>
          </cell>
          <cell r="X3112">
            <v>0</v>
          </cell>
          <cell r="Z3112">
            <v>0</v>
          </cell>
          <cell r="AA3112">
            <v>0</v>
          </cell>
          <cell r="AC3112">
            <v>0</v>
          </cell>
          <cell r="AD3112">
            <v>0</v>
          </cell>
          <cell r="AF3112">
            <v>0</v>
          </cell>
          <cell r="AG3112">
            <v>0</v>
          </cell>
          <cell r="AI3112">
            <v>0</v>
          </cell>
          <cell r="AJ3112">
            <v>0</v>
          </cell>
          <cell r="AL3112">
            <v>0</v>
          </cell>
          <cell r="AM3112">
            <v>0</v>
          </cell>
          <cell r="AO3112">
            <v>0</v>
          </cell>
          <cell r="AP3112">
            <v>0</v>
          </cell>
          <cell r="AR3112">
            <v>0</v>
          </cell>
          <cell r="AS3112">
            <v>0</v>
          </cell>
          <cell r="BF3112" t="str">
            <v>6400</v>
          </cell>
          <cell r="BG3112" t="str">
            <v>K001</v>
          </cell>
          <cell r="BH3112" t="str">
            <v>GES</v>
          </cell>
        </row>
        <row r="3113">
          <cell r="K3113">
            <v>0</v>
          </cell>
          <cell r="L3113">
            <v>0</v>
          </cell>
          <cell r="N3113">
            <v>0</v>
          </cell>
          <cell r="O3113">
            <v>0</v>
          </cell>
          <cell r="Q3113">
            <v>0</v>
          </cell>
          <cell r="R3113">
            <v>0</v>
          </cell>
          <cell r="T3113">
            <v>0</v>
          </cell>
          <cell r="U3113">
            <v>0</v>
          </cell>
          <cell r="W3113">
            <v>0</v>
          </cell>
          <cell r="X3113">
            <v>0</v>
          </cell>
          <cell r="Z3113">
            <v>0</v>
          </cell>
          <cell r="AA3113">
            <v>0</v>
          </cell>
          <cell r="AC3113">
            <v>0</v>
          </cell>
          <cell r="AD3113">
            <v>0</v>
          </cell>
          <cell r="AF3113">
            <v>0</v>
          </cell>
          <cell r="AG3113">
            <v>0</v>
          </cell>
          <cell r="AI3113">
            <v>0</v>
          </cell>
          <cell r="AJ3113">
            <v>0</v>
          </cell>
          <cell r="AL3113">
            <v>0</v>
          </cell>
          <cell r="AM3113">
            <v>0</v>
          </cell>
          <cell r="AO3113">
            <v>0</v>
          </cell>
          <cell r="AP3113">
            <v>0</v>
          </cell>
          <cell r="AR3113">
            <v>0</v>
          </cell>
          <cell r="AS3113">
            <v>0</v>
          </cell>
          <cell r="BF3113" t="str">
            <v>6400</v>
          </cell>
          <cell r="BG3113" t="str">
            <v>K002</v>
          </cell>
          <cell r="BH3113" t="str">
            <v>GES</v>
          </cell>
        </row>
        <row r="3114">
          <cell r="K3114">
            <v>0</v>
          </cell>
          <cell r="L3114">
            <v>0</v>
          </cell>
          <cell r="N3114">
            <v>0</v>
          </cell>
          <cell r="O3114">
            <v>0</v>
          </cell>
          <cell r="Q3114">
            <v>0</v>
          </cell>
          <cell r="R3114">
            <v>0</v>
          </cell>
          <cell r="T3114">
            <v>0</v>
          </cell>
          <cell r="U3114">
            <v>0</v>
          </cell>
          <cell r="W3114">
            <v>0</v>
          </cell>
          <cell r="X3114">
            <v>0</v>
          </cell>
          <cell r="Z3114">
            <v>0</v>
          </cell>
          <cell r="AA3114">
            <v>0</v>
          </cell>
          <cell r="AC3114">
            <v>0</v>
          </cell>
          <cell r="AD3114">
            <v>0</v>
          </cell>
          <cell r="AF3114">
            <v>0</v>
          </cell>
          <cell r="AG3114">
            <v>0</v>
          </cell>
          <cell r="AI3114">
            <v>0</v>
          </cell>
          <cell r="AJ3114">
            <v>0</v>
          </cell>
          <cell r="AL3114">
            <v>0</v>
          </cell>
          <cell r="AM3114">
            <v>0</v>
          </cell>
          <cell r="AO3114">
            <v>0</v>
          </cell>
          <cell r="AP3114">
            <v>0</v>
          </cell>
          <cell r="AR3114">
            <v>0</v>
          </cell>
          <cell r="AS3114">
            <v>0</v>
          </cell>
          <cell r="BF3114" t="str">
            <v>6500</v>
          </cell>
          <cell r="BG3114" t="str">
            <v>K001</v>
          </cell>
          <cell r="BH3114" t="str">
            <v>GES</v>
          </cell>
        </row>
        <row r="3115">
          <cell r="K3115">
            <v>0</v>
          </cell>
          <cell r="L3115">
            <v>0</v>
          </cell>
          <cell r="N3115">
            <v>0</v>
          </cell>
          <cell r="O3115">
            <v>0</v>
          </cell>
          <cell r="Q3115">
            <v>0</v>
          </cell>
          <cell r="R3115">
            <v>0</v>
          </cell>
          <cell r="T3115">
            <v>0</v>
          </cell>
          <cell r="U3115">
            <v>0</v>
          </cell>
          <cell r="W3115">
            <v>0</v>
          </cell>
          <cell r="X3115">
            <v>0</v>
          </cell>
          <cell r="Z3115">
            <v>0</v>
          </cell>
          <cell r="AA3115">
            <v>0</v>
          </cell>
          <cell r="AC3115">
            <v>0</v>
          </cell>
          <cell r="AD3115">
            <v>0</v>
          </cell>
          <cell r="AF3115">
            <v>0</v>
          </cell>
          <cell r="AG3115">
            <v>0</v>
          </cell>
          <cell r="AI3115">
            <v>0</v>
          </cell>
          <cell r="AJ3115">
            <v>0</v>
          </cell>
          <cell r="AL3115">
            <v>0</v>
          </cell>
          <cell r="AM3115">
            <v>0</v>
          </cell>
          <cell r="AO3115">
            <v>0</v>
          </cell>
          <cell r="AP3115">
            <v>0</v>
          </cell>
          <cell r="AR3115">
            <v>0</v>
          </cell>
          <cell r="AS3115">
            <v>0</v>
          </cell>
          <cell r="BF3115" t="str">
            <v>6500</v>
          </cell>
          <cell r="BG3115" t="str">
            <v>K002</v>
          </cell>
          <cell r="BH3115" t="str">
            <v>GES</v>
          </cell>
        </row>
        <row r="3116">
          <cell r="K3116">
            <v>0</v>
          </cell>
          <cell r="L3116">
            <v>0</v>
          </cell>
          <cell r="N3116">
            <v>0</v>
          </cell>
          <cell r="O3116">
            <v>0</v>
          </cell>
          <cell r="Q3116">
            <v>0</v>
          </cell>
          <cell r="R3116">
            <v>0</v>
          </cell>
          <cell r="T3116">
            <v>0</v>
          </cell>
          <cell r="U3116">
            <v>0</v>
          </cell>
          <cell r="W3116">
            <v>0</v>
          </cell>
          <cell r="X3116">
            <v>0</v>
          </cell>
          <cell r="Z3116">
            <v>0</v>
          </cell>
          <cell r="AA3116">
            <v>0</v>
          </cell>
          <cell r="AC3116">
            <v>0</v>
          </cell>
          <cell r="AD3116">
            <v>0</v>
          </cell>
          <cell r="AF3116">
            <v>0</v>
          </cell>
          <cell r="AG3116">
            <v>0</v>
          </cell>
          <cell r="AI3116">
            <v>0</v>
          </cell>
          <cell r="AJ3116">
            <v>0</v>
          </cell>
          <cell r="AL3116">
            <v>0</v>
          </cell>
          <cell r="AM3116">
            <v>0</v>
          </cell>
          <cell r="AO3116">
            <v>0</v>
          </cell>
          <cell r="AP3116">
            <v>0</v>
          </cell>
          <cell r="AR3116">
            <v>0</v>
          </cell>
          <cell r="AS3116">
            <v>0</v>
          </cell>
          <cell r="BF3116" t="str">
            <v>6600</v>
          </cell>
          <cell r="BG3116" t="str">
            <v>K001</v>
          </cell>
          <cell r="BH3116" t="str">
            <v>GES</v>
          </cell>
        </row>
        <row r="3117">
          <cell r="K3117">
            <v>0</v>
          </cell>
          <cell r="L3117">
            <v>0</v>
          </cell>
          <cell r="N3117">
            <v>0</v>
          </cell>
          <cell r="O3117">
            <v>0</v>
          </cell>
          <cell r="Q3117">
            <v>0</v>
          </cell>
          <cell r="R3117">
            <v>0</v>
          </cell>
          <cell r="T3117">
            <v>0</v>
          </cell>
          <cell r="U3117">
            <v>0</v>
          </cell>
          <cell r="W3117">
            <v>0</v>
          </cell>
          <cell r="X3117">
            <v>0</v>
          </cell>
          <cell r="Z3117">
            <v>0</v>
          </cell>
          <cell r="AA3117">
            <v>0</v>
          </cell>
          <cell r="AC3117">
            <v>0</v>
          </cell>
          <cell r="AD3117">
            <v>0</v>
          </cell>
          <cell r="AF3117">
            <v>0</v>
          </cell>
          <cell r="AG3117">
            <v>0</v>
          </cell>
          <cell r="AI3117">
            <v>0</v>
          </cell>
          <cell r="AJ3117">
            <v>0</v>
          </cell>
          <cell r="AL3117">
            <v>0</v>
          </cell>
          <cell r="AM3117">
            <v>0</v>
          </cell>
          <cell r="AO3117">
            <v>0</v>
          </cell>
          <cell r="AP3117">
            <v>0</v>
          </cell>
          <cell r="AR3117">
            <v>0</v>
          </cell>
          <cell r="AS3117">
            <v>0</v>
          </cell>
          <cell r="BF3117" t="str">
            <v>6600</v>
          </cell>
          <cell r="BG3117" t="str">
            <v>K002</v>
          </cell>
          <cell r="BH3117" t="str">
            <v>GES</v>
          </cell>
        </row>
        <row r="3118">
          <cell r="K3118">
            <v>0</v>
          </cell>
          <cell r="L3118">
            <v>0</v>
          </cell>
          <cell r="N3118">
            <v>0</v>
          </cell>
          <cell r="O3118">
            <v>0</v>
          </cell>
          <cell r="Q3118">
            <v>0</v>
          </cell>
          <cell r="R3118">
            <v>0</v>
          </cell>
          <cell r="T3118">
            <v>0</v>
          </cell>
          <cell r="U3118">
            <v>0</v>
          </cell>
          <cell r="W3118">
            <v>0</v>
          </cell>
          <cell r="X3118">
            <v>0</v>
          </cell>
          <cell r="Z3118">
            <v>0</v>
          </cell>
          <cell r="AA3118">
            <v>0</v>
          </cell>
          <cell r="AC3118">
            <v>0</v>
          </cell>
          <cell r="AD3118">
            <v>0</v>
          </cell>
          <cell r="AF3118">
            <v>0</v>
          </cell>
          <cell r="AG3118">
            <v>0</v>
          </cell>
          <cell r="AI3118">
            <v>327.2</v>
          </cell>
          <cell r="AJ3118">
            <v>0</v>
          </cell>
          <cell r="AL3118">
            <v>7510.31</v>
          </cell>
          <cell r="AM3118">
            <v>0</v>
          </cell>
          <cell r="AO3118">
            <v>-5678.82</v>
          </cell>
          <cell r="AP3118">
            <v>0</v>
          </cell>
          <cell r="AR3118">
            <v>-1940.5700000000015</v>
          </cell>
          <cell r="AS3118">
            <v>0</v>
          </cell>
          <cell r="BF3118" t="str">
            <v>7000</v>
          </cell>
          <cell r="BG3118" t="str">
            <v>Z000</v>
          </cell>
          <cell r="BH3118" t="str">
            <v>GES</v>
          </cell>
        </row>
        <row r="3119">
          <cell r="K3119">
            <v>0</v>
          </cell>
          <cell r="L3119">
            <v>0</v>
          </cell>
          <cell r="N3119">
            <v>0</v>
          </cell>
          <cell r="O3119">
            <v>0</v>
          </cell>
          <cell r="Q3119">
            <v>0</v>
          </cell>
          <cell r="R3119">
            <v>0</v>
          </cell>
          <cell r="T3119">
            <v>0</v>
          </cell>
          <cell r="U3119">
            <v>0</v>
          </cell>
          <cell r="W3119">
            <v>0</v>
          </cell>
          <cell r="X3119">
            <v>0</v>
          </cell>
          <cell r="Z3119">
            <v>0</v>
          </cell>
          <cell r="AA3119">
            <v>0</v>
          </cell>
          <cell r="AC3119">
            <v>0</v>
          </cell>
          <cell r="AD3119">
            <v>0</v>
          </cell>
          <cell r="AF3119">
            <v>0</v>
          </cell>
          <cell r="AG3119">
            <v>0</v>
          </cell>
          <cell r="AI3119">
            <v>0</v>
          </cell>
          <cell r="AJ3119">
            <v>0</v>
          </cell>
          <cell r="AL3119">
            <v>0</v>
          </cell>
          <cell r="AM3119">
            <v>0</v>
          </cell>
          <cell r="AO3119">
            <v>0</v>
          </cell>
          <cell r="AP3119">
            <v>0</v>
          </cell>
          <cell r="AR3119">
            <v>0</v>
          </cell>
          <cell r="AS3119">
            <v>0</v>
          </cell>
          <cell r="BF3119" t="str">
            <v>7050</v>
          </cell>
          <cell r="BG3119" t="str">
            <v>Z000</v>
          </cell>
          <cell r="BH3119" t="str">
            <v>GES</v>
          </cell>
        </row>
        <row r="3120">
          <cell r="K3120">
            <v>0</v>
          </cell>
          <cell r="L3120">
            <v>0</v>
          </cell>
          <cell r="N3120">
            <v>0</v>
          </cell>
          <cell r="O3120">
            <v>0</v>
          </cell>
          <cell r="Q3120">
            <v>0</v>
          </cell>
          <cell r="R3120">
            <v>0</v>
          </cell>
          <cell r="T3120">
            <v>0</v>
          </cell>
          <cell r="U3120">
            <v>0</v>
          </cell>
          <cell r="W3120">
            <v>0</v>
          </cell>
          <cell r="X3120">
            <v>0</v>
          </cell>
          <cell r="Z3120">
            <v>0</v>
          </cell>
          <cell r="AA3120">
            <v>0</v>
          </cell>
          <cell r="AC3120">
            <v>0</v>
          </cell>
          <cell r="AD3120">
            <v>0</v>
          </cell>
          <cell r="AF3120">
            <v>0</v>
          </cell>
          <cell r="AG3120">
            <v>0</v>
          </cell>
          <cell r="AI3120">
            <v>0</v>
          </cell>
          <cell r="AJ3120">
            <v>0</v>
          </cell>
          <cell r="AL3120">
            <v>0</v>
          </cell>
          <cell r="AM3120">
            <v>0</v>
          </cell>
          <cell r="AO3120">
            <v>0</v>
          </cell>
          <cell r="AP3120">
            <v>0</v>
          </cell>
          <cell r="AR3120">
            <v>0</v>
          </cell>
          <cell r="AS3120">
            <v>0</v>
          </cell>
          <cell r="BF3120" t="str">
            <v>7100</v>
          </cell>
          <cell r="BG3120" t="str">
            <v>Z000</v>
          </cell>
          <cell r="BH3120" t="str">
            <v>GES</v>
          </cell>
        </row>
        <row r="3121">
          <cell r="K3121">
            <v>0</v>
          </cell>
          <cell r="L3121">
            <v>0</v>
          </cell>
          <cell r="N3121">
            <v>0</v>
          </cell>
          <cell r="O3121">
            <v>0</v>
          </cell>
          <cell r="Q3121">
            <v>0</v>
          </cell>
          <cell r="R3121">
            <v>0</v>
          </cell>
          <cell r="T3121">
            <v>0</v>
          </cell>
          <cell r="U3121">
            <v>0</v>
          </cell>
          <cell r="W3121">
            <v>0</v>
          </cell>
          <cell r="X3121">
            <v>0</v>
          </cell>
          <cell r="Z3121">
            <v>0</v>
          </cell>
          <cell r="AA3121">
            <v>0</v>
          </cell>
          <cell r="AC3121">
            <v>0</v>
          </cell>
          <cell r="AD3121">
            <v>0</v>
          </cell>
          <cell r="AF3121">
            <v>0</v>
          </cell>
          <cell r="AG3121">
            <v>0</v>
          </cell>
          <cell r="AI3121">
            <v>0</v>
          </cell>
          <cell r="AJ3121">
            <v>0</v>
          </cell>
          <cell r="AL3121">
            <v>0</v>
          </cell>
          <cell r="AM3121">
            <v>0</v>
          </cell>
          <cell r="AO3121">
            <v>0</v>
          </cell>
          <cell r="AP3121">
            <v>0</v>
          </cell>
          <cell r="AR3121">
            <v>0</v>
          </cell>
          <cell r="AS3121">
            <v>0</v>
          </cell>
          <cell r="BF3121" t="str">
            <v>7300</v>
          </cell>
          <cell r="BG3121" t="str">
            <v>Z000</v>
          </cell>
          <cell r="BH3121" t="str">
            <v>GES</v>
          </cell>
        </row>
        <row r="3122">
          <cell r="K3122">
            <v>0</v>
          </cell>
          <cell r="L3122">
            <v>0</v>
          </cell>
          <cell r="N3122">
            <v>0</v>
          </cell>
          <cell r="O3122">
            <v>0</v>
          </cell>
          <cell r="Q3122">
            <v>0</v>
          </cell>
          <cell r="R3122">
            <v>0</v>
          </cell>
          <cell r="T3122">
            <v>0</v>
          </cell>
          <cell r="U3122">
            <v>0</v>
          </cell>
          <cell r="W3122">
            <v>0</v>
          </cell>
          <cell r="X3122">
            <v>0</v>
          </cell>
          <cell r="Z3122">
            <v>0</v>
          </cell>
          <cell r="AA3122">
            <v>0</v>
          </cell>
          <cell r="AC3122">
            <v>0</v>
          </cell>
          <cell r="AD3122">
            <v>0</v>
          </cell>
          <cell r="AF3122">
            <v>0</v>
          </cell>
          <cell r="AG3122">
            <v>0</v>
          </cell>
          <cell r="AI3122">
            <v>0</v>
          </cell>
          <cell r="AJ3122">
            <v>0</v>
          </cell>
          <cell r="AL3122">
            <v>0</v>
          </cell>
          <cell r="AM3122">
            <v>0</v>
          </cell>
          <cell r="AO3122">
            <v>0</v>
          </cell>
          <cell r="AP3122">
            <v>0</v>
          </cell>
          <cell r="AR3122">
            <v>80</v>
          </cell>
          <cell r="AS3122">
            <v>0</v>
          </cell>
          <cell r="BF3122" t="str">
            <v>7350</v>
          </cell>
          <cell r="BG3122" t="str">
            <v>Z000</v>
          </cell>
          <cell r="BH3122" t="str">
            <v>GES</v>
          </cell>
        </row>
        <row r="3123">
          <cell r="K3123">
            <v>0</v>
          </cell>
          <cell r="L3123">
            <v>0</v>
          </cell>
          <cell r="N3123">
            <v>0</v>
          </cell>
          <cell r="O3123">
            <v>0</v>
          </cell>
          <cell r="Q3123">
            <v>0</v>
          </cell>
          <cell r="R3123">
            <v>0</v>
          </cell>
          <cell r="T3123">
            <v>0</v>
          </cell>
          <cell r="U3123">
            <v>0</v>
          </cell>
          <cell r="W3123">
            <v>0</v>
          </cell>
          <cell r="X3123">
            <v>0</v>
          </cell>
          <cell r="Z3123">
            <v>0</v>
          </cell>
          <cell r="AA3123">
            <v>0</v>
          </cell>
          <cell r="AC3123">
            <v>0</v>
          </cell>
          <cell r="AD3123">
            <v>0</v>
          </cell>
          <cell r="AF3123">
            <v>0</v>
          </cell>
          <cell r="AG3123">
            <v>0</v>
          </cell>
          <cell r="AI3123">
            <v>0</v>
          </cell>
          <cell r="AJ3123">
            <v>0</v>
          </cell>
          <cell r="AL3123">
            <v>0</v>
          </cell>
          <cell r="AM3123">
            <v>0</v>
          </cell>
          <cell r="AO3123">
            <v>0</v>
          </cell>
          <cell r="AP3123">
            <v>0</v>
          </cell>
          <cell r="AR3123">
            <v>0</v>
          </cell>
          <cell r="AS3123">
            <v>0</v>
          </cell>
          <cell r="BF3123" t="str">
            <v>7400</v>
          </cell>
          <cell r="BG3123" t="str">
            <v>Z000</v>
          </cell>
          <cell r="BH3123" t="str">
            <v>GES</v>
          </cell>
        </row>
        <row r="3124">
          <cell r="K3124">
            <v>0</v>
          </cell>
          <cell r="L3124">
            <v>0</v>
          </cell>
          <cell r="N3124">
            <v>0</v>
          </cell>
          <cell r="O3124">
            <v>0</v>
          </cell>
          <cell r="Q3124">
            <v>0</v>
          </cell>
          <cell r="R3124">
            <v>0</v>
          </cell>
          <cell r="T3124">
            <v>0</v>
          </cell>
          <cell r="U3124">
            <v>0</v>
          </cell>
          <cell r="W3124">
            <v>0</v>
          </cell>
          <cell r="X3124">
            <v>0</v>
          </cell>
          <cell r="Z3124">
            <v>0</v>
          </cell>
          <cell r="AA3124">
            <v>0</v>
          </cell>
          <cell r="AC3124">
            <v>0</v>
          </cell>
          <cell r="AD3124">
            <v>0</v>
          </cell>
          <cell r="AF3124">
            <v>0</v>
          </cell>
          <cell r="AG3124">
            <v>0</v>
          </cell>
          <cell r="AI3124">
            <v>0</v>
          </cell>
          <cell r="AJ3124">
            <v>0</v>
          </cell>
          <cell r="AL3124">
            <v>0</v>
          </cell>
          <cell r="AM3124">
            <v>0</v>
          </cell>
          <cell r="AO3124">
            <v>394.7</v>
          </cell>
          <cell r="AP3124">
            <v>0</v>
          </cell>
          <cell r="AR3124">
            <v>727.68000000000006</v>
          </cell>
          <cell r="AS3124">
            <v>0</v>
          </cell>
          <cell r="BF3124" t="str">
            <v>7500</v>
          </cell>
          <cell r="BG3124" t="str">
            <v>Z000</v>
          </cell>
          <cell r="BH3124" t="str">
            <v>GES</v>
          </cell>
        </row>
        <row r="3125">
          <cell r="K3125">
            <v>0</v>
          </cell>
          <cell r="L3125">
            <v>0</v>
          </cell>
          <cell r="N3125">
            <v>0</v>
          </cell>
          <cell r="O3125">
            <v>0</v>
          </cell>
          <cell r="Q3125">
            <v>0</v>
          </cell>
          <cell r="R3125">
            <v>0</v>
          </cell>
          <cell r="T3125">
            <v>0</v>
          </cell>
          <cell r="U3125">
            <v>0</v>
          </cell>
          <cell r="W3125">
            <v>0</v>
          </cell>
          <cell r="X3125">
            <v>0</v>
          </cell>
          <cell r="Z3125">
            <v>0</v>
          </cell>
          <cell r="AA3125">
            <v>0</v>
          </cell>
          <cell r="AC3125">
            <v>0</v>
          </cell>
          <cell r="AD3125">
            <v>0</v>
          </cell>
          <cell r="AF3125">
            <v>0</v>
          </cell>
          <cell r="AG3125">
            <v>0</v>
          </cell>
          <cell r="AI3125">
            <v>0</v>
          </cell>
          <cell r="AJ3125">
            <v>0</v>
          </cell>
          <cell r="AL3125">
            <v>0</v>
          </cell>
          <cell r="AM3125">
            <v>0</v>
          </cell>
          <cell r="AO3125">
            <v>0</v>
          </cell>
          <cell r="AP3125">
            <v>0</v>
          </cell>
          <cell r="AR3125">
            <v>0</v>
          </cell>
          <cell r="AS3125">
            <v>0</v>
          </cell>
          <cell r="BF3125" t="str">
            <v>7600</v>
          </cell>
          <cell r="BG3125" t="str">
            <v>Z000</v>
          </cell>
          <cell r="BH3125" t="str">
            <v>GES</v>
          </cell>
        </row>
        <row r="3126">
          <cell r="K3126">
            <v>0</v>
          </cell>
          <cell r="L3126">
            <v>0</v>
          </cell>
          <cell r="N3126">
            <v>0</v>
          </cell>
          <cell r="O3126">
            <v>0</v>
          </cell>
          <cell r="Q3126">
            <v>0</v>
          </cell>
          <cell r="R3126">
            <v>0</v>
          </cell>
          <cell r="T3126">
            <v>0</v>
          </cell>
          <cell r="U3126">
            <v>0</v>
          </cell>
          <cell r="W3126">
            <v>0</v>
          </cell>
          <cell r="X3126">
            <v>0</v>
          </cell>
          <cell r="Z3126">
            <v>0</v>
          </cell>
          <cell r="AA3126">
            <v>0</v>
          </cell>
          <cell r="AC3126">
            <v>0</v>
          </cell>
          <cell r="AD3126">
            <v>0</v>
          </cell>
          <cell r="AF3126">
            <v>0</v>
          </cell>
          <cell r="AG3126">
            <v>0</v>
          </cell>
          <cell r="AI3126">
            <v>0</v>
          </cell>
          <cell r="AJ3126">
            <v>0</v>
          </cell>
          <cell r="AL3126">
            <v>0</v>
          </cell>
          <cell r="AM3126">
            <v>0</v>
          </cell>
          <cell r="AO3126">
            <v>0</v>
          </cell>
          <cell r="AP3126">
            <v>0</v>
          </cell>
          <cell r="AR3126">
            <v>0</v>
          </cell>
          <cell r="AS3126">
            <v>0</v>
          </cell>
          <cell r="BF3126" t="str">
            <v>7700</v>
          </cell>
          <cell r="BG3126" t="str">
            <v>Z000</v>
          </cell>
          <cell r="BH3126" t="str">
            <v>GES</v>
          </cell>
        </row>
        <row r="3127">
          <cell r="K3127">
            <v>0</v>
          </cell>
          <cell r="L3127">
            <v>0</v>
          </cell>
          <cell r="N3127">
            <v>0</v>
          </cell>
          <cell r="O3127">
            <v>0</v>
          </cell>
          <cell r="Q3127">
            <v>0</v>
          </cell>
          <cell r="R3127">
            <v>0</v>
          </cell>
          <cell r="T3127">
            <v>0</v>
          </cell>
          <cell r="U3127">
            <v>0</v>
          </cell>
          <cell r="W3127">
            <v>0</v>
          </cell>
          <cell r="X3127">
            <v>0</v>
          </cell>
          <cell r="Z3127">
            <v>0</v>
          </cell>
          <cell r="AA3127">
            <v>0</v>
          </cell>
          <cell r="AC3127">
            <v>0</v>
          </cell>
          <cell r="AD3127">
            <v>0</v>
          </cell>
          <cell r="AF3127">
            <v>0</v>
          </cell>
          <cell r="AG3127">
            <v>0</v>
          </cell>
          <cell r="AI3127">
            <v>0</v>
          </cell>
          <cell r="AJ3127">
            <v>0</v>
          </cell>
          <cell r="AL3127">
            <v>0</v>
          </cell>
          <cell r="AM3127">
            <v>0</v>
          </cell>
          <cell r="AO3127">
            <v>0</v>
          </cell>
          <cell r="AP3127">
            <v>0</v>
          </cell>
          <cell r="AR3127">
            <v>0</v>
          </cell>
          <cell r="AS3127">
            <v>0</v>
          </cell>
          <cell r="BF3127" t="str">
            <v>8002</v>
          </cell>
          <cell r="BG3127" t="str">
            <v>Z000</v>
          </cell>
          <cell r="BH3127" t="str">
            <v>GES</v>
          </cell>
        </row>
        <row r="3128">
          <cell r="K3128">
            <v>0</v>
          </cell>
          <cell r="L3128">
            <v>0</v>
          </cell>
          <cell r="N3128">
            <v>0</v>
          </cell>
          <cell r="O3128">
            <v>0</v>
          </cell>
          <cell r="Q3128">
            <v>0</v>
          </cell>
          <cell r="R3128">
            <v>0</v>
          </cell>
          <cell r="T3128">
            <v>0</v>
          </cell>
          <cell r="U3128">
            <v>0</v>
          </cell>
          <cell r="W3128">
            <v>0</v>
          </cell>
          <cell r="X3128">
            <v>0</v>
          </cell>
          <cell r="Z3128">
            <v>0</v>
          </cell>
          <cell r="AA3128">
            <v>0</v>
          </cell>
          <cell r="AC3128">
            <v>0</v>
          </cell>
          <cell r="AD3128">
            <v>0</v>
          </cell>
          <cell r="AF3128">
            <v>0</v>
          </cell>
          <cell r="AG3128">
            <v>0</v>
          </cell>
          <cell r="AI3128">
            <v>0</v>
          </cell>
          <cell r="AJ3128">
            <v>0</v>
          </cell>
          <cell r="AL3128">
            <v>0</v>
          </cell>
          <cell r="AM3128">
            <v>0</v>
          </cell>
          <cell r="AO3128">
            <v>0</v>
          </cell>
          <cell r="AP3128">
            <v>0</v>
          </cell>
          <cell r="AR3128">
            <v>0</v>
          </cell>
          <cell r="AS3128">
            <v>0</v>
          </cell>
          <cell r="BF3128" t="str">
            <v>8003</v>
          </cell>
          <cell r="BG3128" t="str">
            <v>Z000</v>
          </cell>
          <cell r="BH3128" t="str">
            <v>GES</v>
          </cell>
        </row>
        <row r="3129">
          <cell r="K3129">
            <v>0</v>
          </cell>
          <cell r="L3129">
            <v>0</v>
          </cell>
          <cell r="N3129">
            <v>0</v>
          </cell>
          <cell r="O3129">
            <v>0</v>
          </cell>
          <cell r="Q3129">
            <v>0</v>
          </cell>
          <cell r="R3129">
            <v>0</v>
          </cell>
          <cell r="T3129">
            <v>0</v>
          </cell>
          <cell r="U3129">
            <v>0</v>
          </cell>
          <cell r="W3129">
            <v>0</v>
          </cell>
          <cell r="X3129">
            <v>0</v>
          </cell>
          <cell r="Z3129">
            <v>0</v>
          </cell>
          <cell r="AA3129">
            <v>0</v>
          </cell>
          <cell r="AC3129">
            <v>0</v>
          </cell>
          <cell r="AD3129">
            <v>0</v>
          </cell>
          <cell r="AF3129">
            <v>0</v>
          </cell>
          <cell r="AG3129">
            <v>0</v>
          </cell>
          <cell r="AI3129">
            <v>5250</v>
          </cell>
          <cell r="AJ3129">
            <v>0</v>
          </cell>
          <cell r="AL3129">
            <v>14777.640000000003</v>
          </cell>
          <cell r="AM3129">
            <v>0</v>
          </cell>
          <cell r="AO3129">
            <v>16067.850000000002</v>
          </cell>
          <cell r="AP3129">
            <v>0</v>
          </cell>
          <cell r="AR3129">
            <v>35657.649999999994</v>
          </cell>
          <cell r="AS3129">
            <v>0</v>
          </cell>
          <cell r="BF3129" t="str">
            <v>8200</v>
          </cell>
          <cell r="BG3129" t="str">
            <v>Z000</v>
          </cell>
          <cell r="BH3129" t="str">
            <v>GES</v>
          </cell>
        </row>
        <row r="3130">
          <cell r="K3130">
            <v>0</v>
          </cell>
          <cell r="L3130">
            <v>0</v>
          </cell>
          <cell r="N3130">
            <v>0</v>
          </cell>
          <cell r="O3130">
            <v>0</v>
          </cell>
          <cell r="Q3130">
            <v>0</v>
          </cell>
          <cell r="R3130">
            <v>0</v>
          </cell>
          <cell r="T3130">
            <v>0</v>
          </cell>
          <cell r="U3130">
            <v>0</v>
          </cell>
          <cell r="W3130">
            <v>0</v>
          </cell>
          <cell r="X3130">
            <v>0</v>
          </cell>
          <cell r="Z3130">
            <v>0</v>
          </cell>
          <cell r="AA3130">
            <v>0</v>
          </cell>
          <cell r="AC3130">
            <v>0</v>
          </cell>
          <cell r="AD3130">
            <v>0</v>
          </cell>
          <cell r="AF3130">
            <v>0</v>
          </cell>
          <cell r="AG3130">
            <v>0</v>
          </cell>
          <cell r="AI3130">
            <v>0</v>
          </cell>
          <cell r="AJ3130">
            <v>0</v>
          </cell>
          <cell r="AL3130">
            <v>0</v>
          </cell>
          <cell r="AM3130">
            <v>0</v>
          </cell>
          <cell r="AO3130">
            <v>0</v>
          </cell>
          <cell r="AP3130">
            <v>0</v>
          </cell>
          <cell r="AR3130">
            <v>0</v>
          </cell>
          <cell r="AS3130">
            <v>0</v>
          </cell>
          <cell r="BF3130" t="str">
            <v>8201</v>
          </cell>
          <cell r="BG3130" t="str">
            <v>Z000</v>
          </cell>
          <cell r="BH3130" t="str">
            <v>GES</v>
          </cell>
        </row>
        <row r="3131">
          <cell r="K3131">
            <v>0</v>
          </cell>
          <cell r="L3131">
            <v>0</v>
          </cell>
          <cell r="N3131">
            <v>0</v>
          </cell>
          <cell r="O3131">
            <v>0</v>
          </cell>
          <cell r="Q3131">
            <v>0</v>
          </cell>
          <cell r="R3131">
            <v>0</v>
          </cell>
          <cell r="T3131">
            <v>0</v>
          </cell>
          <cell r="U3131">
            <v>0</v>
          </cell>
          <cell r="W3131">
            <v>0</v>
          </cell>
          <cell r="X3131">
            <v>0</v>
          </cell>
          <cell r="Z3131">
            <v>0</v>
          </cell>
          <cell r="AA3131">
            <v>0</v>
          </cell>
          <cell r="AC3131">
            <v>0</v>
          </cell>
          <cell r="AD3131">
            <v>0</v>
          </cell>
          <cell r="AF3131">
            <v>0</v>
          </cell>
          <cell r="AG3131">
            <v>0</v>
          </cell>
          <cell r="AI3131">
            <v>0</v>
          </cell>
          <cell r="AJ3131">
            <v>0</v>
          </cell>
          <cell r="AL3131">
            <v>0</v>
          </cell>
          <cell r="AM3131">
            <v>0</v>
          </cell>
          <cell r="AO3131">
            <v>0</v>
          </cell>
          <cell r="AP3131">
            <v>0</v>
          </cell>
          <cell r="AR3131">
            <v>0</v>
          </cell>
          <cell r="AS3131">
            <v>0</v>
          </cell>
          <cell r="BF3131" t="str">
            <v>8202</v>
          </cell>
          <cell r="BG3131" t="str">
            <v>Z000</v>
          </cell>
          <cell r="BH3131" t="str">
            <v>GES</v>
          </cell>
        </row>
        <row r="3132">
          <cell r="K3132">
            <v>0</v>
          </cell>
          <cell r="L3132">
            <v>0</v>
          </cell>
          <cell r="N3132">
            <v>0</v>
          </cell>
          <cell r="O3132">
            <v>0</v>
          </cell>
          <cell r="Q3132">
            <v>0</v>
          </cell>
          <cell r="R3132">
            <v>0</v>
          </cell>
          <cell r="T3132">
            <v>0</v>
          </cell>
          <cell r="U3132">
            <v>0</v>
          </cell>
          <cell r="W3132">
            <v>0</v>
          </cell>
          <cell r="X3132">
            <v>0</v>
          </cell>
          <cell r="Z3132">
            <v>0</v>
          </cell>
          <cell r="AA3132">
            <v>0</v>
          </cell>
          <cell r="AC3132">
            <v>0</v>
          </cell>
          <cell r="AD3132">
            <v>0</v>
          </cell>
          <cell r="AF3132">
            <v>0</v>
          </cell>
          <cell r="AG3132">
            <v>0</v>
          </cell>
          <cell r="AI3132">
            <v>0</v>
          </cell>
          <cell r="AJ3132">
            <v>0</v>
          </cell>
          <cell r="AL3132">
            <v>2403.3200000000002</v>
          </cell>
          <cell r="AM3132">
            <v>0</v>
          </cell>
          <cell r="AO3132">
            <v>4331.4600000000009</v>
          </cell>
          <cell r="AP3132">
            <v>0</v>
          </cell>
          <cell r="AR3132">
            <v>1875.5999999999985</v>
          </cell>
          <cell r="AS3132">
            <v>0</v>
          </cell>
          <cell r="BF3132" t="str">
            <v>8300</v>
          </cell>
          <cell r="BG3132" t="str">
            <v>Z000</v>
          </cell>
          <cell r="BH3132" t="str">
            <v>GES</v>
          </cell>
        </row>
        <row r="3133">
          <cell r="K3133">
            <v>0</v>
          </cell>
          <cell r="L3133">
            <v>0</v>
          </cell>
          <cell r="N3133">
            <v>0</v>
          </cell>
          <cell r="O3133">
            <v>0</v>
          </cell>
          <cell r="Q3133">
            <v>0</v>
          </cell>
          <cell r="R3133">
            <v>0</v>
          </cell>
          <cell r="T3133">
            <v>0</v>
          </cell>
          <cell r="U3133">
            <v>0</v>
          </cell>
          <cell r="W3133">
            <v>0</v>
          </cell>
          <cell r="X3133">
            <v>0</v>
          </cell>
          <cell r="Z3133">
            <v>0</v>
          </cell>
          <cell r="AA3133">
            <v>0</v>
          </cell>
          <cell r="AC3133">
            <v>0</v>
          </cell>
          <cell r="AD3133">
            <v>0</v>
          </cell>
          <cell r="AF3133">
            <v>17781.72999999997</v>
          </cell>
          <cell r="AG3133">
            <v>0</v>
          </cell>
          <cell r="AI3133">
            <v>50654.239999999976</v>
          </cell>
          <cell r="AJ3133">
            <v>0</v>
          </cell>
          <cell r="AL3133">
            <v>-35307.029999999984</v>
          </cell>
          <cell r="AM3133">
            <v>0</v>
          </cell>
          <cell r="AO3133">
            <v>7965.1100000002334</v>
          </cell>
          <cell r="AP3133">
            <v>0</v>
          </cell>
          <cell r="AR3133">
            <v>-24649.679999999411</v>
          </cell>
          <cell r="AS3133">
            <v>0</v>
          </cell>
          <cell r="BF3133" t="str">
            <v>8400</v>
          </cell>
          <cell r="BG3133" t="str">
            <v>N001</v>
          </cell>
          <cell r="BH3133" t="str">
            <v>GES</v>
          </cell>
        </row>
        <row r="3134">
          <cell r="K3134">
            <v>0</v>
          </cell>
          <cell r="L3134">
            <v>0</v>
          </cell>
          <cell r="N3134">
            <v>0</v>
          </cell>
          <cell r="O3134">
            <v>0</v>
          </cell>
          <cell r="Q3134">
            <v>0</v>
          </cell>
          <cell r="R3134">
            <v>0</v>
          </cell>
          <cell r="T3134">
            <v>0</v>
          </cell>
          <cell r="U3134">
            <v>0</v>
          </cell>
          <cell r="W3134">
            <v>0</v>
          </cell>
          <cell r="X3134">
            <v>0</v>
          </cell>
          <cell r="Z3134">
            <v>0</v>
          </cell>
          <cell r="AA3134">
            <v>0</v>
          </cell>
          <cell r="AC3134">
            <v>0</v>
          </cell>
          <cell r="AD3134">
            <v>0</v>
          </cell>
          <cell r="AF3134">
            <v>0</v>
          </cell>
          <cell r="AG3134">
            <v>0</v>
          </cell>
          <cell r="AI3134">
            <v>0</v>
          </cell>
          <cell r="AJ3134">
            <v>0</v>
          </cell>
          <cell r="AL3134">
            <v>0</v>
          </cell>
          <cell r="AM3134">
            <v>0</v>
          </cell>
          <cell r="AO3134">
            <v>0</v>
          </cell>
          <cell r="AP3134">
            <v>0</v>
          </cell>
          <cell r="AR3134">
            <v>0</v>
          </cell>
          <cell r="AS3134">
            <v>0</v>
          </cell>
          <cell r="BF3134" t="str">
            <v>8400</v>
          </cell>
          <cell r="BG3134" t="str">
            <v>N002</v>
          </cell>
          <cell r="BH3134" t="str">
            <v>GES</v>
          </cell>
        </row>
        <row r="3135">
          <cell r="K3135">
            <v>0</v>
          </cell>
          <cell r="L3135">
            <v>0</v>
          </cell>
          <cell r="N3135">
            <v>0</v>
          </cell>
          <cell r="O3135">
            <v>0</v>
          </cell>
          <cell r="Q3135">
            <v>0</v>
          </cell>
          <cell r="R3135">
            <v>0</v>
          </cell>
          <cell r="T3135">
            <v>0</v>
          </cell>
          <cell r="U3135">
            <v>0</v>
          </cell>
          <cell r="W3135">
            <v>0</v>
          </cell>
          <cell r="X3135">
            <v>0</v>
          </cell>
          <cell r="Z3135">
            <v>0</v>
          </cell>
          <cell r="AA3135">
            <v>0</v>
          </cell>
          <cell r="AC3135">
            <v>0</v>
          </cell>
          <cell r="AD3135">
            <v>0</v>
          </cell>
          <cell r="AF3135">
            <v>0</v>
          </cell>
          <cell r="AG3135">
            <v>0</v>
          </cell>
          <cell r="AI3135">
            <v>0</v>
          </cell>
          <cell r="AJ3135">
            <v>0</v>
          </cell>
          <cell r="AL3135">
            <v>0</v>
          </cell>
          <cell r="AM3135">
            <v>0</v>
          </cell>
          <cell r="AO3135">
            <v>0</v>
          </cell>
          <cell r="AP3135">
            <v>0</v>
          </cell>
          <cell r="AR3135">
            <v>0</v>
          </cell>
          <cell r="AS3135">
            <v>0</v>
          </cell>
          <cell r="BF3135" t="str">
            <v>8400</v>
          </cell>
          <cell r="BG3135" t="str">
            <v>N003</v>
          </cell>
          <cell r="BH3135" t="str">
            <v>GES</v>
          </cell>
        </row>
        <row r="3136">
          <cell r="K3136">
            <v>0</v>
          </cell>
          <cell r="L3136">
            <v>0</v>
          </cell>
          <cell r="N3136">
            <v>0</v>
          </cell>
          <cell r="O3136">
            <v>0</v>
          </cell>
          <cell r="Q3136">
            <v>0</v>
          </cell>
          <cell r="R3136">
            <v>0</v>
          </cell>
          <cell r="T3136">
            <v>0</v>
          </cell>
          <cell r="U3136">
            <v>0</v>
          </cell>
          <cell r="W3136">
            <v>0</v>
          </cell>
          <cell r="X3136">
            <v>0</v>
          </cell>
          <cell r="Z3136">
            <v>0</v>
          </cell>
          <cell r="AA3136">
            <v>0</v>
          </cell>
          <cell r="AC3136">
            <v>0</v>
          </cell>
          <cell r="AD3136">
            <v>0</v>
          </cell>
          <cell r="AF3136">
            <v>0</v>
          </cell>
          <cell r="AG3136">
            <v>0</v>
          </cell>
          <cell r="AI3136">
            <v>0</v>
          </cell>
          <cell r="AJ3136">
            <v>0</v>
          </cell>
          <cell r="AL3136">
            <v>0</v>
          </cell>
          <cell r="AM3136">
            <v>0</v>
          </cell>
          <cell r="AO3136">
            <v>0</v>
          </cell>
          <cell r="AP3136">
            <v>0</v>
          </cell>
          <cell r="AR3136">
            <v>0</v>
          </cell>
          <cell r="AS3136">
            <v>0</v>
          </cell>
          <cell r="BF3136" t="str">
            <v>8400</v>
          </cell>
          <cell r="BG3136" t="str">
            <v>N004</v>
          </cell>
          <cell r="BH3136" t="str">
            <v>GES</v>
          </cell>
        </row>
        <row r="3137">
          <cell r="K3137">
            <v>0</v>
          </cell>
          <cell r="L3137">
            <v>0</v>
          </cell>
          <cell r="N3137">
            <v>0</v>
          </cell>
          <cell r="O3137">
            <v>0</v>
          </cell>
          <cell r="Q3137">
            <v>0</v>
          </cell>
          <cell r="R3137">
            <v>0</v>
          </cell>
          <cell r="T3137">
            <v>0</v>
          </cell>
          <cell r="U3137">
            <v>0</v>
          </cell>
          <cell r="W3137">
            <v>0</v>
          </cell>
          <cell r="X3137">
            <v>0</v>
          </cell>
          <cell r="Z3137">
            <v>0</v>
          </cell>
          <cell r="AA3137">
            <v>0</v>
          </cell>
          <cell r="AC3137">
            <v>0</v>
          </cell>
          <cell r="AD3137">
            <v>0</v>
          </cell>
          <cell r="AF3137">
            <v>0</v>
          </cell>
          <cell r="AG3137">
            <v>0</v>
          </cell>
          <cell r="AI3137">
            <v>0</v>
          </cell>
          <cell r="AJ3137">
            <v>0</v>
          </cell>
          <cell r="AL3137">
            <v>0</v>
          </cell>
          <cell r="AM3137">
            <v>0</v>
          </cell>
          <cell r="AO3137">
            <v>0</v>
          </cell>
          <cell r="AP3137">
            <v>0</v>
          </cell>
          <cell r="AR3137">
            <v>0</v>
          </cell>
          <cell r="AS3137">
            <v>0</v>
          </cell>
          <cell r="BF3137" t="str">
            <v>8400</v>
          </cell>
          <cell r="BG3137" t="str">
            <v>N005</v>
          </cell>
          <cell r="BH3137" t="str">
            <v>GES</v>
          </cell>
        </row>
        <row r="3138">
          <cell r="K3138">
            <v>0</v>
          </cell>
          <cell r="L3138">
            <v>0</v>
          </cell>
          <cell r="N3138">
            <v>0</v>
          </cell>
          <cell r="O3138">
            <v>0</v>
          </cell>
          <cell r="Q3138">
            <v>0</v>
          </cell>
          <cell r="R3138">
            <v>0</v>
          </cell>
          <cell r="T3138">
            <v>0</v>
          </cell>
          <cell r="U3138">
            <v>0</v>
          </cell>
          <cell r="W3138">
            <v>0</v>
          </cell>
          <cell r="X3138">
            <v>0</v>
          </cell>
          <cell r="Z3138">
            <v>0</v>
          </cell>
          <cell r="AA3138">
            <v>0</v>
          </cell>
          <cell r="AC3138">
            <v>0</v>
          </cell>
          <cell r="AD3138">
            <v>0</v>
          </cell>
          <cell r="AF3138">
            <v>0</v>
          </cell>
          <cell r="AG3138">
            <v>0</v>
          </cell>
          <cell r="AI3138">
            <v>0</v>
          </cell>
          <cell r="AJ3138">
            <v>0</v>
          </cell>
          <cell r="AL3138">
            <v>0</v>
          </cell>
          <cell r="AM3138">
            <v>0</v>
          </cell>
          <cell r="AO3138">
            <v>0</v>
          </cell>
          <cell r="AP3138">
            <v>0</v>
          </cell>
          <cell r="AR3138">
            <v>0</v>
          </cell>
          <cell r="AS3138">
            <v>0</v>
          </cell>
          <cell r="BF3138" t="str">
            <v>8400</v>
          </cell>
          <cell r="BG3138" t="str">
            <v>N006</v>
          </cell>
          <cell r="BH3138" t="str">
            <v>GES</v>
          </cell>
        </row>
        <row r="3139">
          <cell r="K3139">
            <v>0</v>
          </cell>
          <cell r="L3139">
            <v>0</v>
          </cell>
          <cell r="N3139">
            <v>0</v>
          </cell>
          <cell r="O3139">
            <v>0</v>
          </cell>
          <cell r="Q3139">
            <v>0</v>
          </cell>
          <cell r="R3139">
            <v>0</v>
          </cell>
          <cell r="T3139">
            <v>0</v>
          </cell>
          <cell r="U3139">
            <v>0</v>
          </cell>
          <cell r="W3139">
            <v>0</v>
          </cell>
          <cell r="X3139">
            <v>0</v>
          </cell>
          <cell r="Z3139">
            <v>0</v>
          </cell>
          <cell r="AA3139">
            <v>0</v>
          </cell>
          <cell r="AC3139">
            <v>0</v>
          </cell>
          <cell r="AD3139">
            <v>0</v>
          </cell>
          <cell r="AF3139">
            <v>0</v>
          </cell>
          <cell r="AG3139">
            <v>0</v>
          </cell>
          <cell r="AI3139">
            <v>0</v>
          </cell>
          <cell r="AJ3139">
            <v>0</v>
          </cell>
          <cell r="AL3139">
            <v>0</v>
          </cell>
          <cell r="AM3139">
            <v>0</v>
          </cell>
          <cell r="AO3139">
            <v>0</v>
          </cell>
          <cell r="AP3139">
            <v>0</v>
          </cell>
          <cell r="AR3139">
            <v>0</v>
          </cell>
          <cell r="AS3139">
            <v>0</v>
          </cell>
          <cell r="BF3139" t="str">
            <v>8400</v>
          </cell>
          <cell r="BG3139" t="str">
            <v>N007</v>
          </cell>
          <cell r="BH3139" t="str">
            <v>GES</v>
          </cell>
        </row>
        <row r="3140">
          <cell r="K3140">
            <v>0</v>
          </cell>
          <cell r="L3140">
            <v>0</v>
          </cell>
          <cell r="N3140">
            <v>0</v>
          </cell>
          <cell r="O3140">
            <v>0</v>
          </cell>
          <cell r="Q3140">
            <v>0</v>
          </cell>
          <cell r="R3140">
            <v>0</v>
          </cell>
          <cell r="T3140">
            <v>0</v>
          </cell>
          <cell r="U3140">
            <v>0</v>
          </cell>
          <cell r="W3140">
            <v>0</v>
          </cell>
          <cell r="X3140">
            <v>0</v>
          </cell>
          <cell r="Z3140">
            <v>0</v>
          </cell>
          <cell r="AA3140">
            <v>0</v>
          </cell>
          <cell r="AC3140">
            <v>0</v>
          </cell>
          <cell r="AD3140">
            <v>0</v>
          </cell>
          <cell r="AF3140">
            <v>0</v>
          </cell>
          <cell r="AG3140">
            <v>0</v>
          </cell>
          <cell r="AI3140">
            <v>0</v>
          </cell>
          <cell r="AJ3140">
            <v>0</v>
          </cell>
          <cell r="AL3140">
            <v>0</v>
          </cell>
          <cell r="AM3140">
            <v>0</v>
          </cell>
          <cell r="AO3140">
            <v>0</v>
          </cell>
          <cell r="AP3140">
            <v>0</v>
          </cell>
          <cell r="AR3140">
            <v>0</v>
          </cell>
          <cell r="AS3140">
            <v>0</v>
          </cell>
          <cell r="BF3140" t="str">
            <v>8400</v>
          </cell>
          <cell r="BG3140" t="str">
            <v>N008</v>
          </cell>
          <cell r="BH3140" t="str">
            <v>GES</v>
          </cell>
        </row>
        <row r="3141">
          <cell r="K3141">
            <v>0</v>
          </cell>
          <cell r="L3141">
            <v>0</v>
          </cell>
          <cell r="N3141">
            <v>0</v>
          </cell>
          <cell r="O3141">
            <v>0</v>
          </cell>
          <cell r="Q3141">
            <v>0</v>
          </cell>
          <cell r="R3141">
            <v>0</v>
          </cell>
          <cell r="T3141">
            <v>0</v>
          </cell>
          <cell r="U3141">
            <v>0</v>
          </cell>
          <cell r="W3141">
            <v>0</v>
          </cell>
          <cell r="X3141">
            <v>0</v>
          </cell>
          <cell r="Z3141">
            <v>0</v>
          </cell>
          <cell r="AA3141">
            <v>0</v>
          </cell>
          <cell r="AC3141">
            <v>0</v>
          </cell>
          <cell r="AD3141">
            <v>0</v>
          </cell>
          <cell r="AF3141">
            <v>0</v>
          </cell>
          <cell r="AG3141">
            <v>0</v>
          </cell>
          <cell r="AI3141">
            <v>0</v>
          </cell>
          <cell r="AJ3141">
            <v>0</v>
          </cell>
          <cell r="AL3141">
            <v>0</v>
          </cell>
          <cell r="AM3141">
            <v>0</v>
          </cell>
          <cell r="AO3141">
            <v>0</v>
          </cell>
          <cell r="AP3141">
            <v>0</v>
          </cell>
          <cell r="AR3141">
            <v>0</v>
          </cell>
          <cell r="AS3141">
            <v>0</v>
          </cell>
          <cell r="BF3141" t="str">
            <v>8400</v>
          </cell>
          <cell r="BG3141" t="str">
            <v>N009</v>
          </cell>
          <cell r="BH3141" t="str">
            <v>GES</v>
          </cell>
        </row>
        <row r="3142">
          <cell r="K3142">
            <v>0</v>
          </cell>
          <cell r="L3142">
            <v>0</v>
          </cell>
          <cell r="N3142">
            <v>0</v>
          </cell>
          <cell r="O3142">
            <v>0</v>
          </cell>
          <cell r="Q3142">
            <v>0</v>
          </cell>
          <cell r="R3142">
            <v>0</v>
          </cell>
          <cell r="T3142">
            <v>0</v>
          </cell>
          <cell r="U3142">
            <v>0</v>
          </cell>
          <cell r="W3142">
            <v>0</v>
          </cell>
          <cell r="X3142">
            <v>0</v>
          </cell>
          <cell r="Z3142">
            <v>0</v>
          </cell>
          <cell r="AA3142">
            <v>0</v>
          </cell>
          <cell r="AC3142">
            <v>0</v>
          </cell>
          <cell r="AD3142">
            <v>0</v>
          </cell>
          <cell r="AF3142">
            <v>0</v>
          </cell>
          <cell r="AG3142">
            <v>0</v>
          </cell>
          <cell r="AI3142">
            <v>0</v>
          </cell>
          <cell r="AJ3142">
            <v>0</v>
          </cell>
          <cell r="AL3142">
            <v>0</v>
          </cell>
          <cell r="AM3142">
            <v>0</v>
          </cell>
          <cell r="AO3142">
            <v>0</v>
          </cell>
          <cell r="AP3142">
            <v>0</v>
          </cell>
          <cell r="AR3142">
            <v>0</v>
          </cell>
          <cell r="AS3142">
            <v>0</v>
          </cell>
          <cell r="BF3142" t="str">
            <v>8400</v>
          </cell>
          <cell r="BG3142" t="str">
            <v>N010</v>
          </cell>
          <cell r="BH3142" t="str">
            <v>GES</v>
          </cell>
        </row>
        <row r="3143">
          <cell r="K3143">
            <v>0</v>
          </cell>
          <cell r="L3143">
            <v>0</v>
          </cell>
          <cell r="N3143">
            <v>0</v>
          </cell>
          <cell r="O3143">
            <v>0</v>
          </cell>
          <cell r="Q3143">
            <v>0</v>
          </cell>
          <cell r="R3143">
            <v>0</v>
          </cell>
          <cell r="T3143">
            <v>0</v>
          </cell>
          <cell r="U3143">
            <v>0</v>
          </cell>
          <cell r="W3143">
            <v>0</v>
          </cell>
          <cell r="X3143">
            <v>0</v>
          </cell>
          <cell r="Z3143">
            <v>0</v>
          </cell>
          <cell r="AA3143">
            <v>0</v>
          </cell>
          <cell r="AC3143">
            <v>0</v>
          </cell>
          <cell r="AD3143">
            <v>0</v>
          </cell>
          <cell r="AF3143">
            <v>0</v>
          </cell>
          <cell r="AG3143">
            <v>0</v>
          </cell>
          <cell r="AI3143">
            <v>0</v>
          </cell>
          <cell r="AJ3143">
            <v>0</v>
          </cell>
          <cell r="AL3143">
            <v>0</v>
          </cell>
          <cell r="AM3143">
            <v>0</v>
          </cell>
          <cell r="AO3143">
            <v>0</v>
          </cell>
          <cell r="AP3143">
            <v>0</v>
          </cell>
          <cell r="AR3143">
            <v>0</v>
          </cell>
          <cell r="AS3143">
            <v>0</v>
          </cell>
          <cell r="BF3143" t="str">
            <v>8400</v>
          </cell>
          <cell r="BG3143" t="str">
            <v>N011</v>
          </cell>
          <cell r="BH3143" t="str">
            <v>GES</v>
          </cell>
        </row>
        <row r="3144">
          <cell r="K3144">
            <v>0</v>
          </cell>
          <cell r="L3144">
            <v>0</v>
          </cell>
          <cell r="N3144">
            <v>0</v>
          </cell>
          <cell r="O3144">
            <v>0</v>
          </cell>
          <cell r="Q3144">
            <v>0</v>
          </cell>
          <cell r="R3144">
            <v>0</v>
          </cell>
          <cell r="T3144">
            <v>0</v>
          </cell>
          <cell r="U3144">
            <v>0</v>
          </cell>
          <cell r="W3144">
            <v>0</v>
          </cell>
          <cell r="X3144">
            <v>0</v>
          </cell>
          <cell r="Z3144">
            <v>0</v>
          </cell>
          <cell r="AA3144">
            <v>0</v>
          </cell>
          <cell r="AC3144">
            <v>0</v>
          </cell>
          <cell r="AD3144">
            <v>0</v>
          </cell>
          <cell r="AF3144">
            <v>0</v>
          </cell>
          <cell r="AG3144">
            <v>0</v>
          </cell>
          <cell r="AI3144">
            <v>0</v>
          </cell>
          <cell r="AJ3144">
            <v>0</v>
          </cell>
          <cell r="AL3144">
            <v>0</v>
          </cell>
          <cell r="AM3144">
            <v>0</v>
          </cell>
          <cell r="AO3144">
            <v>0</v>
          </cell>
          <cell r="AP3144">
            <v>0</v>
          </cell>
          <cell r="AR3144">
            <v>0</v>
          </cell>
          <cell r="AS3144">
            <v>0</v>
          </cell>
          <cell r="BF3144" t="str">
            <v>8400</v>
          </cell>
          <cell r="BG3144" t="str">
            <v>N012</v>
          </cell>
          <cell r="BH3144" t="str">
            <v>GES</v>
          </cell>
        </row>
        <row r="3145">
          <cell r="K3145">
            <v>0</v>
          </cell>
          <cell r="L3145">
            <v>0</v>
          </cell>
          <cell r="N3145">
            <v>0</v>
          </cell>
          <cell r="O3145">
            <v>0</v>
          </cell>
          <cell r="Q3145">
            <v>0</v>
          </cell>
          <cell r="R3145">
            <v>0</v>
          </cell>
          <cell r="T3145">
            <v>0</v>
          </cell>
          <cell r="U3145">
            <v>0</v>
          </cell>
          <cell r="W3145">
            <v>0</v>
          </cell>
          <cell r="X3145">
            <v>0</v>
          </cell>
          <cell r="Z3145">
            <v>0</v>
          </cell>
          <cell r="AA3145">
            <v>0</v>
          </cell>
          <cell r="AC3145">
            <v>0</v>
          </cell>
          <cell r="AD3145">
            <v>0</v>
          </cell>
          <cell r="AF3145">
            <v>0</v>
          </cell>
          <cell r="AG3145">
            <v>0</v>
          </cell>
          <cell r="AI3145">
            <v>0</v>
          </cell>
          <cell r="AJ3145">
            <v>0</v>
          </cell>
          <cell r="AL3145">
            <v>0</v>
          </cell>
          <cell r="AM3145">
            <v>0</v>
          </cell>
          <cell r="AO3145">
            <v>0</v>
          </cell>
          <cell r="AP3145">
            <v>0</v>
          </cell>
          <cell r="AR3145">
            <v>0</v>
          </cell>
          <cell r="AS3145">
            <v>0</v>
          </cell>
          <cell r="BF3145" t="str">
            <v>8400</v>
          </cell>
          <cell r="BG3145" t="str">
            <v>N013</v>
          </cell>
          <cell r="BH3145" t="str">
            <v>GES</v>
          </cell>
        </row>
        <row r="3146">
          <cell r="K3146">
            <v>0</v>
          </cell>
          <cell r="L3146">
            <v>0</v>
          </cell>
          <cell r="N3146">
            <v>0</v>
          </cell>
          <cell r="O3146">
            <v>0</v>
          </cell>
          <cell r="Q3146">
            <v>0</v>
          </cell>
          <cell r="R3146">
            <v>0</v>
          </cell>
          <cell r="T3146">
            <v>0</v>
          </cell>
          <cell r="U3146">
            <v>0</v>
          </cell>
          <cell r="W3146">
            <v>0</v>
          </cell>
          <cell r="X3146">
            <v>0</v>
          </cell>
          <cell r="Z3146">
            <v>0</v>
          </cell>
          <cell r="AA3146">
            <v>0</v>
          </cell>
          <cell r="AC3146">
            <v>0</v>
          </cell>
          <cell r="AD3146">
            <v>0</v>
          </cell>
          <cell r="AF3146">
            <v>0</v>
          </cell>
          <cell r="AG3146">
            <v>0</v>
          </cell>
          <cell r="AI3146">
            <v>0</v>
          </cell>
          <cell r="AJ3146">
            <v>0</v>
          </cell>
          <cell r="AL3146">
            <v>0</v>
          </cell>
          <cell r="AM3146">
            <v>0</v>
          </cell>
          <cell r="AO3146">
            <v>0</v>
          </cell>
          <cell r="AP3146">
            <v>0</v>
          </cell>
          <cell r="AR3146">
            <v>0</v>
          </cell>
          <cell r="AS3146">
            <v>0</v>
          </cell>
          <cell r="BF3146" t="str">
            <v>8400</v>
          </cell>
          <cell r="BG3146" t="str">
            <v>N014</v>
          </cell>
          <cell r="BH3146" t="str">
            <v>GES</v>
          </cell>
        </row>
        <row r="3147">
          <cell r="K3147">
            <v>0</v>
          </cell>
          <cell r="L3147">
            <v>0</v>
          </cell>
          <cell r="N3147">
            <v>0</v>
          </cell>
          <cell r="O3147">
            <v>0</v>
          </cell>
          <cell r="Q3147">
            <v>0</v>
          </cell>
          <cell r="R3147">
            <v>0</v>
          </cell>
          <cell r="T3147">
            <v>0</v>
          </cell>
          <cell r="U3147">
            <v>0</v>
          </cell>
          <cell r="W3147">
            <v>0</v>
          </cell>
          <cell r="X3147">
            <v>0</v>
          </cell>
          <cell r="Z3147">
            <v>0</v>
          </cell>
          <cell r="AA3147">
            <v>0</v>
          </cell>
          <cell r="AC3147">
            <v>0</v>
          </cell>
          <cell r="AD3147">
            <v>0</v>
          </cell>
          <cell r="AF3147">
            <v>0</v>
          </cell>
          <cell r="AG3147">
            <v>0</v>
          </cell>
          <cell r="AI3147">
            <v>0</v>
          </cell>
          <cell r="AJ3147">
            <v>0</v>
          </cell>
          <cell r="AL3147">
            <v>0</v>
          </cell>
          <cell r="AM3147">
            <v>0</v>
          </cell>
          <cell r="AO3147">
            <v>0</v>
          </cell>
          <cell r="AP3147">
            <v>0</v>
          </cell>
          <cell r="AR3147">
            <v>0</v>
          </cell>
          <cell r="AS3147">
            <v>0</v>
          </cell>
          <cell r="BF3147" t="str">
            <v>8400</v>
          </cell>
          <cell r="BG3147" t="str">
            <v>N015</v>
          </cell>
          <cell r="BH3147" t="str">
            <v>GES</v>
          </cell>
        </row>
        <row r="3148">
          <cell r="K3148">
            <v>0</v>
          </cell>
          <cell r="L3148">
            <v>0</v>
          </cell>
          <cell r="N3148">
            <v>0</v>
          </cell>
          <cell r="O3148">
            <v>0</v>
          </cell>
          <cell r="Q3148">
            <v>0</v>
          </cell>
          <cell r="R3148">
            <v>0</v>
          </cell>
          <cell r="T3148">
            <v>0</v>
          </cell>
          <cell r="U3148">
            <v>0</v>
          </cell>
          <cell r="W3148">
            <v>0</v>
          </cell>
          <cell r="X3148">
            <v>0</v>
          </cell>
          <cell r="Z3148">
            <v>0</v>
          </cell>
          <cell r="AA3148">
            <v>0</v>
          </cell>
          <cell r="AC3148">
            <v>0</v>
          </cell>
          <cell r="AD3148">
            <v>0</v>
          </cell>
          <cell r="AF3148">
            <v>0</v>
          </cell>
          <cell r="AG3148">
            <v>0</v>
          </cell>
          <cell r="AI3148">
            <v>0</v>
          </cell>
          <cell r="AJ3148">
            <v>0</v>
          </cell>
          <cell r="AL3148">
            <v>0</v>
          </cell>
          <cell r="AM3148">
            <v>0</v>
          </cell>
          <cell r="AO3148">
            <v>0</v>
          </cell>
          <cell r="AP3148">
            <v>0</v>
          </cell>
          <cell r="AR3148">
            <v>0</v>
          </cell>
          <cell r="AS3148">
            <v>0</v>
          </cell>
          <cell r="BF3148" t="str">
            <v>8400</v>
          </cell>
          <cell r="BG3148" t="str">
            <v>N999</v>
          </cell>
          <cell r="BH3148" t="str">
            <v>GES</v>
          </cell>
        </row>
        <row r="3149">
          <cell r="K3149">
            <v>0</v>
          </cell>
          <cell r="L3149">
            <v>0</v>
          </cell>
          <cell r="N3149">
            <v>0</v>
          </cell>
          <cell r="O3149">
            <v>0</v>
          </cell>
          <cell r="Q3149">
            <v>0</v>
          </cell>
          <cell r="R3149">
            <v>0</v>
          </cell>
          <cell r="T3149">
            <v>0</v>
          </cell>
          <cell r="U3149">
            <v>0</v>
          </cell>
          <cell r="W3149">
            <v>0</v>
          </cell>
          <cell r="X3149">
            <v>0</v>
          </cell>
          <cell r="Z3149">
            <v>0</v>
          </cell>
          <cell r="AA3149">
            <v>0</v>
          </cell>
          <cell r="AC3149">
            <v>0</v>
          </cell>
          <cell r="AD3149">
            <v>0</v>
          </cell>
          <cell r="AF3149">
            <v>0</v>
          </cell>
          <cell r="AG3149">
            <v>0</v>
          </cell>
          <cell r="AI3149">
            <v>0</v>
          </cell>
          <cell r="AJ3149">
            <v>0</v>
          </cell>
          <cell r="AL3149">
            <v>0</v>
          </cell>
          <cell r="AM3149">
            <v>0</v>
          </cell>
          <cell r="AO3149">
            <v>0</v>
          </cell>
          <cell r="AP3149">
            <v>0</v>
          </cell>
          <cell r="AR3149">
            <v>0</v>
          </cell>
          <cell r="AS3149">
            <v>0</v>
          </cell>
          <cell r="BF3149" t="str">
            <v>8420</v>
          </cell>
          <cell r="BG3149" t="str">
            <v>Z000</v>
          </cell>
          <cell r="BH3149" t="str">
            <v>GES</v>
          </cell>
        </row>
        <row r="3150">
          <cell r="K3150">
            <v>0</v>
          </cell>
          <cell r="L3150">
            <v>0</v>
          </cell>
          <cell r="N3150">
            <v>0</v>
          </cell>
          <cell r="O3150">
            <v>0</v>
          </cell>
          <cell r="Q3150">
            <v>0</v>
          </cell>
          <cell r="R3150">
            <v>0</v>
          </cell>
          <cell r="T3150">
            <v>0</v>
          </cell>
          <cell r="U3150">
            <v>0</v>
          </cell>
          <cell r="W3150">
            <v>0</v>
          </cell>
          <cell r="X3150">
            <v>0</v>
          </cell>
          <cell r="Z3150">
            <v>0</v>
          </cell>
          <cell r="AA3150">
            <v>0</v>
          </cell>
          <cell r="AC3150">
            <v>0</v>
          </cell>
          <cell r="AD3150">
            <v>0</v>
          </cell>
          <cell r="AF3150">
            <v>0</v>
          </cell>
          <cell r="AG3150">
            <v>0</v>
          </cell>
          <cell r="AI3150">
            <v>0</v>
          </cell>
          <cell r="AJ3150">
            <v>0</v>
          </cell>
          <cell r="AL3150">
            <v>0</v>
          </cell>
          <cell r="AM3150">
            <v>0</v>
          </cell>
          <cell r="AO3150">
            <v>0</v>
          </cell>
          <cell r="AP3150">
            <v>0</v>
          </cell>
          <cell r="AR3150">
            <v>0</v>
          </cell>
          <cell r="AS3150">
            <v>0</v>
          </cell>
          <cell r="BF3150" t="str">
            <v>8500</v>
          </cell>
          <cell r="BG3150" t="str">
            <v>O101</v>
          </cell>
          <cell r="BH3150" t="str">
            <v>GES</v>
          </cell>
        </row>
        <row r="3151">
          <cell r="K3151">
            <v>0</v>
          </cell>
          <cell r="L3151">
            <v>0</v>
          </cell>
          <cell r="N3151">
            <v>0</v>
          </cell>
          <cell r="O3151">
            <v>0</v>
          </cell>
          <cell r="Q3151">
            <v>0</v>
          </cell>
          <cell r="R3151">
            <v>0</v>
          </cell>
          <cell r="T3151">
            <v>0</v>
          </cell>
          <cell r="U3151">
            <v>0</v>
          </cell>
          <cell r="W3151">
            <v>0</v>
          </cell>
          <cell r="X3151">
            <v>0</v>
          </cell>
          <cell r="Z3151">
            <v>0</v>
          </cell>
          <cell r="AA3151">
            <v>0</v>
          </cell>
          <cell r="AC3151">
            <v>0</v>
          </cell>
          <cell r="AD3151">
            <v>0</v>
          </cell>
          <cell r="AF3151">
            <v>0</v>
          </cell>
          <cell r="AG3151">
            <v>0</v>
          </cell>
          <cell r="AI3151">
            <v>0</v>
          </cell>
          <cell r="AJ3151">
            <v>0</v>
          </cell>
          <cell r="AL3151">
            <v>0</v>
          </cell>
          <cell r="AM3151">
            <v>0</v>
          </cell>
          <cell r="AO3151">
            <v>0</v>
          </cell>
          <cell r="AP3151">
            <v>0</v>
          </cell>
          <cell r="AR3151">
            <v>0</v>
          </cell>
          <cell r="AS3151">
            <v>0</v>
          </cell>
          <cell r="BF3151" t="str">
            <v>8500</v>
          </cell>
          <cell r="BG3151" t="str">
            <v>O102</v>
          </cell>
          <cell r="BH3151" t="str">
            <v>GES</v>
          </cell>
        </row>
        <row r="3152">
          <cell r="K3152">
            <v>0</v>
          </cell>
          <cell r="L3152">
            <v>0</v>
          </cell>
          <cell r="N3152">
            <v>0</v>
          </cell>
          <cell r="O3152">
            <v>0</v>
          </cell>
          <cell r="Q3152">
            <v>0</v>
          </cell>
          <cell r="R3152">
            <v>0</v>
          </cell>
          <cell r="T3152">
            <v>0</v>
          </cell>
          <cell r="U3152">
            <v>0</v>
          </cell>
          <cell r="W3152">
            <v>0</v>
          </cell>
          <cell r="X3152">
            <v>0</v>
          </cell>
          <cell r="Z3152">
            <v>0</v>
          </cell>
          <cell r="AA3152">
            <v>0</v>
          </cell>
          <cell r="AC3152">
            <v>0</v>
          </cell>
          <cell r="AD3152">
            <v>0</v>
          </cell>
          <cell r="AF3152">
            <v>0</v>
          </cell>
          <cell r="AG3152">
            <v>0</v>
          </cell>
          <cell r="AI3152">
            <v>0</v>
          </cell>
          <cell r="AJ3152">
            <v>0</v>
          </cell>
          <cell r="AL3152">
            <v>0</v>
          </cell>
          <cell r="AM3152">
            <v>0</v>
          </cell>
          <cell r="AO3152">
            <v>0</v>
          </cell>
          <cell r="AP3152">
            <v>0</v>
          </cell>
          <cell r="AR3152">
            <v>0</v>
          </cell>
          <cell r="AS3152">
            <v>0</v>
          </cell>
          <cell r="BF3152" t="str">
            <v>8600</v>
          </cell>
          <cell r="BG3152" t="str">
            <v>P201</v>
          </cell>
          <cell r="BH3152" t="str">
            <v>GES</v>
          </cell>
        </row>
        <row r="3153">
          <cell r="K3153">
            <v>0</v>
          </cell>
          <cell r="L3153">
            <v>0</v>
          </cell>
          <cell r="N3153">
            <v>0</v>
          </cell>
          <cell r="O3153">
            <v>0</v>
          </cell>
          <cell r="Q3153">
            <v>0</v>
          </cell>
          <cell r="R3153">
            <v>0</v>
          </cell>
          <cell r="T3153">
            <v>0</v>
          </cell>
          <cell r="U3153">
            <v>0</v>
          </cell>
          <cell r="W3153">
            <v>0</v>
          </cell>
          <cell r="X3153">
            <v>0</v>
          </cell>
          <cell r="Z3153">
            <v>0</v>
          </cell>
          <cell r="AA3153">
            <v>0</v>
          </cell>
          <cell r="AC3153">
            <v>0</v>
          </cell>
          <cell r="AD3153">
            <v>0</v>
          </cell>
          <cell r="AF3153">
            <v>0</v>
          </cell>
          <cell r="AG3153">
            <v>0</v>
          </cell>
          <cell r="AI3153">
            <v>0</v>
          </cell>
          <cell r="AJ3153">
            <v>0</v>
          </cell>
          <cell r="AL3153">
            <v>0</v>
          </cell>
          <cell r="AM3153">
            <v>0</v>
          </cell>
          <cell r="AO3153">
            <v>0</v>
          </cell>
          <cell r="AP3153">
            <v>0</v>
          </cell>
          <cell r="AR3153">
            <v>0</v>
          </cell>
          <cell r="AS3153">
            <v>0</v>
          </cell>
          <cell r="BF3153" t="str">
            <v>8600</v>
          </cell>
          <cell r="BG3153" t="str">
            <v>P202</v>
          </cell>
          <cell r="BH3153" t="str">
            <v>GES</v>
          </cell>
        </row>
        <row r="3154">
          <cell r="K3154">
            <v>0</v>
          </cell>
          <cell r="L3154">
            <v>0</v>
          </cell>
          <cell r="N3154">
            <v>0</v>
          </cell>
          <cell r="O3154">
            <v>0</v>
          </cell>
          <cell r="Q3154">
            <v>0</v>
          </cell>
          <cell r="R3154">
            <v>0</v>
          </cell>
          <cell r="T3154">
            <v>0</v>
          </cell>
          <cell r="U3154">
            <v>0</v>
          </cell>
          <cell r="W3154">
            <v>0</v>
          </cell>
          <cell r="X3154">
            <v>0</v>
          </cell>
          <cell r="Z3154">
            <v>0</v>
          </cell>
          <cell r="AA3154">
            <v>0</v>
          </cell>
          <cell r="AC3154">
            <v>0</v>
          </cell>
          <cell r="AD3154">
            <v>0</v>
          </cell>
          <cell r="AF3154">
            <v>0</v>
          </cell>
          <cell r="AG3154">
            <v>0</v>
          </cell>
          <cell r="AI3154">
            <v>0</v>
          </cell>
          <cell r="AJ3154">
            <v>0</v>
          </cell>
          <cell r="AL3154">
            <v>0</v>
          </cell>
          <cell r="AM3154">
            <v>0</v>
          </cell>
          <cell r="AO3154">
            <v>0</v>
          </cell>
          <cell r="AP3154">
            <v>0</v>
          </cell>
          <cell r="AR3154">
            <v>0</v>
          </cell>
          <cell r="AS3154">
            <v>0</v>
          </cell>
          <cell r="BF3154" t="str">
            <v>8600</v>
          </cell>
          <cell r="BG3154" t="str">
            <v>P203</v>
          </cell>
          <cell r="BH3154" t="str">
            <v>GES</v>
          </cell>
        </row>
        <row r="3155">
          <cell r="K3155">
            <v>0</v>
          </cell>
          <cell r="L3155">
            <v>0</v>
          </cell>
          <cell r="N3155">
            <v>0</v>
          </cell>
          <cell r="O3155">
            <v>0</v>
          </cell>
          <cell r="Q3155">
            <v>0</v>
          </cell>
          <cell r="R3155">
            <v>0</v>
          </cell>
          <cell r="T3155">
            <v>0</v>
          </cell>
          <cell r="U3155">
            <v>0</v>
          </cell>
          <cell r="W3155">
            <v>0</v>
          </cell>
          <cell r="X3155">
            <v>0</v>
          </cell>
          <cell r="Z3155">
            <v>0</v>
          </cell>
          <cell r="AA3155">
            <v>0</v>
          </cell>
          <cell r="AC3155">
            <v>0</v>
          </cell>
          <cell r="AD3155">
            <v>0</v>
          </cell>
          <cell r="AF3155">
            <v>0</v>
          </cell>
          <cell r="AG3155">
            <v>0</v>
          </cell>
          <cell r="AI3155">
            <v>0</v>
          </cell>
          <cell r="AJ3155">
            <v>0</v>
          </cell>
          <cell r="AL3155">
            <v>0</v>
          </cell>
          <cell r="AM3155">
            <v>0</v>
          </cell>
          <cell r="AO3155">
            <v>0</v>
          </cell>
          <cell r="AP3155">
            <v>0</v>
          </cell>
          <cell r="AR3155">
            <v>0</v>
          </cell>
          <cell r="AS3155">
            <v>0</v>
          </cell>
          <cell r="BF3155" t="str">
            <v>8600</v>
          </cell>
          <cell r="BG3155" t="str">
            <v>P204</v>
          </cell>
          <cell r="BH3155" t="str">
            <v>GES</v>
          </cell>
        </row>
        <row r="3156">
          <cell r="K3156">
            <v>0</v>
          </cell>
          <cell r="L3156">
            <v>0</v>
          </cell>
          <cell r="N3156">
            <v>0</v>
          </cell>
          <cell r="O3156">
            <v>0</v>
          </cell>
          <cell r="Q3156">
            <v>0</v>
          </cell>
          <cell r="R3156">
            <v>0</v>
          </cell>
          <cell r="T3156">
            <v>0</v>
          </cell>
          <cell r="U3156">
            <v>0</v>
          </cell>
          <cell r="W3156">
            <v>0</v>
          </cell>
          <cell r="X3156">
            <v>0</v>
          </cell>
          <cell r="Z3156">
            <v>0</v>
          </cell>
          <cell r="AA3156">
            <v>0</v>
          </cell>
          <cell r="AC3156">
            <v>0</v>
          </cell>
          <cell r="AD3156">
            <v>0</v>
          </cell>
          <cell r="AF3156">
            <v>0</v>
          </cell>
          <cell r="AG3156">
            <v>0</v>
          </cell>
          <cell r="AI3156">
            <v>0</v>
          </cell>
          <cell r="AJ3156">
            <v>0</v>
          </cell>
          <cell r="AL3156">
            <v>0</v>
          </cell>
          <cell r="AM3156">
            <v>0</v>
          </cell>
          <cell r="AO3156">
            <v>0</v>
          </cell>
          <cell r="AP3156">
            <v>0</v>
          </cell>
          <cell r="AR3156">
            <v>0</v>
          </cell>
          <cell r="AS3156">
            <v>0</v>
          </cell>
          <cell r="BF3156" t="str">
            <v>8600</v>
          </cell>
          <cell r="BG3156" t="str">
            <v>P205</v>
          </cell>
          <cell r="BH3156" t="str">
            <v>GES</v>
          </cell>
        </row>
        <row r="3157">
          <cell r="K3157">
            <v>0</v>
          </cell>
          <cell r="L3157">
            <v>0</v>
          </cell>
          <cell r="N3157">
            <v>0</v>
          </cell>
          <cell r="O3157">
            <v>0</v>
          </cell>
          <cell r="Q3157">
            <v>0</v>
          </cell>
          <cell r="R3157">
            <v>0</v>
          </cell>
          <cell r="T3157">
            <v>0</v>
          </cell>
          <cell r="U3157">
            <v>0</v>
          </cell>
          <cell r="W3157">
            <v>0</v>
          </cell>
          <cell r="X3157">
            <v>0</v>
          </cell>
          <cell r="Z3157">
            <v>0</v>
          </cell>
          <cell r="AA3157">
            <v>0</v>
          </cell>
          <cell r="AC3157">
            <v>0</v>
          </cell>
          <cell r="AD3157">
            <v>0</v>
          </cell>
          <cell r="AF3157">
            <v>0</v>
          </cell>
          <cell r="AG3157">
            <v>0</v>
          </cell>
          <cell r="AI3157">
            <v>0</v>
          </cell>
          <cell r="AJ3157">
            <v>0</v>
          </cell>
          <cell r="AL3157">
            <v>0</v>
          </cell>
          <cell r="AM3157">
            <v>0</v>
          </cell>
          <cell r="AO3157">
            <v>0</v>
          </cell>
          <cell r="AP3157">
            <v>0</v>
          </cell>
          <cell r="AR3157">
            <v>0</v>
          </cell>
          <cell r="AS3157">
            <v>0</v>
          </cell>
          <cell r="BF3157" t="str">
            <v>8600</v>
          </cell>
          <cell r="BG3157" t="str">
            <v>P206</v>
          </cell>
          <cell r="BH3157" t="str">
            <v>GES</v>
          </cell>
        </row>
        <row r="3158">
          <cell r="K3158">
            <v>0</v>
          </cell>
          <cell r="L3158">
            <v>0</v>
          </cell>
          <cell r="N3158">
            <v>0</v>
          </cell>
          <cell r="O3158">
            <v>0</v>
          </cell>
          <cell r="Q3158">
            <v>0</v>
          </cell>
          <cell r="R3158">
            <v>0</v>
          </cell>
          <cell r="T3158">
            <v>0</v>
          </cell>
          <cell r="U3158">
            <v>0</v>
          </cell>
          <cell r="W3158">
            <v>0</v>
          </cell>
          <cell r="X3158">
            <v>0</v>
          </cell>
          <cell r="Z3158">
            <v>0</v>
          </cell>
          <cell r="AA3158">
            <v>0</v>
          </cell>
          <cell r="AC3158">
            <v>0</v>
          </cell>
          <cell r="AD3158">
            <v>0</v>
          </cell>
          <cell r="AF3158">
            <v>0</v>
          </cell>
          <cell r="AG3158">
            <v>0</v>
          </cell>
          <cell r="AI3158">
            <v>0</v>
          </cell>
          <cell r="AJ3158">
            <v>0</v>
          </cell>
          <cell r="AL3158">
            <v>0</v>
          </cell>
          <cell r="AM3158">
            <v>0</v>
          </cell>
          <cell r="AO3158">
            <v>0</v>
          </cell>
          <cell r="AP3158">
            <v>0</v>
          </cell>
          <cell r="AR3158">
            <v>0</v>
          </cell>
          <cell r="AS3158">
            <v>0</v>
          </cell>
          <cell r="BF3158" t="str">
            <v>8600</v>
          </cell>
          <cell r="BG3158" t="str">
            <v>P207</v>
          </cell>
          <cell r="BH3158" t="str">
            <v>GES</v>
          </cell>
        </row>
        <row r="3159">
          <cell r="K3159">
            <v>0</v>
          </cell>
          <cell r="L3159">
            <v>0</v>
          </cell>
          <cell r="N3159">
            <v>0</v>
          </cell>
          <cell r="O3159">
            <v>0</v>
          </cell>
          <cell r="Q3159">
            <v>0</v>
          </cell>
          <cell r="R3159">
            <v>0</v>
          </cell>
          <cell r="T3159">
            <v>0</v>
          </cell>
          <cell r="U3159">
            <v>0</v>
          </cell>
          <cell r="W3159">
            <v>0</v>
          </cell>
          <cell r="X3159">
            <v>0</v>
          </cell>
          <cell r="Z3159">
            <v>0</v>
          </cell>
          <cell r="AA3159">
            <v>0</v>
          </cell>
          <cell r="AC3159">
            <v>0</v>
          </cell>
          <cell r="AD3159">
            <v>0</v>
          </cell>
          <cell r="AF3159">
            <v>0</v>
          </cell>
          <cell r="AG3159">
            <v>0</v>
          </cell>
          <cell r="AI3159">
            <v>0</v>
          </cell>
          <cell r="AJ3159">
            <v>0</v>
          </cell>
          <cell r="AL3159">
            <v>0</v>
          </cell>
          <cell r="AM3159">
            <v>0</v>
          </cell>
          <cell r="AO3159">
            <v>0</v>
          </cell>
          <cell r="AP3159">
            <v>0</v>
          </cell>
          <cell r="AR3159">
            <v>0</v>
          </cell>
          <cell r="AS3159">
            <v>0</v>
          </cell>
          <cell r="BF3159" t="str">
            <v>8600</v>
          </cell>
          <cell r="BG3159" t="str">
            <v>P208</v>
          </cell>
          <cell r="BH3159" t="str">
            <v>GES</v>
          </cell>
        </row>
        <row r="3160">
          <cell r="K3160">
            <v>0</v>
          </cell>
          <cell r="L3160">
            <v>0</v>
          </cell>
          <cell r="N3160">
            <v>0</v>
          </cell>
          <cell r="O3160">
            <v>0</v>
          </cell>
          <cell r="Q3160">
            <v>0</v>
          </cell>
          <cell r="R3160">
            <v>0</v>
          </cell>
          <cell r="T3160">
            <v>0</v>
          </cell>
          <cell r="U3160">
            <v>0</v>
          </cell>
          <cell r="W3160">
            <v>0</v>
          </cell>
          <cell r="X3160">
            <v>0</v>
          </cell>
          <cell r="Z3160">
            <v>0</v>
          </cell>
          <cell r="AA3160">
            <v>0</v>
          </cell>
          <cell r="AC3160">
            <v>0</v>
          </cell>
          <cell r="AD3160">
            <v>0</v>
          </cell>
          <cell r="AF3160">
            <v>0</v>
          </cell>
          <cell r="AG3160">
            <v>0</v>
          </cell>
          <cell r="AI3160">
            <v>0</v>
          </cell>
          <cell r="AJ3160">
            <v>0</v>
          </cell>
          <cell r="AL3160">
            <v>0</v>
          </cell>
          <cell r="AM3160">
            <v>0</v>
          </cell>
          <cell r="AO3160">
            <v>0</v>
          </cell>
          <cell r="AP3160">
            <v>0</v>
          </cell>
          <cell r="AR3160">
            <v>0</v>
          </cell>
          <cell r="AS3160">
            <v>0</v>
          </cell>
          <cell r="BF3160" t="str">
            <v>8600</v>
          </cell>
          <cell r="BG3160" t="str">
            <v>P209</v>
          </cell>
          <cell r="BH3160" t="str">
            <v>GES</v>
          </cell>
        </row>
        <row r="3161">
          <cell r="K3161">
            <v>0</v>
          </cell>
          <cell r="L3161">
            <v>0</v>
          </cell>
          <cell r="N3161">
            <v>0</v>
          </cell>
          <cell r="O3161">
            <v>0</v>
          </cell>
          <cell r="Q3161">
            <v>0</v>
          </cell>
          <cell r="R3161">
            <v>0</v>
          </cell>
          <cell r="T3161">
            <v>0</v>
          </cell>
          <cell r="U3161">
            <v>0</v>
          </cell>
          <cell r="W3161">
            <v>0</v>
          </cell>
          <cell r="X3161">
            <v>0</v>
          </cell>
          <cell r="Z3161">
            <v>0</v>
          </cell>
          <cell r="AA3161">
            <v>0</v>
          </cell>
          <cell r="AC3161">
            <v>0</v>
          </cell>
          <cell r="AD3161">
            <v>0</v>
          </cell>
          <cell r="AF3161">
            <v>0</v>
          </cell>
          <cell r="AG3161">
            <v>0</v>
          </cell>
          <cell r="AI3161">
            <v>0</v>
          </cell>
          <cell r="AJ3161">
            <v>0</v>
          </cell>
          <cell r="AL3161">
            <v>0</v>
          </cell>
          <cell r="AM3161">
            <v>0</v>
          </cell>
          <cell r="AO3161">
            <v>0</v>
          </cell>
          <cell r="AP3161">
            <v>0</v>
          </cell>
          <cell r="AR3161">
            <v>0</v>
          </cell>
          <cell r="AS3161">
            <v>0</v>
          </cell>
          <cell r="BF3161" t="str">
            <v>8600</v>
          </cell>
          <cell r="BG3161" t="str">
            <v>P210</v>
          </cell>
          <cell r="BH3161" t="str">
            <v>GES</v>
          </cell>
        </row>
        <row r="3162">
          <cell r="K3162">
            <v>0</v>
          </cell>
          <cell r="L3162">
            <v>0</v>
          </cell>
          <cell r="N3162">
            <v>0</v>
          </cell>
          <cell r="O3162">
            <v>0</v>
          </cell>
          <cell r="Q3162">
            <v>0</v>
          </cell>
          <cell r="R3162">
            <v>0</v>
          </cell>
          <cell r="T3162">
            <v>0</v>
          </cell>
          <cell r="U3162">
            <v>0</v>
          </cell>
          <cell r="W3162">
            <v>0</v>
          </cell>
          <cell r="X3162">
            <v>0</v>
          </cell>
          <cell r="Z3162">
            <v>0</v>
          </cell>
          <cell r="AA3162">
            <v>0</v>
          </cell>
          <cell r="AC3162">
            <v>0</v>
          </cell>
          <cell r="AD3162">
            <v>0</v>
          </cell>
          <cell r="AF3162">
            <v>0</v>
          </cell>
          <cell r="AG3162">
            <v>0</v>
          </cell>
          <cell r="AI3162">
            <v>0</v>
          </cell>
          <cell r="AJ3162">
            <v>0</v>
          </cell>
          <cell r="AL3162">
            <v>0</v>
          </cell>
          <cell r="AM3162">
            <v>0</v>
          </cell>
          <cell r="AO3162">
            <v>0</v>
          </cell>
          <cell r="AP3162">
            <v>0</v>
          </cell>
          <cell r="AR3162">
            <v>0</v>
          </cell>
          <cell r="AS3162">
            <v>0</v>
          </cell>
          <cell r="BF3162" t="str">
            <v>8600</v>
          </cell>
          <cell r="BG3162" t="str">
            <v>P211</v>
          </cell>
          <cell r="BH3162" t="str">
            <v>GES</v>
          </cell>
        </row>
        <row r="3163">
          <cell r="K3163">
            <v>0</v>
          </cell>
          <cell r="L3163">
            <v>0</v>
          </cell>
          <cell r="N3163">
            <v>0</v>
          </cell>
          <cell r="O3163">
            <v>0</v>
          </cell>
          <cell r="Q3163">
            <v>0</v>
          </cell>
          <cell r="R3163">
            <v>0</v>
          </cell>
          <cell r="T3163">
            <v>0</v>
          </cell>
          <cell r="U3163">
            <v>0</v>
          </cell>
          <cell r="W3163">
            <v>0</v>
          </cell>
          <cell r="X3163">
            <v>0</v>
          </cell>
          <cell r="Z3163">
            <v>0</v>
          </cell>
          <cell r="AA3163">
            <v>0</v>
          </cell>
          <cell r="AC3163">
            <v>0</v>
          </cell>
          <cell r="AD3163">
            <v>0</v>
          </cell>
          <cell r="AF3163">
            <v>0</v>
          </cell>
          <cell r="AG3163">
            <v>0</v>
          </cell>
          <cell r="AI3163">
            <v>0</v>
          </cell>
          <cell r="AJ3163">
            <v>0</v>
          </cell>
          <cell r="AL3163">
            <v>0</v>
          </cell>
          <cell r="AM3163">
            <v>0</v>
          </cell>
          <cell r="AO3163">
            <v>0</v>
          </cell>
          <cell r="AP3163">
            <v>0</v>
          </cell>
          <cell r="AR3163">
            <v>0</v>
          </cell>
          <cell r="AS3163">
            <v>0</v>
          </cell>
          <cell r="BF3163" t="str">
            <v>9000</v>
          </cell>
          <cell r="BG3163" t="str">
            <v>Q101</v>
          </cell>
          <cell r="BH3163" t="str">
            <v>GES</v>
          </cell>
        </row>
        <row r="3164">
          <cell r="K3164">
            <v>0</v>
          </cell>
          <cell r="L3164">
            <v>0</v>
          </cell>
          <cell r="N3164">
            <v>0</v>
          </cell>
          <cell r="O3164">
            <v>0</v>
          </cell>
          <cell r="Q3164">
            <v>0</v>
          </cell>
          <cell r="R3164">
            <v>0</v>
          </cell>
          <cell r="T3164">
            <v>0</v>
          </cell>
          <cell r="U3164">
            <v>0</v>
          </cell>
          <cell r="W3164">
            <v>0</v>
          </cell>
          <cell r="X3164">
            <v>0</v>
          </cell>
          <cell r="Z3164">
            <v>0</v>
          </cell>
          <cell r="AA3164">
            <v>0</v>
          </cell>
          <cell r="AC3164">
            <v>0</v>
          </cell>
          <cell r="AD3164">
            <v>0</v>
          </cell>
          <cell r="AF3164">
            <v>0</v>
          </cell>
          <cell r="AG3164">
            <v>0</v>
          </cell>
          <cell r="AI3164">
            <v>6981</v>
          </cell>
          <cell r="AJ3164">
            <v>0</v>
          </cell>
          <cell r="AL3164">
            <v>2000</v>
          </cell>
          <cell r="AM3164">
            <v>0</v>
          </cell>
          <cell r="AO3164">
            <v>2000</v>
          </cell>
          <cell r="AP3164">
            <v>0</v>
          </cell>
          <cell r="AR3164">
            <v>5898.510000000002</v>
          </cell>
          <cell r="AS3164">
            <v>0</v>
          </cell>
          <cell r="BF3164" t="str">
            <v>9000</v>
          </cell>
          <cell r="BG3164" t="str">
            <v>Z000</v>
          </cell>
          <cell r="BH3164" t="str">
            <v>GES</v>
          </cell>
        </row>
        <row r="3165">
          <cell r="K3165">
            <v>0</v>
          </cell>
          <cell r="L3165">
            <v>0</v>
          </cell>
          <cell r="N3165">
            <v>0</v>
          </cell>
          <cell r="O3165">
            <v>0</v>
          </cell>
          <cell r="Q3165">
            <v>0</v>
          </cell>
          <cell r="R3165">
            <v>0</v>
          </cell>
          <cell r="T3165">
            <v>0</v>
          </cell>
          <cell r="U3165">
            <v>0</v>
          </cell>
          <cell r="W3165">
            <v>0</v>
          </cell>
          <cell r="X3165">
            <v>0</v>
          </cell>
          <cell r="Z3165">
            <v>0</v>
          </cell>
          <cell r="AA3165">
            <v>0</v>
          </cell>
          <cell r="AC3165">
            <v>0</v>
          </cell>
          <cell r="AD3165">
            <v>0</v>
          </cell>
          <cell r="AF3165">
            <v>0</v>
          </cell>
          <cell r="AG3165">
            <v>0</v>
          </cell>
          <cell r="AI3165">
            <v>0</v>
          </cell>
          <cell r="AJ3165">
            <v>0</v>
          </cell>
          <cell r="AL3165">
            <v>0</v>
          </cell>
          <cell r="AM3165">
            <v>0</v>
          </cell>
          <cell r="AO3165">
            <v>0</v>
          </cell>
          <cell r="AP3165">
            <v>0</v>
          </cell>
          <cell r="AR3165">
            <v>0</v>
          </cell>
          <cell r="AS3165">
            <v>0</v>
          </cell>
          <cell r="BF3165" t="str">
            <v>9050</v>
          </cell>
          <cell r="BG3165" t="str">
            <v>Z000</v>
          </cell>
          <cell r="BH3165" t="str">
            <v>GES</v>
          </cell>
        </row>
        <row r="3166">
          <cell r="K3166">
            <v>0</v>
          </cell>
          <cell r="L3166">
            <v>0</v>
          </cell>
          <cell r="N3166">
            <v>0</v>
          </cell>
          <cell r="O3166">
            <v>0</v>
          </cell>
          <cell r="Q3166">
            <v>0</v>
          </cell>
          <cell r="R3166">
            <v>0</v>
          </cell>
          <cell r="T3166">
            <v>0</v>
          </cell>
          <cell r="U3166">
            <v>0</v>
          </cell>
          <cell r="W3166">
            <v>0</v>
          </cell>
          <cell r="X3166">
            <v>0</v>
          </cell>
          <cell r="Z3166">
            <v>0</v>
          </cell>
          <cell r="AA3166">
            <v>0</v>
          </cell>
          <cell r="AC3166">
            <v>0</v>
          </cell>
          <cell r="AD3166">
            <v>0</v>
          </cell>
          <cell r="AF3166">
            <v>0</v>
          </cell>
          <cell r="AG3166">
            <v>0</v>
          </cell>
          <cell r="AI3166">
            <v>0</v>
          </cell>
          <cell r="AJ3166">
            <v>0</v>
          </cell>
          <cell r="AL3166">
            <v>0</v>
          </cell>
          <cell r="AM3166">
            <v>0</v>
          </cell>
          <cell r="AO3166">
            <v>0</v>
          </cell>
          <cell r="AP3166">
            <v>0</v>
          </cell>
          <cell r="AR3166">
            <v>0</v>
          </cell>
          <cell r="AS3166">
            <v>0</v>
          </cell>
          <cell r="BF3166" t="str">
            <v>9051</v>
          </cell>
          <cell r="BG3166" t="str">
            <v>Z000</v>
          </cell>
          <cell r="BH3166" t="str">
            <v>GES</v>
          </cell>
        </row>
        <row r="3167">
          <cell r="K3167">
            <v>0</v>
          </cell>
          <cell r="L3167">
            <v>0</v>
          </cell>
          <cell r="N3167">
            <v>0</v>
          </cell>
          <cell r="O3167">
            <v>0</v>
          </cell>
          <cell r="Q3167">
            <v>0</v>
          </cell>
          <cell r="R3167">
            <v>0</v>
          </cell>
          <cell r="T3167">
            <v>0</v>
          </cell>
          <cell r="U3167">
            <v>0</v>
          </cell>
          <cell r="W3167">
            <v>0</v>
          </cell>
          <cell r="X3167">
            <v>0</v>
          </cell>
          <cell r="Z3167">
            <v>0</v>
          </cell>
          <cell r="AA3167">
            <v>0</v>
          </cell>
          <cell r="AC3167">
            <v>0</v>
          </cell>
          <cell r="AD3167">
            <v>0</v>
          </cell>
          <cell r="AF3167">
            <v>0</v>
          </cell>
          <cell r="AG3167">
            <v>0</v>
          </cell>
          <cell r="AI3167">
            <v>0</v>
          </cell>
          <cell r="AJ3167">
            <v>0</v>
          </cell>
          <cell r="AL3167">
            <v>0</v>
          </cell>
          <cell r="AM3167">
            <v>0</v>
          </cell>
          <cell r="AO3167">
            <v>0</v>
          </cell>
          <cell r="AP3167">
            <v>0</v>
          </cell>
          <cell r="AR3167">
            <v>0</v>
          </cell>
          <cell r="AS3167">
            <v>0</v>
          </cell>
          <cell r="BF3167" t="str">
            <v>9100</v>
          </cell>
          <cell r="BG3167" t="str">
            <v>Z000</v>
          </cell>
          <cell r="BH3167" t="str">
            <v>GES</v>
          </cell>
        </row>
        <row r="3168">
          <cell r="K3168">
            <v>0</v>
          </cell>
          <cell r="L3168">
            <v>0</v>
          </cell>
          <cell r="N3168">
            <v>0</v>
          </cell>
          <cell r="O3168">
            <v>0</v>
          </cell>
          <cell r="Q3168">
            <v>0</v>
          </cell>
          <cell r="R3168">
            <v>0</v>
          </cell>
          <cell r="T3168">
            <v>0</v>
          </cell>
          <cell r="U3168">
            <v>0</v>
          </cell>
          <cell r="W3168">
            <v>0</v>
          </cell>
          <cell r="X3168">
            <v>0</v>
          </cell>
          <cell r="Z3168">
            <v>0</v>
          </cell>
          <cell r="AA3168">
            <v>0</v>
          </cell>
          <cell r="AC3168">
            <v>0</v>
          </cell>
          <cell r="AD3168">
            <v>0</v>
          </cell>
          <cell r="AF3168">
            <v>0</v>
          </cell>
          <cell r="AG3168">
            <v>0</v>
          </cell>
          <cell r="AI3168">
            <v>0</v>
          </cell>
          <cell r="AJ3168">
            <v>0</v>
          </cell>
          <cell r="AL3168">
            <v>0</v>
          </cell>
          <cell r="AM3168">
            <v>0</v>
          </cell>
          <cell r="AO3168">
            <v>0</v>
          </cell>
          <cell r="AP3168">
            <v>0</v>
          </cell>
          <cell r="AR3168">
            <v>0</v>
          </cell>
          <cell r="AS3168">
            <v>0</v>
          </cell>
          <cell r="BF3168" t="str">
            <v>9200</v>
          </cell>
          <cell r="BG3168" t="str">
            <v>Q001</v>
          </cell>
          <cell r="BH3168" t="str">
            <v>GES</v>
          </cell>
        </row>
        <row r="3169">
          <cell r="K3169">
            <v>0</v>
          </cell>
          <cell r="L3169">
            <v>0</v>
          </cell>
          <cell r="N3169">
            <v>0</v>
          </cell>
          <cell r="O3169">
            <v>0</v>
          </cell>
          <cell r="Q3169">
            <v>0</v>
          </cell>
          <cell r="R3169">
            <v>0</v>
          </cell>
          <cell r="T3169">
            <v>0</v>
          </cell>
          <cell r="U3169">
            <v>0</v>
          </cell>
          <cell r="W3169">
            <v>0</v>
          </cell>
          <cell r="X3169">
            <v>0</v>
          </cell>
          <cell r="Z3169">
            <v>0</v>
          </cell>
          <cell r="AA3169">
            <v>0</v>
          </cell>
          <cell r="AC3169">
            <v>0</v>
          </cell>
          <cell r="AD3169">
            <v>0</v>
          </cell>
          <cell r="AF3169">
            <v>0</v>
          </cell>
          <cell r="AG3169">
            <v>0</v>
          </cell>
          <cell r="AI3169">
            <v>0</v>
          </cell>
          <cell r="AJ3169">
            <v>0</v>
          </cell>
          <cell r="AL3169">
            <v>0</v>
          </cell>
          <cell r="AM3169">
            <v>0</v>
          </cell>
          <cell r="AO3169">
            <v>0</v>
          </cell>
          <cell r="AP3169">
            <v>0</v>
          </cell>
          <cell r="AR3169">
            <v>0</v>
          </cell>
          <cell r="AS3169">
            <v>0</v>
          </cell>
          <cell r="BF3169" t="str">
            <v>9200</v>
          </cell>
          <cell r="BG3169" t="str">
            <v>Q002</v>
          </cell>
          <cell r="BH3169" t="str">
            <v>GES</v>
          </cell>
        </row>
        <row r="3170">
          <cell r="K3170">
            <v>0</v>
          </cell>
          <cell r="L3170">
            <v>0</v>
          </cell>
          <cell r="N3170">
            <v>0</v>
          </cell>
          <cell r="O3170">
            <v>0</v>
          </cell>
          <cell r="Q3170">
            <v>0</v>
          </cell>
          <cell r="R3170">
            <v>0</v>
          </cell>
          <cell r="T3170">
            <v>0</v>
          </cell>
          <cell r="U3170">
            <v>0</v>
          </cell>
          <cell r="W3170">
            <v>0</v>
          </cell>
          <cell r="X3170">
            <v>0</v>
          </cell>
          <cell r="Z3170">
            <v>0</v>
          </cell>
          <cell r="AA3170">
            <v>0</v>
          </cell>
          <cell r="AC3170">
            <v>0</v>
          </cell>
          <cell r="AD3170">
            <v>0</v>
          </cell>
          <cell r="AF3170">
            <v>0</v>
          </cell>
          <cell r="AG3170">
            <v>0</v>
          </cell>
          <cell r="AI3170">
            <v>0</v>
          </cell>
          <cell r="AJ3170">
            <v>0</v>
          </cell>
          <cell r="AL3170">
            <v>0</v>
          </cell>
          <cell r="AM3170">
            <v>0</v>
          </cell>
          <cell r="AO3170">
            <v>0</v>
          </cell>
          <cell r="AP3170">
            <v>0</v>
          </cell>
          <cell r="AR3170">
            <v>0</v>
          </cell>
          <cell r="AS3170">
            <v>0</v>
          </cell>
          <cell r="BF3170" t="str">
            <v>9200</v>
          </cell>
          <cell r="BG3170" t="str">
            <v>Q003</v>
          </cell>
          <cell r="BH3170" t="str">
            <v>GES</v>
          </cell>
        </row>
        <row r="3171">
          <cell r="K3171">
            <v>0</v>
          </cell>
          <cell r="L3171">
            <v>0</v>
          </cell>
          <cell r="N3171">
            <v>0</v>
          </cell>
          <cell r="O3171">
            <v>0</v>
          </cell>
          <cell r="Q3171">
            <v>0</v>
          </cell>
          <cell r="R3171">
            <v>0</v>
          </cell>
          <cell r="T3171">
            <v>0</v>
          </cell>
          <cell r="U3171">
            <v>0</v>
          </cell>
          <cell r="W3171">
            <v>0</v>
          </cell>
          <cell r="X3171">
            <v>0</v>
          </cell>
          <cell r="Z3171">
            <v>0</v>
          </cell>
          <cell r="AA3171">
            <v>0</v>
          </cell>
          <cell r="AC3171">
            <v>0</v>
          </cell>
          <cell r="AD3171">
            <v>0</v>
          </cell>
          <cell r="AF3171">
            <v>0</v>
          </cell>
          <cell r="AG3171">
            <v>0</v>
          </cell>
          <cell r="AI3171">
            <v>0</v>
          </cell>
          <cell r="AJ3171">
            <v>0</v>
          </cell>
          <cell r="AL3171">
            <v>0</v>
          </cell>
          <cell r="AM3171">
            <v>0</v>
          </cell>
          <cell r="AO3171">
            <v>0</v>
          </cell>
          <cell r="AP3171">
            <v>0</v>
          </cell>
          <cell r="AR3171">
            <v>0</v>
          </cell>
          <cell r="AS3171">
            <v>0</v>
          </cell>
          <cell r="BF3171" t="str">
            <v>9200</v>
          </cell>
          <cell r="BG3171" t="str">
            <v>Q004</v>
          </cell>
          <cell r="BH3171" t="str">
            <v>GES</v>
          </cell>
        </row>
        <row r="3172">
          <cell r="K3172">
            <v>0</v>
          </cell>
          <cell r="L3172">
            <v>0</v>
          </cell>
          <cell r="N3172">
            <v>0</v>
          </cell>
          <cell r="O3172">
            <v>0</v>
          </cell>
          <cell r="Q3172">
            <v>0</v>
          </cell>
          <cell r="R3172">
            <v>0</v>
          </cell>
          <cell r="T3172">
            <v>0</v>
          </cell>
          <cell r="U3172">
            <v>0</v>
          </cell>
          <cell r="W3172">
            <v>0</v>
          </cell>
          <cell r="X3172">
            <v>0</v>
          </cell>
          <cell r="Z3172">
            <v>0</v>
          </cell>
          <cell r="AA3172">
            <v>0</v>
          </cell>
          <cell r="AC3172">
            <v>0</v>
          </cell>
          <cell r="AD3172">
            <v>0</v>
          </cell>
          <cell r="AF3172">
            <v>0</v>
          </cell>
          <cell r="AG3172">
            <v>0</v>
          </cell>
          <cell r="AI3172">
            <v>0</v>
          </cell>
          <cell r="AJ3172">
            <v>0</v>
          </cell>
          <cell r="AL3172">
            <v>0</v>
          </cell>
          <cell r="AM3172">
            <v>0</v>
          </cell>
          <cell r="AO3172">
            <v>0</v>
          </cell>
          <cell r="AP3172">
            <v>0</v>
          </cell>
          <cell r="AR3172">
            <v>0</v>
          </cell>
          <cell r="AS3172">
            <v>0</v>
          </cell>
          <cell r="BF3172" t="str">
            <v>9200</v>
          </cell>
          <cell r="BG3172" t="str">
            <v>Q005</v>
          </cell>
          <cell r="BH3172" t="str">
            <v>GES</v>
          </cell>
        </row>
        <row r="3173">
          <cell r="K3173">
            <v>0</v>
          </cell>
          <cell r="L3173">
            <v>0</v>
          </cell>
          <cell r="N3173">
            <v>0</v>
          </cell>
          <cell r="O3173">
            <v>0</v>
          </cell>
          <cell r="Q3173">
            <v>0</v>
          </cell>
          <cell r="R3173">
            <v>0</v>
          </cell>
          <cell r="T3173">
            <v>0</v>
          </cell>
          <cell r="U3173">
            <v>0</v>
          </cell>
          <cell r="W3173">
            <v>0</v>
          </cell>
          <cell r="X3173">
            <v>0</v>
          </cell>
          <cell r="Z3173">
            <v>0</v>
          </cell>
          <cell r="AA3173">
            <v>0</v>
          </cell>
          <cell r="AC3173">
            <v>0</v>
          </cell>
          <cell r="AD3173">
            <v>0</v>
          </cell>
          <cell r="AF3173">
            <v>0</v>
          </cell>
          <cell r="AG3173">
            <v>0</v>
          </cell>
          <cell r="AI3173">
            <v>0</v>
          </cell>
          <cell r="AJ3173">
            <v>0</v>
          </cell>
          <cell r="AL3173">
            <v>0</v>
          </cell>
          <cell r="AM3173">
            <v>0</v>
          </cell>
          <cell r="AO3173">
            <v>0</v>
          </cell>
          <cell r="AP3173">
            <v>0</v>
          </cell>
          <cell r="AR3173">
            <v>0</v>
          </cell>
          <cell r="AS3173">
            <v>0</v>
          </cell>
          <cell r="BF3173" t="str">
            <v>9200</v>
          </cell>
          <cell r="BG3173" t="str">
            <v>Q006</v>
          </cell>
          <cell r="BH3173" t="str">
            <v>GES</v>
          </cell>
        </row>
        <row r="3174">
          <cell r="K3174">
            <v>0</v>
          </cell>
          <cell r="L3174">
            <v>0</v>
          </cell>
          <cell r="N3174">
            <v>0</v>
          </cell>
          <cell r="O3174">
            <v>0</v>
          </cell>
          <cell r="Q3174">
            <v>0</v>
          </cell>
          <cell r="R3174">
            <v>0</v>
          </cell>
          <cell r="T3174">
            <v>0</v>
          </cell>
          <cell r="U3174">
            <v>0</v>
          </cell>
          <cell r="W3174">
            <v>0</v>
          </cell>
          <cell r="X3174">
            <v>0</v>
          </cell>
          <cell r="Z3174">
            <v>0</v>
          </cell>
          <cell r="AA3174">
            <v>0</v>
          </cell>
          <cell r="AC3174">
            <v>0</v>
          </cell>
          <cell r="AD3174">
            <v>0</v>
          </cell>
          <cell r="AF3174">
            <v>0</v>
          </cell>
          <cell r="AG3174">
            <v>0</v>
          </cell>
          <cell r="AI3174">
            <v>0</v>
          </cell>
          <cell r="AJ3174">
            <v>0</v>
          </cell>
          <cell r="AL3174">
            <v>0</v>
          </cell>
          <cell r="AM3174">
            <v>0</v>
          </cell>
          <cell r="AO3174">
            <v>0</v>
          </cell>
          <cell r="AP3174">
            <v>0</v>
          </cell>
          <cell r="AR3174">
            <v>0</v>
          </cell>
          <cell r="AS3174">
            <v>0</v>
          </cell>
          <cell r="BF3174" t="str">
            <v>9300</v>
          </cell>
          <cell r="BG3174" t="str">
            <v>Z000</v>
          </cell>
          <cell r="BH3174" t="str">
            <v>GES</v>
          </cell>
        </row>
        <row r="3175">
          <cell r="K3175">
            <v>0</v>
          </cell>
          <cell r="L3175">
            <v>0</v>
          </cell>
          <cell r="N3175">
            <v>0</v>
          </cell>
          <cell r="O3175">
            <v>0</v>
          </cell>
          <cell r="Q3175">
            <v>0</v>
          </cell>
          <cell r="R3175">
            <v>0</v>
          </cell>
          <cell r="T3175">
            <v>0</v>
          </cell>
          <cell r="U3175">
            <v>0</v>
          </cell>
          <cell r="W3175">
            <v>0</v>
          </cell>
          <cell r="X3175">
            <v>0</v>
          </cell>
          <cell r="Z3175">
            <v>0</v>
          </cell>
          <cell r="AA3175">
            <v>0</v>
          </cell>
          <cell r="AC3175">
            <v>0</v>
          </cell>
          <cell r="AD3175">
            <v>0</v>
          </cell>
          <cell r="AF3175">
            <v>0</v>
          </cell>
          <cell r="AG3175">
            <v>0</v>
          </cell>
          <cell r="AI3175">
            <v>0</v>
          </cell>
          <cell r="AJ3175">
            <v>0</v>
          </cell>
          <cell r="AL3175">
            <v>0</v>
          </cell>
          <cell r="AM3175">
            <v>0</v>
          </cell>
          <cell r="AO3175">
            <v>0</v>
          </cell>
          <cell r="AP3175">
            <v>0</v>
          </cell>
          <cell r="AR3175">
            <v>0</v>
          </cell>
          <cell r="AS3175">
            <v>0</v>
          </cell>
          <cell r="BF3175" t="str">
            <v>9400</v>
          </cell>
          <cell r="BG3175" t="str">
            <v>Z000</v>
          </cell>
          <cell r="BH3175" t="str">
            <v>GES</v>
          </cell>
        </row>
        <row r="3176">
          <cell r="K3176">
            <v>0</v>
          </cell>
          <cell r="L3176">
            <v>0</v>
          </cell>
          <cell r="N3176">
            <v>0</v>
          </cell>
          <cell r="O3176">
            <v>0</v>
          </cell>
          <cell r="Q3176">
            <v>0</v>
          </cell>
          <cell r="R3176">
            <v>0</v>
          </cell>
          <cell r="T3176">
            <v>0</v>
          </cell>
          <cell r="U3176">
            <v>0</v>
          </cell>
          <cell r="W3176">
            <v>0</v>
          </cell>
          <cell r="X3176">
            <v>0</v>
          </cell>
          <cell r="Z3176">
            <v>0</v>
          </cell>
          <cell r="AA3176">
            <v>0</v>
          </cell>
          <cell r="AC3176">
            <v>0</v>
          </cell>
          <cell r="AD3176">
            <v>0</v>
          </cell>
          <cell r="AF3176">
            <v>0</v>
          </cell>
          <cell r="AG3176">
            <v>0</v>
          </cell>
          <cell r="AI3176">
            <v>0</v>
          </cell>
          <cell r="AJ3176">
            <v>0</v>
          </cell>
          <cell r="AL3176">
            <v>937.56</v>
          </cell>
          <cell r="AM3176">
            <v>0</v>
          </cell>
          <cell r="AO3176">
            <v>-937.56</v>
          </cell>
          <cell r="AP3176">
            <v>0</v>
          </cell>
          <cell r="AR3176">
            <v>0</v>
          </cell>
          <cell r="AS3176">
            <v>0</v>
          </cell>
          <cell r="BF3176" t="str">
            <v>9500</v>
          </cell>
          <cell r="BG3176" t="str">
            <v>Z000</v>
          </cell>
          <cell r="BH3176" t="str">
            <v>GES</v>
          </cell>
        </row>
        <row r="3177">
          <cell r="K3177">
            <v>0</v>
          </cell>
          <cell r="L3177">
            <v>0</v>
          </cell>
          <cell r="N3177">
            <v>0</v>
          </cell>
          <cell r="O3177">
            <v>0</v>
          </cell>
          <cell r="Q3177">
            <v>0</v>
          </cell>
          <cell r="R3177">
            <v>0</v>
          </cell>
          <cell r="T3177">
            <v>0</v>
          </cell>
          <cell r="U3177">
            <v>0</v>
          </cell>
          <cell r="W3177">
            <v>0</v>
          </cell>
          <cell r="X3177">
            <v>0</v>
          </cell>
          <cell r="Z3177">
            <v>0</v>
          </cell>
          <cell r="AA3177">
            <v>0</v>
          </cell>
          <cell r="AC3177">
            <v>0</v>
          </cell>
          <cell r="AD3177">
            <v>0</v>
          </cell>
          <cell r="AF3177">
            <v>0</v>
          </cell>
          <cell r="AG3177">
            <v>0</v>
          </cell>
          <cell r="AI3177">
            <v>0</v>
          </cell>
          <cell r="AJ3177">
            <v>0</v>
          </cell>
          <cell r="AL3177">
            <v>0</v>
          </cell>
          <cell r="AM3177">
            <v>0</v>
          </cell>
          <cell r="AO3177">
            <v>0</v>
          </cell>
          <cell r="AP3177">
            <v>0</v>
          </cell>
          <cell r="AR3177">
            <v>0</v>
          </cell>
          <cell r="AS3177">
            <v>0</v>
          </cell>
          <cell r="BF3177" t="str">
            <v>9550</v>
          </cell>
          <cell r="BG3177" t="str">
            <v>Z000</v>
          </cell>
          <cell r="BH3177" t="str">
            <v>GES</v>
          </cell>
        </row>
        <row r="3178">
          <cell r="K3178">
            <v>0</v>
          </cell>
          <cell r="L3178">
            <v>0</v>
          </cell>
          <cell r="N3178">
            <v>0</v>
          </cell>
          <cell r="O3178">
            <v>0</v>
          </cell>
          <cell r="Q3178">
            <v>0</v>
          </cell>
          <cell r="R3178">
            <v>0</v>
          </cell>
          <cell r="T3178">
            <v>0</v>
          </cell>
          <cell r="U3178">
            <v>0</v>
          </cell>
          <cell r="W3178">
            <v>0</v>
          </cell>
          <cell r="X3178">
            <v>0</v>
          </cell>
          <cell r="Z3178">
            <v>0</v>
          </cell>
          <cell r="AA3178">
            <v>0</v>
          </cell>
          <cell r="AC3178">
            <v>0</v>
          </cell>
          <cell r="AD3178">
            <v>0</v>
          </cell>
          <cell r="AF3178">
            <v>0</v>
          </cell>
          <cell r="AG3178">
            <v>0</v>
          </cell>
          <cell r="AI3178">
            <v>0</v>
          </cell>
          <cell r="AJ3178">
            <v>0</v>
          </cell>
          <cell r="AL3178">
            <v>0</v>
          </cell>
          <cell r="AM3178">
            <v>0</v>
          </cell>
          <cell r="AO3178">
            <v>0</v>
          </cell>
          <cell r="AP3178">
            <v>0</v>
          </cell>
          <cell r="AR3178">
            <v>0</v>
          </cell>
          <cell r="AS3178">
            <v>0</v>
          </cell>
          <cell r="BF3178" t="str">
            <v>9600</v>
          </cell>
          <cell r="BG3178" t="str">
            <v>Z000</v>
          </cell>
          <cell r="BH3178" t="str">
            <v>GES</v>
          </cell>
        </row>
        <row r="3179">
          <cell r="K3179">
            <v>0</v>
          </cell>
          <cell r="L3179">
            <v>0</v>
          </cell>
          <cell r="N3179">
            <v>0</v>
          </cell>
          <cell r="O3179">
            <v>0</v>
          </cell>
          <cell r="Q3179">
            <v>0</v>
          </cell>
          <cell r="R3179">
            <v>0</v>
          </cell>
          <cell r="T3179">
            <v>0</v>
          </cell>
          <cell r="U3179">
            <v>0</v>
          </cell>
          <cell r="W3179">
            <v>0</v>
          </cell>
          <cell r="X3179">
            <v>0</v>
          </cell>
          <cell r="Z3179">
            <v>0</v>
          </cell>
          <cell r="AA3179">
            <v>0</v>
          </cell>
          <cell r="AC3179">
            <v>0</v>
          </cell>
          <cell r="AD3179">
            <v>0</v>
          </cell>
          <cell r="AF3179">
            <v>0</v>
          </cell>
          <cell r="AG3179">
            <v>0</v>
          </cell>
          <cell r="AI3179">
            <v>0</v>
          </cell>
          <cell r="AJ3179">
            <v>0</v>
          </cell>
          <cell r="AL3179">
            <v>2863.04</v>
          </cell>
          <cell r="AM3179">
            <v>0</v>
          </cell>
          <cell r="AO3179">
            <v>5772.7699999999995</v>
          </cell>
          <cell r="AP3179">
            <v>0</v>
          </cell>
          <cell r="AR3179">
            <v>2891.99</v>
          </cell>
          <cell r="AS3179">
            <v>0</v>
          </cell>
          <cell r="BF3179" t="str">
            <v>9700</v>
          </cell>
          <cell r="BG3179" t="str">
            <v>Z000</v>
          </cell>
          <cell r="BH3179" t="str">
            <v>GES</v>
          </cell>
        </row>
        <row r="3180">
          <cell r="K3180">
            <v>0</v>
          </cell>
          <cell r="L3180">
            <v>0</v>
          </cell>
          <cell r="N3180">
            <v>0</v>
          </cell>
          <cell r="O3180">
            <v>0</v>
          </cell>
          <cell r="Q3180">
            <v>0</v>
          </cell>
          <cell r="R3180">
            <v>0</v>
          </cell>
          <cell r="T3180">
            <v>0</v>
          </cell>
          <cell r="U3180">
            <v>0</v>
          </cell>
          <cell r="W3180">
            <v>0</v>
          </cell>
          <cell r="X3180">
            <v>0</v>
          </cell>
          <cell r="Z3180">
            <v>0</v>
          </cell>
          <cell r="AA3180">
            <v>0</v>
          </cell>
          <cell r="AC3180">
            <v>0</v>
          </cell>
          <cell r="AD3180">
            <v>0</v>
          </cell>
          <cell r="AF3180">
            <v>0</v>
          </cell>
          <cell r="AG3180">
            <v>0</v>
          </cell>
          <cell r="AI3180">
            <v>0</v>
          </cell>
          <cell r="AJ3180">
            <v>0</v>
          </cell>
          <cell r="AL3180">
            <v>0</v>
          </cell>
          <cell r="AM3180">
            <v>0</v>
          </cell>
          <cell r="AO3180">
            <v>0</v>
          </cell>
          <cell r="AP3180">
            <v>0</v>
          </cell>
          <cell r="AR3180">
            <v>0</v>
          </cell>
          <cell r="AS3180">
            <v>0</v>
          </cell>
          <cell r="BF3180" t="str">
            <v>9702</v>
          </cell>
          <cell r="BG3180" t="str">
            <v>Z000</v>
          </cell>
          <cell r="BH3180" t="str">
            <v>GES</v>
          </cell>
        </row>
        <row r="3181">
          <cell r="K3181">
            <v>0</v>
          </cell>
          <cell r="L3181">
            <v>0</v>
          </cell>
          <cell r="N3181">
            <v>0</v>
          </cell>
          <cell r="O3181">
            <v>0</v>
          </cell>
          <cell r="Q3181">
            <v>0</v>
          </cell>
          <cell r="R3181">
            <v>0</v>
          </cell>
          <cell r="T3181">
            <v>0</v>
          </cell>
          <cell r="U3181">
            <v>0</v>
          </cell>
          <cell r="W3181">
            <v>0</v>
          </cell>
          <cell r="X3181">
            <v>0</v>
          </cell>
          <cell r="Z3181">
            <v>0</v>
          </cell>
          <cell r="AA3181">
            <v>0</v>
          </cell>
          <cell r="AC3181">
            <v>0</v>
          </cell>
          <cell r="AD3181">
            <v>0</v>
          </cell>
          <cell r="AF3181">
            <v>0</v>
          </cell>
          <cell r="AG3181">
            <v>0</v>
          </cell>
          <cell r="AI3181">
            <v>0</v>
          </cell>
          <cell r="AJ3181">
            <v>0</v>
          </cell>
          <cell r="AL3181">
            <v>0</v>
          </cell>
          <cell r="AM3181">
            <v>0</v>
          </cell>
          <cell r="AO3181">
            <v>0</v>
          </cell>
          <cell r="AP3181">
            <v>0</v>
          </cell>
          <cell r="AR3181">
            <v>0</v>
          </cell>
          <cell r="AS3181">
            <v>0</v>
          </cell>
          <cell r="BF3181" t="str">
            <v>9750</v>
          </cell>
          <cell r="BG3181" t="str">
            <v>Z000</v>
          </cell>
          <cell r="BH3181" t="str">
            <v>GES</v>
          </cell>
        </row>
        <row r="3182">
          <cell r="K3182">
            <v>0</v>
          </cell>
          <cell r="L3182">
            <v>0</v>
          </cell>
          <cell r="N3182">
            <v>0</v>
          </cell>
          <cell r="O3182">
            <v>0</v>
          </cell>
          <cell r="Q3182">
            <v>0</v>
          </cell>
          <cell r="R3182">
            <v>0</v>
          </cell>
          <cell r="T3182">
            <v>0</v>
          </cell>
          <cell r="U3182">
            <v>0</v>
          </cell>
          <cell r="W3182">
            <v>0</v>
          </cell>
          <cell r="X3182">
            <v>0</v>
          </cell>
          <cell r="Z3182">
            <v>0</v>
          </cell>
          <cell r="AA3182">
            <v>0</v>
          </cell>
          <cell r="AC3182">
            <v>2290666.4899999998</v>
          </cell>
          <cell r="AD3182">
            <v>0</v>
          </cell>
          <cell r="AF3182">
            <v>210971.56000000006</v>
          </cell>
          <cell r="AG3182">
            <v>0</v>
          </cell>
          <cell r="AI3182">
            <v>267141.58000000007</v>
          </cell>
          <cell r="AJ3182">
            <v>0</v>
          </cell>
          <cell r="AL3182">
            <v>85546.839999999851</v>
          </cell>
          <cell r="AM3182">
            <v>0</v>
          </cell>
          <cell r="AO3182">
            <v>682240</v>
          </cell>
          <cell r="AP3182">
            <v>0</v>
          </cell>
          <cell r="AR3182">
            <v>2355375.7800000003</v>
          </cell>
          <cell r="AS3182">
            <v>0</v>
          </cell>
          <cell r="BF3182" t="str">
            <v>1000</v>
          </cell>
          <cell r="BG3182" t="str">
            <v>A001</v>
          </cell>
          <cell r="BH3182" t="str">
            <v>CC1</v>
          </cell>
        </row>
        <row r="3183">
          <cell r="K3183">
            <v>0</v>
          </cell>
          <cell r="L3183">
            <v>0</v>
          </cell>
          <cell r="N3183">
            <v>0</v>
          </cell>
          <cell r="O3183">
            <v>0</v>
          </cell>
          <cell r="Q3183">
            <v>0</v>
          </cell>
          <cell r="R3183">
            <v>0</v>
          </cell>
          <cell r="T3183">
            <v>0</v>
          </cell>
          <cell r="U3183">
            <v>0</v>
          </cell>
          <cell r="W3183">
            <v>0</v>
          </cell>
          <cell r="X3183">
            <v>0</v>
          </cell>
          <cell r="Z3183">
            <v>0</v>
          </cell>
          <cell r="AA3183">
            <v>0</v>
          </cell>
          <cell r="AC3183">
            <v>2145913.0099999998</v>
          </cell>
          <cell r="AD3183">
            <v>0</v>
          </cell>
          <cell r="AF3183">
            <v>162326</v>
          </cell>
          <cell r="AG3183">
            <v>0</v>
          </cell>
          <cell r="AI3183">
            <v>203342.5</v>
          </cell>
          <cell r="AJ3183">
            <v>0</v>
          </cell>
          <cell r="AL3183">
            <v>205942</v>
          </cell>
          <cell r="AM3183">
            <v>0</v>
          </cell>
          <cell r="AO3183">
            <v>0</v>
          </cell>
          <cell r="AP3183">
            <v>0</v>
          </cell>
          <cell r="AR3183">
            <v>0</v>
          </cell>
          <cell r="AS3183">
            <v>0</v>
          </cell>
          <cell r="BF3183" t="str">
            <v>1000</v>
          </cell>
          <cell r="BG3183" t="str">
            <v>A001</v>
          </cell>
          <cell r="BH3183" t="str">
            <v>CC2</v>
          </cell>
        </row>
        <row r="3184">
          <cell r="K3184">
            <v>0</v>
          </cell>
          <cell r="L3184">
            <v>0</v>
          </cell>
          <cell r="N3184">
            <v>0</v>
          </cell>
          <cell r="O3184">
            <v>0</v>
          </cell>
          <cell r="Q3184">
            <v>0</v>
          </cell>
          <cell r="R3184">
            <v>0</v>
          </cell>
          <cell r="T3184">
            <v>0</v>
          </cell>
          <cell r="U3184">
            <v>0</v>
          </cell>
          <cell r="W3184">
            <v>0</v>
          </cell>
          <cell r="X3184">
            <v>0</v>
          </cell>
          <cell r="Z3184">
            <v>0</v>
          </cell>
          <cell r="AA3184">
            <v>0</v>
          </cell>
          <cell r="AC3184">
            <v>1183101.5</v>
          </cell>
          <cell r="AD3184">
            <v>0</v>
          </cell>
          <cell r="AF3184">
            <v>113321</v>
          </cell>
          <cell r="AG3184">
            <v>0</v>
          </cell>
          <cell r="AI3184">
            <v>152938.5</v>
          </cell>
          <cell r="AJ3184">
            <v>0</v>
          </cell>
          <cell r="AL3184">
            <v>149416</v>
          </cell>
          <cell r="AM3184">
            <v>0</v>
          </cell>
          <cell r="AO3184">
            <v>0</v>
          </cell>
          <cell r="AP3184">
            <v>0</v>
          </cell>
          <cell r="AR3184">
            <v>0</v>
          </cell>
          <cell r="AS3184">
            <v>0</v>
          </cell>
          <cell r="BF3184" t="str">
            <v>1000</v>
          </cell>
          <cell r="BG3184" t="str">
            <v>A001</v>
          </cell>
          <cell r="BH3184" t="str">
            <v>CC3</v>
          </cell>
        </row>
        <row r="3185">
          <cell r="K3185">
            <v>0</v>
          </cell>
          <cell r="L3185">
            <v>0</v>
          </cell>
          <cell r="N3185">
            <v>0</v>
          </cell>
          <cell r="O3185">
            <v>0</v>
          </cell>
          <cell r="Q3185">
            <v>0</v>
          </cell>
          <cell r="R3185">
            <v>0</v>
          </cell>
          <cell r="T3185">
            <v>0</v>
          </cell>
          <cell r="U3185">
            <v>0</v>
          </cell>
          <cell r="W3185">
            <v>0</v>
          </cell>
          <cell r="X3185">
            <v>0</v>
          </cell>
          <cell r="Z3185">
            <v>0</v>
          </cell>
          <cell r="AA3185">
            <v>0</v>
          </cell>
          <cell r="AC3185">
            <v>1365025.6</v>
          </cell>
          <cell r="AD3185">
            <v>0</v>
          </cell>
          <cell r="AF3185">
            <v>132620.60000000009</v>
          </cell>
          <cell r="AG3185">
            <v>0</v>
          </cell>
          <cell r="AI3185">
            <v>327210</v>
          </cell>
          <cell r="AJ3185">
            <v>0</v>
          </cell>
          <cell r="AL3185">
            <v>167466.5</v>
          </cell>
          <cell r="AM3185">
            <v>0</v>
          </cell>
          <cell r="AO3185">
            <v>0</v>
          </cell>
          <cell r="AP3185">
            <v>0</v>
          </cell>
          <cell r="AR3185">
            <v>0</v>
          </cell>
          <cell r="AS3185">
            <v>0</v>
          </cell>
          <cell r="BF3185" t="str">
            <v>1000</v>
          </cell>
          <cell r="BG3185" t="str">
            <v>A001</v>
          </cell>
          <cell r="BH3185" t="str">
            <v>CC4</v>
          </cell>
        </row>
        <row r="3186">
          <cell r="K3186">
            <v>0</v>
          </cell>
          <cell r="L3186">
            <v>0</v>
          </cell>
          <cell r="N3186">
            <v>0</v>
          </cell>
          <cell r="O3186">
            <v>0</v>
          </cell>
          <cell r="Q3186">
            <v>0</v>
          </cell>
          <cell r="R3186">
            <v>0</v>
          </cell>
          <cell r="T3186">
            <v>0</v>
          </cell>
          <cell r="U3186">
            <v>0</v>
          </cell>
          <cell r="W3186">
            <v>0</v>
          </cell>
          <cell r="X3186">
            <v>0</v>
          </cell>
          <cell r="Z3186">
            <v>0</v>
          </cell>
          <cell r="AA3186">
            <v>0</v>
          </cell>
          <cell r="AC3186">
            <v>980254.8899999999</v>
          </cell>
          <cell r="AD3186">
            <v>0</v>
          </cell>
          <cell r="AF3186">
            <v>78832.550000000047</v>
          </cell>
          <cell r="AG3186">
            <v>0</v>
          </cell>
          <cell r="AI3186">
            <v>117454.44999999995</v>
          </cell>
          <cell r="AJ3186">
            <v>0</v>
          </cell>
          <cell r="AL3186">
            <v>113639.18999999994</v>
          </cell>
          <cell r="AM3186">
            <v>0</v>
          </cell>
          <cell r="AO3186">
            <v>0</v>
          </cell>
          <cell r="AP3186">
            <v>0</v>
          </cell>
          <cell r="AR3186">
            <v>0</v>
          </cell>
          <cell r="AS3186">
            <v>0</v>
          </cell>
          <cell r="BF3186" t="str">
            <v>1000</v>
          </cell>
          <cell r="BG3186" t="str">
            <v>A001</v>
          </cell>
          <cell r="BH3186" t="str">
            <v>CC6</v>
          </cell>
        </row>
        <row r="3187">
          <cell r="K3187">
            <v>0</v>
          </cell>
          <cell r="L3187">
            <v>0</v>
          </cell>
          <cell r="N3187">
            <v>0</v>
          </cell>
          <cell r="O3187">
            <v>0</v>
          </cell>
          <cell r="Q3187">
            <v>0</v>
          </cell>
          <cell r="R3187">
            <v>0</v>
          </cell>
          <cell r="T3187">
            <v>0</v>
          </cell>
          <cell r="U3187">
            <v>0</v>
          </cell>
          <cell r="W3187">
            <v>0</v>
          </cell>
          <cell r="X3187">
            <v>0</v>
          </cell>
          <cell r="Z3187">
            <v>0</v>
          </cell>
          <cell r="AA3187">
            <v>0</v>
          </cell>
          <cell r="AC3187">
            <v>86910</v>
          </cell>
          <cell r="AD3187">
            <v>0</v>
          </cell>
          <cell r="AF3187">
            <v>7370</v>
          </cell>
          <cell r="AG3187">
            <v>0</v>
          </cell>
          <cell r="AI3187">
            <v>8830</v>
          </cell>
          <cell r="AJ3187">
            <v>0</v>
          </cell>
          <cell r="AL3187">
            <v>8030</v>
          </cell>
          <cell r="AM3187">
            <v>0</v>
          </cell>
          <cell r="AO3187">
            <v>28673</v>
          </cell>
          <cell r="AP3187">
            <v>0</v>
          </cell>
          <cell r="AR3187">
            <v>362562.63</v>
          </cell>
          <cell r="AS3187">
            <v>0</v>
          </cell>
          <cell r="BF3187" t="str">
            <v>1000</v>
          </cell>
          <cell r="BG3187" t="str">
            <v>A003</v>
          </cell>
          <cell r="BH3187" t="str">
            <v>CC1</v>
          </cell>
        </row>
        <row r="3188">
          <cell r="K3188">
            <v>0</v>
          </cell>
          <cell r="L3188">
            <v>0</v>
          </cell>
          <cell r="N3188">
            <v>0</v>
          </cell>
          <cell r="O3188">
            <v>0</v>
          </cell>
          <cell r="Q3188">
            <v>0</v>
          </cell>
          <cell r="R3188">
            <v>0</v>
          </cell>
          <cell r="T3188">
            <v>0</v>
          </cell>
          <cell r="U3188">
            <v>0</v>
          </cell>
          <cell r="W3188">
            <v>0</v>
          </cell>
          <cell r="X3188">
            <v>0</v>
          </cell>
          <cell r="Z3188">
            <v>0</v>
          </cell>
          <cell r="AA3188">
            <v>0</v>
          </cell>
          <cell r="AC3188">
            <v>66590</v>
          </cell>
          <cell r="AD3188">
            <v>0</v>
          </cell>
          <cell r="AF3188">
            <v>5810</v>
          </cell>
          <cell r="AG3188">
            <v>0</v>
          </cell>
          <cell r="AI3188">
            <v>6940</v>
          </cell>
          <cell r="AJ3188">
            <v>0</v>
          </cell>
          <cell r="AL3188">
            <v>6810</v>
          </cell>
          <cell r="AM3188">
            <v>0</v>
          </cell>
          <cell r="AO3188">
            <v>0</v>
          </cell>
          <cell r="AP3188">
            <v>0</v>
          </cell>
          <cell r="AR3188">
            <v>0</v>
          </cell>
          <cell r="AS3188">
            <v>0</v>
          </cell>
          <cell r="BF3188" t="str">
            <v>1000</v>
          </cell>
          <cell r="BG3188" t="str">
            <v>A003</v>
          </cell>
          <cell r="BH3188" t="str">
            <v>CC2</v>
          </cell>
        </row>
        <row r="3189">
          <cell r="K3189">
            <v>0</v>
          </cell>
          <cell r="L3189">
            <v>0</v>
          </cell>
          <cell r="N3189">
            <v>0</v>
          </cell>
          <cell r="O3189">
            <v>0</v>
          </cell>
          <cell r="Q3189">
            <v>0</v>
          </cell>
          <cell r="R3189">
            <v>0</v>
          </cell>
          <cell r="T3189">
            <v>0</v>
          </cell>
          <cell r="U3189">
            <v>0</v>
          </cell>
          <cell r="W3189">
            <v>0</v>
          </cell>
          <cell r="X3189">
            <v>0</v>
          </cell>
          <cell r="Z3189">
            <v>0</v>
          </cell>
          <cell r="AA3189">
            <v>0</v>
          </cell>
          <cell r="AC3189">
            <v>32080</v>
          </cell>
          <cell r="AD3189">
            <v>0</v>
          </cell>
          <cell r="AF3189">
            <v>2980</v>
          </cell>
          <cell r="AG3189">
            <v>0</v>
          </cell>
          <cell r="AI3189">
            <v>3750</v>
          </cell>
          <cell r="AJ3189">
            <v>0</v>
          </cell>
          <cell r="AL3189">
            <v>3560</v>
          </cell>
          <cell r="AM3189">
            <v>0</v>
          </cell>
          <cell r="AO3189">
            <v>0</v>
          </cell>
          <cell r="AP3189">
            <v>0</v>
          </cell>
          <cell r="AR3189">
            <v>0</v>
          </cell>
          <cell r="AS3189">
            <v>0</v>
          </cell>
          <cell r="BF3189" t="str">
            <v>1000</v>
          </cell>
          <cell r="BG3189" t="str">
            <v>A003</v>
          </cell>
          <cell r="BH3189" t="str">
            <v>CC3</v>
          </cell>
        </row>
        <row r="3190">
          <cell r="K3190">
            <v>0</v>
          </cell>
          <cell r="L3190">
            <v>0</v>
          </cell>
          <cell r="N3190">
            <v>0</v>
          </cell>
          <cell r="O3190">
            <v>0</v>
          </cell>
          <cell r="Q3190">
            <v>0</v>
          </cell>
          <cell r="R3190">
            <v>0</v>
          </cell>
          <cell r="T3190">
            <v>0</v>
          </cell>
          <cell r="U3190">
            <v>0</v>
          </cell>
          <cell r="W3190">
            <v>0</v>
          </cell>
          <cell r="X3190">
            <v>0</v>
          </cell>
          <cell r="Z3190">
            <v>0</v>
          </cell>
          <cell r="AA3190">
            <v>0</v>
          </cell>
          <cell r="AC3190">
            <v>44810</v>
          </cell>
          <cell r="AD3190">
            <v>0</v>
          </cell>
          <cell r="AF3190">
            <v>4050</v>
          </cell>
          <cell r="AG3190">
            <v>0</v>
          </cell>
          <cell r="AI3190">
            <v>5100</v>
          </cell>
          <cell r="AJ3190">
            <v>0</v>
          </cell>
          <cell r="AL3190">
            <v>4800</v>
          </cell>
          <cell r="AM3190">
            <v>0</v>
          </cell>
          <cell r="AO3190">
            <v>0</v>
          </cell>
          <cell r="AP3190">
            <v>0</v>
          </cell>
          <cell r="AR3190">
            <v>0</v>
          </cell>
          <cell r="AS3190">
            <v>0</v>
          </cell>
          <cell r="BF3190" t="str">
            <v>1000</v>
          </cell>
          <cell r="BG3190" t="str">
            <v>A003</v>
          </cell>
          <cell r="BH3190" t="str">
            <v>CC4</v>
          </cell>
        </row>
        <row r="3191">
          <cell r="K3191">
            <v>0</v>
          </cell>
          <cell r="L3191">
            <v>0</v>
          </cell>
          <cell r="N3191">
            <v>0</v>
          </cell>
          <cell r="O3191">
            <v>0</v>
          </cell>
          <cell r="Q3191">
            <v>0</v>
          </cell>
          <cell r="R3191">
            <v>0</v>
          </cell>
          <cell r="T3191">
            <v>0</v>
          </cell>
          <cell r="U3191">
            <v>0</v>
          </cell>
          <cell r="W3191">
            <v>0</v>
          </cell>
          <cell r="X3191">
            <v>0</v>
          </cell>
          <cell r="Z3191">
            <v>0</v>
          </cell>
          <cell r="AA3191">
            <v>0</v>
          </cell>
          <cell r="AC3191">
            <v>58090</v>
          </cell>
          <cell r="AD3191">
            <v>0</v>
          </cell>
          <cell r="AF3191">
            <v>5080</v>
          </cell>
          <cell r="AG3191">
            <v>0</v>
          </cell>
          <cell r="AI3191">
            <v>7410</v>
          </cell>
          <cell r="AJ3191">
            <v>0</v>
          </cell>
          <cell r="AL3191">
            <v>6980</v>
          </cell>
          <cell r="AM3191">
            <v>0</v>
          </cell>
          <cell r="AO3191">
            <v>0</v>
          </cell>
          <cell r="AP3191">
            <v>0</v>
          </cell>
          <cell r="AR3191">
            <v>0</v>
          </cell>
          <cell r="AS3191">
            <v>0</v>
          </cell>
          <cell r="BF3191" t="str">
            <v>1000</v>
          </cell>
          <cell r="BG3191" t="str">
            <v>A003</v>
          </cell>
          <cell r="BH3191" t="str">
            <v>CC6</v>
          </cell>
        </row>
        <row r="3192">
          <cell r="K3192">
            <v>0</v>
          </cell>
          <cell r="L3192">
            <v>0</v>
          </cell>
          <cell r="N3192">
            <v>0</v>
          </cell>
          <cell r="O3192">
            <v>0</v>
          </cell>
          <cell r="Q3192">
            <v>0</v>
          </cell>
          <cell r="R3192">
            <v>0</v>
          </cell>
          <cell r="T3192">
            <v>0</v>
          </cell>
          <cell r="U3192">
            <v>0</v>
          </cell>
          <cell r="W3192">
            <v>0</v>
          </cell>
          <cell r="X3192">
            <v>0</v>
          </cell>
          <cell r="Z3192">
            <v>0</v>
          </cell>
          <cell r="AA3192">
            <v>0</v>
          </cell>
          <cell r="AC3192">
            <v>0</v>
          </cell>
          <cell r="AD3192">
            <v>0</v>
          </cell>
          <cell r="AF3192">
            <v>0</v>
          </cell>
          <cell r="AG3192">
            <v>0</v>
          </cell>
          <cell r="AI3192">
            <v>0</v>
          </cell>
          <cell r="AJ3192">
            <v>0</v>
          </cell>
          <cell r="AL3192">
            <v>0</v>
          </cell>
          <cell r="AM3192">
            <v>0</v>
          </cell>
          <cell r="AO3192">
            <v>0</v>
          </cell>
          <cell r="AP3192">
            <v>0</v>
          </cell>
          <cell r="AR3192">
            <v>0</v>
          </cell>
          <cell r="AS3192">
            <v>0</v>
          </cell>
          <cell r="BF3192" t="str">
            <v>1000</v>
          </cell>
          <cell r="BG3192" t="str">
            <v>Z000</v>
          </cell>
          <cell r="BH3192" t="str">
            <v>CC0</v>
          </cell>
        </row>
        <row r="3193">
          <cell r="K3193">
            <v>0</v>
          </cell>
          <cell r="L3193">
            <v>0</v>
          </cell>
          <cell r="N3193">
            <v>0</v>
          </cell>
          <cell r="O3193">
            <v>0</v>
          </cell>
          <cell r="Q3193">
            <v>0</v>
          </cell>
          <cell r="R3193">
            <v>0</v>
          </cell>
          <cell r="T3193">
            <v>0</v>
          </cell>
          <cell r="U3193">
            <v>0</v>
          </cell>
          <cell r="W3193">
            <v>0</v>
          </cell>
          <cell r="X3193">
            <v>0</v>
          </cell>
          <cell r="Z3193">
            <v>0</v>
          </cell>
          <cell r="AA3193">
            <v>0</v>
          </cell>
          <cell r="AC3193">
            <v>26092.350000000002</v>
          </cell>
          <cell r="AD3193">
            <v>0</v>
          </cell>
          <cell r="AF3193">
            <v>651.86000000000058</v>
          </cell>
          <cell r="AG3193">
            <v>0</v>
          </cell>
          <cell r="AI3193">
            <v>450.45000000000073</v>
          </cell>
          <cell r="AJ3193">
            <v>0</v>
          </cell>
          <cell r="AL3193">
            <v>121.47000000000116</v>
          </cell>
          <cell r="AM3193">
            <v>0</v>
          </cell>
          <cell r="AO3193">
            <v>432.79999999999927</v>
          </cell>
          <cell r="AP3193">
            <v>0</v>
          </cell>
          <cell r="AR3193">
            <v>582.08000000000175</v>
          </cell>
          <cell r="AS3193">
            <v>0</v>
          </cell>
          <cell r="BF3193" t="str">
            <v>1005</v>
          </cell>
          <cell r="BG3193" t="str">
            <v>A084</v>
          </cell>
          <cell r="BH3193" t="str">
            <v>CC5</v>
          </cell>
        </row>
        <row r="3194">
          <cell r="K3194">
            <v>0</v>
          </cell>
          <cell r="L3194">
            <v>0</v>
          </cell>
          <cell r="N3194">
            <v>0</v>
          </cell>
          <cell r="O3194">
            <v>0</v>
          </cell>
          <cell r="Q3194">
            <v>0</v>
          </cell>
          <cell r="R3194">
            <v>0</v>
          </cell>
          <cell r="T3194">
            <v>0</v>
          </cell>
          <cell r="U3194">
            <v>0</v>
          </cell>
          <cell r="W3194">
            <v>0</v>
          </cell>
          <cell r="X3194">
            <v>0</v>
          </cell>
          <cell r="Z3194">
            <v>0</v>
          </cell>
          <cell r="AA3194">
            <v>0</v>
          </cell>
          <cell r="AC3194">
            <v>718.86</v>
          </cell>
          <cell r="AD3194">
            <v>0</v>
          </cell>
          <cell r="AF3194">
            <v>0</v>
          </cell>
          <cell r="AG3194">
            <v>0</v>
          </cell>
          <cell r="AI3194">
            <v>0</v>
          </cell>
          <cell r="AJ3194">
            <v>0</v>
          </cell>
          <cell r="AL3194">
            <v>0</v>
          </cell>
          <cell r="AM3194">
            <v>0</v>
          </cell>
          <cell r="AO3194">
            <v>0</v>
          </cell>
          <cell r="AP3194">
            <v>0</v>
          </cell>
          <cell r="AR3194">
            <v>0</v>
          </cell>
          <cell r="AS3194">
            <v>0</v>
          </cell>
          <cell r="BF3194" t="str">
            <v>2001</v>
          </cell>
          <cell r="BG3194" t="str">
            <v>B006</v>
          </cell>
          <cell r="BH3194" t="str">
            <v>CC1</v>
          </cell>
        </row>
        <row r="3195">
          <cell r="K3195">
            <v>0</v>
          </cell>
          <cell r="L3195">
            <v>0</v>
          </cell>
          <cell r="N3195">
            <v>0</v>
          </cell>
          <cell r="O3195">
            <v>0</v>
          </cell>
          <cell r="Q3195">
            <v>0</v>
          </cell>
          <cell r="R3195">
            <v>0</v>
          </cell>
          <cell r="T3195">
            <v>0</v>
          </cell>
          <cell r="U3195">
            <v>0</v>
          </cell>
          <cell r="W3195">
            <v>0</v>
          </cell>
          <cell r="X3195">
            <v>0</v>
          </cell>
          <cell r="Z3195">
            <v>0</v>
          </cell>
          <cell r="AA3195">
            <v>0</v>
          </cell>
          <cell r="AC3195">
            <v>826098.67000000016</v>
          </cell>
          <cell r="AD3195">
            <v>0</v>
          </cell>
          <cell r="AF3195">
            <v>0</v>
          </cell>
          <cell r="AG3195">
            <v>0</v>
          </cell>
          <cell r="AI3195">
            <v>345068.44999999995</v>
          </cell>
          <cell r="AJ3195">
            <v>0</v>
          </cell>
          <cell r="AL3195">
            <v>0</v>
          </cell>
          <cell r="AM3195">
            <v>0</v>
          </cell>
          <cell r="AO3195">
            <v>0</v>
          </cell>
          <cell r="AP3195">
            <v>0</v>
          </cell>
          <cell r="AR3195">
            <v>0</v>
          </cell>
          <cell r="AS3195">
            <v>0</v>
          </cell>
          <cell r="BF3195" t="str">
            <v>2010</v>
          </cell>
          <cell r="BG3195" t="str">
            <v>B021</v>
          </cell>
          <cell r="BH3195" t="str">
            <v>CC1</v>
          </cell>
        </row>
        <row r="3196">
          <cell r="K3196">
            <v>0</v>
          </cell>
          <cell r="L3196">
            <v>0</v>
          </cell>
          <cell r="N3196">
            <v>0</v>
          </cell>
          <cell r="O3196">
            <v>0</v>
          </cell>
          <cell r="Q3196">
            <v>0</v>
          </cell>
          <cell r="R3196">
            <v>0</v>
          </cell>
          <cell r="T3196">
            <v>0</v>
          </cell>
          <cell r="U3196">
            <v>0</v>
          </cell>
          <cell r="W3196">
            <v>0</v>
          </cell>
          <cell r="X3196">
            <v>0</v>
          </cell>
          <cell r="Z3196">
            <v>0</v>
          </cell>
          <cell r="AA3196">
            <v>0</v>
          </cell>
          <cell r="AC3196">
            <v>302474.15999999997</v>
          </cell>
          <cell r="AD3196">
            <v>0</v>
          </cell>
          <cell r="AF3196">
            <v>0</v>
          </cell>
          <cell r="AG3196">
            <v>0</v>
          </cell>
          <cell r="AI3196">
            <v>0</v>
          </cell>
          <cell r="AJ3196">
            <v>0</v>
          </cell>
          <cell r="AL3196">
            <v>0</v>
          </cell>
          <cell r="AM3196">
            <v>0</v>
          </cell>
          <cell r="AO3196">
            <v>0</v>
          </cell>
          <cell r="AP3196">
            <v>0</v>
          </cell>
          <cell r="AR3196">
            <v>0</v>
          </cell>
          <cell r="AS3196">
            <v>0</v>
          </cell>
          <cell r="BF3196" t="str">
            <v>2010</v>
          </cell>
          <cell r="BG3196" t="str">
            <v>B021</v>
          </cell>
          <cell r="BH3196" t="str">
            <v>CC2</v>
          </cell>
        </row>
        <row r="3197">
          <cell r="K3197">
            <v>0</v>
          </cell>
          <cell r="L3197">
            <v>0</v>
          </cell>
          <cell r="N3197">
            <v>0</v>
          </cell>
          <cell r="O3197">
            <v>0</v>
          </cell>
          <cell r="Q3197">
            <v>0</v>
          </cell>
          <cell r="R3197">
            <v>0</v>
          </cell>
          <cell r="T3197">
            <v>0</v>
          </cell>
          <cell r="U3197">
            <v>0</v>
          </cell>
          <cell r="W3197">
            <v>0</v>
          </cell>
          <cell r="X3197">
            <v>0</v>
          </cell>
          <cell r="Z3197">
            <v>0</v>
          </cell>
          <cell r="AA3197">
            <v>0</v>
          </cell>
          <cell r="AC3197">
            <v>163162.52000000002</v>
          </cell>
          <cell r="AD3197">
            <v>0</v>
          </cell>
          <cell r="AF3197">
            <v>0</v>
          </cell>
          <cell r="AG3197">
            <v>0</v>
          </cell>
          <cell r="AI3197">
            <v>0</v>
          </cell>
          <cell r="AJ3197">
            <v>0</v>
          </cell>
          <cell r="AL3197">
            <v>0</v>
          </cell>
          <cell r="AM3197">
            <v>0</v>
          </cell>
          <cell r="AO3197">
            <v>0</v>
          </cell>
          <cell r="AP3197">
            <v>0</v>
          </cell>
          <cell r="AR3197">
            <v>0</v>
          </cell>
          <cell r="AS3197">
            <v>0</v>
          </cell>
          <cell r="BF3197" t="str">
            <v>2010</v>
          </cell>
          <cell r="BG3197" t="str">
            <v>B021</v>
          </cell>
          <cell r="BH3197" t="str">
            <v>CC3</v>
          </cell>
        </row>
        <row r="3198">
          <cell r="K3198">
            <v>0</v>
          </cell>
          <cell r="L3198">
            <v>0</v>
          </cell>
          <cell r="N3198">
            <v>0</v>
          </cell>
          <cell r="O3198">
            <v>0</v>
          </cell>
          <cell r="Q3198">
            <v>0</v>
          </cell>
          <cell r="R3198">
            <v>0</v>
          </cell>
          <cell r="T3198">
            <v>0</v>
          </cell>
          <cell r="U3198">
            <v>0</v>
          </cell>
          <cell r="W3198">
            <v>0</v>
          </cell>
          <cell r="X3198">
            <v>0</v>
          </cell>
          <cell r="Z3198">
            <v>0</v>
          </cell>
          <cell r="AA3198">
            <v>0</v>
          </cell>
          <cell r="AC3198">
            <v>134620.26999999999</v>
          </cell>
          <cell r="AD3198">
            <v>0</v>
          </cell>
          <cell r="AF3198">
            <v>0</v>
          </cell>
          <cell r="AG3198">
            <v>0</v>
          </cell>
          <cell r="AI3198">
            <v>0</v>
          </cell>
          <cell r="AJ3198">
            <v>0</v>
          </cell>
          <cell r="AL3198">
            <v>0</v>
          </cell>
          <cell r="AM3198">
            <v>0</v>
          </cell>
          <cell r="AO3198">
            <v>0</v>
          </cell>
          <cell r="AP3198">
            <v>0</v>
          </cell>
          <cell r="AR3198">
            <v>0</v>
          </cell>
          <cell r="AS3198">
            <v>0</v>
          </cell>
          <cell r="BF3198" t="str">
            <v>2010</v>
          </cell>
          <cell r="BG3198" t="str">
            <v>B021</v>
          </cell>
          <cell r="BH3198" t="str">
            <v>CC4</v>
          </cell>
        </row>
        <row r="3199">
          <cell r="K3199">
            <v>0</v>
          </cell>
          <cell r="L3199">
            <v>0</v>
          </cell>
          <cell r="N3199">
            <v>0</v>
          </cell>
          <cell r="O3199">
            <v>0</v>
          </cell>
          <cell r="Q3199">
            <v>0</v>
          </cell>
          <cell r="R3199">
            <v>0</v>
          </cell>
          <cell r="T3199">
            <v>0</v>
          </cell>
          <cell r="U3199">
            <v>0</v>
          </cell>
          <cell r="W3199">
            <v>0</v>
          </cell>
          <cell r="X3199">
            <v>0</v>
          </cell>
          <cell r="Z3199">
            <v>0</v>
          </cell>
          <cell r="AA3199">
            <v>0</v>
          </cell>
          <cell r="AC3199">
            <v>22521.65</v>
          </cell>
          <cell r="AD3199">
            <v>0</v>
          </cell>
          <cell r="AF3199">
            <v>0</v>
          </cell>
          <cell r="AG3199">
            <v>0</v>
          </cell>
          <cell r="AI3199">
            <v>0</v>
          </cell>
          <cell r="AJ3199">
            <v>0</v>
          </cell>
          <cell r="AL3199">
            <v>0</v>
          </cell>
          <cell r="AM3199">
            <v>0</v>
          </cell>
          <cell r="AO3199">
            <v>0</v>
          </cell>
          <cell r="AP3199">
            <v>0</v>
          </cell>
          <cell r="AR3199">
            <v>0</v>
          </cell>
          <cell r="AS3199">
            <v>0</v>
          </cell>
          <cell r="BF3199" t="str">
            <v>2010</v>
          </cell>
          <cell r="BG3199" t="str">
            <v>B021</v>
          </cell>
          <cell r="BH3199" t="str">
            <v>CC6</v>
          </cell>
        </row>
        <row r="3200">
          <cell r="K3200">
            <v>0</v>
          </cell>
          <cell r="L3200">
            <v>0</v>
          </cell>
          <cell r="N3200">
            <v>0</v>
          </cell>
          <cell r="O3200">
            <v>0</v>
          </cell>
          <cell r="Q3200">
            <v>0</v>
          </cell>
          <cell r="R3200">
            <v>0</v>
          </cell>
          <cell r="T3200">
            <v>0</v>
          </cell>
          <cell r="U3200">
            <v>0</v>
          </cell>
          <cell r="W3200">
            <v>0</v>
          </cell>
          <cell r="X3200">
            <v>0</v>
          </cell>
          <cell r="Z3200">
            <v>0</v>
          </cell>
          <cell r="AA3200">
            <v>0</v>
          </cell>
          <cell r="AC3200">
            <v>33855.5</v>
          </cell>
          <cell r="AD3200">
            <v>0</v>
          </cell>
          <cell r="AF3200">
            <v>3710</v>
          </cell>
          <cell r="AG3200">
            <v>0</v>
          </cell>
          <cell r="AI3200">
            <v>5445</v>
          </cell>
          <cell r="AJ3200">
            <v>0</v>
          </cell>
          <cell r="AL3200">
            <v>9385</v>
          </cell>
          <cell r="AM3200">
            <v>0</v>
          </cell>
          <cell r="AO3200">
            <v>14434</v>
          </cell>
          <cell r="AP3200">
            <v>0</v>
          </cell>
          <cell r="AR3200">
            <v>3400.7899999999936</v>
          </cell>
          <cell r="AS3200">
            <v>0</v>
          </cell>
          <cell r="BF3200" t="str">
            <v>2015</v>
          </cell>
          <cell r="BG3200" t="str">
            <v>B205</v>
          </cell>
          <cell r="BH3200" t="str">
            <v>CC1</v>
          </cell>
        </row>
        <row r="3201">
          <cell r="K3201">
            <v>0</v>
          </cell>
          <cell r="L3201">
            <v>0</v>
          </cell>
          <cell r="N3201">
            <v>0</v>
          </cell>
          <cell r="O3201">
            <v>0</v>
          </cell>
          <cell r="Q3201">
            <v>0</v>
          </cell>
          <cell r="R3201">
            <v>0</v>
          </cell>
          <cell r="T3201">
            <v>0</v>
          </cell>
          <cell r="U3201">
            <v>0</v>
          </cell>
          <cell r="W3201">
            <v>0</v>
          </cell>
          <cell r="X3201">
            <v>0</v>
          </cell>
          <cell r="Z3201">
            <v>0</v>
          </cell>
          <cell r="AA3201">
            <v>0</v>
          </cell>
          <cell r="AC3201">
            <v>31160</v>
          </cell>
          <cell r="AD3201">
            <v>0</v>
          </cell>
          <cell r="AF3201">
            <v>4440</v>
          </cell>
          <cell r="AG3201">
            <v>0</v>
          </cell>
          <cell r="AI3201">
            <v>1460</v>
          </cell>
          <cell r="AJ3201">
            <v>0</v>
          </cell>
          <cell r="AL3201">
            <v>0</v>
          </cell>
          <cell r="AM3201">
            <v>0</v>
          </cell>
          <cell r="AO3201">
            <v>0</v>
          </cell>
          <cell r="AP3201">
            <v>0</v>
          </cell>
          <cell r="AR3201">
            <v>0</v>
          </cell>
          <cell r="AS3201">
            <v>0</v>
          </cell>
          <cell r="BF3201" t="str">
            <v>2015</v>
          </cell>
          <cell r="BG3201" t="str">
            <v>B205</v>
          </cell>
          <cell r="BH3201" t="str">
            <v>CC2</v>
          </cell>
        </row>
        <row r="3202">
          <cell r="K3202">
            <v>0</v>
          </cell>
          <cell r="L3202">
            <v>0</v>
          </cell>
          <cell r="N3202">
            <v>0</v>
          </cell>
          <cell r="O3202">
            <v>0</v>
          </cell>
          <cell r="Q3202">
            <v>0</v>
          </cell>
          <cell r="R3202">
            <v>0</v>
          </cell>
          <cell r="T3202">
            <v>0</v>
          </cell>
          <cell r="U3202">
            <v>0</v>
          </cell>
          <cell r="W3202">
            <v>0</v>
          </cell>
          <cell r="X3202">
            <v>0</v>
          </cell>
          <cell r="Z3202">
            <v>0</v>
          </cell>
          <cell r="AA3202">
            <v>0</v>
          </cell>
          <cell r="AC3202">
            <v>13462</v>
          </cell>
          <cell r="AD3202">
            <v>0</v>
          </cell>
          <cell r="AF3202">
            <v>2250</v>
          </cell>
          <cell r="AG3202">
            <v>0</v>
          </cell>
          <cell r="AI3202">
            <v>0</v>
          </cell>
          <cell r="AJ3202">
            <v>0</v>
          </cell>
          <cell r="AL3202">
            <v>1840</v>
          </cell>
          <cell r="AM3202">
            <v>0</v>
          </cell>
          <cell r="AO3202">
            <v>0</v>
          </cell>
          <cell r="AP3202">
            <v>0</v>
          </cell>
          <cell r="AR3202">
            <v>0</v>
          </cell>
          <cell r="AS3202">
            <v>0</v>
          </cell>
          <cell r="BF3202" t="str">
            <v>2015</v>
          </cell>
          <cell r="BG3202" t="str">
            <v>B205</v>
          </cell>
          <cell r="BH3202" t="str">
            <v>CC3</v>
          </cell>
        </row>
        <row r="3203">
          <cell r="K3203">
            <v>0</v>
          </cell>
          <cell r="L3203">
            <v>0</v>
          </cell>
          <cell r="N3203">
            <v>0</v>
          </cell>
          <cell r="O3203">
            <v>0</v>
          </cell>
          <cell r="Q3203">
            <v>0</v>
          </cell>
          <cell r="R3203">
            <v>0</v>
          </cell>
          <cell r="T3203">
            <v>0</v>
          </cell>
          <cell r="U3203">
            <v>0</v>
          </cell>
          <cell r="W3203">
            <v>0</v>
          </cell>
          <cell r="X3203">
            <v>0</v>
          </cell>
          <cell r="Z3203">
            <v>0</v>
          </cell>
          <cell r="AA3203">
            <v>0</v>
          </cell>
          <cell r="AC3203">
            <v>17715</v>
          </cell>
          <cell r="AD3203">
            <v>0</v>
          </cell>
          <cell r="AF3203">
            <v>2460</v>
          </cell>
          <cell r="AG3203">
            <v>0</v>
          </cell>
          <cell r="AI3203">
            <v>0</v>
          </cell>
          <cell r="AJ3203">
            <v>0</v>
          </cell>
          <cell r="AL3203">
            <v>2690</v>
          </cell>
          <cell r="AM3203">
            <v>0</v>
          </cell>
          <cell r="AO3203">
            <v>0</v>
          </cell>
          <cell r="AP3203">
            <v>0</v>
          </cell>
          <cell r="AR3203">
            <v>0</v>
          </cell>
          <cell r="AS3203">
            <v>0</v>
          </cell>
          <cell r="BF3203" t="str">
            <v>2015</v>
          </cell>
          <cell r="BG3203" t="str">
            <v>B205</v>
          </cell>
          <cell r="BH3203" t="str">
            <v>CC4</v>
          </cell>
        </row>
        <row r="3204">
          <cell r="K3204">
            <v>0</v>
          </cell>
          <cell r="L3204">
            <v>0</v>
          </cell>
          <cell r="N3204">
            <v>0</v>
          </cell>
          <cell r="O3204">
            <v>0</v>
          </cell>
          <cell r="Q3204">
            <v>0</v>
          </cell>
          <cell r="R3204">
            <v>0</v>
          </cell>
          <cell r="T3204">
            <v>0</v>
          </cell>
          <cell r="U3204">
            <v>0</v>
          </cell>
          <cell r="W3204">
            <v>0</v>
          </cell>
          <cell r="X3204">
            <v>0</v>
          </cell>
          <cell r="Z3204">
            <v>0</v>
          </cell>
          <cell r="AA3204">
            <v>0</v>
          </cell>
          <cell r="AC3204">
            <v>17470</v>
          </cell>
          <cell r="AD3204">
            <v>0</v>
          </cell>
          <cell r="AF3204">
            <v>3140</v>
          </cell>
          <cell r="AG3204">
            <v>0</v>
          </cell>
          <cell r="AI3204">
            <v>0</v>
          </cell>
          <cell r="AJ3204">
            <v>0</v>
          </cell>
          <cell r="AL3204">
            <v>2740</v>
          </cell>
          <cell r="AM3204">
            <v>0</v>
          </cell>
          <cell r="AO3204">
            <v>0</v>
          </cell>
          <cell r="AP3204">
            <v>0</v>
          </cell>
          <cell r="AR3204">
            <v>0</v>
          </cell>
          <cell r="AS3204">
            <v>0</v>
          </cell>
          <cell r="BF3204" t="str">
            <v>2015</v>
          </cell>
          <cell r="BG3204" t="str">
            <v>B205</v>
          </cell>
          <cell r="BH3204" t="str">
            <v>CC6</v>
          </cell>
        </row>
        <row r="3205">
          <cell r="K3205">
            <v>0</v>
          </cell>
          <cell r="L3205">
            <v>0</v>
          </cell>
          <cell r="N3205">
            <v>0</v>
          </cell>
          <cell r="O3205">
            <v>0</v>
          </cell>
          <cell r="Q3205">
            <v>0</v>
          </cell>
          <cell r="R3205">
            <v>0</v>
          </cell>
          <cell r="T3205">
            <v>0</v>
          </cell>
          <cell r="U3205">
            <v>0</v>
          </cell>
          <cell r="W3205">
            <v>0</v>
          </cell>
          <cell r="X3205">
            <v>0</v>
          </cell>
          <cell r="Z3205">
            <v>0</v>
          </cell>
          <cell r="AA3205">
            <v>0</v>
          </cell>
          <cell r="AC3205">
            <v>11538.74</v>
          </cell>
          <cell r="AD3205">
            <v>0</v>
          </cell>
          <cell r="AF3205">
            <v>0</v>
          </cell>
          <cell r="AG3205">
            <v>0</v>
          </cell>
          <cell r="AI3205">
            <v>5799.9999999999982</v>
          </cell>
          <cell r="AJ3205">
            <v>0</v>
          </cell>
          <cell r="AL3205">
            <v>5800</v>
          </cell>
          <cell r="AM3205">
            <v>0</v>
          </cell>
          <cell r="AO3205">
            <v>5800</v>
          </cell>
          <cell r="AP3205">
            <v>0</v>
          </cell>
          <cell r="AR3205">
            <v>6578.0299999999988</v>
          </cell>
          <cell r="AS3205">
            <v>0</v>
          </cell>
          <cell r="BF3205" t="str">
            <v>2016</v>
          </cell>
          <cell r="BG3205" t="str">
            <v>B301</v>
          </cell>
          <cell r="BH3205" t="str">
            <v>CC1</v>
          </cell>
        </row>
        <row r="3206">
          <cell r="K3206">
            <v>0</v>
          </cell>
          <cell r="L3206">
            <v>0</v>
          </cell>
          <cell r="N3206">
            <v>0</v>
          </cell>
          <cell r="O3206">
            <v>0</v>
          </cell>
          <cell r="Q3206">
            <v>0</v>
          </cell>
          <cell r="R3206">
            <v>0</v>
          </cell>
          <cell r="T3206">
            <v>0</v>
          </cell>
          <cell r="U3206">
            <v>0</v>
          </cell>
          <cell r="W3206">
            <v>0</v>
          </cell>
          <cell r="X3206">
            <v>0</v>
          </cell>
          <cell r="Z3206">
            <v>0</v>
          </cell>
          <cell r="AA3206">
            <v>0</v>
          </cell>
          <cell r="AC3206">
            <v>22388.949999999997</v>
          </cell>
          <cell r="AD3206">
            <v>0</v>
          </cell>
          <cell r="AF3206">
            <v>5719.1100000000006</v>
          </cell>
          <cell r="AG3206">
            <v>0</v>
          </cell>
          <cell r="AI3206">
            <v>0</v>
          </cell>
          <cell r="AJ3206">
            <v>0</v>
          </cell>
          <cell r="AL3206">
            <v>0</v>
          </cell>
          <cell r="AM3206">
            <v>0</v>
          </cell>
          <cell r="AO3206">
            <v>0</v>
          </cell>
          <cell r="AP3206">
            <v>0</v>
          </cell>
          <cell r="AR3206">
            <v>0</v>
          </cell>
          <cell r="AS3206">
            <v>0</v>
          </cell>
          <cell r="BF3206" t="str">
            <v>2016</v>
          </cell>
          <cell r="BG3206" t="str">
            <v>B301</v>
          </cell>
          <cell r="BH3206" t="str">
            <v>CC2</v>
          </cell>
        </row>
        <row r="3207">
          <cell r="K3207">
            <v>0</v>
          </cell>
          <cell r="L3207">
            <v>0</v>
          </cell>
          <cell r="N3207">
            <v>0</v>
          </cell>
          <cell r="O3207">
            <v>0</v>
          </cell>
          <cell r="Q3207">
            <v>0</v>
          </cell>
          <cell r="R3207">
            <v>0</v>
          </cell>
          <cell r="T3207">
            <v>0</v>
          </cell>
          <cell r="U3207">
            <v>0</v>
          </cell>
          <cell r="W3207">
            <v>0</v>
          </cell>
          <cell r="X3207">
            <v>0</v>
          </cell>
          <cell r="Z3207">
            <v>0</v>
          </cell>
          <cell r="AA3207">
            <v>0</v>
          </cell>
          <cell r="AC3207">
            <v>11538.73</v>
          </cell>
          <cell r="AD3207">
            <v>0</v>
          </cell>
          <cell r="AF3207">
            <v>0</v>
          </cell>
          <cell r="AG3207">
            <v>0</v>
          </cell>
          <cell r="AI3207">
            <v>0</v>
          </cell>
          <cell r="AJ3207">
            <v>0</v>
          </cell>
          <cell r="AL3207">
            <v>0</v>
          </cell>
          <cell r="AM3207">
            <v>0</v>
          </cell>
          <cell r="AO3207">
            <v>0</v>
          </cell>
          <cell r="AP3207">
            <v>0</v>
          </cell>
          <cell r="AR3207">
            <v>0</v>
          </cell>
          <cell r="AS3207">
            <v>0</v>
          </cell>
          <cell r="BF3207" t="str">
            <v>2016</v>
          </cell>
          <cell r="BG3207" t="str">
            <v>B301</v>
          </cell>
          <cell r="BH3207" t="str">
            <v>CC3</v>
          </cell>
        </row>
        <row r="3208">
          <cell r="K3208">
            <v>0</v>
          </cell>
          <cell r="L3208">
            <v>0</v>
          </cell>
          <cell r="N3208">
            <v>0</v>
          </cell>
          <cell r="O3208">
            <v>0</v>
          </cell>
          <cell r="Q3208">
            <v>0</v>
          </cell>
          <cell r="R3208">
            <v>0</v>
          </cell>
          <cell r="T3208">
            <v>0</v>
          </cell>
          <cell r="U3208">
            <v>0</v>
          </cell>
          <cell r="W3208">
            <v>0</v>
          </cell>
          <cell r="X3208">
            <v>0</v>
          </cell>
          <cell r="Z3208">
            <v>0</v>
          </cell>
          <cell r="AA3208">
            <v>0</v>
          </cell>
          <cell r="AC3208">
            <v>11538.73</v>
          </cell>
          <cell r="AD3208">
            <v>0</v>
          </cell>
          <cell r="AF3208">
            <v>0</v>
          </cell>
          <cell r="AG3208">
            <v>0</v>
          </cell>
          <cell r="AI3208">
            <v>0</v>
          </cell>
          <cell r="AJ3208">
            <v>0</v>
          </cell>
          <cell r="AL3208">
            <v>0</v>
          </cell>
          <cell r="AM3208">
            <v>0</v>
          </cell>
          <cell r="AO3208">
            <v>0</v>
          </cell>
          <cell r="AP3208">
            <v>0</v>
          </cell>
          <cell r="AR3208">
            <v>0</v>
          </cell>
          <cell r="AS3208">
            <v>0</v>
          </cell>
          <cell r="BF3208" t="str">
            <v>2016</v>
          </cell>
          <cell r="BG3208" t="str">
            <v>B301</v>
          </cell>
          <cell r="BH3208" t="str">
            <v>CC4</v>
          </cell>
        </row>
        <row r="3209">
          <cell r="K3209">
            <v>0</v>
          </cell>
          <cell r="L3209">
            <v>0</v>
          </cell>
          <cell r="N3209">
            <v>0</v>
          </cell>
          <cell r="O3209">
            <v>0</v>
          </cell>
          <cell r="Q3209">
            <v>0</v>
          </cell>
          <cell r="R3209">
            <v>0</v>
          </cell>
          <cell r="T3209">
            <v>0</v>
          </cell>
          <cell r="U3209">
            <v>0</v>
          </cell>
          <cell r="W3209">
            <v>0</v>
          </cell>
          <cell r="X3209">
            <v>0</v>
          </cell>
          <cell r="Z3209">
            <v>0</v>
          </cell>
          <cell r="AA3209">
            <v>0</v>
          </cell>
          <cell r="AC3209">
            <v>11538.71</v>
          </cell>
          <cell r="AD3209">
            <v>0</v>
          </cell>
          <cell r="AF3209">
            <v>0</v>
          </cell>
          <cell r="AG3209">
            <v>0</v>
          </cell>
          <cell r="AI3209">
            <v>0</v>
          </cell>
          <cell r="AJ3209">
            <v>0</v>
          </cell>
          <cell r="AL3209">
            <v>0</v>
          </cell>
          <cell r="AM3209">
            <v>0</v>
          </cell>
          <cell r="AO3209">
            <v>0</v>
          </cell>
          <cell r="AP3209">
            <v>0</v>
          </cell>
          <cell r="AR3209">
            <v>0</v>
          </cell>
          <cell r="AS3209">
            <v>0</v>
          </cell>
          <cell r="BF3209" t="str">
            <v>2016</v>
          </cell>
          <cell r="BG3209" t="str">
            <v>B301</v>
          </cell>
          <cell r="BH3209" t="str">
            <v>CC6</v>
          </cell>
        </row>
        <row r="3210">
          <cell r="K3210">
            <v>0</v>
          </cell>
          <cell r="L3210">
            <v>0</v>
          </cell>
          <cell r="N3210">
            <v>0</v>
          </cell>
          <cell r="O3210">
            <v>0</v>
          </cell>
          <cell r="Q3210">
            <v>0</v>
          </cell>
          <cell r="R3210">
            <v>0</v>
          </cell>
          <cell r="T3210">
            <v>0</v>
          </cell>
          <cell r="U3210">
            <v>0</v>
          </cell>
          <cell r="W3210">
            <v>0</v>
          </cell>
          <cell r="X3210">
            <v>0</v>
          </cell>
          <cell r="Z3210">
            <v>0</v>
          </cell>
          <cell r="AA3210">
            <v>0</v>
          </cell>
          <cell r="AC3210">
            <v>253186.94999999998</v>
          </cell>
          <cell r="AD3210">
            <v>0</v>
          </cell>
          <cell r="AF3210">
            <v>42264.26999999999</v>
          </cell>
          <cell r="AG3210">
            <v>0</v>
          </cell>
          <cell r="AI3210">
            <v>40982.030000000028</v>
          </cell>
          <cell r="AJ3210">
            <v>0</v>
          </cell>
          <cell r="AL3210">
            <v>86510.37</v>
          </cell>
          <cell r="AM3210">
            <v>0</v>
          </cell>
          <cell r="AO3210">
            <v>90873.599999999977</v>
          </cell>
          <cell r="AP3210">
            <v>0</v>
          </cell>
          <cell r="AR3210">
            <v>95747.569999999949</v>
          </cell>
          <cell r="AS3210">
            <v>0</v>
          </cell>
          <cell r="BF3210" t="str">
            <v>2017</v>
          </cell>
          <cell r="BG3210" t="str">
            <v>B404</v>
          </cell>
          <cell r="BH3210" t="str">
            <v>CC1</v>
          </cell>
        </row>
        <row r="3211">
          <cell r="K3211">
            <v>0</v>
          </cell>
          <cell r="L3211">
            <v>0</v>
          </cell>
          <cell r="N3211">
            <v>0</v>
          </cell>
          <cell r="O3211">
            <v>0</v>
          </cell>
          <cell r="Q3211">
            <v>0</v>
          </cell>
          <cell r="R3211">
            <v>0</v>
          </cell>
          <cell r="T3211">
            <v>0</v>
          </cell>
          <cell r="U3211">
            <v>0</v>
          </cell>
          <cell r="W3211">
            <v>0</v>
          </cell>
          <cell r="X3211">
            <v>0</v>
          </cell>
          <cell r="Z3211">
            <v>0</v>
          </cell>
          <cell r="AA3211">
            <v>0</v>
          </cell>
          <cell r="AC3211">
            <v>337696.57</v>
          </cell>
          <cell r="AD3211">
            <v>0</v>
          </cell>
          <cell r="AF3211">
            <v>30909.880000000005</v>
          </cell>
          <cell r="AG3211">
            <v>0</v>
          </cell>
          <cell r="AI3211">
            <v>28490.119999999995</v>
          </cell>
          <cell r="AJ3211">
            <v>0</v>
          </cell>
          <cell r="AL3211">
            <v>12340.400000000023</v>
          </cell>
          <cell r="AM3211">
            <v>0</v>
          </cell>
          <cell r="AO3211">
            <v>6278.390000000014</v>
          </cell>
          <cell r="AP3211">
            <v>0</v>
          </cell>
          <cell r="AR3211">
            <v>0</v>
          </cell>
          <cell r="AS3211">
            <v>0</v>
          </cell>
          <cell r="BF3211" t="str">
            <v>2017</v>
          </cell>
          <cell r="BG3211" t="str">
            <v>B404</v>
          </cell>
          <cell r="BH3211" t="str">
            <v>CC2</v>
          </cell>
        </row>
        <row r="3212">
          <cell r="K3212">
            <v>0</v>
          </cell>
          <cell r="L3212">
            <v>0</v>
          </cell>
          <cell r="N3212">
            <v>0</v>
          </cell>
          <cell r="O3212">
            <v>0</v>
          </cell>
          <cell r="Q3212">
            <v>0</v>
          </cell>
          <cell r="R3212">
            <v>0</v>
          </cell>
          <cell r="T3212">
            <v>0</v>
          </cell>
          <cell r="U3212">
            <v>0</v>
          </cell>
          <cell r="W3212">
            <v>0</v>
          </cell>
          <cell r="X3212">
            <v>0</v>
          </cell>
          <cell r="Z3212">
            <v>0</v>
          </cell>
          <cell r="AA3212">
            <v>0</v>
          </cell>
          <cell r="AC3212">
            <v>146136.59</v>
          </cell>
          <cell r="AD3212">
            <v>0</v>
          </cell>
          <cell r="AF3212">
            <v>12254.229999999981</v>
          </cell>
          <cell r="AG3212">
            <v>0</v>
          </cell>
          <cell r="AI3212">
            <v>19080.630000000005</v>
          </cell>
          <cell r="AJ3212">
            <v>0</v>
          </cell>
          <cell r="AL3212">
            <v>827.67999999999302</v>
          </cell>
          <cell r="AM3212">
            <v>0</v>
          </cell>
          <cell r="AO3212">
            <v>0</v>
          </cell>
          <cell r="AP3212">
            <v>0</v>
          </cell>
          <cell r="AR3212">
            <v>0</v>
          </cell>
          <cell r="AS3212">
            <v>0</v>
          </cell>
          <cell r="BF3212" t="str">
            <v>2017</v>
          </cell>
          <cell r="BG3212" t="str">
            <v>B404</v>
          </cell>
          <cell r="BH3212" t="str">
            <v>CC3</v>
          </cell>
        </row>
        <row r="3213">
          <cell r="K3213">
            <v>0</v>
          </cell>
          <cell r="L3213">
            <v>0</v>
          </cell>
          <cell r="N3213">
            <v>0</v>
          </cell>
          <cell r="O3213">
            <v>0</v>
          </cell>
          <cell r="Q3213">
            <v>0</v>
          </cell>
          <cell r="R3213">
            <v>0</v>
          </cell>
          <cell r="T3213">
            <v>0</v>
          </cell>
          <cell r="U3213">
            <v>0</v>
          </cell>
          <cell r="W3213">
            <v>0</v>
          </cell>
          <cell r="X3213">
            <v>0</v>
          </cell>
          <cell r="Z3213">
            <v>0</v>
          </cell>
          <cell r="AA3213">
            <v>0</v>
          </cell>
          <cell r="AC3213">
            <v>180600.24</v>
          </cell>
          <cell r="AD3213">
            <v>0</v>
          </cell>
          <cell r="AF3213">
            <v>14378.659999999974</v>
          </cell>
          <cell r="AG3213">
            <v>0</v>
          </cell>
          <cell r="AI3213">
            <v>15440.120000000024</v>
          </cell>
          <cell r="AJ3213">
            <v>0</v>
          </cell>
          <cell r="AL3213">
            <v>647.57999999998719</v>
          </cell>
          <cell r="AM3213">
            <v>0</v>
          </cell>
          <cell r="AO3213">
            <v>705.88999999998487</v>
          </cell>
          <cell r="AP3213">
            <v>0</v>
          </cell>
          <cell r="AR3213">
            <v>0</v>
          </cell>
          <cell r="AS3213">
            <v>0</v>
          </cell>
          <cell r="BF3213" t="str">
            <v>2017</v>
          </cell>
          <cell r="BG3213" t="str">
            <v>B404</v>
          </cell>
          <cell r="BH3213" t="str">
            <v>CC4</v>
          </cell>
        </row>
        <row r="3214">
          <cell r="K3214">
            <v>0</v>
          </cell>
          <cell r="L3214">
            <v>0</v>
          </cell>
          <cell r="N3214">
            <v>0</v>
          </cell>
          <cell r="O3214">
            <v>0</v>
          </cell>
          <cell r="Q3214">
            <v>0</v>
          </cell>
          <cell r="R3214">
            <v>0</v>
          </cell>
          <cell r="T3214">
            <v>0</v>
          </cell>
          <cell r="U3214">
            <v>0</v>
          </cell>
          <cell r="W3214">
            <v>0</v>
          </cell>
          <cell r="X3214">
            <v>0</v>
          </cell>
          <cell r="Z3214">
            <v>0</v>
          </cell>
          <cell r="AA3214">
            <v>0</v>
          </cell>
          <cell r="AC3214">
            <v>216504.55</v>
          </cell>
          <cell r="AD3214">
            <v>0</v>
          </cell>
          <cell r="AF3214">
            <v>0</v>
          </cell>
          <cell r="AG3214">
            <v>0</v>
          </cell>
          <cell r="AI3214">
            <v>0</v>
          </cell>
          <cell r="AJ3214">
            <v>0</v>
          </cell>
          <cell r="AL3214">
            <v>0</v>
          </cell>
          <cell r="AM3214">
            <v>0</v>
          </cell>
          <cell r="AO3214">
            <v>1335.0099999999802</v>
          </cell>
          <cell r="AP3214">
            <v>0</v>
          </cell>
          <cell r="AR3214">
            <v>0</v>
          </cell>
          <cell r="AS3214">
            <v>0</v>
          </cell>
          <cell r="BF3214" t="str">
            <v>2017</v>
          </cell>
          <cell r="BG3214" t="str">
            <v>B404</v>
          </cell>
          <cell r="BH3214" t="str">
            <v>CC6</v>
          </cell>
        </row>
        <row r="3215">
          <cell r="K3215">
            <v>0</v>
          </cell>
          <cell r="L3215">
            <v>0</v>
          </cell>
          <cell r="N3215">
            <v>0</v>
          </cell>
          <cell r="O3215">
            <v>0</v>
          </cell>
          <cell r="Q3215">
            <v>0</v>
          </cell>
          <cell r="R3215">
            <v>0</v>
          </cell>
          <cell r="T3215">
            <v>0</v>
          </cell>
          <cell r="U3215">
            <v>0</v>
          </cell>
          <cell r="W3215">
            <v>0</v>
          </cell>
          <cell r="X3215">
            <v>0</v>
          </cell>
          <cell r="Z3215">
            <v>0</v>
          </cell>
          <cell r="AA3215">
            <v>0</v>
          </cell>
          <cell r="AC3215">
            <v>73316.25</v>
          </cell>
          <cell r="AD3215">
            <v>0</v>
          </cell>
          <cell r="AF3215">
            <v>6892.9799999999959</v>
          </cell>
          <cell r="AG3215">
            <v>0</v>
          </cell>
          <cell r="AI3215">
            <v>0</v>
          </cell>
          <cell r="AJ3215">
            <v>0</v>
          </cell>
          <cell r="AL3215">
            <v>13785.960000000006</v>
          </cell>
          <cell r="AM3215">
            <v>0</v>
          </cell>
          <cell r="AO3215">
            <v>6892.9799999999959</v>
          </cell>
          <cell r="AP3215">
            <v>0</v>
          </cell>
          <cell r="AR3215">
            <v>8271.5800000000017</v>
          </cell>
          <cell r="AS3215">
            <v>0</v>
          </cell>
          <cell r="BF3215" t="str">
            <v>3160</v>
          </cell>
          <cell r="BG3215" t="str">
            <v>C101</v>
          </cell>
          <cell r="BH3215" t="str">
            <v>CC1</v>
          </cell>
        </row>
        <row r="3216">
          <cell r="K3216">
            <v>0</v>
          </cell>
          <cell r="L3216">
            <v>0</v>
          </cell>
          <cell r="N3216">
            <v>0</v>
          </cell>
          <cell r="O3216">
            <v>0</v>
          </cell>
          <cell r="Q3216">
            <v>0</v>
          </cell>
          <cell r="R3216">
            <v>0</v>
          </cell>
          <cell r="T3216">
            <v>0</v>
          </cell>
          <cell r="U3216">
            <v>0</v>
          </cell>
          <cell r="W3216">
            <v>0</v>
          </cell>
          <cell r="X3216">
            <v>0</v>
          </cell>
          <cell r="Z3216">
            <v>0</v>
          </cell>
          <cell r="AA3216">
            <v>0</v>
          </cell>
          <cell r="AC3216">
            <v>14376</v>
          </cell>
          <cell r="AD3216">
            <v>0</v>
          </cell>
          <cell r="AF3216">
            <v>0</v>
          </cell>
          <cell r="AG3216">
            <v>0</v>
          </cell>
          <cell r="AI3216">
            <v>2400</v>
          </cell>
          <cell r="AJ3216">
            <v>0</v>
          </cell>
          <cell r="AL3216">
            <v>0</v>
          </cell>
          <cell r="AM3216">
            <v>0</v>
          </cell>
          <cell r="AO3216">
            <v>6250</v>
          </cell>
          <cell r="AP3216">
            <v>0</v>
          </cell>
          <cell r="AR3216">
            <v>71250</v>
          </cell>
          <cell r="AS3216">
            <v>0</v>
          </cell>
          <cell r="BF3216" t="str">
            <v>4000</v>
          </cell>
          <cell r="BG3216" t="str">
            <v>D001</v>
          </cell>
          <cell r="BH3216" t="str">
            <v>CC0</v>
          </cell>
        </row>
        <row r="3217">
          <cell r="K3217">
            <v>0</v>
          </cell>
          <cell r="L3217">
            <v>0</v>
          </cell>
          <cell r="N3217">
            <v>0</v>
          </cell>
          <cell r="O3217">
            <v>0</v>
          </cell>
          <cell r="Q3217">
            <v>0</v>
          </cell>
          <cell r="R3217">
            <v>0</v>
          </cell>
          <cell r="T3217">
            <v>0</v>
          </cell>
          <cell r="U3217">
            <v>0</v>
          </cell>
          <cell r="W3217">
            <v>0</v>
          </cell>
          <cell r="X3217">
            <v>0</v>
          </cell>
          <cell r="Z3217">
            <v>0</v>
          </cell>
          <cell r="AA3217">
            <v>0</v>
          </cell>
          <cell r="AC3217">
            <v>13750</v>
          </cell>
          <cell r="AD3217">
            <v>0</v>
          </cell>
          <cell r="AF3217">
            <v>1250</v>
          </cell>
          <cell r="AG3217">
            <v>0</v>
          </cell>
          <cell r="AI3217">
            <v>1250</v>
          </cell>
          <cell r="AJ3217">
            <v>0</v>
          </cell>
          <cell r="AL3217">
            <v>1250.0028569999995</v>
          </cell>
          <cell r="AM3217">
            <v>0</v>
          </cell>
          <cell r="AO3217">
            <v>0</v>
          </cell>
          <cell r="AP3217">
            <v>0</v>
          </cell>
          <cell r="AR3217">
            <v>0</v>
          </cell>
          <cell r="AS3217">
            <v>0</v>
          </cell>
          <cell r="BF3217" t="str">
            <v>4000</v>
          </cell>
          <cell r="BG3217" t="str">
            <v>D001</v>
          </cell>
          <cell r="BH3217" t="str">
            <v>CC1</v>
          </cell>
        </row>
        <row r="3218">
          <cell r="K3218">
            <v>0</v>
          </cell>
          <cell r="L3218">
            <v>0</v>
          </cell>
          <cell r="N3218">
            <v>0</v>
          </cell>
          <cell r="O3218">
            <v>0</v>
          </cell>
          <cell r="Q3218">
            <v>0</v>
          </cell>
          <cell r="R3218">
            <v>0</v>
          </cell>
          <cell r="T3218">
            <v>0</v>
          </cell>
          <cell r="U3218">
            <v>0</v>
          </cell>
          <cell r="W3218">
            <v>0</v>
          </cell>
          <cell r="X3218">
            <v>0</v>
          </cell>
          <cell r="Z3218">
            <v>0</v>
          </cell>
          <cell r="AA3218">
            <v>0</v>
          </cell>
          <cell r="AC3218">
            <v>13750</v>
          </cell>
          <cell r="AD3218">
            <v>0</v>
          </cell>
          <cell r="AF3218">
            <v>1250</v>
          </cell>
          <cell r="AG3218">
            <v>0</v>
          </cell>
          <cell r="AI3218">
            <v>1250</v>
          </cell>
          <cell r="AJ3218">
            <v>0</v>
          </cell>
          <cell r="AL3218">
            <v>1250</v>
          </cell>
          <cell r="AM3218">
            <v>0</v>
          </cell>
          <cell r="AO3218">
            <v>0</v>
          </cell>
          <cell r="AP3218">
            <v>0</v>
          </cell>
          <cell r="AR3218">
            <v>0</v>
          </cell>
          <cell r="AS3218">
            <v>0</v>
          </cell>
          <cell r="BF3218" t="str">
            <v>4000</v>
          </cell>
          <cell r="BG3218" t="str">
            <v>D001</v>
          </cell>
          <cell r="BH3218" t="str">
            <v>CC2</v>
          </cell>
        </row>
        <row r="3219">
          <cell r="K3219">
            <v>0</v>
          </cell>
          <cell r="L3219">
            <v>0</v>
          </cell>
          <cell r="N3219">
            <v>0</v>
          </cell>
          <cell r="O3219">
            <v>0</v>
          </cell>
          <cell r="Q3219">
            <v>0</v>
          </cell>
          <cell r="R3219">
            <v>0</v>
          </cell>
          <cell r="T3219">
            <v>0</v>
          </cell>
          <cell r="U3219">
            <v>0</v>
          </cell>
          <cell r="W3219">
            <v>0</v>
          </cell>
          <cell r="X3219">
            <v>0</v>
          </cell>
          <cell r="Z3219">
            <v>0</v>
          </cell>
          <cell r="AA3219">
            <v>0</v>
          </cell>
          <cell r="AC3219">
            <v>13750</v>
          </cell>
          <cell r="AD3219">
            <v>0</v>
          </cell>
          <cell r="AF3219">
            <v>1250</v>
          </cell>
          <cell r="AG3219">
            <v>0</v>
          </cell>
          <cell r="AI3219">
            <v>1250</v>
          </cell>
          <cell r="AJ3219">
            <v>0</v>
          </cell>
          <cell r="AL3219">
            <v>1250</v>
          </cell>
          <cell r="AM3219">
            <v>0</v>
          </cell>
          <cell r="AO3219">
            <v>0</v>
          </cell>
          <cell r="AP3219">
            <v>0</v>
          </cell>
          <cell r="AR3219">
            <v>0</v>
          </cell>
          <cell r="AS3219">
            <v>0</v>
          </cell>
          <cell r="BF3219" t="str">
            <v>4000</v>
          </cell>
          <cell r="BG3219" t="str">
            <v>D001</v>
          </cell>
          <cell r="BH3219" t="str">
            <v>CC3</v>
          </cell>
        </row>
        <row r="3220">
          <cell r="K3220">
            <v>0</v>
          </cell>
          <cell r="L3220">
            <v>0</v>
          </cell>
          <cell r="N3220">
            <v>0</v>
          </cell>
          <cell r="O3220">
            <v>0</v>
          </cell>
          <cell r="Q3220">
            <v>0</v>
          </cell>
          <cell r="R3220">
            <v>0</v>
          </cell>
          <cell r="T3220">
            <v>0</v>
          </cell>
          <cell r="U3220">
            <v>0</v>
          </cell>
          <cell r="W3220">
            <v>0</v>
          </cell>
          <cell r="X3220">
            <v>0</v>
          </cell>
          <cell r="Z3220">
            <v>0</v>
          </cell>
          <cell r="AA3220">
            <v>0</v>
          </cell>
          <cell r="AC3220">
            <v>13750</v>
          </cell>
          <cell r="AD3220">
            <v>0</v>
          </cell>
          <cell r="AF3220">
            <v>1250</v>
          </cell>
          <cell r="AG3220">
            <v>0</v>
          </cell>
          <cell r="AI3220">
            <v>1250</v>
          </cell>
          <cell r="AJ3220">
            <v>0</v>
          </cell>
          <cell r="AL3220">
            <v>1250</v>
          </cell>
          <cell r="AM3220">
            <v>0</v>
          </cell>
          <cell r="AO3220">
            <v>0</v>
          </cell>
          <cell r="AP3220">
            <v>0</v>
          </cell>
          <cell r="AR3220">
            <v>0</v>
          </cell>
          <cell r="AS3220">
            <v>0</v>
          </cell>
          <cell r="BF3220" t="str">
            <v>4000</v>
          </cell>
          <cell r="BG3220" t="str">
            <v>D001</v>
          </cell>
          <cell r="BH3220" t="str">
            <v>CC4</v>
          </cell>
        </row>
        <row r="3221">
          <cell r="K3221">
            <v>0</v>
          </cell>
          <cell r="L3221">
            <v>0</v>
          </cell>
          <cell r="N3221">
            <v>0</v>
          </cell>
          <cell r="O3221">
            <v>0</v>
          </cell>
          <cell r="Q3221">
            <v>0</v>
          </cell>
          <cell r="R3221">
            <v>0</v>
          </cell>
          <cell r="T3221">
            <v>0</v>
          </cell>
          <cell r="U3221">
            <v>0</v>
          </cell>
          <cell r="W3221">
            <v>0</v>
          </cell>
          <cell r="X3221">
            <v>0</v>
          </cell>
          <cell r="Z3221">
            <v>0</v>
          </cell>
          <cell r="AA3221">
            <v>0</v>
          </cell>
          <cell r="AC3221">
            <v>13750</v>
          </cell>
          <cell r="AD3221">
            <v>0</v>
          </cell>
          <cell r="AF3221">
            <v>1250</v>
          </cell>
          <cell r="AG3221">
            <v>0</v>
          </cell>
          <cell r="AI3221">
            <v>1250</v>
          </cell>
          <cell r="AJ3221">
            <v>0</v>
          </cell>
          <cell r="AL3221">
            <v>1250</v>
          </cell>
          <cell r="AM3221">
            <v>0</v>
          </cell>
          <cell r="AO3221">
            <v>0</v>
          </cell>
          <cell r="AP3221">
            <v>0</v>
          </cell>
          <cell r="AR3221">
            <v>0</v>
          </cell>
          <cell r="AS3221">
            <v>0</v>
          </cell>
          <cell r="BF3221" t="str">
            <v>4000</v>
          </cell>
          <cell r="BG3221" t="str">
            <v>D001</v>
          </cell>
          <cell r="BH3221" t="str">
            <v>CC6</v>
          </cell>
        </row>
        <row r="3222">
          <cell r="K3222">
            <v>0</v>
          </cell>
          <cell r="L3222">
            <v>0</v>
          </cell>
          <cell r="N3222">
            <v>0</v>
          </cell>
          <cell r="O3222">
            <v>0</v>
          </cell>
          <cell r="Q3222">
            <v>0</v>
          </cell>
          <cell r="R3222">
            <v>0</v>
          </cell>
          <cell r="T3222">
            <v>0</v>
          </cell>
          <cell r="U3222">
            <v>0</v>
          </cell>
          <cell r="W3222">
            <v>0</v>
          </cell>
          <cell r="X3222">
            <v>0</v>
          </cell>
          <cell r="Z3222">
            <v>0</v>
          </cell>
          <cell r="AA3222">
            <v>0</v>
          </cell>
          <cell r="AC3222">
            <v>64676.100000000006</v>
          </cell>
          <cell r="AD3222">
            <v>0</v>
          </cell>
          <cell r="AF3222">
            <v>0</v>
          </cell>
          <cell r="AG3222">
            <v>0</v>
          </cell>
          <cell r="AI3222">
            <v>-45000</v>
          </cell>
          <cell r="AJ3222">
            <v>0</v>
          </cell>
          <cell r="AL3222">
            <v>2407.1399999999994</v>
          </cell>
          <cell r="AM3222">
            <v>0</v>
          </cell>
          <cell r="AO3222">
            <v>0</v>
          </cell>
          <cell r="AP3222">
            <v>0</v>
          </cell>
          <cell r="AR3222">
            <v>0</v>
          </cell>
          <cell r="AS3222">
            <v>0</v>
          </cell>
          <cell r="BF3222" t="str">
            <v>4000</v>
          </cell>
          <cell r="BG3222" t="str">
            <v>D103</v>
          </cell>
          <cell r="BH3222" t="str">
            <v>CC1</v>
          </cell>
        </row>
        <row r="3223">
          <cell r="K3223">
            <v>0</v>
          </cell>
          <cell r="L3223">
            <v>0</v>
          </cell>
          <cell r="N3223">
            <v>0</v>
          </cell>
          <cell r="O3223">
            <v>0</v>
          </cell>
          <cell r="Q3223">
            <v>0</v>
          </cell>
          <cell r="R3223">
            <v>0</v>
          </cell>
          <cell r="T3223">
            <v>0</v>
          </cell>
          <cell r="U3223">
            <v>0</v>
          </cell>
          <cell r="W3223">
            <v>0</v>
          </cell>
          <cell r="X3223">
            <v>0</v>
          </cell>
          <cell r="Z3223">
            <v>0</v>
          </cell>
          <cell r="AA3223">
            <v>0</v>
          </cell>
          <cell r="AC3223">
            <v>22995.19</v>
          </cell>
          <cell r="AD3223">
            <v>0</v>
          </cell>
          <cell r="AF3223">
            <v>0</v>
          </cell>
          <cell r="AG3223">
            <v>0</v>
          </cell>
          <cell r="AI3223">
            <v>0</v>
          </cell>
          <cell r="AJ3223">
            <v>0</v>
          </cell>
          <cell r="AL3223">
            <v>0</v>
          </cell>
          <cell r="AM3223">
            <v>0</v>
          </cell>
          <cell r="AO3223">
            <v>0</v>
          </cell>
          <cell r="AP3223">
            <v>0</v>
          </cell>
          <cell r="AR3223">
            <v>0</v>
          </cell>
          <cell r="AS3223">
            <v>0</v>
          </cell>
          <cell r="BF3223" t="str">
            <v>4000</v>
          </cell>
          <cell r="BG3223" t="str">
            <v>D103</v>
          </cell>
          <cell r="BH3223" t="str">
            <v>CC2</v>
          </cell>
        </row>
        <row r="3224">
          <cell r="K3224">
            <v>0</v>
          </cell>
          <cell r="L3224">
            <v>0</v>
          </cell>
          <cell r="N3224">
            <v>0</v>
          </cell>
          <cell r="O3224">
            <v>0</v>
          </cell>
          <cell r="Q3224">
            <v>0</v>
          </cell>
          <cell r="R3224">
            <v>0</v>
          </cell>
          <cell r="T3224">
            <v>0</v>
          </cell>
          <cell r="U3224">
            <v>0</v>
          </cell>
          <cell r="W3224">
            <v>0</v>
          </cell>
          <cell r="X3224">
            <v>0</v>
          </cell>
          <cell r="Z3224">
            <v>0</v>
          </cell>
          <cell r="AA3224">
            <v>0</v>
          </cell>
          <cell r="AC3224">
            <v>22995.200000000001</v>
          </cell>
          <cell r="AD3224">
            <v>0</v>
          </cell>
          <cell r="AF3224">
            <v>0</v>
          </cell>
          <cell r="AG3224">
            <v>0</v>
          </cell>
          <cell r="AI3224">
            <v>0</v>
          </cell>
          <cell r="AJ3224">
            <v>0</v>
          </cell>
          <cell r="AL3224">
            <v>0</v>
          </cell>
          <cell r="AM3224">
            <v>0</v>
          </cell>
          <cell r="AO3224">
            <v>0</v>
          </cell>
          <cell r="AP3224">
            <v>0</v>
          </cell>
          <cell r="AR3224">
            <v>0</v>
          </cell>
          <cell r="AS3224">
            <v>0</v>
          </cell>
          <cell r="BF3224" t="str">
            <v>4000</v>
          </cell>
          <cell r="BG3224" t="str">
            <v>D103</v>
          </cell>
          <cell r="BH3224" t="str">
            <v>CC3</v>
          </cell>
        </row>
        <row r="3225">
          <cell r="K3225">
            <v>0</v>
          </cell>
          <cell r="L3225">
            <v>0</v>
          </cell>
          <cell r="N3225">
            <v>0</v>
          </cell>
          <cell r="O3225">
            <v>0</v>
          </cell>
          <cell r="Q3225">
            <v>0</v>
          </cell>
          <cell r="R3225">
            <v>0</v>
          </cell>
          <cell r="T3225">
            <v>0</v>
          </cell>
          <cell r="U3225">
            <v>0</v>
          </cell>
          <cell r="W3225">
            <v>0</v>
          </cell>
          <cell r="X3225">
            <v>0</v>
          </cell>
          <cell r="Z3225">
            <v>0</v>
          </cell>
          <cell r="AA3225">
            <v>0</v>
          </cell>
          <cell r="AC3225">
            <v>22995.21</v>
          </cell>
          <cell r="AD3225">
            <v>0</v>
          </cell>
          <cell r="AF3225">
            <v>0</v>
          </cell>
          <cell r="AG3225">
            <v>0</v>
          </cell>
          <cell r="AI3225">
            <v>0</v>
          </cell>
          <cell r="AJ3225">
            <v>0</v>
          </cell>
          <cell r="AL3225">
            <v>0</v>
          </cell>
          <cell r="AM3225">
            <v>0</v>
          </cell>
          <cell r="AO3225">
            <v>0</v>
          </cell>
          <cell r="AP3225">
            <v>0</v>
          </cell>
          <cell r="AR3225">
            <v>0</v>
          </cell>
          <cell r="AS3225">
            <v>0</v>
          </cell>
          <cell r="BF3225" t="str">
            <v>4000</v>
          </cell>
          <cell r="BG3225" t="str">
            <v>D103</v>
          </cell>
          <cell r="BH3225" t="str">
            <v>CC4</v>
          </cell>
        </row>
        <row r="3226">
          <cell r="K3226">
            <v>0</v>
          </cell>
          <cell r="L3226">
            <v>0</v>
          </cell>
          <cell r="N3226">
            <v>0</v>
          </cell>
          <cell r="O3226">
            <v>0</v>
          </cell>
          <cell r="Q3226">
            <v>0</v>
          </cell>
          <cell r="R3226">
            <v>0</v>
          </cell>
          <cell r="T3226">
            <v>0</v>
          </cell>
          <cell r="U3226">
            <v>0</v>
          </cell>
          <cell r="W3226">
            <v>0</v>
          </cell>
          <cell r="X3226">
            <v>0</v>
          </cell>
          <cell r="Z3226">
            <v>0</v>
          </cell>
          <cell r="AA3226">
            <v>0</v>
          </cell>
          <cell r="AC3226">
            <v>22995.200000000001</v>
          </cell>
          <cell r="AD3226">
            <v>0</v>
          </cell>
          <cell r="AF3226">
            <v>0</v>
          </cell>
          <cell r="AG3226">
            <v>0</v>
          </cell>
          <cell r="AI3226">
            <v>0</v>
          </cell>
          <cell r="AJ3226">
            <v>0</v>
          </cell>
          <cell r="AL3226">
            <v>0</v>
          </cell>
          <cell r="AM3226">
            <v>0</v>
          </cell>
          <cell r="AO3226">
            <v>0</v>
          </cell>
          <cell r="AP3226">
            <v>0</v>
          </cell>
          <cell r="AR3226">
            <v>0</v>
          </cell>
          <cell r="AS3226">
            <v>0</v>
          </cell>
          <cell r="BF3226" t="str">
            <v>4000</v>
          </cell>
          <cell r="BG3226" t="str">
            <v>D103</v>
          </cell>
          <cell r="BH3226" t="str">
            <v>CC6</v>
          </cell>
        </row>
        <row r="3227">
          <cell r="K3227">
            <v>0</v>
          </cell>
          <cell r="L3227">
            <v>0</v>
          </cell>
          <cell r="N3227">
            <v>0</v>
          </cell>
          <cell r="O3227">
            <v>0</v>
          </cell>
          <cell r="Q3227">
            <v>0</v>
          </cell>
          <cell r="R3227">
            <v>0</v>
          </cell>
          <cell r="T3227">
            <v>0</v>
          </cell>
          <cell r="U3227">
            <v>0</v>
          </cell>
          <cell r="W3227">
            <v>0</v>
          </cell>
          <cell r="X3227">
            <v>0</v>
          </cell>
          <cell r="Z3227">
            <v>0</v>
          </cell>
          <cell r="AA3227">
            <v>0</v>
          </cell>
          <cell r="AC3227">
            <v>29651.040000000001</v>
          </cell>
          <cell r="AD3227">
            <v>0</v>
          </cell>
          <cell r="AF3227">
            <v>5403.7800000000061</v>
          </cell>
          <cell r="AG3227">
            <v>0</v>
          </cell>
          <cell r="AI3227">
            <v>3964.9400000000023</v>
          </cell>
          <cell r="AJ3227">
            <v>0</v>
          </cell>
          <cell r="AL3227">
            <v>5755.410000000018</v>
          </cell>
          <cell r="AM3227">
            <v>0</v>
          </cell>
          <cell r="AO3227">
            <v>5366.3899999999994</v>
          </cell>
          <cell r="AP3227">
            <v>0</v>
          </cell>
          <cell r="AR3227">
            <v>9264.7599999999948</v>
          </cell>
          <cell r="AS3227">
            <v>0</v>
          </cell>
          <cell r="BF3227" t="str">
            <v>4150</v>
          </cell>
          <cell r="BG3227" t="str">
            <v>Z000</v>
          </cell>
          <cell r="BH3227" t="str">
            <v>CC1</v>
          </cell>
        </row>
        <row r="3228">
          <cell r="K3228">
            <v>0</v>
          </cell>
          <cell r="L3228">
            <v>0</v>
          </cell>
          <cell r="N3228">
            <v>0</v>
          </cell>
          <cell r="O3228">
            <v>0</v>
          </cell>
          <cell r="Q3228">
            <v>0</v>
          </cell>
          <cell r="R3228">
            <v>0</v>
          </cell>
          <cell r="T3228">
            <v>0</v>
          </cell>
          <cell r="U3228">
            <v>0</v>
          </cell>
          <cell r="W3228">
            <v>0</v>
          </cell>
          <cell r="X3228">
            <v>0</v>
          </cell>
          <cell r="Z3228">
            <v>0</v>
          </cell>
          <cell r="AA3228">
            <v>0</v>
          </cell>
          <cell r="AC3228">
            <v>12600.34</v>
          </cell>
          <cell r="AD3228">
            <v>0</v>
          </cell>
          <cell r="AF3228">
            <v>0</v>
          </cell>
          <cell r="AG3228">
            <v>0</v>
          </cell>
          <cell r="AI3228">
            <v>1685.4400000000005</v>
          </cell>
          <cell r="AJ3228">
            <v>0</v>
          </cell>
          <cell r="AL3228">
            <v>2322.3199999999979</v>
          </cell>
          <cell r="AM3228">
            <v>0</v>
          </cell>
          <cell r="AO3228">
            <v>2271.3399999999965</v>
          </cell>
          <cell r="AP3228">
            <v>0</v>
          </cell>
          <cell r="AR3228">
            <v>0</v>
          </cell>
          <cell r="AS3228">
            <v>0</v>
          </cell>
          <cell r="BF3228" t="str">
            <v>4150</v>
          </cell>
          <cell r="BG3228" t="str">
            <v>Z000</v>
          </cell>
          <cell r="BH3228" t="str">
            <v>CC2</v>
          </cell>
        </row>
        <row r="3229">
          <cell r="K3229">
            <v>0</v>
          </cell>
          <cell r="L3229">
            <v>0</v>
          </cell>
          <cell r="N3229">
            <v>0</v>
          </cell>
          <cell r="O3229">
            <v>0</v>
          </cell>
          <cell r="Q3229">
            <v>0</v>
          </cell>
          <cell r="R3229">
            <v>0</v>
          </cell>
          <cell r="T3229">
            <v>0</v>
          </cell>
          <cell r="U3229">
            <v>0</v>
          </cell>
          <cell r="W3229">
            <v>0</v>
          </cell>
          <cell r="X3229">
            <v>0</v>
          </cell>
          <cell r="Z3229">
            <v>0</v>
          </cell>
          <cell r="AA3229">
            <v>0</v>
          </cell>
          <cell r="AC3229">
            <v>5168.78</v>
          </cell>
          <cell r="AD3229">
            <v>0</v>
          </cell>
          <cell r="AF3229">
            <v>0</v>
          </cell>
          <cell r="AG3229">
            <v>0</v>
          </cell>
          <cell r="AI3229">
            <v>0</v>
          </cell>
          <cell r="AJ3229">
            <v>0</v>
          </cell>
          <cell r="AL3229">
            <v>0</v>
          </cell>
          <cell r="AM3229">
            <v>0</v>
          </cell>
          <cell r="AO3229">
            <v>0</v>
          </cell>
          <cell r="AP3229">
            <v>0</v>
          </cell>
          <cell r="AR3229">
            <v>0</v>
          </cell>
          <cell r="AS3229">
            <v>0</v>
          </cell>
          <cell r="BF3229" t="str">
            <v>4150</v>
          </cell>
          <cell r="BG3229" t="str">
            <v>Z000</v>
          </cell>
          <cell r="BH3229" t="str">
            <v>CC3</v>
          </cell>
        </row>
        <row r="3230">
          <cell r="K3230">
            <v>0</v>
          </cell>
          <cell r="L3230">
            <v>0</v>
          </cell>
          <cell r="N3230">
            <v>0</v>
          </cell>
          <cell r="O3230">
            <v>0</v>
          </cell>
          <cell r="Q3230">
            <v>0</v>
          </cell>
          <cell r="R3230">
            <v>0</v>
          </cell>
          <cell r="T3230">
            <v>0</v>
          </cell>
          <cell r="U3230">
            <v>0</v>
          </cell>
          <cell r="W3230">
            <v>0</v>
          </cell>
          <cell r="X3230">
            <v>0</v>
          </cell>
          <cell r="Z3230">
            <v>0</v>
          </cell>
          <cell r="AA3230">
            <v>0</v>
          </cell>
          <cell r="AC3230">
            <v>2003.32</v>
          </cell>
          <cell r="AD3230">
            <v>0</v>
          </cell>
          <cell r="AF3230">
            <v>0</v>
          </cell>
          <cell r="AG3230">
            <v>0</v>
          </cell>
          <cell r="AI3230">
            <v>67.870000000000118</v>
          </cell>
          <cell r="AJ3230">
            <v>0</v>
          </cell>
          <cell r="AL3230">
            <v>67.869999999999891</v>
          </cell>
          <cell r="AM3230">
            <v>0</v>
          </cell>
          <cell r="AO3230">
            <v>610.85999999999967</v>
          </cell>
          <cell r="AP3230">
            <v>0</v>
          </cell>
          <cell r="AR3230">
            <v>0</v>
          </cell>
          <cell r="AS3230">
            <v>0</v>
          </cell>
          <cell r="BF3230" t="str">
            <v>4150</v>
          </cell>
          <cell r="BG3230" t="str">
            <v>Z000</v>
          </cell>
          <cell r="BH3230" t="str">
            <v>CC4</v>
          </cell>
        </row>
        <row r="3231">
          <cell r="K3231">
            <v>0</v>
          </cell>
          <cell r="L3231">
            <v>0</v>
          </cell>
          <cell r="N3231">
            <v>0</v>
          </cell>
          <cell r="O3231">
            <v>0</v>
          </cell>
          <cell r="Q3231">
            <v>0</v>
          </cell>
          <cell r="R3231">
            <v>0</v>
          </cell>
          <cell r="T3231">
            <v>0</v>
          </cell>
          <cell r="U3231">
            <v>0</v>
          </cell>
          <cell r="W3231">
            <v>0</v>
          </cell>
          <cell r="X3231">
            <v>0</v>
          </cell>
          <cell r="Z3231">
            <v>0</v>
          </cell>
          <cell r="AA3231">
            <v>0</v>
          </cell>
          <cell r="AC3231">
            <v>2678.1000000000004</v>
          </cell>
          <cell r="AD3231">
            <v>0</v>
          </cell>
          <cell r="AF3231">
            <v>0</v>
          </cell>
          <cell r="AG3231">
            <v>0</v>
          </cell>
          <cell r="AI3231">
            <v>-20201.36</v>
          </cell>
          <cell r="AJ3231">
            <v>0</v>
          </cell>
          <cell r="AL3231">
            <v>0</v>
          </cell>
          <cell r="AM3231">
            <v>0</v>
          </cell>
          <cell r="AO3231">
            <v>0</v>
          </cell>
          <cell r="AP3231">
            <v>0</v>
          </cell>
          <cell r="AR3231">
            <v>7112.8600000000006</v>
          </cell>
          <cell r="AS3231">
            <v>0</v>
          </cell>
          <cell r="BF3231" t="str">
            <v>4200</v>
          </cell>
          <cell r="BG3231" t="str">
            <v>Z000</v>
          </cell>
          <cell r="BH3231" t="str">
            <v>CC1</v>
          </cell>
        </row>
        <row r="3232">
          <cell r="K3232">
            <v>0</v>
          </cell>
          <cell r="L3232">
            <v>0</v>
          </cell>
          <cell r="N3232">
            <v>0</v>
          </cell>
          <cell r="O3232">
            <v>0</v>
          </cell>
          <cell r="Q3232">
            <v>0</v>
          </cell>
          <cell r="R3232">
            <v>0</v>
          </cell>
          <cell r="T3232">
            <v>0</v>
          </cell>
          <cell r="U3232">
            <v>0</v>
          </cell>
          <cell r="W3232">
            <v>0</v>
          </cell>
          <cell r="X3232">
            <v>0</v>
          </cell>
          <cell r="Z3232">
            <v>0</v>
          </cell>
          <cell r="AA3232">
            <v>0</v>
          </cell>
          <cell r="AC3232">
            <v>1923.25</v>
          </cell>
          <cell r="AD3232">
            <v>0</v>
          </cell>
          <cell r="AF3232">
            <v>0</v>
          </cell>
          <cell r="AG3232">
            <v>0</v>
          </cell>
          <cell r="AI3232">
            <v>0</v>
          </cell>
          <cell r="AJ3232">
            <v>0</v>
          </cell>
          <cell r="AL3232">
            <v>0</v>
          </cell>
          <cell r="AM3232">
            <v>0</v>
          </cell>
          <cell r="AO3232">
            <v>0</v>
          </cell>
          <cell r="AP3232">
            <v>0</v>
          </cell>
          <cell r="AR3232">
            <v>0</v>
          </cell>
          <cell r="AS3232">
            <v>0</v>
          </cell>
          <cell r="BF3232" t="str">
            <v>4200</v>
          </cell>
          <cell r="BG3232" t="str">
            <v>Z000</v>
          </cell>
          <cell r="BH3232" t="str">
            <v>CC2</v>
          </cell>
        </row>
        <row r="3233">
          <cell r="K3233">
            <v>0</v>
          </cell>
          <cell r="L3233">
            <v>0</v>
          </cell>
          <cell r="N3233">
            <v>0</v>
          </cell>
          <cell r="O3233">
            <v>0</v>
          </cell>
          <cell r="Q3233">
            <v>0</v>
          </cell>
          <cell r="R3233">
            <v>0</v>
          </cell>
          <cell r="T3233">
            <v>0</v>
          </cell>
          <cell r="U3233">
            <v>0</v>
          </cell>
          <cell r="W3233">
            <v>0</v>
          </cell>
          <cell r="X3233">
            <v>0</v>
          </cell>
          <cell r="Z3233">
            <v>0</v>
          </cell>
          <cell r="AA3233">
            <v>0</v>
          </cell>
          <cell r="AC3233">
            <v>2097.6</v>
          </cell>
          <cell r="AD3233">
            <v>0</v>
          </cell>
          <cell r="AF3233">
            <v>0</v>
          </cell>
          <cell r="AG3233">
            <v>0</v>
          </cell>
          <cell r="AI3233">
            <v>0</v>
          </cell>
          <cell r="AJ3233">
            <v>0</v>
          </cell>
          <cell r="AL3233">
            <v>0</v>
          </cell>
          <cell r="AM3233">
            <v>0</v>
          </cell>
          <cell r="AO3233">
            <v>0</v>
          </cell>
          <cell r="AP3233">
            <v>0</v>
          </cell>
          <cell r="AR3233">
            <v>0</v>
          </cell>
          <cell r="AS3233">
            <v>0</v>
          </cell>
          <cell r="BF3233" t="str">
            <v>4200</v>
          </cell>
          <cell r="BG3233" t="str">
            <v>Z000</v>
          </cell>
          <cell r="BH3233" t="str">
            <v>CC3</v>
          </cell>
        </row>
        <row r="3234">
          <cell r="K3234">
            <v>0</v>
          </cell>
          <cell r="L3234">
            <v>0</v>
          </cell>
          <cell r="N3234">
            <v>0</v>
          </cell>
          <cell r="O3234">
            <v>0</v>
          </cell>
          <cell r="Q3234">
            <v>0</v>
          </cell>
          <cell r="R3234">
            <v>0</v>
          </cell>
          <cell r="T3234">
            <v>0</v>
          </cell>
          <cell r="U3234">
            <v>0</v>
          </cell>
          <cell r="W3234">
            <v>0</v>
          </cell>
          <cell r="X3234">
            <v>0</v>
          </cell>
          <cell r="Z3234">
            <v>0</v>
          </cell>
          <cell r="AA3234">
            <v>0</v>
          </cell>
          <cell r="AC3234">
            <v>3637.6</v>
          </cell>
          <cell r="AD3234">
            <v>0</v>
          </cell>
          <cell r="AF3234">
            <v>0</v>
          </cell>
          <cell r="AG3234">
            <v>0</v>
          </cell>
          <cell r="AI3234">
            <v>0</v>
          </cell>
          <cell r="AJ3234">
            <v>0</v>
          </cell>
          <cell r="AL3234">
            <v>0</v>
          </cell>
          <cell r="AM3234">
            <v>0</v>
          </cell>
          <cell r="AO3234">
            <v>0</v>
          </cell>
          <cell r="AP3234">
            <v>0</v>
          </cell>
          <cell r="AR3234">
            <v>0</v>
          </cell>
          <cell r="AS3234">
            <v>0</v>
          </cell>
          <cell r="BF3234" t="str">
            <v>4200</v>
          </cell>
          <cell r="BG3234" t="str">
            <v>Z000</v>
          </cell>
          <cell r="BH3234" t="str">
            <v>CC4</v>
          </cell>
        </row>
        <row r="3235">
          <cell r="K3235">
            <v>0</v>
          </cell>
          <cell r="L3235">
            <v>0</v>
          </cell>
          <cell r="N3235">
            <v>0</v>
          </cell>
          <cell r="O3235">
            <v>0</v>
          </cell>
          <cell r="Q3235">
            <v>0</v>
          </cell>
          <cell r="R3235">
            <v>0</v>
          </cell>
          <cell r="T3235">
            <v>0</v>
          </cell>
          <cell r="U3235">
            <v>0</v>
          </cell>
          <cell r="W3235">
            <v>0</v>
          </cell>
          <cell r="X3235">
            <v>0</v>
          </cell>
          <cell r="Z3235">
            <v>0</v>
          </cell>
          <cell r="AA3235">
            <v>0</v>
          </cell>
          <cell r="AC3235">
            <v>2751.95</v>
          </cell>
          <cell r="AD3235">
            <v>0</v>
          </cell>
          <cell r="AF3235">
            <v>0</v>
          </cell>
          <cell r="AG3235">
            <v>0</v>
          </cell>
          <cell r="AI3235">
            <v>0</v>
          </cell>
          <cell r="AJ3235">
            <v>0</v>
          </cell>
          <cell r="AL3235">
            <v>0</v>
          </cell>
          <cell r="AM3235">
            <v>0</v>
          </cell>
          <cell r="AO3235">
            <v>0</v>
          </cell>
          <cell r="AP3235">
            <v>0</v>
          </cell>
          <cell r="AR3235">
            <v>0</v>
          </cell>
          <cell r="AS3235">
            <v>0</v>
          </cell>
          <cell r="BF3235" t="str">
            <v>4200</v>
          </cell>
          <cell r="BG3235" t="str">
            <v>Z000</v>
          </cell>
          <cell r="BH3235" t="str">
            <v>CC6</v>
          </cell>
        </row>
        <row r="3236">
          <cell r="K3236">
            <v>0</v>
          </cell>
          <cell r="L3236">
            <v>0</v>
          </cell>
          <cell r="N3236">
            <v>0</v>
          </cell>
          <cell r="O3236">
            <v>0</v>
          </cell>
          <cell r="Q3236">
            <v>0</v>
          </cell>
          <cell r="R3236">
            <v>0</v>
          </cell>
          <cell r="T3236">
            <v>0</v>
          </cell>
          <cell r="U3236">
            <v>0</v>
          </cell>
          <cell r="W3236">
            <v>0</v>
          </cell>
          <cell r="X3236">
            <v>0</v>
          </cell>
          <cell r="Z3236">
            <v>0</v>
          </cell>
          <cell r="AA3236">
            <v>0</v>
          </cell>
          <cell r="AC3236">
            <v>23818.41</v>
          </cell>
          <cell r="AD3236">
            <v>0</v>
          </cell>
          <cell r="AF3236">
            <v>0</v>
          </cell>
          <cell r="AG3236">
            <v>0</v>
          </cell>
          <cell r="AI3236">
            <v>0</v>
          </cell>
          <cell r="AJ3236">
            <v>0</v>
          </cell>
          <cell r="AL3236">
            <v>0</v>
          </cell>
          <cell r="AM3236">
            <v>0</v>
          </cell>
          <cell r="AO3236">
            <v>0</v>
          </cell>
          <cell r="AP3236">
            <v>0</v>
          </cell>
          <cell r="AR3236">
            <v>0</v>
          </cell>
          <cell r="AS3236">
            <v>0</v>
          </cell>
          <cell r="BF3236" t="str">
            <v>4230</v>
          </cell>
          <cell r="BG3236" t="str">
            <v>Z000</v>
          </cell>
          <cell r="BH3236" t="str">
            <v>CC1</v>
          </cell>
        </row>
        <row r="3237">
          <cell r="K3237">
            <v>0</v>
          </cell>
          <cell r="L3237">
            <v>0</v>
          </cell>
          <cell r="N3237">
            <v>0</v>
          </cell>
          <cell r="O3237">
            <v>0</v>
          </cell>
          <cell r="Q3237">
            <v>0</v>
          </cell>
          <cell r="R3237">
            <v>0</v>
          </cell>
          <cell r="T3237">
            <v>0</v>
          </cell>
          <cell r="U3237">
            <v>0</v>
          </cell>
          <cell r="W3237">
            <v>0</v>
          </cell>
          <cell r="X3237">
            <v>0</v>
          </cell>
          <cell r="Z3237">
            <v>0</v>
          </cell>
          <cell r="AA3237">
            <v>0</v>
          </cell>
          <cell r="AC3237">
            <v>23267.31</v>
          </cell>
          <cell r="AD3237">
            <v>0</v>
          </cell>
          <cell r="AF3237">
            <v>0</v>
          </cell>
          <cell r="AG3237">
            <v>0</v>
          </cell>
          <cell r="AI3237">
            <v>0</v>
          </cell>
          <cell r="AJ3237">
            <v>0</v>
          </cell>
          <cell r="AL3237">
            <v>0</v>
          </cell>
          <cell r="AM3237">
            <v>0</v>
          </cell>
          <cell r="AO3237">
            <v>0</v>
          </cell>
          <cell r="AP3237">
            <v>0</v>
          </cell>
          <cell r="AR3237">
            <v>0</v>
          </cell>
          <cell r="AS3237">
            <v>0</v>
          </cell>
          <cell r="BF3237" t="str">
            <v>4230</v>
          </cell>
          <cell r="BG3237" t="str">
            <v>Z000</v>
          </cell>
          <cell r="BH3237" t="str">
            <v>CC2</v>
          </cell>
        </row>
        <row r="3238">
          <cell r="K3238">
            <v>0</v>
          </cell>
          <cell r="L3238">
            <v>0</v>
          </cell>
          <cell r="N3238">
            <v>0</v>
          </cell>
          <cell r="O3238">
            <v>0</v>
          </cell>
          <cell r="Q3238">
            <v>0</v>
          </cell>
          <cell r="R3238">
            <v>0</v>
          </cell>
          <cell r="T3238">
            <v>0</v>
          </cell>
          <cell r="U3238">
            <v>0</v>
          </cell>
          <cell r="W3238">
            <v>0</v>
          </cell>
          <cell r="X3238">
            <v>0</v>
          </cell>
          <cell r="Z3238">
            <v>0</v>
          </cell>
          <cell r="AA3238">
            <v>0</v>
          </cell>
          <cell r="AC3238">
            <v>23267.31</v>
          </cell>
          <cell r="AD3238">
            <v>0</v>
          </cell>
          <cell r="AF3238">
            <v>0</v>
          </cell>
          <cell r="AG3238">
            <v>0</v>
          </cell>
          <cell r="AI3238">
            <v>0</v>
          </cell>
          <cell r="AJ3238">
            <v>0</v>
          </cell>
          <cell r="AL3238">
            <v>0</v>
          </cell>
          <cell r="AM3238">
            <v>0</v>
          </cell>
          <cell r="AO3238">
            <v>0</v>
          </cell>
          <cell r="AP3238">
            <v>0</v>
          </cell>
          <cell r="AR3238">
            <v>0</v>
          </cell>
          <cell r="AS3238">
            <v>0</v>
          </cell>
          <cell r="BF3238" t="str">
            <v>4230</v>
          </cell>
          <cell r="BG3238" t="str">
            <v>Z000</v>
          </cell>
          <cell r="BH3238" t="str">
            <v>CC3</v>
          </cell>
        </row>
        <row r="3239">
          <cell r="K3239">
            <v>0</v>
          </cell>
          <cell r="L3239">
            <v>0</v>
          </cell>
          <cell r="N3239">
            <v>0</v>
          </cell>
          <cell r="O3239">
            <v>0</v>
          </cell>
          <cell r="Q3239">
            <v>0</v>
          </cell>
          <cell r="R3239">
            <v>0</v>
          </cell>
          <cell r="T3239">
            <v>0</v>
          </cell>
          <cell r="U3239">
            <v>0</v>
          </cell>
          <cell r="W3239">
            <v>0</v>
          </cell>
          <cell r="X3239">
            <v>0</v>
          </cell>
          <cell r="Z3239">
            <v>0</v>
          </cell>
          <cell r="AA3239">
            <v>0</v>
          </cell>
          <cell r="AC3239">
            <v>23267.31</v>
          </cell>
          <cell r="AD3239">
            <v>0</v>
          </cell>
          <cell r="AF3239">
            <v>0</v>
          </cell>
          <cell r="AG3239">
            <v>0</v>
          </cell>
          <cell r="AI3239">
            <v>0</v>
          </cell>
          <cell r="AJ3239">
            <v>0</v>
          </cell>
          <cell r="AL3239">
            <v>0</v>
          </cell>
          <cell r="AM3239">
            <v>0</v>
          </cell>
          <cell r="AO3239">
            <v>0</v>
          </cell>
          <cell r="AP3239">
            <v>0</v>
          </cell>
          <cell r="AR3239">
            <v>0</v>
          </cell>
          <cell r="AS3239">
            <v>0</v>
          </cell>
          <cell r="BF3239" t="str">
            <v>4230</v>
          </cell>
          <cell r="BG3239" t="str">
            <v>Z000</v>
          </cell>
          <cell r="BH3239" t="str">
            <v>CC4</v>
          </cell>
        </row>
        <row r="3240">
          <cell r="K3240">
            <v>0</v>
          </cell>
          <cell r="L3240">
            <v>0</v>
          </cell>
          <cell r="N3240">
            <v>0</v>
          </cell>
          <cell r="O3240">
            <v>0</v>
          </cell>
          <cell r="Q3240">
            <v>0</v>
          </cell>
          <cell r="R3240">
            <v>0</v>
          </cell>
          <cell r="T3240">
            <v>0</v>
          </cell>
          <cell r="U3240">
            <v>0</v>
          </cell>
          <cell r="W3240">
            <v>0</v>
          </cell>
          <cell r="X3240">
            <v>0</v>
          </cell>
          <cell r="Z3240">
            <v>0</v>
          </cell>
          <cell r="AA3240">
            <v>0</v>
          </cell>
          <cell r="AC3240">
            <v>23266.3</v>
          </cell>
          <cell r="AD3240">
            <v>0</v>
          </cell>
          <cell r="AF3240">
            <v>0</v>
          </cell>
          <cell r="AG3240">
            <v>0</v>
          </cell>
          <cell r="AI3240">
            <v>0</v>
          </cell>
          <cell r="AJ3240">
            <v>0</v>
          </cell>
          <cell r="AL3240">
            <v>0</v>
          </cell>
          <cell r="AM3240">
            <v>0</v>
          </cell>
          <cell r="AO3240">
            <v>0</v>
          </cell>
          <cell r="AP3240">
            <v>0</v>
          </cell>
          <cell r="AR3240">
            <v>0</v>
          </cell>
          <cell r="AS3240">
            <v>0</v>
          </cell>
          <cell r="BF3240" t="str">
            <v>4230</v>
          </cell>
          <cell r="BG3240" t="str">
            <v>Z000</v>
          </cell>
          <cell r="BH3240" t="str">
            <v>CC6</v>
          </cell>
        </row>
        <row r="3241">
          <cell r="K3241">
            <v>0</v>
          </cell>
          <cell r="L3241">
            <v>0</v>
          </cell>
          <cell r="N3241">
            <v>0</v>
          </cell>
          <cell r="O3241">
            <v>0</v>
          </cell>
          <cell r="Q3241">
            <v>0</v>
          </cell>
          <cell r="R3241">
            <v>0</v>
          </cell>
          <cell r="T3241">
            <v>0</v>
          </cell>
          <cell r="U3241">
            <v>0</v>
          </cell>
          <cell r="W3241">
            <v>0</v>
          </cell>
          <cell r="X3241">
            <v>0</v>
          </cell>
          <cell r="Z3241">
            <v>0</v>
          </cell>
          <cell r="AA3241">
            <v>0</v>
          </cell>
          <cell r="AC3241">
            <v>9885.9</v>
          </cell>
          <cell r="AD3241">
            <v>0</v>
          </cell>
          <cell r="AF3241">
            <v>3571.4300000000003</v>
          </cell>
          <cell r="AG3241">
            <v>0</v>
          </cell>
          <cell r="AI3241">
            <v>0</v>
          </cell>
          <cell r="AJ3241">
            <v>0</v>
          </cell>
          <cell r="AL3241">
            <v>3571.4299999999985</v>
          </cell>
          <cell r="AM3241">
            <v>0</v>
          </cell>
          <cell r="AO3241">
            <v>3571.4300000000003</v>
          </cell>
          <cell r="AP3241">
            <v>0</v>
          </cell>
          <cell r="AR3241">
            <v>4857.1399999999994</v>
          </cell>
          <cell r="AS3241">
            <v>0</v>
          </cell>
          <cell r="BF3241" t="str">
            <v>4250</v>
          </cell>
          <cell r="BG3241" t="str">
            <v>Z000</v>
          </cell>
          <cell r="BH3241" t="str">
            <v>CC1</v>
          </cell>
        </row>
        <row r="3242">
          <cell r="K3242">
            <v>0</v>
          </cell>
          <cell r="L3242">
            <v>0</v>
          </cell>
          <cell r="N3242">
            <v>0</v>
          </cell>
          <cell r="O3242">
            <v>0</v>
          </cell>
          <cell r="Q3242">
            <v>0</v>
          </cell>
          <cell r="R3242">
            <v>0</v>
          </cell>
          <cell r="T3242">
            <v>0</v>
          </cell>
          <cell r="U3242">
            <v>0</v>
          </cell>
          <cell r="W3242">
            <v>0</v>
          </cell>
          <cell r="X3242">
            <v>0</v>
          </cell>
          <cell r="Z3242">
            <v>0</v>
          </cell>
          <cell r="AA3242">
            <v>0</v>
          </cell>
          <cell r="AC3242">
            <v>6095.6</v>
          </cell>
          <cell r="AD3242">
            <v>0</v>
          </cell>
          <cell r="AF3242">
            <v>0</v>
          </cell>
          <cell r="AG3242">
            <v>0</v>
          </cell>
          <cell r="AI3242">
            <v>3571.4300000000003</v>
          </cell>
          <cell r="AJ3242">
            <v>0</v>
          </cell>
          <cell r="AL3242">
            <v>0</v>
          </cell>
          <cell r="AM3242">
            <v>0</v>
          </cell>
          <cell r="AO3242">
            <v>0</v>
          </cell>
          <cell r="AP3242">
            <v>0</v>
          </cell>
          <cell r="AR3242">
            <v>0</v>
          </cell>
          <cell r="AS3242">
            <v>0</v>
          </cell>
          <cell r="BF3242" t="str">
            <v>4250</v>
          </cell>
          <cell r="BG3242" t="str">
            <v>Z000</v>
          </cell>
          <cell r="BH3242" t="str">
            <v>CC2</v>
          </cell>
        </row>
        <row r="3243">
          <cell r="K3243">
            <v>0</v>
          </cell>
          <cell r="L3243">
            <v>0</v>
          </cell>
          <cell r="N3243">
            <v>0</v>
          </cell>
          <cell r="O3243">
            <v>0</v>
          </cell>
          <cell r="Q3243">
            <v>0</v>
          </cell>
          <cell r="R3243">
            <v>0</v>
          </cell>
          <cell r="T3243">
            <v>0</v>
          </cell>
          <cell r="U3243">
            <v>0</v>
          </cell>
          <cell r="W3243">
            <v>0</v>
          </cell>
          <cell r="X3243">
            <v>0</v>
          </cell>
          <cell r="Z3243">
            <v>0</v>
          </cell>
          <cell r="AA3243">
            <v>0</v>
          </cell>
          <cell r="AC3243">
            <v>0</v>
          </cell>
          <cell r="AD3243">
            <v>0</v>
          </cell>
          <cell r="AF3243">
            <v>0</v>
          </cell>
          <cell r="AG3243">
            <v>0</v>
          </cell>
          <cell r="AI3243">
            <v>0</v>
          </cell>
          <cell r="AJ3243">
            <v>0</v>
          </cell>
          <cell r="AL3243">
            <v>0</v>
          </cell>
          <cell r="AM3243">
            <v>0</v>
          </cell>
          <cell r="AO3243">
            <v>0</v>
          </cell>
          <cell r="AP3243">
            <v>0</v>
          </cell>
          <cell r="AR3243">
            <v>0</v>
          </cell>
          <cell r="AS3243">
            <v>0</v>
          </cell>
          <cell r="BF3243" t="str">
            <v>4250</v>
          </cell>
          <cell r="BG3243" t="str">
            <v>Z000</v>
          </cell>
          <cell r="BH3243" t="str">
            <v>CC6</v>
          </cell>
        </row>
        <row r="3244">
          <cell r="K3244">
            <v>0</v>
          </cell>
          <cell r="L3244">
            <v>0</v>
          </cell>
          <cell r="N3244">
            <v>0</v>
          </cell>
          <cell r="O3244">
            <v>0</v>
          </cell>
          <cell r="Q3244">
            <v>0</v>
          </cell>
          <cell r="R3244">
            <v>0</v>
          </cell>
          <cell r="T3244">
            <v>0</v>
          </cell>
          <cell r="U3244">
            <v>0</v>
          </cell>
          <cell r="W3244">
            <v>0</v>
          </cell>
          <cell r="X3244">
            <v>0</v>
          </cell>
          <cell r="Z3244">
            <v>0</v>
          </cell>
          <cell r="AA3244">
            <v>0</v>
          </cell>
          <cell r="AC3244">
            <v>575</v>
          </cell>
          <cell r="AD3244">
            <v>0</v>
          </cell>
          <cell r="AF3244">
            <v>0</v>
          </cell>
          <cell r="AG3244">
            <v>0</v>
          </cell>
          <cell r="AI3244">
            <v>0</v>
          </cell>
          <cell r="AJ3244">
            <v>0</v>
          </cell>
          <cell r="AL3244">
            <v>0</v>
          </cell>
          <cell r="AM3244">
            <v>0</v>
          </cell>
          <cell r="AO3244">
            <v>0</v>
          </cell>
          <cell r="AP3244">
            <v>0</v>
          </cell>
          <cell r="AR3244">
            <v>0</v>
          </cell>
          <cell r="AS3244">
            <v>0</v>
          </cell>
          <cell r="BF3244" t="str">
            <v>4275</v>
          </cell>
          <cell r="BG3244" t="str">
            <v>Z000</v>
          </cell>
          <cell r="BH3244" t="str">
            <v>CC1</v>
          </cell>
        </row>
        <row r="3245">
          <cell r="K3245">
            <v>0</v>
          </cell>
          <cell r="L3245">
            <v>0</v>
          </cell>
          <cell r="N3245">
            <v>0</v>
          </cell>
          <cell r="O3245">
            <v>0</v>
          </cell>
          <cell r="Q3245">
            <v>0</v>
          </cell>
          <cell r="R3245">
            <v>0</v>
          </cell>
          <cell r="T3245">
            <v>0</v>
          </cell>
          <cell r="U3245">
            <v>0</v>
          </cell>
          <cell r="W3245">
            <v>0</v>
          </cell>
          <cell r="X3245">
            <v>0</v>
          </cell>
          <cell r="Z3245">
            <v>0</v>
          </cell>
          <cell r="AA3245">
            <v>0</v>
          </cell>
          <cell r="AC3245">
            <v>6372.61</v>
          </cell>
          <cell r="AD3245">
            <v>0</v>
          </cell>
          <cell r="AF3245">
            <v>1823.79</v>
          </cell>
          <cell r="AG3245">
            <v>0</v>
          </cell>
          <cell r="AI3245">
            <v>491.10367899999983</v>
          </cell>
          <cell r="AJ3245">
            <v>0</v>
          </cell>
          <cell r="AL3245">
            <v>1574.7099999999991</v>
          </cell>
          <cell r="AM3245">
            <v>0</v>
          </cell>
          <cell r="AO3245">
            <v>1879.9999999999873</v>
          </cell>
          <cell r="AP3245">
            <v>0</v>
          </cell>
          <cell r="AR3245">
            <v>-1880</v>
          </cell>
          <cell r="AS3245">
            <v>0</v>
          </cell>
          <cell r="BF3245" t="str">
            <v>4300</v>
          </cell>
          <cell r="BG3245" t="str">
            <v>Z000</v>
          </cell>
          <cell r="BH3245" t="str">
            <v>CC1</v>
          </cell>
        </row>
        <row r="3246">
          <cell r="K3246">
            <v>0</v>
          </cell>
          <cell r="L3246">
            <v>0</v>
          </cell>
          <cell r="N3246">
            <v>0</v>
          </cell>
          <cell r="O3246">
            <v>0</v>
          </cell>
          <cell r="Q3246">
            <v>0</v>
          </cell>
          <cell r="R3246">
            <v>0</v>
          </cell>
          <cell r="T3246">
            <v>0</v>
          </cell>
          <cell r="U3246">
            <v>0</v>
          </cell>
          <cell r="W3246">
            <v>0</v>
          </cell>
          <cell r="X3246">
            <v>0</v>
          </cell>
          <cell r="Z3246">
            <v>0</v>
          </cell>
          <cell r="AA3246">
            <v>0</v>
          </cell>
          <cell r="AC3246">
            <v>2873.1</v>
          </cell>
          <cell r="AD3246">
            <v>0</v>
          </cell>
          <cell r="AF3246">
            <v>30.559999999999945</v>
          </cell>
          <cell r="AG3246">
            <v>0</v>
          </cell>
          <cell r="AI3246">
            <v>394.81162600000016</v>
          </cell>
          <cell r="AJ3246">
            <v>0</v>
          </cell>
          <cell r="AL3246">
            <v>177.5</v>
          </cell>
          <cell r="AM3246">
            <v>0</v>
          </cell>
          <cell r="AO3246">
            <v>0</v>
          </cell>
          <cell r="AP3246">
            <v>0</v>
          </cell>
          <cell r="AR3246">
            <v>0</v>
          </cell>
          <cell r="AS3246">
            <v>0</v>
          </cell>
          <cell r="BF3246" t="str">
            <v>4300</v>
          </cell>
          <cell r="BG3246" t="str">
            <v>Z000</v>
          </cell>
          <cell r="BH3246" t="str">
            <v>CC2</v>
          </cell>
        </row>
        <row r="3247">
          <cell r="K3247">
            <v>0</v>
          </cell>
          <cell r="L3247">
            <v>0</v>
          </cell>
          <cell r="N3247">
            <v>0</v>
          </cell>
          <cell r="O3247">
            <v>0</v>
          </cell>
          <cell r="Q3247">
            <v>0</v>
          </cell>
          <cell r="R3247">
            <v>0</v>
          </cell>
          <cell r="T3247">
            <v>0</v>
          </cell>
          <cell r="U3247">
            <v>0</v>
          </cell>
          <cell r="W3247">
            <v>0</v>
          </cell>
          <cell r="X3247">
            <v>0</v>
          </cell>
          <cell r="Z3247">
            <v>0</v>
          </cell>
          <cell r="AA3247">
            <v>0</v>
          </cell>
          <cell r="AC3247">
            <v>0</v>
          </cell>
          <cell r="AD3247">
            <v>0</v>
          </cell>
          <cell r="AF3247">
            <v>25.28</v>
          </cell>
          <cell r="AG3247">
            <v>0</v>
          </cell>
          <cell r="AI3247">
            <v>0</v>
          </cell>
          <cell r="AJ3247">
            <v>0</v>
          </cell>
          <cell r="AL3247">
            <v>0</v>
          </cell>
          <cell r="AM3247">
            <v>0</v>
          </cell>
          <cell r="AO3247">
            <v>0</v>
          </cell>
          <cell r="AP3247">
            <v>0</v>
          </cell>
          <cell r="AR3247">
            <v>0</v>
          </cell>
          <cell r="AS3247">
            <v>0</v>
          </cell>
          <cell r="BF3247" t="str">
            <v>4300</v>
          </cell>
          <cell r="BG3247" t="str">
            <v>Z000</v>
          </cell>
          <cell r="BH3247" t="str">
            <v>CC3</v>
          </cell>
        </row>
        <row r="3248">
          <cell r="K3248">
            <v>0</v>
          </cell>
          <cell r="L3248">
            <v>0</v>
          </cell>
          <cell r="N3248">
            <v>0</v>
          </cell>
          <cell r="O3248">
            <v>0</v>
          </cell>
          <cell r="Q3248">
            <v>0</v>
          </cell>
          <cell r="R3248">
            <v>0</v>
          </cell>
          <cell r="T3248">
            <v>0</v>
          </cell>
          <cell r="U3248">
            <v>0</v>
          </cell>
          <cell r="W3248">
            <v>0</v>
          </cell>
          <cell r="X3248">
            <v>0</v>
          </cell>
          <cell r="Z3248">
            <v>0</v>
          </cell>
          <cell r="AA3248">
            <v>0</v>
          </cell>
          <cell r="AC3248">
            <v>1020.7</v>
          </cell>
          <cell r="AD3248">
            <v>0</v>
          </cell>
          <cell r="AF3248">
            <v>72.539999999999964</v>
          </cell>
          <cell r="AG3248">
            <v>0</v>
          </cell>
          <cell r="AI3248">
            <v>29.552599999999984</v>
          </cell>
          <cell r="AJ3248">
            <v>0</v>
          </cell>
          <cell r="AL3248">
            <v>127.79999999999995</v>
          </cell>
          <cell r="AM3248">
            <v>0</v>
          </cell>
          <cell r="AO3248">
            <v>0</v>
          </cell>
          <cell r="AP3248">
            <v>0</v>
          </cell>
          <cell r="AR3248">
            <v>0</v>
          </cell>
          <cell r="AS3248">
            <v>0</v>
          </cell>
          <cell r="BF3248" t="str">
            <v>4300</v>
          </cell>
          <cell r="BG3248" t="str">
            <v>Z000</v>
          </cell>
          <cell r="BH3248" t="str">
            <v>CC4</v>
          </cell>
        </row>
        <row r="3249">
          <cell r="K3249">
            <v>0</v>
          </cell>
          <cell r="L3249">
            <v>0</v>
          </cell>
          <cell r="N3249">
            <v>0</v>
          </cell>
          <cell r="O3249">
            <v>0</v>
          </cell>
          <cell r="Q3249">
            <v>0</v>
          </cell>
          <cell r="R3249">
            <v>0</v>
          </cell>
          <cell r="T3249">
            <v>0</v>
          </cell>
          <cell r="U3249">
            <v>0</v>
          </cell>
          <cell r="W3249">
            <v>0</v>
          </cell>
          <cell r="X3249">
            <v>0</v>
          </cell>
          <cell r="Z3249">
            <v>0</v>
          </cell>
          <cell r="AA3249">
            <v>0</v>
          </cell>
          <cell r="AC3249">
            <v>0</v>
          </cell>
          <cell r="AD3249">
            <v>0</v>
          </cell>
          <cell r="AF3249">
            <v>0</v>
          </cell>
          <cell r="AG3249">
            <v>0</v>
          </cell>
          <cell r="AI3249">
            <v>0</v>
          </cell>
          <cell r="AJ3249">
            <v>0</v>
          </cell>
          <cell r="AL3249">
            <v>0</v>
          </cell>
          <cell r="AM3249">
            <v>0</v>
          </cell>
          <cell r="AO3249">
            <v>0</v>
          </cell>
          <cell r="AP3249">
            <v>0</v>
          </cell>
          <cell r="AR3249">
            <v>0</v>
          </cell>
          <cell r="AS3249">
            <v>0</v>
          </cell>
          <cell r="BF3249" t="str">
            <v>4300</v>
          </cell>
          <cell r="BG3249" t="str">
            <v>Z000</v>
          </cell>
          <cell r="BH3249" t="str">
            <v>CC5</v>
          </cell>
        </row>
        <row r="3250">
          <cell r="K3250">
            <v>0</v>
          </cell>
          <cell r="L3250">
            <v>0</v>
          </cell>
          <cell r="N3250">
            <v>0</v>
          </cell>
          <cell r="O3250">
            <v>0</v>
          </cell>
          <cell r="Q3250">
            <v>0</v>
          </cell>
          <cell r="R3250">
            <v>0</v>
          </cell>
          <cell r="T3250">
            <v>0</v>
          </cell>
          <cell r="U3250">
            <v>0</v>
          </cell>
          <cell r="W3250">
            <v>0</v>
          </cell>
          <cell r="X3250">
            <v>0</v>
          </cell>
          <cell r="Z3250">
            <v>0</v>
          </cell>
          <cell r="AA3250">
            <v>0</v>
          </cell>
          <cell r="AC3250">
            <v>2296.35</v>
          </cell>
          <cell r="AD3250">
            <v>0</v>
          </cell>
          <cell r="AF3250">
            <v>89.599999999999909</v>
          </cell>
          <cell r="AG3250">
            <v>0</v>
          </cell>
          <cell r="AI3250">
            <v>604.46384489999991</v>
          </cell>
          <cell r="AJ3250">
            <v>0</v>
          </cell>
          <cell r="AL3250">
            <v>0</v>
          </cell>
          <cell r="AM3250">
            <v>0</v>
          </cell>
          <cell r="AO3250">
            <v>0</v>
          </cell>
          <cell r="AP3250">
            <v>0</v>
          </cell>
          <cell r="AR3250">
            <v>0</v>
          </cell>
          <cell r="AS3250">
            <v>0</v>
          </cell>
          <cell r="BF3250" t="str">
            <v>4300</v>
          </cell>
          <cell r="BG3250" t="str">
            <v>Z000</v>
          </cell>
          <cell r="BH3250" t="str">
            <v>CC6</v>
          </cell>
        </row>
        <row r="3251">
          <cell r="K3251">
            <v>0</v>
          </cell>
          <cell r="L3251">
            <v>0</v>
          </cell>
          <cell r="N3251">
            <v>0</v>
          </cell>
          <cell r="O3251">
            <v>0</v>
          </cell>
          <cell r="Q3251">
            <v>0</v>
          </cell>
          <cell r="R3251">
            <v>0</v>
          </cell>
          <cell r="T3251">
            <v>0</v>
          </cell>
          <cell r="U3251">
            <v>0</v>
          </cell>
          <cell r="W3251">
            <v>0</v>
          </cell>
          <cell r="X3251">
            <v>0</v>
          </cell>
          <cell r="Z3251">
            <v>0</v>
          </cell>
          <cell r="AA3251">
            <v>0</v>
          </cell>
          <cell r="AC3251">
            <v>3217.5</v>
          </cell>
          <cell r="AD3251">
            <v>0</v>
          </cell>
          <cell r="AF3251">
            <v>0</v>
          </cell>
          <cell r="AG3251">
            <v>0</v>
          </cell>
          <cell r="AI3251">
            <v>0</v>
          </cell>
          <cell r="AJ3251">
            <v>0</v>
          </cell>
          <cell r="AL3251">
            <v>0</v>
          </cell>
          <cell r="AM3251">
            <v>0</v>
          </cell>
          <cell r="AO3251">
            <v>0</v>
          </cell>
          <cell r="AP3251">
            <v>0</v>
          </cell>
          <cell r="AR3251">
            <v>0</v>
          </cell>
          <cell r="AS3251">
            <v>0</v>
          </cell>
          <cell r="BF3251" t="str">
            <v>4340</v>
          </cell>
          <cell r="BG3251" t="str">
            <v>D006</v>
          </cell>
          <cell r="BH3251" t="str">
            <v>CC0</v>
          </cell>
        </row>
        <row r="3252">
          <cell r="K3252">
            <v>0</v>
          </cell>
          <cell r="L3252">
            <v>0</v>
          </cell>
          <cell r="N3252">
            <v>0</v>
          </cell>
          <cell r="O3252">
            <v>0</v>
          </cell>
          <cell r="Q3252">
            <v>0</v>
          </cell>
          <cell r="R3252">
            <v>0</v>
          </cell>
          <cell r="T3252">
            <v>0</v>
          </cell>
          <cell r="U3252">
            <v>0</v>
          </cell>
          <cell r="W3252">
            <v>0</v>
          </cell>
          <cell r="X3252">
            <v>0</v>
          </cell>
          <cell r="Z3252">
            <v>0</v>
          </cell>
          <cell r="AA3252">
            <v>0</v>
          </cell>
          <cell r="AC3252">
            <v>0</v>
          </cell>
          <cell r="AD3252">
            <v>0</v>
          </cell>
          <cell r="AF3252">
            <v>0</v>
          </cell>
          <cell r="AG3252">
            <v>0</v>
          </cell>
          <cell r="AI3252">
            <v>0</v>
          </cell>
          <cell r="AJ3252">
            <v>0</v>
          </cell>
          <cell r="AL3252">
            <v>0</v>
          </cell>
          <cell r="AM3252">
            <v>0</v>
          </cell>
          <cell r="AO3252">
            <v>0</v>
          </cell>
          <cell r="AP3252">
            <v>0</v>
          </cell>
          <cell r="AR3252">
            <v>0</v>
          </cell>
          <cell r="AS3252">
            <v>0</v>
          </cell>
          <cell r="BF3252" t="str">
            <v>4340</v>
          </cell>
          <cell r="BG3252" t="str">
            <v>D008</v>
          </cell>
          <cell r="BH3252" t="str">
            <v>CC1</v>
          </cell>
        </row>
        <row r="3253">
          <cell r="K3253">
            <v>0</v>
          </cell>
          <cell r="L3253">
            <v>0</v>
          </cell>
          <cell r="N3253">
            <v>0</v>
          </cell>
          <cell r="O3253">
            <v>0</v>
          </cell>
          <cell r="Q3253">
            <v>0</v>
          </cell>
          <cell r="R3253">
            <v>0</v>
          </cell>
          <cell r="T3253">
            <v>0</v>
          </cell>
          <cell r="U3253">
            <v>0</v>
          </cell>
          <cell r="W3253">
            <v>0</v>
          </cell>
          <cell r="X3253">
            <v>0</v>
          </cell>
          <cell r="Z3253">
            <v>0</v>
          </cell>
          <cell r="AA3253">
            <v>0</v>
          </cell>
          <cell r="AC3253">
            <v>0</v>
          </cell>
          <cell r="AD3253">
            <v>0</v>
          </cell>
          <cell r="AF3253">
            <v>0</v>
          </cell>
          <cell r="AG3253">
            <v>0</v>
          </cell>
          <cell r="AI3253">
            <v>0</v>
          </cell>
          <cell r="AJ3253">
            <v>0</v>
          </cell>
          <cell r="AL3253">
            <v>0</v>
          </cell>
          <cell r="AM3253">
            <v>0</v>
          </cell>
          <cell r="AO3253">
            <v>0</v>
          </cell>
          <cell r="AP3253">
            <v>0</v>
          </cell>
          <cell r="AR3253">
            <v>0</v>
          </cell>
          <cell r="AS3253">
            <v>0</v>
          </cell>
          <cell r="BF3253" t="str">
            <v>4340</v>
          </cell>
          <cell r="BG3253" t="str">
            <v>D008</v>
          </cell>
          <cell r="BH3253" t="str">
            <v>CC2</v>
          </cell>
        </row>
        <row r="3254">
          <cell r="K3254">
            <v>0</v>
          </cell>
          <cell r="L3254">
            <v>0</v>
          </cell>
          <cell r="N3254">
            <v>0</v>
          </cell>
          <cell r="O3254">
            <v>0</v>
          </cell>
          <cell r="Q3254">
            <v>0</v>
          </cell>
          <cell r="R3254">
            <v>0</v>
          </cell>
          <cell r="T3254">
            <v>0</v>
          </cell>
          <cell r="U3254">
            <v>0</v>
          </cell>
          <cell r="W3254">
            <v>0</v>
          </cell>
          <cell r="X3254">
            <v>0</v>
          </cell>
          <cell r="Z3254">
            <v>0</v>
          </cell>
          <cell r="AA3254">
            <v>0</v>
          </cell>
          <cell r="AC3254">
            <v>0</v>
          </cell>
          <cell r="AD3254">
            <v>0</v>
          </cell>
          <cell r="AF3254">
            <v>0</v>
          </cell>
          <cell r="AG3254">
            <v>0</v>
          </cell>
          <cell r="AI3254">
            <v>0</v>
          </cell>
          <cell r="AJ3254">
            <v>0</v>
          </cell>
          <cell r="AL3254">
            <v>0</v>
          </cell>
          <cell r="AM3254">
            <v>0</v>
          </cell>
          <cell r="AO3254">
            <v>0</v>
          </cell>
          <cell r="AP3254">
            <v>0</v>
          </cell>
          <cell r="AR3254">
            <v>0</v>
          </cell>
          <cell r="AS3254">
            <v>0</v>
          </cell>
          <cell r="BF3254" t="str">
            <v>4340</v>
          </cell>
          <cell r="BG3254" t="str">
            <v>D008</v>
          </cell>
          <cell r="BH3254" t="str">
            <v>CC3</v>
          </cell>
        </row>
        <row r="3255">
          <cell r="K3255">
            <v>0</v>
          </cell>
          <cell r="L3255">
            <v>0</v>
          </cell>
          <cell r="N3255">
            <v>0</v>
          </cell>
          <cell r="O3255">
            <v>0</v>
          </cell>
          <cell r="Q3255">
            <v>0</v>
          </cell>
          <cell r="R3255">
            <v>0</v>
          </cell>
          <cell r="T3255">
            <v>0</v>
          </cell>
          <cell r="U3255">
            <v>0</v>
          </cell>
          <cell r="W3255">
            <v>0</v>
          </cell>
          <cell r="X3255">
            <v>0</v>
          </cell>
          <cell r="Z3255">
            <v>0</v>
          </cell>
          <cell r="AA3255">
            <v>0</v>
          </cell>
          <cell r="AC3255">
            <v>0</v>
          </cell>
          <cell r="AD3255">
            <v>0</v>
          </cell>
          <cell r="AF3255">
            <v>0</v>
          </cell>
          <cell r="AG3255">
            <v>0</v>
          </cell>
          <cell r="AI3255">
            <v>0</v>
          </cell>
          <cell r="AJ3255">
            <v>0</v>
          </cell>
          <cell r="AL3255">
            <v>0</v>
          </cell>
          <cell r="AM3255">
            <v>0</v>
          </cell>
          <cell r="AO3255">
            <v>0</v>
          </cell>
          <cell r="AP3255">
            <v>0</v>
          </cell>
          <cell r="AR3255">
            <v>0</v>
          </cell>
          <cell r="AS3255">
            <v>0</v>
          </cell>
          <cell r="BF3255" t="str">
            <v>4340</v>
          </cell>
          <cell r="BG3255" t="str">
            <v>D008</v>
          </cell>
          <cell r="BH3255" t="str">
            <v>CC6</v>
          </cell>
        </row>
        <row r="3256">
          <cell r="K3256">
            <v>0</v>
          </cell>
          <cell r="L3256">
            <v>0</v>
          </cell>
          <cell r="N3256">
            <v>0</v>
          </cell>
          <cell r="O3256">
            <v>0</v>
          </cell>
          <cell r="Q3256">
            <v>0</v>
          </cell>
          <cell r="R3256">
            <v>0</v>
          </cell>
          <cell r="T3256">
            <v>0</v>
          </cell>
          <cell r="U3256">
            <v>0</v>
          </cell>
          <cell r="W3256">
            <v>0</v>
          </cell>
          <cell r="X3256">
            <v>0</v>
          </cell>
          <cell r="Z3256">
            <v>0</v>
          </cell>
          <cell r="AA3256">
            <v>0</v>
          </cell>
          <cell r="AC3256">
            <v>6853.77</v>
          </cell>
          <cell r="AD3256">
            <v>0</v>
          </cell>
          <cell r="AF3256">
            <v>1999.7299999999996</v>
          </cell>
          <cell r="AG3256">
            <v>0</v>
          </cell>
          <cell r="AI3256">
            <v>835.57999999999993</v>
          </cell>
          <cell r="AJ3256">
            <v>0</v>
          </cell>
          <cell r="AL3256">
            <v>120</v>
          </cell>
          <cell r="AM3256">
            <v>0</v>
          </cell>
          <cell r="AO3256">
            <v>1000</v>
          </cell>
          <cell r="AP3256">
            <v>0</v>
          </cell>
          <cell r="AR3256">
            <v>2060.4499999999989</v>
          </cell>
          <cell r="AS3256">
            <v>0</v>
          </cell>
          <cell r="BF3256" t="str">
            <v>4360</v>
          </cell>
          <cell r="BG3256" t="str">
            <v>Z000</v>
          </cell>
          <cell r="BH3256" t="str">
            <v>CC1</v>
          </cell>
        </row>
        <row r="3257">
          <cell r="K3257">
            <v>0</v>
          </cell>
          <cell r="L3257">
            <v>0</v>
          </cell>
          <cell r="N3257">
            <v>0</v>
          </cell>
          <cell r="O3257">
            <v>0</v>
          </cell>
          <cell r="Q3257">
            <v>0</v>
          </cell>
          <cell r="R3257">
            <v>0</v>
          </cell>
          <cell r="T3257">
            <v>0</v>
          </cell>
          <cell r="U3257">
            <v>0</v>
          </cell>
          <cell r="W3257">
            <v>0</v>
          </cell>
          <cell r="X3257">
            <v>0</v>
          </cell>
          <cell r="Z3257">
            <v>0</v>
          </cell>
          <cell r="AA3257">
            <v>0</v>
          </cell>
          <cell r="AC3257">
            <v>2896.16</v>
          </cell>
          <cell r="AD3257">
            <v>0</v>
          </cell>
          <cell r="AF3257">
            <v>900.40999999999985</v>
          </cell>
          <cell r="AG3257">
            <v>0</v>
          </cell>
          <cell r="AI3257">
            <v>0</v>
          </cell>
          <cell r="AJ3257">
            <v>0</v>
          </cell>
          <cell r="AL3257">
            <v>0</v>
          </cell>
          <cell r="AM3257">
            <v>0</v>
          </cell>
          <cell r="AO3257">
            <v>0</v>
          </cell>
          <cell r="AP3257">
            <v>0</v>
          </cell>
          <cell r="AR3257">
            <v>0</v>
          </cell>
          <cell r="AS3257">
            <v>0</v>
          </cell>
          <cell r="BF3257" t="str">
            <v>4360</v>
          </cell>
          <cell r="BG3257" t="str">
            <v>Z000</v>
          </cell>
          <cell r="BH3257" t="str">
            <v>CC2</v>
          </cell>
        </row>
        <row r="3258">
          <cell r="K3258">
            <v>0</v>
          </cell>
          <cell r="L3258">
            <v>0</v>
          </cell>
          <cell r="N3258">
            <v>0</v>
          </cell>
          <cell r="O3258">
            <v>0</v>
          </cell>
          <cell r="Q3258">
            <v>0</v>
          </cell>
          <cell r="R3258">
            <v>0</v>
          </cell>
          <cell r="T3258">
            <v>0</v>
          </cell>
          <cell r="U3258">
            <v>0</v>
          </cell>
          <cell r="W3258">
            <v>0</v>
          </cell>
          <cell r="X3258">
            <v>0</v>
          </cell>
          <cell r="Z3258">
            <v>0</v>
          </cell>
          <cell r="AA3258">
            <v>0</v>
          </cell>
          <cell r="AC3258">
            <v>3234.09</v>
          </cell>
          <cell r="AD3258">
            <v>0</v>
          </cell>
          <cell r="AF3258">
            <v>0</v>
          </cell>
          <cell r="AG3258">
            <v>0</v>
          </cell>
          <cell r="AI3258">
            <v>0</v>
          </cell>
          <cell r="AJ3258">
            <v>0</v>
          </cell>
          <cell r="AL3258">
            <v>0</v>
          </cell>
          <cell r="AM3258">
            <v>0</v>
          </cell>
          <cell r="AO3258">
            <v>0</v>
          </cell>
          <cell r="AP3258">
            <v>0</v>
          </cell>
          <cell r="AR3258">
            <v>0</v>
          </cell>
          <cell r="AS3258">
            <v>0</v>
          </cell>
          <cell r="BF3258" t="str">
            <v>4360</v>
          </cell>
          <cell r="BG3258" t="str">
            <v>Z000</v>
          </cell>
          <cell r="BH3258" t="str">
            <v>CC3</v>
          </cell>
        </row>
        <row r="3259">
          <cell r="K3259">
            <v>0</v>
          </cell>
          <cell r="L3259">
            <v>0</v>
          </cell>
          <cell r="N3259">
            <v>0</v>
          </cell>
          <cell r="O3259">
            <v>0</v>
          </cell>
          <cell r="Q3259">
            <v>0</v>
          </cell>
          <cell r="R3259">
            <v>0</v>
          </cell>
          <cell r="T3259">
            <v>0</v>
          </cell>
          <cell r="U3259">
            <v>0</v>
          </cell>
          <cell r="W3259">
            <v>0</v>
          </cell>
          <cell r="X3259">
            <v>0</v>
          </cell>
          <cell r="Z3259">
            <v>0</v>
          </cell>
          <cell r="AA3259">
            <v>0</v>
          </cell>
          <cell r="AC3259">
            <v>884.95</v>
          </cell>
          <cell r="AD3259">
            <v>0</v>
          </cell>
          <cell r="AF3259">
            <v>0</v>
          </cell>
          <cell r="AG3259">
            <v>0</v>
          </cell>
          <cell r="AI3259">
            <v>0</v>
          </cell>
          <cell r="AJ3259">
            <v>0</v>
          </cell>
          <cell r="AL3259">
            <v>0</v>
          </cell>
          <cell r="AM3259">
            <v>0</v>
          </cell>
          <cell r="AO3259">
            <v>0</v>
          </cell>
          <cell r="AP3259">
            <v>0</v>
          </cell>
          <cell r="AR3259">
            <v>0</v>
          </cell>
          <cell r="AS3259">
            <v>0</v>
          </cell>
          <cell r="BF3259" t="str">
            <v>4360</v>
          </cell>
          <cell r="BG3259" t="str">
            <v>Z000</v>
          </cell>
          <cell r="BH3259" t="str">
            <v>CC4</v>
          </cell>
        </row>
        <row r="3260">
          <cell r="K3260">
            <v>0</v>
          </cell>
          <cell r="L3260">
            <v>0</v>
          </cell>
          <cell r="N3260">
            <v>0</v>
          </cell>
          <cell r="O3260">
            <v>0</v>
          </cell>
          <cell r="Q3260">
            <v>0</v>
          </cell>
          <cell r="R3260">
            <v>0</v>
          </cell>
          <cell r="T3260">
            <v>0</v>
          </cell>
          <cell r="U3260">
            <v>0</v>
          </cell>
          <cell r="W3260">
            <v>0</v>
          </cell>
          <cell r="X3260">
            <v>0</v>
          </cell>
          <cell r="Z3260">
            <v>0</v>
          </cell>
          <cell r="AA3260">
            <v>0</v>
          </cell>
          <cell r="AC3260">
            <v>899.91</v>
          </cell>
          <cell r="AD3260">
            <v>0</v>
          </cell>
          <cell r="AF3260">
            <v>0</v>
          </cell>
          <cell r="AG3260">
            <v>0</v>
          </cell>
          <cell r="AI3260">
            <v>0</v>
          </cell>
          <cell r="AJ3260">
            <v>0</v>
          </cell>
          <cell r="AL3260">
            <v>0</v>
          </cell>
          <cell r="AM3260">
            <v>0</v>
          </cell>
          <cell r="AO3260">
            <v>0</v>
          </cell>
          <cell r="AP3260">
            <v>0</v>
          </cell>
          <cell r="AR3260">
            <v>0</v>
          </cell>
          <cell r="AS3260">
            <v>0</v>
          </cell>
          <cell r="BF3260" t="str">
            <v>4360</v>
          </cell>
          <cell r="BG3260" t="str">
            <v>Z000</v>
          </cell>
          <cell r="BH3260" t="str">
            <v>CC5</v>
          </cell>
        </row>
        <row r="3261">
          <cell r="K3261">
            <v>0</v>
          </cell>
          <cell r="L3261">
            <v>0</v>
          </cell>
          <cell r="N3261">
            <v>0</v>
          </cell>
          <cell r="O3261">
            <v>0</v>
          </cell>
          <cell r="Q3261">
            <v>0</v>
          </cell>
          <cell r="R3261">
            <v>0</v>
          </cell>
          <cell r="T3261">
            <v>0</v>
          </cell>
          <cell r="U3261">
            <v>0</v>
          </cell>
          <cell r="W3261">
            <v>0</v>
          </cell>
          <cell r="X3261">
            <v>0</v>
          </cell>
          <cell r="Z3261">
            <v>0</v>
          </cell>
          <cell r="AA3261">
            <v>0</v>
          </cell>
          <cell r="AC3261">
            <v>7871.03</v>
          </cell>
          <cell r="AD3261">
            <v>0</v>
          </cell>
          <cell r="AF3261">
            <v>0</v>
          </cell>
          <cell r="AG3261">
            <v>0</v>
          </cell>
          <cell r="AI3261">
            <v>0</v>
          </cell>
          <cell r="AJ3261">
            <v>0</v>
          </cell>
          <cell r="AL3261">
            <v>0</v>
          </cell>
          <cell r="AM3261">
            <v>0</v>
          </cell>
          <cell r="AO3261">
            <v>0</v>
          </cell>
          <cell r="AP3261">
            <v>0</v>
          </cell>
          <cell r="AR3261">
            <v>0</v>
          </cell>
          <cell r="AS3261">
            <v>0</v>
          </cell>
          <cell r="BF3261" t="str">
            <v>4360</v>
          </cell>
          <cell r="BG3261" t="str">
            <v>Z000</v>
          </cell>
          <cell r="BH3261" t="str">
            <v>CC6</v>
          </cell>
        </row>
        <row r="3262">
          <cell r="K3262">
            <v>0</v>
          </cell>
          <cell r="L3262">
            <v>0</v>
          </cell>
          <cell r="N3262">
            <v>0</v>
          </cell>
          <cell r="O3262">
            <v>0</v>
          </cell>
          <cell r="Q3262">
            <v>0</v>
          </cell>
          <cell r="R3262">
            <v>0</v>
          </cell>
          <cell r="T3262">
            <v>0</v>
          </cell>
          <cell r="U3262">
            <v>0</v>
          </cell>
          <cell r="W3262">
            <v>0</v>
          </cell>
          <cell r="X3262">
            <v>0</v>
          </cell>
          <cell r="Z3262">
            <v>0</v>
          </cell>
          <cell r="AA3262">
            <v>0</v>
          </cell>
          <cell r="AC3262">
            <v>10234.84</v>
          </cell>
          <cell r="AD3262">
            <v>0</v>
          </cell>
          <cell r="AF3262">
            <v>1000</v>
          </cell>
          <cell r="AG3262">
            <v>0</v>
          </cell>
          <cell r="AI3262">
            <v>3750</v>
          </cell>
          <cell r="AJ3262">
            <v>0</v>
          </cell>
          <cell r="AL3262">
            <v>4699.9999999999964</v>
          </cell>
          <cell r="AM3262">
            <v>0</v>
          </cell>
          <cell r="AO3262">
            <v>-1000</v>
          </cell>
          <cell r="AP3262">
            <v>0</v>
          </cell>
          <cell r="AR3262">
            <v>12748.400000000001</v>
          </cell>
          <cell r="AS3262">
            <v>0</v>
          </cell>
          <cell r="BF3262" t="str">
            <v>4590</v>
          </cell>
          <cell r="BG3262" t="str">
            <v>Z000</v>
          </cell>
          <cell r="BH3262" t="str">
            <v>CC1</v>
          </cell>
        </row>
        <row r="3263">
          <cell r="K3263">
            <v>0</v>
          </cell>
          <cell r="L3263">
            <v>0</v>
          </cell>
          <cell r="N3263">
            <v>0</v>
          </cell>
          <cell r="O3263">
            <v>0</v>
          </cell>
          <cell r="Q3263">
            <v>0</v>
          </cell>
          <cell r="R3263">
            <v>0</v>
          </cell>
          <cell r="T3263">
            <v>0</v>
          </cell>
          <cell r="U3263">
            <v>0</v>
          </cell>
          <cell r="W3263">
            <v>0</v>
          </cell>
          <cell r="X3263">
            <v>0</v>
          </cell>
          <cell r="Z3263">
            <v>0</v>
          </cell>
          <cell r="AA3263">
            <v>0</v>
          </cell>
          <cell r="AC3263">
            <v>4295.84</v>
          </cell>
          <cell r="AD3263">
            <v>0</v>
          </cell>
          <cell r="AF3263">
            <v>0</v>
          </cell>
          <cell r="AG3263">
            <v>0</v>
          </cell>
          <cell r="AI3263">
            <v>0</v>
          </cell>
          <cell r="AJ3263">
            <v>0</v>
          </cell>
          <cell r="AL3263">
            <v>0</v>
          </cell>
          <cell r="AM3263">
            <v>0</v>
          </cell>
          <cell r="AO3263">
            <v>0</v>
          </cell>
          <cell r="AP3263">
            <v>0</v>
          </cell>
          <cell r="AR3263">
            <v>0</v>
          </cell>
          <cell r="AS3263">
            <v>0</v>
          </cell>
          <cell r="BF3263" t="str">
            <v>4590</v>
          </cell>
          <cell r="BG3263" t="str">
            <v>Z000</v>
          </cell>
          <cell r="BH3263" t="str">
            <v>CC2</v>
          </cell>
        </row>
        <row r="3264">
          <cell r="K3264">
            <v>0</v>
          </cell>
          <cell r="L3264">
            <v>0</v>
          </cell>
          <cell r="N3264">
            <v>0</v>
          </cell>
          <cell r="O3264">
            <v>0</v>
          </cell>
          <cell r="Q3264">
            <v>0</v>
          </cell>
          <cell r="R3264">
            <v>0</v>
          </cell>
          <cell r="T3264">
            <v>0</v>
          </cell>
          <cell r="U3264">
            <v>0</v>
          </cell>
          <cell r="W3264">
            <v>0</v>
          </cell>
          <cell r="X3264">
            <v>0</v>
          </cell>
          <cell r="Z3264">
            <v>0</v>
          </cell>
          <cell r="AA3264">
            <v>0</v>
          </cell>
          <cell r="AC3264">
            <v>2715.84</v>
          </cell>
          <cell r="AD3264">
            <v>0</v>
          </cell>
          <cell r="AF3264">
            <v>0</v>
          </cell>
          <cell r="AG3264">
            <v>0</v>
          </cell>
          <cell r="AI3264">
            <v>0</v>
          </cell>
          <cell r="AJ3264">
            <v>0</v>
          </cell>
          <cell r="AL3264">
            <v>0</v>
          </cell>
          <cell r="AM3264">
            <v>0</v>
          </cell>
          <cell r="AO3264">
            <v>0</v>
          </cell>
          <cell r="AP3264">
            <v>0</v>
          </cell>
          <cell r="AR3264">
            <v>0</v>
          </cell>
          <cell r="AS3264">
            <v>0</v>
          </cell>
          <cell r="BF3264" t="str">
            <v>4590</v>
          </cell>
          <cell r="BG3264" t="str">
            <v>Z000</v>
          </cell>
          <cell r="BH3264" t="str">
            <v>CC3</v>
          </cell>
        </row>
        <row r="3265">
          <cell r="K3265">
            <v>0</v>
          </cell>
          <cell r="L3265">
            <v>0</v>
          </cell>
          <cell r="N3265">
            <v>0</v>
          </cell>
          <cell r="O3265">
            <v>0</v>
          </cell>
          <cell r="Q3265">
            <v>0</v>
          </cell>
          <cell r="R3265">
            <v>0</v>
          </cell>
          <cell r="T3265">
            <v>0</v>
          </cell>
          <cell r="U3265">
            <v>0</v>
          </cell>
          <cell r="W3265">
            <v>0</v>
          </cell>
          <cell r="X3265">
            <v>0</v>
          </cell>
          <cell r="Z3265">
            <v>0</v>
          </cell>
          <cell r="AA3265">
            <v>0</v>
          </cell>
          <cell r="AC3265">
            <v>2715.84</v>
          </cell>
          <cell r="AD3265">
            <v>0</v>
          </cell>
          <cell r="AF3265">
            <v>1000</v>
          </cell>
          <cell r="AG3265">
            <v>0</v>
          </cell>
          <cell r="AI3265">
            <v>0</v>
          </cell>
          <cell r="AJ3265">
            <v>0</v>
          </cell>
          <cell r="AL3265">
            <v>0</v>
          </cell>
          <cell r="AM3265">
            <v>0</v>
          </cell>
          <cell r="AO3265">
            <v>0</v>
          </cell>
          <cell r="AP3265">
            <v>0</v>
          </cell>
          <cell r="AR3265">
            <v>0</v>
          </cell>
          <cell r="AS3265">
            <v>0</v>
          </cell>
          <cell r="BF3265" t="str">
            <v>4590</v>
          </cell>
          <cell r="BG3265" t="str">
            <v>Z000</v>
          </cell>
          <cell r="BH3265" t="str">
            <v>CC4</v>
          </cell>
        </row>
        <row r="3266">
          <cell r="K3266">
            <v>0</v>
          </cell>
          <cell r="L3266">
            <v>0</v>
          </cell>
          <cell r="N3266">
            <v>0</v>
          </cell>
          <cell r="O3266">
            <v>0</v>
          </cell>
          <cell r="Q3266">
            <v>0</v>
          </cell>
          <cell r="R3266">
            <v>0</v>
          </cell>
          <cell r="T3266">
            <v>0</v>
          </cell>
          <cell r="U3266">
            <v>0</v>
          </cell>
          <cell r="W3266">
            <v>0</v>
          </cell>
          <cell r="X3266">
            <v>0</v>
          </cell>
          <cell r="Z3266">
            <v>0</v>
          </cell>
          <cell r="AA3266">
            <v>0</v>
          </cell>
          <cell r="AC3266">
            <v>2815.83</v>
          </cell>
          <cell r="AD3266">
            <v>0</v>
          </cell>
          <cell r="AF3266">
            <v>0</v>
          </cell>
          <cell r="AG3266">
            <v>0</v>
          </cell>
          <cell r="AI3266">
            <v>0</v>
          </cell>
          <cell r="AJ3266">
            <v>0</v>
          </cell>
          <cell r="AL3266">
            <v>0</v>
          </cell>
          <cell r="AM3266">
            <v>0</v>
          </cell>
          <cell r="AO3266">
            <v>0</v>
          </cell>
          <cell r="AP3266">
            <v>0</v>
          </cell>
          <cell r="AR3266">
            <v>0</v>
          </cell>
          <cell r="AS3266">
            <v>0</v>
          </cell>
          <cell r="BF3266" t="str">
            <v>4590</v>
          </cell>
          <cell r="BG3266" t="str">
            <v>Z000</v>
          </cell>
          <cell r="BH3266" t="str">
            <v>CC6</v>
          </cell>
        </row>
        <row r="3267">
          <cell r="K3267">
            <v>0</v>
          </cell>
          <cell r="L3267">
            <v>0</v>
          </cell>
          <cell r="N3267">
            <v>0</v>
          </cell>
          <cell r="O3267">
            <v>0</v>
          </cell>
          <cell r="Q3267">
            <v>0</v>
          </cell>
          <cell r="R3267">
            <v>0</v>
          </cell>
          <cell r="T3267">
            <v>0</v>
          </cell>
          <cell r="U3267">
            <v>0</v>
          </cell>
          <cell r="W3267">
            <v>0</v>
          </cell>
          <cell r="X3267">
            <v>0</v>
          </cell>
          <cell r="Z3267">
            <v>0</v>
          </cell>
          <cell r="AA3267">
            <v>0</v>
          </cell>
          <cell r="AC3267">
            <v>9405.02</v>
          </cell>
          <cell r="AD3267">
            <v>0</v>
          </cell>
          <cell r="AF3267">
            <v>0</v>
          </cell>
          <cell r="AG3267">
            <v>0</v>
          </cell>
          <cell r="AI3267">
            <v>6465.4000000000015</v>
          </cell>
          <cell r="AJ3267">
            <v>0</v>
          </cell>
          <cell r="AL3267">
            <v>451.93999999999869</v>
          </cell>
          <cell r="AM3267">
            <v>0</v>
          </cell>
          <cell r="AO3267">
            <v>300</v>
          </cell>
          <cell r="AP3267">
            <v>0</v>
          </cell>
          <cell r="AR3267">
            <v>0</v>
          </cell>
          <cell r="AS3267">
            <v>0</v>
          </cell>
          <cell r="BF3267" t="str">
            <v>4620</v>
          </cell>
          <cell r="BG3267" t="str">
            <v>Z000</v>
          </cell>
          <cell r="BH3267" t="str">
            <v>CC1</v>
          </cell>
        </row>
        <row r="3268">
          <cell r="K3268">
            <v>0</v>
          </cell>
          <cell r="L3268">
            <v>0</v>
          </cell>
          <cell r="N3268">
            <v>0</v>
          </cell>
          <cell r="O3268">
            <v>0</v>
          </cell>
          <cell r="Q3268">
            <v>0</v>
          </cell>
          <cell r="R3268">
            <v>0</v>
          </cell>
          <cell r="T3268">
            <v>0</v>
          </cell>
          <cell r="U3268">
            <v>0</v>
          </cell>
          <cell r="W3268">
            <v>0</v>
          </cell>
          <cell r="X3268">
            <v>0</v>
          </cell>
          <cell r="Z3268">
            <v>0</v>
          </cell>
          <cell r="AA3268">
            <v>0</v>
          </cell>
          <cell r="AC3268">
            <v>4690.55</v>
          </cell>
          <cell r="AD3268">
            <v>0</v>
          </cell>
          <cell r="AF3268">
            <v>0</v>
          </cell>
          <cell r="AG3268">
            <v>0</v>
          </cell>
          <cell r="AI3268">
            <v>0</v>
          </cell>
          <cell r="AJ3268">
            <v>0</v>
          </cell>
          <cell r="AL3268">
            <v>580.80000000000018</v>
          </cell>
          <cell r="AM3268">
            <v>0</v>
          </cell>
          <cell r="AO3268">
            <v>0</v>
          </cell>
          <cell r="AP3268">
            <v>0</v>
          </cell>
          <cell r="AR3268">
            <v>0</v>
          </cell>
          <cell r="AS3268">
            <v>0</v>
          </cell>
          <cell r="BF3268" t="str">
            <v>4620</v>
          </cell>
          <cell r="BG3268" t="str">
            <v>Z000</v>
          </cell>
          <cell r="BH3268" t="str">
            <v>CC2</v>
          </cell>
        </row>
        <row r="3269">
          <cell r="K3269">
            <v>0</v>
          </cell>
          <cell r="L3269">
            <v>0</v>
          </cell>
          <cell r="N3269">
            <v>0</v>
          </cell>
          <cell r="O3269">
            <v>0</v>
          </cell>
          <cell r="Q3269">
            <v>0</v>
          </cell>
          <cell r="R3269">
            <v>0</v>
          </cell>
          <cell r="T3269">
            <v>0</v>
          </cell>
          <cell r="U3269">
            <v>0</v>
          </cell>
          <cell r="W3269">
            <v>0</v>
          </cell>
          <cell r="X3269">
            <v>0</v>
          </cell>
          <cell r="Z3269">
            <v>0</v>
          </cell>
          <cell r="AA3269">
            <v>0</v>
          </cell>
          <cell r="AC3269">
            <v>1023.7</v>
          </cell>
          <cell r="AD3269">
            <v>0</v>
          </cell>
          <cell r="AF3269">
            <v>0</v>
          </cell>
          <cell r="AG3269">
            <v>0</v>
          </cell>
          <cell r="AI3269">
            <v>0</v>
          </cell>
          <cell r="AJ3269">
            <v>0</v>
          </cell>
          <cell r="AL3269">
            <v>87.539999999999964</v>
          </cell>
          <cell r="AM3269">
            <v>0</v>
          </cell>
          <cell r="AO3269">
            <v>0</v>
          </cell>
          <cell r="AP3269">
            <v>0</v>
          </cell>
          <cell r="AR3269">
            <v>0</v>
          </cell>
          <cell r="AS3269">
            <v>0</v>
          </cell>
          <cell r="BF3269" t="str">
            <v>4620</v>
          </cell>
          <cell r="BG3269" t="str">
            <v>Z000</v>
          </cell>
          <cell r="BH3269" t="str">
            <v>CC3</v>
          </cell>
        </row>
        <row r="3270">
          <cell r="K3270">
            <v>0</v>
          </cell>
          <cell r="L3270">
            <v>0</v>
          </cell>
          <cell r="N3270">
            <v>0</v>
          </cell>
          <cell r="O3270">
            <v>0</v>
          </cell>
          <cell r="Q3270">
            <v>0</v>
          </cell>
          <cell r="R3270">
            <v>0</v>
          </cell>
          <cell r="T3270">
            <v>0</v>
          </cell>
          <cell r="U3270">
            <v>0</v>
          </cell>
          <cell r="W3270">
            <v>0</v>
          </cell>
          <cell r="X3270">
            <v>0</v>
          </cell>
          <cell r="Z3270">
            <v>0</v>
          </cell>
          <cell r="AA3270">
            <v>0</v>
          </cell>
          <cell r="AC3270">
            <v>6801.71</v>
          </cell>
          <cell r="AD3270">
            <v>0</v>
          </cell>
          <cell r="AF3270">
            <v>0</v>
          </cell>
          <cell r="AG3270">
            <v>0</v>
          </cell>
          <cell r="AI3270">
            <v>0</v>
          </cell>
          <cell r="AJ3270">
            <v>0</v>
          </cell>
          <cell r="AL3270">
            <v>398.68000000000029</v>
          </cell>
          <cell r="AM3270">
            <v>0</v>
          </cell>
          <cell r="AO3270">
            <v>0</v>
          </cell>
          <cell r="AP3270">
            <v>0</v>
          </cell>
          <cell r="AR3270">
            <v>0</v>
          </cell>
          <cell r="AS3270">
            <v>0</v>
          </cell>
          <cell r="BF3270" t="str">
            <v>4620</v>
          </cell>
          <cell r="BG3270" t="str">
            <v>Z000</v>
          </cell>
          <cell r="BH3270" t="str">
            <v>CC4</v>
          </cell>
        </row>
        <row r="3271">
          <cell r="K3271">
            <v>0</v>
          </cell>
          <cell r="L3271">
            <v>0</v>
          </cell>
          <cell r="N3271">
            <v>0</v>
          </cell>
          <cell r="O3271">
            <v>0</v>
          </cell>
          <cell r="Q3271">
            <v>0</v>
          </cell>
          <cell r="R3271">
            <v>0</v>
          </cell>
          <cell r="T3271">
            <v>0</v>
          </cell>
          <cell r="U3271">
            <v>0</v>
          </cell>
          <cell r="W3271">
            <v>0</v>
          </cell>
          <cell r="X3271">
            <v>0</v>
          </cell>
          <cell r="Z3271">
            <v>0</v>
          </cell>
          <cell r="AA3271">
            <v>0</v>
          </cell>
          <cell r="AC3271">
            <v>4729.8900000000003</v>
          </cell>
          <cell r="AD3271">
            <v>0</v>
          </cell>
          <cell r="AF3271">
            <v>0</v>
          </cell>
          <cell r="AG3271">
            <v>0</v>
          </cell>
          <cell r="AI3271">
            <v>0</v>
          </cell>
          <cell r="AJ3271">
            <v>0</v>
          </cell>
          <cell r="AL3271">
            <v>208</v>
          </cell>
          <cell r="AM3271">
            <v>0</v>
          </cell>
          <cell r="AO3271">
            <v>0</v>
          </cell>
          <cell r="AP3271">
            <v>0</v>
          </cell>
          <cell r="AR3271">
            <v>0</v>
          </cell>
          <cell r="AS3271">
            <v>0</v>
          </cell>
          <cell r="BF3271" t="str">
            <v>4620</v>
          </cell>
          <cell r="BG3271" t="str">
            <v>Z000</v>
          </cell>
          <cell r="BH3271" t="str">
            <v>CC6</v>
          </cell>
        </row>
        <row r="3272">
          <cell r="K3272">
            <v>0</v>
          </cell>
          <cell r="L3272">
            <v>0</v>
          </cell>
          <cell r="N3272">
            <v>0</v>
          </cell>
          <cell r="O3272">
            <v>0</v>
          </cell>
          <cell r="Q3272">
            <v>0</v>
          </cell>
          <cell r="R3272">
            <v>0</v>
          </cell>
          <cell r="T3272">
            <v>0</v>
          </cell>
          <cell r="U3272">
            <v>0</v>
          </cell>
          <cell r="W3272">
            <v>0</v>
          </cell>
          <cell r="X3272">
            <v>0</v>
          </cell>
          <cell r="Z3272">
            <v>0</v>
          </cell>
          <cell r="AA3272">
            <v>0</v>
          </cell>
          <cell r="AC3272">
            <v>26481.29</v>
          </cell>
          <cell r="AD3272">
            <v>0</v>
          </cell>
          <cell r="AF3272">
            <v>270.22000000000116</v>
          </cell>
          <cell r="AG3272">
            <v>0</v>
          </cell>
          <cell r="AI3272">
            <v>3404.2000000000007</v>
          </cell>
          <cell r="AJ3272">
            <v>0</v>
          </cell>
          <cell r="AL3272">
            <v>0</v>
          </cell>
          <cell r="AM3272">
            <v>0</v>
          </cell>
          <cell r="AO3272">
            <v>291.40000000000146</v>
          </cell>
          <cell r="AP3272">
            <v>0</v>
          </cell>
          <cell r="AR3272">
            <v>30</v>
          </cell>
          <cell r="AS3272">
            <v>0</v>
          </cell>
          <cell r="BF3272" t="str">
            <v>4630</v>
          </cell>
          <cell r="BG3272" t="str">
            <v>Z000</v>
          </cell>
          <cell r="BH3272" t="str">
            <v>CC1</v>
          </cell>
        </row>
        <row r="3273">
          <cell r="K3273">
            <v>0</v>
          </cell>
          <cell r="L3273">
            <v>0</v>
          </cell>
          <cell r="N3273">
            <v>0</v>
          </cell>
          <cell r="O3273">
            <v>0</v>
          </cell>
          <cell r="Q3273">
            <v>0</v>
          </cell>
          <cell r="R3273">
            <v>0</v>
          </cell>
          <cell r="T3273">
            <v>0</v>
          </cell>
          <cell r="U3273">
            <v>0</v>
          </cell>
          <cell r="W3273">
            <v>0</v>
          </cell>
          <cell r="X3273">
            <v>0</v>
          </cell>
          <cell r="Z3273">
            <v>0</v>
          </cell>
          <cell r="AA3273">
            <v>0</v>
          </cell>
          <cell r="AC3273">
            <v>1722.55</v>
          </cell>
          <cell r="AD3273">
            <v>0</v>
          </cell>
          <cell r="AF3273">
            <v>0</v>
          </cell>
          <cell r="AG3273">
            <v>0</v>
          </cell>
          <cell r="AI3273">
            <v>0</v>
          </cell>
          <cell r="AJ3273">
            <v>0</v>
          </cell>
          <cell r="AL3273">
            <v>0</v>
          </cell>
          <cell r="AM3273">
            <v>0</v>
          </cell>
          <cell r="AO3273">
            <v>0</v>
          </cell>
          <cell r="AP3273">
            <v>0</v>
          </cell>
          <cell r="AR3273">
            <v>0</v>
          </cell>
          <cell r="AS3273">
            <v>0</v>
          </cell>
          <cell r="BF3273" t="str">
            <v>4630</v>
          </cell>
          <cell r="BG3273" t="str">
            <v>Z000</v>
          </cell>
          <cell r="BH3273" t="str">
            <v>CC2</v>
          </cell>
        </row>
        <row r="3274">
          <cell r="K3274">
            <v>0</v>
          </cell>
          <cell r="L3274">
            <v>0</v>
          </cell>
          <cell r="N3274">
            <v>0</v>
          </cell>
          <cell r="O3274">
            <v>0</v>
          </cell>
          <cell r="Q3274">
            <v>0</v>
          </cell>
          <cell r="R3274">
            <v>0</v>
          </cell>
          <cell r="T3274">
            <v>0</v>
          </cell>
          <cell r="U3274">
            <v>0</v>
          </cell>
          <cell r="W3274">
            <v>0</v>
          </cell>
          <cell r="X3274">
            <v>0</v>
          </cell>
          <cell r="Z3274">
            <v>0</v>
          </cell>
          <cell r="AA3274">
            <v>0</v>
          </cell>
          <cell r="AC3274">
            <v>1091.8</v>
          </cell>
          <cell r="AD3274">
            <v>0</v>
          </cell>
          <cell r="AF3274">
            <v>0</v>
          </cell>
          <cell r="AG3274">
            <v>0</v>
          </cell>
          <cell r="AI3274">
            <v>0</v>
          </cell>
          <cell r="AJ3274">
            <v>0</v>
          </cell>
          <cell r="AL3274">
            <v>0</v>
          </cell>
          <cell r="AM3274">
            <v>0</v>
          </cell>
          <cell r="AO3274">
            <v>0</v>
          </cell>
          <cell r="AP3274">
            <v>0</v>
          </cell>
          <cell r="AR3274">
            <v>0</v>
          </cell>
          <cell r="AS3274">
            <v>0</v>
          </cell>
          <cell r="BF3274" t="str">
            <v>4630</v>
          </cell>
          <cell r="BG3274" t="str">
            <v>Z000</v>
          </cell>
          <cell r="BH3274" t="str">
            <v>CC3</v>
          </cell>
        </row>
        <row r="3275">
          <cell r="K3275">
            <v>0</v>
          </cell>
          <cell r="L3275">
            <v>0</v>
          </cell>
          <cell r="N3275">
            <v>0</v>
          </cell>
          <cell r="O3275">
            <v>0</v>
          </cell>
          <cell r="Q3275">
            <v>0</v>
          </cell>
          <cell r="R3275">
            <v>0</v>
          </cell>
          <cell r="T3275">
            <v>0</v>
          </cell>
          <cell r="U3275">
            <v>0</v>
          </cell>
          <cell r="W3275">
            <v>0</v>
          </cell>
          <cell r="X3275">
            <v>0</v>
          </cell>
          <cell r="Z3275">
            <v>0</v>
          </cell>
          <cell r="AA3275">
            <v>0</v>
          </cell>
          <cell r="AC3275">
            <v>0</v>
          </cell>
          <cell r="AD3275">
            <v>0</v>
          </cell>
          <cell r="AF3275">
            <v>88.3</v>
          </cell>
          <cell r="AG3275">
            <v>0</v>
          </cell>
          <cell r="AI3275">
            <v>0</v>
          </cell>
          <cell r="AJ3275">
            <v>0</v>
          </cell>
          <cell r="AL3275">
            <v>0</v>
          </cell>
          <cell r="AM3275">
            <v>0</v>
          </cell>
          <cell r="AO3275">
            <v>0</v>
          </cell>
          <cell r="AP3275">
            <v>0</v>
          </cell>
          <cell r="AR3275">
            <v>0</v>
          </cell>
          <cell r="AS3275">
            <v>0</v>
          </cell>
          <cell r="BF3275" t="str">
            <v>4630</v>
          </cell>
          <cell r="BG3275" t="str">
            <v>Z000</v>
          </cell>
          <cell r="BH3275" t="str">
            <v>CC4</v>
          </cell>
        </row>
        <row r="3276">
          <cell r="K3276">
            <v>0</v>
          </cell>
          <cell r="L3276">
            <v>0</v>
          </cell>
          <cell r="N3276">
            <v>0</v>
          </cell>
          <cell r="O3276">
            <v>0</v>
          </cell>
          <cell r="Q3276">
            <v>0</v>
          </cell>
          <cell r="R3276">
            <v>0</v>
          </cell>
          <cell r="T3276">
            <v>0</v>
          </cell>
          <cell r="U3276">
            <v>0</v>
          </cell>
          <cell r="W3276">
            <v>0</v>
          </cell>
          <cell r="X3276">
            <v>0</v>
          </cell>
          <cell r="Z3276">
            <v>0</v>
          </cell>
          <cell r="AA3276">
            <v>0</v>
          </cell>
          <cell r="AC3276">
            <v>2341.23</v>
          </cell>
          <cell r="AD3276">
            <v>0</v>
          </cell>
          <cell r="AF3276">
            <v>0</v>
          </cell>
          <cell r="AG3276">
            <v>0</v>
          </cell>
          <cell r="AI3276">
            <v>0</v>
          </cell>
          <cell r="AJ3276">
            <v>0</v>
          </cell>
          <cell r="AL3276">
            <v>0</v>
          </cell>
          <cell r="AM3276">
            <v>0</v>
          </cell>
          <cell r="AO3276">
            <v>0</v>
          </cell>
          <cell r="AP3276">
            <v>0</v>
          </cell>
          <cell r="AR3276">
            <v>0</v>
          </cell>
          <cell r="AS3276">
            <v>0</v>
          </cell>
          <cell r="BF3276" t="str">
            <v>4630</v>
          </cell>
          <cell r="BG3276" t="str">
            <v>Z000</v>
          </cell>
          <cell r="BH3276" t="str">
            <v>CC6</v>
          </cell>
        </row>
        <row r="3277">
          <cell r="K3277">
            <v>0</v>
          </cell>
          <cell r="L3277">
            <v>0</v>
          </cell>
          <cell r="N3277">
            <v>0</v>
          </cell>
          <cell r="O3277">
            <v>0</v>
          </cell>
          <cell r="Q3277">
            <v>0</v>
          </cell>
          <cell r="R3277">
            <v>0</v>
          </cell>
          <cell r="T3277">
            <v>0</v>
          </cell>
          <cell r="U3277">
            <v>0</v>
          </cell>
          <cell r="W3277">
            <v>0</v>
          </cell>
          <cell r="X3277">
            <v>0</v>
          </cell>
          <cell r="Z3277">
            <v>0</v>
          </cell>
          <cell r="AA3277">
            <v>0</v>
          </cell>
          <cell r="AC3277">
            <v>76280.52</v>
          </cell>
          <cell r="AD3277">
            <v>0</v>
          </cell>
          <cell r="AF3277">
            <v>128.57000000000698</v>
          </cell>
          <cell r="AG3277">
            <v>0</v>
          </cell>
          <cell r="AI3277">
            <v>11097.11</v>
          </cell>
          <cell r="AJ3277">
            <v>0</v>
          </cell>
          <cell r="AL3277">
            <v>5100.6699999999983</v>
          </cell>
          <cell r="AM3277">
            <v>0</v>
          </cell>
          <cell r="AO3277">
            <v>46.25</v>
          </cell>
          <cell r="AP3277">
            <v>0</v>
          </cell>
          <cell r="AR3277">
            <v>5366.5399999999936</v>
          </cell>
          <cell r="AS3277">
            <v>0</v>
          </cell>
          <cell r="BF3277" t="str">
            <v>4660</v>
          </cell>
          <cell r="BG3277" t="str">
            <v>Z000</v>
          </cell>
          <cell r="BH3277" t="str">
            <v>CC1</v>
          </cell>
        </row>
        <row r="3278">
          <cell r="K3278">
            <v>0</v>
          </cell>
          <cell r="L3278">
            <v>0</v>
          </cell>
          <cell r="N3278">
            <v>0</v>
          </cell>
          <cell r="O3278">
            <v>0</v>
          </cell>
          <cell r="Q3278">
            <v>0</v>
          </cell>
          <cell r="R3278">
            <v>0</v>
          </cell>
          <cell r="T3278">
            <v>0</v>
          </cell>
          <cell r="U3278">
            <v>0</v>
          </cell>
          <cell r="W3278">
            <v>0</v>
          </cell>
          <cell r="X3278">
            <v>0</v>
          </cell>
          <cell r="Z3278">
            <v>0</v>
          </cell>
          <cell r="AA3278">
            <v>0</v>
          </cell>
          <cell r="AC3278">
            <v>8666.34</v>
          </cell>
          <cell r="AD3278">
            <v>0</v>
          </cell>
          <cell r="AF3278">
            <v>0</v>
          </cell>
          <cell r="AG3278">
            <v>0</v>
          </cell>
          <cell r="AI3278">
            <v>0</v>
          </cell>
          <cell r="AJ3278">
            <v>0</v>
          </cell>
          <cell r="AL3278">
            <v>0</v>
          </cell>
          <cell r="AM3278">
            <v>0</v>
          </cell>
          <cell r="AO3278">
            <v>0</v>
          </cell>
          <cell r="AP3278">
            <v>0</v>
          </cell>
          <cell r="AR3278">
            <v>0</v>
          </cell>
          <cell r="AS3278">
            <v>0</v>
          </cell>
          <cell r="BF3278" t="str">
            <v>4660</v>
          </cell>
          <cell r="BG3278" t="str">
            <v>Z000</v>
          </cell>
          <cell r="BH3278" t="str">
            <v>CC2</v>
          </cell>
        </row>
        <row r="3279">
          <cell r="K3279">
            <v>0</v>
          </cell>
          <cell r="L3279">
            <v>0</v>
          </cell>
          <cell r="N3279">
            <v>0</v>
          </cell>
          <cell r="O3279">
            <v>0</v>
          </cell>
          <cell r="Q3279">
            <v>0</v>
          </cell>
          <cell r="R3279">
            <v>0</v>
          </cell>
          <cell r="T3279">
            <v>0</v>
          </cell>
          <cell r="U3279">
            <v>0</v>
          </cell>
          <cell r="W3279">
            <v>0</v>
          </cell>
          <cell r="X3279">
            <v>0</v>
          </cell>
          <cell r="Z3279">
            <v>0</v>
          </cell>
          <cell r="AA3279">
            <v>0</v>
          </cell>
          <cell r="AC3279">
            <v>453.7</v>
          </cell>
          <cell r="AD3279">
            <v>0</v>
          </cell>
          <cell r="AF3279">
            <v>0</v>
          </cell>
          <cell r="AG3279">
            <v>0</v>
          </cell>
          <cell r="AI3279">
            <v>0</v>
          </cell>
          <cell r="AJ3279">
            <v>0</v>
          </cell>
          <cell r="AL3279">
            <v>0</v>
          </cell>
          <cell r="AM3279">
            <v>0</v>
          </cell>
          <cell r="AO3279">
            <v>0</v>
          </cell>
          <cell r="AP3279">
            <v>0</v>
          </cell>
          <cell r="AR3279">
            <v>0</v>
          </cell>
          <cell r="AS3279">
            <v>0</v>
          </cell>
          <cell r="BF3279" t="str">
            <v>4660</v>
          </cell>
          <cell r="BG3279" t="str">
            <v>Z000</v>
          </cell>
          <cell r="BH3279" t="str">
            <v>CC3</v>
          </cell>
        </row>
        <row r="3280">
          <cell r="K3280">
            <v>0</v>
          </cell>
          <cell r="L3280">
            <v>0</v>
          </cell>
          <cell r="N3280">
            <v>0</v>
          </cell>
          <cell r="O3280">
            <v>0</v>
          </cell>
          <cell r="Q3280">
            <v>0</v>
          </cell>
          <cell r="R3280">
            <v>0</v>
          </cell>
          <cell r="T3280">
            <v>0</v>
          </cell>
          <cell r="U3280">
            <v>0</v>
          </cell>
          <cell r="W3280">
            <v>0</v>
          </cell>
          <cell r="X3280">
            <v>0</v>
          </cell>
          <cell r="Z3280">
            <v>0</v>
          </cell>
          <cell r="AA3280">
            <v>0</v>
          </cell>
          <cell r="AC3280">
            <v>976.08</v>
          </cell>
          <cell r="AD3280">
            <v>0</v>
          </cell>
          <cell r="AF3280">
            <v>0</v>
          </cell>
          <cell r="AG3280">
            <v>0</v>
          </cell>
          <cell r="AI3280">
            <v>0</v>
          </cell>
          <cell r="AJ3280">
            <v>0</v>
          </cell>
          <cell r="AL3280">
            <v>0</v>
          </cell>
          <cell r="AM3280">
            <v>0</v>
          </cell>
          <cell r="AO3280">
            <v>0</v>
          </cell>
          <cell r="AP3280">
            <v>0</v>
          </cell>
          <cell r="AR3280">
            <v>0</v>
          </cell>
          <cell r="AS3280">
            <v>0</v>
          </cell>
          <cell r="BF3280" t="str">
            <v>4660</v>
          </cell>
          <cell r="BG3280" t="str">
            <v>Z000</v>
          </cell>
          <cell r="BH3280" t="str">
            <v>CC4</v>
          </cell>
        </row>
        <row r="3281">
          <cell r="K3281">
            <v>0</v>
          </cell>
          <cell r="L3281">
            <v>0</v>
          </cell>
          <cell r="N3281">
            <v>0</v>
          </cell>
          <cell r="O3281">
            <v>0</v>
          </cell>
          <cell r="Q3281">
            <v>0</v>
          </cell>
          <cell r="R3281">
            <v>0</v>
          </cell>
          <cell r="T3281">
            <v>0</v>
          </cell>
          <cell r="U3281">
            <v>0</v>
          </cell>
          <cell r="W3281">
            <v>0</v>
          </cell>
          <cell r="X3281">
            <v>0</v>
          </cell>
          <cell r="Z3281">
            <v>0</v>
          </cell>
          <cell r="AA3281">
            <v>0</v>
          </cell>
          <cell r="AC3281">
            <v>453</v>
          </cell>
          <cell r="AD3281">
            <v>0</v>
          </cell>
          <cell r="AF3281">
            <v>0</v>
          </cell>
          <cell r="AG3281">
            <v>0</v>
          </cell>
          <cell r="AI3281">
            <v>0</v>
          </cell>
          <cell r="AJ3281">
            <v>0</v>
          </cell>
          <cell r="AL3281">
            <v>0</v>
          </cell>
          <cell r="AM3281">
            <v>0</v>
          </cell>
          <cell r="AO3281">
            <v>0</v>
          </cell>
          <cell r="AP3281">
            <v>0</v>
          </cell>
          <cell r="AR3281">
            <v>0</v>
          </cell>
          <cell r="AS3281">
            <v>0</v>
          </cell>
          <cell r="BF3281" t="str">
            <v>4660</v>
          </cell>
          <cell r="BG3281" t="str">
            <v>Z000</v>
          </cell>
          <cell r="BH3281" t="str">
            <v>CC6</v>
          </cell>
        </row>
        <row r="3282">
          <cell r="K3282">
            <v>0</v>
          </cell>
          <cell r="L3282">
            <v>0</v>
          </cell>
          <cell r="N3282">
            <v>0</v>
          </cell>
          <cell r="O3282">
            <v>0</v>
          </cell>
          <cell r="Q3282">
            <v>0</v>
          </cell>
          <cell r="R3282">
            <v>0</v>
          </cell>
          <cell r="T3282">
            <v>0</v>
          </cell>
          <cell r="U3282">
            <v>0</v>
          </cell>
          <cell r="W3282">
            <v>0</v>
          </cell>
          <cell r="X3282">
            <v>0</v>
          </cell>
          <cell r="Z3282">
            <v>0</v>
          </cell>
          <cell r="AA3282">
            <v>0</v>
          </cell>
          <cell r="AC3282">
            <v>2520</v>
          </cell>
          <cell r="AD3282">
            <v>0</v>
          </cell>
          <cell r="AF3282">
            <v>3290.4800000000014</v>
          </cell>
          <cell r="AG3282">
            <v>0</v>
          </cell>
          <cell r="AI3282">
            <v>1396.1999999999998</v>
          </cell>
          <cell r="AJ3282">
            <v>0</v>
          </cell>
          <cell r="AL3282">
            <v>1808.3000000000002</v>
          </cell>
          <cell r="AM3282">
            <v>0</v>
          </cell>
          <cell r="AO3282">
            <v>5996.24</v>
          </cell>
          <cell r="AP3282">
            <v>0</v>
          </cell>
          <cell r="AR3282">
            <v>2462.4199999999983</v>
          </cell>
          <cell r="AS3282">
            <v>0</v>
          </cell>
          <cell r="BF3282" t="str">
            <v>4690</v>
          </cell>
          <cell r="BG3282" t="str">
            <v>Z000</v>
          </cell>
          <cell r="BH3282" t="str">
            <v>CC1</v>
          </cell>
        </row>
        <row r="3283">
          <cell r="K3283">
            <v>0</v>
          </cell>
          <cell r="L3283">
            <v>0</v>
          </cell>
          <cell r="N3283">
            <v>0</v>
          </cell>
          <cell r="O3283">
            <v>0</v>
          </cell>
          <cell r="Q3283">
            <v>0</v>
          </cell>
          <cell r="R3283">
            <v>0</v>
          </cell>
          <cell r="T3283">
            <v>0</v>
          </cell>
          <cell r="U3283">
            <v>0</v>
          </cell>
          <cell r="W3283">
            <v>0</v>
          </cell>
          <cell r="X3283">
            <v>0</v>
          </cell>
          <cell r="Z3283">
            <v>0</v>
          </cell>
          <cell r="AA3283">
            <v>0</v>
          </cell>
          <cell r="AC3283">
            <v>222981.72</v>
          </cell>
          <cell r="AD3283">
            <v>0</v>
          </cell>
          <cell r="AF3283">
            <v>27439.22</v>
          </cell>
          <cell r="AG3283">
            <v>0</v>
          </cell>
          <cell r="AI3283">
            <v>27439.22000000003</v>
          </cell>
          <cell r="AJ3283">
            <v>0</v>
          </cell>
          <cell r="AL3283">
            <v>34249.380000000005</v>
          </cell>
          <cell r="AM3283">
            <v>0</v>
          </cell>
          <cell r="AO3283">
            <v>91520.399999999965</v>
          </cell>
          <cell r="AP3283">
            <v>0</v>
          </cell>
          <cell r="AR3283">
            <v>112175.98999999999</v>
          </cell>
          <cell r="AS3283">
            <v>0</v>
          </cell>
          <cell r="BF3283" t="str">
            <v>4700</v>
          </cell>
          <cell r="BG3283" t="str">
            <v>D031</v>
          </cell>
          <cell r="BH3283" t="str">
            <v>CC1</v>
          </cell>
        </row>
        <row r="3284">
          <cell r="K3284">
            <v>0</v>
          </cell>
          <cell r="L3284">
            <v>0</v>
          </cell>
          <cell r="N3284">
            <v>0</v>
          </cell>
          <cell r="O3284">
            <v>0</v>
          </cell>
          <cell r="Q3284">
            <v>0</v>
          </cell>
          <cell r="R3284">
            <v>0</v>
          </cell>
          <cell r="T3284">
            <v>0</v>
          </cell>
          <cell r="U3284">
            <v>0</v>
          </cell>
          <cell r="W3284">
            <v>0</v>
          </cell>
          <cell r="X3284">
            <v>0</v>
          </cell>
          <cell r="Z3284">
            <v>0</v>
          </cell>
          <cell r="AA3284">
            <v>0</v>
          </cell>
          <cell r="AC3284">
            <v>468409.32</v>
          </cell>
          <cell r="AD3284">
            <v>0</v>
          </cell>
          <cell r="AF3284">
            <v>37152</v>
          </cell>
          <cell r="AG3284">
            <v>0</v>
          </cell>
          <cell r="AI3284">
            <v>37152.000000000058</v>
          </cell>
          <cell r="AJ3284">
            <v>0</v>
          </cell>
          <cell r="AL3284">
            <v>0</v>
          </cell>
          <cell r="AM3284">
            <v>0</v>
          </cell>
          <cell r="AO3284">
            <v>0</v>
          </cell>
          <cell r="AP3284">
            <v>0</v>
          </cell>
          <cell r="AR3284">
            <v>0</v>
          </cell>
          <cell r="AS3284">
            <v>0</v>
          </cell>
          <cell r="BF3284" t="str">
            <v>4700</v>
          </cell>
          <cell r="BG3284" t="str">
            <v>D031</v>
          </cell>
          <cell r="BH3284" t="str">
            <v>CC2</v>
          </cell>
        </row>
        <row r="3285">
          <cell r="K3285">
            <v>0</v>
          </cell>
          <cell r="L3285">
            <v>0</v>
          </cell>
          <cell r="N3285">
            <v>0</v>
          </cell>
          <cell r="O3285">
            <v>0</v>
          </cell>
          <cell r="Q3285">
            <v>0</v>
          </cell>
          <cell r="R3285">
            <v>0</v>
          </cell>
          <cell r="T3285">
            <v>0</v>
          </cell>
          <cell r="U3285">
            <v>0</v>
          </cell>
          <cell r="W3285">
            <v>0</v>
          </cell>
          <cell r="X3285">
            <v>0</v>
          </cell>
          <cell r="Z3285">
            <v>0</v>
          </cell>
          <cell r="AA3285">
            <v>0</v>
          </cell>
          <cell r="AC3285">
            <v>66712.42</v>
          </cell>
          <cell r="AD3285">
            <v>0</v>
          </cell>
          <cell r="AF3285">
            <v>5501.4199999999983</v>
          </cell>
          <cell r="AG3285">
            <v>0</v>
          </cell>
          <cell r="AI3285">
            <v>5501.4199999999983</v>
          </cell>
          <cell r="AJ3285">
            <v>0</v>
          </cell>
          <cell r="AL3285">
            <v>0</v>
          </cell>
          <cell r="AM3285">
            <v>0</v>
          </cell>
          <cell r="AO3285">
            <v>0</v>
          </cell>
          <cell r="AP3285">
            <v>0</v>
          </cell>
          <cell r="AR3285">
            <v>0</v>
          </cell>
          <cell r="AS3285">
            <v>0</v>
          </cell>
          <cell r="BF3285" t="str">
            <v>4700</v>
          </cell>
          <cell r="BG3285" t="str">
            <v>D031</v>
          </cell>
          <cell r="BH3285" t="str">
            <v>CC3</v>
          </cell>
        </row>
        <row r="3286">
          <cell r="K3286">
            <v>0</v>
          </cell>
          <cell r="L3286">
            <v>0</v>
          </cell>
          <cell r="N3286">
            <v>0</v>
          </cell>
          <cell r="O3286">
            <v>0</v>
          </cell>
          <cell r="Q3286">
            <v>0</v>
          </cell>
          <cell r="R3286">
            <v>0</v>
          </cell>
          <cell r="T3286">
            <v>0</v>
          </cell>
          <cell r="U3286">
            <v>0</v>
          </cell>
          <cell r="W3286">
            <v>0</v>
          </cell>
          <cell r="X3286">
            <v>0</v>
          </cell>
          <cell r="Z3286">
            <v>0</v>
          </cell>
          <cell r="AA3286">
            <v>0</v>
          </cell>
          <cell r="AC3286">
            <v>149724.97999999998</v>
          </cell>
          <cell r="AD3286">
            <v>0</v>
          </cell>
          <cell r="AF3286">
            <v>11535.709999999992</v>
          </cell>
          <cell r="AG3286">
            <v>0</v>
          </cell>
          <cell r="AI3286">
            <v>11535.709999999992</v>
          </cell>
          <cell r="AJ3286">
            <v>0</v>
          </cell>
          <cell r="AL3286">
            <v>22334</v>
          </cell>
          <cell r="AM3286">
            <v>0</v>
          </cell>
          <cell r="AO3286">
            <v>0</v>
          </cell>
          <cell r="AP3286">
            <v>0</v>
          </cell>
          <cell r="AR3286">
            <v>0</v>
          </cell>
          <cell r="AS3286">
            <v>0</v>
          </cell>
          <cell r="BF3286" t="str">
            <v>4700</v>
          </cell>
          <cell r="BG3286" t="str">
            <v>D031</v>
          </cell>
          <cell r="BH3286" t="str">
            <v>CC4</v>
          </cell>
        </row>
        <row r="3287">
          <cell r="K3287">
            <v>0</v>
          </cell>
          <cell r="L3287">
            <v>0</v>
          </cell>
          <cell r="N3287">
            <v>0</v>
          </cell>
          <cell r="O3287">
            <v>0</v>
          </cell>
          <cell r="Q3287">
            <v>0</v>
          </cell>
          <cell r="R3287">
            <v>0</v>
          </cell>
          <cell r="T3287">
            <v>0</v>
          </cell>
          <cell r="U3287">
            <v>0</v>
          </cell>
          <cell r="W3287">
            <v>0</v>
          </cell>
          <cell r="X3287">
            <v>0</v>
          </cell>
          <cell r="Z3287">
            <v>0</v>
          </cell>
          <cell r="AA3287">
            <v>0</v>
          </cell>
          <cell r="AC3287">
            <v>122622.48000000001</v>
          </cell>
          <cell r="AD3287">
            <v>0</v>
          </cell>
          <cell r="AF3287">
            <v>11843.910000000003</v>
          </cell>
          <cell r="AG3287">
            <v>0</v>
          </cell>
          <cell r="AI3287">
            <v>11843.910000000003</v>
          </cell>
          <cell r="AJ3287">
            <v>0</v>
          </cell>
          <cell r="AL3287">
            <v>54875.419999999984</v>
          </cell>
          <cell r="AM3287">
            <v>0</v>
          </cell>
          <cell r="AO3287">
            <v>0</v>
          </cell>
          <cell r="AP3287">
            <v>0</v>
          </cell>
          <cell r="AR3287">
            <v>0</v>
          </cell>
          <cell r="AS3287">
            <v>0</v>
          </cell>
          <cell r="BF3287" t="str">
            <v>4700</v>
          </cell>
          <cell r="BG3287" t="str">
            <v>D031</v>
          </cell>
          <cell r="BH3287" t="str">
            <v>CC5</v>
          </cell>
        </row>
        <row r="3288">
          <cell r="K3288">
            <v>0</v>
          </cell>
          <cell r="L3288">
            <v>0</v>
          </cell>
          <cell r="N3288">
            <v>0</v>
          </cell>
          <cell r="O3288">
            <v>0</v>
          </cell>
          <cell r="Q3288">
            <v>0</v>
          </cell>
          <cell r="R3288">
            <v>0</v>
          </cell>
          <cell r="T3288">
            <v>0</v>
          </cell>
          <cell r="U3288">
            <v>0</v>
          </cell>
          <cell r="W3288">
            <v>0</v>
          </cell>
          <cell r="X3288">
            <v>0</v>
          </cell>
          <cell r="Z3288">
            <v>0</v>
          </cell>
          <cell r="AA3288">
            <v>0</v>
          </cell>
          <cell r="AC3288">
            <v>127828.2</v>
          </cell>
          <cell r="AD3288">
            <v>0</v>
          </cell>
          <cell r="AF3288">
            <v>0</v>
          </cell>
          <cell r="AG3288">
            <v>0</v>
          </cell>
          <cell r="AI3288">
            <v>0</v>
          </cell>
          <cell r="AJ3288">
            <v>0</v>
          </cell>
          <cell r="AL3288">
            <v>0</v>
          </cell>
          <cell r="AM3288">
            <v>0</v>
          </cell>
          <cell r="AO3288">
            <v>14470.400000000009</v>
          </cell>
          <cell r="AP3288">
            <v>0</v>
          </cell>
          <cell r="AR3288">
            <v>0</v>
          </cell>
          <cell r="AS3288">
            <v>0</v>
          </cell>
          <cell r="BF3288" t="str">
            <v>4700</v>
          </cell>
          <cell r="BG3288" t="str">
            <v>D031</v>
          </cell>
          <cell r="BH3288" t="str">
            <v>CC6</v>
          </cell>
        </row>
        <row r="3289">
          <cell r="K3289">
            <v>0</v>
          </cell>
          <cell r="L3289">
            <v>0</v>
          </cell>
          <cell r="N3289">
            <v>0</v>
          </cell>
          <cell r="O3289">
            <v>0</v>
          </cell>
          <cell r="Q3289">
            <v>0</v>
          </cell>
          <cell r="R3289">
            <v>0</v>
          </cell>
          <cell r="T3289">
            <v>0</v>
          </cell>
          <cell r="U3289">
            <v>0</v>
          </cell>
          <cell r="W3289">
            <v>0</v>
          </cell>
          <cell r="X3289">
            <v>0</v>
          </cell>
          <cell r="Z3289">
            <v>0</v>
          </cell>
          <cell r="AA3289">
            <v>0</v>
          </cell>
          <cell r="AC3289">
            <v>303667.7</v>
          </cell>
          <cell r="AD3289">
            <v>0</v>
          </cell>
          <cell r="AF3289">
            <v>101986.10999999999</v>
          </cell>
          <cell r="AG3289">
            <v>0</v>
          </cell>
          <cell r="AI3289">
            <v>119877.83000000002</v>
          </cell>
          <cell r="AJ3289">
            <v>0</v>
          </cell>
          <cell r="AL3289">
            <v>143914.77000000002</v>
          </cell>
          <cell r="AM3289">
            <v>0</v>
          </cell>
          <cell r="AO3289">
            <v>112214.27999999991</v>
          </cell>
          <cell r="AP3289">
            <v>0</v>
          </cell>
          <cell r="AR3289">
            <v>112293.20000000019</v>
          </cell>
          <cell r="AS3289">
            <v>0</v>
          </cell>
          <cell r="BF3289" t="str">
            <v>4740</v>
          </cell>
          <cell r="BG3289" t="str">
            <v>D041</v>
          </cell>
          <cell r="BH3289" t="str">
            <v>CC1</v>
          </cell>
        </row>
        <row r="3290">
          <cell r="K3290">
            <v>0</v>
          </cell>
          <cell r="L3290">
            <v>0</v>
          </cell>
          <cell r="N3290">
            <v>0</v>
          </cell>
          <cell r="O3290">
            <v>0</v>
          </cell>
          <cell r="Q3290">
            <v>0</v>
          </cell>
          <cell r="R3290">
            <v>0</v>
          </cell>
          <cell r="T3290">
            <v>0</v>
          </cell>
          <cell r="U3290">
            <v>0</v>
          </cell>
          <cell r="W3290">
            <v>0</v>
          </cell>
          <cell r="X3290">
            <v>0</v>
          </cell>
          <cell r="Z3290">
            <v>0</v>
          </cell>
          <cell r="AA3290">
            <v>0</v>
          </cell>
          <cell r="AC3290">
            <v>190912.52</v>
          </cell>
          <cell r="AD3290">
            <v>0</v>
          </cell>
          <cell r="AF3290">
            <v>2150.7099999999919</v>
          </cell>
          <cell r="AG3290">
            <v>0</v>
          </cell>
          <cell r="AI3290">
            <v>0</v>
          </cell>
          <cell r="AJ3290">
            <v>0</v>
          </cell>
          <cell r="AL3290">
            <v>0</v>
          </cell>
          <cell r="AM3290">
            <v>0</v>
          </cell>
          <cell r="AO3290">
            <v>0</v>
          </cell>
          <cell r="AP3290">
            <v>0</v>
          </cell>
          <cell r="AR3290">
            <v>0</v>
          </cell>
          <cell r="AS3290">
            <v>0</v>
          </cell>
          <cell r="BF3290" t="str">
            <v>4740</v>
          </cell>
          <cell r="BG3290" t="str">
            <v>D041</v>
          </cell>
          <cell r="BH3290" t="str">
            <v>CC2</v>
          </cell>
        </row>
        <row r="3291">
          <cell r="K3291">
            <v>0</v>
          </cell>
          <cell r="L3291">
            <v>0</v>
          </cell>
          <cell r="N3291">
            <v>0</v>
          </cell>
          <cell r="O3291">
            <v>0</v>
          </cell>
          <cell r="Q3291">
            <v>0</v>
          </cell>
          <cell r="R3291">
            <v>0</v>
          </cell>
          <cell r="T3291">
            <v>0</v>
          </cell>
          <cell r="U3291">
            <v>0</v>
          </cell>
          <cell r="W3291">
            <v>0</v>
          </cell>
          <cell r="X3291">
            <v>0</v>
          </cell>
          <cell r="Z3291">
            <v>0</v>
          </cell>
          <cell r="AA3291">
            <v>0</v>
          </cell>
          <cell r="AC3291">
            <v>146008.36000000002</v>
          </cell>
          <cell r="AD3291">
            <v>0</v>
          </cell>
          <cell r="AF3291">
            <v>457.01000000000931</v>
          </cell>
          <cell r="AG3291">
            <v>0</v>
          </cell>
          <cell r="AI3291">
            <v>0</v>
          </cell>
          <cell r="AJ3291">
            <v>0</v>
          </cell>
          <cell r="AL3291">
            <v>0</v>
          </cell>
          <cell r="AM3291">
            <v>0</v>
          </cell>
          <cell r="AO3291">
            <v>0</v>
          </cell>
          <cell r="AP3291">
            <v>0</v>
          </cell>
          <cell r="AR3291">
            <v>0</v>
          </cell>
          <cell r="AS3291">
            <v>0</v>
          </cell>
          <cell r="BF3291" t="str">
            <v>4740</v>
          </cell>
          <cell r="BG3291" t="str">
            <v>D041</v>
          </cell>
          <cell r="BH3291" t="str">
            <v>CC3</v>
          </cell>
        </row>
        <row r="3292">
          <cell r="K3292">
            <v>0</v>
          </cell>
          <cell r="L3292">
            <v>0</v>
          </cell>
          <cell r="N3292">
            <v>0</v>
          </cell>
          <cell r="O3292">
            <v>0</v>
          </cell>
          <cell r="Q3292">
            <v>0</v>
          </cell>
          <cell r="R3292">
            <v>0</v>
          </cell>
          <cell r="T3292">
            <v>0</v>
          </cell>
          <cell r="U3292">
            <v>0</v>
          </cell>
          <cell r="W3292">
            <v>0</v>
          </cell>
          <cell r="X3292">
            <v>0</v>
          </cell>
          <cell r="Z3292">
            <v>0</v>
          </cell>
          <cell r="AA3292">
            <v>0</v>
          </cell>
          <cell r="AC3292">
            <v>129783.06999999999</v>
          </cell>
          <cell r="AD3292">
            <v>0</v>
          </cell>
          <cell r="AF3292">
            <v>296</v>
          </cell>
          <cell r="AG3292">
            <v>0</v>
          </cell>
          <cell r="AI3292">
            <v>0</v>
          </cell>
          <cell r="AJ3292">
            <v>0</v>
          </cell>
          <cell r="AL3292">
            <v>0</v>
          </cell>
          <cell r="AM3292">
            <v>0</v>
          </cell>
          <cell r="AO3292">
            <v>0</v>
          </cell>
          <cell r="AP3292">
            <v>0</v>
          </cell>
          <cell r="AR3292">
            <v>0</v>
          </cell>
          <cell r="AS3292">
            <v>0</v>
          </cell>
          <cell r="BF3292" t="str">
            <v>4740</v>
          </cell>
          <cell r="BG3292" t="str">
            <v>D041</v>
          </cell>
          <cell r="BH3292" t="str">
            <v>CC4</v>
          </cell>
        </row>
        <row r="3293">
          <cell r="K3293">
            <v>0</v>
          </cell>
          <cell r="L3293">
            <v>0</v>
          </cell>
          <cell r="N3293">
            <v>0</v>
          </cell>
          <cell r="O3293">
            <v>0</v>
          </cell>
          <cell r="Q3293">
            <v>0</v>
          </cell>
          <cell r="R3293">
            <v>0</v>
          </cell>
          <cell r="T3293">
            <v>0</v>
          </cell>
          <cell r="U3293">
            <v>0</v>
          </cell>
          <cell r="W3293">
            <v>0</v>
          </cell>
          <cell r="X3293">
            <v>0</v>
          </cell>
          <cell r="Z3293">
            <v>0</v>
          </cell>
          <cell r="AA3293">
            <v>0</v>
          </cell>
          <cell r="AC3293">
            <v>440595.35</v>
          </cell>
          <cell r="AD3293">
            <v>0</v>
          </cell>
          <cell r="AF3293">
            <v>1665.2399999999907</v>
          </cell>
          <cell r="AG3293">
            <v>0</v>
          </cell>
          <cell r="AI3293">
            <v>0</v>
          </cell>
          <cell r="AJ3293">
            <v>0</v>
          </cell>
          <cell r="AL3293">
            <v>0</v>
          </cell>
          <cell r="AM3293">
            <v>0</v>
          </cell>
          <cell r="AO3293">
            <v>0</v>
          </cell>
          <cell r="AP3293">
            <v>0</v>
          </cell>
          <cell r="AR3293">
            <v>0</v>
          </cell>
          <cell r="AS3293">
            <v>0</v>
          </cell>
          <cell r="BF3293" t="str">
            <v>4740</v>
          </cell>
          <cell r="BG3293" t="str">
            <v>D041</v>
          </cell>
          <cell r="BH3293" t="str">
            <v>CC5</v>
          </cell>
        </row>
        <row r="3294">
          <cell r="K3294">
            <v>0</v>
          </cell>
          <cell r="L3294">
            <v>0</v>
          </cell>
          <cell r="N3294">
            <v>0</v>
          </cell>
          <cell r="O3294">
            <v>0</v>
          </cell>
          <cell r="Q3294">
            <v>0</v>
          </cell>
          <cell r="R3294">
            <v>0</v>
          </cell>
          <cell r="T3294">
            <v>0</v>
          </cell>
          <cell r="U3294">
            <v>0</v>
          </cell>
          <cell r="W3294">
            <v>0</v>
          </cell>
          <cell r="X3294">
            <v>0</v>
          </cell>
          <cell r="Z3294">
            <v>0</v>
          </cell>
          <cell r="AA3294">
            <v>0</v>
          </cell>
          <cell r="AC3294">
            <v>162931.43</v>
          </cell>
          <cell r="AD3294">
            <v>0</v>
          </cell>
          <cell r="AF3294">
            <v>514.67000000001281</v>
          </cell>
          <cell r="AG3294">
            <v>0</v>
          </cell>
          <cell r="AI3294">
            <v>0</v>
          </cell>
          <cell r="AJ3294">
            <v>0</v>
          </cell>
          <cell r="AL3294">
            <v>0</v>
          </cell>
          <cell r="AM3294">
            <v>0</v>
          </cell>
          <cell r="AO3294">
            <v>0</v>
          </cell>
          <cell r="AP3294">
            <v>0</v>
          </cell>
          <cell r="AR3294">
            <v>0</v>
          </cell>
          <cell r="AS3294">
            <v>0</v>
          </cell>
          <cell r="BF3294" t="str">
            <v>4740</v>
          </cell>
          <cell r="BG3294" t="str">
            <v>D041</v>
          </cell>
          <cell r="BH3294" t="str">
            <v>CC6</v>
          </cell>
        </row>
        <row r="3295">
          <cell r="K3295">
            <v>0</v>
          </cell>
          <cell r="L3295">
            <v>0</v>
          </cell>
          <cell r="N3295">
            <v>0</v>
          </cell>
          <cell r="O3295">
            <v>0</v>
          </cell>
          <cell r="Q3295">
            <v>0</v>
          </cell>
          <cell r="R3295">
            <v>0</v>
          </cell>
          <cell r="T3295">
            <v>0</v>
          </cell>
          <cell r="U3295">
            <v>0</v>
          </cell>
          <cell r="W3295">
            <v>0</v>
          </cell>
          <cell r="X3295">
            <v>0</v>
          </cell>
          <cell r="Z3295">
            <v>0</v>
          </cell>
          <cell r="AA3295">
            <v>0</v>
          </cell>
          <cell r="AC3295">
            <v>10963.539999999999</v>
          </cell>
          <cell r="AD3295">
            <v>0</v>
          </cell>
          <cell r="AF3295">
            <v>3694.260000000002</v>
          </cell>
          <cell r="AG3295">
            <v>0</v>
          </cell>
          <cell r="AI3295">
            <v>1624.3400000000001</v>
          </cell>
          <cell r="AJ3295">
            <v>0</v>
          </cell>
          <cell r="AL3295">
            <v>42089.160000000011</v>
          </cell>
          <cell r="AM3295">
            <v>0</v>
          </cell>
          <cell r="AO3295">
            <v>15345.660000000011</v>
          </cell>
          <cell r="AP3295">
            <v>0</v>
          </cell>
          <cell r="AR3295">
            <v>78437.549999999988</v>
          </cell>
          <cell r="AS3295">
            <v>0</v>
          </cell>
          <cell r="BF3295" t="str">
            <v>4740</v>
          </cell>
          <cell r="BG3295" t="str">
            <v>D044</v>
          </cell>
          <cell r="BH3295" t="str">
            <v>CC1</v>
          </cell>
        </row>
        <row r="3296">
          <cell r="K3296">
            <v>0</v>
          </cell>
          <cell r="L3296">
            <v>0</v>
          </cell>
          <cell r="N3296">
            <v>0</v>
          </cell>
          <cell r="O3296">
            <v>0</v>
          </cell>
          <cell r="Q3296">
            <v>0</v>
          </cell>
          <cell r="R3296">
            <v>0</v>
          </cell>
          <cell r="T3296">
            <v>0</v>
          </cell>
          <cell r="U3296">
            <v>0</v>
          </cell>
          <cell r="W3296">
            <v>0</v>
          </cell>
          <cell r="X3296">
            <v>0</v>
          </cell>
          <cell r="Z3296">
            <v>0</v>
          </cell>
          <cell r="AA3296">
            <v>0</v>
          </cell>
          <cell r="AC3296">
            <v>8569.15</v>
          </cell>
          <cell r="AD3296">
            <v>0</v>
          </cell>
          <cell r="AF3296">
            <v>3309.380000000001</v>
          </cell>
          <cell r="AG3296">
            <v>0</v>
          </cell>
          <cell r="AI3296">
            <v>0</v>
          </cell>
          <cell r="AJ3296">
            <v>0</v>
          </cell>
          <cell r="AL3296">
            <v>0</v>
          </cell>
          <cell r="AM3296">
            <v>0</v>
          </cell>
          <cell r="AO3296">
            <v>0</v>
          </cell>
          <cell r="AP3296">
            <v>0</v>
          </cell>
          <cell r="AR3296">
            <v>0</v>
          </cell>
          <cell r="AS3296">
            <v>0</v>
          </cell>
          <cell r="BF3296" t="str">
            <v>4740</v>
          </cell>
          <cell r="BG3296" t="str">
            <v>D044</v>
          </cell>
          <cell r="BH3296" t="str">
            <v>CC2</v>
          </cell>
        </row>
        <row r="3297">
          <cell r="K3297">
            <v>0</v>
          </cell>
          <cell r="L3297">
            <v>0</v>
          </cell>
          <cell r="N3297">
            <v>0</v>
          </cell>
          <cell r="O3297">
            <v>0</v>
          </cell>
          <cell r="Q3297">
            <v>0</v>
          </cell>
          <cell r="R3297">
            <v>0</v>
          </cell>
          <cell r="T3297">
            <v>0</v>
          </cell>
          <cell r="U3297">
            <v>0</v>
          </cell>
          <cell r="W3297">
            <v>0</v>
          </cell>
          <cell r="X3297">
            <v>0</v>
          </cell>
          <cell r="Z3297">
            <v>0</v>
          </cell>
          <cell r="AA3297">
            <v>0</v>
          </cell>
          <cell r="AC3297">
            <v>6184.08</v>
          </cell>
          <cell r="AD3297">
            <v>0</v>
          </cell>
          <cell r="AF3297">
            <v>2891.1100000000006</v>
          </cell>
          <cell r="AG3297">
            <v>0</v>
          </cell>
          <cell r="AI3297">
            <v>0</v>
          </cell>
          <cell r="AJ3297">
            <v>0</v>
          </cell>
          <cell r="AL3297">
            <v>0</v>
          </cell>
          <cell r="AM3297">
            <v>0</v>
          </cell>
          <cell r="AO3297">
            <v>0</v>
          </cell>
          <cell r="AP3297">
            <v>0</v>
          </cell>
          <cell r="AR3297">
            <v>0</v>
          </cell>
          <cell r="AS3297">
            <v>0</v>
          </cell>
          <cell r="BF3297" t="str">
            <v>4740</v>
          </cell>
          <cell r="BG3297" t="str">
            <v>D044</v>
          </cell>
          <cell r="BH3297" t="str">
            <v>CC3</v>
          </cell>
        </row>
        <row r="3298">
          <cell r="K3298">
            <v>0</v>
          </cell>
          <cell r="L3298">
            <v>0</v>
          </cell>
          <cell r="N3298">
            <v>0</v>
          </cell>
          <cell r="O3298">
            <v>0</v>
          </cell>
          <cell r="Q3298">
            <v>0</v>
          </cell>
          <cell r="R3298">
            <v>0</v>
          </cell>
          <cell r="T3298">
            <v>0</v>
          </cell>
          <cell r="U3298">
            <v>0</v>
          </cell>
          <cell r="W3298">
            <v>0</v>
          </cell>
          <cell r="X3298">
            <v>0</v>
          </cell>
          <cell r="Z3298">
            <v>0</v>
          </cell>
          <cell r="AA3298">
            <v>0</v>
          </cell>
          <cell r="AC3298">
            <v>4289.0500000000011</v>
          </cell>
          <cell r="AD3298">
            <v>0</v>
          </cell>
          <cell r="AF3298">
            <v>2462</v>
          </cell>
          <cell r="AG3298">
            <v>0</v>
          </cell>
          <cell r="AI3298">
            <v>0</v>
          </cell>
          <cell r="AJ3298">
            <v>0</v>
          </cell>
          <cell r="AL3298">
            <v>0</v>
          </cell>
          <cell r="AM3298">
            <v>0</v>
          </cell>
          <cell r="AO3298">
            <v>0</v>
          </cell>
          <cell r="AP3298">
            <v>0</v>
          </cell>
          <cell r="AR3298">
            <v>0</v>
          </cell>
          <cell r="AS3298">
            <v>0</v>
          </cell>
          <cell r="BF3298" t="str">
            <v>4740</v>
          </cell>
          <cell r="BG3298" t="str">
            <v>D044</v>
          </cell>
          <cell r="BH3298" t="str">
            <v>CC4</v>
          </cell>
        </row>
        <row r="3299">
          <cell r="K3299">
            <v>0</v>
          </cell>
          <cell r="L3299">
            <v>0</v>
          </cell>
          <cell r="N3299">
            <v>0</v>
          </cell>
          <cell r="O3299">
            <v>0</v>
          </cell>
          <cell r="Q3299">
            <v>0</v>
          </cell>
          <cell r="R3299">
            <v>0</v>
          </cell>
          <cell r="T3299">
            <v>0</v>
          </cell>
          <cell r="U3299">
            <v>0</v>
          </cell>
          <cell r="W3299">
            <v>0</v>
          </cell>
          <cell r="X3299">
            <v>0</v>
          </cell>
          <cell r="Z3299">
            <v>0</v>
          </cell>
          <cell r="AA3299">
            <v>0</v>
          </cell>
          <cell r="AC3299">
            <v>18158.3</v>
          </cell>
          <cell r="AD3299">
            <v>0</v>
          </cell>
          <cell r="AF3299">
            <v>0</v>
          </cell>
          <cell r="AG3299">
            <v>0</v>
          </cell>
          <cell r="AI3299">
            <v>0</v>
          </cell>
          <cell r="AJ3299">
            <v>0</v>
          </cell>
          <cell r="AL3299">
            <v>0</v>
          </cell>
          <cell r="AM3299">
            <v>0</v>
          </cell>
          <cell r="AO3299">
            <v>0</v>
          </cell>
          <cell r="AP3299">
            <v>0</v>
          </cell>
          <cell r="AR3299">
            <v>0</v>
          </cell>
          <cell r="AS3299">
            <v>0</v>
          </cell>
          <cell r="BF3299" t="str">
            <v>4740</v>
          </cell>
          <cell r="BG3299" t="str">
            <v>D044</v>
          </cell>
          <cell r="BH3299" t="str">
            <v>CC5</v>
          </cell>
        </row>
        <row r="3300">
          <cell r="K3300">
            <v>0</v>
          </cell>
          <cell r="L3300">
            <v>0</v>
          </cell>
          <cell r="N3300">
            <v>0</v>
          </cell>
          <cell r="O3300">
            <v>0</v>
          </cell>
          <cell r="Q3300">
            <v>0</v>
          </cell>
          <cell r="R3300">
            <v>0</v>
          </cell>
          <cell r="T3300">
            <v>0</v>
          </cell>
          <cell r="U3300">
            <v>0</v>
          </cell>
          <cell r="W3300">
            <v>0</v>
          </cell>
          <cell r="X3300">
            <v>0</v>
          </cell>
          <cell r="Z3300">
            <v>0</v>
          </cell>
          <cell r="AA3300">
            <v>0</v>
          </cell>
          <cell r="AC3300">
            <v>6528.9</v>
          </cell>
          <cell r="AD3300">
            <v>0</v>
          </cell>
          <cell r="AF3300">
            <v>2988.91</v>
          </cell>
          <cell r="AG3300">
            <v>0</v>
          </cell>
          <cell r="AI3300">
            <v>0</v>
          </cell>
          <cell r="AJ3300">
            <v>0</v>
          </cell>
          <cell r="AL3300">
            <v>0</v>
          </cell>
          <cell r="AM3300">
            <v>0</v>
          </cell>
          <cell r="AO3300">
            <v>0</v>
          </cell>
          <cell r="AP3300">
            <v>0</v>
          </cell>
          <cell r="AR3300">
            <v>0</v>
          </cell>
          <cell r="AS3300">
            <v>0</v>
          </cell>
          <cell r="BF3300" t="str">
            <v>4740</v>
          </cell>
          <cell r="BG3300" t="str">
            <v>D044</v>
          </cell>
          <cell r="BH3300" t="str">
            <v>CC6</v>
          </cell>
        </row>
        <row r="3301">
          <cell r="K3301">
            <v>0</v>
          </cell>
          <cell r="L3301">
            <v>0</v>
          </cell>
          <cell r="N3301">
            <v>0</v>
          </cell>
          <cell r="O3301">
            <v>0</v>
          </cell>
          <cell r="Q3301">
            <v>0</v>
          </cell>
          <cell r="R3301">
            <v>0</v>
          </cell>
          <cell r="T3301">
            <v>0</v>
          </cell>
          <cell r="U3301">
            <v>0</v>
          </cell>
          <cell r="W3301">
            <v>0</v>
          </cell>
          <cell r="X3301">
            <v>0</v>
          </cell>
          <cell r="Z3301">
            <v>0</v>
          </cell>
          <cell r="AA3301">
            <v>0</v>
          </cell>
          <cell r="AC3301">
            <v>18710</v>
          </cell>
          <cell r="AD3301">
            <v>0</v>
          </cell>
          <cell r="AF3301">
            <v>0</v>
          </cell>
          <cell r="AG3301">
            <v>0</v>
          </cell>
          <cell r="AI3301">
            <v>0</v>
          </cell>
          <cell r="AJ3301">
            <v>0</v>
          </cell>
          <cell r="AL3301">
            <v>0</v>
          </cell>
          <cell r="AM3301">
            <v>0</v>
          </cell>
          <cell r="AO3301">
            <v>0</v>
          </cell>
          <cell r="AP3301">
            <v>0</v>
          </cell>
          <cell r="AR3301">
            <v>0</v>
          </cell>
          <cell r="AS3301">
            <v>0</v>
          </cell>
          <cell r="BF3301" t="str">
            <v>4740</v>
          </cell>
          <cell r="BG3301" t="str">
            <v>D045</v>
          </cell>
          <cell r="BH3301" t="str">
            <v>CC1</v>
          </cell>
        </row>
        <row r="3302">
          <cell r="K3302">
            <v>0</v>
          </cell>
          <cell r="L3302">
            <v>0</v>
          </cell>
          <cell r="N3302">
            <v>0</v>
          </cell>
          <cell r="O3302">
            <v>0</v>
          </cell>
          <cell r="Q3302">
            <v>0</v>
          </cell>
          <cell r="R3302">
            <v>0</v>
          </cell>
          <cell r="T3302">
            <v>0</v>
          </cell>
          <cell r="U3302">
            <v>0</v>
          </cell>
          <cell r="W3302">
            <v>0</v>
          </cell>
          <cell r="X3302">
            <v>0</v>
          </cell>
          <cell r="Z3302">
            <v>0</v>
          </cell>
          <cell r="AA3302">
            <v>0</v>
          </cell>
          <cell r="AC3302">
            <v>14000</v>
          </cell>
          <cell r="AD3302">
            <v>0</v>
          </cell>
          <cell r="AF3302">
            <v>0</v>
          </cell>
          <cell r="AG3302">
            <v>0</v>
          </cell>
          <cell r="AI3302">
            <v>0</v>
          </cell>
          <cell r="AJ3302">
            <v>0</v>
          </cell>
          <cell r="AL3302">
            <v>0</v>
          </cell>
          <cell r="AM3302">
            <v>0</v>
          </cell>
          <cell r="AO3302">
            <v>0</v>
          </cell>
          <cell r="AP3302">
            <v>0</v>
          </cell>
          <cell r="AR3302">
            <v>0</v>
          </cell>
          <cell r="AS3302">
            <v>0</v>
          </cell>
          <cell r="BF3302" t="str">
            <v>4740</v>
          </cell>
          <cell r="BG3302" t="str">
            <v>D045</v>
          </cell>
          <cell r="BH3302" t="str">
            <v>CC2</v>
          </cell>
        </row>
        <row r="3303">
          <cell r="K3303">
            <v>0</v>
          </cell>
          <cell r="L3303">
            <v>0</v>
          </cell>
          <cell r="N3303">
            <v>0</v>
          </cell>
          <cell r="O3303">
            <v>0</v>
          </cell>
          <cell r="Q3303">
            <v>0</v>
          </cell>
          <cell r="R3303">
            <v>0</v>
          </cell>
          <cell r="T3303">
            <v>0</v>
          </cell>
          <cell r="U3303">
            <v>0</v>
          </cell>
          <cell r="W3303">
            <v>0</v>
          </cell>
          <cell r="X3303">
            <v>0</v>
          </cell>
          <cell r="Z3303">
            <v>0</v>
          </cell>
          <cell r="AA3303">
            <v>0</v>
          </cell>
          <cell r="AC3303">
            <v>210.35</v>
          </cell>
          <cell r="AD3303">
            <v>0</v>
          </cell>
          <cell r="AF3303">
            <v>0</v>
          </cell>
          <cell r="AG3303">
            <v>0</v>
          </cell>
          <cell r="AI3303">
            <v>0</v>
          </cell>
          <cell r="AJ3303">
            <v>0</v>
          </cell>
          <cell r="AL3303">
            <v>0</v>
          </cell>
          <cell r="AM3303">
            <v>0</v>
          </cell>
          <cell r="AO3303">
            <v>0</v>
          </cell>
          <cell r="AP3303">
            <v>0</v>
          </cell>
          <cell r="AR3303">
            <v>0</v>
          </cell>
          <cell r="AS3303">
            <v>0</v>
          </cell>
          <cell r="BF3303" t="str">
            <v>4740</v>
          </cell>
          <cell r="BG3303" t="str">
            <v>D045</v>
          </cell>
          <cell r="BH3303" t="str">
            <v>CC4</v>
          </cell>
        </row>
        <row r="3304">
          <cell r="K3304">
            <v>0</v>
          </cell>
          <cell r="L3304">
            <v>0</v>
          </cell>
          <cell r="N3304">
            <v>0</v>
          </cell>
          <cell r="O3304">
            <v>0</v>
          </cell>
          <cell r="Q3304">
            <v>0</v>
          </cell>
          <cell r="R3304">
            <v>0</v>
          </cell>
          <cell r="T3304">
            <v>0</v>
          </cell>
          <cell r="U3304">
            <v>0</v>
          </cell>
          <cell r="W3304">
            <v>0</v>
          </cell>
          <cell r="X3304">
            <v>0</v>
          </cell>
          <cell r="Z3304">
            <v>0</v>
          </cell>
          <cell r="AA3304">
            <v>0</v>
          </cell>
          <cell r="AC3304">
            <v>2332.34</v>
          </cell>
          <cell r="AD3304">
            <v>0</v>
          </cell>
          <cell r="AF3304">
            <v>0</v>
          </cell>
          <cell r="AG3304">
            <v>0</v>
          </cell>
          <cell r="AI3304">
            <v>0</v>
          </cell>
          <cell r="AJ3304">
            <v>0</v>
          </cell>
          <cell r="AL3304">
            <v>0</v>
          </cell>
          <cell r="AM3304">
            <v>0</v>
          </cell>
          <cell r="AO3304">
            <v>0</v>
          </cell>
          <cell r="AP3304">
            <v>0</v>
          </cell>
          <cell r="AR3304">
            <v>0</v>
          </cell>
          <cell r="AS3304">
            <v>0</v>
          </cell>
          <cell r="BF3304" t="str">
            <v>4740</v>
          </cell>
          <cell r="BG3304" t="str">
            <v>D046</v>
          </cell>
          <cell r="BH3304" t="str">
            <v>CC0</v>
          </cell>
        </row>
        <row r="3305">
          <cell r="K3305">
            <v>0</v>
          </cell>
          <cell r="L3305">
            <v>0</v>
          </cell>
          <cell r="N3305">
            <v>0</v>
          </cell>
          <cell r="O3305">
            <v>0</v>
          </cell>
          <cell r="Q3305">
            <v>0</v>
          </cell>
          <cell r="R3305">
            <v>0</v>
          </cell>
          <cell r="T3305">
            <v>0</v>
          </cell>
          <cell r="U3305">
            <v>0</v>
          </cell>
          <cell r="W3305">
            <v>0</v>
          </cell>
          <cell r="X3305">
            <v>0</v>
          </cell>
          <cell r="Z3305">
            <v>0</v>
          </cell>
          <cell r="AA3305">
            <v>0</v>
          </cell>
          <cell r="AC3305">
            <v>5159.5200000000004</v>
          </cell>
          <cell r="AD3305">
            <v>0</v>
          </cell>
          <cell r="AF3305">
            <v>9600</v>
          </cell>
          <cell r="AG3305">
            <v>0</v>
          </cell>
          <cell r="AI3305">
            <v>11815.46</v>
          </cell>
          <cell r="AJ3305">
            <v>0</v>
          </cell>
          <cell r="AL3305">
            <v>21385.359999999997</v>
          </cell>
          <cell r="AM3305">
            <v>0</v>
          </cell>
          <cell r="AO3305">
            <v>12185.460000000006</v>
          </cell>
          <cell r="AP3305">
            <v>0</v>
          </cell>
          <cell r="AR3305">
            <v>13689.459999999992</v>
          </cell>
          <cell r="AS3305">
            <v>0</v>
          </cell>
          <cell r="BF3305" t="str">
            <v>4760</v>
          </cell>
          <cell r="BG3305" t="str">
            <v>Z000</v>
          </cell>
          <cell r="BH3305" t="str">
            <v>CC1</v>
          </cell>
        </row>
        <row r="3306">
          <cell r="K3306">
            <v>0</v>
          </cell>
          <cell r="L3306">
            <v>0</v>
          </cell>
          <cell r="N3306">
            <v>0</v>
          </cell>
          <cell r="O3306">
            <v>0</v>
          </cell>
          <cell r="Q3306">
            <v>0</v>
          </cell>
          <cell r="R3306">
            <v>0</v>
          </cell>
          <cell r="T3306">
            <v>0</v>
          </cell>
          <cell r="U3306">
            <v>0</v>
          </cell>
          <cell r="W3306">
            <v>0</v>
          </cell>
          <cell r="X3306">
            <v>0</v>
          </cell>
          <cell r="Z3306">
            <v>0</v>
          </cell>
          <cell r="AA3306">
            <v>0</v>
          </cell>
          <cell r="AC3306">
            <v>2649.2799999999997</v>
          </cell>
          <cell r="AD3306">
            <v>0</v>
          </cell>
          <cell r="AF3306">
            <v>780</v>
          </cell>
          <cell r="AG3306">
            <v>0</v>
          </cell>
          <cell r="AI3306">
            <v>780</v>
          </cell>
          <cell r="AJ3306">
            <v>0</v>
          </cell>
          <cell r="AL3306">
            <v>1560</v>
          </cell>
          <cell r="AM3306">
            <v>0</v>
          </cell>
          <cell r="AO3306">
            <v>1560</v>
          </cell>
          <cell r="AP3306">
            <v>0</v>
          </cell>
          <cell r="AR3306">
            <v>1439.9999999999991</v>
          </cell>
          <cell r="AS3306">
            <v>0</v>
          </cell>
          <cell r="BF3306" t="str">
            <v>4770</v>
          </cell>
          <cell r="BG3306" t="str">
            <v>Z000</v>
          </cell>
          <cell r="BH3306" t="str">
            <v>CC1</v>
          </cell>
        </row>
        <row r="3307">
          <cell r="K3307">
            <v>0</v>
          </cell>
          <cell r="L3307">
            <v>0</v>
          </cell>
          <cell r="N3307">
            <v>0</v>
          </cell>
          <cell r="O3307">
            <v>0</v>
          </cell>
          <cell r="Q3307">
            <v>0</v>
          </cell>
          <cell r="R3307">
            <v>0</v>
          </cell>
          <cell r="T3307">
            <v>0</v>
          </cell>
          <cell r="U3307">
            <v>0</v>
          </cell>
          <cell r="W3307">
            <v>0</v>
          </cell>
          <cell r="X3307">
            <v>0</v>
          </cell>
          <cell r="Z3307">
            <v>0</v>
          </cell>
          <cell r="AA3307">
            <v>0</v>
          </cell>
          <cell r="AC3307">
            <v>3390</v>
          </cell>
          <cell r="AD3307">
            <v>0</v>
          </cell>
          <cell r="AF3307">
            <v>390</v>
          </cell>
          <cell r="AG3307">
            <v>0</v>
          </cell>
          <cell r="AI3307">
            <v>390</v>
          </cell>
          <cell r="AJ3307">
            <v>0</v>
          </cell>
          <cell r="AL3307">
            <v>0</v>
          </cell>
          <cell r="AM3307">
            <v>0</v>
          </cell>
          <cell r="AO3307">
            <v>0</v>
          </cell>
          <cell r="AP3307">
            <v>0</v>
          </cell>
          <cell r="AR3307">
            <v>0</v>
          </cell>
          <cell r="AS3307">
            <v>0</v>
          </cell>
          <cell r="BF3307" t="str">
            <v>4770</v>
          </cell>
          <cell r="BG3307" t="str">
            <v>Z000</v>
          </cell>
          <cell r="BH3307" t="str">
            <v>CC2</v>
          </cell>
        </row>
        <row r="3308">
          <cell r="K3308">
            <v>0</v>
          </cell>
          <cell r="L3308">
            <v>0</v>
          </cell>
          <cell r="N3308">
            <v>0</v>
          </cell>
          <cell r="O3308">
            <v>0</v>
          </cell>
          <cell r="Q3308">
            <v>0</v>
          </cell>
          <cell r="R3308">
            <v>0</v>
          </cell>
          <cell r="T3308">
            <v>0</v>
          </cell>
          <cell r="U3308">
            <v>0</v>
          </cell>
          <cell r="W3308">
            <v>0</v>
          </cell>
          <cell r="X3308">
            <v>0</v>
          </cell>
          <cell r="Z3308">
            <v>0</v>
          </cell>
          <cell r="AA3308">
            <v>0</v>
          </cell>
          <cell r="AC3308">
            <v>390</v>
          </cell>
          <cell r="AD3308">
            <v>0</v>
          </cell>
          <cell r="AF3308">
            <v>390</v>
          </cell>
          <cell r="AG3308">
            <v>0</v>
          </cell>
          <cell r="AI3308">
            <v>436.79999999999995</v>
          </cell>
          <cell r="AJ3308">
            <v>0</v>
          </cell>
          <cell r="AL3308">
            <v>0</v>
          </cell>
          <cell r="AM3308">
            <v>0</v>
          </cell>
          <cell r="AO3308">
            <v>0</v>
          </cell>
          <cell r="AP3308">
            <v>0</v>
          </cell>
          <cell r="AR3308">
            <v>0</v>
          </cell>
          <cell r="AS3308">
            <v>0</v>
          </cell>
          <cell r="BF3308" t="str">
            <v>4770</v>
          </cell>
          <cell r="BG3308" t="str">
            <v>Z000</v>
          </cell>
          <cell r="BH3308" t="str">
            <v>CC3</v>
          </cell>
        </row>
        <row r="3309">
          <cell r="K3309">
            <v>0</v>
          </cell>
          <cell r="L3309">
            <v>0</v>
          </cell>
          <cell r="N3309">
            <v>0</v>
          </cell>
          <cell r="O3309">
            <v>0</v>
          </cell>
          <cell r="Q3309">
            <v>0</v>
          </cell>
          <cell r="R3309">
            <v>0</v>
          </cell>
          <cell r="T3309">
            <v>0</v>
          </cell>
          <cell r="U3309">
            <v>0</v>
          </cell>
          <cell r="W3309">
            <v>0</v>
          </cell>
          <cell r="X3309">
            <v>0</v>
          </cell>
          <cell r="Z3309">
            <v>0</v>
          </cell>
          <cell r="AA3309">
            <v>0</v>
          </cell>
          <cell r="AC3309">
            <v>390</v>
          </cell>
          <cell r="AD3309">
            <v>0</v>
          </cell>
          <cell r="AF3309">
            <v>390</v>
          </cell>
          <cell r="AG3309">
            <v>0</v>
          </cell>
          <cell r="AI3309">
            <v>390</v>
          </cell>
          <cell r="AJ3309">
            <v>0</v>
          </cell>
          <cell r="AL3309">
            <v>0</v>
          </cell>
          <cell r="AM3309">
            <v>0</v>
          </cell>
          <cell r="AO3309">
            <v>0</v>
          </cell>
          <cell r="AP3309">
            <v>0</v>
          </cell>
          <cell r="AR3309">
            <v>0</v>
          </cell>
          <cell r="AS3309">
            <v>0</v>
          </cell>
          <cell r="BF3309" t="str">
            <v>4770</v>
          </cell>
          <cell r="BG3309" t="str">
            <v>Z000</v>
          </cell>
          <cell r="BH3309" t="str">
            <v>CC4</v>
          </cell>
        </row>
        <row r="3310">
          <cell r="K3310">
            <v>0</v>
          </cell>
          <cell r="L3310">
            <v>0</v>
          </cell>
          <cell r="N3310">
            <v>0</v>
          </cell>
          <cell r="O3310">
            <v>0</v>
          </cell>
          <cell r="Q3310">
            <v>0</v>
          </cell>
          <cell r="R3310">
            <v>0</v>
          </cell>
          <cell r="T3310">
            <v>0</v>
          </cell>
          <cell r="U3310">
            <v>0</v>
          </cell>
          <cell r="W3310">
            <v>0</v>
          </cell>
          <cell r="X3310">
            <v>0</v>
          </cell>
          <cell r="Z3310">
            <v>0</v>
          </cell>
          <cell r="AA3310">
            <v>0</v>
          </cell>
          <cell r="AC3310">
            <v>0</v>
          </cell>
          <cell r="AD3310">
            <v>0</v>
          </cell>
          <cell r="AF3310">
            <v>0</v>
          </cell>
          <cell r="AG3310">
            <v>0</v>
          </cell>
          <cell r="AI3310">
            <v>0</v>
          </cell>
          <cell r="AJ3310">
            <v>0</v>
          </cell>
          <cell r="AL3310">
            <v>0</v>
          </cell>
          <cell r="AM3310">
            <v>0</v>
          </cell>
          <cell r="AO3310">
            <v>0</v>
          </cell>
          <cell r="AP3310">
            <v>0</v>
          </cell>
          <cell r="AR3310">
            <v>0</v>
          </cell>
          <cell r="AS3310">
            <v>0</v>
          </cell>
          <cell r="BF3310" t="str">
            <v>4770</v>
          </cell>
          <cell r="BG3310" t="str">
            <v>Z000</v>
          </cell>
          <cell r="BH3310" t="str">
            <v>CC5</v>
          </cell>
        </row>
        <row r="3311">
          <cell r="K3311">
            <v>0</v>
          </cell>
          <cell r="L3311">
            <v>0</v>
          </cell>
          <cell r="N3311">
            <v>0</v>
          </cell>
          <cell r="O3311">
            <v>0</v>
          </cell>
          <cell r="Q3311">
            <v>0</v>
          </cell>
          <cell r="R3311">
            <v>0</v>
          </cell>
          <cell r="T3311">
            <v>0</v>
          </cell>
          <cell r="U3311">
            <v>0</v>
          </cell>
          <cell r="W3311">
            <v>0</v>
          </cell>
          <cell r="X3311">
            <v>0</v>
          </cell>
          <cell r="Z3311">
            <v>0</v>
          </cell>
          <cell r="AA3311">
            <v>0</v>
          </cell>
          <cell r="AC3311">
            <v>56675.92</v>
          </cell>
          <cell r="AD3311">
            <v>0</v>
          </cell>
          <cell r="AF3311">
            <v>3512.9599999999991</v>
          </cell>
          <cell r="AG3311">
            <v>0</v>
          </cell>
          <cell r="AI3311">
            <v>0</v>
          </cell>
          <cell r="AJ3311">
            <v>0</v>
          </cell>
          <cell r="AL3311">
            <v>37974.723216000006</v>
          </cell>
          <cell r="AM3311">
            <v>0</v>
          </cell>
          <cell r="AO3311">
            <v>5000</v>
          </cell>
          <cell r="AP3311">
            <v>0</v>
          </cell>
          <cell r="AR3311">
            <v>8964.1900000000023</v>
          </cell>
          <cell r="AS3311">
            <v>0</v>
          </cell>
          <cell r="BF3311" t="str">
            <v>4800</v>
          </cell>
          <cell r="BG3311" t="str">
            <v>D101</v>
          </cell>
          <cell r="BH3311" t="str">
            <v>CC1</v>
          </cell>
        </row>
        <row r="3312">
          <cell r="K3312">
            <v>0</v>
          </cell>
          <cell r="L3312">
            <v>0</v>
          </cell>
          <cell r="N3312">
            <v>0</v>
          </cell>
          <cell r="O3312">
            <v>0</v>
          </cell>
          <cell r="Q3312">
            <v>0</v>
          </cell>
          <cell r="R3312">
            <v>0</v>
          </cell>
          <cell r="T3312">
            <v>0</v>
          </cell>
          <cell r="U3312">
            <v>0</v>
          </cell>
          <cell r="W3312">
            <v>0</v>
          </cell>
          <cell r="X3312">
            <v>0</v>
          </cell>
          <cell r="Z3312">
            <v>0</v>
          </cell>
          <cell r="AA3312">
            <v>0</v>
          </cell>
          <cell r="AC3312">
            <v>43082.18</v>
          </cell>
          <cell r="AD3312">
            <v>0</v>
          </cell>
          <cell r="AF3312">
            <v>53.569999999999709</v>
          </cell>
          <cell r="AG3312">
            <v>0</v>
          </cell>
          <cell r="AI3312">
            <v>939</v>
          </cell>
          <cell r="AJ3312">
            <v>0</v>
          </cell>
          <cell r="AL3312">
            <v>0</v>
          </cell>
          <cell r="AM3312">
            <v>0</v>
          </cell>
          <cell r="AO3312">
            <v>0</v>
          </cell>
          <cell r="AP3312">
            <v>0</v>
          </cell>
          <cell r="AR3312">
            <v>0</v>
          </cell>
          <cell r="AS3312">
            <v>0</v>
          </cell>
          <cell r="BF3312" t="str">
            <v>4800</v>
          </cell>
          <cell r="BG3312" t="str">
            <v>D101</v>
          </cell>
          <cell r="BH3312" t="str">
            <v>CC2</v>
          </cell>
        </row>
        <row r="3313">
          <cell r="K3313">
            <v>0</v>
          </cell>
          <cell r="L3313">
            <v>0</v>
          </cell>
          <cell r="N3313">
            <v>0</v>
          </cell>
          <cell r="O3313">
            <v>0</v>
          </cell>
          <cell r="Q3313">
            <v>0</v>
          </cell>
          <cell r="R3313">
            <v>0</v>
          </cell>
          <cell r="T3313">
            <v>0</v>
          </cell>
          <cell r="U3313">
            <v>0</v>
          </cell>
          <cell r="W3313">
            <v>0</v>
          </cell>
          <cell r="X3313">
            <v>0</v>
          </cell>
          <cell r="Z3313">
            <v>0</v>
          </cell>
          <cell r="AA3313">
            <v>0</v>
          </cell>
          <cell r="AC3313">
            <v>29847.05</v>
          </cell>
          <cell r="AD3313">
            <v>0</v>
          </cell>
          <cell r="AF3313">
            <v>0</v>
          </cell>
          <cell r="AG3313">
            <v>0</v>
          </cell>
          <cell r="AI3313">
            <v>0</v>
          </cell>
          <cell r="AJ3313">
            <v>0</v>
          </cell>
          <cell r="AL3313">
            <v>0</v>
          </cell>
          <cell r="AM3313">
            <v>0</v>
          </cell>
          <cell r="AO3313">
            <v>0</v>
          </cell>
          <cell r="AP3313">
            <v>0</v>
          </cell>
          <cell r="AR3313">
            <v>0</v>
          </cell>
          <cell r="AS3313">
            <v>0</v>
          </cell>
          <cell r="BF3313" t="str">
            <v>4800</v>
          </cell>
          <cell r="BG3313" t="str">
            <v>D101</v>
          </cell>
          <cell r="BH3313" t="str">
            <v>CC3</v>
          </cell>
        </row>
        <row r="3314">
          <cell r="K3314">
            <v>0</v>
          </cell>
          <cell r="L3314">
            <v>0</v>
          </cell>
          <cell r="N3314">
            <v>0</v>
          </cell>
          <cell r="O3314">
            <v>0</v>
          </cell>
          <cell r="Q3314">
            <v>0</v>
          </cell>
          <cell r="R3314">
            <v>0</v>
          </cell>
          <cell r="T3314">
            <v>0</v>
          </cell>
          <cell r="U3314">
            <v>0</v>
          </cell>
          <cell r="W3314">
            <v>0</v>
          </cell>
          <cell r="X3314">
            <v>0</v>
          </cell>
          <cell r="Z3314">
            <v>0</v>
          </cell>
          <cell r="AA3314">
            <v>0</v>
          </cell>
          <cell r="AC3314">
            <v>23064.78</v>
          </cell>
          <cell r="AD3314">
            <v>0</v>
          </cell>
          <cell r="AF3314">
            <v>257.13999999999942</v>
          </cell>
          <cell r="AG3314">
            <v>0</v>
          </cell>
          <cell r="AI3314">
            <v>0</v>
          </cell>
          <cell r="AJ3314">
            <v>0</v>
          </cell>
          <cell r="AL3314">
            <v>0</v>
          </cell>
          <cell r="AM3314">
            <v>0</v>
          </cell>
          <cell r="AO3314">
            <v>0</v>
          </cell>
          <cell r="AP3314">
            <v>0</v>
          </cell>
          <cell r="AR3314">
            <v>0</v>
          </cell>
          <cell r="AS3314">
            <v>0</v>
          </cell>
          <cell r="BF3314" t="str">
            <v>4800</v>
          </cell>
          <cell r="BG3314" t="str">
            <v>D101</v>
          </cell>
          <cell r="BH3314" t="str">
            <v>CC4</v>
          </cell>
        </row>
        <row r="3315">
          <cell r="K3315">
            <v>0</v>
          </cell>
          <cell r="L3315">
            <v>0</v>
          </cell>
          <cell r="N3315">
            <v>0</v>
          </cell>
          <cell r="O3315">
            <v>0</v>
          </cell>
          <cell r="Q3315">
            <v>0</v>
          </cell>
          <cell r="R3315">
            <v>0</v>
          </cell>
          <cell r="T3315">
            <v>0</v>
          </cell>
          <cell r="U3315">
            <v>0</v>
          </cell>
          <cell r="W3315">
            <v>0</v>
          </cell>
          <cell r="X3315">
            <v>0</v>
          </cell>
          <cell r="Z3315">
            <v>0</v>
          </cell>
          <cell r="AA3315">
            <v>0</v>
          </cell>
          <cell r="AC3315">
            <v>396.9</v>
          </cell>
          <cell r="AD3315">
            <v>0</v>
          </cell>
          <cell r="AF3315">
            <v>0</v>
          </cell>
          <cell r="AG3315">
            <v>0</v>
          </cell>
          <cell r="AI3315">
            <v>0</v>
          </cell>
          <cell r="AJ3315">
            <v>0</v>
          </cell>
          <cell r="AL3315">
            <v>0</v>
          </cell>
          <cell r="AM3315">
            <v>0</v>
          </cell>
          <cell r="AO3315">
            <v>0</v>
          </cell>
          <cell r="AP3315">
            <v>0</v>
          </cell>
          <cell r="AR3315">
            <v>0</v>
          </cell>
          <cell r="AS3315">
            <v>0</v>
          </cell>
          <cell r="BF3315" t="str">
            <v>4800</v>
          </cell>
          <cell r="BG3315" t="str">
            <v>D101</v>
          </cell>
          <cell r="BH3315" t="str">
            <v>CC5</v>
          </cell>
        </row>
        <row r="3316">
          <cell r="K3316">
            <v>0</v>
          </cell>
          <cell r="L3316">
            <v>0</v>
          </cell>
          <cell r="N3316">
            <v>0</v>
          </cell>
          <cell r="O3316">
            <v>0</v>
          </cell>
          <cell r="Q3316">
            <v>0</v>
          </cell>
          <cell r="R3316">
            <v>0</v>
          </cell>
          <cell r="T3316">
            <v>0</v>
          </cell>
          <cell r="U3316">
            <v>0</v>
          </cell>
          <cell r="W3316">
            <v>0</v>
          </cell>
          <cell r="X3316">
            <v>0</v>
          </cell>
          <cell r="Z3316">
            <v>0</v>
          </cell>
          <cell r="AA3316">
            <v>0</v>
          </cell>
          <cell r="AC3316">
            <v>30913.94</v>
          </cell>
          <cell r="AD3316">
            <v>0</v>
          </cell>
          <cell r="AF3316">
            <v>0</v>
          </cell>
          <cell r="AG3316">
            <v>0</v>
          </cell>
          <cell r="AI3316">
            <v>0</v>
          </cell>
          <cell r="AJ3316">
            <v>0</v>
          </cell>
          <cell r="AL3316">
            <v>0</v>
          </cell>
          <cell r="AM3316">
            <v>0</v>
          </cell>
          <cell r="AO3316">
            <v>0</v>
          </cell>
          <cell r="AP3316">
            <v>0</v>
          </cell>
          <cell r="AR3316">
            <v>0</v>
          </cell>
          <cell r="AS3316">
            <v>0</v>
          </cell>
          <cell r="BF3316" t="str">
            <v>4800</v>
          </cell>
          <cell r="BG3316" t="str">
            <v>D101</v>
          </cell>
          <cell r="BH3316" t="str">
            <v>CC6</v>
          </cell>
        </row>
        <row r="3317">
          <cell r="K3317">
            <v>0</v>
          </cell>
          <cell r="L3317">
            <v>0</v>
          </cell>
          <cell r="N3317">
            <v>0</v>
          </cell>
          <cell r="O3317">
            <v>0</v>
          </cell>
          <cell r="Q3317">
            <v>0</v>
          </cell>
          <cell r="R3317">
            <v>0</v>
          </cell>
          <cell r="T3317">
            <v>0</v>
          </cell>
          <cell r="U3317">
            <v>0</v>
          </cell>
          <cell r="W3317">
            <v>0</v>
          </cell>
          <cell r="X3317">
            <v>0</v>
          </cell>
          <cell r="Z3317">
            <v>0</v>
          </cell>
          <cell r="AA3317">
            <v>0</v>
          </cell>
          <cell r="AC3317">
            <v>15084.94</v>
          </cell>
          <cell r="AD3317">
            <v>0</v>
          </cell>
          <cell r="AF3317">
            <v>267.86000000000058</v>
          </cell>
          <cell r="AG3317">
            <v>0</v>
          </cell>
          <cell r="AI3317">
            <v>0</v>
          </cell>
          <cell r="AJ3317">
            <v>0</v>
          </cell>
          <cell r="AL3317">
            <v>428.58000000000175</v>
          </cell>
          <cell r="AM3317">
            <v>0</v>
          </cell>
          <cell r="AO3317">
            <v>380</v>
          </cell>
          <cell r="AP3317">
            <v>0</v>
          </cell>
          <cell r="AR3317">
            <v>9259.1800000000021</v>
          </cell>
          <cell r="AS3317">
            <v>0</v>
          </cell>
          <cell r="BF3317" t="str">
            <v>4800</v>
          </cell>
          <cell r="BG3317" t="str">
            <v>D102</v>
          </cell>
          <cell r="BH3317" t="str">
            <v>CC5</v>
          </cell>
        </row>
        <row r="3318">
          <cell r="K3318">
            <v>0</v>
          </cell>
          <cell r="L3318">
            <v>0</v>
          </cell>
          <cell r="N3318">
            <v>0</v>
          </cell>
          <cell r="O3318">
            <v>0</v>
          </cell>
          <cell r="Q3318">
            <v>0</v>
          </cell>
          <cell r="R3318">
            <v>0</v>
          </cell>
          <cell r="T3318">
            <v>0</v>
          </cell>
          <cell r="U3318">
            <v>0</v>
          </cell>
          <cell r="W3318">
            <v>0</v>
          </cell>
          <cell r="X3318">
            <v>0</v>
          </cell>
          <cell r="Z3318">
            <v>0</v>
          </cell>
          <cell r="AA3318">
            <v>0</v>
          </cell>
          <cell r="AC3318">
            <v>6652.66</v>
          </cell>
          <cell r="AD3318">
            <v>0</v>
          </cell>
          <cell r="AF3318">
            <v>0</v>
          </cell>
          <cell r="AG3318">
            <v>0</v>
          </cell>
          <cell r="AI3318">
            <v>0</v>
          </cell>
          <cell r="AJ3318">
            <v>0</v>
          </cell>
          <cell r="AL3318">
            <v>0</v>
          </cell>
          <cell r="AM3318">
            <v>0</v>
          </cell>
          <cell r="AO3318">
            <v>0</v>
          </cell>
          <cell r="AP3318">
            <v>0</v>
          </cell>
          <cell r="AR3318">
            <v>1051.6800000000003</v>
          </cell>
          <cell r="AS3318">
            <v>0</v>
          </cell>
          <cell r="BF3318" t="str">
            <v>4800</v>
          </cell>
          <cell r="BG3318" t="str">
            <v>D103</v>
          </cell>
          <cell r="BH3318" t="str">
            <v>CC1</v>
          </cell>
        </row>
        <row r="3319">
          <cell r="K3319">
            <v>0</v>
          </cell>
          <cell r="L3319">
            <v>0</v>
          </cell>
          <cell r="N3319">
            <v>0</v>
          </cell>
          <cell r="O3319">
            <v>0</v>
          </cell>
          <cell r="Q3319">
            <v>0</v>
          </cell>
          <cell r="R3319">
            <v>0</v>
          </cell>
          <cell r="T3319">
            <v>0</v>
          </cell>
          <cell r="U3319">
            <v>0</v>
          </cell>
          <cell r="W3319">
            <v>0</v>
          </cell>
          <cell r="X3319">
            <v>0</v>
          </cell>
          <cell r="Z3319">
            <v>0</v>
          </cell>
          <cell r="AA3319">
            <v>0</v>
          </cell>
          <cell r="AC3319">
            <v>939</v>
          </cell>
          <cell r="AD3319">
            <v>0</v>
          </cell>
          <cell r="AF3319">
            <v>939</v>
          </cell>
          <cell r="AG3319">
            <v>0</v>
          </cell>
          <cell r="AI3319">
            <v>939</v>
          </cell>
          <cell r="AJ3319">
            <v>0</v>
          </cell>
          <cell r="AL3319">
            <v>1051.6800000000003</v>
          </cell>
          <cell r="AM3319">
            <v>0</v>
          </cell>
          <cell r="AO3319">
            <v>1051.6800000000003</v>
          </cell>
          <cell r="AP3319">
            <v>0</v>
          </cell>
          <cell r="AR3319">
            <v>0</v>
          </cell>
          <cell r="AS3319">
            <v>0</v>
          </cell>
          <cell r="BF3319" t="str">
            <v>4800</v>
          </cell>
          <cell r="BG3319" t="str">
            <v>D103</v>
          </cell>
          <cell r="BH3319" t="str">
            <v>CC2</v>
          </cell>
        </row>
        <row r="3320">
          <cell r="K3320">
            <v>0</v>
          </cell>
          <cell r="L3320">
            <v>0</v>
          </cell>
          <cell r="N3320">
            <v>0</v>
          </cell>
          <cell r="O3320">
            <v>0</v>
          </cell>
          <cell r="Q3320">
            <v>0</v>
          </cell>
          <cell r="R3320">
            <v>0</v>
          </cell>
          <cell r="T3320">
            <v>0</v>
          </cell>
          <cell r="U3320">
            <v>0</v>
          </cell>
          <cell r="W3320">
            <v>0</v>
          </cell>
          <cell r="X3320">
            <v>0</v>
          </cell>
          <cell r="Z3320">
            <v>0</v>
          </cell>
          <cell r="AA3320">
            <v>0</v>
          </cell>
          <cell r="AC3320">
            <v>22365.690000000002</v>
          </cell>
          <cell r="AD3320">
            <v>0</v>
          </cell>
          <cell r="AF3320">
            <v>723.95000000000073</v>
          </cell>
          <cell r="AG3320">
            <v>0</v>
          </cell>
          <cell r="AI3320">
            <v>2932</v>
          </cell>
          <cell r="AJ3320">
            <v>0</v>
          </cell>
          <cell r="AL3320">
            <v>876</v>
          </cell>
          <cell r="AM3320">
            <v>0</v>
          </cell>
          <cell r="AO3320">
            <v>1728</v>
          </cell>
          <cell r="AP3320">
            <v>0</v>
          </cell>
          <cell r="AR3320">
            <v>8011.4999999999964</v>
          </cell>
          <cell r="AS3320">
            <v>0</v>
          </cell>
          <cell r="BF3320" t="str">
            <v>4830</v>
          </cell>
          <cell r="BG3320" t="str">
            <v>D111</v>
          </cell>
          <cell r="BH3320" t="str">
            <v>CC1</v>
          </cell>
        </row>
        <row r="3321">
          <cell r="K3321">
            <v>0</v>
          </cell>
          <cell r="L3321">
            <v>0</v>
          </cell>
          <cell r="N3321">
            <v>0</v>
          </cell>
          <cell r="O3321">
            <v>0</v>
          </cell>
          <cell r="Q3321">
            <v>0</v>
          </cell>
          <cell r="R3321">
            <v>0</v>
          </cell>
          <cell r="T3321">
            <v>0</v>
          </cell>
          <cell r="U3321">
            <v>0</v>
          </cell>
          <cell r="W3321">
            <v>0</v>
          </cell>
          <cell r="X3321">
            <v>0</v>
          </cell>
          <cell r="Z3321">
            <v>0</v>
          </cell>
          <cell r="AA3321">
            <v>0</v>
          </cell>
          <cell r="AC3321">
            <v>186</v>
          </cell>
          <cell r="AD3321">
            <v>0</v>
          </cell>
          <cell r="AF3321">
            <v>98</v>
          </cell>
          <cell r="AG3321">
            <v>0</v>
          </cell>
          <cell r="AI3321">
            <v>0</v>
          </cell>
          <cell r="AJ3321">
            <v>0</v>
          </cell>
          <cell r="AL3321">
            <v>0</v>
          </cell>
          <cell r="AM3321">
            <v>0</v>
          </cell>
          <cell r="AO3321">
            <v>0</v>
          </cell>
          <cell r="AP3321">
            <v>0</v>
          </cell>
          <cell r="AR3321">
            <v>0</v>
          </cell>
          <cell r="AS3321">
            <v>0</v>
          </cell>
          <cell r="BF3321" t="str">
            <v>4830</v>
          </cell>
          <cell r="BG3321" t="str">
            <v>D111</v>
          </cell>
          <cell r="BH3321" t="str">
            <v>CC2</v>
          </cell>
        </row>
        <row r="3322">
          <cell r="K3322">
            <v>0</v>
          </cell>
          <cell r="L3322">
            <v>0</v>
          </cell>
          <cell r="N3322">
            <v>0</v>
          </cell>
          <cell r="O3322">
            <v>0</v>
          </cell>
          <cell r="Q3322">
            <v>0</v>
          </cell>
          <cell r="R3322">
            <v>0</v>
          </cell>
          <cell r="T3322">
            <v>0</v>
          </cell>
          <cell r="U3322">
            <v>0</v>
          </cell>
          <cell r="W3322">
            <v>0</v>
          </cell>
          <cell r="X3322">
            <v>0</v>
          </cell>
          <cell r="Z3322">
            <v>0</v>
          </cell>
          <cell r="AA3322">
            <v>0</v>
          </cell>
          <cell r="AC3322">
            <v>902.4</v>
          </cell>
          <cell r="AD3322">
            <v>0</v>
          </cell>
          <cell r="AF3322">
            <v>0</v>
          </cell>
          <cell r="AG3322">
            <v>0</v>
          </cell>
          <cell r="AI3322">
            <v>0</v>
          </cell>
          <cell r="AJ3322">
            <v>0</v>
          </cell>
          <cell r="AL3322">
            <v>59.5</v>
          </cell>
          <cell r="AM3322">
            <v>0</v>
          </cell>
          <cell r="AO3322">
            <v>0</v>
          </cell>
          <cell r="AP3322">
            <v>0</v>
          </cell>
          <cell r="AR3322">
            <v>0</v>
          </cell>
          <cell r="AS3322">
            <v>0</v>
          </cell>
          <cell r="BF3322" t="str">
            <v>4830</v>
          </cell>
          <cell r="BG3322" t="str">
            <v>D111</v>
          </cell>
          <cell r="BH3322" t="str">
            <v>CC3</v>
          </cell>
        </row>
        <row r="3323">
          <cell r="K3323">
            <v>0</v>
          </cell>
          <cell r="L3323">
            <v>0</v>
          </cell>
          <cell r="N3323">
            <v>0</v>
          </cell>
          <cell r="O3323">
            <v>0</v>
          </cell>
          <cell r="Q3323">
            <v>0</v>
          </cell>
          <cell r="R3323">
            <v>0</v>
          </cell>
          <cell r="T3323">
            <v>0</v>
          </cell>
          <cell r="U3323">
            <v>0</v>
          </cell>
          <cell r="W3323">
            <v>0</v>
          </cell>
          <cell r="X3323">
            <v>0</v>
          </cell>
          <cell r="Z3323">
            <v>0</v>
          </cell>
          <cell r="AA3323">
            <v>0</v>
          </cell>
          <cell r="AC3323">
            <v>3879</v>
          </cell>
          <cell r="AD3323">
            <v>0</v>
          </cell>
          <cell r="AF3323">
            <v>535</v>
          </cell>
          <cell r="AG3323">
            <v>0</v>
          </cell>
          <cell r="AI3323">
            <v>0</v>
          </cell>
          <cell r="AJ3323">
            <v>0</v>
          </cell>
          <cell r="AL3323">
            <v>400</v>
          </cell>
          <cell r="AM3323">
            <v>0</v>
          </cell>
          <cell r="AO3323">
            <v>0</v>
          </cell>
          <cell r="AP3323">
            <v>0</v>
          </cell>
          <cell r="AR3323">
            <v>0</v>
          </cell>
          <cell r="AS3323">
            <v>0</v>
          </cell>
          <cell r="BF3323" t="str">
            <v>4830</v>
          </cell>
          <cell r="BG3323" t="str">
            <v>D111</v>
          </cell>
          <cell r="BH3323" t="str">
            <v>CC4</v>
          </cell>
        </row>
        <row r="3324">
          <cell r="K3324">
            <v>0</v>
          </cell>
          <cell r="L3324">
            <v>0</v>
          </cell>
          <cell r="N3324">
            <v>0</v>
          </cell>
          <cell r="O3324">
            <v>0</v>
          </cell>
          <cell r="Q3324">
            <v>0</v>
          </cell>
          <cell r="R3324">
            <v>0</v>
          </cell>
          <cell r="T3324">
            <v>0</v>
          </cell>
          <cell r="U3324">
            <v>0</v>
          </cell>
          <cell r="W3324">
            <v>0</v>
          </cell>
          <cell r="X3324">
            <v>0</v>
          </cell>
          <cell r="Z3324">
            <v>0</v>
          </cell>
          <cell r="AA3324">
            <v>0</v>
          </cell>
          <cell r="AC3324">
            <v>8500</v>
          </cell>
          <cell r="AD3324">
            <v>0</v>
          </cell>
          <cell r="AF3324">
            <v>814</v>
          </cell>
          <cell r="AG3324">
            <v>0</v>
          </cell>
          <cell r="AI3324">
            <v>0</v>
          </cell>
          <cell r="AJ3324">
            <v>0</v>
          </cell>
          <cell r="AL3324">
            <v>1307</v>
          </cell>
          <cell r="AM3324">
            <v>0</v>
          </cell>
          <cell r="AO3324">
            <v>0</v>
          </cell>
          <cell r="AP3324">
            <v>0</v>
          </cell>
          <cell r="AR3324">
            <v>0</v>
          </cell>
          <cell r="AS3324">
            <v>0</v>
          </cell>
          <cell r="BF3324" t="str">
            <v>4830</v>
          </cell>
          <cell r="BG3324" t="str">
            <v>D111</v>
          </cell>
          <cell r="BH3324" t="str">
            <v>CC5</v>
          </cell>
        </row>
        <row r="3325">
          <cell r="K3325">
            <v>0</v>
          </cell>
          <cell r="L3325">
            <v>0</v>
          </cell>
          <cell r="N3325">
            <v>0</v>
          </cell>
          <cell r="O3325">
            <v>0</v>
          </cell>
          <cell r="Q3325">
            <v>0</v>
          </cell>
          <cell r="R3325">
            <v>0</v>
          </cell>
          <cell r="T3325">
            <v>0</v>
          </cell>
          <cell r="U3325">
            <v>0</v>
          </cell>
          <cell r="W3325">
            <v>0</v>
          </cell>
          <cell r="X3325">
            <v>0</v>
          </cell>
          <cell r="Z3325">
            <v>0</v>
          </cell>
          <cell r="AA3325">
            <v>0</v>
          </cell>
          <cell r="AC3325">
            <v>682150.12</v>
          </cell>
          <cell r="AD3325">
            <v>0</v>
          </cell>
          <cell r="AF3325">
            <v>0</v>
          </cell>
          <cell r="AG3325">
            <v>0</v>
          </cell>
          <cell r="AI3325">
            <v>0</v>
          </cell>
          <cell r="AJ3325">
            <v>0</v>
          </cell>
          <cell r="AL3325">
            <v>0</v>
          </cell>
          <cell r="AM3325">
            <v>0</v>
          </cell>
          <cell r="AO3325">
            <v>0</v>
          </cell>
          <cell r="AP3325">
            <v>0</v>
          </cell>
          <cell r="AR3325">
            <v>0</v>
          </cell>
          <cell r="AS3325">
            <v>0</v>
          </cell>
          <cell r="BF3325" t="str">
            <v>4940</v>
          </cell>
          <cell r="BG3325" t="str">
            <v>Z000</v>
          </cell>
          <cell r="BH3325" t="str">
            <v>CC0</v>
          </cell>
        </row>
        <row r="3326">
          <cell r="K3326">
            <v>0</v>
          </cell>
          <cell r="L3326">
            <v>0</v>
          </cell>
          <cell r="N3326">
            <v>0</v>
          </cell>
          <cell r="O3326">
            <v>0</v>
          </cell>
          <cell r="Q3326">
            <v>0</v>
          </cell>
          <cell r="R3326">
            <v>0</v>
          </cell>
          <cell r="T3326">
            <v>0</v>
          </cell>
          <cell r="U3326">
            <v>0</v>
          </cell>
          <cell r="W3326">
            <v>0</v>
          </cell>
          <cell r="X3326">
            <v>0</v>
          </cell>
          <cell r="Z3326">
            <v>0</v>
          </cell>
          <cell r="AA3326">
            <v>0</v>
          </cell>
          <cell r="AC3326">
            <v>1500000</v>
          </cell>
          <cell r="AD3326">
            <v>0</v>
          </cell>
          <cell r="AF3326">
            <v>0</v>
          </cell>
          <cell r="AG3326">
            <v>0</v>
          </cell>
          <cell r="AI3326">
            <v>0</v>
          </cell>
          <cell r="AJ3326">
            <v>0</v>
          </cell>
          <cell r="AL3326">
            <v>0</v>
          </cell>
          <cell r="AM3326">
            <v>0</v>
          </cell>
          <cell r="AO3326">
            <v>0</v>
          </cell>
          <cell r="AP3326">
            <v>0</v>
          </cell>
          <cell r="AR3326">
            <v>0</v>
          </cell>
          <cell r="AS3326">
            <v>0</v>
          </cell>
          <cell r="BF3326" t="str">
            <v>4955</v>
          </cell>
          <cell r="BG3326" t="str">
            <v>Z000</v>
          </cell>
          <cell r="BH3326" t="str">
            <v>CC0</v>
          </cell>
        </row>
        <row r="3327">
          <cell r="K3327">
            <v>0</v>
          </cell>
          <cell r="L3327">
            <v>0</v>
          </cell>
          <cell r="N3327">
            <v>0</v>
          </cell>
          <cell r="O3327">
            <v>0</v>
          </cell>
          <cell r="Q3327">
            <v>0</v>
          </cell>
          <cell r="R3327">
            <v>0</v>
          </cell>
          <cell r="T3327">
            <v>0</v>
          </cell>
          <cell r="U3327">
            <v>0</v>
          </cell>
          <cell r="W3327">
            <v>0</v>
          </cell>
          <cell r="X3327">
            <v>0</v>
          </cell>
          <cell r="Z3327">
            <v>0</v>
          </cell>
          <cell r="AA3327">
            <v>0</v>
          </cell>
          <cell r="AC3327">
            <v>3000</v>
          </cell>
          <cell r="AD3327">
            <v>0</v>
          </cell>
          <cell r="AF3327">
            <v>0</v>
          </cell>
          <cell r="AG3327">
            <v>0</v>
          </cell>
          <cell r="AI3327">
            <v>0</v>
          </cell>
          <cell r="AJ3327">
            <v>0</v>
          </cell>
          <cell r="AL3327">
            <v>0</v>
          </cell>
          <cell r="AM3327">
            <v>0</v>
          </cell>
          <cell r="AO3327">
            <v>0</v>
          </cell>
          <cell r="AP3327">
            <v>0</v>
          </cell>
          <cell r="AR3327">
            <v>0</v>
          </cell>
          <cell r="AS3327">
            <v>0</v>
          </cell>
          <cell r="BF3327" t="str">
            <v>5100</v>
          </cell>
          <cell r="BG3327" t="str">
            <v>E001</v>
          </cell>
          <cell r="BH3327" t="str">
            <v>CC0</v>
          </cell>
        </row>
        <row r="3328">
          <cell r="K3328">
            <v>0</v>
          </cell>
          <cell r="L3328">
            <v>0</v>
          </cell>
          <cell r="N3328">
            <v>0</v>
          </cell>
          <cell r="O3328">
            <v>0</v>
          </cell>
          <cell r="Q3328">
            <v>0</v>
          </cell>
          <cell r="R3328">
            <v>0</v>
          </cell>
          <cell r="T3328">
            <v>0</v>
          </cell>
          <cell r="U3328">
            <v>0</v>
          </cell>
          <cell r="W3328">
            <v>0</v>
          </cell>
          <cell r="X3328">
            <v>0</v>
          </cell>
          <cell r="Z3328">
            <v>0</v>
          </cell>
          <cell r="AA3328">
            <v>0</v>
          </cell>
          <cell r="AC3328">
            <v>6430254.8799999999</v>
          </cell>
          <cell r="AD3328">
            <v>0</v>
          </cell>
          <cell r="AF3328">
            <v>0</v>
          </cell>
          <cell r="AG3328">
            <v>0</v>
          </cell>
          <cell r="AI3328">
            <v>0</v>
          </cell>
          <cell r="AJ3328">
            <v>0</v>
          </cell>
          <cell r="AL3328">
            <v>0</v>
          </cell>
          <cell r="AM3328">
            <v>0</v>
          </cell>
          <cell r="AO3328">
            <v>0</v>
          </cell>
          <cell r="AP3328">
            <v>0</v>
          </cell>
          <cell r="AR3328">
            <v>0</v>
          </cell>
          <cell r="AS3328">
            <v>0</v>
          </cell>
          <cell r="BF3328" t="str">
            <v>5200</v>
          </cell>
          <cell r="BG3328" t="str">
            <v>Z000</v>
          </cell>
          <cell r="BH3328" t="str">
            <v>CC0</v>
          </cell>
        </row>
        <row r="3329">
          <cell r="K3329">
            <v>0</v>
          </cell>
          <cell r="L3329">
            <v>0</v>
          </cell>
          <cell r="N3329">
            <v>0</v>
          </cell>
          <cell r="O3329">
            <v>0</v>
          </cell>
          <cell r="Q3329">
            <v>0</v>
          </cell>
          <cell r="R3329">
            <v>0</v>
          </cell>
          <cell r="T3329">
            <v>0</v>
          </cell>
          <cell r="U3329">
            <v>0</v>
          </cell>
          <cell r="W3329">
            <v>0</v>
          </cell>
          <cell r="X3329">
            <v>0</v>
          </cell>
          <cell r="Z3329">
            <v>0</v>
          </cell>
          <cell r="AA3329">
            <v>0</v>
          </cell>
          <cell r="AC3329">
            <v>705317.15999999992</v>
          </cell>
          <cell r="AD3329">
            <v>0</v>
          </cell>
          <cell r="AF3329">
            <v>0</v>
          </cell>
          <cell r="AG3329">
            <v>0</v>
          </cell>
          <cell r="AI3329">
            <v>0</v>
          </cell>
          <cell r="AJ3329">
            <v>0</v>
          </cell>
          <cell r="AL3329">
            <v>0</v>
          </cell>
          <cell r="AM3329">
            <v>0</v>
          </cell>
          <cell r="AO3329">
            <v>0</v>
          </cell>
          <cell r="AP3329">
            <v>0</v>
          </cell>
          <cell r="AR3329">
            <v>-86186.969999999972</v>
          </cell>
          <cell r="AS3329">
            <v>0</v>
          </cell>
          <cell r="BF3329" t="str">
            <v>5400</v>
          </cell>
          <cell r="BG3329" t="str">
            <v>F025</v>
          </cell>
          <cell r="BH3329" t="str">
            <v>CC0</v>
          </cell>
        </row>
        <row r="3330">
          <cell r="K3330">
            <v>0</v>
          </cell>
          <cell r="L3330">
            <v>0</v>
          </cell>
          <cell r="N3330">
            <v>0</v>
          </cell>
          <cell r="O3330">
            <v>0</v>
          </cell>
          <cell r="Q3330">
            <v>0</v>
          </cell>
          <cell r="R3330">
            <v>0</v>
          </cell>
          <cell r="T3330">
            <v>0</v>
          </cell>
          <cell r="U3330">
            <v>0</v>
          </cell>
          <cell r="W3330">
            <v>0</v>
          </cell>
          <cell r="X3330">
            <v>0</v>
          </cell>
          <cell r="Z3330">
            <v>0</v>
          </cell>
          <cell r="AA3330">
            <v>0</v>
          </cell>
          <cell r="AC3330">
            <v>45000</v>
          </cell>
          <cell r="AD3330">
            <v>0</v>
          </cell>
          <cell r="AF3330">
            <v>0</v>
          </cell>
          <cell r="AG3330">
            <v>0</v>
          </cell>
          <cell r="AI3330">
            <v>-45000</v>
          </cell>
          <cell r="AJ3330">
            <v>0</v>
          </cell>
          <cell r="AL3330">
            <v>0</v>
          </cell>
          <cell r="AM3330">
            <v>0</v>
          </cell>
          <cell r="AO3330">
            <v>0</v>
          </cell>
          <cell r="AP3330">
            <v>0</v>
          </cell>
          <cell r="AR3330">
            <v>0</v>
          </cell>
          <cell r="AS3330">
            <v>0</v>
          </cell>
          <cell r="BF3330" t="str">
            <v>5400</v>
          </cell>
          <cell r="BG3330" t="str">
            <v>F027</v>
          </cell>
          <cell r="BH3330" t="str">
            <v>CC0</v>
          </cell>
        </row>
        <row r="3331">
          <cell r="K3331">
            <v>0</v>
          </cell>
          <cell r="L3331">
            <v>0</v>
          </cell>
          <cell r="N3331">
            <v>0</v>
          </cell>
          <cell r="O3331">
            <v>0</v>
          </cell>
          <cell r="Q3331">
            <v>0</v>
          </cell>
          <cell r="R3331">
            <v>0</v>
          </cell>
          <cell r="T3331">
            <v>0</v>
          </cell>
          <cell r="U3331">
            <v>0</v>
          </cell>
          <cell r="W3331">
            <v>0</v>
          </cell>
          <cell r="X3331">
            <v>0</v>
          </cell>
          <cell r="Z3331">
            <v>0</v>
          </cell>
          <cell r="AA3331">
            <v>0</v>
          </cell>
          <cell r="AC3331">
            <v>1057282.8400000001</v>
          </cell>
          <cell r="AD3331">
            <v>0</v>
          </cell>
          <cell r="AF3331">
            <v>-2000000</v>
          </cell>
          <cell r="AG3331">
            <v>0</v>
          </cell>
          <cell r="AI3331">
            <v>-635170.15000000014</v>
          </cell>
          <cell r="AJ3331">
            <v>0</v>
          </cell>
          <cell r="AL3331">
            <v>129372.26999999979</v>
          </cell>
          <cell r="AM3331">
            <v>0</v>
          </cell>
          <cell r="AO3331">
            <v>1117957.2500000002</v>
          </cell>
          <cell r="AP3331">
            <v>0</v>
          </cell>
          <cell r="AR3331">
            <v>138968.35999999987</v>
          </cell>
          <cell r="AS3331">
            <v>0</v>
          </cell>
          <cell r="BF3331" t="str">
            <v>5700</v>
          </cell>
          <cell r="BG3331" t="str">
            <v>I007</v>
          </cell>
          <cell r="BH3331" t="str">
            <v>CC0</v>
          </cell>
        </row>
        <row r="3332">
          <cell r="K3332">
            <v>0</v>
          </cell>
          <cell r="L3332">
            <v>0</v>
          </cell>
          <cell r="N3332">
            <v>0</v>
          </cell>
          <cell r="O3332">
            <v>0</v>
          </cell>
          <cell r="Q3332">
            <v>0</v>
          </cell>
          <cell r="R3332">
            <v>0</v>
          </cell>
          <cell r="T3332">
            <v>0</v>
          </cell>
          <cell r="U3332">
            <v>0</v>
          </cell>
          <cell r="W3332">
            <v>0</v>
          </cell>
          <cell r="X3332">
            <v>0</v>
          </cell>
          <cell r="Z3332">
            <v>0</v>
          </cell>
          <cell r="AA3332">
            <v>0</v>
          </cell>
          <cell r="AC3332">
            <v>32970.199999999997</v>
          </cell>
          <cell r="AD3332">
            <v>0</v>
          </cell>
          <cell r="AF3332">
            <v>0</v>
          </cell>
          <cell r="AG3332">
            <v>0</v>
          </cell>
          <cell r="AI3332">
            <v>3570.5400000000009</v>
          </cell>
          <cell r="AJ3332">
            <v>0</v>
          </cell>
          <cell r="AL3332">
            <v>0</v>
          </cell>
          <cell r="AM3332">
            <v>0</v>
          </cell>
          <cell r="AO3332">
            <v>0</v>
          </cell>
          <cell r="AP3332">
            <v>0</v>
          </cell>
          <cell r="AR3332">
            <v>65700.03</v>
          </cell>
          <cell r="AS3332">
            <v>0</v>
          </cell>
          <cell r="BF3332" t="str">
            <v>6100</v>
          </cell>
          <cell r="BG3332" t="str">
            <v>K001</v>
          </cell>
          <cell r="BH3332" t="str">
            <v>CC0</v>
          </cell>
        </row>
        <row r="3333">
          <cell r="K3333">
            <v>0</v>
          </cell>
          <cell r="L3333">
            <v>0</v>
          </cell>
          <cell r="N3333">
            <v>0</v>
          </cell>
          <cell r="O3333">
            <v>0</v>
          </cell>
          <cell r="Q3333">
            <v>0</v>
          </cell>
          <cell r="R3333">
            <v>0</v>
          </cell>
          <cell r="T3333">
            <v>0</v>
          </cell>
          <cell r="U3333">
            <v>0</v>
          </cell>
          <cell r="W3333">
            <v>0</v>
          </cell>
          <cell r="X3333">
            <v>0</v>
          </cell>
          <cell r="Z3333">
            <v>0</v>
          </cell>
          <cell r="AA3333">
            <v>0</v>
          </cell>
          <cell r="AC3333">
            <v>64019.58</v>
          </cell>
          <cell r="AD3333">
            <v>0</v>
          </cell>
          <cell r="AF3333">
            <v>0</v>
          </cell>
          <cell r="AG3333">
            <v>0</v>
          </cell>
          <cell r="AI3333">
            <v>0</v>
          </cell>
          <cell r="AJ3333">
            <v>0</v>
          </cell>
          <cell r="AL3333">
            <v>0</v>
          </cell>
          <cell r="AM3333">
            <v>0</v>
          </cell>
          <cell r="AO3333">
            <v>0</v>
          </cell>
          <cell r="AP3333">
            <v>0</v>
          </cell>
          <cell r="AR3333">
            <v>0</v>
          </cell>
          <cell r="AS3333">
            <v>0</v>
          </cell>
          <cell r="BF3333" t="str">
            <v>6100</v>
          </cell>
          <cell r="BG3333" t="str">
            <v>K001</v>
          </cell>
          <cell r="BH3333" t="str">
            <v>CC1</v>
          </cell>
        </row>
        <row r="3334">
          <cell r="K3334">
            <v>0</v>
          </cell>
          <cell r="L3334">
            <v>0</v>
          </cell>
          <cell r="N3334">
            <v>0</v>
          </cell>
          <cell r="O3334">
            <v>0</v>
          </cell>
          <cell r="Q3334">
            <v>0</v>
          </cell>
          <cell r="R3334">
            <v>0</v>
          </cell>
          <cell r="T3334">
            <v>0</v>
          </cell>
          <cell r="U3334">
            <v>0</v>
          </cell>
          <cell r="W3334">
            <v>0</v>
          </cell>
          <cell r="X3334">
            <v>0</v>
          </cell>
          <cell r="Z3334">
            <v>0</v>
          </cell>
          <cell r="AA3334">
            <v>0</v>
          </cell>
          <cell r="AC3334">
            <v>40879.83</v>
          </cell>
          <cell r="AD3334">
            <v>0</v>
          </cell>
          <cell r="AF3334">
            <v>0</v>
          </cell>
          <cell r="AG3334">
            <v>0</v>
          </cell>
          <cell r="AI3334">
            <v>0</v>
          </cell>
          <cell r="AJ3334">
            <v>0</v>
          </cell>
          <cell r="AL3334">
            <v>0</v>
          </cell>
          <cell r="AM3334">
            <v>0</v>
          </cell>
          <cell r="AO3334">
            <v>0</v>
          </cell>
          <cell r="AP3334">
            <v>0</v>
          </cell>
          <cell r="AR3334">
            <v>0</v>
          </cell>
          <cell r="AS3334">
            <v>0</v>
          </cell>
          <cell r="BF3334" t="str">
            <v>6100</v>
          </cell>
          <cell r="BG3334" t="str">
            <v>K001</v>
          </cell>
          <cell r="BH3334" t="str">
            <v>CC2</v>
          </cell>
        </row>
        <row r="3335">
          <cell r="K3335">
            <v>0</v>
          </cell>
          <cell r="L3335">
            <v>0</v>
          </cell>
          <cell r="N3335">
            <v>0</v>
          </cell>
          <cell r="O3335">
            <v>0</v>
          </cell>
          <cell r="Q3335">
            <v>0</v>
          </cell>
          <cell r="R3335">
            <v>0</v>
          </cell>
          <cell r="T3335">
            <v>0</v>
          </cell>
          <cell r="U3335">
            <v>0</v>
          </cell>
          <cell r="W3335">
            <v>0</v>
          </cell>
          <cell r="X3335">
            <v>0</v>
          </cell>
          <cell r="Z3335">
            <v>0</v>
          </cell>
          <cell r="AA3335">
            <v>0</v>
          </cell>
          <cell r="AC3335">
            <v>24809.01</v>
          </cell>
          <cell r="AD3335">
            <v>0</v>
          </cell>
          <cell r="AF3335">
            <v>0</v>
          </cell>
          <cell r="AG3335">
            <v>0</v>
          </cell>
          <cell r="AI3335">
            <v>0</v>
          </cell>
          <cell r="AJ3335">
            <v>0</v>
          </cell>
          <cell r="AL3335">
            <v>0</v>
          </cell>
          <cell r="AM3335">
            <v>0</v>
          </cell>
          <cell r="AO3335">
            <v>0</v>
          </cell>
          <cell r="AP3335">
            <v>0</v>
          </cell>
          <cell r="AR3335">
            <v>0</v>
          </cell>
          <cell r="AS3335">
            <v>0</v>
          </cell>
          <cell r="BF3335" t="str">
            <v>6100</v>
          </cell>
          <cell r="BG3335" t="str">
            <v>K001</v>
          </cell>
          <cell r="BH3335" t="str">
            <v>CC3</v>
          </cell>
        </row>
        <row r="3336">
          <cell r="K3336">
            <v>0</v>
          </cell>
          <cell r="L3336">
            <v>0</v>
          </cell>
          <cell r="N3336">
            <v>0</v>
          </cell>
          <cell r="O3336">
            <v>0</v>
          </cell>
          <cell r="Q3336">
            <v>0</v>
          </cell>
          <cell r="R3336">
            <v>0</v>
          </cell>
          <cell r="T3336">
            <v>0</v>
          </cell>
          <cell r="U3336">
            <v>0</v>
          </cell>
          <cell r="W3336">
            <v>0</v>
          </cell>
          <cell r="X3336">
            <v>0</v>
          </cell>
          <cell r="Z3336">
            <v>0</v>
          </cell>
          <cell r="AA3336">
            <v>0</v>
          </cell>
          <cell r="AC3336">
            <v>14411.59</v>
          </cell>
          <cell r="AD3336">
            <v>0</v>
          </cell>
          <cell r="AF3336">
            <v>0</v>
          </cell>
          <cell r="AG3336">
            <v>0</v>
          </cell>
          <cell r="AI3336">
            <v>0</v>
          </cell>
          <cell r="AJ3336">
            <v>0</v>
          </cell>
          <cell r="AL3336">
            <v>0</v>
          </cell>
          <cell r="AM3336">
            <v>0</v>
          </cell>
          <cell r="AO3336">
            <v>0</v>
          </cell>
          <cell r="AP3336">
            <v>0</v>
          </cell>
          <cell r="AR3336">
            <v>0</v>
          </cell>
          <cell r="AS3336">
            <v>0</v>
          </cell>
          <cell r="BF3336" t="str">
            <v>6100</v>
          </cell>
          <cell r="BG3336" t="str">
            <v>K001</v>
          </cell>
          <cell r="BH3336" t="str">
            <v>CC4</v>
          </cell>
        </row>
        <row r="3337">
          <cell r="K3337">
            <v>0</v>
          </cell>
          <cell r="L3337">
            <v>0</v>
          </cell>
          <cell r="N3337">
            <v>0</v>
          </cell>
          <cell r="O3337">
            <v>0</v>
          </cell>
          <cell r="Q3337">
            <v>0</v>
          </cell>
          <cell r="R3337">
            <v>0</v>
          </cell>
          <cell r="T3337">
            <v>0</v>
          </cell>
          <cell r="U3337">
            <v>0</v>
          </cell>
          <cell r="W3337">
            <v>0</v>
          </cell>
          <cell r="X3337">
            <v>0</v>
          </cell>
          <cell r="Z3337">
            <v>0</v>
          </cell>
          <cell r="AA3337">
            <v>0</v>
          </cell>
          <cell r="AC3337">
            <v>30451.360000000001</v>
          </cell>
          <cell r="AD3337">
            <v>0</v>
          </cell>
          <cell r="AF3337">
            <v>0</v>
          </cell>
          <cell r="AG3337">
            <v>0</v>
          </cell>
          <cell r="AI3337">
            <v>0</v>
          </cell>
          <cell r="AJ3337">
            <v>0</v>
          </cell>
          <cell r="AL3337">
            <v>0</v>
          </cell>
          <cell r="AM3337">
            <v>0</v>
          </cell>
          <cell r="AO3337">
            <v>0</v>
          </cell>
          <cell r="AP3337">
            <v>0</v>
          </cell>
          <cell r="AR3337">
            <v>0</v>
          </cell>
          <cell r="AS3337">
            <v>0</v>
          </cell>
          <cell r="BF3337" t="str">
            <v>6100</v>
          </cell>
          <cell r="BG3337" t="str">
            <v>K001</v>
          </cell>
          <cell r="BH3337" t="str">
            <v>CC6</v>
          </cell>
        </row>
        <row r="3338">
          <cell r="K3338">
            <v>0</v>
          </cell>
          <cell r="L3338">
            <v>0</v>
          </cell>
          <cell r="N3338">
            <v>0</v>
          </cell>
          <cell r="O3338">
            <v>0</v>
          </cell>
          <cell r="Q3338">
            <v>0</v>
          </cell>
          <cell r="R3338">
            <v>0</v>
          </cell>
          <cell r="T3338">
            <v>0</v>
          </cell>
          <cell r="U3338">
            <v>0</v>
          </cell>
          <cell r="W3338">
            <v>0</v>
          </cell>
          <cell r="X3338">
            <v>0</v>
          </cell>
          <cell r="Z3338">
            <v>0</v>
          </cell>
          <cell r="AA3338">
            <v>0</v>
          </cell>
          <cell r="AC3338">
            <v>-32960.99</v>
          </cell>
          <cell r="AD3338">
            <v>0</v>
          </cell>
          <cell r="AF3338">
            <v>0</v>
          </cell>
          <cell r="AG3338">
            <v>0</v>
          </cell>
          <cell r="AI3338">
            <v>260.91999999999825</v>
          </cell>
          <cell r="AJ3338">
            <v>0</v>
          </cell>
          <cell r="AL3338">
            <v>0</v>
          </cell>
          <cell r="AM3338">
            <v>0</v>
          </cell>
          <cell r="AO3338">
            <v>-3.637978807091713E-12</v>
          </cell>
          <cell r="AP3338">
            <v>0</v>
          </cell>
          <cell r="AR3338">
            <v>0</v>
          </cell>
          <cell r="AS3338">
            <v>0</v>
          </cell>
          <cell r="BF3338" t="str">
            <v>6100</v>
          </cell>
          <cell r="BG3338" t="str">
            <v>K002</v>
          </cell>
          <cell r="BH3338" t="str">
            <v>CC0</v>
          </cell>
        </row>
        <row r="3339">
          <cell r="K3339">
            <v>0</v>
          </cell>
          <cell r="L3339">
            <v>0</v>
          </cell>
          <cell r="N3339">
            <v>0</v>
          </cell>
          <cell r="O3339">
            <v>0</v>
          </cell>
          <cell r="Q3339">
            <v>0</v>
          </cell>
          <cell r="R3339">
            <v>0</v>
          </cell>
          <cell r="T3339">
            <v>0</v>
          </cell>
          <cell r="U3339">
            <v>0</v>
          </cell>
          <cell r="W3339">
            <v>0</v>
          </cell>
          <cell r="X3339">
            <v>0</v>
          </cell>
          <cell r="Z3339">
            <v>0</v>
          </cell>
          <cell r="AA3339">
            <v>0</v>
          </cell>
          <cell r="AC3339">
            <v>-38976.29</v>
          </cell>
          <cell r="AD3339">
            <v>0</v>
          </cell>
          <cell r="AF3339">
            <v>-1636.8700000000026</v>
          </cell>
          <cell r="AG3339">
            <v>0</v>
          </cell>
          <cell r="AI3339">
            <v>-659.67180399999779</v>
          </cell>
          <cell r="AJ3339">
            <v>0</v>
          </cell>
          <cell r="AL3339">
            <v>-1574.7099999999991</v>
          </cell>
          <cell r="AM3339">
            <v>0</v>
          </cell>
          <cell r="AO3339">
            <v>0</v>
          </cell>
          <cell r="AP3339">
            <v>0</v>
          </cell>
          <cell r="AR3339">
            <v>0</v>
          </cell>
          <cell r="AS3339">
            <v>0</v>
          </cell>
          <cell r="BF3339" t="str">
            <v>6100</v>
          </cell>
          <cell r="BG3339" t="str">
            <v>K002</v>
          </cell>
          <cell r="BH3339" t="str">
            <v>CC1</v>
          </cell>
        </row>
        <row r="3340">
          <cell r="K3340">
            <v>0</v>
          </cell>
          <cell r="L3340">
            <v>0</v>
          </cell>
          <cell r="N3340">
            <v>0</v>
          </cell>
          <cell r="O3340">
            <v>0</v>
          </cell>
          <cell r="Q3340">
            <v>0</v>
          </cell>
          <cell r="R3340">
            <v>0</v>
          </cell>
          <cell r="T3340">
            <v>0</v>
          </cell>
          <cell r="U3340">
            <v>0</v>
          </cell>
          <cell r="W3340">
            <v>0</v>
          </cell>
          <cell r="X3340">
            <v>0</v>
          </cell>
          <cell r="Z3340">
            <v>0</v>
          </cell>
          <cell r="AA3340">
            <v>0</v>
          </cell>
          <cell r="AC3340">
            <v>-30811.81</v>
          </cell>
          <cell r="AD3340">
            <v>0</v>
          </cell>
          <cell r="AF3340">
            <v>0</v>
          </cell>
          <cell r="AG3340">
            <v>0</v>
          </cell>
          <cell r="AI3340">
            <v>-373.98037599999952</v>
          </cell>
          <cell r="AJ3340">
            <v>0</v>
          </cell>
          <cell r="AL3340">
            <v>0</v>
          </cell>
          <cell r="AM3340">
            <v>0</v>
          </cell>
          <cell r="AO3340">
            <v>0</v>
          </cell>
          <cell r="AP3340">
            <v>0</v>
          </cell>
          <cell r="AR3340">
            <v>0</v>
          </cell>
          <cell r="AS3340">
            <v>0</v>
          </cell>
          <cell r="BF3340" t="str">
            <v>6100</v>
          </cell>
          <cell r="BG3340" t="str">
            <v>K002</v>
          </cell>
          <cell r="BH3340" t="str">
            <v>CC2</v>
          </cell>
        </row>
        <row r="3341">
          <cell r="K3341">
            <v>0</v>
          </cell>
          <cell r="L3341">
            <v>0</v>
          </cell>
          <cell r="N3341">
            <v>0</v>
          </cell>
          <cell r="O3341">
            <v>0</v>
          </cell>
          <cell r="Q3341">
            <v>0</v>
          </cell>
          <cell r="R3341">
            <v>0</v>
          </cell>
          <cell r="T3341">
            <v>0</v>
          </cell>
          <cell r="U3341">
            <v>0</v>
          </cell>
          <cell r="W3341">
            <v>0</v>
          </cell>
          <cell r="X3341">
            <v>0</v>
          </cell>
          <cell r="Z3341">
            <v>0</v>
          </cell>
          <cell r="AA3341">
            <v>0</v>
          </cell>
          <cell r="AC3341">
            <v>-24807.98</v>
          </cell>
          <cell r="AD3341">
            <v>0</v>
          </cell>
          <cell r="AF3341">
            <v>0</v>
          </cell>
          <cell r="AG3341">
            <v>0</v>
          </cell>
          <cell r="AI3341">
            <v>-20.831249999999272</v>
          </cell>
          <cell r="AJ3341">
            <v>0</v>
          </cell>
          <cell r="AL3341">
            <v>0</v>
          </cell>
          <cell r="AM3341">
            <v>0</v>
          </cell>
          <cell r="AO3341">
            <v>0</v>
          </cell>
          <cell r="AP3341">
            <v>0</v>
          </cell>
          <cell r="AR3341">
            <v>0</v>
          </cell>
          <cell r="AS3341">
            <v>0</v>
          </cell>
          <cell r="BF3341" t="str">
            <v>6100</v>
          </cell>
          <cell r="BG3341" t="str">
            <v>K002</v>
          </cell>
          <cell r="BH3341" t="str">
            <v>CC3</v>
          </cell>
        </row>
        <row r="3342">
          <cell r="K3342">
            <v>0</v>
          </cell>
          <cell r="L3342">
            <v>0</v>
          </cell>
          <cell r="N3342">
            <v>0</v>
          </cell>
          <cell r="O3342">
            <v>0</v>
          </cell>
          <cell r="Q3342">
            <v>0</v>
          </cell>
          <cell r="R3342">
            <v>0</v>
          </cell>
          <cell r="T3342">
            <v>0</v>
          </cell>
          <cell r="U3342">
            <v>0</v>
          </cell>
          <cell r="W3342">
            <v>0</v>
          </cell>
          <cell r="X3342">
            <v>0</v>
          </cell>
          <cell r="Z3342">
            <v>0</v>
          </cell>
          <cell r="AA3342">
            <v>0</v>
          </cell>
          <cell r="AC3342">
            <v>-14198.68</v>
          </cell>
          <cell r="AD3342">
            <v>0</v>
          </cell>
          <cell r="AF3342">
            <v>0</v>
          </cell>
          <cell r="AG3342">
            <v>0</v>
          </cell>
          <cell r="AI3342">
            <v>-29.552600000000893</v>
          </cell>
          <cell r="AJ3342">
            <v>0</v>
          </cell>
          <cell r="AL3342">
            <v>0</v>
          </cell>
          <cell r="AM3342">
            <v>0</v>
          </cell>
          <cell r="AO3342">
            <v>0</v>
          </cell>
          <cell r="AP3342">
            <v>0</v>
          </cell>
          <cell r="AR3342">
            <v>0</v>
          </cell>
          <cell r="AS3342">
            <v>0</v>
          </cell>
          <cell r="BF3342" t="str">
            <v>6100</v>
          </cell>
          <cell r="BG3342" t="str">
            <v>K002</v>
          </cell>
          <cell r="BH3342" t="str">
            <v>CC4</v>
          </cell>
        </row>
        <row r="3343">
          <cell r="K3343">
            <v>0</v>
          </cell>
          <cell r="L3343">
            <v>0</v>
          </cell>
          <cell r="N3343">
            <v>0</v>
          </cell>
          <cell r="O3343">
            <v>0</v>
          </cell>
          <cell r="Q3343">
            <v>0</v>
          </cell>
          <cell r="R3343">
            <v>0</v>
          </cell>
          <cell r="T3343">
            <v>0</v>
          </cell>
          <cell r="U3343">
            <v>0</v>
          </cell>
          <cell r="W3343">
            <v>0</v>
          </cell>
          <cell r="X3343">
            <v>0</v>
          </cell>
          <cell r="Z3343">
            <v>0</v>
          </cell>
          <cell r="AA3343">
            <v>0</v>
          </cell>
          <cell r="AC3343">
            <v>-26382.31</v>
          </cell>
          <cell r="AD3343">
            <v>0</v>
          </cell>
          <cell r="AF3343">
            <v>0</v>
          </cell>
          <cell r="AG3343">
            <v>0</v>
          </cell>
          <cell r="AI3343">
            <v>-391.50695650000125</v>
          </cell>
          <cell r="AJ3343">
            <v>0</v>
          </cell>
          <cell r="AL3343">
            <v>0</v>
          </cell>
          <cell r="AM3343">
            <v>0</v>
          </cell>
          <cell r="AO3343">
            <v>0</v>
          </cell>
          <cell r="AP3343">
            <v>0</v>
          </cell>
          <cell r="AR3343">
            <v>0</v>
          </cell>
          <cell r="AS3343">
            <v>0</v>
          </cell>
          <cell r="BF3343" t="str">
            <v>6100</v>
          </cell>
          <cell r="BG3343" t="str">
            <v>K002</v>
          </cell>
          <cell r="BH3343" t="str">
            <v>CC6</v>
          </cell>
        </row>
        <row r="3344">
          <cell r="K3344">
            <v>0</v>
          </cell>
          <cell r="L3344">
            <v>0</v>
          </cell>
          <cell r="N3344">
            <v>0</v>
          </cell>
          <cell r="O3344">
            <v>0</v>
          </cell>
          <cell r="Q3344">
            <v>0</v>
          </cell>
          <cell r="R3344">
            <v>0</v>
          </cell>
          <cell r="T3344">
            <v>0</v>
          </cell>
          <cell r="U3344">
            <v>0</v>
          </cell>
          <cell r="W3344">
            <v>0</v>
          </cell>
          <cell r="X3344">
            <v>0</v>
          </cell>
          <cell r="Z3344">
            <v>0</v>
          </cell>
          <cell r="AA3344">
            <v>0</v>
          </cell>
          <cell r="AC3344">
            <v>0</v>
          </cell>
          <cell r="AD3344">
            <v>0</v>
          </cell>
          <cell r="AF3344">
            <v>0</v>
          </cell>
          <cell r="AG3344">
            <v>0</v>
          </cell>
          <cell r="AI3344">
            <v>0</v>
          </cell>
          <cell r="AJ3344">
            <v>0</v>
          </cell>
          <cell r="AL3344">
            <v>0</v>
          </cell>
          <cell r="AM3344">
            <v>0</v>
          </cell>
          <cell r="AO3344">
            <v>0</v>
          </cell>
          <cell r="AP3344">
            <v>0</v>
          </cell>
          <cell r="AR3344">
            <v>0</v>
          </cell>
          <cell r="AS3344">
            <v>0</v>
          </cell>
          <cell r="BF3344" t="str">
            <v>6100</v>
          </cell>
          <cell r="BG3344" t="str">
            <v>Z000</v>
          </cell>
          <cell r="BH3344" t="str">
            <v>CC0</v>
          </cell>
        </row>
        <row r="3345">
          <cell r="K3345">
            <v>0</v>
          </cell>
          <cell r="L3345">
            <v>0</v>
          </cell>
          <cell r="N3345">
            <v>0</v>
          </cell>
          <cell r="O3345">
            <v>0</v>
          </cell>
          <cell r="Q3345">
            <v>0</v>
          </cell>
          <cell r="R3345">
            <v>0</v>
          </cell>
          <cell r="T3345">
            <v>0</v>
          </cell>
          <cell r="U3345">
            <v>0</v>
          </cell>
          <cell r="W3345">
            <v>0</v>
          </cell>
          <cell r="X3345">
            <v>0</v>
          </cell>
          <cell r="Z3345">
            <v>0</v>
          </cell>
          <cell r="AA3345">
            <v>0</v>
          </cell>
          <cell r="AC3345">
            <v>0</v>
          </cell>
          <cell r="AD3345">
            <v>0</v>
          </cell>
          <cell r="AF3345">
            <v>0</v>
          </cell>
          <cell r="AG3345">
            <v>0</v>
          </cell>
          <cell r="AI3345">
            <v>0</v>
          </cell>
          <cell r="AJ3345">
            <v>0</v>
          </cell>
          <cell r="AL3345">
            <v>0</v>
          </cell>
          <cell r="AM3345">
            <v>0</v>
          </cell>
          <cell r="AO3345">
            <v>0</v>
          </cell>
          <cell r="AP3345">
            <v>0</v>
          </cell>
          <cell r="AR3345">
            <v>0</v>
          </cell>
          <cell r="AS3345">
            <v>0</v>
          </cell>
          <cell r="BF3345" t="str">
            <v>6100</v>
          </cell>
          <cell r="BG3345" t="str">
            <v>Z000</v>
          </cell>
          <cell r="BH3345" t="str">
            <v>CC1</v>
          </cell>
        </row>
        <row r="3346">
          <cell r="K3346">
            <v>0</v>
          </cell>
          <cell r="L3346">
            <v>0</v>
          </cell>
          <cell r="N3346">
            <v>0</v>
          </cell>
          <cell r="O3346">
            <v>0</v>
          </cell>
          <cell r="Q3346">
            <v>0</v>
          </cell>
          <cell r="R3346">
            <v>0</v>
          </cell>
          <cell r="T3346">
            <v>0</v>
          </cell>
          <cell r="U3346">
            <v>0</v>
          </cell>
          <cell r="W3346">
            <v>0</v>
          </cell>
          <cell r="X3346">
            <v>0</v>
          </cell>
          <cell r="Z3346">
            <v>0</v>
          </cell>
          <cell r="AA3346">
            <v>0</v>
          </cell>
          <cell r="AC3346">
            <v>0</v>
          </cell>
          <cell r="AD3346">
            <v>0</v>
          </cell>
          <cell r="AF3346">
            <v>0</v>
          </cell>
          <cell r="AG3346">
            <v>0</v>
          </cell>
          <cell r="AI3346">
            <v>0</v>
          </cell>
          <cell r="AJ3346">
            <v>0</v>
          </cell>
          <cell r="AL3346">
            <v>0</v>
          </cell>
          <cell r="AM3346">
            <v>0</v>
          </cell>
          <cell r="AO3346">
            <v>0</v>
          </cell>
          <cell r="AP3346">
            <v>0</v>
          </cell>
          <cell r="AR3346">
            <v>0</v>
          </cell>
          <cell r="AS3346">
            <v>0</v>
          </cell>
          <cell r="BF3346" t="str">
            <v>6100</v>
          </cell>
          <cell r="BG3346" t="str">
            <v>Z000</v>
          </cell>
          <cell r="BH3346" t="str">
            <v>CC2</v>
          </cell>
        </row>
        <row r="3347">
          <cell r="K3347">
            <v>0</v>
          </cell>
          <cell r="L3347">
            <v>0</v>
          </cell>
          <cell r="N3347">
            <v>0</v>
          </cell>
          <cell r="O3347">
            <v>0</v>
          </cell>
          <cell r="Q3347">
            <v>0</v>
          </cell>
          <cell r="R3347">
            <v>0</v>
          </cell>
          <cell r="T3347">
            <v>0</v>
          </cell>
          <cell r="U3347">
            <v>0</v>
          </cell>
          <cell r="W3347">
            <v>0</v>
          </cell>
          <cell r="X3347">
            <v>0</v>
          </cell>
          <cell r="Z3347">
            <v>0</v>
          </cell>
          <cell r="AA3347">
            <v>0</v>
          </cell>
          <cell r="AC3347">
            <v>0</v>
          </cell>
          <cell r="AD3347">
            <v>0</v>
          </cell>
          <cell r="AF3347">
            <v>0</v>
          </cell>
          <cell r="AG3347">
            <v>0</v>
          </cell>
          <cell r="AI3347">
            <v>0</v>
          </cell>
          <cell r="AJ3347">
            <v>0</v>
          </cell>
          <cell r="AL3347">
            <v>0</v>
          </cell>
          <cell r="AM3347">
            <v>0</v>
          </cell>
          <cell r="AO3347">
            <v>0</v>
          </cell>
          <cell r="AP3347">
            <v>0</v>
          </cell>
          <cell r="AR3347">
            <v>0</v>
          </cell>
          <cell r="AS3347">
            <v>0</v>
          </cell>
          <cell r="BF3347" t="str">
            <v>6100</v>
          </cell>
          <cell r="BG3347" t="str">
            <v>Z000</v>
          </cell>
          <cell r="BH3347" t="str">
            <v>CC3</v>
          </cell>
        </row>
        <row r="3348">
          <cell r="K3348">
            <v>0</v>
          </cell>
          <cell r="L3348">
            <v>0</v>
          </cell>
          <cell r="N3348">
            <v>0</v>
          </cell>
          <cell r="O3348">
            <v>0</v>
          </cell>
          <cell r="Q3348">
            <v>0</v>
          </cell>
          <cell r="R3348">
            <v>0</v>
          </cell>
          <cell r="T3348">
            <v>0</v>
          </cell>
          <cell r="U3348">
            <v>0</v>
          </cell>
          <cell r="W3348">
            <v>0</v>
          </cell>
          <cell r="X3348">
            <v>0</v>
          </cell>
          <cell r="Z3348">
            <v>0</v>
          </cell>
          <cell r="AA3348">
            <v>0</v>
          </cell>
          <cell r="AC3348">
            <v>0</v>
          </cell>
          <cell r="AD3348">
            <v>0</v>
          </cell>
          <cell r="AF3348">
            <v>0</v>
          </cell>
          <cell r="AG3348">
            <v>0</v>
          </cell>
          <cell r="AI3348">
            <v>0</v>
          </cell>
          <cell r="AJ3348">
            <v>0</v>
          </cell>
          <cell r="AL3348">
            <v>0</v>
          </cell>
          <cell r="AM3348">
            <v>0</v>
          </cell>
          <cell r="AO3348">
            <v>0</v>
          </cell>
          <cell r="AP3348">
            <v>0</v>
          </cell>
          <cell r="AR3348">
            <v>0</v>
          </cell>
          <cell r="AS3348">
            <v>0</v>
          </cell>
          <cell r="BF3348" t="str">
            <v>6100</v>
          </cell>
          <cell r="BG3348" t="str">
            <v>Z000</v>
          </cell>
          <cell r="BH3348" t="str">
            <v>CC4</v>
          </cell>
        </row>
        <row r="3349">
          <cell r="K3349">
            <v>0</v>
          </cell>
          <cell r="L3349">
            <v>0</v>
          </cell>
          <cell r="N3349">
            <v>0</v>
          </cell>
          <cell r="O3349">
            <v>0</v>
          </cell>
          <cell r="Q3349">
            <v>0</v>
          </cell>
          <cell r="R3349">
            <v>0</v>
          </cell>
          <cell r="T3349">
            <v>0</v>
          </cell>
          <cell r="U3349">
            <v>0</v>
          </cell>
          <cell r="W3349">
            <v>0</v>
          </cell>
          <cell r="X3349">
            <v>0</v>
          </cell>
          <cell r="Z3349">
            <v>0</v>
          </cell>
          <cell r="AA3349">
            <v>0</v>
          </cell>
          <cell r="AC3349">
            <v>0</v>
          </cell>
          <cell r="AD3349">
            <v>0</v>
          </cell>
          <cell r="AF3349">
            <v>0</v>
          </cell>
          <cell r="AG3349">
            <v>0</v>
          </cell>
          <cell r="AI3349">
            <v>0</v>
          </cell>
          <cell r="AJ3349">
            <v>0</v>
          </cell>
          <cell r="AL3349">
            <v>0</v>
          </cell>
          <cell r="AM3349">
            <v>0</v>
          </cell>
          <cell r="AO3349">
            <v>0</v>
          </cell>
          <cell r="AP3349">
            <v>0</v>
          </cell>
          <cell r="AR3349">
            <v>0</v>
          </cell>
          <cell r="AS3349">
            <v>0</v>
          </cell>
          <cell r="BF3349" t="str">
            <v>6100</v>
          </cell>
          <cell r="BG3349" t="str">
            <v>Z000</v>
          </cell>
          <cell r="BH3349" t="str">
            <v>CC6</v>
          </cell>
        </row>
        <row r="3350">
          <cell r="K3350">
            <v>0</v>
          </cell>
          <cell r="L3350">
            <v>0</v>
          </cell>
          <cell r="N3350">
            <v>0</v>
          </cell>
          <cell r="O3350">
            <v>0</v>
          </cell>
          <cell r="Q3350">
            <v>0</v>
          </cell>
          <cell r="R3350">
            <v>0</v>
          </cell>
          <cell r="T3350">
            <v>0</v>
          </cell>
          <cell r="U3350">
            <v>0</v>
          </cell>
          <cell r="W3350">
            <v>0</v>
          </cell>
          <cell r="X3350">
            <v>0</v>
          </cell>
          <cell r="Z3350">
            <v>0</v>
          </cell>
          <cell r="AA3350">
            <v>0</v>
          </cell>
          <cell r="AC3350">
            <v>9199.9599999999991</v>
          </cell>
          <cell r="AD3350">
            <v>0</v>
          </cell>
          <cell r="AF3350">
            <v>0</v>
          </cell>
          <cell r="AG3350">
            <v>0</v>
          </cell>
          <cell r="AI3350">
            <v>0</v>
          </cell>
          <cell r="AJ3350">
            <v>0</v>
          </cell>
          <cell r="AL3350">
            <v>0</v>
          </cell>
          <cell r="AM3350">
            <v>0</v>
          </cell>
          <cell r="AO3350">
            <v>0</v>
          </cell>
          <cell r="AP3350">
            <v>0</v>
          </cell>
          <cell r="AR3350">
            <v>0</v>
          </cell>
          <cell r="AS3350">
            <v>0</v>
          </cell>
          <cell r="BF3350" t="str">
            <v>6200</v>
          </cell>
          <cell r="BG3350" t="str">
            <v>K001</v>
          </cell>
          <cell r="BH3350" t="str">
            <v>CC0</v>
          </cell>
        </row>
        <row r="3351">
          <cell r="K3351">
            <v>0</v>
          </cell>
          <cell r="L3351">
            <v>0</v>
          </cell>
          <cell r="N3351">
            <v>0</v>
          </cell>
          <cell r="O3351">
            <v>0</v>
          </cell>
          <cell r="Q3351">
            <v>0</v>
          </cell>
          <cell r="R3351">
            <v>0</v>
          </cell>
          <cell r="T3351">
            <v>0</v>
          </cell>
          <cell r="U3351">
            <v>0</v>
          </cell>
          <cell r="W3351">
            <v>0</v>
          </cell>
          <cell r="X3351">
            <v>0</v>
          </cell>
          <cell r="Z3351">
            <v>0</v>
          </cell>
          <cell r="AA3351">
            <v>0</v>
          </cell>
          <cell r="AC3351">
            <v>-5599.79</v>
          </cell>
          <cell r="AD3351">
            <v>0</v>
          </cell>
          <cell r="AF3351">
            <v>-117.64999999999964</v>
          </cell>
          <cell r="AG3351">
            <v>0</v>
          </cell>
          <cell r="AI3351">
            <v>-127.80277769999975</v>
          </cell>
          <cell r="AJ3351">
            <v>0</v>
          </cell>
          <cell r="AL3351">
            <v>-127.80000000000018</v>
          </cell>
          <cell r="AM3351">
            <v>0</v>
          </cell>
          <cell r="AO3351">
            <v>0</v>
          </cell>
          <cell r="AP3351">
            <v>0</v>
          </cell>
          <cell r="AR3351">
            <v>0</v>
          </cell>
          <cell r="AS3351">
            <v>0</v>
          </cell>
          <cell r="BF3351" t="str">
            <v>6200</v>
          </cell>
          <cell r="BG3351" t="str">
            <v>K002</v>
          </cell>
          <cell r="BH3351" t="str">
            <v>CC0</v>
          </cell>
        </row>
        <row r="3352">
          <cell r="K3352">
            <v>0</v>
          </cell>
          <cell r="L3352">
            <v>0</v>
          </cell>
          <cell r="N3352">
            <v>0</v>
          </cell>
          <cell r="O3352">
            <v>0</v>
          </cell>
          <cell r="Q3352">
            <v>0</v>
          </cell>
          <cell r="R3352">
            <v>0</v>
          </cell>
          <cell r="T3352">
            <v>0</v>
          </cell>
          <cell r="U3352">
            <v>0</v>
          </cell>
          <cell r="W3352">
            <v>0</v>
          </cell>
          <cell r="X3352">
            <v>0</v>
          </cell>
          <cell r="Z3352">
            <v>0</v>
          </cell>
          <cell r="AA3352">
            <v>0</v>
          </cell>
          <cell r="AC3352">
            <v>0</v>
          </cell>
          <cell r="AD3352">
            <v>0</v>
          </cell>
          <cell r="AF3352">
            <v>0</v>
          </cell>
          <cell r="AG3352">
            <v>0</v>
          </cell>
          <cell r="AI3352">
            <v>0</v>
          </cell>
          <cell r="AJ3352">
            <v>0</v>
          </cell>
          <cell r="AL3352">
            <v>0</v>
          </cell>
          <cell r="AM3352">
            <v>0</v>
          </cell>
          <cell r="AO3352">
            <v>0</v>
          </cell>
          <cell r="AP3352">
            <v>0</v>
          </cell>
          <cell r="AR3352">
            <v>0</v>
          </cell>
          <cell r="AS3352">
            <v>0</v>
          </cell>
          <cell r="BF3352" t="str">
            <v>6200</v>
          </cell>
          <cell r="BG3352" t="str">
            <v>Z000</v>
          </cell>
          <cell r="BH3352" t="str">
            <v>CC0</v>
          </cell>
        </row>
        <row r="3353">
          <cell r="K3353">
            <v>0</v>
          </cell>
          <cell r="L3353">
            <v>0</v>
          </cell>
          <cell r="N3353">
            <v>0</v>
          </cell>
          <cell r="O3353">
            <v>0</v>
          </cell>
          <cell r="Q3353">
            <v>0</v>
          </cell>
          <cell r="R3353">
            <v>0</v>
          </cell>
          <cell r="T3353">
            <v>0</v>
          </cell>
          <cell r="U3353">
            <v>0</v>
          </cell>
          <cell r="W3353">
            <v>0</v>
          </cell>
          <cell r="X3353">
            <v>0</v>
          </cell>
          <cell r="Z3353">
            <v>0</v>
          </cell>
          <cell r="AA3353">
            <v>0</v>
          </cell>
          <cell r="AC3353">
            <v>11000</v>
          </cell>
          <cell r="AD3353">
            <v>0</v>
          </cell>
          <cell r="AF3353">
            <v>0</v>
          </cell>
          <cell r="AG3353">
            <v>0</v>
          </cell>
          <cell r="AI3353">
            <v>0</v>
          </cell>
          <cell r="AJ3353">
            <v>0</v>
          </cell>
          <cell r="AL3353">
            <v>0</v>
          </cell>
          <cell r="AM3353">
            <v>0</v>
          </cell>
          <cell r="AO3353">
            <v>0</v>
          </cell>
          <cell r="AP3353">
            <v>0</v>
          </cell>
          <cell r="AR3353">
            <v>0</v>
          </cell>
          <cell r="AS3353">
            <v>0</v>
          </cell>
          <cell r="BF3353" t="str">
            <v>6300</v>
          </cell>
          <cell r="BG3353" t="str">
            <v>K001</v>
          </cell>
          <cell r="BH3353" t="str">
            <v>CC0</v>
          </cell>
        </row>
        <row r="3354">
          <cell r="K3354">
            <v>0</v>
          </cell>
          <cell r="L3354">
            <v>0</v>
          </cell>
          <cell r="N3354">
            <v>0</v>
          </cell>
          <cell r="O3354">
            <v>0</v>
          </cell>
          <cell r="Q3354">
            <v>0</v>
          </cell>
          <cell r="R3354">
            <v>0</v>
          </cell>
          <cell r="T3354">
            <v>0</v>
          </cell>
          <cell r="U3354">
            <v>0</v>
          </cell>
          <cell r="W3354">
            <v>0</v>
          </cell>
          <cell r="X3354">
            <v>0</v>
          </cell>
          <cell r="Z3354">
            <v>0</v>
          </cell>
          <cell r="AA3354">
            <v>0</v>
          </cell>
          <cell r="AC3354">
            <v>-10999</v>
          </cell>
          <cell r="AD3354">
            <v>0</v>
          </cell>
          <cell r="AF3354">
            <v>0</v>
          </cell>
          <cell r="AG3354">
            <v>0</v>
          </cell>
          <cell r="AI3354">
            <v>0</v>
          </cell>
          <cell r="AJ3354">
            <v>0</v>
          </cell>
          <cell r="AL3354">
            <v>0</v>
          </cell>
          <cell r="AM3354">
            <v>0</v>
          </cell>
          <cell r="AO3354">
            <v>0</v>
          </cell>
          <cell r="AP3354">
            <v>0</v>
          </cell>
          <cell r="AR3354">
            <v>0</v>
          </cell>
          <cell r="AS3354">
            <v>0</v>
          </cell>
          <cell r="BF3354" t="str">
            <v>6300</v>
          </cell>
          <cell r="BG3354" t="str">
            <v>K002</v>
          </cell>
          <cell r="BH3354" t="str">
            <v>CC0</v>
          </cell>
        </row>
        <row r="3355">
          <cell r="K3355">
            <v>0</v>
          </cell>
          <cell r="L3355">
            <v>0</v>
          </cell>
          <cell r="N3355">
            <v>0</v>
          </cell>
          <cell r="O3355">
            <v>0</v>
          </cell>
          <cell r="Q3355">
            <v>0</v>
          </cell>
          <cell r="R3355">
            <v>0</v>
          </cell>
          <cell r="T3355">
            <v>0</v>
          </cell>
          <cell r="U3355">
            <v>0</v>
          </cell>
          <cell r="W3355">
            <v>0</v>
          </cell>
          <cell r="X3355">
            <v>0</v>
          </cell>
          <cell r="Z3355">
            <v>0</v>
          </cell>
          <cell r="AA3355">
            <v>0</v>
          </cell>
          <cell r="AC3355">
            <v>0</v>
          </cell>
          <cell r="AD3355">
            <v>0</v>
          </cell>
          <cell r="AF3355">
            <v>0</v>
          </cell>
          <cell r="AG3355">
            <v>0</v>
          </cell>
          <cell r="AI3355">
            <v>0</v>
          </cell>
          <cell r="AJ3355">
            <v>0</v>
          </cell>
          <cell r="AL3355">
            <v>0</v>
          </cell>
          <cell r="AM3355">
            <v>0</v>
          </cell>
          <cell r="AO3355">
            <v>0</v>
          </cell>
          <cell r="AP3355">
            <v>0</v>
          </cell>
          <cell r="AR3355">
            <v>0</v>
          </cell>
          <cell r="AS3355">
            <v>0</v>
          </cell>
          <cell r="BF3355" t="str">
            <v>6300</v>
          </cell>
          <cell r="BG3355" t="str">
            <v>Z000</v>
          </cell>
          <cell r="BH3355" t="str">
            <v>CC0</v>
          </cell>
        </row>
        <row r="3356">
          <cell r="K3356">
            <v>0</v>
          </cell>
          <cell r="L3356">
            <v>0</v>
          </cell>
          <cell r="N3356">
            <v>0</v>
          </cell>
          <cell r="O3356">
            <v>0</v>
          </cell>
          <cell r="Q3356">
            <v>0</v>
          </cell>
          <cell r="R3356">
            <v>0</v>
          </cell>
          <cell r="T3356">
            <v>0</v>
          </cell>
          <cell r="U3356">
            <v>0</v>
          </cell>
          <cell r="W3356">
            <v>0</v>
          </cell>
          <cell r="X3356">
            <v>0</v>
          </cell>
          <cell r="Z3356">
            <v>0</v>
          </cell>
          <cell r="AA3356">
            <v>0</v>
          </cell>
          <cell r="AC3356">
            <v>12009.4</v>
          </cell>
          <cell r="AD3356">
            <v>0</v>
          </cell>
          <cell r="AF3356">
            <v>0</v>
          </cell>
          <cell r="AG3356">
            <v>0</v>
          </cell>
          <cell r="AI3356">
            <v>0</v>
          </cell>
          <cell r="AJ3356">
            <v>0</v>
          </cell>
          <cell r="AL3356">
            <v>0</v>
          </cell>
          <cell r="AM3356">
            <v>0</v>
          </cell>
          <cell r="AO3356">
            <v>0</v>
          </cell>
          <cell r="AP3356">
            <v>0</v>
          </cell>
          <cell r="AR3356">
            <v>0</v>
          </cell>
          <cell r="AS3356">
            <v>0</v>
          </cell>
          <cell r="BF3356" t="str">
            <v>6400</v>
          </cell>
          <cell r="BG3356" t="str">
            <v>K001</v>
          </cell>
          <cell r="BH3356" t="str">
            <v>CC0</v>
          </cell>
        </row>
        <row r="3357">
          <cell r="K3357">
            <v>0</v>
          </cell>
          <cell r="L3357">
            <v>0</v>
          </cell>
          <cell r="N3357">
            <v>0</v>
          </cell>
          <cell r="O3357">
            <v>0</v>
          </cell>
          <cell r="Q3357">
            <v>0</v>
          </cell>
          <cell r="R3357">
            <v>0</v>
          </cell>
          <cell r="T3357">
            <v>0</v>
          </cell>
          <cell r="U3357">
            <v>0</v>
          </cell>
          <cell r="W3357">
            <v>0</v>
          </cell>
          <cell r="X3357">
            <v>0</v>
          </cell>
          <cell r="Z3357">
            <v>0</v>
          </cell>
          <cell r="AA3357">
            <v>0</v>
          </cell>
          <cell r="AC3357">
            <v>80776.63</v>
          </cell>
          <cell r="AD3357">
            <v>0</v>
          </cell>
          <cell r="AF3357">
            <v>0</v>
          </cell>
          <cell r="AG3357">
            <v>0</v>
          </cell>
          <cell r="AI3357">
            <v>0</v>
          </cell>
          <cell r="AJ3357">
            <v>0</v>
          </cell>
          <cell r="AL3357">
            <v>0</v>
          </cell>
          <cell r="AM3357">
            <v>0</v>
          </cell>
          <cell r="AO3357">
            <v>0</v>
          </cell>
          <cell r="AP3357">
            <v>0</v>
          </cell>
          <cell r="AR3357">
            <v>0</v>
          </cell>
          <cell r="AS3357">
            <v>0</v>
          </cell>
          <cell r="BF3357" t="str">
            <v>6400</v>
          </cell>
          <cell r="BG3357" t="str">
            <v>K001</v>
          </cell>
          <cell r="BH3357" t="str">
            <v>CC1</v>
          </cell>
        </row>
        <row r="3358">
          <cell r="K3358">
            <v>0</v>
          </cell>
          <cell r="L3358">
            <v>0</v>
          </cell>
          <cell r="N3358">
            <v>0</v>
          </cell>
          <cell r="O3358">
            <v>0</v>
          </cell>
          <cell r="Q3358">
            <v>0</v>
          </cell>
          <cell r="R3358">
            <v>0</v>
          </cell>
          <cell r="T3358">
            <v>0</v>
          </cell>
          <cell r="U3358">
            <v>0</v>
          </cell>
          <cell r="W3358">
            <v>0</v>
          </cell>
          <cell r="X3358">
            <v>0</v>
          </cell>
          <cell r="Z3358">
            <v>0</v>
          </cell>
          <cell r="AA3358">
            <v>0</v>
          </cell>
          <cell r="AC3358">
            <v>85311.12</v>
          </cell>
          <cell r="AD3358">
            <v>0</v>
          </cell>
          <cell r="AF3358">
            <v>0</v>
          </cell>
          <cell r="AG3358">
            <v>0</v>
          </cell>
          <cell r="AI3358">
            <v>0</v>
          </cell>
          <cell r="AJ3358">
            <v>0</v>
          </cell>
          <cell r="AL3358">
            <v>0</v>
          </cell>
          <cell r="AM3358">
            <v>0</v>
          </cell>
          <cell r="AO3358">
            <v>0</v>
          </cell>
          <cell r="AP3358">
            <v>0</v>
          </cell>
          <cell r="AR3358">
            <v>0</v>
          </cell>
          <cell r="AS3358">
            <v>0</v>
          </cell>
          <cell r="BF3358" t="str">
            <v>6400</v>
          </cell>
          <cell r="BG3358" t="str">
            <v>K001</v>
          </cell>
          <cell r="BH3358" t="str">
            <v>CC2</v>
          </cell>
        </row>
        <row r="3359">
          <cell r="K3359">
            <v>0</v>
          </cell>
          <cell r="L3359">
            <v>0</v>
          </cell>
          <cell r="N3359">
            <v>0</v>
          </cell>
          <cell r="O3359">
            <v>0</v>
          </cell>
          <cell r="Q3359">
            <v>0</v>
          </cell>
          <cell r="R3359">
            <v>0</v>
          </cell>
          <cell r="T3359">
            <v>0</v>
          </cell>
          <cell r="U3359">
            <v>0</v>
          </cell>
          <cell r="W3359">
            <v>0</v>
          </cell>
          <cell r="X3359">
            <v>0</v>
          </cell>
          <cell r="Z3359">
            <v>0</v>
          </cell>
          <cell r="AA3359">
            <v>0</v>
          </cell>
          <cell r="AC3359">
            <v>48055</v>
          </cell>
          <cell r="AD3359">
            <v>0</v>
          </cell>
          <cell r="AF3359">
            <v>0</v>
          </cell>
          <cell r="AG3359">
            <v>0</v>
          </cell>
          <cell r="AI3359">
            <v>0</v>
          </cell>
          <cell r="AJ3359">
            <v>0</v>
          </cell>
          <cell r="AL3359">
            <v>0</v>
          </cell>
          <cell r="AM3359">
            <v>0</v>
          </cell>
          <cell r="AO3359">
            <v>0</v>
          </cell>
          <cell r="AP3359">
            <v>0</v>
          </cell>
          <cell r="AR3359">
            <v>0</v>
          </cell>
          <cell r="AS3359">
            <v>0</v>
          </cell>
          <cell r="BF3359" t="str">
            <v>6400</v>
          </cell>
          <cell r="BG3359" t="str">
            <v>K001</v>
          </cell>
          <cell r="BH3359" t="str">
            <v>CC3</v>
          </cell>
        </row>
        <row r="3360">
          <cell r="K3360">
            <v>0</v>
          </cell>
          <cell r="L3360">
            <v>0</v>
          </cell>
          <cell r="N3360">
            <v>0</v>
          </cell>
          <cell r="O3360">
            <v>0</v>
          </cell>
          <cell r="Q3360">
            <v>0</v>
          </cell>
          <cell r="R3360">
            <v>0</v>
          </cell>
          <cell r="T3360">
            <v>0</v>
          </cell>
          <cell r="U3360">
            <v>0</v>
          </cell>
          <cell r="W3360">
            <v>0</v>
          </cell>
          <cell r="X3360">
            <v>0</v>
          </cell>
          <cell r="Z3360">
            <v>0</v>
          </cell>
          <cell r="AA3360">
            <v>0</v>
          </cell>
          <cell r="AC3360">
            <v>44414.91</v>
          </cell>
          <cell r="AD3360">
            <v>0</v>
          </cell>
          <cell r="AF3360">
            <v>0</v>
          </cell>
          <cell r="AG3360">
            <v>0</v>
          </cell>
          <cell r="AI3360">
            <v>0</v>
          </cell>
          <cell r="AJ3360">
            <v>0</v>
          </cell>
          <cell r="AL3360">
            <v>0</v>
          </cell>
          <cell r="AM3360">
            <v>0</v>
          </cell>
          <cell r="AO3360">
            <v>0</v>
          </cell>
          <cell r="AP3360">
            <v>0</v>
          </cell>
          <cell r="AR3360">
            <v>0</v>
          </cell>
          <cell r="AS3360">
            <v>0</v>
          </cell>
          <cell r="BF3360" t="str">
            <v>6400</v>
          </cell>
          <cell r="BG3360" t="str">
            <v>K001</v>
          </cell>
          <cell r="BH3360" t="str">
            <v>CC4</v>
          </cell>
        </row>
        <row r="3361">
          <cell r="K3361">
            <v>0</v>
          </cell>
          <cell r="L3361">
            <v>0</v>
          </cell>
          <cell r="N3361">
            <v>0</v>
          </cell>
          <cell r="O3361">
            <v>0</v>
          </cell>
          <cell r="Q3361">
            <v>0</v>
          </cell>
          <cell r="R3361">
            <v>0</v>
          </cell>
          <cell r="T3361">
            <v>0</v>
          </cell>
          <cell r="U3361">
            <v>0</v>
          </cell>
          <cell r="W3361">
            <v>0</v>
          </cell>
          <cell r="X3361">
            <v>0</v>
          </cell>
          <cell r="Z3361">
            <v>0</v>
          </cell>
          <cell r="AA3361">
            <v>0</v>
          </cell>
          <cell r="AC3361">
            <v>33104.050000000003</v>
          </cell>
          <cell r="AD3361">
            <v>0</v>
          </cell>
          <cell r="AF3361">
            <v>0</v>
          </cell>
          <cell r="AG3361">
            <v>0</v>
          </cell>
          <cell r="AI3361">
            <v>0</v>
          </cell>
          <cell r="AJ3361">
            <v>0</v>
          </cell>
          <cell r="AL3361">
            <v>0</v>
          </cell>
          <cell r="AM3361">
            <v>0</v>
          </cell>
          <cell r="AO3361">
            <v>0</v>
          </cell>
          <cell r="AP3361">
            <v>0</v>
          </cell>
          <cell r="AR3361">
            <v>0</v>
          </cell>
          <cell r="AS3361">
            <v>0</v>
          </cell>
          <cell r="BF3361" t="str">
            <v>6400</v>
          </cell>
          <cell r="BG3361" t="str">
            <v>K001</v>
          </cell>
          <cell r="BH3361" t="str">
            <v>CC6</v>
          </cell>
        </row>
        <row r="3362">
          <cell r="K3362">
            <v>0</v>
          </cell>
          <cell r="L3362">
            <v>0</v>
          </cell>
          <cell r="N3362">
            <v>0</v>
          </cell>
          <cell r="O3362">
            <v>0</v>
          </cell>
          <cell r="Q3362">
            <v>0</v>
          </cell>
          <cell r="R3362">
            <v>0</v>
          </cell>
          <cell r="T3362">
            <v>0</v>
          </cell>
          <cell r="U3362">
            <v>0</v>
          </cell>
          <cell r="W3362">
            <v>0</v>
          </cell>
          <cell r="X3362">
            <v>0</v>
          </cell>
          <cell r="Z3362">
            <v>0</v>
          </cell>
          <cell r="AA3362">
            <v>0</v>
          </cell>
          <cell r="AC3362">
            <v>-12003.38</v>
          </cell>
          <cell r="AD3362">
            <v>0</v>
          </cell>
          <cell r="AF3362">
            <v>0</v>
          </cell>
          <cell r="AG3362">
            <v>0</v>
          </cell>
          <cell r="AI3362">
            <v>0</v>
          </cell>
          <cell r="AJ3362">
            <v>0</v>
          </cell>
          <cell r="AL3362">
            <v>0</v>
          </cell>
          <cell r="AM3362">
            <v>0</v>
          </cell>
          <cell r="AO3362">
            <v>0</v>
          </cell>
          <cell r="AP3362">
            <v>0</v>
          </cell>
          <cell r="AR3362">
            <v>0</v>
          </cell>
          <cell r="AS3362">
            <v>0</v>
          </cell>
          <cell r="BF3362" t="str">
            <v>6400</v>
          </cell>
          <cell r="BG3362" t="str">
            <v>K002</v>
          </cell>
          <cell r="BH3362" t="str">
            <v>CC0</v>
          </cell>
        </row>
        <row r="3363">
          <cell r="K3363">
            <v>0</v>
          </cell>
          <cell r="L3363">
            <v>0</v>
          </cell>
          <cell r="N3363">
            <v>0</v>
          </cell>
          <cell r="O3363">
            <v>0</v>
          </cell>
          <cell r="Q3363">
            <v>0</v>
          </cell>
          <cell r="R3363">
            <v>0</v>
          </cell>
          <cell r="T3363">
            <v>0</v>
          </cell>
          <cell r="U3363">
            <v>0</v>
          </cell>
          <cell r="W3363">
            <v>0</v>
          </cell>
          <cell r="X3363">
            <v>0</v>
          </cell>
          <cell r="Z3363">
            <v>0</v>
          </cell>
          <cell r="AA3363">
            <v>0</v>
          </cell>
          <cell r="AC3363">
            <v>-78820.929999999993</v>
          </cell>
          <cell r="AD3363">
            <v>0</v>
          </cell>
          <cell r="AF3363">
            <v>-69.270000000004075</v>
          </cell>
          <cell r="AG3363">
            <v>0</v>
          </cell>
          <cell r="AI3363">
            <v>-92.351874999993015</v>
          </cell>
          <cell r="AJ3363">
            <v>0</v>
          </cell>
          <cell r="AL3363">
            <v>-177.5</v>
          </cell>
          <cell r="AM3363">
            <v>0</v>
          </cell>
          <cell r="AO3363">
            <v>0</v>
          </cell>
          <cell r="AP3363">
            <v>0</v>
          </cell>
          <cell r="AR3363">
            <v>0</v>
          </cell>
          <cell r="AS3363">
            <v>0</v>
          </cell>
          <cell r="BF3363" t="str">
            <v>6400</v>
          </cell>
          <cell r="BG3363" t="str">
            <v>K002</v>
          </cell>
          <cell r="BH3363" t="str">
            <v>CC1</v>
          </cell>
        </row>
        <row r="3364">
          <cell r="K3364">
            <v>0</v>
          </cell>
          <cell r="L3364">
            <v>0</v>
          </cell>
          <cell r="N3364">
            <v>0</v>
          </cell>
          <cell r="O3364">
            <v>0</v>
          </cell>
          <cell r="Q3364">
            <v>0</v>
          </cell>
          <cell r="R3364">
            <v>0</v>
          </cell>
          <cell r="T3364">
            <v>0</v>
          </cell>
          <cell r="U3364">
            <v>0</v>
          </cell>
          <cell r="W3364">
            <v>0</v>
          </cell>
          <cell r="X3364">
            <v>0</v>
          </cell>
          <cell r="Z3364">
            <v>0</v>
          </cell>
          <cell r="AA3364">
            <v>0</v>
          </cell>
          <cell r="AC3364">
            <v>-74519.990000000005</v>
          </cell>
          <cell r="AD3364">
            <v>0</v>
          </cell>
          <cell r="AF3364">
            <v>-30.559999999997672</v>
          </cell>
          <cell r="AG3364">
            <v>0</v>
          </cell>
          <cell r="AI3364">
            <v>0</v>
          </cell>
          <cell r="AJ3364">
            <v>0</v>
          </cell>
          <cell r="AL3364">
            <v>0</v>
          </cell>
          <cell r="AM3364">
            <v>0</v>
          </cell>
          <cell r="AO3364">
            <v>0</v>
          </cell>
          <cell r="AP3364">
            <v>0</v>
          </cell>
          <cell r="AR3364">
            <v>0</v>
          </cell>
          <cell r="AS3364">
            <v>0</v>
          </cell>
          <cell r="BF3364" t="str">
            <v>6400</v>
          </cell>
          <cell r="BG3364" t="str">
            <v>K002</v>
          </cell>
          <cell r="BH3364" t="str">
            <v>CC2</v>
          </cell>
        </row>
        <row r="3365">
          <cell r="K3365">
            <v>0</v>
          </cell>
          <cell r="L3365">
            <v>0</v>
          </cell>
          <cell r="N3365">
            <v>0</v>
          </cell>
          <cell r="O3365">
            <v>0</v>
          </cell>
          <cell r="Q3365">
            <v>0</v>
          </cell>
          <cell r="R3365">
            <v>0</v>
          </cell>
          <cell r="T3365">
            <v>0</v>
          </cell>
          <cell r="U3365">
            <v>0</v>
          </cell>
          <cell r="W3365">
            <v>0</v>
          </cell>
          <cell r="X3365">
            <v>0</v>
          </cell>
          <cell r="Z3365">
            <v>0</v>
          </cell>
          <cell r="AA3365">
            <v>0</v>
          </cell>
          <cell r="AC3365">
            <v>-48039.06</v>
          </cell>
          <cell r="AD3365">
            <v>0</v>
          </cell>
          <cell r="AF3365">
            <v>-25.279999999998836</v>
          </cell>
          <cell r="AG3365">
            <v>0</v>
          </cell>
          <cell r="AI3365">
            <v>0</v>
          </cell>
          <cell r="AJ3365">
            <v>0</v>
          </cell>
          <cell r="AL3365">
            <v>0</v>
          </cell>
          <cell r="AM3365">
            <v>0</v>
          </cell>
          <cell r="AO3365">
            <v>0</v>
          </cell>
          <cell r="AP3365">
            <v>0</v>
          </cell>
          <cell r="AR3365">
            <v>0</v>
          </cell>
          <cell r="AS3365">
            <v>0</v>
          </cell>
          <cell r="BF3365" t="str">
            <v>6400</v>
          </cell>
          <cell r="BG3365" t="str">
            <v>K002</v>
          </cell>
          <cell r="BH3365" t="str">
            <v>CC3</v>
          </cell>
        </row>
        <row r="3366">
          <cell r="K3366">
            <v>0</v>
          </cell>
          <cell r="L3366">
            <v>0</v>
          </cell>
          <cell r="N3366">
            <v>0</v>
          </cell>
          <cell r="O3366">
            <v>0</v>
          </cell>
          <cell r="Q3366">
            <v>0</v>
          </cell>
          <cell r="R3366">
            <v>0</v>
          </cell>
          <cell r="T3366">
            <v>0</v>
          </cell>
          <cell r="U3366">
            <v>0</v>
          </cell>
          <cell r="W3366">
            <v>0</v>
          </cell>
          <cell r="X3366">
            <v>0</v>
          </cell>
          <cell r="Z3366">
            <v>0</v>
          </cell>
          <cell r="AA3366">
            <v>0</v>
          </cell>
          <cell r="AC3366">
            <v>-44246.38</v>
          </cell>
          <cell r="AD3366">
            <v>0</v>
          </cell>
          <cell r="AF3366">
            <v>-72.540000000000873</v>
          </cell>
          <cell r="AG3366">
            <v>0</v>
          </cell>
          <cell r="AI3366">
            <v>0</v>
          </cell>
          <cell r="AJ3366">
            <v>0</v>
          </cell>
          <cell r="AL3366">
            <v>0</v>
          </cell>
          <cell r="AM3366">
            <v>0</v>
          </cell>
          <cell r="AO3366">
            <v>0</v>
          </cell>
          <cell r="AP3366">
            <v>0</v>
          </cell>
          <cell r="AR3366">
            <v>0</v>
          </cell>
          <cell r="AS3366">
            <v>0</v>
          </cell>
          <cell r="BF3366" t="str">
            <v>6400</v>
          </cell>
          <cell r="BG3366" t="str">
            <v>K002</v>
          </cell>
          <cell r="BH3366" t="str">
            <v>CC4</v>
          </cell>
        </row>
        <row r="3367">
          <cell r="K3367">
            <v>0</v>
          </cell>
          <cell r="L3367">
            <v>0</v>
          </cell>
          <cell r="N3367">
            <v>0</v>
          </cell>
          <cell r="O3367">
            <v>0</v>
          </cell>
          <cell r="Q3367">
            <v>0</v>
          </cell>
          <cell r="R3367">
            <v>0</v>
          </cell>
          <cell r="T3367">
            <v>0</v>
          </cell>
          <cell r="U3367">
            <v>0</v>
          </cell>
          <cell r="W3367">
            <v>0</v>
          </cell>
          <cell r="X3367">
            <v>0</v>
          </cell>
          <cell r="Z3367">
            <v>0</v>
          </cell>
          <cell r="AA3367">
            <v>0</v>
          </cell>
          <cell r="AC3367">
            <v>-30136.15</v>
          </cell>
          <cell r="AD3367">
            <v>0</v>
          </cell>
          <cell r="AF3367">
            <v>-89.599999999998545</v>
          </cell>
          <cell r="AG3367">
            <v>0</v>
          </cell>
          <cell r="AI3367">
            <v>-85.154110750001564</v>
          </cell>
          <cell r="AJ3367">
            <v>0</v>
          </cell>
          <cell r="AL3367">
            <v>0</v>
          </cell>
          <cell r="AM3367">
            <v>0</v>
          </cell>
          <cell r="AO3367">
            <v>0</v>
          </cell>
          <cell r="AP3367">
            <v>0</v>
          </cell>
          <cell r="AR3367">
            <v>0</v>
          </cell>
          <cell r="AS3367">
            <v>0</v>
          </cell>
          <cell r="BF3367" t="str">
            <v>6400</v>
          </cell>
          <cell r="BG3367" t="str">
            <v>K002</v>
          </cell>
          <cell r="BH3367" t="str">
            <v>CC6</v>
          </cell>
        </row>
        <row r="3368">
          <cell r="K3368">
            <v>0</v>
          </cell>
          <cell r="L3368">
            <v>0</v>
          </cell>
          <cell r="N3368">
            <v>0</v>
          </cell>
          <cell r="O3368">
            <v>0</v>
          </cell>
          <cell r="Q3368">
            <v>0</v>
          </cell>
          <cell r="R3368">
            <v>0</v>
          </cell>
          <cell r="T3368">
            <v>0</v>
          </cell>
          <cell r="U3368">
            <v>0</v>
          </cell>
          <cell r="W3368">
            <v>0</v>
          </cell>
          <cell r="X3368">
            <v>0</v>
          </cell>
          <cell r="Z3368">
            <v>0</v>
          </cell>
          <cell r="AA3368">
            <v>0</v>
          </cell>
          <cell r="AC3368">
            <v>0</v>
          </cell>
          <cell r="AD3368">
            <v>0</v>
          </cell>
          <cell r="AF3368">
            <v>0</v>
          </cell>
          <cell r="AG3368">
            <v>0</v>
          </cell>
          <cell r="AI3368">
            <v>0</v>
          </cell>
          <cell r="AJ3368">
            <v>0</v>
          </cell>
          <cell r="AL3368">
            <v>0</v>
          </cell>
          <cell r="AM3368">
            <v>0</v>
          </cell>
          <cell r="AO3368">
            <v>0</v>
          </cell>
          <cell r="AP3368">
            <v>0</v>
          </cell>
          <cell r="AR3368">
            <v>0</v>
          </cell>
          <cell r="AS3368">
            <v>0</v>
          </cell>
          <cell r="BF3368" t="str">
            <v>6400</v>
          </cell>
          <cell r="BG3368" t="str">
            <v>Z000</v>
          </cell>
          <cell r="BH3368" t="str">
            <v>CC0</v>
          </cell>
        </row>
        <row r="3369">
          <cell r="K3369">
            <v>0</v>
          </cell>
          <cell r="L3369">
            <v>0</v>
          </cell>
          <cell r="N3369">
            <v>0</v>
          </cell>
          <cell r="O3369">
            <v>0</v>
          </cell>
          <cell r="Q3369">
            <v>0</v>
          </cell>
          <cell r="R3369">
            <v>0</v>
          </cell>
          <cell r="T3369">
            <v>0</v>
          </cell>
          <cell r="U3369">
            <v>0</v>
          </cell>
          <cell r="W3369">
            <v>0</v>
          </cell>
          <cell r="X3369">
            <v>0</v>
          </cell>
          <cell r="Z3369">
            <v>0</v>
          </cell>
          <cell r="AA3369">
            <v>0</v>
          </cell>
          <cell r="AC3369">
            <v>0</v>
          </cell>
          <cell r="AD3369">
            <v>0</v>
          </cell>
          <cell r="AF3369">
            <v>0</v>
          </cell>
          <cell r="AG3369">
            <v>0</v>
          </cell>
          <cell r="AI3369">
            <v>0</v>
          </cell>
          <cell r="AJ3369">
            <v>0</v>
          </cell>
          <cell r="AL3369">
            <v>0</v>
          </cell>
          <cell r="AM3369">
            <v>0</v>
          </cell>
          <cell r="AO3369">
            <v>0</v>
          </cell>
          <cell r="AP3369">
            <v>0</v>
          </cell>
          <cell r="AR3369">
            <v>0</v>
          </cell>
          <cell r="AS3369">
            <v>0</v>
          </cell>
          <cell r="BF3369" t="str">
            <v>6400</v>
          </cell>
          <cell r="BG3369" t="str">
            <v>Z000</v>
          </cell>
          <cell r="BH3369" t="str">
            <v>CC1</v>
          </cell>
        </row>
        <row r="3370">
          <cell r="K3370">
            <v>0</v>
          </cell>
          <cell r="L3370">
            <v>0</v>
          </cell>
          <cell r="N3370">
            <v>0</v>
          </cell>
          <cell r="O3370">
            <v>0</v>
          </cell>
          <cell r="Q3370">
            <v>0</v>
          </cell>
          <cell r="R3370">
            <v>0</v>
          </cell>
          <cell r="T3370">
            <v>0</v>
          </cell>
          <cell r="U3370">
            <v>0</v>
          </cell>
          <cell r="W3370">
            <v>0</v>
          </cell>
          <cell r="X3370">
            <v>0</v>
          </cell>
          <cell r="Z3370">
            <v>0</v>
          </cell>
          <cell r="AA3370">
            <v>0</v>
          </cell>
          <cell r="AC3370">
            <v>0</v>
          </cell>
          <cell r="AD3370">
            <v>0</v>
          </cell>
          <cell r="AF3370">
            <v>0</v>
          </cell>
          <cell r="AG3370">
            <v>0</v>
          </cell>
          <cell r="AI3370">
            <v>0</v>
          </cell>
          <cell r="AJ3370">
            <v>0</v>
          </cell>
          <cell r="AL3370">
            <v>0</v>
          </cell>
          <cell r="AM3370">
            <v>0</v>
          </cell>
          <cell r="AO3370">
            <v>0</v>
          </cell>
          <cell r="AP3370">
            <v>0</v>
          </cell>
          <cell r="AR3370">
            <v>0</v>
          </cell>
          <cell r="AS3370">
            <v>0</v>
          </cell>
          <cell r="BF3370" t="str">
            <v>6400</v>
          </cell>
          <cell r="BG3370" t="str">
            <v>Z000</v>
          </cell>
          <cell r="BH3370" t="str">
            <v>CC2</v>
          </cell>
        </row>
        <row r="3371">
          <cell r="K3371">
            <v>0</v>
          </cell>
          <cell r="L3371">
            <v>0</v>
          </cell>
          <cell r="N3371">
            <v>0</v>
          </cell>
          <cell r="O3371">
            <v>0</v>
          </cell>
          <cell r="Q3371">
            <v>0</v>
          </cell>
          <cell r="R3371">
            <v>0</v>
          </cell>
          <cell r="T3371">
            <v>0</v>
          </cell>
          <cell r="U3371">
            <v>0</v>
          </cell>
          <cell r="W3371">
            <v>0</v>
          </cell>
          <cell r="X3371">
            <v>0</v>
          </cell>
          <cell r="Z3371">
            <v>0</v>
          </cell>
          <cell r="AA3371">
            <v>0</v>
          </cell>
          <cell r="AC3371">
            <v>0</v>
          </cell>
          <cell r="AD3371">
            <v>0</v>
          </cell>
          <cell r="AF3371">
            <v>0</v>
          </cell>
          <cell r="AG3371">
            <v>0</v>
          </cell>
          <cell r="AI3371">
            <v>0</v>
          </cell>
          <cell r="AJ3371">
            <v>0</v>
          </cell>
          <cell r="AL3371">
            <v>0</v>
          </cell>
          <cell r="AM3371">
            <v>0</v>
          </cell>
          <cell r="AO3371">
            <v>0</v>
          </cell>
          <cell r="AP3371">
            <v>0</v>
          </cell>
          <cell r="AR3371">
            <v>0</v>
          </cell>
          <cell r="AS3371">
            <v>0</v>
          </cell>
          <cell r="BF3371" t="str">
            <v>6400</v>
          </cell>
          <cell r="BG3371" t="str">
            <v>Z000</v>
          </cell>
          <cell r="BH3371" t="str">
            <v>CC3</v>
          </cell>
        </row>
        <row r="3372">
          <cell r="K3372">
            <v>0</v>
          </cell>
          <cell r="L3372">
            <v>0</v>
          </cell>
          <cell r="N3372">
            <v>0</v>
          </cell>
          <cell r="O3372">
            <v>0</v>
          </cell>
          <cell r="Q3372">
            <v>0</v>
          </cell>
          <cell r="R3372">
            <v>0</v>
          </cell>
          <cell r="T3372">
            <v>0</v>
          </cell>
          <cell r="U3372">
            <v>0</v>
          </cell>
          <cell r="W3372">
            <v>0</v>
          </cell>
          <cell r="X3372">
            <v>0</v>
          </cell>
          <cell r="Z3372">
            <v>0</v>
          </cell>
          <cell r="AA3372">
            <v>0</v>
          </cell>
          <cell r="AC3372">
            <v>0</v>
          </cell>
          <cell r="AD3372">
            <v>0</v>
          </cell>
          <cell r="AF3372">
            <v>0</v>
          </cell>
          <cell r="AG3372">
            <v>0</v>
          </cell>
          <cell r="AI3372">
            <v>0</v>
          </cell>
          <cell r="AJ3372">
            <v>0</v>
          </cell>
          <cell r="AL3372">
            <v>0</v>
          </cell>
          <cell r="AM3372">
            <v>0</v>
          </cell>
          <cell r="AO3372">
            <v>0</v>
          </cell>
          <cell r="AP3372">
            <v>0</v>
          </cell>
          <cell r="AR3372">
            <v>0</v>
          </cell>
          <cell r="AS3372">
            <v>0</v>
          </cell>
          <cell r="BF3372" t="str">
            <v>6400</v>
          </cell>
          <cell r="BG3372" t="str">
            <v>Z000</v>
          </cell>
          <cell r="BH3372" t="str">
            <v>CC4</v>
          </cell>
        </row>
        <row r="3373">
          <cell r="K3373">
            <v>0</v>
          </cell>
          <cell r="L3373">
            <v>0</v>
          </cell>
          <cell r="N3373">
            <v>0</v>
          </cell>
          <cell r="O3373">
            <v>0</v>
          </cell>
          <cell r="Q3373">
            <v>0</v>
          </cell>
          <cell r="R3373">
            <v>0</v>
          </cell>
          <cell r="T3373">
            <v>0</v>
          </cell>
          <cell r="U3373">
            <v>0</v>
          </cell>
          <cell r="W3373">
            <v>0</v>
          </cell>
          <cell r="X3373">
            <v>0</v>
          </cell>
          <cell r="Z3373">
            <v>0</v>
          </cell>
          <cell r="AA3373">
            <v>0</v>
          </cell>
          <cell r="AC3373">
            <v>0</v>
          </cell>
          <cell r="AD3373">
            <v>0</v>
          </cell>
          <cell r="AF3373">
            <v>0</v>
          </cell>
          <cell r="AG3373">
            <v>0</v>
          </cell>
          <cell r="AI3373">
            <v>0</v>
          </cell>
          <cell r="AJ3373">
            <v>0</v>
          </cell>
          <cell r="AL3373">
            <v>0</v>
          </cell>
          <cell r="AM3373">
            <v>0</v>
          </cell>
          <cell r="AO3373">
            <v>0</v>
          </cell>
          <cell r="AP3373">
            <v>0</v>
          </cell>
          <cell r="AR3373">
            <v>0</v>
          </cell>
          <cell r="AS3373">
            <v>0</v>
          </cell>
          <cell r="BF3373" t="str">
            <v>6400</v>
          </cell>
          <cell r="BG3373" t="str">
            <v>Z000</v>
          </cell>
          <cell r="BH3373" t="str">
            <v>CC6</v>
          </cell>
        </row>
        <row r="3374">
          <cell r="K3374">
            <v>0</v>
          </cell>
          <cell r="L3374">
            <v>0</v>
          </cell>
          <cell r="N3374">
            <v>0</v>
          </cell>
          <cell r="O3374">
            <v>0</v>
          </cell>
          <cell r="Q3374">
            <v>0</v>
          </cell>
          <cell r="R3374">
            <v>0</v>
          </cell>
          <cell r="T3374">
            <v>0</v>
          </cell>
          <cell r="U3374">
            <v>0</v>
          </cell>
          <cell r="W3374">
            <v>0</v>
          </cell>
          <cell r="X3374">
            <v>0</v>
          </cell>
          <cell r="Z3374">
            <v>0</v>
          </cell>
          <cell r="AA3374">
            <v>0</v>
          </cell>
          <cell r="AC3374">
            <v>90918</v>
          </cell>
          <cell r="AD3374">
            <v>0</v>
          </cell>
          <cell r="AF3374">
            <v>0</v>
          </cell>
          <cell r="AG3374">
            <v>0</v>
          </cell>
          <cell r="AI3374">
            <v>0</v>
          </cell>
          <cell r="AJ3374">
            <v>0</v>
          </cell>
          <cell r="AL3374">
            <v>0</v>
          </cell>
          <cell r="AM3374">
            <v>0</v>
          </cell>
          <cell r="AO3374">
            <v>0</v>
          </cell>
          <cell r="AP3374">
            <v>0</v>
          </cell>
          <cell r="AR3374">
            <v>0</v>
          </cell>
          <cell r="AS3374">
            <v>0</v>
          </cell>
          <cell r="BF3374" t="str">
            <v>6600</v>
          </cell>
          <cell r="BG3374" t="str">
            <v>K001</v>
          </cell>
          <cell r="BH3374" t="str">
            <v>CC1</v>
          </cell>
        </row>
        <row r="3375">
          <cell r="K3375">
            <v>0</v>
          </cell>
          <cell r="L3375">
            <v>0</v>
          </cell>
          <cell r="N3375">
            <v>0</v>
          </cell>
          <cell r="O3375">
            <v>0</v>
          </cell>
          <cell r="Q3375">
            <v>0</v>
          </cell>
          <cell r="R3375">
            <v>0</v>
          </cell>
          <cell r="T3375">
            <v>0</v>
          </cell>
          <cell r="U3375">
            <v>0</v>
          </cell>
          <cell r="W3375">
            <v>0</v>
          </cell>
          <cell r="X3375">
            <v>0</v>
          </cell>
          <cell r="Z3375">
            <v>0</v>
          </cell>
          <cell r="AA3375">
            <v>0</v>
          </cell>
          <cell r="AC3375">
            <v>44335.41</v>
          </cell>
          <cell r="AD3375">
            <v>0</v>
          </cell>
          <cell r="AF3375">
            <v>0</v>
          </cell>
          <cell r="AG3375">
            <v>0</v>
          </cell>
          <cell r="AI3375">
            <v>0</v>
          </cell>
          <cell r="AJ3375">
            <v>0</v>
          </cell>
          <cell r="AL3375">
            <v>0</v>
          </cell>
          <cell r="AM3375">
            <v>0</v>
          </cell>
          <cell r="AO3375">
            <v>0</v>
          </cell>
          <cell r="AP3375">
            <v>0</v>
          </cell>
          <cell r="AR3375">
            <v>0</v>
          </cell>
          <cell r="AS3375">
            <v>0</v>
          </cell>
          <cell r="BF3375" t="str">
            <v>6600</v>
          </cell>
          <cell r="BG3375" t="str">
            <v>K001</v>
          </cell>
          <cell r="BH3375" t="str">
            <v>CC2</v>
          </cell>
        </row>
        <row r="3376">
          <cell r="K3376">
            <v>0</v>
          </cell>
          <cell r="L3376">
            <v>0</v>
          </cell>
          <cell r="N3376">
            <v>0</v>
          </cell>
          <cell r="O3376">
            <v>0</v>
          </cell>
          <cell r="Q3376">
            <v>0</v>
          </cell>
          <cell r="R3376">
            <v>0</v>
          </cell>
          <cell r="T3376">
            <v>0</v>
          </cell>
          <cell r="U3376">
            <v>0</v>
          </cell>
          <cell r="W3376">
            <v>0</v>
          </cell>
          <cell r="X3376">
            <v>0</v>
          </cell>
          <cell r="Z3376">
            <v>0</v>
          </cell>
          <cell r="AA3376">
            <v>0</v>
          </cell>
          <cell r="AC3376">
            <v>7436</v>
          </cell>
          <cell r="AD3376">
            <v>0</v>
          </cell>
          <cell r="AF3376">
            <v>0</v>
          </cell>
          <cell r="AG3376">
            <v>0</v>
          </cell>
          <cell r="AI3376">
            <v>0</v>
          </cell>
          <cell r="AJ3376">
            <v>0</v>
          </cell>
          <cell r="AL3376">
            <v>0</v>
          </cell>
          <cell r="AM3376">
            <v>0</v>
          </cell>
          <cell r="AO3376">
            <v>0</v>
          </cell>
          <cell r="AP3376">
            <v>0</v>
          </cell>
          <cell r="AR3376">
            <v>0</v>
          </cell>
          <cell r="AS3376">
            <v>0</v>
          </cell>
          <cell r="BF3376" t="str">
            <v>6600</v>
          </cell>
          <cell r="BG3376" t="str">
            <v>K001</v>
          </cell>
          <cell r="BH3376" t="str">
            <v>CC3</v>
          </cell>
        </row>
        <row r="3377">
          <cell r="K3377">
            <v>0</v>
          </cell>
          <cell r="L3377">
            <v>0</v>
          </cell>
          <cell r="N3377">
            <v>0</v>
          </cell>
          <cell r="O3377">
            <v>0</v>
          </cell>
          <cell r="Q3377">
            <v>0</v>
          </cell>
          <cell r="R3377">
            <v>0</v>
          </cell>
          <cell r="T3377">
            <v>0</v>
          </cell>
          <cell r="U3377">
            <v>0</v>
          </cell>
          <cell r="W3377">
            <v>0</v>
          </cell>
          <cell r="X3377">
            <v>0</v>
          </cell>
          <cell r="Z3377">
            <v>0</v>
          </cell>
          <cell r="AA3377">
            <v>0</v>
          </cell>
          <cell r="AC3377">
            <v>24103.200000000001</v>
          </cell>
          <cell r="AD3377">
            <v>0</v>
          </cell>
          <cell r="AF3377">
            <v>0</v>
          </cell>
          <cell r="AG3377">
            <v>0</v>
          </cell>
          <cell r="AI3377">
            <v>0</v>
          </cell>
          <cell r="AJ3377">
            <v>0</v>
          </cell>
          <cell r="AL3377">
            <v>0</v>
          </cell>
          <cell r="AM3377">
            <v>0</v>
          </cell>
          <cell r="AO3377">
            <v>0</v>
          </cell>
          <cell r="AP3377">
            <v>0</v>
          </cell>
          <cell r="AR3377">
            <v>0</v>
          </cell>
          <cell r="AS3377">
            <v>0</v>
          </cell>
          <cell r="BF3377" t="str">
            <v>6600</v>
          </cell>
          <cell r="BG3377" t="str">
            <v>K001</v>
          </cell>
          <cell r="BH3377" t="str">
            <v>CC4</v>
          </cell>
        </row>
        <row r="3378">
          <cell r="K3378">
            <v>0</v>
          </cell>
          <cell r="L3378">
            <v>0</v>
          </cell>
          <cell r="N3378">
            <v>0</v>
          </cell>
          <cell r="O3378">
            <v>0</v>
          </cell>
          <cell r="Q3378">
            <v>0</v>
          </cell>
          <cell r="R3378">
            <v>0</v>
          </cell>
          <cell r="T3378">
            <v>0</v>
          </cell>
          <cell r="U3378">
            <v>0</v>
          </cell>
          <cell r="W3378">
            <v>0</v>
          </cell>
          <cell r="X3378">
            <v>0</v>
          </cell>
          <cell r="Z3378">
            <v>0</v>
          </cell>
          <cell r="AA3378">
            <v>0</v>
          </cell>
          <cell r="AC3378">
            <v>13062.22</v>
          </cell>
          <cell r="AD3378">
            <v>0</v>
          </cell>
          <cell r="AF3378">
            <v>0</v>
          </cell>
          <cell r="AG3378">
            <v>0</v>
          </cell>
          <cell r="AI3378">
            <v>0</v>
          </cell>
          <cell r="AJ3378">
            <v>0</v>
          </cell>
          <cell r="AL3378">
            <v>0</v>
          </cell>
          <cell r="AM3378">
            <v>0</v>
          </cell>
          <cell r="AO3378">
            <v>0</v>
          </cell>
          <cell r="AP3378">
            <v>0</v>
          </cell>
          <cell r="AR3378">
            <v>0</v>
          </cell>
          <cell r="AS3378">
            <v>0</v>
          </cell>
          <cell r="BF3378" t="str">
            <v>6600</v>
          </cell>
          <cell r="BG3378" t="str">
            <v>K001</v>
          </cell>
          <cell r="BH3378" t="str">
            <v>CC6</v>
          </cell>
        </row>
        <row r="3379">
          <cell r="K3379">
            <v>0</v>
          </cell>
          <cell r="L3379">
            <v>0</v>
          </cell>
          <cell r="N3379">
            <v>0</v>
          </cell>
          <cell r="O3379">
            <v>0</v>
          </cell>
          <cell r="Q3379">
            <v>0</v>
          </cell>
          <cell r="R3379">
            <v>0</v>
          </cell>
          <cell r="T3379">
            <v>0</v>
          </cell>
          <cell r="U3379">
            <v>0</v>
          </cell>
          <cell r="W3379">
            <v>0</v>
          </cell>
          <cell r="X3379">
            <v>0</v>
          </cell>
          <cell r="Z3379">
            <v>0</v>
          </cell>
          <cell r="AA3379">
            <v>0</v>
          </cell>
          <cell r="AC3379">
            <v>-90901.98</v>
          </cell>
          <cell r="AD3379">
            <v>0</v>
          </cell>
          <cell r="AF3379">
            <v>0</v>
          </cell>
          <cell r="AG3379">
            <v>0</v>
          </cell>
          <cell r="AI3379">
            <v>0</v>
          </cell>
          <cell r="AJ3379">
            <v>0</v>
          </cell>
          <cell r="AL3379">
            <v>0</v>
          </cell>
          <cell r="AM3379">
            <v>0</v>
          </cell>
          <cell r="AO3379">
            <v>0</v>
          </cell>
          <cell r="AP3379">
            <v>0</v>
          </cell>
          <cell r="AR3379">
            <v>0</v>
          </cell>
          <cell r="AS3379">
            <v>0</v>
          </cell>
          <cell r="BF3379" t="str">
            <v>6600</v>
          </cell>
          <cell r="BG3379" t="str">
            <v>K002</v>
          </cell>
          <cell r="BH3379" t="str">
            <v>CC1</v>
          </cell>
        </row>
        <row r="3380">
          <cell r="K3380">
            <v>0</v>
          </cell>
          <cell r="L3380">
            <v>0</v>
          </cell>
          <cell r="N3380">
            <v>0</v>
          </cell>
          <cell r="O3380">
            <v>0</v>
          </cell>
          <cell r="Q3380">
            <v>0</v>
          </cell>
          <cell r="R3380">
            <v>0</v>
          </cell>
          <cell r="T3380">
            <v>0</v>
          </cell>
          <cell r="U3380">
            <v>0</v>
          </cell>
          <cell r="W3380">
            <v>0</v>
          </cell>
          <cell r="X3380">
            <v>0</v>
          </cell>
          <cell r="Z3380">
            <v>0</v>
          </cell>
          <cell r="AA3380">
            <v>0</v>
          </cell>
          <cell r="AC3380">
            <v>-44334.41</v>
          </cell>
          <cell r="AD3380">
            <v>0</v>
          </cell>
          <cell r="AF3380">
            <v>0</v>
          </cell>
          <cell r="AG3380">
            <v>0</v>
          </cell>
          <cell r="AI3380">
            <v>0</v>
          </cell>
          <cell r="AJ3380">
            <v>0</v>
          </cell>
          <cell r="AL3380">
            <v>0</v>
          </cell>
          <cell r="AM3380">
            <v>0</v>
          </cell>
          <cell r="AO3380">
            <v>0</v>
          </cell>
          <cell r="AP3380">
            <v>0</v>
          </cell>
          <cell r="AR3380">
            <v>0</v>
          </cell>
          <cell r="AS3380">
            <v>0</v>
          </cell>
          <cell r="BF3380" t="str">
            <v>6600</v>
          </cell>
          <cell r="BG3380" t="str">
            <v>K002</v>
          </cell>
          <cell r="BH3380" t="str">
            <v>CC2</v>
          </cell>
        </row>
        <row r="3381">
          <cell r="K3381">
            <v>0</v>
          </cell>
          <cell r="L3381">
            <v>0</v>
          </cell>
          <cell r="N3381">
            <v>0</v>
          </cell>
          <cell r="O3381">
            <v>0</v>
          </cell>
          <cell r="Q3381">
            <v>0</v>
          </cell>
          <cell r="R3381">
            <v>0</v>
          </cell>
          <cell r="T3381">
            <v>0</v>
          </cell>
          <cell r="U3381">
            <v>0</v>
          </cell>
          <cell r="W3381">
            <v>0</v>
          </cell>
          <cell r="X3381">
            <v>0</v>
          </cell>
          <cell r="Z3381">
            <v>0</v>
          </cell>
          <cell r="AA3381">
            <v>0</v>
          </cell>
          <cell r="AC3381">
            <v>-7434</v>
          </cell>
          <cell r="AD3381">
            <v>0</v>
          </cell>
          <cell r="AF3381">
            <v>0</v>
          </cell>
          <cell r="AG3381">
            <v>0</v>
          </cell>
          <cell r="AI3381">
            <v>0</v>
          </cell>
          <cell r="AJ3381">
            <v>0</v>
          </cell>
          <cell r="AL3381">
            <v>0</v>
          </cell>
          <cell r="AM3381">
            <v>0</v>
          </cell>
          <cell r="AO3381">
            <v>0</v>
          </cell>
          <cell r="AP3381">
            <v>0</v>
          </cell>
          <cell r="AR3381">
            <v>0</v>
          </cell>
          <cell r="AS3381">
            <v>0</v>
          </cell>
          <cell r="BF3381" t="str">
            <v>6600</v>
          </cell>
          <cell r="BG3381" t="str">
            <v>K002</v>
          </cell>
          <cell r="BH3381" t="str">
            <v>CC3</v>
          </cell>
        </row>
        <row r="3382">
          <cell r="K3382">
            <v>0</v>
          </cell>
          <cell r="L3382">
            <v>0</v>
          </cell>
          <cell r="N3382">
            <v>0</v>
          </cell>
          <cell r="O3382">
            <v>0</v>
          </cell>
          <cell r="Q3382">
            <v>0</v>
          </cell>
          <cell r="R3382">
            <v>0</v>
          </cell>
          <cell r="T3382">
            <v>0</v>
          </cell>
          <cell r="U3382">
            <v>0</v>
          </cell>
          <cell r="W3382">
            <v>0</v>
          </cell>
          <cell r="X3382">
            <v>0</v>
          </cell>
          <cell r="Z3382">
            <v>0</v>
          </cell>
          <cell r="AA3382">
            <v>0</v>
          </cell>
          <cell r="AC3382">
            <v>-24100.21</v>
          </cell>
          <cell r="AD3382">
            <v>0</v>
          </cell>
          <cell r="AF3382">
            <v>0</v>
          </cell>
          <cell r="AG3382">
            <v>0</v>
          </cell>
          <cell r="AI3382">
            <v>0</v>
          </cell>
          <cell r="AJ3382">
            <v>0</v>
          </cell>
          <cell r="AL3382">
            <v>0</v>
          </cell>
          <cell r="AM3382">
            <v>0</v>
          </cell>
          <cell r="AO3382">
            <v>0</v>
          </cell>
          <cell r="AP3382">
            <v>0</v>
          </cell>
          <cell r="AR3382">
            <v>0</v>
          </cell>
          <cell r="AS3382">
            <v>0</v>
          </cell>
          <cell r="BF3382" t="str">
            <v>6600</v>
          </cell>
          <cell r="BG3382" t="str">
            <v>K002</v>
          </cell>
          <cell r="BH3382" t="str">
            <v>CC4</v>
          </cell>
        </row>
        <row r="3383">
          <cell r="K3383">
            <v>0</v>
          </cell>
          <cell r="L3383">
            <v>0</v>
          </cell>
          <cell r="N3383">
            <v>0</v>
          </cell>
          <cell r="O3383">
            <v>0</v>
          </cell>
          <cell r="Q3383">
            <v>0</v>
          </cell>
          <cell r="R3383">
            <v>0</v>
          </cell>
          <cell r="T3383">
            <v>0</v>
          </cell>
          <cell r="U3383">
            <v>0</v>
          </cell>
          <cell r="W3383">
            <v>0</v>
          </cell>
          <cell r="X3383">
            <v>0</v>
          </cell>
          <cell r="Z3383">
            <v>0</v>
          </cell>
          <cell r="AA3383">
            <v>0</v>
          </cell>
          <cell r="AC3383">
            <v>-13058.23</v>
          </cell>
          <cell r="AD3383">
            <v>0</v>
          </cell>
          <cell r="AF3383">
            <v>0</v>
          </cell>
          <cell r="AG3383">
            <v>0</v>
          </cell>
          <cell r="AI3383">
            <v>0</v>
          </cell>
          <cell r="AJ3383">
            <v>0</v>
          </cell>
          <cell r="AL3383">
            <v>0</v>
          </cell>
          <cell r="AM3383">
            <v>0</v>
          </cell>
          <cell r="AO3383">
            <v>0</v>
          </cell>
          <cell r="AP3383">
            <v>0</v>
          </cell>
          <cell r="AR3383">
            <v>0</v>
          </cell>
          <cell r="AS3383">
            <v>0</v>
          </cell>
          <cell r="BF3383" t="str">
            <v>6600</v>
          </cell>
          <cell r="BG3383" t="str">
            <v>K002</v>
          </cell>
          <cell r="BH3383" t="str">
            <v>CC6</v>
          </cell>
        </row>
        <row r="3384">
          <cell r="K3384">
            <v>0</v>
          </cell>
          <cell r="L3384">
            <v>0</v>
          </cell>
          <cell r="N3384">
            <v>0</v>
          </cell>
          <cell r="O3384">
            <v>0</v>
          </cell>
          <cell r="Q3384">
            <v>0</v>
          </cell>
          <cell r="R3384">
            <v>0</v>
          </cell>
          <cell r="T3384">
            <v>0</v>
          </cell>
          <cell r="U3384">
            <v>0</v>
          </cell>
          <cell r="W3384">
            <v>0</v>
          </cell>
          <cell r="X3384">
            <v>0</v>
          </cell>
          <cell r="Z3384">
            <v>0</v>
          </cell>
          <cell r="AA3384">
            <v>0</v>
          </cell>
          <cell r="AC3384">
            <v>0</v>
          </cell>
          <cell r="AD3384">
            <v>0</v>
          </cell>
          <cell r="AF3384">
            <v>0</v>
          </cell>
          <cell r="AG3384">
            <v>0</v>
          </cell>
          <cell r="AI3384">
            <v>0</v>
          </cell>
          <cell r="AJ3384">
            <v>0</v>
          </cell>
          <cell r="AL3384">
            <v>0</v>
          </cell>
          <cell r="AM3384">
            <v>0</v>
          </cell>
          <cell r="AO3384">
            <v>0</v>
          </cell>
          <cell r="AP3384">
            <v>0</v>
          </cell>
          <cell r="AR3384">
            <v>0</v>
          </cell>
          <cell r="AS3384">
            <v>0</v>
          </cell>
          <cell r="BF3384" t="str">
            <v>6600</v>
          </cell>
          <cell r="BG3384" t="str">
            <v>Z000</v>
          </cell>
          <cell r="BH3384" t="str">
            <v>CC1</v>
          </cell>
        </row>
        <row r="3385">
          <cell r="K3385">
            <v>0</v>
          </cell>
          <cell r="L3385">
            <v>0</v>
          </cell>
          <cell r="N3385">
            <v>0</v>
          </cell>
          <cell r="O3385">
            <v>0</v>
          </cell>
          <cell r="Q3385">
            <v>0</v>
          </cell>
          <cell r="R3385">
            <v>0</v>
          </cell>
          <cell r="T3385">
            <v>0</v>
          </cell>
          <cell r="U3385">
            <v>0</v>
          </cell>
          <cell r="W3385">
            <v>0</v>
          </cell>
          <cell r="X3385">
            <v>0</v>
          </cell>
          <cell r="Z3385">
            <v>0</v>
          </cell>
          <cell r="AA3385">
            <v>0</v>
          </cell>
          <cell r="AC3385">
            <v>0</v>
          </cell>
          <cell r="AD3385">
            <v>0</v>
          </cell>
          <cell r="AF3385">
            <v>0</v>
          </cell>
          <cell r="AG3385">
            <v>0</v>
          </cell>
          <cell r="AI3385">
            <v>0</v>
          </cell>
          <cell r="AJ3385">
            <v>0</v>
          </cell>
          <cell r="AL3385">
            <v>0</v>
          </cell>
          <cell r="AM3385">
            <v>0</v>
          </cell>
          <cell r="AO3385">
            <v>0</v>
          </cell>
          <cell r="AP3385">
            <v>0</v>
          </cell>
          <cell r="AR3385">
            <v>0</v>
          </cell>
          <cell r="AS3385">
            <v>0</v>
          </cell>
          <cell r="BF3385" t="str">
            <v>6600</v>
          </cell>
          <cell r="BG3385" t="str">
            <v>Z000</v>
          </cell>
          <cell r="BH3385" t="str">
            <v>CC2</v>
          </cell>
        </row>
        <row r="3386">
          <cell r="K3386">
            <v>0</v>
          </cell>
          <cell r="L3386">
            <v>0</v>
          </cell>
          <cell r="N3386">
            <v>0</v>
          </cell>
          <cell r="O3386">
            <v>0</v>
          </cell>
          <cell r="Q3386">
            <v>0</v>
          </cell>
          <cell r="R3386">
            <v>0</v>
          </cell>
          <cell r="T3386">
            <v>0</v>
          </cell>
          <cell r="U3386">
            <v>0</v>
          </cell>
          <cell r="W3386">
            <v>0</v>
          </cell>
          <cell r="X3386">
            <v>0</v>
          </cell>
          <cell r="Z3386">
            <v>0</v>
          </cell>
          <cell r="AA3386">
            <v>0</v>
          </cell>
          <cell r="AC3386">
            <v>0</v>
          </cell>
          <cell r="AD3386">
            <v>0</v>
          </cell>
          <cell r="AF3386">
            <v>0</v>
          </cell>
          <cell r="AG3386">
            <v>0</v>
          </cell>
          <cell r="AI3386">
            <v>0</v>
          </cell>
          <cell r="AJ3386">
            <v>0</v>
          </cell>
          <cell r="AL3386">
            <v>0</v>
          </cell>
          <cell r="AM3386">
            <v>0</v>
          </cell>
          <cell r="AO3386">
            <v>0</v>
          </cell>
          <cell r="AP3386">
            <v>0</v>
          </cell>
          <cell r="AR3386">
            <v>0</v>
          </cell>
          <cell r="AS3386">
            <v>0</v>
          </cell>
          <cell r="BF3386" t="str">
            <v>6600</v>
          </cell>
          <cell r="BG3386" t="str">
            <v>Z000</v>
          </cell>
          <cell r="BH3386" t="str">
            <v>CC3</v>
          </cell>
        </row>
        <row r="3387">
          <cell r="K3387">
            <v>0</v>
          </cell>
          <cell r="L3387">
            <v>0</v>
          </cell>
          <cell r="N3387">
            <v>0</v>
          </cell>
          <cell r="O3387">
            <v>0</v>
          </cell>
          <cell r="Q3387">
            <v>0</v>
          </cell>
          <cell r="R3387">
            <v>0</v>
          </cell>
          <cell r="T3387">
            <v>0</v>
          </cell>
          <cell r="U3387">
            <v>0</v>
          </cell>
          <cell r="W3387">
            <v>0</v>
          </cell>
          <cell r="X3387">
            <v>0</v>
          </cell>
          <cell r="Z3387">
            <v>0</v>
          </cell>
          <cell r="AA3387">
            <v>0</v>
          </cell>
          <cell r="AC3387">
            <v>0</v>
          </cell>
          <cell r="AD3387">
            <v>0</v>
          </cell>
          <cell r="AF3387">
            <v>0</v>
          </cell>
          <cell r="AG3387">
            <v>0</v>
          </cell>
          <cell r="AI3387">
            <v>0</v>
          </cell>
          <cell r="AJ3387">
            <v>0</v>
          </cell>
          <cell r="AL3387">
            <v>0</v>
          </cell>
          <cell r="AM3387">
            <v>0</v>
          </cell>
          <cell r="AO3387">
            <v>0</v>
          </cell>
          <cell r="AP3387">
            <v>0</v>
          </cell>
          <cell r="AR3387">
            <v>0</v>
          </cell>
          <cell r="AS3387">
            <v>0</v>
          </cell>
          <cell r="BF3387" t="str">
            <v>6600</v>
          </cell>
          <cell r="BG3387" t="str">
            <v>Z000</v>
          </cell>
          <cell r="BH3387" t="str">
            <v>CC4</v>
          </cell>
        </row>
        <row r="3388">
          <cell r="K3388">
            <v>0</v>
          </cell>
          <cell r="L3388">
            <v>0</v>
          </cell>
          <cell r="N3388">
            <v>0</v>
          </cell>
          <cell r="O3388">
            <v>0</v>
          </cell>
          <cell r="Q3388">
            <v>0</v>
          </cell>
          <cell r="R3388">
            <v>0</v>
          </cell>
          <cell r="T3388">
            <v>0</v>
          </cell>
          <cell r="U3388">
            <v>0</v>
          </cell>
          <cell r="W3388">
            <v>0</v>
          </cell>
          <cell r="X3388">
            <v>0</v>
          </cell>
          <cell r="Z3388">
            <v>0</v>
          </cell>
          <cell r="AA3388">
            <v>0</v>
          </cell>
          <cell r="AC3388">
            <v>0</v>
          </cell>
          <cell r="AD3388">
            <v>0</v>
          </cell>
          <cell r="AF3388">
            <v>0</v>
          </cell>
          <cell r="AG3388">
            <v>0</v>
          </cell>
          <cell r="AI3388">
            <v>0</v>
          </cell>
          <cell r="AJ3388">
            <v>0</v>
          </cell>
          <cell r="AL3388">
            <v>0</v>
          </cell>
          <cell r="AM3388">
            <v>0</v>
          </cell>
          <cell r="AO3388">
            <v>0</v>
          </cell>
          <cell r="AP3388">
            <v>0</v>
          </cell>
          <cell r="AR3388">
            <v>0</v>
          </cell>
          <cell r="AS3388">
            <v>0</v>
          </cell>
          <cell r="BF3388" t="str">
            <v>6600</v>
          </cell>
          <cell r="BG3388" t="str">
            <v>Z000</v>
          </cell>
          <cell r="BH3388" t="str">
            <v>CC6</v>
          </cell>
        </row>
        <row r="3389">
          <cell r="K3389">
            <v>0</v>
          </cell>
          <cell r="L3389">
            <v>0</v>
          </cell>
          <cell r="N3389">
            <v>0</v>
          </cell>
          <cell r="O3389">
            <v>0</v>
          </cell>
          <cell r="Q3389">
            <v>0</v>
          </cell>
          <cell r="R3389">
            <v>0</v>
          </cell>
          <cell r="T3389">
            <v>0</v>
          </cell>
          <cell r="U3389">
            <v>0</v>
          </cell>
          <cell r="W3389">
            <v>0</v>
          </cell>
          <cell r="X3389">
            <v>0</v>
          </cell>
          <cell r="Z3389">
            <v>0</v>
          </cell>
          <cell r="AA3389">
            <v>0</v>
          </cell>
          <cell r="AC3389">
            <v>0</v>
          </cell>
          <cell r="AD3389">
            <v>0</v>
          </cell>
          <cell r="AF3389">
            <v>0</v>
          </cell>
          <cell r="AG3389">
            <v>0</v>
          </cell>
          <cell r="AI3389">
            <v>0</v>
          </cell>
          <cell r="AJ3389">
            <v>0</v>
          </cell>
          <cell r="AL3389">
            <v>0</v>
          </cell>
          <cell r="AM3389">
            <v>0</v>
          </cell>
          <cell r="AO3389">
            <v>0</v>
          </cell>
          <cell r="AP3389">
            <v>0</v>
          </cell>
          <cell r="AR3389">
            <v>0</v>
          </cell>
          <cell r="AS3389">
            <v>0</v>
          </cell>
          <cell r="BF3389" t="str">
            <v>7100</v>
          </cell>
          <cell r="BG3389" t="str">
            <v>Z000</v>
          </cell>
          <cell r="BH3389" t="str">
            <v>CC0</v>
          </cell>
        </row>
        <row r="3390">
          <cell r="K3390">
            <v>0</v>
          </cell>
          <cell r="L3390">
            <v>0</v>
          </cell>
          <cell r="N3390">
            <v>0</v>
          </cell>
          <cell r="O3390">
            <v>0</v>
          </cell>
          <cell r="Q3390">
            <v>0</v>
          </cell>
          <cell r="R3390">
            <v>0</v>
          </cell>
          <cell r="T3390">
            <v>0</v>
          </cell>
          <cell r="U3390">
            <v>0</v>
          </cell>
          <cell r="W3390">
            <v>0</v>
          </cell>
          <cell r="X3390">
            <v>0</v>
          </cell>
          <cell r="Z3390">
            <v>0</v>
          </cell>
          <cell r="AA3390">
            <v>0</v>
          </cell>
          <cell r="AC3390">
            <v>22917.5</v>
          </cell>
          <cell r="AD3390">
            <v>0</v>
          </cell>
          <cell r="AF3390">
            <v>1933.3000000000065</v>
          </cell>
          <cell r="AG3390">
            <v>0</v>
          </cell>
          <cell r="AI3390">
            <v>-5984.9999999999964</v>
          </cell>
          <cell r="AJ3390">
            <v>0</v>
          </cell>
          <cell r="AL3390">
            <v>-4322.4999999999927</v>
          </cell>
          <cell r="AM3390">
            <v>0</v>
          </cell>
          <cell r="AO3390">
            <v>-4093.3300000000017</v>
          </cell>
          <cell r="AP3390">
            <v>0</v>
          </cell>
          <cell r="AR3390">
            <v>10078.330000000002</v>
          </cell>
          <cell r="AS3390">
            <v>0</v>
          </cell>
          <cell r="BF3390" t="str">
            <v>7300</v>
          </cell>
          <cell r="BG3390" t="str">
            <v>Z000</v>
          </cell>
          <cell r="BH3390" t="str">
            <v>CC0</v>
          </cell>
        </row>
        <row r="3391">
          <cell r="K3391">
            <v>0</v>
          </cell>
          <cell r="L3391">
            <v>0</v>
          </cell>
          <cell r="N3391">
            <v>0</v>
          </cell>
          <cell r="O3391">
            <v>0</v>
          </cell>
          <cell r="Q3391">
            <v>0</v>
          </cell>
          <cell r="R3391">
            <v>0</v>
          </cell>
          <cell r="T3391">
            <v>0</v>
          </cell>
          <cell r="U3391">
            <v>0</v>
          </cell>
          <cell r="W3391">
            <v>0</v>
          </cell>
          <cell r="X3391">
            <v>0</v>
          </cell>
          <cell r="Z3391">
            <v>0</v>
          </cell>
          <cell r="AA3391">
            <v>0</v>
          </cell>
          <cell r="AC3391">
            <v>8000</v>
          </cell>
          <cell r="AD3391">
            <v>0</v>
          </cell>
          <cell r="AF3391">
            <v>0</v>
          </cell>
          <cell r="AG3391">
            <v>0</v>
          </cell>
          <cell r="AI3391">
            <v>0</v>
          </cell>
          <cell r="AJ3391">
            <v>0</v>
          </cell>
          <cell r="AL3391">
            <v>-3517.45</v>
          </cell>
          <cell r="AM3391">
            <v>0</v>
          </cell>
          <cell r="AO3391">
            <v>0</v>
          </cell>
          <cell r="AP3391">
            <v>0</v>
          </cell>
          <cell r="AR3391">
            <v>0</v>
          </cell>
          <cell r="AS3391">
            <v>0</v>
          </cell>
          <cell r="BF3391" t="str">
            <v>7350</v>
          </cell>
          <cell r="BG3391" t="str">
            <v>Z000</v>
          </cell>
          <cell r="BH3391" t="str">
            <v>CC0</v>
          </cell>
        </row>
        <row r="3392">
          <cell r="K3392">
            <v>0</v>
          </cell>
          <cell r="L3392">
            <v>0</v>
          </cell>
          <cell r="N3392">
            <v>0</v>
          </cell>
          <cell r="O3392">
            <v>0</v>
          </cell>
          <cell r="Q3392">
            <v>0</v>
          </cell>
          <cell r="R3392">
            <v>0</v>
          </cell>
          <cell r="T3392">
            <v>0</v>
          </cell>
          <cell r="U3392">
            <v>0</v>
          </cell>
          <cell r="W3392">
            <v>0</v>
          </cell>
          <cell r="X3392">
            <v>0</v>
          </cell>
          <cell r="Z3392">
            <v>0</v>
          </cell>
          <cell r="AA3392">
            <v>0</v>
          </cell>
          <cell r="AC3392">
            <v>21647.45</v>
          </cell>
          <cell r="AD3392">
            <v>0</v>
          </cell>
          <cell r="AF3392">
            <v>0</v>
          </cell>
          <cell r="AG3392">
            <v>0</v>
          </cell>
          <cell r="AI3392">
            <v>0</v>
          </cell>
          <cell r="AJ3392">
            <v>0</v>
          </cell>
          <cell r="AL3392">
            <v>0</v>
          </cell>
          <cell r="AM3392">
            <v>0</v>
          </cell>
          <cell r="AO3392">
            <v>0</v>
          </cell>
          <cell r="AP3392">
            <v>0</v>
          </cell>
          <cell r="AR3392">
            <v>0</v>
          </cell>
          <cell r="AS3392">
            <v>0</v>
          </cell>
          <cell r="BF3392" t="str">
            <v>7350</v>
          </cell>
          <cell r="BG3392" t="str">
            <v>Z000</v>
          </cell>
          <cell r="BH3392" t="str">
            <v>CC1</v>
          </cell>
        </row>
        <row r="3393">
          <cell r="K3393">
            <v>0</v>
          </cell>
          <cell r="L3393">
            <v>0</v>
          </cell>
          <cell r="N3393">
            <v>0</v>
          </cell>
          <cell r="O3393">
            <v>0</v>
          </cell>
          <cell r="Q3393">
            <v>0</v>
          </cell>
          <cell r="R3393">
            <v>0</v>
          </cell>
          <cell r="T3393">
            <v>0</v>
          </cell>
          <cell r="U3393">
            <v>0</v>
          </cell>
          <cell r="W3393">
            <v>0</v>
          </cell>
          <cell r="X3393">
            <v>0</v>
          </cell>
          <cell r="Z3393">
            <v>0</v>
          </cell>
          <cell r="AA3393">
            <v>0</v>
          </cell>
          <cell r="AC3393">
            <v>4950</v>
          </cell>
          <cell r="AD3393">
            <v>0</v>
          </cell>
          <cell r="AF3393">
            <v>0</v>
          </cell>
          <cell r="AG3393">
            <v>0</v>
          </cell>
          <cell r="AI3393">
            <v>0</v>
          </cell>
          <cell r="AJ3393">
            <v>0</v>
          </cell>
          <cell r="AL3393">
            <v>0</v>
          </cell>
          <cell r="AM3393">
            <v>0</v>
          </cell>
          <cell r="AO3393">
            <v>0</v>
          </cell>
          <cell r="AP3393">
            <v>0</v>
          </cell>
          <cell r="AR3393">
            <v>0</v>
          </cell>
          <cell r="AS3393">
            <v>0</v>
          </cell>
          <cell r="BF3393" t="str">
            <v>7350</v>
          </cell>
          <cell r="BG3393" t="str">
            <v>Z000</v>
          </cell>
          <cell r="BH3393" t="str">
            <v>CC3</v>
          </cell>
        </row>
        <row r="3394">
          <cell r="K3394">
            <v>0</v>
          </cell>
          <cell r="L3394">
            <v>0</v>
          </cell>
          <cell r="N3394">
            <v>0</v>
          </cell>
          <cell r="O3394">
            <v>0</v>
          </cell>
          <cell r="Q3394">
            <v>0</v>
          </cell>
          <cell r="R3394">
            <v>0</v>
          </cell>
          <cell r="T3394">
            <v>0</v>
          </cell>
          <cell r="U3394">
            <v>0</v>
          </cell>
          <cell r="W3394">
            <v>0</v>
          </cell>
          <cell r="X3394">
            <v>0</v>
          </cell>
          <cell r="Z3394">
            <v>0</v>
          </cell>
          <cell r="AA3394">
            <v>0</v>
          </cell>
          <cell r="AC3394">
            <v>7100</v>
          </cell>
          <cell r="AD3394">
            <v>0</v>
          </cell>
          <cell r="AF3394">
            <v>0</v>
          </cell>
          <cell r="AG3394">
            <v>0</v>
          </cell>
          <cell r="AI3394">
            <v>0</v>
          </cell>
          <cell r="AJ3394">
            <v>0</v>
          </cell>
          <cell r="AL3394">
            <v>0</v>
          </cell>
          <cell r="AM3394">
            <v>0</v>
          </cell>
          <cell r="AO3394">
            <v>0</v>
          </cell>
          <cell r="AP3394">
            <v>0</v>
          </cell>
          <cell r="AR3394">
            <v>0</v>
          </cell>
          <cell r="AS3394">
            <v>0</v>
          </cell>
          <cell r="BF3394" t="str">
            <v>7350</v>
          </cell>
          <cell r="BG3394" t="str">
            <v>Z000</v>
          </cell>
          <cell r="BH3394" t="str">
            <v>CC4</v>
          </cell>
        </row>
        <row r="3395">
          <cell r="K3395">
            <v>0</v>
          </cell>
          <cell r="L3395">
            <v>0</v>
          </cell>
          <cell r="N3395">
            <v>0</v>
          </cell>
          <cell r="O3395">
            <v>0</v>
          </cell>
          <cell r="Q3395">
            <v>0</v>
          </cell>
          <cell r="R3395">
            <v>0</v>
          </cell>
          <cell r="T3395">
            <v>0</v>
          </cell>
          <cell r="U3395">
            <v>0</v>
          </cell>
          <cell r="W3395">
            <v>0</v>
          </cell>
          <cell r="X3395">
            <v>0</v>
          </cell>
          <cell r="Z3395">
            <v>0</v>
          </cell>
          <cell r="AA3395">
            <v>0</v>
          </cell>
          <cell r="AC3395">
            <v>11820</v>
          </cell>
          <cell r="AD3395">
            <v>0</v>
          </cell>
          <cell r="AF3395">
            <v>0</v>
          </cell>
          <cell r="AG3395">
            <v>0</v>
          </cell>
          <cell r="AI3395">
            <v>0</v>
          </cell>
          <cell r="AJ3395">
            <v>0</v>
          </cell>
          <cell r="AL3395">
            <v>0</v>
          </cell>
          <cell r="AM3395">
            <v>0</v>
          </cell>
          <cell r="AO3395">
            <v>0</v>
          </cell>
          <cell r="AP3395">
            <v>0</v>
          </cell>
          <cell r="AR3395">
            <v>0</v>
          </cell>
          <cell r="AS3395">
            <v>0</v>
          </cell>
          <cell r="BF3395" t="str">
            <v>7350</v>
          </cell>
          <cell r="BG3395" t="str">
            <v>Z000</v>
          </cell>
          <cell r="BH3395" t="str">
            <v>CC6</v>
          </cell>
        </row>
        <row r="3396">
          <cell r="K3396">
            <v>0</v>
          </cell>
          <cell r="L3396">
            <v>0</v>
          </cell>
          <cell r="N3396">
            <v>0</v>
          </cell>
          <cell r="O3396">
            <v>0</v>
          </cell>
          <cell r="Q3396">
            <v>0</v>
          </cell>
          <cell r="R3396">
            <v>0</v>
          </cell>
          <cell r="T3396">
            <v>0</v>
          </cell>
          <cell r="U3396">
            <v>0</v>
          </cell>
          <cell r="W3396">
            <v>0</v>
          </cell>
          <cell r="X3396">
            <v>0</v>
          </cell>
          <cell r="Z3396">
            <v>0</v>
          </cell>
          <cell r="AA3396">
            <v>0</v>
          </cell>
          <cell r="AC3396">
            <v>7135795.7700000014</v>
          </cell>
          <cell r="AD3396">
            <v>0</v>
          </cell>
          <cell r="AF3396">
            <v>-84307.259999998845</v>
          </cell>
          <cell r="AG3396">
            <v>0</v>
          </cell>
          <cell r="AI3396">
            <v>157961.35000000056</v>
          </cell>
          <cell r="AJ3396">
            <v>0</v>
          </cell>
          <cell r="AL3396">
            <v>70179.10000000149</v>
          </cell>
          <cell r="AM3396">
            <v>0</v>
          </cell>
          <cell r="AO3396">
            <v>710913</v>
          </cell>
          <cell r="AP3396">
            <v>0</v>
          </cell>
          <cell r="AR3396">
            <v>-272438.5</v>
          </cell>
          <cell r="AS3396">
            <v>0</v>
          </cell>
          <cell r="BF3396" t="str">
            <v>8200</v>
          </cell>
          <cell r="BG3396" t="str">
            <v>Z000</v>
          </cell>
          <cell r="BH3396" t="str">
            <v>CC1</v>
          </cell>
        </row>
        <row r="3397">
          <cell r="K3397">
            <v>0</v>
          </cell>
          <cell r="L3397">
            <v>0</v>
          </cell>
          <cell r="N3397">
            <v>0</v>
          </cell>
          <cell r="O3397">
            <v>0</v>
          </cell>
          <cell r="Q3397">
            <v>0</v>
          </cell>
          <cell r="R3397">
            <v>0</v>
          </cell>
          <cell r="T3397">
            <v>0</v>
          </cell>
          <cell r="U3397">
            <v>0</v>
          </cell>
          <cell r="W3397">
            <v>0</v>
          </cell>
          <cell r="X3397">
            <v>0</v>
          </cell>
          <cell r="Z3397">
            <v>0</v>
          </cell>
          <cell r="AA3397">
            <v>0</v>
          </cell>
          <cell r="AC3397">
            <v>165961</v>
          </cell>
          <cell r="AD3397">
            <v>0</v>
          </cell>
          <cell r="AF3397">
            <v>-14069.560000000056</v>
          </cell>
          <cell r="AG3397">
            <v>0</v>
          </cell>
          <cell r="AI3397">
            <v>55948.590000000317</v>
          </cell>
          <cell r="AJ3397">
            <v>0</v>
          </cell>
          <cell r="AL3397">
            <v>98626.5</v>
          </cell>
          <cell r="AM3397">
            <v>0</v>
          </cell>
          <cell r="AO3397">
            <v>0</v>
          </cell>
          <cell r="AP3397">
            <v>0</v>
          </cell>
          <cell r="AR3397">
            <v>0</v>
          </cell>
          <cell r="AS3397">
            <v>0</v>
          </cell>
          <cell r="BF3397" t="str">
            <v>8200</v>
          </cell>
          <cell r="BG3397" t="str">
            <v>Z000</v>
          </cell>
          <cell r="BH3397" t="str">
            <v>CC2</v>
          </cell>
        </row>
        <row r="3398">
          <cell r="K3398">
            <v>0</v>
          </cell>
          <cell r="L3398">
            <v>0</v>
          </cell>
          <cell r="N3398">
            <v>0</v>
          </cell>
          <cell r="O3398">
            <v>0</v>
          </cell>
          <cell r="Q3398">
            <v>0</v>
          </cell>
          <cell r="R3398">
            <v>0</v>
          </cell>
          <cell r="T3398">
            <v>0</v>
          </cell>
          <cell r="U3398">
            <v>0</v>
          </cell>
          <cell r="W3398">
            <v>0</v>
          </cell>
          <cell r="X3398">
            <v>0</v>
          </cell>
          <cell r="Z3398">
            <v>0</v>
          </cell>
          <cell r="AA3398">
            <v>0</v>
          </cell>
          <cell r="AC3398">
            <v>3185.9300000000512</v>
          </cell>
          <cell r="AD3398">
            <v>0</v>
          </cell>
          <cell r="AF3398">
            <v>23069.000000000116</v>
          </cell>
          <cell r="AG3398">
            <v>0</v>
          </cell>
          <cell r="AI3398">
            <v>156688.5</v>
          </cell>
          <cell r="AJ3398">
            <v>0</v>
          </cell>
          <cell r="AL3398">
            <v>88651.489999999758</v>
          </cell>
          <cell r="AM3398">
            <v>0</v>
          </cell>
          <cell r="AO3398">
            <v>0</v>
          </cell>
          <cell r="AP3398">
            <v>0</v>
          </cell>
          <cell r="AR3398">
            <v>0</v>
          </cell>
          <cell r="AS3398">
            <v>0</v>
          </cell>
          <cell r="BF3398" t="str">
            <v>8200</v>
          </cell>
          <cell r="BG3398" t="str">
            <v>Z000</v>
          </cell>
          <cell r="BH3398" t="str">
            <v>CC3</v>
          </cell>
        </row>
        <row r="3399">
          <cell r="K3399">
            <v>0</v>
          </cell>
          <cell r="L3399">
            <v>0</v>
          </cell>
          <cell r="N3399">
            <v>0</v>
          </cell>
          <cell r="O3399">
            <v>0</v>
          </cell>
          <cell r="Q3399">
            <v>0</v>
          </cell>
          <cell r="R3399">
            <v>0</v>
          </cell>
          <cell r="T3399">
            <v>0</v>
          </cell>
          <cell r="U3399">
            <v>0</v>
          </cell>
          <cell r="W3399">
            <v>0</v>
          </cell>
          <cell r="X3399">
            <v>0</v>
          </cell>
          <cell r="Z3399">
            <v>0</v>
          </cell>
          <cell r="AA3399">
            <v>0</v>
          </cell>
          <cell r="AC3399">
            <v>38062.5</v>
          </cell>
          <cell r="AD3399">
            <v>0</v>
          </cell>
          <cell r="AF3399">
            <v>24323.080000000075</v>
          </cell>
          <cell r="AG3399">
            <v>0</v>
          </cell>
          <cell r="AI3399">
            <v>332310</v>
          </cell>
          <cell r="AJ3399">
            <v>0</v>
          </cell>
          <cell r="AL3399">
            <v>115347.5</v>
          </cell>
          <cell r="AM3399">
            <v>0</v>
          </cell>
          <cell r="AO3399">
            <v>0</v>
          </cell>
          <cell r="AP3399">
            <v>0</v>
          </cell>
          <cell r="AR3399">
            <v>0</v>
          </cell>
          <cell r="AS3399">
            <v>0</v>
          </cell>
          <cell r="BF3399" t="str">
            <v>8200</v>
          </cell>
          <cell r="BG3399" t="str">
            <v>Z000</v>
          </cell>
          <cell r="BH3399" t="str">
            <v>CC4</v>
          </cell>
        </row>
        <row r="3400">
          <cell r="K3400">
            <v>0</v>
          </cell>
          <cell r="L3400">
            <v>0</v>
          </cell>
          <cell r="N3400">
            <v>0</v>
          </cell>
          <cell r="O3400">
            <v>0</v>
          </cell>
          <cell r="Q3400">
            <v>0</v>
          </cell>
          <cell r="R3400">
            <v>0</v>
          </cell>
          <cell r="T3400">
            <v>0</v>
          </cell>
          <cell r="U3400">
            <v>0</v>
          </cell>
          <cell r="W3400">
            <v>0</v>
          </cell>
          <cell r="X3400">
            <v>0</v>
          </cell>
          <cell r="Z3400">
            <v>0</v>
          </cell>
          <cell r="AA3400">
            <v>0</v>
          </cell>
          <cell r="AC3400">
            <v>-73445.209999999963</v>
          </cell>
          <cell r="AD3400">
            <v>0</v>
          </cell>
          <cell r="AF3400">
            <v>-182627.61</v>
          </cell>
          <cell r="AG3400">
            <v>0</v>
          </cell>
          <cell r="AI3400">
            <v>0</v>
          </cell>
          <cell r="AJ3400">
            <v>0</v>
          </cell>
          <cell r="AL3400">
            <v>-34831.980000000098</v>
          </cell>
          <cell r="AM3400">
            <v>0</v>
          </cell>
          <cell r="AO3400">
            <v>0</v>
          </cell>
          <cell r="AP3400">
            <v>0</v>
          </cell>
          <cell r="AR3400">
            <v>0</v>
          </cell>
          <cell r="AS3400">
            <v>0</v>
          </cell>
          <cell r="BF3400" t="str">
            <v>8200</v>
          </cell>
          <cell r="BG3400" t="str">
            <v>Z000</v>
          </cell>
          <cell r="BH3400" t="str">
            <v>CC5</v>
          </cell>
        </row>
        <row r="3401">
          <cell r="K3401">
            <v>0</v>
          </cell>
          <cell r="L3401">
            <v>0</v>
          </cell>
          <cell r="N3401">
            <v>0</v>
          </cell>
          <cell r="O3401">
            <v>0</v>
          </cell>
          <cell r="Q3401">
            <v>0</v>
          </cell>
          <cell r="R3401">
            <v>0</v>
          </cell>
          <cell r="T3401">
            <v>0</v>
          </cell>
          <cell r="U3401">
            <v>0</v>
          </cell>
          <cell r="W3401">
            <v>0</v>
          </cell>
          <cell r="X3401">
            <v>0</v>
          </cell>
          <cell r="Z3401">
            <v>0</v>
          </cell>
          <cell r="AA3401">
            <v>0</v>
          </cell>
          <cell r="AC3401">
            <v>115572.68</v>
          </cell>
          <cell r="AD3401">
            <v>0</v>
          </cell>
          <cell r="AF3401">
            <v>83912.550000000017</v>
          </cell>
          <cell r="AG3401">
            <v>0</v>
          </cell>
          <cell r="AI3401">
            <v>124864.44999999998</v>
          </cell>
          <cell r="AJ3401">
            <v>0</v>
          </cell>
          <cell r="AL3401">
            <v>120619.19</v>
          </cell>
          <cell r="AM3401">
            <v>0</v>
          </cell>
          <cell r="AO3401">
            <v>0</v>
          </cell>
          <cell r="AP3401">
            <v>0</v>
          </cell>
          <cell r="AR3401">
            <v>0</v>
          </cell>
          <cell r="AS3401">
            <v>0</v>
          </cell>
          <cell r="BF3401" t="str">
            <v>8200</v>
          </cell>
          <cell r="BG3401" t="str">
            <v>Z000</v>
          </cell>
          <cell r="BH3401" t="str">
            <v>CC6</v>
          </cell>
        </row>
        <row r="3402">
          <cell r="K3402">
            <v>0</v>
          </cell>
          <cell r="L3402">
            <v>0</v>
          </cell>
          <cell r="N3402">
            <v>0</v>
          </cell>
          <cell r="O3402">
            <v>0</v>
          </cell>
          <cell r="Q3402">
            <v>0</v>
          </cell>
          <cell r="R3402">
            <v>0</v>
          </cell>
          <cell r="T3402">
            <v>0</v>
          </cell>
          <cell r="U3402">
            <v>0</v>
          </cell>
          <cell r="W3402">
            <v>0</v>
          </cell>
          <cell r="X3402">
            <v>0</v>
          </cell>
          <cell r="Z3402">
            <v>0</v>
          </cell>
          <cell r="AA3402">
            <v>0</v>
          </cell>
          <cell r="AC3402">
            <v>-171822.09</v>
          </cell>
          <cell r="AD3402">
            <v>0</v>
          </cell>
          <cell r="AF3402">
            <v>0</v>
          </cell>
          <cell r="AG3402">
            <v>0</v>
          </cell>
          <cell r="AI3402">
            <v>0</v>
          </cell>
          <cell r="AJ3402">
            <v>0</v>
          </cell>
          <cell r="AL3402">
            <v>-154509.86999999997</v>
          </cell>
          <cell r="AM3402">
            <v>0</v>
          </cell>
          <cell r="AO3402">
            <v>0</v>
          </cell>
          <cell r="AP3402">
            <v>0</v>
          </cell>
          <cell r="AR3402">
            <v>535580.64</v>
          </cell>
          <cell r="AS3402">
            <v>0</v>
          </cell>
          <cell r="BF3402" t="str">
            <v>8201</v>
          </cell>
          <cell r="BG3402" t="str">
            <v>S001</v>
          </cell>
          <cell r="BH3402" t="str">
            <v>CC1</v>
          </cell>
        </row>
        <row r="3403">
          <cell r="K3403">
            <v>0</v>
          </cell>
          <cell r="L3403">
            <v>0</v>
          </cell>
          <cell r="N3403">
            <v>0</v>
          </cell>
          <cell r="O3403">
            <v>0</v>
          </cell>
          <cell r="Q3403">
            <v>0</v>
          </cell>
          <cell r="R3403">
            <v>0</v>
          </cell>
          <cell r="T3403">
            <v>0</v>
          </cell>
          <cell r="U3403">
            <v>0</v>
          </cell>
          <cell r="W3403">
            <v>0</v>
          </cell>
          <cell r="X3403">
            <v>0</v>
          </cell>
          <cell r="Z3403">
            <v>0</v>
          </cell>
          <cell r="AA3403">
            <v>0</v>
          </cell>
          <cell r="AC3403">
            <v>-70552.5</v>
          </cell>
          <cell r="AD3403">
            <v>0</v>
          </cell>
          <cell r="AF3403">
            <v>0</v>
          </cell>
          <cell r="AG3403">
            <v>0</v>
          </cell>
          <cell r="AI3403">
            <v>0</v>
          </cell>
          <cell r="AJ3403">
            <v>0</v>
          </cell>
          <cell r="AL3403">
            <v>0</v>
          </cell>
          <cell r="AM3403">
            <v>0</v>
          </cell>
          <cell r="AO3403">
            <v>0</v>
          </cell>
          <cell r="AP3403">
            <v>0</v>
          </cell>
          <cell r="AR3403">
            <v>0</v>
          </cell>
          <cell r="AS3403">
            <v>0</v>
          </cell>
          <cell r="BF3403" t="str">
            <v>8201</v>
          </cell>
          <cell r="BG3403" t="str">
            <v>S001</v>
          </cell>
          <cell r="BH3403" t="str">
            <v>CC2</v>
          </cell>
        </row>
        <row r="3404">
          <cell r="K3404">
            <v>0</v>
          </cell>
          <cell r="L3404">
            <v>0</v>
          </cell>
          <cell r="N3404">
            <v>0</v>
          </cell>
          <cell r="O3404">
            <v>0</v>
          </cell>
          <cell r="Q3404">
            <v>0</v>
          </cell>
          <cell r="R3404">
            <v>0</v>
          </cell>
          <cell r="T3404">
            <v>0</v>
          </cell>
          <cell r="U3404">
            <v>0</v>
          </cell>
          <cell r="W3404">
            <v>0</v>
          </cell>
          <cell r="X3404">
            <v>0</v>
          </cell>
          <cell r="Z3404">
            <v>0</v>
          </cell>
          <cell r="AA3404">
            <v>0</v>
          </cell>
          <cell r="AC3404">
            <v>-45920.5</v>
          </cell>
          <cell r="AD3404">
            <v>0</v>
          </cell>
          <cell r="AF3404">
            <v>0</v>
          </cell>
          <cell r="AG3404">
            <v>0</v>
          </cell>
          <cell r="AI3404">
            <v>0</v>
          </cell>
          <cell r="AJ3404">
            <v>0</v>
          </cell>
          <cell r="AL3404">
            <v>0</v>
          </cell>
          <cell r="AM3404">
            <v>0</v>
          </cell>
          <cell r="AO3404">
            <v>0</v>
          </cell>
          <cell r="AP3404">
            <v>0</v>
          </cell>
          <cell r="AR3404">
            <v>0</v>
          </cell>
          <cell r="AS3404">
            <v>0</v>
          </cell>
          <cell r="BF3404" t="str">
            <v>8201</v>
          </cell>
          <cell r="BG3404" t="str">
            <v>S001</v>
          </cell>
          <cell r="BH3404" t="str">
            <v>CC3</v>
          </cell>
        </row>
        <row r="3405">
          <cell r="K3405">
            <v>0</v>
          </cell>
          <cell r="L3405">
            <v>0</v>
          </cell>
          <cell r="N3405">
            <v>0</v>
          </cell>
          <cell r="O3405">
            <v>0</v>
          </cell>
          <cell r="Q3405">
            <v>0</v>
          </cell>
          <cell r="R3405">
            <v>0</v>
          </cell>
          <cell r="T3405">
            <v>0</v>
          </cell>
          <cell r="U3405">
            <v>0</v>
          </cell>
          <cell r="W3405">
            <v>0</v>
          </cell>
          <cell r="X3405">
            <v>0</v>
          </cell>
          <cell r="Z3405">
            <v>0</v>
          </cell>
          <cell r="AA3405">
            <v>0</v>
          </cell>
          <cell r="AC3405">
            <v>-50140.2</v>
          </cell>
          <cell r="AD3405">
            <v>0</v>
          </cell>
          <cell r="AF3405">
            <v>0</v>
          </cell>
          <cell r="AG3405">
            <v>0</v>
          </cell>
          <cell r="AI3405">
            <v>0</v>
          </cell>
          <cell r="AJ3405">
            <v>0</v>
          </cell>
          <cell r="AL3405">
            <v>0</v>
          </cell>
          <cell r="AM3405">
            <v>0</v>
          </cell>
          <cell r="AO3405">
            <v>0</v>
          </cell>
          <cell r="AP3405">
            <v>0</v>
          </cell>
          <cell r="AR3405">
            <v>0</v>
          </cell>
          <cell r="AS3405">
            <v>0</v>
          </cell>
          <cell r="BF3405" t="str">
            <v>8201</v>
          </cell>
          <cell r="BG3405" t="str">
            <v>S001</v>
          </cell>
          <cell r="BH3405" t="str">
            <v>CC4</v>
          </cell>
        </row>
        <row r="3406">
          <cell r="K3406">
            <v>0</v>
          </cell>
          <cell r="L3406">
            <v>0</v>
          </cell>
          <cell r="N3406">
            <v>0</v>
          </cell>
          <cell r="O3406">
            <v>0</v>
          </cell>
          <cell r="Q3406">
            <v>0</v>
          </cell>
          <cell r="R3406">
            <v>0</v>
          </cell>
          <cell r="T3406">
            <v>0</v>
          </cell>
          <cell r="U3406">
            <v>0</v>
          </cell>
          <cell r="W3406">
            <v>0</v>
          </cell>
          <cell r="X3406">
            <v>0</v>
          </cell>
          <cell r="Z3406">
            <v>0</v>
          </cell>
          <cell r="AA3406">
            <v>0</v>
          </cell>
          <cell r="AC3406">
            <v>-42635.48</v>
          </cell>
          <cell r="AD3406">
            <v>0</v>
          </cell>
          <cell r="AF3406">
            <v>0</v>
          </cell>
          <cell r="AG3406">
            <v>0</v>
          </cell>
          <cell r="AI3406">
            <v>0</v>
          </cell>
          <cell r="AJ3406">
            <v>0</v>
          </cell>
          <cell r="AL3406">
            <v>0</v>
          </cell>
          <cell r="AM3406">
            <v>0</v>
          </cell>
          <cell r="AO3406">
            <v>0</v>
          </cell>
          <cell r="AP3406">
            <v>0</v>
          </cell>
          <cell r="AR3406">
            <v>0</v>
          </cell>
          <cell r="AS3406">
            <v>0</v>
          </cell>
          <cell r="BF3406" t="str">
            <v>8201</v>
          </cell>
          <cell r="BG3406" t="str">
            <v>S001</v>
          </cell>
          <cell r="BH3406" t="str">
            <v>CC6</v>
          </cell>
        </row>
        <row r="3407">
          <cell r="K3407">
            <v>0</v>
          </cell>
          <cell r="L3407">
            <v>0</v>
          </cell>
          <cell r="N3407">
            <v>0</v>
          </cell>
          <cell r="O3407">
            <v>0</v>
          </cell>
          <cell r="Q3407">
            <v>0</v>
          </cell>
          <cell r="R3407">
            <v>0</v>
          </cell>
          <cell r="T3407">
            <v>0</v>
          </cell>
          <cell r="U3407">
            <v>0</v>
          </cell>
          <cell r="W3407">
            <v>0</v>
          </cell>
          <cell r="X3407">
            <v>0</v>
          </cell>
          <cell r="Z3407">
            <v>0</v>
          </cell>
          <cell r="AA3407">
            <v>0</v>
          </cell>
          <cell r="AC3407">
            <v>1673240.7000000002</v>
          </cell>
          <cell r="AD3407">
            <v>0</v>
          </cell>
          <cell r="AF3407">
            <v>0</v>
          </cell>
          <cell r="AG3407">
            <v>0</v>
          </cell>
          <cell r="AI3407">
            <v>345068.44999999972</v>
          </cell>
          <cell r="AJ3407">
            <v>0</v>
          </cell>
          <cell r="AL3407">
            <v>0</v>
          </cell>
          <cell r="AM3407">
            <v>0</v>
          </cell>
          <cell r="AO3407">
            <v>0</v>
          </cell>
          <cell r="AP3407">
            <v>0</v>
          </cell>
          <cell r="AR3407">
            <v>0</v>
          </cell>
          <cell r="AS3407">
            <v>0</v>
          </cell>
          <cell r="BF3407" t="str">
            <v>8300</v>
          </cell>
          <cell r="BG3407" t="str">
            <v>Z000</v>
          </cell>
          <cell r="BH3407" t="str">
            <v>CC1</v>
          </cell>
        </row>
        <row r="3408">
          <cell r="K3408">
            <v>0</v>
          </cell>
          <cell r="L3408">
            <v>0</v>
          </cell>
          <cell r="N3408">
            <v>0</v>
          </cell>
          <cell r="O3408">
            <v>0</v>
          </cell>
          <cell r="Q3408">
            <v>0</v>
          </cell>
          <cell r="R3408">
            <v>0</v>
          </cell>
          <cell r="T3408">
            <v>0</v>
          </cell>
          <cell r="U3408">
            <v>0</v>
          </cell>
          <cell r="W3408">
            <v>0</v>
          </cell>
          <cell r="X3408">
            <v>0</v>
          </cell>
          <cell r="Z3408">
            <v>0</v>
          </cell>
          <cell r="AA3408">
            <v>0</v>
          </cell>
          <cell r="AC3408">
            <v>327881.02999999997</v>
          </cell>
          <cell r="AD3408">
            <v>0</v>
          </cell>
          <cell r="AF3408">
            <v>0</v>
          </cell>
          <cell r="AG3408">
            <v>0</v>
          </cell>
          <cell r="AI3408">
            <v>0</v>
          </cell>
          <cell r="AJ3408">
            <v>0</v>
          </cell>
          <cell r="AL3408">
            <v>0</v>
          </cell>
          <cell r="AM3408">
            <v>0</v>
          </cell>
          <cell r="AO3408">
            <v>0</v>
          </cell>
          <cell r="AP3408">
            <v>0</v>
          </cell>
          <cell r="AR3408">
            <v>0</v>
          </cell>
          <cell r="AS3408">
            <v>0</v>
          </cell>
          <cell r="BF3408" t="str">
            <v>8300</v>
          </cell>
          <cell r="BG3408" t="str">
            <v>Z000</v>
          </cell>
          <cell r="BH3408" t="str">
            <v>CC2</v>
          </cell>
        </row>
        <row r="3409">
          <cell r="K3409">
            <v>0</v>
          </cell>
          <cell r="L3409">
            <v>0</v>
          </cell>
          <cell r="N3409">
            <v>0</v>
          </cell>
          <cell r="O3409">
            <v>0</v>
          </cell>
          <cell r="Q3409">
            <v>0</v>
          </cell>
          <cell r="R3409">
            <v>0</v>
          </cell>
          <cell r="T3409">
            <v>0</v>
          </cell>
          <cell r="U3409">
            <v>0</v>
          </cell>
          <cell r="W3409">
            <v>0</v>
          </cell>
          <cell r="X3409">
            <v>0</v>
          </cell>
          <cell r="Z3409">
            <v>0</v>
          </cell>
          <cell r="AA3409">
            <v>0</v>
          </cell>
          <cell r="AC3409">
            <v>414030.91</v>
          </cell>
          <cell r="AD3409">
            <v>0</v>
          </cell>
          <cell r="AF3409">
            <v>0</v>
          </cell>
          <cell r="AG3409">
            <v>0</v>
          </cell>
          <cell r="AI3409">
            <v>0</v>
          </cell>
          <cell r="AJ3409">
            <v>0</v>
          </cell>
          <cell r="AL3409">
            <v>0</v>
          </cell>
          <cell r="AM3409">
            <v>0</v>
          </cell>
          <cell r="AO3409">
            <v>0</v>
          </cell>
          <cell r="AP3409">
            <v>0</v>
          </cell>
          <cell r="AR3409">
            <v>0</v>
          </cell>
          <cell r="AS3409">
            <v>0</v>
          </cell>
          <cell r="BF3409" t="str">
            <v>8300</v>
          </cell>
          <cell r="BG3409" t="str">
            <v>Z000</v>
          </cell>
          <cell r="BH3409" t="str">
            <v>CC3</v>
          </cell>
        </row>
        <row r="3410">
          <cell r="K3410">
            <v>0</v>
          </cell>
          <cell r="L3410">
            <v>0</v>
          </cell>
          <cell r="N3410">
            <v>0</v>
          </cell>
          <cell r="O3410">
            <v>0</v>
          </cell>
          <cell r="Q3410">
            <v>0</v>
          </cell>
          <cell r="R3410">
            <v>0</v>
          </cell>
          <cell r="T3410">
            <v>0</v>
          </cell>
          <cell r="U3410">
            <v>0</v>
          </cell>
          <cell r="W3410">
            <v>0</v>
          </cell>
          <cell r="X3410">
            <v>0</v>
          </cell>
          <cell r="Z3410">
            <v>0</v>
          </cell>
          <cell r="AA3410">
            <v>0</v>
          </cell>
          <cell r="AC3410">
            <v>1153486.6599999999</v>
          </cell>
          <cell r="AD3410">
            <v>0</v>
          </cell>
          <cell r="AF3410">
            <v>0</v>
          </cell>
          <cell r="AG3410">
            <v>0</v>
          </cell>
          <cell r="AI3410">
            <v>0</v>
          </cell>
          <cell r="AJ3410">
            <v>0</v>
          </cell>
          <cell r="AL3410">
            <v>0</v>
          </cell>
          <cell r="AM3410">
            <v>0</v>
          </cell>
          <cell r="AO3410">
            <v>0</v>
          </cell>
          <cell r="AP3410">
            <v>0</v>
          </cell>
          <cell r="AR3410">
            <v>0</v>
          </cell>
          <cell r="AS3410">
            <v>0</v>
          </cell>
          <cell r="BF3410" t="str">
            <v>8300</v>
          </cell>
          <cell r="BG3410" t="str">
            <v>Z000</v>
          </cell>
          <cell r="BH3410" t="str">
            <v>CC4</v>
          </cell>
        </row>
        <row r="3411">
          <cell r="K3411">
            <v>0</v>
          </cell>
          <cell r="L3411">
            <v>0</v>
          </cell>
          <cell r="N3411">
            <v>0</v>
          </cell>
          <cell r="O3411">
            <v>0</v>
          </cell>
          <cell r="Q3411">
            <v>0</v>
          </cell>
          <cell r="R3411">
            <v>0</v>
          </cell>
          <cell r="T3411">
            <v>0</v>
          </cell>
          <cell r="U3411">
            <v>0</v>
          </cell>
          <cell r="W3411">
            <v>0</v>
          </cell>
          <cell r="X3411">
            <v>0</v>
          </cell>
          <cell r="Z3411">
            <v>0</v>
          </cell>
          <cell r="AA3411">
            <v>0</v>
          </cell>
          <cell r="AC3411">
            <v>200478.78</v>
          </cell>
          <cell r="AD3411">
            <v>0</v>
          </cell>
          <cell r="AF3411">
            <v>0</v>
          </cell>
          <cell r="AG3411">
            <v>0</v>
          </cell>
          <cell r="AI3411">
            <v>0</v>
          </cell>
          <cell r="AJ3411">
            <v>0</v>
          </cell>
          <cell r="AL3411">
            <v>0</v>
          </cell>
          <cell r="AM3411">
            <v>0</v>
          </cell>
          <cell r="AO3411">
            <v>0</v>
          </cell>
          <cell r="AP3411">
            <v>0</v>
          </cell>
          <cell r="AR3411">
            <v>0</v>
          </cell>
          <cell r="AS3411">
            <v>0</v>
          </cell>
          <cell r="BF3411" t="str">
            <v>8300</v>
          </cell>
          <cell r="BG3411" t="str">
            <v>Z000</v>
          </cell>
          <cell r="BH3411" t="str">
            <v>CC6</v>
          </cell>
        </row>
        <row r="3412">
          <cell r="K3412">
            <v>0</v>
          </cell>
          <cell r="L3412">
            <v>0</v>
          </cell>
          <cell r="N3412">
            <v>0</v>
          </cell>
          <cell r="O3412">
            <v>0</v>
          </cell>
          <cell r="Q3412">
            <v>0</v>
          </cell>
          <cell r="R3412">
            <v>0</v>
          </cell>
          <cell r="T3412">
            <v>0</v>
          </cell>
          <cell r="U3412">
            <v>0</v>
          </cell>
          <cell r="W3412">
            <v>0</v>
          </cell>
          <cell r="X3412">
            <v>0</v>
          </cell>
          <cell r="Z3412">
            <v>0</v>
          </cell>
          <cell r="AA3412">
            <v>0</v>
          </cell>
          <cell r="AC3412">
            <v>306620.59999999963</v>
          </cell>
          <cell r="AD3412">
            <v>0</v>
          </cell>
          <cell r="AF3412">
            <v>35950.660000002012</v>
          </cell>
          <cell r="AG3412">
            <v>0</v>
          </cell>
          <cell r="AI3412">
            <v>66809.019999999553</v>
          </cell>
          <cell r="AJ3412">
            <v>0</v>
          </cell>
          <cell r="AL3412">
            <v>-7827.1000011954457</v>
          </cell>
          <cell r="AM3412">
            <v>0</v>
          </cell>
          <cell r="AO3412">
            <v>-189831.22000000067</v>
          </cell>
          <cell r="AP3412">
            <v>0</v>
          </cell>
          <cell r="AR3412">
            <v>264096.6099999994</v>
          </cell>
          <cell r="AS3412">
            <v>0</v>
          </cell>
          <cell r="BF3412" t="str">
            <v>8400</v>
          </cell>
          <cell r="BG3412" t="str">
            <v>N001</v>
          </cell>
          <cell r="BH3412" t="str">
            <v>CC1</v>
          </cell>
        </row>
        <row r="3413">
          <cell r="K3413">
            <v>0</v>
          </cell>
          <cell r="L3413">
            <v>0</v>
          </cell>
          <cell r="N3413">
            <v>0</v>
          </cell>
          <cell r="O3413">
            <v>0</v>
          </cell>
          <cell r="Q3413">
            <v>0</v>
          </cell>
          <cell r="R3413">
            <v>0</v>
          </cell>
          <cell r="T3413">
            <v>0</v>
          </cell>
          <cell r="U3413">
            <v>0</v>
          </cell>
          <cell r="W3413">
            <v>0</v>
          </cell>
          <cell r="X3413">
            <v>0</v>
          </cell>
          <cell r="Z3413">
            <v>0</v>
          </cell>
          <cell r="AA3413">
            <v>0</v>
          </cell>
          <cell r="AC3413">
            <v>313053.72999999986</v>
          </cell>
          <cell r="AD3413">
            <v>0</v>
          </cell>
          <cell r="AF3413">
            <v>146862.84999999998</v>
          </cell>
          <cell r="AG3413">
            <v>0</v>
          </cell>
          <cell r="AI3413">
            <v>-102358.28000000003</v>
          </cell>
          <cell r="AJ3413">
            <v>0</v>
          </cell>
          <cell r="AL3413">
            <v>63266.840000000317</v>
          </cell>
          <cell r="AM3413">
            <v>0</v>
          </cell>
          <cell r="AO3413">
            <v>141131.25000000047</v>
          </cell>
          <cell r="AP3413">
            <v>0</v>
          </cell>
          <cell r="AR3413">
            <v>-53321.790000000037</v>
          </cell>
          <cell r="AS3413">
            <v>0</v>
          </cell>
          <cell r="BF3413" t="str">
            <v>8400</v>
          </cell>
          <cell r="BG3413" t="str">
            <v>N002</v>
          </cell>
          <cell r="BH3413" t="str">
            <v>CC2</v>
          </cell>
        </row>
        <row r="3414">
          <cell r="K3414">
            <v>0</v>
          </cell>
          <cell r="L3414">
            <v>0</v>
          </cell>
          <cell r="N3414">
            <v>0</v>
          </cell>
          <cell r="O3414">
            <v>0</v>
          </cell>
          <cell r="Q3414">
            <v>0</v>
          </cell>
          <cell r="R3414">
            <v>0</v>
          </cell>
          <cell r="T3414">
            <v>0</v>
          </cell>
          <cell r="U3414">
            <v>0</v>
          </cell>
          <cell r="W3414">
            <v>0</v>
          </cell>
          <cell r="X3414">
            <v>0</v>
          </cell>
          <cell r="Z3414">
            <v>0</v>
          </cell>
          <cell r="AA3414">
            <v>0</v>
          </cell>
          <cell r="AC3414">
            <v>2981151.8800000004</v>
          </cell>
          <cell r="AD3414">
            <v>0</v>
          </cell>
          <cell r="AF3414">
            <v>-1899348.1400000001</v>
          </cell>
          <cell r="AG3414">
            <v>0</v>
          </cell>
          <cell r="AI3414">
            <v>-599549.54999999981</v>
          </cell>
          <cell r="AJ3414">
            <v>0</v>
          </cell>
          <cell r="AL3414">
            <v>109.33000000007451</v>
          </cell>
          <cell r="AM3414">
            <v>0</v>
          </cell>
          <cell r="AO3414">
            <v>838070.07999999914</v>
          </cell>
          <cell r="AP3414">
            <v>0</v>
          </cell>
          <cell r="AR3414">
            <v>582.08000000007451</v>
          </cell>
          <cell r="AS3414">
            <v>0</v>
          </cell>
          <cell r="BF3414" t="str">
            <v>8400</v>
          </cell>
          <cell r="BG3414" t="str">
            <v>N003</v>
          </cell>
          <cell r="BH3414" t="str">
            <v>CC0</v>
          </cell>
        </row>
        <row r="3415">
          <cell r="K3415">
            <v>0</v>
          </cell>
          <cell r="L3415">
            <v>0</v>
          </cell>
          <cell r="N3415">
            <v>0</v>
          </cell>
          <cell r="O3415">
            <v>0</v>
          </cell>
          <cell r="Q3415">
            <v>0</v>
          </cell>
          <cell r="R3415">
            <v>0</v>
          </cell>
          <cell r="T3415">
            <v>0</v>
          </cell>
          <cell r="U3415">
            <v>0</v>
          </cell>
          <cell r="W3415">
            <v>0</v>
          </cell>
          <cell r="X3415">
            <v>0</v>
          </cell>
          <cell r="Z3415">
            <v>0</v>
          </cell>
          <cell r="AA3415">
            <v>0</v>
          </cell>
          <cell r="AC3415">
            <v>379235.14999999997</v>
          </cell>
          <cell r="AD3415">
            <v>0</v>
          </cell>
          <cell r="AF3415">
            <v>26884.380000000005</v>
          </cell>
          <cell r="AG3415">
            <v>0</v>
          </cell>
          <cell r="AI3415">
            <v>91064.01999999996</v>
          </cell>
          <cell r="AJ3415">
            <v>0</v>
          </cell>
          <cell r="AL3415">
            <v>-246951.12000000023</v>
          </cell>
          <cell r="AM3415">
            <v>0</v>
          </cell>
          <cell r="AO3415">
            <v>318900.72999999975</v>
          </cell>
          <cell r="AP3415">
            <v>0</v>
          </cell>
          <cell r="AR3415">
            <v>-26483.360000000102</v>
          </cell>
          <cell r="AS3415">
            <v>0</v>
          </cell>
          <cell r="BF3415" t="str">
            <v>8400</v>
          </cell>
          <cell r="BG3415" t="str">
            <v>N004</v>
          </cell>
          <cell r="BH3415" t="str">
            <v>CC3</v>
          </cell>
        </row>
        <row r="3416">
          <cell r="K3416">
            <v>0</v>
          </cell>
          <cell r="L3416">
            <v>0</v>
          </cell>
          <cell r="N3416">
            <v>0</v>
          </cell>
          <cell r="O3416">
            <v>0</v>
          </cell>
          <cell r="Q3416">
            <v>0</v>
          </cell>
          <cell r="R3416">
            <v>0</v>
          </cell>
          <cell r="T3416">
            <v>0</v>
          </cell>
          <cell r="U3416">
            <v>0</v>
          </cell>
          <cell r="W3416">
            <v>0</v>
          </cell>
          <cell r="X3416">
            <v>0</v>
          </cell>
          <cell r="Z3416">
            <v>0</v>
          </cell>
          <cell r="AA3416">
            <v>0</v>
          </cell>
          <cell r="AC3416">
            <v>480434.98999999987</v>
          </cell>
          <cell r="AD3416">
            <v>0</v>
          </cell>
          <cell r="AF3416">
            <v>-22880.270000000135</v>
          </cell>
          <cell r="AG3416">
            <v>0</v>
          </cell>
          <cell r="AI3416">
            <v>-256795.32000000007</v>
          </cell>
          <cell r="AJ3416">
            <v>0</v>
          </cell>
          <cell r="AL3416">
            <v>-51703.230000000214</v>
          </cell>
          <cell r="AM3416">
            <v>0</v>
          </cell>
          <cell r="AO3416">
            <v>442278.84000000032</v>
          </cell>
          <cell r="AP3416">
            <v>0</v>
          </cell>
          <cell r="AR3416">
            <v>-45109.649999999907</v>
          </cell>
          <cell r="AS3416">
            <v>0</v>
          </cell>
          <cell r="BF3416" t="str">
            <v>8400</v>
          </cell>
          <cell r="BG3416" t="str">
            <v>N005</v>
          </cell>
          <cell r="BH3416" t="str">
            <v>CC4</v>
          </cell>
        </row>
        <row r="3417">
          <cell r="K3417">
            <v>0</v>
          </cell>
          <cell r="L3417">
            <v>0</v>
          </cell>
          <cell r="N3417">
            <v>0</v>
          </cell>
          <cell r="O3417">
            <v>0</v>
          </cell>
          <cell r="Q3417">
            <v>0</v>
          </cell>
          <cell r="R3417">
            <v>0</v>
          </cell>
          <cell r="T3417">
            <v>0</v>
          </cell>
          <cell r="U3417">
            <v>0</v>
          </cell>
          <cell r="W3417">
            <v>0</v>
          </cell>
          <cell r="X3417">
            <v>0</v>
          </cell>
          <cell r="Z3417">
            <v>0</v>
          </cell>
          <cell r="AA3417">
            <v>0</v>
          </cell>
          <cell r="AC3417">
            <v>43627.299999999814</v>
          </cell>
          <cell r="AD3417">
            <v>0</v>
          </cell>
          <cell r="AF3417">
            <v>12691.300000000745</v>
          </cell>
          <cell r="AG3417">
            <v>0</v>
          </cell>
          <cell r="AI3417">
            <v>-28225.150000000373</v>
          </cell>
          <cell r="AJ3417">
            <v>0</v>
          </cell>
          <cell r="AL3417">
            <v>35566.400000000373</v>
          </cell>
          <cell r="AM3417">
            <v>0</v>
          </cell>
          <cell r="AO3417">
            <v>1510000</v>
          </cell>
          <cell r="AP3417">
            <v>0</v>
          </cell>
          <cell r="AR3417">
            <v>-1022271.8799999999</v>
          </cell>
          <cell r="AS3417">
            <v>0</v>
          </cell>
          <cell r="BF3417" t="str">
            <v>8600</v>
          </cell>
          <cell r="BG3417" t="str">
            <v>P201</v>
          </cell>
          <cell r="BH3417" t="str">
            <v>CC1</v>
          </cell>
        </row>
        <row r="3418">
          <cell r="K3418">
            <v>0</v>
          </cell>
          <cell r="L3418">
            <v>0</v>
          </cell>
          <cell r="N3418">
            <v>0</v>
          </cell>
          <cell r="O3418">
            <v>0</v>
          </cell>
          <cell r="Q3418">
            <v>0</v>
          </cell>
          <cell r="R3418">
            <v>0</v>
          </cell>
          <cell r="T3418">
            <v>0</v>
          </cell>
          <cell r="U3418">
            <v>0</v>
          </cell>
          <cell r="W3418">
            <v>0</v>
          </cell>
          <cell r="X3418">
            <v>0</v>
          </cell>
          <cell r="Z3418">
            <v>0</v>
          </cell>
          <cell r="AA3418">
            <v>0</v>
          </cell>
          <cell r="AC3418">
            <v>768.0999999998603</v>
          </cell>
          <cell r="AD3418">
            <v>0</v>
          </cell>
          <cell r="AF3418">
            <v>17716.949999999953</v>
          </cell>
          <cell r="AG3418">
            <v>0</v>
          </cell>
          <cell r="AI3418">
            <v>14332.14999999851</v>
          </cell>
          <cell r="AJ3418">
            <v>0</v>
          </cell>
          <cell r="AL3418">
            <v>27473.499999999069</v>
          </cell>
          <cell r="AM3418">
            <v>0</v>
          </cell>
          <cell r="AO3418">
            <v>760000</v>
          </cell>
          <cell r="AP3418">
            <v>0</v>
          </cell>
          <cell r="AR3418">
            <v>-98422.099999999627</v>
          </cell>
          <cell r="AS3418">
            <v>0</v>
          </cell>
          <cell r="BF3418" t="str">
            <v>8600</v>
          </cell>
          <cell r="BG3418" t="str">
            <v>P202</v>
          </cell>
          <cell r="BH3418" t="str">
            <v>CC2</v>
          </cell>
        </row>
        <row r="3419">
          <cell r="K3419">
            <v>0</v>
          </cell>
          <cell r="L3419">
            <v>0</v>
          </cell>
          <cell r="N3419">
            <v>0</v>
          </cell>
          <cell r="O3419">
            <v>0</v>
          </cell>
          <cell r="Q3419">
            <v>0</v>
          </cell>
          <cell r="R3419">
            <v>0</v>
          </cell>
          <cell r="T3419">
            <v>0</v>
          </cell>
          <cell r="U3419">
            <v>0</v>
          </cell>
          <cell r="W3419">
            <v>0</v>
          </cell>
          <cell r="X3419">
            <v>0</v>
          </cell>
          <cell r="Z3419">
            <v>0</v>
          </cell>
          <cell r="AA3419">
            <v>0</v>
          </cell>
          <cell r="AC3419">
            <v>3859.089999999851</v>
          </cell>
          <cell r="AD3419">
            <v>0</v>
          </cell>
          <cell r="AF3419">
            <v>7114.5999999998603</v>
          </cell>
          <cell r="AG3419">
            <v>0</v>
          </cell>
          <cell r="AI3419">
            <v>5122.2500000002328</v>
          </cell>
          <cell r="AJ3419">
            <v>0</v>
          </cell>
          <cell r="AL3419">
            <v>24208.050000000279</v>
          </cell>
          <cell r="AM3419">
            <v>0</v>
          </cell>
          <cell r="AO3419">
            <v>28991</v>
          </cell>
          <cell r="AP3419">
            <v>0</v>
          </cell>
          <cell r="AR3419">
            <v>368626.04000000004</v>
          </cell>
          <cell r="AS3419">
            <v>0</v>
          </cell>
          <cell r="BF3419" t="str">
            <v>8600</v>
          </cell>
          <cell r="BG3419" t="str">
            <v>P203</v>
          </cell>
          <cell r="BH3419" t="str">
            <v>CC3</v>
          </cell>
        </row>
        <row r="3420">
          <cell r="K3420">
            <v>0</v>
          </cell>
          <cell r="L3420">
            <v>0</v>
          </cell>
          <cell r="N3420">
            <v>0</v>
          </cell>
          <cell r="O3420">
            <v>0</v>
          </cell>
          <cell r="Q3420">
            <v>0</v>
          </cell>
          <cell r="R3420">
            <v>0</v>
          </cell>
          <cell r="T3420">
            <v>0</v>
          </cell>
          <cell r="U3420">
            <v>0</v>
          </cell>
          <cell r="W3420">
            <v>0</v>
          </cell>
          <cell r="X3420">
            <v>0</v>
          </cell>
          <cell r="Z3420">
            <v>0</v>
          </cell>
          <cell r="AA3420">
            <v>0</v>
          </cell>
          <cell r="AC3420">
            <v>59298.480000000214</v>
          </cell>
          <cell r="AD3420">
            <v>0</v>
          </cell>
          <cell r="AF3420">
            <v>1748.7500000002328</v>
          </cell>
          <cell r="AG3420">
            <v>0</v>
          </cell>
          <cell r="AI3420">
            <v>-5754.9899999997579</v>
          </cell>
          <cell r="AJ3420">
            <v>0</v>
          </cell>
          <cell r="AL3420">
            <v>27361.650000000838</v>
          </cell>
          <cell r="AM3420">
            <v>0</v>
          </cell>
          <cell r="AO3420">
            <v>0</v>
          </cell>
          <cell r="AP3420">
            <v>0</v>
          </cell>
          <cell r="AR3420">
            <v>144716.41000000015</v>
          </cell>
          <cell r="AS3420">
            <v>0</v>
          </cell>
          <cell r="BF3420" t="str">
            <v>8600</v>
          </cell>
          <cell r="BG3420" t="str">
            <v>P204</v>
          </cell>
          <cell r="BH3420" t="str">
            <v>CC4</v>
          </cell>
        </row>
        <row r="3421">
          <cell r="K3421">
            <v>0</v>
          </cell>
          <cell r="L3421">
            <v>0</v>
          </cell>
          <cell r="N3421">
            <v>0</v>
          </cell>
          <cell r="O3421">
            <v>0</v>
          </cell>
          <cell r="Q3421">
            <v>0</v>
          </cell>
          <cell r="R3421">
            <v>0</v>
          </cell>
          <cell r="T3421">
            <v>0</v>
          </cell>
          <cell r="U3421">
            <v>0</v>
          </cell>
          <cell r="W3421">
            <v>0</v>
          </cell>
          <cell r="X3421">
            <v>0</v>
          </cell>
          <cell r="Z3421">
            <v>0</v>
          </cell>
          <cell r="AA3421">
            <v>0</v>
          </cell>
          <cell r="AC3421">
            <v>30653.409999999916</v>
          </cell>
          <cell r="AD3421">
            <v>0</v>
          </cell>
          <cell r="AF3421">
            <v>27202.550000000279</v>
          </cell>
          <cell r="AG3421">
            <v>0</v>
          </cell>
          <cell r="AI3421">
            <v>-57752.300000000047</v>
          </cell>
          <cell r="AJ3421">
            <v>0</v>
          </cell>
          <cell r="AL3421">
            <v>44832.910000000149</v>
          </cell>
          <cell r="AM3421">
            <v>0</v>
          </cell>
          <cell r="AO3421">
            <v>0</v>
          </cell>
          <cell r="AP3421">
            <v>0</v>
          </cell>
          <cell r="AR3421">
            <v>298463.12999999989</v>
          </cell>
          <cell r="AS3421">
            <v>0</v>
          </cell>
          <cell r="BF3421" t="str">
            <v>8600</v>
          </cell>
          <cell r="BG3421" t="str">
            <v>P205</v>
          </cell>
          <cell r="BH3421" t="str">
            <v>CC6</v>
          </cell>
        </row>
        <row r="3422">
          <cell r="K3422">
            <v>0</v>
          </cell>
          <cell r="L3422">
            <v>0</v>
          </cell>
          <cell r="N3422">
            <v>0</v>
          </cell>
          <cell r="O3422">
            <v>0</v>
          </cell>
          <cell r="Q3422">
            <v>0</v>
          </cell>
          <cell r="R3422">
            <v>0</v>
          </cell>
          <cell r="T3422">
            <v>0</v>
          </cell>
          <cell r="U3422">
            <v>0</v>
          </cell>
          <cell r="W3422">
            <v>0</v>
          </cell>
          <cell r="X3422">
            <v>0</v>
          </cell>
          <cell r="Z3422">
            <v>0</v>
          </cell>
          <cell r="AA3422">
            <v>0</v>
          </cell>
          <cell r="AC3422">
            <v>-4790</v>
          </cell>
          <cell r="AD3422">
            <v>0</v>
          </cell>
          <cell r="AF3422">
            <v>0</v>
          </cell>
          <cell r="AG3422">
            <v>0</v>
          </cell>
          <cell r="AI3422">
            <v>4790</v>
          </cell>
          <cell r="AJ3422">
            <v>0</v>
          </cell>
          <cell r="AL3422">
            <v>0</v>
          </cell>
          <cell r="AM3422">
            <v>0</v>
          </cell>
          <cell r="AO3422">
            <v>0</v>
          </cell>
          <cell r="AP3422">
            <v>0</v>
          </cell>
          <cell r="AR3422">
            <v>0</v>
          </cell>
          <cell r="AS3422">
            <v>0</v>
          </cell>
          <cell r="BF3422" t="str">
            <v>9000</v>
          </cell>
          <cell r="BG3422" t="str">
            <v>Q104</v>
          </cell>
          <cell r="BH3422" t="str">
            <v>CC1</v>
          </cell>
        </row>
        <row r="3423">
          <cell r="K3423">
            <v>0</v>
          </cell>
          <cell r="L3423">
            <v>0</v>
          </cell>
          <cell r="N3423">
            <v>0</v>
          </cell>
          <cell r="O3423">
            <v>0</v>
          </cell>
          <cell r="Q3423">
            <v>0</v>
          </cell>
          <cell r="R3423">
            <v>0</v>
          </cell>
          <cell r="T3423">
            <v>0</v>
          </cell>
          <cell r="U3423">
            <v>0</v>
          </cell>
          <cell r="W3423">
            <v>0</v>
          </cell>
          <cell r="X3423">
            <v>0</v>
          </cell>
          <cell r="Z3423">
            <v>0</v>
          </cell>
          <cell r="AA3423">
            <v>0</v>
          </cell>
          <cell r="AC3423">
            <v>0</v>
          </cell>
          <cell r="AD3423">
            <v>0</v>
          </cell>
          <cell r="AF3423">
            <v>0</v>
          </cell>
          <cell r="AG3423">
            <v>0</v>
          </cell>
          <cell r="AI3423">
            <v>0</v>
          </cell>
          <cell r="AJ3423">
            <v>0</v>
          </cell>
          <cell r="AL3423">
            <v>0</v>
          </cell>
          <cell r="AM3423">
            <v>0</v>
          </cell>
          <cell r="AO3423">
            <v>0</v>
          </cell>
          <cell r="AP3423">
            <v>0</v>
          </cell>
          <cell r="AR3423">
            <v>0</v>
          </cell>
          <cell r="AS3423">
            <v>0</v>
          </cell>
          <cell r="BF3423" t="str">
            <v>9000</v>
          </cell>
          <cell r="BG3423" t="str">
            <v>Q104</v>
          </cell>
          <cell r="BH3423" t="str">
            <v>CC3</v>
          </cell>
        </row>
        <row r="3424">
          <cell r="K3424">
            <v>0</v>
          </cell>
          <cell r="L3424">
            <v>0</v>
          </cell>
          <cell r="N3424">
            <v>0</v>
          </cell>
          <cell r="O3424">
            <v>0</v>
          </cell>
          <cell r="Q3424">
            <v>0</v>
          </cell>
          <cell r="R3424">
            <v>0</v>
          </cell>
          <cell r="T3424">
            <v>0</v>
          </cell>
          <cell r="U3424">
            <v>0</v>
          </cell>
          <cell r="W3424">
            <v>0</v>
          </cell>
          <cell r="X3424">
            <v>0</v>
          </cell>
          <cell r="Z3424">
            <v>0</v>
          </cell>
          <cell r="AA3424">
            <v>0</v>
          </cell>
          <cell r="AC3424">
            <v>0</v>
          </cell>
          <cell r="AD3424">
            <v>0</v>
          </cell>
          <cell r="AF3424">
            <v>0</v>
          </cell>
          <cell r="AG3424">
            <v>0</v>
          </cell>
          <cell r="AI3424">
            <v>0</v>
          </cell>
          <cell r="AJ3424">
            <v>0</v>
          </cell>
          <cell r="AL3424">
            <v>0</v>
          </cell>
          <cell r="AM3424">
            <v>0</v>
          </cell>
          <cell r="AO3424">
            <v>0</v>
          </cell>
          <cell r="AP3424">
            <v>0</v>
          </cell>
          <cell r="AR3424">
            <v>0</v>
          </cell>
          <cell r="AS3424">
            <v>0</v>
          </cell>
          <cell r="BF3424" t="str">
            <v>9000</v>
          </cell>
          <cell r="BG3424" t="str">
            <v>Q104</v>
          </cell>
          <cell r="BH3424" t="str">
            <v>CC4</v>
          </cell>
        </row>
        <row r="3425">
          <cell r="K3425">
            <v>0</v>
          </cell>
          <cell r="L3425">
            <v>0</v>
          </cell>
          <cell r="N3425">
            <v>0</v>
          </cell>
          <cell r="O3425">
            <v>0</v>
          </cell>
          <cell r="Q3425">
            <v>0</v>
          </cell>
          <cell r="R3425">
            <v>0</v>
          </cell>
          <cell r="T3425">
            <v>0</v>
          </cell>
          <cell r="U3425">
            <v>0</v>
          </cell>
          <cell r="W3425">
            <v>0</v>
          </cell>
          <cell r="X3425">
            <v>0</v>
          </cell>
          <cell r="Z3425">
            <v>0</v>
          </cell>
          <cell r="AA3425">
            <v>0</v>
          </cell>
          <cell r="AC3425">
            <v>306616.38</v>
          </cell>
          <cell r="AD3425">
            <v>0</v>
          </cell>
          <cell r="AF3425">
            <v>12023.639999999898</v>
          </cell>
          <cell r="AG3425">
            <v>0</v>
          </cell>
          <cell r="AI3425">
            <v>-31717.529999999912</v>
          </cell>
          <cell r="AJ3425">
            <v>0</v>
          </cell>
          <cell r="AL3425">
            <v>-20958.440000000061</v>
          </cell>
          <cell r="AM3425">
            <v>0</v>
          </cell>
          <cell r="AO3425">
            <v>150129.93999999971</v>
          </cell>
          <cell r="AP3425">
            <v>0</v>
          </cell>
          <cell r="AR3425">
            <v>-29820.079999999958</v>
          </cell>
          <cell r="AS3425">
            <v>0</v>
          </cell>
          <cell r="BF3425" t="str">
            <v>9000</v>
          </cell>
          <cell r="BG3425" t="str">
            <v>Z000</v>
          </cell>
          <cell r="BH3425" t="str">
            <v>CC0</v>
          </cell>
        </row>
        <row r="3426">
          <cell r="K3426">
            <v>0</v>
          </cell>
          <cell r="L3426">
            <v>0</v>
          </cell>
          <cell r="N3426">
            <v>0</v>
          </cell>
          <cell r="O3426">
            <v>0</v>
          </cell>
          <cell r="Q3426">
            <v>0</v>
          </cell>
          <cell r="R3426">
            <v>0</v>
          </cell>
          <cell r="T3426">
            <v>0</v>
          </cell>
          <cell r="U3426">
            <v>0</v>
          </cell>
          <cell r="W3426">
            <v>0</v>
          </cell>
          <cell r="X3426">
            <v>0</v>
          </cell>
          <cell r="Z3426">
            <v>0</v>
          </cell>
          <cell r="AA3426">
            <v>0</v>
          </cell>
          <cell r="AC3426">
            <v>15728.079999999994</v>
          </cell>
          <cell r="AD3426">
            <v>0</v>
          </cell>
          <cell r="AF3426">
            <v>13476.389999999992</v>
          </cell>
          <cell r="AG3426">
            <v>0</v>
          </cell>
          <cell r="AI3426">
            <v>-7644.3600000000006</v>
          </cell>
          <cell r="AJ3426">
            <v>0</v>
          </cell>
          <cell r="AL3426">
            <v>15174.510000000009</v>
          </cell>
          <cell r="AM3426">
            <v>0</v>
          </cell>
          <cell r="AO3426">
            <v>0</v>
          </cell>
          <cell r="AP3426">
            <v>0</v>
          </cell>
          <cell r="AR3426">
            <v>0</v>
          </cell>
          <cell r="AS3426">
            <v>0</v>
          </cell>
          <cell r="BF3426" t="str">
            <v>9000</v>
          </cell>
          <cell r="BG3426" t="str">
            <v>Z000</v>
          </cell>
          <cell r="BH3426" t="str">
            <v>CC1</v>
          </cell>
        </row>
        <row r="3427">
          <cell r="K3427">
            <v>0</v>
          </cell>
          <cell r="L3427">
            <v>0</v>
          </cell>
          <cell r="N3427">
            <v>0</v>
          </cell>
          <cell r="O3427">
            <v>0</v>
          </cell>
          <cell r="Q3427">
            <v>0</v>
          </cell>
          <cell r="R3427">
            <v>0</v>
          </cell>
          <cell r="T3427">
            <v>0</v>
          </cell>
          <cell r="U3427">
            <v>0</v>
          </cell>
          <cell r="W3427">
            <v>0</v>
          </cell>
          <cell r="X3427">
            <v>0</v>
          </cell>
          <cell r="Z3427">
            <v>0</v>
          </cell>
          <cell r="AA3427">
            <v>0</v>
          </cell>
          <cell r="AC3427">
            <v>17461.499999999996</v>
          </cell>
          <cell r="AD3427">
            <v>0</v>
          </cell>
          <cell r="AF3427">
            <v>7036.3100000000013</v>
          </cell>
          <cell r="AG3427">
            <v>0</v>
          </cell>
          <cell r="AI3427">
            <v>-5621.6000000000349</v>
          </cell>
          <cell r="AJ3427">
            <v>0</v>
          </cell>
          <cell r="AL3427">
            <v>18180.559999999998</v>
          </cell>
          <cell r="AM3427">
            <v>0</v>
          </cell>
          <cell r="AO3427">
            <v>0</v>
          </cell>
          <cell r="AP3427">
            <v>0</v>
          </cell>
          <cell r="AR3427">
            <v>0</v>
          </cell>
          <cell r="AS3427">
            <v>0</v>
          </cell>
          <cell r="BF3427" t="str">
            <v>9000</v>
          </cell>
          <cell r="BG3427" t="str">
            <v>Z000</v>
          </cell>
          <cell r="BH3427" t="str">
            <v>CC2</v>
          </cell>
        </row>
        <row r="3428">
          <cell r="K3428">
            <v>0</v>
          </cell>
          <cell r="L3428">
            <v>0</v>
          </cell>
          <cell r="N3428">
            <v>0</v>
          </cell>
          <cell r="O3428">
            <v>0</v>
          </cell>
          <cell r="Q3428">
            <v>0</v>
          </cell>
          <cell r="R3428">
            <v>0</v>
          </cell>
          <cell r="T3428">
            <v>0</v>
          </cell>
          <cell r="U3428">
            <v>0</v>
          </cell>
          <cell r="W3428">
            <v>0</v>
          </cell>
          <cell r="X3428">
            <v>0</v>
          </cell>
          <cell r="Z3428">
            <v>0</v>
          </cell>
          <cell r="AA3428">
            <v>0</v>
          </cell>
          <cell r="AC3428">
            <v>8061.9599999999991</v>
          </cell>
          <cell r="AD3428">
            <v>0</v>
          </cell>
          <cell r="AF3428">
            <v>3427.9400000000096</v>
          </cell>
          <cell r="AG3428">
            <v>0</v>
          </cell>
          <cell r="AI3428">
            <v>1250</v>
          </cell>
          <cell r="AJ3428">
            <v>0</v>
          </cell>
          <cell r="AL3428">
            <v>153</v>
          </cell>
          <cell r="AM3428">
            <v>0</v>
          </cell>
          <cell r="AO3428">
            <v>0</v>
          </cell>
          <cell r="AP3428">
            <v>0</v>
          </cell>
          <cell r="AR3428">
            <v>0</v>
          </cell>
          <cell r="AS3428">
            <v>0</v>
          </cell>
          <cell r="BF3428" t="str">
            <v>9000</v>
          </cell>
          <cell r="BG3428" t="str">
            <v>Z000</v>
          </cell>
          <cell r="BH3428" t="str">
            <v>CC3</v>
          </cell>
        </row>
        <row r="3429">
          <cell r="K3429">
            <v>0</v>
          </cell>
          <cell r="L3429">
            <v>0</v>
          </cell>
          <cell r="N3429">
            <v>0</v>
          </cell>
          <cell r="O3429">
            <v>0</v>
          </cell>
          <cell r="Q3429">
            <v>0</v>
          </cell>
          <cell r="R3429">
            <v>0</v>
          </cell>
          <cell r="T3429">
            <v>0</v>
          </cell>
          <cell r="U3429">
            <v>0</v>
          </cell>
          <cell r="W3429">
            <v>0</v>
          </cell>
          <cell r="X3429">
            <v>0</v>
          </cell>
          <cell r="Z3429">
            <v>0</v>
          </cell>
          <cell r="AA3429">
            <v>0</v>
          </cell>
          <cell r="AC3429">
            <v>7932.68</v>
          </cell>
          <cell r="AD3429">
            <v>0</v>
          </cell>
          <cell r="AF3429">
            <v>4633.82</v>
          </cell>
          <cell r="AG3429">
            <v>0</v>
          </cell>
          <cell r="AI3429">
            <v>1250</v>
          </cell>
          <cell r="AJ3429">
            <v>0</v>
          </cell>
          <cell r="AL3429">
            <v>1188.0000000000073</v>
          </cell>
          <cell r="AM3429">
            <v>0</v>
          </cell>
          <cell r="AO3429">
            <v>0</v>
          </cell>
          <cell r="AP3429">
            <v>0</v>
          </cell>
          <cell r="AR3429">
            <v>0</v>
          </cell>
          <cell r="AS3429">
            <v>0</v>
          </cell>
          <cell r="BF3429" t="str">
            <v>9000</v>
          </cell>
          <cell r="BG3429" t="str">
            <v>Z000</v>
          </cell>
          <cell r="BH3429" t="str">
            <v>CC4</v>
          </cell>
        </row>
        <row r="3430">
          <cell r="K3430">
            <v>0</v>
          </cell>
          <cell r="L3430">
            <v>0</v>
          </cell>
          <cell r="N3430">
            <v>0</v>
          </cell>
          <cell r="O3430">
            <v>0</v>
          </cell>
          <cell r="Q3430">
            <v>0</v>
          </cell>
          <cell r="R3430">
            <v>0</v>
          </cell>
          <cell r="T3430">
            <v>0</v>
          </cell>
          <cell r="U3430">
            <v>0</v>
          </cell>
          <cell r="W3430">
            <v>0</v>
          </cell>
          <cell r="X3430">
            <v>0</v>
          </cell>
          <cell r="Z3430">
            <v>0</v>
          </cell>
          <cell r="AA3430">
            <v>0</v>
          </cell>
          <cell r="AC3430">
            <v>18140.049999999996</v>
          </cell>
          <cell r="AD3430">
            <v>0</v>
          </cell>
          <cell r="AF3430">
            <v>3167.9000000000015</v>
          </cell>
          <cell r="AG3430">
            <v>0</v>
          </cell>
          <cell r="AI3430">
            <v>1250</v>
          </cell>
          <cell r="AJ3430">
            <v>0</v>
          </cell>
          <cell r="AL3430">
            <v>1457.1499999999978</v>
          </cell>
          <cell r="AM3430">
            <v>0</v>
          </cell>
          <cell r="AO3430">
            <v>0</v>
          </cell>
          <cell r="AP3430">
            <v>0</v>
          </cell>
          <cell r="AR3430">
            <v>0</v>
          </cell>
          <cell r="AS3430">
            <v>0</v>
          </cell>
          <cell r="BF3430" t="str">
            <v>9000</v>
          </cell>
          <cell r="BG3430" t="str">
            <v>Z000</v>
          </cell>
          <cell r="BH3430" t="str">
            <v>CC6</v>
          </cell>
        </row>
        <row r="3431">
          <cell r="K3431">
            <v>0</v>
          </cell>
          <cell r="L3431">
            <v>0</v>
          </cell>
          <cell r="N3431">
            <v>0</v>
          </cell>
          <cell r="O3431">
            <v>0</v>
          </cell>
          <cell r="Q3431">
            <v>0</v>
          </cell>
          <cell r="R3431">
            <v>0</v>
          </cell>
          <cell r="T3431">
            <v>0</v>
          </cell>
          <cell r="U3431">
            <v>0</v>
          </cell>
          <cell r="W3431">
            <v>0</v>
          </cell>
          <cell r="X3431">
            <v>0</v>
          </cell>
          <cell r="Z3431">
            <v>0</v>
          </cell>
          <cell r="AA3431">
            <v>0</v>
          </cell>
          <cell r="AC3431">
            <v>0</v>
          </cell>
          <cell r="AD3431">
            <v>0</v>
          </cell>
          <cell r="AF3431">
            <v>4770.0000000000018</v>
          </cell>
          <cell r="AG3431">
            <v>0</v>
          </cell>
          <cell r="AI3431">
            <v>24436.6</v>
          </cell>
          <cell r="AJ3431">
            <v>0</v>
          </cell>
          <cell r="AL3431">
            <v>16291.37999999999</v>
          </cell>
          <cell r="AM3431">
            <v>0</v>
          </cell>
          <cell r="AO3431">
            <v>41924.580000000009</v>
          </cell>
          <cell r="AP3431">
            <v>0</v>
          </cell>
          <cell r="AR3431">
            <v>-8609.8000000000029</v>
          </cell>
          <cell r="AS3431">
            <v>0</v>
          </cell>
          <cell r="BF3431" t="str">
            <v>9050</v>
          </cell>
          <cell r="BG3431" t="str">
            <v>Z000</v>
          </cell>
          <cell r="BH3431" t="str">
            <v>CC0</v>
          </cell>
        </row>
        <row r="3432">
          <cell r="K3432">
            <v>0</v>
          </cell>
          <cell r="L3432">
            <v>0</v>
          </cell>
          <cell r="N3432">
            <v>0</v>
          </cell>
          <cell r="O3432">
            <v>0</v>
          </cell>
          <cell r="Q3432">
            <v>0</v>
          </cell>
          <cell r="R3432">
            <v>0</v>
          </cell>
          <cell r="T3432">
            <v>0</v>
          </cell>
          <cell r="U3432">
            <v>0</v>
          </cell>
          <cell r="W3432">
            <v>0</v>
          </cell>
          <cell r="X3432">
            <v>0</v>
          </cell>
          <cell r="Z3432">
            <v>0</v>
          </cell>
          <cell r="AA3432">
            <v>0</v>
          </cell>
          <cell r="AC3432">
            <v>11863.06</v>
          </cell>
          <cell r="AD3432">
            <v>0</v>
          </cell>
          <cell r="AF3432">
            <v>0</v>
          </cell>
          <cell r="AG3432">
            <v>0</v>
          </cell>
          <cell r="AI3432">
            <v>0</v>
          </cell>
          <cell r="AJ3432">
            <v>0</v>
          </cell>
          <cell r="AL3432">
            <v>0</v>
          </cell>
          <cell r="AM3432">
            <v>0</v>
          </cell>
          <cell r="AO3432">
            <v>0</v>
          </cell>
          <cell r="AP3432">
            <v>0</v>
          </cell>
          <cell r="AR3432">
            <v>0</v>
          </cell>
          <cell r="AS3432">
            <v>0</v>
          </cell>
          <cell r="BF3432" t="str">
            <v>9051</v>
          </cell>
          <cell r="BG3432" t="str">
            <v>Q301</v>
          </cell>
          <cell r="BH3432" t="str">
            <v>CC1</v>
          </cell>
        </row>
        <row r="3433">
          <cell r="K3433">
            <v>0</v>
          </cell>
          <cell r="L3433">
            <v>0</v>
          </cell>
          <cell r="N3433">
            <v>0</v>
          </cell>
          <cell r="O3433">
            <v>0</v>
          </cell>
          <cell r="Q3433">
            <v>0</v>
          </cell>
          <cell r="R3433">
            <v>0</v>
          </cell>
          <cell r="T3433">
            <v>0</v>
          </cell>
          <cell r="U3433">
            <v>0</v>
          </cell>
          <cell r="W3433">
            <v>0</v>
          </cell>
          <cell r="X3433">
            <v>0</v>
          </cell>
          <cell r="Z3433">
            <v>0</v>
          </cell>
          <cell r="AA3433">
            <v>0</v>
          </cell>
          <cell r="AC3433">
            <v>4708.18</v>
          </cell>
          <cell r="AD3433">
            <v>0</v>
          </cell>
          <cell r="AF3433">
            <v>0</v>
          </cell>
          <cell r="AG3433">
            <v>0</v>
          </cell>
          <cell r="AI3433">
            <v>0</v>
          </cell>
          <cell r="AJ3433">
            <v>0</v>
          </cell>
          <cell r="AL3433">
            <v>0</v>
          </cell>
          <cell r="AM3433">
            <v>0</v>
          </cell>
          <cell r="AO3433">
            <v>0</v>
          </cell>
          <cell r="AP3433">
            <v>0</v>
          </cell>
          <cell r="AR3433">
            <v>0</v>
          </cell>
          <cell r="AS3433">
            <v>0</v>
          </cell>
          <cell r="BF3433" t="str">
            <v>9051</v>
          </cell>
          <cell r="BG3433" t="str">
            <v>Q301</v>
          </cell>
          <cell r="BH3433" t="str">
            <v>CC2</v>
          </cell>
        </row>
        <row r="3434">
          <cell r="K3434">
            <v>0</v>
          </cell>
          <cell r="L3434">
            <v>0</v>
          </cell>
          <cell r="N3434">
            <v>0</v>
          </cell>
          <cell r="O3434">
            <v>0</v>
          </cell>
          <cell r="Q3434">
            <v>0</v>
          </cell>
          <cell r="R3434">
            <v>0</v>
          </cell>
          <cell r="T3434">
            <v>0</v>
          </cell>
          <cell r="U3434">
            <v>0</v>
          </cell>
          <cell r="W3434">
            <v>0</v>
          </cell>
          <cell r="X3434">
            <v>0</v>
          </cell>
          <cell r="Z3434">
            <v>0</v>
          </cell>
          <cell r="AA3434">
            <v>0</v>
          </cell>
          <cell r="AC3434">
            <v>3604.62</v>
          </cell>
          <cell r="AD3434">
            <v>0</v>
          </cell>
          <cell r="AF3434">
            <v>0</v>
          </cell>
          <cell r="AG3434">
            <v>0</v>
          </cell>
          <cell r="AI3434">
            <v>0</v>
          </cell>
          <cell r="AJ3434">
            <v>0</v>
          </cell>
          <cell r="AL3434">
            <v>0</v>
          </cell>
          <cell r="AM3434">
            <v>0</v>
          </cell>
          <cell r="AO3434">
            <v>0</v>
          </cell>
          <cell r="AP3434">
            <v>0</v>
          </cell>
          <cell r="AR3434">
            <v>0</v>
          </cell>
          <cell r="AS3434">
            <v>0</v>
          </cell>
          <cell r="BF3434" t="str">
            <v>9051</v>
          </cell>
          <cell r="BG3434" t="str">
            <v>Q301</v>
          </cell>
          <cell r="BH3434" t="str">
            <v>CC3</v>
          </cell>
        </row>
        <row r="3435">
          <cell r="K3435">
            <v>0</v>
          </cell>
          <cell r="L3435">
            <v>0</v>
          </cell>
          <cell r="N3435">
            <v>0</v>
          </cell>
          <cell r="O3435">
            <v>0</v>
          </cell>
          <cell r="Q3435">
            <v>0</v>
          </cell>
          <cell r="R3435">
            <v>0</v>
          </cell>
          <cell r="T3435">
            <v>0</v>
          </cell>
          <cell r="U3435">
            <v>0</v>
          </cell>
          <cell r="W3435">
            <v>0</v>
          </cell>
          <cell r="X3435">
            <v>0</v>
          </cell>
          <cell r="Z3435">
            <v>0</v>
          </cell>
          <cell r="AA3435">
            <v>0</v>
          </cell>
          <cell r="AC3435">
            <v>1140.47</v>
          </cell>
          <cell r="AD3435">
            <v>0</v>
          </cell>
          <cell r="AF3435">
            <v>0</v>
          </cell>
          <cell r="AG3435">
            <v>0</v>
          </cell>
          <cell r="AI3435">
            <v>0</v>
          </cell>
          <cell r="AJ3435">
            <v>0</v>
          </cell>
          <cell r="AL3435">
            <v>0</v>
          </cell>
          <cell r="AM3435">
            <v>0</v>
          </cell>
          <cell r="AO3435">
            <v>0</v>
          </cell>
          <cell r="AP3435">
            <v>0</v>
          </cell>
          <cell r="AR3435">
            <v>0</v>
          </cell>
          <cell r="AS3435">
            <v>0</v>
          </cell>
          <cell r="BF3435" t="str">
            <v>9051</v>
          </cell>
          <cell r="BG3435" t="str">
            <v>Q301</v>
          </cell>
          <cell r="BH3435" t="str">
            <v>CC4</v>
          </cell>
        </row>
        <row r="3436">
          <cell r="K3436">
            <v>0</v>
          </cell>
          <cell r="L3436">
            <v>0</v>
          </cell>
          <cell r="N3436">
            <v>0</v>
          </cell>
          <cell r="O3436">
            <v>0</v>
          </cell>
          <cell r="Q3436">
            <v>0</v>
          </cell>
          <cell r="R3436">
            <v>0</v>
          </cell>
          <cell r="T3436">
            <v>0</v>
          </cell>
          <cell r="U3436">
            <v>0</v>
          </cell>
          <cell r="W3436">
            <v>0</v>
          </cell>
          <cell r="X3436">
            <v>0</v>
          </cell>
          <cell r="Z3436">
            <v>0</v>
          </cell>
          <cell r="AA3436">
            <v>0</v>
          </cell>
          <cell r="AC3436">
            <v>10</v>
          </cell>
          <cell r="AD3436">
            <v>0</v>
          </cell>
          <cell r="AF3436">
            <v>0</v>
          </cell>
          <cell r="AG3436">
            <v>0</v>
          </cell>
          <cell r="AI3436">
            <v>0</v>
          </cell>
          <cell r="AJ3436">
            <v>0</v>
          </cell>
          <cell r="AL3436">
            <v>0</v>
          </cell>
          <cell r="AM3436">
            <v>0</v>
          </cell>
          <cell r="AO3436">
            <v>0</v>
          </cell>
          <cell r="AP3436">
            <v>0</v>
          </cell>
          <cell r="AR3436">
            <v>0</v>
          </cell>
          <cell r="AS3436">
            <v>0</v>
          </cell>
          <cell r="BF3436" t="str">
            <v>9051</v>
          </cell>
          <cell r="BG3436" t="str">
            <v>Q301</v>
          </cell>
          <cell r="BH3436" t="str">
            <v>CC6</v>
          </cell>
        </row>
        <row r="3437">
          <cell r="K3437">
            <v>0</v>
          </cell>
          <cell r="L3437">
            <v>0</v>
          </cell>
          <cell r="N3437">
            <v>0</v>
          </cell>
          <cell r="O3437">
            <v>0</v>
          </cell>
          <cell r="Q3437">
            <v>0</v>
          </cell>
          <cell r="R3437">
            <v>0</v>
          </cell>
          <cell r="T3437">
            <v>0</v>
          </cell>
          <cell r="U3437">
            <v>0</v>
          </cell>
          <cell r="W3437">
            <v>0</v>
          </cell>
          <cell r="X3437">
            <v>0</v>
          </cell>
          <cell r="Z3437">
            <v>0</v>
          </cell>
          <cell r="AA3437">
            <v>0</v>
          </cell>
          <cell r="AC3437">
            <v>0</v>
          </cell>
          <cell r="AD3437">
            <v>0</v>
          </cell>
          <cell r="AF3437">
            <v>0</v>
          </cell>
          <cell r="AG3437">
            <v>0</v>
          </cell>
          <cell r="AI3437">
            <v>0</v>
          </cell>
          <cell r="AJ3437">
            <v>0</v>
          </cell>
          <cell r="AL3437">
            <v>0</v>
          </cell>
          <cell r="AM3437">
            <v>0</v>
          </cell>
          <cell r="AO3437">
            <v>0</v>
          </cell>
          <cell r="AP3437">
            <v>0</v>
          </cell>
          <cell r="AR3437">
            <v>0</v>
          </cell>
          <cell r="AS3437">
            <v>0</v>
          </cell>
          <cell r="BF3437" t="str">
            <v>9100</v>
          </cell>
          <cell r="BG3437" t="str">
            <v>Z000</v>
          </cell>
          <cell r="BH3437" t="str">
            <v>CC0</v>
          </cell>
        </row>
        <row r="3438">
          <cell r="K3438">
            <v>0</v>
          </cell>
          <cell r="L3438">
            <v>0</v>
          </cell>
          <cell r="N3438">
            <v>0</v>
          </cell>
          <cell r="O3438">
            <v>0</v>
          </cell>
          <cell r="Q3438">
            <v>0</v>
          </cell>
          <cell r="R3438">
            <v>0</v>
          </cell>
          <cell r="T3438">
            <v>0</v>
          </cell>
          <cell r="U3438">
            <v>0</v>
          </cell>
          <cell r="W3438">
            <v>0</v>
          </cell>
          <cell r="X3438">
            <v>0</v>
          </cell>
          <cell r="Z3438">
            <v>0</v>
          </cell>
          <cell r="AA3438">
            <v>0</v>
          </cell>
          <cell r="AC3438">
            <v>24967.180000000004</v>
          </cell>
          <cell r="AD3438">
            <v>0</v>
          </cell>
          <cell r="AF3438">
            <v>-16070.530000000002</v>
          </cell>
          <cell r="AG3438">
            <v>0</v>
          </cell>
          <cell r="AI3438">
            <v>-8896.6299999999974</v>
          </cell>
          <cell r="AJ3438">
            <v>0</v>
          </cell>
          <cell r="AL3438">
            <v>0</v>
          </cell>
          <cell r="AM3438">
            <v>0</v>
          </cell>
          <cell r="AO3438">
            <v>0</v>
          </cell>
          <cell r="AP3438">
            <v>0</v>
          </cell>
          <cell r="AR3438">
            <v>0</v>
          </cell>
          <cell r="AS3438">
            <v>0</v>
          </cell>
          <cell r="BF3438" t="str">
            <v>9200</v>
          </cell>
          <cell r="BG3438" t="str">
            <v>Q001</v>
          </cell>
          <cell r="BH3438" t="str">
            <v>CC0</v>
          </cell>
        </row>
        <row r="3439">
          <cell r="K3439">
            <v>0</v>
          </cell>
          <cell r="L3439">
            <v>0</v>
          </cell>
          <cell r="N3439">
            <v>0</v>
          </cell>
          <cell r="O3439">
            <v>0</v>
          </cell>
          <cell r="Q3439">
            <v>0</v>
          </cell>
          <cell r="R3439">
            <v>0</v>
          </cell>
          <cell r="T3439">
            <v>0</v>
          </cell>
          <cell r="U3439">
            <v>0</v>
          </cell>
          <cell r="W3439">
            <v>0</v>
          </cell>
          <cell r="X3439">
            <v>0</v>
          </cell>
          <cell r="Z3439">
            <v>0</v>
          </cell>
          <cell r="AA3439">
            <v>0</v>
          </cell>
          <cell r="AC3439">
            <v>-16224.699999999983</v>
          </cell>
          <cell r="AD3439">
            <v>0</v>
          </cell>
          <cell r="AF3439">
            <v>16395.249999999971</v>
          </cell>
          <cell r="AG3439">
            <v>0</v>
          </cell>
          <cell r="AI3439">
            <v>-170.54999999998836</v>
          </cell>
          <cell r="AJ3439">
            <v>0</v>
          </cell>
          <cell r="AL3439">
            <v>0</v>
          </cell>
          <cell r="AM3439">
            <v>0</v>
          </cell>
          <cell r="AO3439">
            <v>0</v>
          </cell>
          <cell r="AP3439">
            <v>0</v>
          </cell>
          <cell r="AR3439">
            <v>0</v>
          </cell>
          <cell r="AS3439">
            <v>0</v>
          </cell>
          <cell r="BF3439" t="str">
            <v>9200</v>
          </cell>
          <cell r="BG3439" t="str">
            <v>Q003</v>
          </cell>
          <cell r="BH3439" t="str">
            <v>CC0</v>
          </cell>
        </row>
        <row r="3440">
          <cell r="K3440">
            <v>0</v>
          </cell>
          <cell r="L3440">
            <v>0</v>
          </cell>
          <cell r="N3440">
            <v>0</v>
          </cell>
          <cell r="O3440">
            <v>0</v>
          </cell>
          <cell r="Q3440">
            <v>0</v>
          </cell>
          <cell r="R3440">
            <v>0</v>
          </cell>
          <cell r="T3440">
            <v>0</v>
          </cell>
          <cell r="U3440">
            <v>0</v>
          </cell>
          <cell r="W3440">
            <v>0</v>
          </cell>
          <cell r="X3440">
            <v>0</v>
          </cell>
          <cell r="Z3440">
            <v>0</v>
          </cell>
          <cell r="AA3440">
            <v>0</v>
          </cell>
          <cell r="AC3440">
            <v>-278228.88999999966</v>
          </cell>
          <cell r="AD3440">
            <v>0</v>
          </cell>
          <cell r="AF3440">
            <v>-159489.91999999899</v>
          </cell>
          <cell r="AG3440">
            <v>0</v>
          </cell>
          <cell r="AI3440">
            <v>141204.21999999881</v>
          </cell>
          <cell r="AJ3440">
            <v>0</v>
          </cell>
          <cell r="AL3440">
            <v>-181604.48000000231</v>
          </cell>
          <cell r="AM3440">
            <v>0</v>
          </cell>
          <cell r="AO3440">
            <v>2932491.0199999958</v>
          </cell>
          <cell r="AP3440">
            <v>0</v>
          </cell>
          <cell r="AR3440">
            <v>-1879150.2699999996</v>
          </cell>
          <cell r="AS3440">
            <v>0</v>
          </cell>
          <cell r="BF3440" t="str">
            <v>9500</v>
          </cell>
          <cell r="BG3440" t="str">
            <v>Z000</v>
          </cell>
          <cell r="BH3440" t="str">
            <v>CC0</v>
          </cell>
        </row>
        <row r="3441">
          <cell r="K3441">
            <v>0</v>
          </cell>
          <cell r="L3441">
            <v>0</v>
          </cell>
          <cell r="N3441">
            <v>0</v>
          </cell>
          <cell r="O3441">
            <v>0</v>
          </cell>
          <cell r="Q3441">
            <v>0</v>
          </cell>
          <cell r="R3441">
            <v>0</v>
          </cell>
          <cell r="T3441">
            <v>0</v>
          </cell>
          <cell r="U3441">
            <v>0</v>
          </cell>
          <cell r="W3441">
            <v>0</v>
          </cell>
          <cell r="X3441">
            <v>0</v>
          </cell>
          <cell r="Z3441">
            <v>0</v>
          </cell>
          <cell r="AA3441">
            <v>0</v>
          </cell>
          <cell r="AC3441">
            <v>-30434.47999999996</v>
          </cell>
          <cell r="AD3441">
            <v>0</v>
          </cell>
          <cell r="AF3441">
            <v>-23662.850000000006</v>
          </cell>
          <cell r="AG3441">
            <v>0</v>
          </cell>
          <cell r="AI3441">
            <v>-30310.610000000008</v>
          </cell>
          <cell r="AJ3441">
            <v>0</v>
          </cell>
          <cell r="AL3441">
            <v>-12649.213928200013</v>
          </cell>
          <cell r="AM3441">
            <v>0</v>
          </cell>
          <cell r="AO3441">
            <v>0</v>
          </cell>
          <cell r="AP3441">
            <v>0</v>
          </cell>
          <cell r="AR3441">
            <v>0</v>
          </cell>
          <cell r="AS3441">
            <v>0</v>
          </cell>
          <cell r="BF3441" t="str">
            <v>9600</v>
          </cell>
          <cell r="BG3441" t="str">
            <v>Z000</v>
          </cell>
          <cell r="BH3441" t="str">
            <v>CC0</v>
          </cell>
        </row>
        <row r="3442">
          <cell r="K3442">
            <v>0</v>
          </cell>
          <cell r="L3442">
            <v>0</v>
          </cell>
          <cell r="N3442">
            <v>0</v>
          </cell>
          <cell r="O3442">
            <v>0</v>
          </cell>
          <cell r="Q3442">
            <v>0</v>
          </cell>
          <cell r="R3442">
            <v>0</v>
          </cell>
          <cell r="T3442">
            <v>0</v>
          </cell>
          <cell r="U3442">
            <v>0</v>
          </cell>
          <cell r="W3442">
            <v>0</v>
          </cell>
          <cell r="X3442">
            <v>0</v>
          </cell>
          <cell r="Z3442">
            <v>0</v>
          </cell>
          <cell r="AA3442">
            <v>0</v>
          </cell>
          <cell r="AC3442">
            <v>44727.839999999997</v>
          </cell>
          <cell r="AD3442">
            <v>0</v>
          </cell>
          <cell r="AF3442">
            <v>-10369.159999999996</v>
          </cell>
          <cell r="AG3442">
            <v>0</v>
          </cell>
          <cell r="AI3442">
            <v>-3100.5299999999988</v>
          </cell>
          <cell r="AJ3442">
            <v>0</v>
          </cell>
          <cell r="AL3442">
            <v>-12.139999999999418</v>
          </cell>
          <cell r="AM3442">
            <v>0</v>
          </cell>
          <cell r="AO3442">
            <v>0</v>
          </cell>
          <cell r="AP3442">
            <v>0</v>
          </cell>
          <cell r="AR3442">
            <v>0</v>
          </cell>
          <cell r="AS3442">
            <v>0</v>
          </cell>
          <cell r="BF3442" t="str">
            <v>9700</v>
          </cell>
          <cell r="BG3442" t="str">
            <v>Z000</v>
          </cell>
          <cell r="BH3442" t="str">
            <v>CC0</v>
          </cell>
        </row>
        <row r="3443">
          <cell r="K3443">
            <v>0</v>
          </cell>
          <cell r="L3443">
            <v>0</v>
          </cell>
          <cell r="N3443">
            <v>0</v>
          </cell>
          <cell r="O3443">
            <v>0</v>
          </cell>
          <cell r="Q3443">
            <v>0</v>
          </cell>
          <cell r="R3443">
            <v>0</v>
          </cell>
          <cell r="T3443">
            <v>0</v>
          </cell>
          <cell r="U3443">
            <v>0</v>
          </cell>
          <cell r="W3443">
            <v>0</v>
          </cell>
          <cell r="X3443">
            <v>0</v>
          </cell>
          <cell r="Z3443">
            <v>0</v>
          </cell>
          <cell r="AA3443">
            <v>0</v>
          </cell>
          <cell r="AC3443">
            <v>-7532.83</v>
          </cell>
          <cell r="AD3443">
            <v>0</v>
          </cell>
          <cell r="AF3443">
            <v>0</v>
          </cell>
          <cell r="AG3443">
            <v>0</v>
          </cell>
          <cell r="AI3443">
            <v>0</v>
          </cell>
          <cell r="AJ3443">
            <v>0</v>
          </cell>
          <cell r="AL3443">
            <v>0</v>
          </cell>
          <cell r="AM3443">
            <v>0</v>
          </cell>
          <cell r="AO3443">
            <v>0</v>
          </cell>
          <cell r="AP3443">
            <v>0</v>
          </cell>
          <cell r="AR3443">
            <v>0</v>
          </cell>
          <cell r="AS3443">
            <v>0</v>
          </cell>
          <cell r="BF3443" t="str">
            <v>9702</v>
          </cell>
          <cell r="BG3443" t="str">
            <v>Z000</v>
          </cell>
          <cell r="BH3443" t="str">
            <v>CC0</v>
          </cell>
        </row>
        <row r="3444">
          <cell r="K3444">
            <v>0</v>
          </cell>
          <cell r="L3444">
            <v>0</v>
          </cell>
          <cell r="N3444">
            <v>0</v>
          </cell>
          <cell r="O3444">
            <v>0</v>
          </cell>
          <cell r="Q3444">
            <v>0</v>
          </cell>
          <cell r="R3444">
            <v>0</v>
          </cell>
          <cell r="T3444">
            <v>0</v>
          </cell>
          <cell r="U3444">
            <v>0</v>
          </cell>
          <cell r="W3444">
            <v>0</v>
          </cell>
          <cell r="X3444">
            <v>0</v>
          </cell>
          <cell r="Z3444">
            <v>0</v>
          </cell>
          <cell r="AA3444">
            <v>0</v>
          </cell>
          <cell r="AC3444">
            <v>-191733.57999999996</v>
          </cell>
          <cell r="AD3444">
            <v>0</v>
          </cell>
          <cell r="AF3444">
            <v>0</v>
          </cell>
          <cell r="AG3444">
            <v>0</v>
          </cell>
          <cell r="AI3444">
            <v>-185000.00000000012</v>
          </cell>
          <cell r="AJ3444">
            <v>0</v>
          </cell>
          <cell r="AL3444">
            <v>0</v>
          </cell>
          <cell r="AM3444">
            <v>0</v>
          </cell>
          <cell r="AO3444">
            <v>0</v>
          </cell>
          <cell r="AP3444">
            <v>0</v>
          </cell>
          <cell r="AR3444">
            <v>0</v>
          </cell>
          <cell r="AS3444">
            <v>0</v>
          </cell>
          <cell r="BF3444" t="str">
            <v>9750</v>
          </cell>
          <cell r="BG3444" t="str">
            <v>Z000</v>
          </cell>
          <cell r="BH3444" t="str">
            <v>CC0</v>
          </cell>
        </row>
        <row r="3445">
          <cell r="K3445">
            <v>0</v>
          </cell>
          <cell r="L3445">
            <v>0</v>
          </cell>
          <cell r="N3445">
            <v>0</v>
          </cell>
          <cell r="O3445">
            <v>0</v>
          </cell>
          <cell r="Q3445">
            <v>0</v>
          </cell>
          <cell r="R3445">
            <v>0</v>
          </cell>
          <cell r="T3445">
            <v>0</v>
          </cell>
          <cell r="U3445">
            <v>0</v>
          </cell>
          <cell r="W3445">
            <v>0</v>
          </cell>
          <cell r="X3445">
            <v>0</v>
          </cell>
          <cell r="Z3445">
            <v>0</v>
          </cell>
          <cell r="AA3445">
            <v>0</v>
          </cell>
          <cell r="AC3445">
            <v>0</v>
          </cell>
          <cell r="AD3445">
            <v>0</v>
          </cell>
          <cell r="AF3445">
            <v>0</v>
          </cell>
          <cell r="AG3445">
            <v>0</v>
          </cell>
          <cell r="AI3445">
            <v>0</v>
          </cell>
          <cell r="AJ3445">
            <v>0</v>
          </cell>
          <cell r="AL3445">
            <v>0</v>
          </cell>
          <cell r="AM3445">
            <v>0</v>
          </cell>
          <cell r="AO3445">
            <v>0</v>
          </cell>
          <cell r="AP3445">
            <v>0</v>
          </cell>
          <cell r="AR3445">
            <v>0</v>
          </cell>
          <cell r="AS3445">
            <v>0</v>
          </cell>
          <cell r="BF3445" t="str">
            <v>1000</v>
          </cell>
          <cell r="BG3445" t="str">
            <v>A001</v>
          </cell>
          <cell r="BH3445" t="str">
            <v>INV</v>
          </cell>
        </row>
        <row r="3446">
          <cell r="K3446">
            <v>0</v>
          </cell>
          <cell r="L3446">
            <v>0</v>
          </cell>
          <cell r="N3446">
            <v>0</v>
          </cell>
          <cell r="O3446">
            <v>0</v>
          </cell>
          <cell r="Q3446">
            <v>0</v>
          </cell>
          <cell r="R3446">
            <v>0</v>
          </cell>
          <cell r="T3446">
            <v>0</v>
          </cell>
          <cell r="U3446">
            <v>0</v>
          </cell>
          <cell r="W3446">
            <v>0</v>
          </cell>
          <cell r="X3446">
            <v>0</v>
          </cell>
          <cell r="Z3446">
            <v>0</v>
          </cell>
          <cell r="AA3446">
            <v>0</v>
          </cell>
          <cell r="AC3446">
            <v>0</v>
          </cell>
          <cell r="AD3446">
            <v>0</v>
          </cell>
          <cell r="AF3446">
            <v>0</v>
          </cell>
          <cell r="AG3446">
            <v>0</v>
          </cell>
          <cell r="AI3446">
            <v>0</v>
          </cell>
          <cell r="AJ3446">
            <v>0</v>
          </cell>
          <cell r="AL3446">
            <v>0</v>
          </cell>
          <cell r="AM3446">
            <v>0</v>
          </cell>
          <cell r="AO3446">
            <v>0</v>
          </cell>
          <cell r="AP3446">
            <v>0</v>
          </cell>
          <cell r="AR3446">
            <v>0</v>
          </cell>
          <cell r="AS3446">
            <v>0</v>
          </cell>
          <cell r="BF3446" t="str">
            <v>1000</v>
          </cell>
          <cell r="BG3446" t="str">
            <v>A002</v>
          </cell>
          <cell r="BH3446" t="str">
            <v>INV</v>
          </cell>
        </row>
        <row r="3447">
          <cell r="K3447">
            <v>0</v>
          </cell>
          <cell r="L3447">
            <v>0</v>
          </cell>
          <cell r="N3447">
            <v>0</v>
          </cell>
          <cell r="O3447">
            <v>0</v>
          </cell>
          <cell r="Q3447">
            <v>0</v>
          </cell>
          <cell r="R3447">
            <v>0</v>
          </cell>
          <cell r="T3447">
            <v>0</v>
          </cell>
          <cell r="U3447">
            <v>0</v>
          </cell>
          <cell r="W3447">
            <v>0</v>
          </cell>
          <cell r="X3447">
            <v>0</v>
          </cell>
          <cell r="Z3447">
            <v>0</v>
          </cell>
          <cell r="AA3447">
            <v>0</v>
          </cell>
          <cell r="AC3447">
            <v>0</v>
          </cell>
          <cell r="AD3447">
            <v>0</v>
          </cell>
          <cell r="AF3447">
            <v>0</v>
          </cell>
          <cell r="AG3447">
            <v>0</v>
          </cell>
          <cell r="AI3447">
            <v>0</v>
          </cell>
          <cell r="AJ3447">
            <v>0</v>
          </cell>
          <cell r="AL3447">
            <v>0</v>
          </cell>
          <cell r="AM3447">
            <v>0</v>
          </cell>
          <cell r="AO3447">
            <v>0</v>
          </cell>
          <cell r="AP3447">
            <v>0</v>
          </cell>
          <cell r="AR3447">
            <v>0</v>
          </cell>
          <cell r="AS3447">
            <v>0</v>
          </cell>
          <cell r="BF3447" t="str">
            <v>1000</v>
          </cell>
          <cell r="BG3447" t="str">
            <v>A003</v>
          </cell>
          <cell r="BH3447" t="str">
            <v>INV</v>
          </cell>
        </row>
        <row r="3448">
          <cell r="K3448">
            <v>0</v>
          </cell>
          <cell r="L3448">
            <v>0</v>
          </cell>
          <cell r="N3448">
            <v>0</v>
          </cell>
          <cell r="O3448">
            <v>0</v>
          </cell>
          <cell r="Q3448">
            <v>0</v>
          </cell>
          <cell r="R3448">
            <v>0</v>
          </cell>
          <cell r="T3448">
            <v>0</v>
          </cell>
          <cell r="U3448">
            <v>0</v>
          </cell>
          <cell r="W3448">
            <v>0</v>
          </cell>
          <cell r="X3448">
            <v>0</v>
          </cell>
          <cell r="Z3448">
            <v>0</v>
          </cell>
          <cell r="AA3448">
            <v>0</v>
          </cell>
          <cell r="AC3448">
            <v>0</v>
          </cell>
          <cell r="AD3448">
            <v>0</v>
          </cell>
          <cell r="AF3448">
            <v>0</v>
          </cell>
          <cell r="AG3448">
            <v>0</v>
          </cell>
          <cell r="AI3448">
            <v>0</v>
          </cell>
          <cell r="AJ3448">
            <v>0</v>
          </cell>
          <cell r="AL3448">
            <v>0</v>
          </cell>
          <cell r="AM3448">
            <v>0</v>
          </cell>
          <cell r="AO3448">
            <v>0</v>
          </cell>
          <cell r="AP3448">
            <v>0</v>
          </cell>
          <cell r="AR3448">
            <v>0</v>
          </cell>
          <cell r="AS3448">
            <v>0</v>
          </cell>
          <cell r="BF3448" t="str">
            <v>1000</v>
          </cell>
          <cell r="BG3448" t="str">
            <v>A004</v>
          </cell>
          <cell r="BH3448" t="str">
            <v>INV</v>
          </cell>
        </row>
        <row r="3449">
          <cell r="K3449">
            <v>0</v>
          </cell>
          <cell r="L3449">
            <v>0</v>
          </cell>
          <cell r="N3449">
            <v>0</v>
          </cell>
          <cell r="O3449">
            <v>0</v>
          </cell>
          <cell r="Q3449">
            <v>0</v>
          </cell>
          <cell r="R3449">
            <v>0</v>
          </cell>
          <cell r="T3449">
            <v>0</v>
          </cell>
          <cell r="U3449">
            <v>0</v>
          </cell>
          <cell r="W3449">
            <v>0</v>
          </cell>
          <cell r="X3449">
            <v>0</v>
          </cell>
          <cell r="Z3449">
            <v>0</v>
          </cell>
          <cell r="AA3449">
            <v>0</v>
          </cell>
          <cell r="AC3449">
            <v>0</v>
          </cell>
          <cell r="AD3449">
            <v>0</v>
          </cell>
          <cell r="AF3449">
            <v>0</v>
          </cell>
          <cell r="AG3449">
            <v>0</v>
          </cell>
          <cell r="AI3449">
            <v>0</v>
          </cell>
          <cell r="AJ3449">
            <v>0</v>
          </cell>
          <cell r="AL3449">
            <v>0</v>
          </cell>
          <cell r="AM3449">
            <v>0</v>
          </cell>
          <cell r="AO3449">
            <v>0</v>
          </cell>
          <cell r="AP3449">
            <v>0</v>
          </cell>
          <cell r="AR3449">
            <v>0</v>
          </cell>
          <cell r="AS3449">
            <v>0</v>
          </cell>
          <cell r="BF3449" t="str">
            <v>1000</v>
          </cell>
          <cell r="BG3449" t="str">
            <v>A005</v>
          </cell>
          <cell r="BH3449" t="str">
            <v>INV</v>
          </cell>
        </row>
        <row r="3450">
          <cell r="K3450">
            <v>0</v>
          </cell>
          <cell r="L3450">
            <v>0</v>
          </cell>
          <cell r="N3450">
            <v>0</v>
          </cell>
          <cell r="O3450">
            <v>0</v>
          </cell>
          <cell r="Q3450">
            <v>0</v>
          </cell>
          <cell r="R3450">
            <v>0</v>
          </cell>
          <cell r="T3450">
            <v>0</v>
          </cell>
          <cell r="U3450">
            <v>0</v>
          </cell>
          <cell r="W3450">
            <v>0</v>
          </cell>
          <cell r="X3450">
            <v>0</v>
          </cell>
          <cell r="Z3450">
            <v>0</v>
          </cell>
          <cell r="AA3450">
            <v>0</v>
          </cell>
          <cell r="AC3450">
            <v>0</v>
          </cell>
          <cell r="AD3450">
            <v>0</v>
          </cell>
          <cell r="AF3450">
            <v>0</v>
          </cell>
          <cell r="AG3450">
            <v>0</v>
          </cell>
          <cell r="AI3450">
            <v>0</v>
          </cell>
          <cell r="AJ3450">
            <v>0</v>
          </cell>
          <cell r="AL3450">
            <v>0</v>
          </cell>
          <cell r="AM3450">
            <v>0</v>
          </cell>
          <cell r="AO3450">
            <v>0</v>
          </cell>
          <cell r="AP3450">
            <v>0</v>
          </cell>
          <cell r="AR3450">
            <v>0</v>
          </cell>
          <cell r="AS3450">
            <v>0</v>
          </cell>
          <cell r="BF3450" t="str">
            <v>1000</v>
          </cell>
          <cell r="BG3450" t="str">
            <v>A006</v>
          </cell>
          <cell r="BH3450" t="str">
            <v>INV</v>
          </cell>
        </row>
        <row r="3451">
          <cell r="K3451">
            <v>0</v>
          </cell>
          <cell r="L3451">
            <v>0</v>
          </cell>
          <cell r="N3451">
            <v>0</v>
          </cell>
          <cell r="O3451">
            <v>0</v>
          </cell>
          <cell r="Q3451">
            <v>0</v>
          </cell>
          <cell r="R3451">
            <v>0</v>
          </cell>
          <cell r="T3451">
            <v>0</v>
          </cell>
          <cell r="U3451">
            <v>0</v>
          </cell>
          <cell r="W3451">
            <v>0</v>
          </cell>
          <cell r="X3451">
            <v>0</v>
          </cell>
          <cell r="Z3451">
            <v>0</v>
          </cell>
          <cell r="AA3451">
            <v>0</v>
          </cell>
          <cell r="AC3451">
            <v>0</v>
          </cell>
          <cell r="AD3451">
            <v>0</v>
          </cell>
          <cell r="AF3451">
            <v>0</v>
          </cell>
          <cell r="AG3451">
            <v>0</v>
          </cell>
          <cell r="AI3451">
            <v>0</v>
          </cell>
          <cell r="AJ3451">
            <v>0</v>
          </cell>
          <cell r="AL3451">
            <v>0</v>
          </cell>
          <cell r="AM3451">
            <v>0</v>
          </cell>
          <cell r="AO3451">
            <v>0</v>
          </cell>
          <cell r="AP3451">
            <v>0</v>
          </cell>
          <cell r="AR3451">
            <v>0</v>
          </cell>
          <cell r="AS3451">
            <v>0</v>
          </cell>
          <cell r="BF3451" t="str">
            <v>1000</v>
          </cell>
          <cell r="BG3451" t="str">
            <v>A007</v>
          </cell>
          <cell r="BH3451" t="str">
            <v>INV</v>
          </cell>
        </row>
        <row r="3452">
          <cell r="K3452">
            <v>0</v>
          </cell>
          <cell r="L3452">
            <v>0</v>
          </cell>
          <cell r="N3452">
            <v>0</v>
          </cell>
          <cell r="O3452">
            <v>0</v>
          </cell>
          <cell r="Q3452">
            <v>0</v>
          </cell>
          <cell r="R3452">
            <v>0</v>
          </cell>
          <cell r="T3452">
            <v>0</v>
          </cell>
          <cell r="U3452">
            <v>0</v>
          </cell>
          <cell r="W3452">
            <v>0</v>
          </cell>
          <cell r="X3452">
            <v>0</v>
          </cell>
          <cell r="Z3452">
            <v>0</v>
          </cell>
          <cell r="AA3452">
            <v>0</v>
          </cell>
          <cell r="AC3452">
            <v>0</v>
          </cell>
          <cell r="AD3452">
            <v>0</v>
          </cell>
          <cell r="AF3452">
            <v>0</v>
          </cell>
          <cell r="AG3452">
            <v>0</v>
          </cell>
          <cell r="AI3452">
            <v>0</v>
          </cell>
          <cell r="AJ3452">
            <v>0</v>
          </cell>
          <cell r="AL3452">
            <v>0</v>
          </cell>
          <cell r="AM3452">
            <v>0</v>
          </cell>
          <cell r="AO3452">
            <v>0</v>
          </cell>
          <cell r="AP3452">
            <v>0</v>
          </cell>
          <cell r="AR3452">
            <v>0</v>
          </cell>
          <cell r="AS3452">
            <v>0</v>
          </cell>
          <cell r="BF3452" t="str">
            <v>1000</v>
          </cell>
          <cell r="BG3452" t="str">
            <v>A008</v>
          </cell>
          <cell r="BH3452" t="str">
            <v>INV</v>
          </cell>
        </row>
        <row r="3453">
          <cell r="K3453">
            <v>0</v>
          </cell>
          <cell r="L3453">
            <v>0</v>
          </cell>
          <cell r="N3453">
            <v>0</v>
          </cell>
          <cell r="O3453">
            <v>0</v>
          </cell>
          <cell r="Q3453">
            <v>0</v>
          </cell>
          <cell r="R3453">
            <v>0</v>
          </cell>
          <cell r="T3453">
            <v>0</v>
          </cell>
          <cell r="U3453">
            <v>0</v>
          </cell>
          <cell r="W3453">
            <v>0</v>
          </cell>
          <cell r="X3453">
            <v>0</v>
          </cell>
          <cell r="Z3453">
            <v>0</v>
          </cell>
          <cell r="AA3453">
            <v>0</v>
          </cell>
          <cell r="AC3453">
            <v>0</v>
          </cell>
          <cell r="AD3453">
            <v>0</v>
          </cell>
          <cell r="AF3453">
            <v>0</v>
          </cell>
          <cell r="AG3453">
            <v>0</v>
          </cell>
          <cell r="AI3453">
            <v>0</v>
          </cell>
          <cell r="AJ3453">
            <v>0</v>
          </cell>
          <cell r="AL3453">
            <v>0</v>
          </cell>
          <cell r="AM3453">
            <v>0</v>
          </cell>
          <cell r="AO3453">
            <v>0</v>
          </cell>
          <cell r="AP3453">
            <v>0</v>
          </cell>
          <cell r="AR3453">
            <v>0</v>
          </cell>
          <cell r="AS3453">
            <v>0</v>
          </cell>
          <cell r="BF3453" t="str">
            <v>1000</v>
          </cell>
          <cell r="BG3453" t="str">
            <v>A009</v>
          </cell>
          <cell r="BH3453" t="str">
            <v>INV</v>
          </cell>
        </row>
        <row r="3454">
          <cell r="K3454">
            <v>0</v>
          </cell>
          <cell r="L3454">
            <v>0</v>
          </cell>
          <cell r="N3454">
            <v>0</v>
          </cell>
          <cell r="O3454">
            <v>0</v>
          </cell>
          <cell r="Q3454">
            <v>0</v>
          </cell>
          <cell r="R3454">
            <v>0</v>
          </cell>
          <cell r="T3454">
            <v>0</v>
          </cell>
          <cell r="U3454">
            <v>0</v>
          </cell>
          <cell r="W3454">
            <v>0</v>
          </cell>
          <cell r="X3454">
            <v>0</v>
          </cell>
          <cell r="Z3454">
            <v>0</v>
          </cell>
          <cell r="AA3454">
            <v>0</v>
          </cell>
          <cell r="AC3454">
            <v>0</v>
          </cell>
          <cell r="AD3454">
            <v>0</v>
          </cell>
          <cell r="AF3454">
            <v>0</v>
          </cell>
          <cell r="AG3454">
            <v>0</v>
          </cell>
          <cell r="AI3454">
            <v>0</v>
          </cell>
          <cell r="AJ3454">
            <v>0</v>
          </cell>
          <cell r="AL3454">
            <v>0</v>
          </cell>
          <cell r="AM3454">
            <v>0</v>
          </cell>
          <cell r="AO3454">
            <v>0</v>
          </cell>
          <cell r="AP3454">
            <v>0</v>
          </cell>
          <cell r="AR3454">
            <v>0</v>
          </cell>
          <cell r="AS3454">
            <v>0</v>
          </cell>
          <cell r="BF3454" t="str">
            <v>1000</v>
          </cell>
          <cell r="BG3454" t="str">
            <v>A010</v>
          </cell>
          <cell r="BH3454" t="str">
            <v>INV</v>
          </cell>
        </row>
        <row r="3455">
          <cell r="K3455">
            <v>0</v>
          </cell>
          <cell r="L3455">
            <v>0</v>
          </cell>
          <cell r="N3455">
            <v>0</v>
          </cell>
          <cell r="O3455">
            <v>0</v>
          </cell>
          <cell r="Q3455">
            <v>0</v>
          </cell>
          <cell r="R3455">
            <v>0</v>
          </cell>
          <cell r="T3455">
            <v>0</v>
          </cell>
          <cell r="U3455">
            <v>0</v>
          </cell>
          <cell r="W3455">
            <v>0</v>
          </cell>
          <cell r="X3455">
            <v>0</v>
          </cell>
          <cell r="Z3455">
            <v>0</v>
          </cell>
          <cell r="AA3455">
            <v>0</v>
          </cell>
          <cell r="AC3455">
            <v>0</v>
          </cell>
          <cell r="AD3455">
            <v>0</v>
          </cell>
          <cell r="AF3455">
            <v>5026.83</v>
          </cell>
          <cell r="AG3455">
            <v>0</v>
          </cell>
          <cell r="AI3455">
            <v>5036.610000000017</v>
          </cell>
          <cell r="AJ3455">
            <v>0</v>
          </cell>
          <cell r="AL3455">
            <v>12380.250000000015</v>
          </cell>
          <cell r="AM3455">
            <v>0</v>
          </cell>
          <cell r="AO3455">
            <v>4482.7600000000093</v>
          </cell>
          <cell r="AP3455">
            <v>0</v>
          </cell>
          <cell r="AR3455">
            <v>7267.140000000014</v>
          </cell>
          <cell r="AS3455">
            <v>0</v>
          </cell>
          <cell r="BF3455" t="str">
            <v>1003</v>
          </cell>
          <cell r="BG3455" t="str">
            <v>A121</v>
          </cell>
          <cell r="BH3455" t="str">
            <v>INV</v>
          </cell>
        </row>
        <row r="3456">
          <cell r="K3456">
            <v>0</v>
          </cell>
          <cell r="L3456">
            <v>0</v>
          </cell>
          <cell r="N3456">
            <v>0</v>
          </cell>
          <cell r="O3456">
            <v>0</v>
          </cell>
          <cell r="Q3456">
            <v>0</v>
          </cell>
          <cell r="R3456">
            <v>0</v>
          </cell>
          <cell r="T3456">
            <v>0</v>
          </cell>
          <cell r="U3456">
            <v>0</v>
          </cell>
          <cell r="W3456">
            <v>0</v>
          </cell>
          <cell r="X3456">
            <v>0</v>
          </cell>
          <cell r="Z3456">
            <v>0</v>
          </cell>
          <cell r="AA3456">
            <v>0</v>
          </cell>
          <cell r="AC3456">
            <v>0</v>
          </cell>
          <cell r="AD3456">
            <v>0</v>
          </cell>
          <cell r="AF3456">
            <v>0</v>
          </cell>
          <cell r="AG3456">
            <v>0</v>
          </cell>
          <cell r="AI3456">
            <v>0</v>
          </cell>
          <cell r="AJ3456">
            <v>0</v>
          </cell>
          <cell r="AL3456">
            <v>0</v>
          </cell>
          <cell r="AM3456">
            <v>0</v>
          </cell>
          <cell r="AO3456">
            <v>0</v>
          </cell>
          <cell r="AP3456">
            <v>0</v>
          </cell>
          <cell r="AR3456">
            <v>0</v>
          </cell>
          <cell r="AS3456">
            <v>0</v>
          </cell>
          <cell r="BF3456" t="str">
            <v>1005</v>
          </cell>
          <cell r="BG3456" t="str">
            <v>A081</v>
          </cell>
          <cell r="BH3456" t="str">
            <v>INV</v>
          </cell>
        </row>
        <row r="3457">
          <cell r="K3457">
            <v>0</v>
          </cell>
          <cell r="L3457">
            <v>0</v>
          </cell>
          <cell r="N3457">
            <v>0</v>
          </cell>
          <cell r="O3457">
            <v>0</v>
          </cell>
          <cell r="Q3457">
            <v>0</v>
          </cell>
          <cell r="R3457">
            <v>0</v>
          </cell>
          <cell r="T3457">
            <v>0</v>
          </cell>
          <cell r="U3457">
            <v>0</v>
          </cell>
          <cell r="W3457">
            <v>0</v>
          </cell>
          <cell r="X3457">
            <v>0</v>
          </cell>
          <cell r="Z3457">
            <v>0</v>
          </cell>
          <cell r="AA3457">
            <v>0</v>
          </cell>
          <cell r="AC3457">
            <v>0</v>
          </cell>
          <cell r="AD3457">
            <v>0</v>
          </cell>
          <cell r="AF3457">
            <v>19262.27</v>
          </cell>
          <cell r="AG3457">
            <v>0</v>
          </cell>
          <cell r="AI3457">
            <v>47051.619999999995</v>
          </cell>
          <cell r="AJ3457">
            <v>0</v>
          </cell>
          <cell r="AL3457">
            <v>50760.889999999985</v>
          </cell>
          <cell r="AM3457">
            <v>0</v>
          </cell>
          <cell r="AO3457">
            <v>54727.619999999981</v>
          </cell>
          <cell r="AP3457">
            <v>0</v>
          </cell>
          <cell r="AR3457">
            <v>54037.900000000023</v>
          </cell>
          <cell r="AS3457">
            <v>0</v>
          </cell>
          <cell r="BF3457" t="str">
            <v>1005</v>
          </cell>
          <cell r="BG3457" t="str">
            <v>A082</v>
          </cell>
          <cell r="BH3457" t="str">
            <v>INV</v>
          </cell>
        </row>
        <row r="3458">
          <cell r="K3458">
            <v>0</v>
          </cell>
          <cell r="L3458">
            <v>0</v>
          </cell>
          <cell r="N3458">
            <v>0</v>
          </cell>
          <cell r="O3458">
            <v>0</v>
          </cell>
          <cell r="Q3458">
            <v>0</v>
          </cell>
          <cell r="R3458">
            <v>0</v>
          </cell>
          <cell r="T3458">
            <v>0</v>
          </cell>
          <cell r="U3458">
            <v>0</v>
          </cell>
          <cell r="W3458">
            <v>0</v>
          </cell>
          <cell r="X3458">
            <v>0</v>
          </cell>
          <cell r="Z3458">
            <v>0</v>
          </cell>
          <cell r="AA3458">
            <v>0</v>
          </cell>
          <cell r="AC3458">
            <v>0</v>
          </cell>
          <cell r="AD3458">
            <v>0</v>
          </cell>
          <cell r="AF3458">
            <v>0</v>
          </cell>
          <cell r="AG3458">
            <v>0</v>
          </cell>
          <cell r="AI3458">
            <v>0</v>
          </cell>
          <cell r="AJ3458">
            <v>0</v>
          </cell>
          <cell r="AL3458">
            <v>0</v>
          </cell>
          <cell r="AM3458">
            <v>0</v>
          </cell>
          <cell r="AO3458">
            <v>0</v>
          </cell>
          <cell r="AP3458">
            <v>0</v>
          </cell>
          <cell r="AR3458">
            <v>0</v>
          </cell>
          <cell r="AS3458">
            <v>0</v>
          </cell>
          <cell r="BF3458" t="str">
            <v>1005</v>
          </cell>
          <cell r="BG3458" t="str">
            <v>A083</v>
          </cell>
          <cell r="BH3458" t="str">
            <v>INV</v>
          </cell>
        </row>
        <row r="3459">
          <cell r="K3459">
            <v>0</v>
          </cell>
          <cell r="L3459">
            <v>0</v>
          </cell>
          <cell r="N3459">
            <v>0</v>
          </cell>
          <cell r="O3459">
            <v>0</v>
          </cell>
          <cell r="Q3459">
            <v>0</v>
          </cell>
          <cell r="R3459">
            <v>0</v>
          </cell>
          <cell r="T3459">
            <v>0</v>
          </cell>
          <cell r="U3459">
            <v>0</v>
          </cell>
          <cell r="W3459">
            <v>0</v>
          </cell>
          <cell r="X3459">
            <v>0</v>
          </cell>
          <cell r="Z3459">
            <v>0</v>
          </cell>
          <cell r="AA3459">
            <v>0</v>
          </cell>
          <cell r="AC3459">
            <v>0</v>
          </cell>
          <cell r="AD3459">
            <v>0</v>
          </cell>
          <cell r="AF3459">
            <v>0</v>
          </cell>
          <cell r="AG3459">
            <v>0</v>
          </cell>
          <cell r="AI3459">
            <v>0</v>
          </cell>
          <cell r="AJ3459">
            <v>0</v>
          </cell>
          <cell r="AL3459">
            <v>17.03</v>
          </cell>
          <cell r="AM3459">
            <v>0</v>
          </cell>
          <cell r="AO3459">
            <v>0</v>
          </cell>
          <cell r="AP3459">
            <v>0</v>
          </cell>
          <cell r="AR3459">
            <v>21.120000000000005</v>
          </cell>
          <cell r="AS3459">
            <v>0</v>
          </cell>
          <cell r="BF3459" t="str">
            <v>1005</v>
          </cell>
          <cell r="BG3459" t="str">
            <v>A084</v>
          </cell>
          <cell r="BH3459" t="str">
            <v>INV</v>
          </cell>
        </row>
        <row r="3460">
          <cell r="K3460">
            <v>0</v>
          </cell>
          <cell r="L3460">
            <v>0</v>
          </cell>
          <cell r="N3460">
            <v>0</v>
          </cell>
          <cell r="O3460">
            <v>0</v>
          </cell>
          <cell r="Q3460">
            <v>0</v>
          </cell>
          <cell r="R3460">
            <v>0</v>
          </cell>
          <cell r="T3460">
            <v>0</v>
          </cell>
          <cell r="U3460">
            <v>0</v>
          </cell>
          <cell r="W3460">
            <v>0</v>
          </cell>
          <cell r="X3460">
            <v>0</v>
          </cell>
          <cell r="Z3460">
            <v>0</v>
          </cell>
          <cell r="AA3460">
            <v>0</v>
          </cell>
          <cell r="AC3460">
            <v>0</v>
          </cell>
          <cell r="AD3460">
            <v>0</v>
          </cell>
          <cell r="AF3460">
            <v>0</v>
          </cell>
          <cell r="AG3460">
            <v>0</v>
          </cell>
          <cell r="AI3460">
            <v>0</v>
          </cell>
          <cell r="AJ3460">
            <v>0</v>
          </cell>
          <cell r="AL3460">
            <v>0</v>
          </cell>
          <cell r="AM3460">
            <v>0</v>
          </cell>
          <cell r="AO3460">
            <v>0</v>
          </cell>
          <cell r="AP3460">
            <v>0</v>
          </cell>
          <cell r="AR3460">
            <v>0</v>
          </cell>
          <cell r="AS3460">
            <v>0</v>
          </cell>
          <cell r="BF3460" t="str">
            <v>1005</v>
          </cell>
          <cell r="BG3460" t="str">
            <v>A085</v>
          </cell>
          <cell r="BH3460" t="str">
            <v>INV</v>
          </cell>
        </row>
        <row r="3461">
          <cell r="K3461">
            <v>0</v>
          </cell>
          <cell r="L3461">
            <v>0</v>
          </cell>
          <cell r="N3461">
            <v>0</v>
          </cell>
          <cell r="O3461">
            <v>0</v>
          </cell>
          <cell r="Q3461">
            <v>0</v>
          </cell>
          <cell r="R3461">
            <v>0</v>
          </cell>
          <cell r="T3461">
            <v>0</v>
          </cell>
          <cell r="U3461">
            <v>0</v>
          </cell>
          <cell r="W3461">
            <v>0</v>
          </cell>
          <cell r="X3461">
            <v>0</v>
          </cell>
          <cell r="Z3461">
            <v>0</v>
          </cell>
          <cell r="AA3461">
            <v>0</v>
          </cell>
          <cell r="AC3461">
            <v>0</v>
          </cell>
          <cell r="AD3461">
            <v>0</v>
          </cell>
          <cell r="AF3461">
            <v>0</v>
          </cell>
          <cell r="AG3461">
            <v>0</v>
          </cell>
          <cell r="AI3461">
            <v>0</v>
          </cell>
          <cell r="AJ3461">
            <v>0</v>
          </cell>
          <cell r="AL3461">
            <v>0</v>
          </cell>
          <cell r="AM3461">
            <v>0</v>
          </cell>
          <cell r="AO3461">
            <v>0</v>
          </cell>
          <cell r="AP3461">
            <v>0</v>
          </cell>
          <cell r="AR3461">
            <v>0</v>
          </cell>
          <cell r="AS3461">
            <v>0</v>
          </cell>
          <cell r="BF3461" t="str">
            <v>1005</v>
          </cell>
          <cell r="BG3461" t="str">
            <v>A086</v>
          </cell>
          <cell r="BH3461" t="str">
            <v>INV</v>
          </cell>
        </row>
        <row r="3462">
          <cell r="K3462">
            <v>0</v>
          </cell>
          <cell r="L3462">
            <v>0</v>
          </cell>
          <cell r="N3462">
            <v>0</v>
          </cell>
          <cell r="O3462">
            <v>0</v>
          </cell>
          <cell r="Q3462">
            <v>0</v>
          </cell>
          <cell r="R3462">
            <v>0</v>
          </cell>
          <cell r="T3462">
            <v>0</v>
          </cell>
          <cell r="U3462">
            <v>0</v>
          </cell>
          <cell r="W3462">
            <v>0</v>
          </cell>
          <cell r="X3462">
            <v>0</v>
          </cell>
          <cell r="Z3462">
            <v>0</v>
          </cell>
          <cell r="AA3462">
            <v>0</v>
          </cell>
          <cell r="AC3462">
            <v>0</v>
          </cell>
          <cell r="AD3462">
            <v>0</v>
          </cell>
          <cell r="AF3462">
            <v>0</v>
          </cell>
          <cell r="AG3462">
            <v>0</v>
          </cell>
          <cell r="AI3462">
            <v>0</v>
          </cell>
          <cell r="AJ3462">
            <v>0</v>
          </cell>
          <cell r="AL3462">
            <v>0</v>
          </cell>
          <cell r="AM3462">
            <v>0</v>
          </cell>
          <cell r="AO3462">
            <v>0</v>
          </cell>
          <cell r="AP3462">
            <v>0</v>
          </cell>
          <cell r="AR3462">
            <v>0</v>
          </cell>
          <cell r="AS3462">
            <v>0</v>
          </cell>
          <cell r="BF3462" t="str">
            <v>1008</v>
          </cell>
          <cell r="BG3462" t="str">
            <v>A041</v>
          </cell>
          <cell r="BH3462" t="str">
            <v>INV</v>
          </cell>
        </row>
        <row r="3463">
          <cell r="K3463">
            <v>0</v>
          </cell>
          <cell r="L3463">
            <v>0</v>
          </cell>
          <cell r="N3463">
            <v>0</v>
          </cell>
          <cell r="O3463">
            <v>0</v>
          </cell>
          <cell r="Q3463">
            <v>0</v>
          </cell>
          <cell r="R3463">
            <v>0</v>
          </cell>
          <cell r="T3463">
            <v>0</v>
          </cell>
          <cell r="U3463">
            <v>0</v>
          </cell>
          <cell r="W3463">
            <v>0</v>
          </cell>
          <cell r="X3463">
            <v>0</v>
          </cell>
          <cell r="Z3463">
            <v>0</v>
          </cell>
          <cell r="AA3463">
            <v>0</v>
          </cell>
          <cell r="AC3463">
            <v>0</v>
          </cell>
          <cell r="AD3463">
            <v>0</v>
          </cell>
          <cell r="AF3463">
            <v>0</v>
          </cell>
          <cell r="AG3463">
            <v>0</v>
          </cell>
          <cell r="AI3463">
            <v>0</v>
          </cell>
          <cell r="AJ3463">
            <v>0</v>
          </cell>
          <cell r="AL3463">
            <v>0</v>
          </cell>
          <cell r="AM3463">
            <v>0</v>
          </cell>
          <cell r="AO3463">
            <v>0</v>
          </cell>
          <cell r="AP3463">
            <v>0</v>
          </cell>
          <cell r="AR3463">
            <v>0</v>
          </cell>
          <cell r="AS3463">
            <v>0</v>
          </cell>
          <cell r="BF3463" t="str">
            <v>1008</v>
          </cell>
          <cell r="BG3463" t="str">
            <v>A042</v>
          </cell>
          <cell r="BH3463" t="str">
            <v>INV</v>
          </cell>
        </row>
        <row r="3464">
          <cell r="K3464">
            <v>0</v>
          </cell>
          <cell r="L3464">
            <v>0</v>
          </cell>
          <cell r="N3464">
            <v>0</v>
          </cell>
          <cell r="O3464">
            <v>0</v>
          </cell>
          <cell r="Q3464">
            <v>0</v>
          </cell>
          <cell r="R3464">
            <v>0</v>
          </cell>
          <cell r="T3464">
            <v>0</v>
          </cell>
          <cell r="U3464">
            <v>0</v>
          </cell>
          <cell r="W3464">
            <v>0</v>
          </cell>
          <cell r="X3464">
            <v>0</v>
          </cell>
          <cell r="Z3464">
            <v>0</v>
          </cell>
          <cell r="AA3464">
            <v>0</v>
          </cell>
          <cell r="AC3464">
            <v>0</v>
          </cell>
          <cell r="AD3464">
            <v>0</v>
          </cell>
          <cell r="AF3464">
            <v>0</v>
          </cell>
          <cell r="AG3464">
            <v>0</v>
          </cell>
          <cell r="AI3464">
            <v>0</v>
          </cell>
          <cell r="AJ3464">
            <v>0</v>
          </cell>
          <cell r="AL3464">
            <v>0</v>
          </cell>
          <cell r="AM3464">
            <v>0</v>
          </cell>
          <cell r="AO3464">
            <v>0</v>
          </cell>
          <cell r="AP3464">
            <v>0</v>
          </cell>
          <cell r="AR3464">
            <v>0</v>
          </cell>
          <cell r="AS3464">
            <v>0</v>
          </cell>
          <cell r="BF3464" t="str">
            <v>1008</v>
          </cell>
          <cell r="BG3464" t="str">
            <v>A043</v>
          </cell>
          <cell r="BH3464" t="str">
            <v>INV</v>
          </cell>
        </row>
        <row r="3465">
          <cell r="K3465">
            <v>0</v>
          </cell>
          <cell r="L3465">
            <v>0</v>
          </cell>
          <cell r="N3465">
            <v>0</v>
          </cell>
          <cell r="O3465">
            <v>0</v>
          </cell>
          <cell r="Q3465">
            <v>0</v>
          </cell>
          <cell r="R3465">
            <v>0</v>
          </cell>
          <cell r="T3465">
            <v>0</v>
          </cell>
          <cell r="U3465">
            <v>0</v>
          </cell>
          <cell r="W3465">
            <v>0</v>
          </cell>
          <cell r="X3465">
            <v>0</v>
          </cell>
          <cell r="Z3465">
            <v>0</v>
          </cell>
          <cell r="AA3465">
            <v>0</v>
          </cell>
          <cell r="AC3465">
            <v>0</v>
          </cell>
          <cell r="AD3465">
            <v>0</v>
          </cell>
          <cell r="AF3465">
            <v>0</v>
          </cell>
          <cell r="AG3465">
            <v>0</v>
          </cell>
          <cell r="AI3465">
            <v>0</v>
          </cell>
          <cell r="AJ3465">
            <v>0</v>
          </cell>
          <cell r="AL3465">
            <v>0</v>
          </cell>
          <cell r="AM3465">
            <v>0</v>
          </cell>
          <cell r="AO3465">
            <v>0</v>
          </cell>
          <cell r="AP3465">
            <v>0</v>
          </cell>
          <cell r="AR3465">
            <v>0</v>
          </cell>
          <cell r="AS3465">
            <v>0</v>
          </cell>
          <cell r="BF3465" t="str">
            <v>1008</v>
          </cell>
          <cell r="BG3465" t="str">
            <v>A044</v>
          </cell>
          <cell r="BH3465" t="str">
            <v>INV</v>
          </cell>
        </row>
        <row r="3466">
          <cell r="K3466">
            <v>0</v>
          </cell>
          <cell r="L3466">
            <v>0</v>
          </cell>
          <cell r="N3466">
            <v>0</v>
          </cell>
          <cell r="O3466">
            <v>0</v>
          </cell>
          <cell r="Q3466">
            <v>0</v>
          </cell>
          <cell r="R3466">
            <v>0</v>
          </cell>
          <cell r="T3466">
            <v>0</v>
          </cell>
          <cell r="U3466">
            <v>0</v>
          </cell>
          <cell r="W3466">
            <v>0</v>
          </cell>
          <cell r="X3466">
            <v>0</v>
          </cell>
          <cell r="Z3466">
            <v>0</v>
          </cell>
          <cell r="AA3466">
            <v>0</v>
          </cell>
          <cell r="AC3466">
            <v>0</v>
          </cell>
          <cell r="AD3466">
            <v>0</v>
          </cell>
          <cell r="AF3466">
            <v>0</v>
          </cell>
          <cell r="AG3466">
            <v>0</v>
          </cell>
          <cell r="AI3466">
            <v>0</v>
          </cell>
          <cell r="AJ3466">
            <v>0</v>
          </cell>
          <cell r="AL3466">
            <v>0</v>
          </cell>
          <cell r="AM3466">
            <v>0</v>
          </cell>
          <cell r="AO3466">
            <v>0</v>
          </cell>
          <cell r="AP3466">
            <v>0</v>
          </cell>
          <cell r="AR3466">
            <v>0</v>
          </cell>
          <cell r="AS3466">
            <v>0</v>
          </cell>
          <cell r="BF3466" t="str">
            <v>1009</v>
          </cell>
          <cell r="BG3466" t="str">
            <v>A061</v>
          </cell>
          <cell r="BH3466" t="str">
            <v>INV</v>
          </cell>
        </row>
        <row r="3467">
          <cell r="K3467">
            <v>0</v>
          </cell>
          <cell r="L3467">
            <v>0</v>
          </cell>
          <cell r="N3467">
            <v>0</v>
          </cell>
          <cell r="O3467">
            <v>0</v>
          </cell>
          <cell r="Q3467">
            <v>0</v>
          </cell>
          <cell r="R3467">
            <v>0</v>
          </cell>
          <cell r="T3467">
            <v>0</v>
          </cell>
          <cell r="U3467">
            <v>0</v>
          </cell>
          <cell r="W3467">
            <v>0</v>
          </cell>
          <cell r="X3467">
            <v>0</v>
          </cell>
          <cell r="Z3467">
            <v>0</v>
          </cell>
          <cell r="AA3467">
            <v>0</v>
          </cell>
          <cell r="AC3467">
            <v>0</v>
          </cell>
          <cell r="AD3467">
            <v>0</v>
          </cell>
          <cell r="AF3467">
            <v>0</v>
          </cell>
          <cell r="AG3467">
            <v>0</v>
          </cell>
          <cell r="AI3467">
            <v>0</v>
          </cell>
          <cell r="AJ3467">
            <v>0</v>
          </cell>
          <cell r="AL3467">
            <v>0</v>
          </cell>
          <cell r="AM3467">
            <v>0</v>
          </cell>
          <cell r="AO3467">
            <v>0</v>
          </cell>
          <cell r="AP3467">
            <v>0</v>
          </cell>
          <cell r="AR3467">
            <v>0</v>
          </cell>
          <cell r="AS3467">
            <v>0</v>
          </cell>
          <cell r="BF3467" t="str">
            <v>1009</v>
          </cell>
          <cell r="BG3467" t="str">
            <v>A062</v>
          </cell>
          <cell r="BH3467" t="str">
            <v>INV</v>
          </cell>
        </row>
        <row r="3468">
          <cell r="K3468">
            <v>0</v>
          </cell>
          <cell r="L3468">
            <v>0</v>
          </cell>
          <cell r="N3468">
            <v>0</v>
          </cell>
          <cell r="O3468">
            <v>0</v>
          </cell>
          <cell r="Q3468">
            <v>0</v>
          </cell>
          <cell r="R3468">
            <v>0</v>
          </cell>
          <cell r="T3468">
            <v>0</v>
          </cell>
          <cell r="U3468">
            <v>0</v>
          </cell>
          <cell r="W3468">
            <v>0</v>
          </cell>
          <cell r="X3468">
            <v>0</v>
          </cell>
          <cell r="Z3468">
            <v>0</v>
          </cell>
          <cell r="AA3468">
            <v>0</v>
          </cell>
          <cell r="AC3468">
            <v>0</v>
          </cell>
          <cell r="AD3468">
            <v>0</v>
          </cell>
          <cell r="AF3468">
            <v>0</v>
          </cell>
          <cell r="AG3468">
            <v>0</v>
          </cell>
          <cell r="AI3468">
            <v>0</v>
          </cell>
          <cell r="AJ3468">
            <v>0</v>
          </cell>
          <cell r="AL3468">
            <v>0</v>
          </cell>
          <cell r="AM3468">
            <v>0</v>
          </cell>
          <cell r="AO3468">
            <v>0</v>
          </cell>
          <cell r="AP3468">
            <v>0</v>
          </cell>
          <cell r="AR3468">
            <v>0</v>
          </cell>
          <cell r="AS3468">
            <v>0</v>
          </cell>
          <cell r="BF3468" t="str">
            <v>1009</v>
          </cell>
          <cell r="BG3468" t="str">
            <v>A063</v>
          </cell>
          <cell r="BH3468" t="str">
            <v>INV</v>
          </cell>
        </row>
        <row r="3469">
          <cell r="K3469">
            <v>0</v>
          </cell>
          <cell r="L3469">
            <v>0</v>
          </cell>
          <cell r="N3469">
            <v>0</v>
          </cell>
          <cell r="O3469">
            <v>0</v>
          </cell>
          <cell r="Q3469">
            <v>0</v>
          </cell>
          <cell r="R3469">
            <v>0</v>
          </cell>
          <cell r="T3469">
            <v>0</v>
          </cell>
          <cell r="U3469">
            <v>0</v>
          </cell>
          <cell r="W3469">
            <v>0</v>
          </cell>
          <cell r="X3469">
            <v>0</v>
          </cell>
          <cell r="Z3469">
            <v>0</v>
          </cell>
          <cell r="AA3469">
            <v>0</v>
          </cell>
          <cell r="AC3469">
            <v>0</v>
          </cell>
          <cell r="AD3469">
            <v>0</v>
          </cell>
          <cell r="AF3469">
            <v>0</v>
          </cell>
          <cell r="AG3469">
            <v>0</v>
          </cell>
          <cell r="AI3469">
            <v>0</v>
          </cell>
          <cell r="AJ3469">
            <v>0</v>
          </cell>
          <cell r="AL3469">
            <v>0</v>
          </cell>
          <cell r="AM3469">
            <v>0</v>
          </cell>
          <cell r="AO3469">
            <v>0</v>
          </cell>
          <cell r="AP3469">
            <v>0</v>
          </cell>
          <cell r="AR3469">
            <v>0</v>
          </cell>
          <cell r="AS3469">
            <v>0</v>
          </cell>
          <cell r="BF3469" t="str">
            <v>1009</v>
          </cell>
          <cell r="BG3469" t="str">
            <v>A064</v>
          </cell>
          <cell r="BH3469" t="str">
            <v>INV</v>
          </cell>
        </row>
        <row r="3470">
          <cell r="K3470">
            <v>0</v>
          </cell>
          <cell r="L3470">
            <v>0</v>
          </cell>
          <cell r="N3470">
            <v>0</v>
          </cell>
          <cell r="O3470">
            <v>0</v>
          </cell>
          <cell r="Q3470">
            <v>0</v>
          </cell>
          <cell r="R3470">
            <v>0</v>
          </cell>
          <cell r="T3470">
            <v>0</v>
          </cell>
          <cell r="U3470">
            <v>0</v>
          </cell>
          <cell r="W3470">
            <v>0</v>
          </cell>
          <cell r="X3470">
            <v>0</v>
          </cell>
          <cell r="Z3470">
            <v>0</v>
          </cell>
          <cell r="AA3470">
            <v>0</v>
          </cell>
          <cell r="AC3470">
            <v>0</v>
          </cell>
          <cell r="AD3470">
            <v>0</v>
          </cell>
          <cell r="AF3470">
            <v>0</v>
          </cell>
          <cell r="AG3470">
            <v>0</v>
          </cell>
          <cell r="AI3470">
            <v>0</v>
          </cell>
          <cell r="AJ3470">
            <v>0</v>
          </cell>
          <cell r="AL3470">
            <v>0</v>
          </cell>
          <cell r="AM3470">
            <v>0</v>
          </cell>
          <cell r="AO3470">
            <v>0</v>
          </cell>
          <cell r="AP3470">
            <v>0</v>
          </cell>
          <cell r="AR3470">
            <v>0</v>
          </cell>
          <cell r="AS3470">
            <v>0</v>
          </cell>
          <cell r="BF3470" t="str">
            <v>1009</v>
          </cell>
          <cell r="BG3470" t="str">
            <v>A065</v>
          </cell>
          <cell r="BH3470" t="str">
            <v>INV</v>
          </cell>
        </row>
        <row r="3471">
          <cell r="K3471">
            <v>0</v>
          </cell>
          <cell r="L3471">
            <v>0</v>
          </cell>
          <cell r="N3471">
            <v>0</v>
          </cell>
          <cell r="O3471">
            <v>0</v>
          </cell>
          <cell r="Q3471">
            <v>0</v>
          </cell>
          <cell r="R3471">
            <v>0</v>
          </cell>
          <cell r="T3471">
            <v>0</v>
          </cell>
          <cell r="U3471">
            <v>0</v>
          </cell>
          <cell r="W3471">
            <v>0</v>
          </cell>
          <cell r="X3471">
            <v>0</v>
          </cell>
          <cell r="Z3471">
            <v>0</v>
          </cell>
          <cell r="AA3471">
            <v>0</v>
          </cell>
          <cell r="AC3471">
            <v>0</v>
          </cell>
          <cell r="AD3471">
            <v>0</v>
          </cell>
          <cell r="AF3471">
            <v>0</v>
          </cell>
          <cell r="AG3471">
            <v>0</v>
          </cell>
          <cell r="AI3471">
            <v>0</v>
          </cell>
          <cell r="AJ3471">
            <v>0</v>
          </cell>
          <cell r="AL3471">
            <v>0</v>
          </cell>
          <cell r="AM3471">
            <v>0</v>
          </cell>
          <cell r="AO3471">
            <v>0</v>
          </cell>
          <cell r="AP3471">
            <v>0</v>
          </cell>
          <cell r="AR3471">
            <v>0</v>
          </cell>
          <cell r="AS3471">
            <v>0</v>
          </cell>
          <cell r="BF3471" t="str">
            <v>2001</v>
          </cell>
          <cell r="BG3471" t="str">
            <v>B001</v>
          </cell>
          <cell r="BH3471" t="str">
            <v>INV</v>
          </cell>
        </row>
        <row r="3472">
          <cell r="K3472">
            <v>0</v>
          </cell>
          <cell r="L3472">
            <v>0</v>
          </cell>
          <cell r="N3472">
            <v>0</v>
          </cell>
          <cell r="O3472">
            <v>0</v>
          </cell>
          <cell r="Q3472">
            <v>0</v>
          </cell>
          <cell r="R3472">
            <v>0</v>
          </cell>
          <cell r="T3472">
            <v>0</v>
          </cell>
          <cell r="U3472">
            <v>0</v>
          </cell>
          <cell r="W3472">
            <v>0</v>
          </cell>
          <cell r="X3472">
            <v>0</v>
          </cell>
          <cell r="Z3472">
            <v>0</v>
          </cell>
          <cell r="AA3472">
            <v>0</v>
          </cell>
          <cell r="AC3472">
            <v>0</v>
          </cell>
          <cell r="AD3472">
            <v>0</v>
          </cell>
          <cell r="AF3472">
            <v>0</v>
          </cell>
          <cell r="AG3472">
            <v>0</v>
          </cell>
          <cell r="AI3472">
            <v>0</v>
          </cell>
          <cell r="AJ3472">
            <v>0</v>
          </cell>
          <cell r="AL3472">
            <v>0</v>
          </cell>
          <cell r="AM3472">
            <v>0</v>
          </cell>
          <cell r="AO3472">
            <v>0</v>
          </cell>
          <cell r="AP3472">
            <v>0</v>
          </cell>
          <cell r="AR3472">
            <v>0</v>
          </cell>
          <cell r="AS3472">
            <v>0</v>
          </cell>
          <cell r="BF3472" t="str">
            <v>2001</v>
          </cell>
          <cell r="BG3472" t="str">
            <v>B002</v>
          </cell>
          <cell r="BH3472" t="str">
            <v>INV</v>
          </cell>
        </row>
        <row r="3473">
          <cell r="K3473">
            <v>0</v>
          </cell>
          <cell r="L3473">
            <v>0</v>
          </cell>
          <cell r="N3473">
            <v>0</v>
          </cell>
          <cell r="O3473">
            <v>0</v>
          </cell>
          <cell r="Q3473">
            <v>0</v>
          </cell>
          <cell r="R3473">
            <v>0</v>
          </cell>
          <cell r="T3473">
            <v>0</v>
          </cell>
          <cell r="U3473">
            <v>0</v>
          </cell>
          <cell r="W3473">
            <v>0</v>
          </cell>
          <cell r="X3473">
            <v>0</v>
          </cell>
          <cell r="Z3473">
            <v>0</v>
          </cell>
          <cell r="AA3473">
            <v>0</v>
          </cell>
          <cell r="AC3473">
            <v>0</v>
          </cell>
          <cell r="AD3473">
            <v>0</v>
          </cell>
          <cell r="AF3473">
            <v>0</v>
          </cell>
          <cell r="AG3473">
            <v>0</v>
          </cell>
          <cell r="AI3473">
            <v>0</v>
          </cell>
          <cell r="AJ3473">
            <v>0</v>
          </cell>
          <cell r="AL3473">
            <v>0</v>
          </cell>
          <cell r="AM3473">
            <v>0</v>
          </cell>
          <cell r="AO3473">
            <v>0</v>
          </cell>
          <cell r="AP3473">
            <v>0</v>
          </cell>
          <cell r="AR3473">
            <v>0</v>
          </cell>
          <cell r="AS3473">
            <v>0</v>
          </cell>
          <cell r="BF3473" t="str">
            <v>2001</v>
          </cell>
          <cell r="BG3473" t="str">
            <v>B003</v>
          </cell>
          <cell r="BH3473" t="str">
            <v>INV</v>
          </cell>
        </row>
        <row r="3474">
          <cell r="K3474">
            <v>0</v>
          </cell>
          <cell r="L3474">
            <v>0</v>
          </cell>
          <cell r="N3474">
            <v>0</v>
          </cell>
          <cell r="O3474">
            <v>0</v>
          </cell>
          <cell r="Q3474">
            <v>0</v>
          </cell>
          <cell r="R3474">
            <v>0</v>
          </cell>
          <cell r="T3474">
            <v>0</v>
          </cell>
          <cell r="U3474">
            <v>0</v>
          </cell>
          <cell r="W3474">
            <v>0</v>
          </cell>
          <cell r="X3474">
            <v>0</v>
          </cell>
          <cell r="Z3474">
            <v>0</v>
          </cell>
          <cell r="AA3474">
            <v>0</v>
          </cell>
          <cell r="AC3474">
            <v>0</v>
          </cell>
          <cell r="AD3474">
            <v>0</v>
          </cell>
          <cell r="AF3474">
            <v>0</v>
          </cell>
          <cell r="AG3474">
            <v>0</v>
          </cell>
          <cell r="AI3474">
            <v>0</v>
          </cell>
          <cell r="AJ3474">
            <v>0</v>
          </cell>
          <cell r="AL3474">
            <v>0</v>
          </cell>
          <cell r="AM3474">
            <v>0</v>
          </cell>
          <cell r="AO3474">
            <v>1118.6199999999999</v>
          </cell>
          <cell r="AP3474">
            <v>0</v>
          </cell>
          <cell r="AR3474">
            <v>570.21</v>
          </cell>
          <cell r="AS3474">
            <v>0</v>
          </cell>
          <cell r="BF3474" t="str">
            <v>2001</v>
          </cell>
          <cell r="BG3474" t="str">
            <v>B004</v>
          </cell>
          <cell r="BH3474" t="str">
            <v>INV</v>
          </cell>
        </row>
        <row r="3475">
          <cell r="K3475">
            <v>0</v>
          </cell>
          <cell r="L3475">
            <v>0</v>
          </cell>
          <cell r="N3475">
            <v>0</v>
          </cell>
          <cell r="O3475">
            <v>0</v>
          </cell>
          <cell r="Q3475">
            <v>0</v>
          </cell>
          <cell r="R3475">
            <v>0</v>
          </cell>
          <cell r="T3475">
            <v>0</v>
          </cell>
          <cell r="U3475">
            <v>0</v>
          </cell>
          <cell r="W3475">
            <v>0</v>
          </cell>
          <cell r="X3475">
            <v>0</v>
          </cell>
          <cell r="Z3475">
            <v>0</v>
          </cell>
          <cell r="AA3475">
            <v>0</v>
          </cell>
          <cell r="AC3475">
            <v>0</v>
          </cell>
          <cell r="AD3475">
            <v>0</v>
          </cell>
          <cell r="AF3475">
            <v>37342.83</v>
          </cell>
          <cell r="AG3475">
            <v>0</v>
          </cell>
          <cell r="AI3475">
            <v>26771.03</v>
          </cell>
          <cell r="AJ3475">
            <v>0</v>
          </cell>
          <cell r="AL3475">
            <v>43779.16</v>
          </cell>
          <cell r="AM3475">
            <v>0</v>
          </cell>
          <cell r="AO3475">
            <v>50106.310000000012</v>
          </cell>
          <cell r="AP3475">
            <v>0</v>
          </cell>
          <cell r="AR3475">
            <v>44405.279999999999</v>
          </cell>
          <cell r="AS3475">
            <v>0</v>
          </cell>
          <cell r="BF3475" t="str">
            <v>2001</v>
          </cell>
          <cell r="BG3475" t="str">
            <v>B005</v>
          </cell>
          <cell r="BH3475" t="str">
            <v>INV</v>
          </cell>
        </row>
        <row r="3476">
          <cell r="K3476">
            <v>0</v>
          </cell>
          <cell r="L3476">
            <v>0</v>
          </cell>
          <cell r="N3476">
            <v>0</v>
          </cell>
          <cell r="O3476">
            <v>0</v>
          </cell>
          <cell r="Q3476">
            <v>0</v>
          </cell>
          <cell r="R3476">
            <v>0</v>
          </cell>
          <cell r="T3476">
            <v>0</v>
          </cell>
          <cell r="U3476">
            <v>0</v>
          </cell>
          <cell r="W3476">
            <v>0</v>
          </cell>
          <cell r="X3476">
            <v>0</v>
          </cell>
          <cell r="Z3476">
            <v>0</v>
          </cell>
          <cell r="AA3476">
            <v>0</v>
          </cell>
          <cell r="AC3476">
            <v>0</v>
          </cell>
          <cell r="AD3476">
            <v>0</v>
          </cell>
          <cell r="AF3476">
            <v>0</v>
          </cell>
          <cell r="AG3476">
            <v>0</v>
          </cell>
          <cell r="AI3476">
            <v>0</v>
          </cell>
          <cell r="AJ3476">
            <v>0</v>
          </cell>
          <cell r="AL3476">
            <v>0</v>
          </cell>
          <cell r="AM3476">
            <v>0</v>
          </cell>
          <cell r="AO3476">
            <v>0</v>
          </cell>
          <cell r="AP3476">
            <v>0</v>
          </cell>
          <cell r="AR3476">
            <v>0</v>
          </cell>
          <cell r="AS3476">
            <v>0</v>
          </cell>
          <cell r="BF3476" t="str">
            <v>2001</v>
          </cell>
          <cell r="BG3476" t="str">
            <v>B006</v>
          </cell>
          <cell r="BH3476" t="str">
            <v>INV</v>
          </cell>
        </row>
        <row r="3477">
          <cell r="K3477">
            <v>0</v>
          </cell>
          <cell r="L3477">
            <v>0</v>
          </cell>
          <cell r="N3477">
            <v>0</v>
          </cell>
          <cell r="O3477">
            <v>0</v>
          </cell>
          <cell r="Q3477">
            <v>0</v>
          </cell>
          <cell r="R3477">
            <v>0</v>
          </cell>
          <cell r="T3477">
            <v>0</v>
          </cell>
          <cell r="U3477">
            <v>0</v>
          </cell>
          <cell r="W3477">
            <v>0</v>
          </cell>
          <cell r="X3477">
            <v>0</v>
          </cell>
          <cell r="Z3477">
            <v>0</v>
          </cell>
          <cell r="AA3477">
            <v>0</v>
          </cell>
          <cell r="AC3477">
            <v>0</v>
          </cell>
          <cell r="AD3477">
            <v>0</v>
          </cell>
          <cell r="AF3477">
            <v>0</v>
          </cell>
          <cell r="AG3477">
            <v>0</v>
          </cell>
          <cell r="AI3477">
            <v>0</v>
          </cell>
          <cell r="AJ3477">
            <v>0</v>
          </cell>
          <cell r="AL3477">
            <v>0</v>
          </cell>
          <cell r="AM3477">
            <v>0</v>
          </cell>
          <cell r="AO3477">
            <v>0</v>
          </cell>
          <cell r="AP3477">
            <v>0</v>
          </cell>
          <cell r="AR3477">
            <v>0</v>
          </cell>
          <cell r="AS3477">
            <v>0</v>
          </cell>
          <cell r="BF3477" t="str">
            <v>2008</v>
          </cell>
          <cell r="BG3477" t="str">
            <v>Z000</v>
          </cell>
          <cell r="BH3477" t="str">
            <v>INV</v>
          </cell>
        </row>
        <row r="3478">
          <cell r="K3478">
            <v>0</v>
          </cell>
          <cell r="L3478">
            <v>0</v>
          </cell>
          <cell r="N3478">
            <v>0</v>
          </cell>
          <cell r="O3478">
            <v>0</v>
          </cell>
          <cell r="Q3478">
            <v>0</v>
          </cell>
          <cell r="R3478">
            <v>0</v>
          </cell>
          <cell r="T3478">
            <v>0</v>
          </cell>
          <cell r="U3478">
            <v>0</v>
          </cell>
          <cell r="W3478">
            <v>0</v>
          </cell>
          <cell r="X3478">
            <v>0</v>
          </cell>
          <cell r="Z3478">
            <v>0</v>
          </cell>
          <cell r="AA3478">
            <v>0</v>
          </cell>
          <cell r="AC3478">
            <v>0</v>
          </cell>
          <cell r="AD3478">
            <v>0</v>
          </cell>
          <cell r="AF3478">
            <v>0</v>
          </cell>
          <cell r="AG3478">
            <v>0</v>
          </cell>
          <cell r="AI3478">
            <v>0</v>
          </cell>
          <cell r="AJ3478">
            <v>0</v>
          </cell>
          <cell r="AL3478">
            <v>0</v>
          </cell>
          <cell r="AM3478">
            <v>0</v>
          </cell>
          <cell r="AO3478">
            <v>0</v>
          </cell>
          <cell r="AP3478">
            <v>0</v>
          </cell>
          <cell r="AR3478">
            <v>0</v>
          </cell>
          <cell r="AS3478">
            <v>0</v>
          </cell>
          <cell r="BF3478" t="str">
            <v>2010</v>
          </cell>
          <cell r="BG3478" t="str">
            <v>B021</v>
          </cell>
          <cell r="BH3478" t="str">
            <v>INV</v>
          </cell>
        </row>
        <row r="3479">
          <cell r="K3479">
            <v>0</v>
          </cell>
          <cell r="L3479">
            <v>0</v>
          </cell>
          <cell r="N3479">
            <v>0</v>
          </cell>
          <cell r="O3479">
            <v>0</v>
          </cell>
          <cell r="Q3479">
            <v>0</v>
          </cell>
          <cell r="R3479">
            <v>0</v>
          </cell>
          <cell r="T3479">
            <v>0</v>
          </cell>
          <cell r="U3479">
            <v>0</v>
          </cell>
          <cell r="W3479">
            <v>0</v>
          </cell>
          <cell r="X3479">
            <v>0</v>
          </cell>
          <cell r="Z3479">
            <v>0</v>
          </cell>
          <cell r="AA3479">
            <v>0</v>
          </cell>
          <cell r="AC3479">
            <v>0</v>
          </cell>
          <cell r="AD3479">
            <v>0</v>
          </cell>
          <cell r="AF3479">
            <v>0</v>
          </cell>
          <cell r="AG3479">
            <v>0</v>
          </cell>
          <cell r="AI3479">
            <v>0</v>
          </cell>
          <cell r="AJ3479">
            <v>0</v>
          </cell>
          <cell r="AL3479">
            <v>0</v>
          </cell>
          <cell r="AM3479">
            <v>0</v>
          </cell>
          <cell r="AO3479">
            <v>0</v>
          </cell>
          <cell r="AP3479">
            <v>0</v>
          </cell>
          <cell r="AR3479">
            <v>0</v>
          </cell>
          <cell r="AS3479">
            <v>0</v>
          </cell>
          <cell r="BF3479" t="str">
            <v>2010</v>
          </cell>
          <cell r="BG3479" t="str">
            <v>B022</v>
          </cell>
          <cell r="BH3479" t="str">
            <v>INV</v>
          </cell>
        </row>
        <row r="3480">
          <cell r="K3480">
            <v>0</v>
          </cell>
          <cell r="L3480">
            <v>0</v>
          </cell>
          <cell r="N3480">
            <v>0</v>
          </cell>
          <cell r="O3480">
            <v>0</v>
          </cell>
          <cell r="Q3480">
            <v>0</v>
          </cell>
          <cell r="R3480">
            <v>0</v>
          </cell>
          <cell r="T3480">
            <v>0</v>
          </cell>
          <cell r="U3480">
            <v>0</v>
          </cell>
          <cell r="W3480">
            <v>0</v>
          </cell>
          <cell r="X3480">
            <v>0</v>
          </cell>
          <cell r="Z3480">
            <v>0</v>
          </cell>
          <cell r="AA3480">
            <v>0</v>
          </cell>
          <cell r="AC3480">
            <v>0</v>
          </cell>
          <cell r="AD3480">
            <v>0</v>
          </cell>
          <cell r="AF3480">
            <v>0</v>
          </cell>
          <cell r="AG3480">
            <v>0</v>
          </cell>
          <cell r="AI3480">
            <v>0</v>
          </cell>
          <cell r="AJ3480">
            <v>0</v>
          </cell>
          <cell r="AL3480">
            <v>0</v>
          </cell>
          <cell r="AM3480">
            <v>0</v>
          </cell>
          <cell r="AO3480">
            <v>0</v>
          </cell>
          <cell r="AP3480">
            <v>0</v>
          </cell>
          <cell r="AR3480">
            <v>0</v>
          </cell>
          <cell r="AS3480">
            <v>0</v>
          </cell>
          <cell r="BF3480" t="str">
            <v>2010</v>
          </cell>
          <cell r="BG3480" t="str">
            <v>B023</v>
          </cell>
          <cell r="BH3480" t="str">
            <v>INV</v>
          </cell>
        </row>
        <row r="3481">
          <cell r="K3481">
            <v>0</v>
          </cell>
          <cell r="L3481">
            <v>0</v>
          </cell>
          <cell r="N3481">
            <v>0</v>
          </cell>
          <cell r="O3481">
            <v>0</v>
          </cell>
          <cell r="Q3481">
            <v>0</v>
          </cell>
          <cell r="R3481">
            <v>0</v>
          </cell>
          <cell r="T3481">
            <v>0</v>
          </cell>
          <cell r="U3481">
            <v>0</v>
          </cell>
          <cell r="W3481">
            <v>0</v>
          </cell>
          <cell r="X3481">
            <v>0</v>
          </cell>
          <cell r="Z3481">
            <v>0</v>
          </cell>
          <cell r="AA3481">
            <v>0</v>
          </cell>
          <cell r="AC3481">
            <v>0</v>
          </cell>
          <cell r="AD3481">
            <v>0</v>
          </cell>
          <cell r="AF3481">
            <v>0</v>
          </cell>
          <cell r="AG3481">
            <v>0</v>
          </cell>
          <cell r="AI3481">
            <v>0</v>
          </cell>
          <cell r="AJ3481">
            <v>0</v>
          </cell>
          <cell r="AL3481">
            <v>0</v>
          </cell>
          <cell r="AM3481">
            <v>0</v>
          </cell>
          <cell r="AO3481">
            <v>0</v>
          </cell>
          <cell r="AP3481">
            <v>0</v>
          </cell>
          <cell r="AR3481">
            <v>0</v>
          </cell>
          <cell r="AS3481">
            <v>0</v>
          </cell>
          <cell r="BF3481" t="str">
            <v>2010</v>
          </cell>
          <cell r="BG3481" t="str">
            <v>B024</v>
          </cell>
          <cell r="BH3481" t="str">
            <v>INV</v>
          </cell>
        </row>
        <row r="3482">
          <cell r="K3482">
            <v>0</v>
          </cell>
          <cell r="L3482">
            <v>0</v>
          </cell>
          <cell r="N3482">
            <v>0</v>
          </cell>
          <cell r="O3482">
            <v>0</v>
          </cell>
          <cell r="Q3482">
            <v>0</v>
          </cell>
          <cell r="R3482">
            <v>0</v>
          </cell>
          <cell r="T3482">
            <v>0</v>
          </cell>
          <cell r="U3482">
            <v>0</v>
          </cell>
          <cell r="W3482">
            <v>0</v>
          </cell>
          <cell r="X3482">
            <v>0</v>
          </cell>
          <cell r="Z3482">
            <v>0</v>
          </cell>
          <cell r="AA3482">
            <v>0</v>
          </cell>
          <cell r="AC3482">
            <v>0</v>
          </cell>
          <cell r="AD3482">
            <v>0</v>
          </cell>
          <cell r="AF3482">
            <v>0</v>
          </cell>
          <cell r="AG3482">
            <v>0</v>
          </cell>
          <cell r="AI3482">
            <v>0</v>
          </cell>
          <cell r="AJ3482">
            <v>0</v>
          </cell>
          <cell r="AL3482">
            <v>0</v>
          </cell>
          <cell r="AM3482">
            <v>0</v>
          </cell>
          <cell r="AO3482">
            <v>0</v>
          </cell>
          <cell r="AP3482">
            <v>0</v>
          </cell>
          <cell r="AR3482">
            <v>0</v>
          </cell>
          <cell r="AS3482">
            <v>0</v>
          </cell>
          <cell r="BF3482" t="str">
            <v>2015</v>
          </cell>
          <cell r="BG3482" t="str">
            <v>B201</v>
          </cell>
          <cell r="BH3482" t="str">
            <v>INV</v>
          </cell>
        </row>
        <row r="3483">
          <cell r="K3483">
            <v>0</v>
          </cell>
          <cell r="L3483">
            <v>0</v>
          </cell>
          <cell r="N3483">
            <v>0</v>
          </cell>
          <cell r="O3483">
            <v>0</v>
          </cell>
          <cell r="Q3483">
            <v>0</v>
          </cell>
          <cell r="R3483">
            <v>0</v>
          </cell>
          <cell r="T3483">
            <v>0</v>
          </cell>
          <cell r="U3483">
            <v>0</v>
          </cell>
          <cell r="W3483">
            <v>0</v>
          </cell>
          <cell r="X3483">
            <v>0</v>
          </cell>
          <cell r="Z3483">
            <v>0</v>
          </cell>
          <cell r="AA3483">
            <v>0</v>
          </cell>
          <cell r="AC3483">
            <v>0</v>
          </cell>
          <cell r="AD3483">
            <v>0</v>
          </cell>
          <cell r="AF3483">
            <v>0</v>
          </cell>
          <cell r="AG3483">
            <v>0</v>
          </cell>
          <cell r="AI3483">
            <v>0</v>
          </cell>
          <cell r="AJ3483">
            <v>0</v>
          </cell>
          <cell r="AL3483">
            <v>0</v>
          </cell>
          <cell r="AM3483">
            <v>0</v>
          </cell>
          <cell r="AO3483">
            <v>0</v>
          </cell>
          <cell r="AP3483">
            <v>0</v>
          </cell>
          <cell r="AR3483">
            <v>0</v>
          </cell>
          <cell r="AS3483">
            <v>0</v>
          </cell>
          <cell r="BF3483" t="str">
            <v>2015</v>
          </cell>
          <cell r="BG3483" t="str">
            <v>B202</v>
          </cell>
          <cell r="BH3483" t="str">
            <v>INV</v>
          </cell>
        </row>
        <row r="3484">
          <cell r="K3484">
            <v>0</v>
          </cell>
          <cell r="L3484">
            <v>0</v>
          </cell>
          <cell r="N3484">
            <v>0</v>
          </cell>
          <cell r="O3484">
            <v>0</v>
          </cell>
          <cell r="Q3484">
            <v>0</v>
          </cell>
          <cell r="R3484">
            <v>0</v>
          </cell>
          <cell r="T3484">
            <v>0</v>
          </cell>
          <cell r="U3484">
            <v>0</v>
          </cell>
          <cell r="W3484">
            <v>0</v>
          </cell>
          <cell r="X3484">
            <v>0</v>
          </cell>
          <cell r="Z3484">
            <v>0</v>
          </cell>
          <cell r="AA3484">
            <v>0</v>
          </cell>
          <cell r="AC3484">
            <v>0</v>
          </cell>
          <cell r="AD3484">
            <v>0</v>
          </cell>
          <cell r="AF3484">
            <v>0</v>
          </cell>
          <cell r="AG3484">
            <v>0</v>
          </cell>
          <cell r="AI3484">
            <v>0</v>
          </cell>
          <cell r="AJ3484">
            <v>0</v>
          </cell>
          <cell r="AL3484">
            <v>0</v>
          </cell>
          <cell r="AM3484">
            <v>0</v>
          </cell>
          <cell r="AO3484">
            <v>0</v>
          </cell>
          <cell r="AP3484">
            <v>0</v>
          </cell>
          <cell r="AR3484">
            <v>0</v>
          </cell>
          <cell r="AS3484">
            <v>0</v>
          </cell>
          <cell r="BF3484" t="str">
            <v>2015</v>
          </cell>
          <cell r="BG3484" t="str">
            <v>B203</v>
          </cell>
          <cell r="BH3484" t="str">
            <v>INV</v>
          </cell>
        </row>
        <row r="3485">
          <cell r="K3485">
            <v>0</v>
          </cell>
          <cell r="L3485">
            <v>0</v>
          </cell>
          <cell r="N3485">
            <v>0</v>
          </cell>
          <cell r="O3485">
            <v>0</v>
          </cell>
          <cell r="Q3485">
            <v>0</v>
          </cell>
          <cell r="R3485">
            <v>0</v>
          </cell>
          <cell r="T3485">
            <v>0</v>
          </cell>
          <cell r="U3485">
            <v>0</v>
          </cell>
          <cell r="W3485">
            <v>0</v>
          </cell>
          <cell r="X3485">
            <v>0</v>
          </cell>
          <cell r="Z3485">
            <v>0</v>
          </cell>
          <cell r="AA3485">
            <v>0</v>
          </cell>
          <cell r="AC3485">
            <v>0</v>
          </cell>
          <cell r="AD3485">
            <v>0</v>
          </cell>
          <cell r="AF3485">
            <v>0</v>
          </cell>
          <cell r="AG3485">
            <v>0</v>
          </cell>
          <cell r="AI3485">
            <v>0</v>
          </cell>
          <cell r="AJ3485">
            <v>0</v>
          </cell>
          <cell r="AL3485">
            <v>0</v>
          </cell>
          <cell r="AM3485">
            <v>0</v>
          </cell>
          <cell r="AO3485">
            <v>0</v>
          </cell>
          <cell r="AP3485">
            <v>0</v>
          </cell>
          <cell r="AR3485">
            <v>0</v>
          </cell>
          <cell r="AS3485">
            <v>0</v>
          </cell>
          <cell r="BF3485" t="str">
            <v>2015</v>
          </cell>
          <cell r="BG3485" t="str">
            <v>B204</v>
          </cell>
          <cell r="BH3485" t="str">
            <v>INV</v>
          </cell>
        </row>
        <row r="3486">
          <cell r="K3486">
            <v>0</v>
          </cell>
          <cell r="L3486">
            <v>0</v>
          </cell>
          <cell r="N3486">
            <v>0</v>
          </cell>
          <cell r="O3486">
            <v>0</v>
          </cell>
          <cell r="Q3486">
            <v>0</v>
          </cell>
          <cell r="R3486">
            <v>0</v>
          </cell>
          <cell r="T3486">
            <v>0</v>
          </cell>
          <cell r="U3486">
            <v>0</v>
          </cell>
          <cell r="W3486">
            <v>0</v>
          </cell>
          <cell r="X3486">
            <v>0</v>
          </cell>
          <cell r="Z3486">
            <v>0</v>
          </cell>
          <cell r="AA3486">
            <v>0</v>
          </cell>
          <cell r="AC3486">
            <v>0</v>
          </cell>
          <cell r="AD3486">
            <v>0</v>
          </cell>
          <cell r="AF3486">
            <v>5349.9</v>
          </cell>
          <cell r="AG3486">
            <v>0</v>
          </cell>
          <cell r="AI3486">
            <v>7146.09</v>
          </cell>
          <cell r="AJ3486">
            <v>0</v>
          </cell>
          <cell r="AL3486">
            <v>7163.2299999999977</v>
          </cell>
          <cell r="AM3486">
            <v>0</v>
          </cell>
          <cell r="AO3486">
            <v>0</v>
          </cell>
          <cell r="AP3486">
            <v>0</v>
          </cell>
          <cell r="AR3486">
            <v>-12189.220000000001</v>
          </cell>
          <cell r="AS3486">
            <v>0</v>
          </cell>
          <cell r="BF3486" t="str">
            <v>2015</v>
          </cell>
          <cell r="BG3486" t="str">
            <v>B205</v>
          </cell>
          <cell r="BH3486" t="str">
            <v>INV</v>
          </cell>
        </row>
        <row r="3487">
          <cell r="K3487">
            <v>0</v>
          </cell>
          <cell r="L3487">
            <v>0</v>
          </cell>
          <cell r="N3487">
            <v>0</v>
          </cell>
          <cell r="O3487">
            <v>0</v>
          </cell>
          <cell r="Q3487">
            <v>0</v>
          </cell>
          <cell r="R3487">
            <v>0</v>
          </cell>
          <cell r="T3487">
            <v>0</v>
          </cell>
          <cell r="U3487">
            <v>0</v>
          </cell>
          <cell r="W3487">
            <v>0</v>
          </cell>
          <cell r="X3487">
            <v>0</v>
          </cell>
          <cell r="Z3487">
            <v>0</v>
          </cell>
          <cell r="AA3487">
            <v>0</v>
          </cell>
          <cell r="AC3487">
            <v>0</v>
          </cell>
          <cell r="AD3487">
            <v>0</v>
          </cell>
          <cell r="AF3487">
            <v>0</v>
          </cell>
          <cell r="AG3487">
            <v>0</v>
          </cell>
          <cell r="AI3487">
            <v>0</v>
          </cell>
          <cell r="AJ3487">
            <v>0</v>
          </cell>
          <cell r="AL3487">
            <v>0</v>
          </cell>
          <cell r="AM3487">
            <v>0</v>
          </cell>
          <cell r="AO3487">
            <v>0</v>
          </cell>
          <cell r="AP3487">
            <v>0</v>
          </cell>
          <cell r="AR3487">
            <v>0</v>
          </cell>
          <cell r="AS3487">
            <v>0</v>
          </cell>
          <cell r="BF3487" t="str">
            <v>2015</v>
          </cell>
          <cell r="BG3487" t="str">
            <v>B206</v>
          </cell>
          <cell r="BH3487" t="str">
            <v>INV</v>
          </cell>
        </row>
        <row r="3488">
          <cell r="K3488">
            <v>0</v>
          </cell>
          <cell r="L3488">
            <v>0</v>
          </cell>
          <cell r="N3488">
            <v>0</v>
          </cell>
          <cell r="O3488">
            <v>0</v>
          </cell>
          <cell r="Q3488">
            <v>0</v>
          </cell>
          <cell r="R3488">
            <v>0</v>
          </cell>
          <cell r="T3488">
            <v>0</v>
          </cell>
          <cell r="U3488">
            <v>0</v>
          </cell>
          <cell r="W3488">
            <v>0</v>
          </cell>
          <cell r="X3488">
            <v>0</v>
          </cell>
          <cell r="Z3488">
            <v>0</v>
          </cell>
          <cell r="AA3488">
            <v>0</v>
          </cell>
          <cell r="AC3488">
            <v>0</v>
          </cell>
          <cell r="AD3488">
            <v>0</v>
          </cell>
          <cell r="AF3488">
            <v>0</v>
          </cell>
          <cell r="AG3488">
            <v>0</v>
          </cell>
          <cell r="AI3488">
            <v>0</v>
          </cell>
          <cell r="AJ3488">
            <v>0</v>
          </cell>
          <cell r="AL3488">
            <v>0</v>
          </cell>
          <cell r="AM3488">
            <v>0</v>
          </cell>
          <cell r="AO3488">
            <v>0</v>
          </cell>
          <cell r="AP3488">
            <v>0</v>
          </cell>
          <cell r="AR3488">
            <v>0</v>
          </cell>
          <cell r="AS3488">
            <v>0</v>
          </cell>
          <cell r="BF3488" t="str">
            <v>2015</v>
          </cell>
          <cell r="BG3488" t="str">
            <v>B207</v>
          </cell>
          <cell r="BH3488" t="str">
            <v>INV</v>
          </cell>
        </row>
        <row r="3489">
          <cell r="K3489">
            <v>0</v>
          </cell>
          <cell r="L3489">
            <v>0</v>
          </cell>
          <cell r="N3489">
            <v>0</v>
          </cell>
          <cell r="O3489">
            <v>0</v>
          </cell>
          <cell r="Q3489">
            <v>0</v>
          </cell>
          <cell r="R3489">
            <v>0</v>
          </cell>
          <cell r="T3489">
            <v>0</v>
          </cell>
          <cell r="U3489">
            <v>0</v>
          </cell>
          <cell r="W3489">
            <v>0</v>
          </cell>
          <cell r="X3489">
            <v>0</v>
          </cell>
          <cell r="Z3489">
            <v>0</v>
          </cell>
          <cell r="AA3489">
            <v>0</v>
          </cell>
          <cell r="AC3489">
            <v>0</v>
          </cell>
          <cell r="AD3489">
            <v>0</v>
          </cell>
          <cell r="AF3489">
            <v>0</v>
          </cell>
          <cell r="AG3489">
            <v>0</v>
          </cell>
          <cell r="AI3489">
            <v>0</v>
          </cell>
          <cell r="AJ3489">
            <v>0</v>
          </cell>
          <cell r="AL3489">
            <v>0</v>
          </cell>
          <cell r="AM3489">
            <v>0</v>
          </cell>
          <cell r="AO3489">
            <v>0</v>
          </cell>
          <cell r="AP3489">
            <v>0</v>
          </cell>
          <cell r="AR3489">
            <v>0</v>
          </cell>
          <cell r="AS3489">
            <v>0</v>
          </cell>
          <cell r="BF3489" t="str">
            <v>2015</v>
          </cell>
          <cell r="BG3489" t="str">
            <v>B208</v>
          </cell>
          <cell r="BH3489" t="str">
            <v>INV</v>
          </cell>
        </row>
        <row r="3490">
          <cell r="K3490">
            <v>0</v>
          </cell>
          <cell r="L3490">
            <v>0</v>
          </cell>
          <cell r="N3490">
            <v>0</v>
          </cell>
          <cell r="O3490">
            <v>0</v>
          </cell>
          <cell r="Q3490">
            <v>0</v>
          </cell>
          <cell r="R3490">
            <v>0</v>
          </cell>
          <cell r="T3490">
            <v>0</v>
          </cell>
          <cell r="U3490">
            <v>0</v>
          </cell>
          <cell r="W3490">
            <v>0</v>
          </cell>
          <cell r="X3490">
            <v>0</v>
          </cell>
          <cell r="Z3490">
            <v>0</v>
          </cell>
          <cell r="AA3490">
            <v>0</v>
          </cell>
          <cell r="AC3490">
            <v>0</v>
          </cell>
          <cell r="AD3490">
            <v>0</v>
          </cell>
          <cell r="AF3490">
            <v>0</v>
          </cell>
          <cell r="AG3490">
            <v>0</v>
          </cell>
          <cell r="AI3490">
            <v>0</v>
          </cell>
          <cell r="AJ3490">
            <v>0</v>
          </cell>
          <cell r="AL3490">
            <v>0</v>
          </cell>
          <cell r="AM3490">
            <v>0</v>
          </cell>
          <cell r="AO3490">
            <v>0</v>
          </cell>
          <cell r="AP3490">
            <v>0</v>
          </cell>
          <cell r="AR3490">
            <v>0</v>
          </cell>
          <cell r="AS3490">
            <v>0</v>
          </cell>
          <cell r="BF3490" t="str">
            <v>2015</v>
          </cell>
          <cell r="BG3490" t="str">
            <v>B209</v>
          </cell>
          <cell r="BH3490" t="str">
            <v>INV</v>
          </cell>
        </row>
        <row r="3491">
          <cell r="K3491">
            <v>0</v>
          </cell>
          <cell r="L3491">
            <v>0</v>
          </cell>
          <cell r="N3491">
            <v>0</v>
          </cell>
          <cell r="O3491">
            <v>0</v>
          </cell>
          <cell r="Q3491">
            <v>0</v>
          </cell>
          <cell r="R3491">
            <v>0</v>
          </cell>
          <cell r="T3491">
            <v>0</v>
          </cell>
          <cell r="U3491">
            <v>0</v>
          </cell>
          <cell r="W3491">
            <v>0</v>
          </cell>
          <cell r="X3491">
            <v>0</v>
          </cell>
          <cell r="Z3491">
            <v>0</v>
          </cell>
          <cell r="AA3491">
            <v>0</v>
          </cell>
          <cell r="AC3491">
            <v>0</v>
          </cell>
          <cell r="AD3491">
            <v>0</v>
          </cell>
          <cell r="AF3491">
            <v>0</v>
          </cell>
          <cell r="AG3491">
            <v>0</v>
          </cell>
          <cell r="AI3491">
            <v>0</v>
          </cell>
          <cell r="AJ3491">
            <v>0</v>
          </cell>
          <cell r="AL3491">
            <v>0</v>
          </cell>
          <cell r="AM3491">
            <v>0</v>
          </cell>
          <cell r="AO3491">
            <v>0</v>
          </cell>
          <cell r="AP3491">
            <v>0</v>
          </cell>
          <cell r="AR3491">
            <v>0</v>
          </cell>
          <cell r="AS3491">
            <v>0</v>
          </cell>
          <cell r="BF3491" t="str">
            <v>2015</v>
          </cell>
          <cell r="BG3491" t="str">
            <v>B210</v>
          </cell>
          <cell r="BH3491" t="str">
            <v>INV</v>
          </cell>
        </row>
        <row r="3492">
          <cell r="K3492">
            <v>0</v>
          </cell>
          <cell r="L3492">
            <v>0</v>
          </cell>
          <cell r="N3492">
            <v>0</v>
          </cell>
          <cell r="O3492">
            <v>0</v>
          </cell>
          <cell r="Q3492">
            <v>0</v>
          </cell>
          <cell r="R3492">
            <v>0</v>
          </cell>
          <cell r="T3492">
            <v>0</v>
          </cell>
          <cell r="U3492">
            <v>0</v>
          </cell>
          <cell r="W3492">
            <v>0</v>
          </cell>
          <cell r="X3492">
            <v>0</v>
          </cell>
          <cell r="Z3492">
            <v>0</v>
          </cell>
          <cell r="AA3492">
            <v>0</v>
          </cell>
          <cell r="AC3492">
            <v>0</v>
          </cell>
          <cell r="AD3492">
            <v>0</v>
          </cell>
          <cell r="AF3492">
            <v>0</v>
          </cell>
          <cell r="AG3492">
            <v>0</v>
          </cell>
          <cell r="AI3492">
            <v>0</v>
          </cell>
          <cell r="AJ3492">
            <v>0</v>
          </cell>
          <cell r="AL3492">
            <v>0</v>
          </cell>
          <cell r="AM3492">
            <v>0</v>
          </cell>
          <cell r="AO3492">
            <v>0</v>
          </cell>
          <cell r="AP3492">
            <v>0</v>
          </cell>
          <cell r="AR3492">
            <v>0</v>
          </cell>
          <cell r="AS3492">
            <v>0</v>
          </cell>
          <cell r="BF3492" t="str">
            <v>2016</v>
          </cell>
          <cell r="BG3492" t="str">
            <v>B301</v>
          </cell>
          <cell r="BH3492" t="str">
            <v>INV</v>
          </cell>
        </row>
        <row r="3493">
          <cell r="K3493">
            <v>0</v>
          </cell>
          <cell r="L3493">
            <v>0</v>
          </cell>
          <cell r="N3493">
            <v>0</v>
          </cell>
          <cell r="O3493">
            <v>0</v>
          </cell>
          <cell r="Q3493">
            <v>0</v>
          </cell>
          <cell r="R3493">
            <v>0</v>
          </cell>
          <cell r="T3493">
            <v>0</v>
          </cell>
          <cell r="U3493">
            <v>0</v>
          </cell>
          <cell r="W3493">
            <v>0</v>
          </cell>
          <cell r="X3493">
            <v>0</v>
          </cell>
          <cell r="Z3493">
            <v>0</v>
          </cell>
          <cell r="AA3493">
            <v>0</v>
          </cell>
          <cell r="AC3493">
            <v>0</v>
          </cell>
          <cell r="AD3493">
            <v>0</v>
          </cell>
          <cell r="AF3493">
            <v>0</v>
          </cell>
          <cell r="AG3493">
            <v>0</v>
          </cell>
          <cell r="AI3493">
            <v>430.47</v>
          </cell>
          <cell r="AJ3493">
            <v>0</v>
          </cell>
          <cell r="AL3493">
            <v>-430.47</v>
          </cell>
          <cell r="AM3493">
            <v>0</v>
          </cell>
          <cell r="AO3493">
            <v>0</v>
          </cell>
          <cell r="AP3493">
            <v>0</v>
          </cell>
          <cell r="AR3493">
            <v>0</v>
          </cell>
          <cell r="AS3493">
            <v>0</v>
          </cell>
          <cell r="BF3493" t="str">
            <v>2016</v>
          </cell>
          <cell r="BG3493" t="str">
            <v>B302</v>
          </cell>
          <cell r="BH3493" t="str">
            <v>INV</v>
          </cell>
        </row>
        <row r="3494">
          <cell r="K3494">
            <v>0</v>
          </cell>
          <cell r="L3494">
            <v>0</v>
          </cell>
          <cell r="N3494">
            <v>0</v>
          </cell>
          <cell r="O3494">
            <v>0</v>
          </cell>
          <cell r="Q3494">
            <v>0</v>
          </cell>
          <cell r="R3494">
            <v>0</v>
          </cell>
          <cell r="T3494">
            <v>0</v>
          </cell>
          <cell r="U3494">
            <v>0</v>
          </cell>
          <cell r="W3494">
            <v>0</v>
          </cell>
          <cell r="X3494">
            <v>0</v>
          </cell>
          <cell r="Z3494">
            <v>0</v>
          </cell>
          <cell r="AA3494">
            <v>0</v>
          </cell>
          <cell r="AC3494">
            <v>0</v>
          </cell>
          <cell r="AD3494">
            <v>0</v>
          </cell>
          <cell r="AF3494">
            <v>0</v>
          </cell>
          <cell r="AG3494">
            <v>0</v>
          </cell>
          <cell r="AI3494">
            <v>0</v>
          </cell>
          <cell r="AJ3494">
            <v>0</v>
          </cell>
          <cell r="AL3494">
            <v>0</v>
          </cell>
          <cell r="AM3494">
            <v>0</v>
          </cell>
          <cell r="AO3494">
            <v>0</v>
          </cell>
          <cell r="AP3494">
            <v>0</v>
          </cell>
          <cell r="AR3494">
            <v>0</v>
          </cell>
          <cell r="AS3494">
            <v>0</v>
          </cell>
          <cell r="BF3494" t="str">
            <v>2016</v>
          </cell>
          <cell r="BG3494" t="str">
            <v>B303</v>
          </cell>
          <cell r="BH3494" t="str">
            <v>INV</v>
          </cell>
        </row>
        <row r="3495">
          <cell r="K3495">
            <v>0</v>
          </cell>
          <cell r="L3495">
            <v>0</v>
          </cell>
          <cell r="N3495">
            <v>0</v>
          </cell>
          <cell r="O3495">
            <v>0</v>
          </cell>
          <cell r="Q3495">
            <v>0</v>
          </cell>
          <cell r="R3495">
            <v>0</v>
          </cell>
          <cell r="T3495">
            <v>0</v>
          </cell>
          <cell r="U3495">
            <v>0</v>
          </cell>
          <cell r="W3495">
            <v>0</v>
          </cell>
          <cell r="X3495">
            <v>0</v>
          </cell>
          <cell r="Z3495">
            <v>0</v>
          </cell>
          <cell r="AA3495">
            <v>0</v>
          </cell>
          <cell r="AC3495">
            <v>0</v>
          </cell>
          <cell r="AD3495">
            <v>0</v>
          </cell>
          <cell r="AF3495">
            <v>0</v>
          </cell>
          <cell r="AG3495">
            <v>0</v>
          </cell>
          <cell r="AI3495">
            <v>0</v>
          </cell>
          <cell r="AJ3495">
            <v>0</v>
          </cell>
          <cell r="AL3495">
            <v>0</v>
          </cell>
          <cell r="AM3495">
            <v>0</v>
          </cell>
          <cell r="AO3495">
            <v>0</v>
          </cell>
          <cell r="AP3495">
            <v>0</v>
          </cell>
          <cell r="AR3495">
            <v>0</v>
          </cell>
          <cell r="AS3495">
            <v>0</v>
          </cell>
          <cell r="BF3495" t="str">
            <v>2017</v>
          </cell>
          <cell r="BG3495" t="str">
            <v>B401</v>
          </cell>
          <cell r="BH3495" t="str">
            <v>INV</v>
          </cell>
        </row>
        <row r="3496">
          <cell r="K3496">
            <v>0</v>
          </cell>
          <cell r="L3496">
            <v>0</v>
          </cell>
          <cell r="N3496">
            <v>0</v>
          </cell>
          <cell r="O3496">
            <v>0</v>
          </cell>
          <cell r="Q3496">
            <v>0</v>
          </cell>
          <cell r="R3496">
            <v>0</v>
          </cell>
          <cell r="T3496">
            <v>0</v>
          </cell>
          <cell r="U3496">
            <v>0</v>
          </cell>
          <cell r="W3496">
            <v>0</v>
          </cell>
          <cell r="X3496">
            <v>0</v>
          </cell>
          <cell r="Z3496">
            <v>0</v>
          </cell>
          <cell r="AA3496">
            <v>0</v>
          </cell>
          <cell r="AC3496">
            <v>0</v>
          </cell>
          <cell r="AD3496">
            <v>0</v>
          </cell>
          <cell r="AF3496">
            <v>0</v>
          </cell>
          <cell r="AG3496">
            <v>0</v>
          </cell>
          <cell r="AI3496">
            <v>0</v>
          </cell>
          <cell r="AJ3496">
            <v>0</v>
          </cell>
          <cell r="AL3496">
            <v>0</v>
          </cell>
          <cell r="AM3496">
            <v>0</v>
          </cell>
          <cell r="AO3496">
            <v>0</v>
          </cell>
          <cell r="AP3496">
            <v>0</v>
          </cell>
          <cell r="AR3496">
            <v>0</v>
          </cell>
          <cell r="AS3496">
            <v>0</v>
          </cell>
          <cell r="BF3496" t="str">
            <v>2017</v>
          </cell>
          <cell r="BG3496" t="str">
            <v>B402</v>
          </cell>
          <cell r="BH3496" t="str">
            <v>INV</v>
          </cell>
        </row>
        <row r="3497">
          <cell r="K3497">
            <v>0</v>
          </cell>
          <cell r="L3497">
            <v>0</v>
          </cell>
          <cell r="N3497">
            <v>0</v>
          </cell>
          <cell r="O3497">
            <v>0</v>
          </cell>
          <cell r="Q3497">
            <v>0</v>
          </cell>
          <cell r="R3497">
            <v>0</v>
          </cell>
          <cell r="T3497">
            <v>0</v>
          </cell>
          <cell r="U3497">
            <v>0</v>
          </cell>
          <cell r="W3497">
            <v>0</v>
          </cell>
          <cell r="X3497">
            <v>0</v>
          </cell>
          <cell r="Z3497">
            <v>0</v>
          </cell>
          <cell r="AA3497">
            <v>0</v>
          </cell>
          <cell r="AC3497">
            <v>0</v>
          </cell>
          <cell r="AD3497">
            <v>0</v>
          </cell>
          <cell r="AF3497">
            <v>0</v>
          </cell>
          <cell r="AG3497">
            <v>0</v>
          </cell>
          <cell r="AI3497">
            <v>0</v>
          </cell>
          <cell r="AJ3497">
            <v>0</v>
          </cell>
          <cell r="AL3497">
            <v>0</v>
          </cell>
          <cell r="AM3497">
            <v>0</v>
          </cell>
          <cell r="AO3497">
            <v>0</v>
          </cell>
          <cell r="AP3497">
            <v>0</v>
          </cell>
          <cell r="AR3497">
            <v>0</v>
          </cell>
          <cell r="AS3497">
            <v>0</v>
          </cell>
          <cell r="BF3497" t="str">
            <v>2017</v>
          </cell>
          <cell r="BG3497" t="str">
            <v>B403</v>
          </cell>
          <cell r="BH3497" t="str">
            <v>INV</v>
          </cell>
        </row>
        <row r="3498">
          <cell r="K3498">
            <v>0</v>
          </cell>
          <cell r="L3498">
            <v>0</v>
          </cell>
          <cell r="N3498">
            <v>0</v>
          </cell>
          <cell r="O3498">
            <v>0</v>
          </cell>
          <cell r="Q3498">
            <v>0</v>
          </cell>
          <cell r="R3498">
            <v>0</v>
          </cell>
          <cell r="T3498">
            <v>0</v>
          </cell>
          <cell r="U3498">
            <v>0</v>
          </cell>
          <cell r="W3498">
            <v>0</v>
          </cell>
          <cell r="X3498">
            <v>0</v>
          </cell>
          <cell r="Z3498">
            <v>0</v>
          </cell>
          <cell r="AA3498">
            <v>0</v>
          </cell>
          <cell r="AC3498">
            <v>0</v>
          </cell>
          <cell r="AD3498">
            <v>0</v>
          </cell>
          <cell r="AF3498">
            <v>0</v>
          </cell>
          <cell r="AG3498">
            <v>0</v>
          </cell>
          <cell r="AI3498">
            <v>0</v>
          </cell>
          <cell r="AJ3498">
            <v>0</v>
          </cell>
          <cell r="AL3498">
            <v>0</v>
          </cell>
          <cell r="AM3498">
            <v>0</v>
          </cell>
          <cell r="AO3498">
            <v>0</v>
          </cell>
          <cell r="AP3498">
            <v>0</v>
          </cell>
          <cell r="AR3498">
            <v>0</v>
          </cell>
          <cell r="AS3498">
            <v>0</v>
          </cell>
          <cell r="BF3498" t="str">
            <v>3100</v>
          </cell>
          <cell r="BG3498" t="str">
            <v>C001</v>
          </cell>
          <cell r="BH3498" t="str">
            <v>INV</v>
          </cell>
        </row>
        <row r="3499">
          <cell r="K3499">
            <v>0</v>
          </cell>
          <cell r="L3499">
            <v>0</v>
          </cell>
          <cell r="N3499">
            <v>0</v>
          </cell>
          <cell r="O3499">
            <v>0</v>
          </cell>
          <cell r="Q3499">
            <v>0</v>
          </cell>
          <cell r="R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Z3499">
            <v>0</v>
          </cell>
          <cell r="AA3499">
            <v>0</v>
          </cell>
          <cell r="AC3499">
            <v>0</v>
          </cell>
          <cell r="AD3499">
            <v>0</v>
          </cell>
          <cell r="AF3499">
            <v>0</v>
          </cell>
          <cell r="AG3499">
            <v>0</v>
          </cell>
          <cell r="AI3499">
            <v>0</v>
          </cell>
          <cell r="AJ3499">
            <v>0</v>
          </cell>
          <cell r="AL3499">
            <v>0</v>
          </cell>
          <cell r="AM3499">
            <v>0</v>
          </cell>
          <cell r="AO3499">
            <v>0</v>
          </cell>
          <cell r="AP3499">
            <v>0</v>
          </cell>
          <cell r="AR3499">
            <v>0</v>
          </cell>
          <cell r="AS3499">
            <v>0</v>
          </cell>
          <cell r="BF3499" t="str">
            <v>3100</v>
          </cell>
          <cell r="BG3499" t="str">
            <v>C002</v>
          </cell>
          <cell r="BH3499" t="str">
            <v>INV</v>
          </cell>
        </row>
        <row r="3500">
          <cell r="K3500">
            <v>0</v>
          </cell>
          <cell r="L3500">
            <v>0</v>
          </cell>
          <cell r="N3500">
            <v>0</v>
          </cell>
          <cell r="O3500">
            <v>0</v>
          </cell>
          <cell r="Q3500">
            <v>0</v>
          </cell>
          <cell r="R3500">
            <v>0</v>
          </cell>
          <cell r="T3500">
            <v>0</v>
          </cell>
          <cell r="U3500">
            <v>0</v>
          </cell>
          <cell r="W3500">
            <v>0</v>
          </cell>
          <cell r="X3500">
            <v>0</v>
          </cell>
          <cell r="Z3500">
            <v>0</v>
          </cell>
          <cell r="AA3500">
            <v>0</v>
          </cell>
          <cell r="AC3500">
            <v>0</v>
          </cell>
          <cell r="AD3500">
            <v>0</v>
          </cell>
          <cell r="AF3500">
            <v>0</v>
          </cell>
          <cell r="AG3500">
            <v>0</v>
          </cell>
          <cell r="AI3500">
            <v>0</v>
          </cell>
          <cell r="AJ3500">
            <v>0</v>
          </cell>
          <cell r="AL3500">
            <v>0</v>
          </cell>
          <cell r="AM3500">
            <v>0</v>
          </cell>
          <cell r="AO3500">
            <v>0</v>
          </cell>
          <cell r="AP3500">
            <v>0</v>
          </cell>
          <cell r="AR3500">
            <v>0</v>
          </cell>
          <cell r="AS3500">
            <v>0</v>
          </cell>
          <cell r="BF3500" t="str">
            <v>3100</v>
          </cell>
          <cell r="BG3500" t="str">
            <v>C003</v>
          </cell>
          <cell r="BH3500" t="str">
            <v>INV</v>
          </cell>
        </row>
        <row r="3501">
          <cell r="K3501">
            <v>0</v>
          </cell>
          <cell r="L3501">
            <v>0</v>
          </cell>
          <cell r="N3501">
            <v>0</v>
          </cell>
          <cell r="O3501">
            <v>0</v>
          </cell>
          <cell r="Q3501">
            <v>0</v>
          </cell>
          <cell r="R3501">
            <v>0</v>
          </cell>
          <cell r="T3501">
            <v>0</v>
          </cell>
          <cell r="U3501">
            <v>0</v>
          </cell>
          <cell r="W3501">
            <v>0</v>
          </cell>
          <cell r="X3501">
            <v>0</v>
          </cell>
          <cell r="Z3501">
            <v>0</v>
          </cell>
          <cell r="AA3501">
            <v>0</v>
          </cell>
          <cell r="AC3501">
            <v>0</v>
          </cell>
          <cell r="AD3501">
            <v>0</v>
          </cell>
          <cell r="AF3501">
            <v>0</v>
          </cell>
          <cell r="AG3501">
            <v>0</v>
          </cell>
          <cell r="AI3501">
            <v>0</v>
          </cell>
          <cell r="AJ3501">
            <v>0</v>
          </cell>
          <cell r="AL3501">
            <v>0</v>
          </cell>
          <cell r="AM3501">
            <v>0</v>
          </cell>
          <cell r="AO3501">
            <v>0</v>
          </cell>
          <cell r="AP3501">
            <v>0</v>
          </cell>
          <cell r="AR3501">
            <v>0</v>
          </cell>
          <cell r="AS3501">
            <v>0</v>
          </cell>
          <cell r="BF3501" t="str">
            <v>3100</v>
          </cell>
          <cell r="BG3501" t="str">
            <v>C004</v>
          </cell>
          <cell r="BH3501" t="str">
            <v>INV</v>
          </cell>
        </row>
        <row r="3502">
          <cell r="K3502">
            <v>0</v>
          </cell>
          <cell r="L3502">
            <v>0</v>
          </cell>
          <cell r="N3502">
            <v>0</v>
          </cell>
          <cell r="O3502">
            <v>0</v>
          </cell>
          <cell r="Q3502">
            <v>0</v>
          </cell>
          <cell r="R3502">
            <v>0</v>
          </cell>
          <cell r="T3502">
            <v>0</v>
          </cell>
          <cell r="U3502">
            <v>0</v>
          </cell>
          <cell r="W3502">
            <v>0</v>
          </cell>
          <cell r="X3502">
            <v>0</v>
          </cell>
          <cell r="Z3502">
            <v>0</v>
          </cell>
          <cell r="AA3502">
            <v>0</v>
          </cell>
          <cell r="AC3502">
            <v>0</v>
          </cell>
          <cell r="AD3502">
            <v>0</v>
          </cell>
          <cell r="AF3502">
            <v>0</v>
          </cell>
          <cell r="AG3502">
            <v>0</v>
          </cell>
          <cell r="AI3502">
            <v>0</v>
          </cell>
          <cell r="AJ3502">
            <v>0</v>
          </cell>
          <cell r="AL3502">
            <v>0</v>
          </cell>
          <cell r="AM3502">
            <v>0</v>
          </cell>
          <cell r="AO3502">
            <v>0</v>
          </cell>
          <cell r="AP3502">
            <v>0</v>
          </cell>
          <cell r="AR3502">
            <v>0</v>
          </cell>
          <cell r="AS3502">
            <v>0</v>
          </cell>
          <cell r="BF3502" t="str">
            <v>3100</v>
          </cell>
          <cell r="BG3502" t="str">
            <v>C005</v>
          </cell>
          <cell r="BH3502" t="str">
            <v>INV</v>
          </cell>
        </row>
        <row r="3503">
          <cell r="K3503">
            <v>0</v>
          </cell>
          <cell r="L3503">
            <v>0</v>
          </cell>
          <cell r="N3503">
            <v>0</v>
          </cell>
          <cell r="O3503">
            <v>0</v>
          </cell>
          <cell r="Q3503">
            <v>0</v>
          </cell>
          <cell r="R3503">
            <v>0</v>
          </cell>
          <cell r="T3503">
            <v>0</v>
          </cell>
          <cell r="U3503">
            <v>0</v>
          </cell>
          <cell r="W3503">
            <v>0</v>
          </cell>
          <cell r="X3503">
            <v>0</v>
          </cell>
          <cell r="Z3503">
            <v>0</v>
          </cell>
          <cell r="AA3503">
            <v>0</v>
          </cell>
          <cell r="AC3503">
            <v>0</v>
          </cell>
          <cell r="AD3503">
            <v>0</v>
          </cell>
          <cell r="AF3503">
            <v>0</v>
          </cell>
          <cell r="AG3503">
            <v>0</v>
          </cell>
          <cell r="AI3503">
            <v>0</v>
          </cell>
          <cell r="AJ3503">
            <v>0</v>
          </cell>
          <cell r="AL3503">
            <v>0</v>
          </cell>
          <cell r="AM3503">
            <v>0</v>
          </cell>
          <cell r="AO3503">
            <v>0</v>
          </cell>
          <cell r="AP3503">
            <v>0</v>
          </cell>
          <cell r="AR3503">
            <v>0</v>
          </cell>
          <cell r="AS3503">
            <v>0</v>
          </cell>
          <cell r="BF3503" t="str">
            <v>3100</v>
          </cell>
          <cell r="BG3503" t="str">
            <v>C006</v>
          </cell>
          <cell r="BH3503" t="str">
            <v>INV</v>
          </cell>
        </row>
        <row r="3504">
          <cell r="K3504">
            <v>0</v>
          </cell>
          <cell r="L3504">
            <v>0</v>
          </cell>
          <cell r="N3504">
            <v>0</v>
          </cell>
          <cell r="O3504">
            <v>0</v>
          </cell>
          <cell r="Q3504">
            <v>0</v>
          </cell>
          <cell r="R3504">
            <v>0</v>
          </cell>
          <cell r="T3504">
            <v>0</v>
          </cell>
          <cell r="U3504">
            <v>0</v>
          </cell>
          <cell r="W3504">
            <v>0</v>
          </cell>
          <cell r="X3504">
            <v>0</v>
          </cell>
          <cell r="Z3504">
            <v>0</v>
          </cell>
          <cell r="AA3504">
            <v>0</v>
          </cell>
          <cell r="AC3504">
            <v>0</v>
          </cell>
          <cell r="AD3504">
            <v>0</v>
          </cell>
          <cell r="AF3504">
            <v>0</v>
          </cell>
          <cell r="AG3504">
            <v>0</v>
          </cell>
          <cell r="AI3504">
            <v>0</v>
          </cell>
          <cell r="AJ3504">
            <v>0</v>
          </cell>
          <cell r="AL3504">
            <v>0</v>
          </cell>
          <cell r="AM3504">
            <v>0</v>
          </cell>
          <cell r="AO3504">
            <v>0</v>
          </cell>
          <cell r="AP3504">
            <v>0</v>
          </cell>
          <cell r="AR3504">
            <v>0</v>
          </cell>
          <cell r="AS3504">
            <v>0</v>
          </cell>
          <cell r="BF3504" t="str">
            <v>3150</v>
          </cell>
          <cell r="BG3504" t="str">
            <v>Z000</v>
          </cell>
          <cell r="BH3504" t="str">
            <v>INV</v>
          </cell>
        </row>
        <row r="3505">
          <cell r="K3505">
            <v>0</v>
          </cell>
          <cell r="L3505">
            <v>0</v>
          </cell>
          <cell r="N3505">
            <v>0</v>
          </cell>
          <cell r="O3505">
            <v>0</v>
          </cell>
          <cell r="Q3505">
            <v>0</v>
          </cell>
          <cell r="R3505">
            <v>0</v>
          </cell>
          <cell r="T3505">
            <v>0</v>
          </cell>
          <cell r="U3505">
            <v>0</v>
          </cell>
          <cell r="W3505">
            <v>0</v>
          </cell>
          <cell r="X3505">
            <v>0</v>
          </cell>
          <cell r="Z3505">
            <v>0</v>
          </cell>
          <cell r="AA3505">
            <v>0</v>
          </cell>
          <cell r="AC3505">
            <v>2000</v>
          </cell>
          <cell r="AD3505">
            <v>0</v>
          </cell>
          <cell r="AF3505">
            <v>2000</v>
          </cell>
          <cell r="AG3505">
            <v>0</v>
          </cell>
          <cell r="AI3505">
            <v>2000</v>
          </cell>
          <cell r="AJ3505">
            <v>0</v>
          </cell>
          <cell r="AL3505">
            <v>2000</v>
          </cell>
          <cell r="AM3505">
            <v>0</v>
          </cell>
          <cell r="AO3505">
            <v>2000</v>
          </cell>
          <cell r="AP3505">
            <v>0</v>
          </cell>
          <cell r="AR3505">
            <v>2000</v>
          </cell>
          <cell r="AS3505">
            <v>0</v>
          </cell>
          <cell r="BF3505" t="str">
            <v>4000</v>
          </cell>
          <cell r="BG3505" t="str">
            <v>D001</v>
          </cell>
          <cell r="BH3505" t="str">
            <v>INV</v>
          </cell>
        </row>
        <row r="3506">
          <cell r="K3506">
            <v>0</v>
          </cell>
          <cell r="L3506">
            <v>0</v>
          </cell>
          <cell r="N3506">
            <v>0</v>
          </cell>
          <cell r="O3506">
            <v>0</v>
          </cell>
          <cell r="Q3506">
            <v>0</v>
          </cell>
          <cell r="R3506">
            <v>0</v>
          </cell>
          <cell r="T3506">
            <v>0</v>
          </cell>
          <cell r="U3506">
            <v>0</v>
          </cell>
          <cell r="W3506">
            <v>0</v>
          </cell>
          <cell r="X3506">
            <v>0</v>
          </cell>
          <cell r="Z3506">
            <v>0</v>
          </cell>
          <cell r="AA3506">
            <v>0</v>
          </cell>
          <cell r="AC3506">
            <v>0</v>
          </cell>
          <cell r="AD3506">
            <v>0</v>
          </cell>
          <cell r="AF3506">
            <v>4290</v>
          </cell>
          <cell r="AG3506">
            <v>0</v>
          </cell>
          <cell r="AI3506">
            <v>258</v>
          </cell>
          <cell r="AJ3506">
            <v>0</v>
          </cell>
          <cell r="AL3506">
            <v>1095.5</v>
          </cell>
          <cell r="AM3506">
            <v>0</v>
          </cell>
          <cell r="AO3506">
            <v>0</v>
          </cell>
          <cell r="AP3506">
            <v>0</v>
          </cell>
          <cell r="AR3506">
            <v>0</v>
          </cell>
          <cell r="AS3506">
            <v>0</v>
          </cell>
          <cell r="BF3506" t="str">
            <v>4000</v>
          </cell>
          <cell r="BG3506" t="str">
            <v>D002</v>
          </cell>
          <cell r="BH3506" t="str">
            <v>INV</v>
          </cell>
        </row>
        <row r="3507">
          <cell r="K3507">
            <v>0</v>
          </cell>
          <cell r="L3507">
            <v>0</v>
          </cell>
          <cell r="N3507">
            <v>0</v>
          </cell>
          <cell r="O3507">
            <v>0</v>
          </cell>
          <cell r="Q3507">
            <v>0</v>
          </cell>
          <cell r="R3507">
            <v>0</v>
          </cell>
          <cell r="T3507">
            <v>0</v>
          </cell>
          <cell r="U3507">
            <v>0</v>
          </cell>
          <cell r="W3507">
            <v>0</v>
          </cell>
          <cell r="X3507">
            <v>0</v>
          </cell>
          <cell r="Z3507">
            <v>0</v>
          </cell>
          <cell r="AA3507">
            <v>0</v>
          </cell>
          <cell r="AC3507">
            <v>0</v>
          </cell>
          <cell r="AD3507">
            <v>0</v>
          </cell>
          <cell r="AF3507">
            <v>0</v>
          </cell>
          <cell r="AG3507">
            <v>0</v>
          </cell>
          <cell r="AI3507">
            <v>0</v>
          </cell>
          <cell r="AJ3507">
            <v>0</v>
          </cell>
          <cell r="AL3507">
            <v>0</v>
          </cell>
          <cell r="AM3507">
            <v>0</v>
          </cell>
          <cell r="AO3507">
            <v>0</v>
          </cell>
          <cell r="AP3507">
            <v>0</v>
          </cell>
          <cell r="AR3507">
            <v>0</v>
          </cell>
          <cell r="AS3507">
            <v>0</v>
          </cell>
          <cell r="BF3507" t="str">
            <v>4010</v>
          </cell>
          <cell r="BG3507" t="str">
            <v>Z000</v>
          </cell>
          <cell r="BH3507" t="str">
            <v>INV</v>
          </cell>
        </row>
        <row r="3508">
          <cell r="K3508">
            <v>0</v>
          </cell>
          <cell r="L3508">
            <v>0</v>
          </cell>
          <cell r="N3508">
            <v>0</v>
          </cell>
          <cell r="O3508">
            <v>0</v>
          </cell>
          <cell r="Q3508">
            <v>0</v>
          </cell>
          <cell r="R3508">
            <v>0</v>
          </cell>
          <cell r="T3508">
            <v>0</v>
          </cell>
          <cell r="U3508">
            <v>0</v>
          </cell>
          <cell r="W3508">
            <v>0</v>
          </cell>
          <cell r="X3508">
            <v>0</v>
          </cell>
          <cell r="Z3508">
            <v>0</v>
          </cell>
          <cell r="AA3508">
            <v>0</v>
          </cell>
          <cell r="AC3508">
            <v>72.119999999999891</v>
          </cell>
          <cell r="AD3508">
            <v>0</v>
          </cell>
          <cell r="AF3508">
            <v>100.5</v>
          </cell>
          <cell r="AG3508">
            <v>0</v>
          </cell>
          <cell r="AI3508">
            <v>85</v>
          </cell>
          <cell r="AJ3508">
            <v>0</v>
          </cell>
          <cell r="AL3508">
            <v>116.96000000000004</v>
          </cell>
          <cell r="AM3508">
            <v>0</v>
          </cell>
          <cell r="AO3508">
            <v>115</v>
          </cell>
          <cell r="AP3508">
            <v>0</v>
          </cell>
          <cell r="AR3508">
            <v>57.509999999999991</v>
          </cell>
          <cell r="AS3508">
            <v>0</v>
          </cell>
          <cell r="BF3508" t="str">
            <v>4150</v>
          </cell>
          <cell r="BG3508" t="str">
            <v>Z000</v>
          </cell>
          <cell r="BH3508" t="str">
            <v>INV</v>
          </cell>
        </row>
        <row r="3509">
          <cell r="K3509">
            <v>0</v>
          </cell>
          <cell r="L3509">
            <v>0</v>
          </cell>
          <cell r="N3509">
            <v>0</v>
          </cell>
          <cell r="O3509">
            <v>0</v>
          </cell>
          <cell r="Q3509">
            <v>0</v>
          </cell>
          <cell r="R3509">
            <v>0</v>
          </cell>
          <cell r="T3509">
            <v>0</v>
          </cell>
          <cell r="U3509">
            <v>0</v>
          </cell>
          <cell r="W3509">
            <v>0</v>
          </cell>
          <cell r="X3509">
            <v>0</v>
          </cell>
          <cell r="Z3509">
            <v>0</v>
          </cell>
          <cell r="AA3509">
            <v>0</v>
          </cell>
          <cell r="AC3509">
            <v>0</v>
          </cell>
          <cell r="AD3509">
            <v>0</v>
          </cell>
          <cell r="AF3509">
            <v>0</v>
          </cell>
          <cell r="AG3509">
            <v>0</v>
          </cell>
          <cell r="AI3509">
            <v>0</v>
          </cell>
          <cell r="AJ3509">
            <v>0</v>
          </cell>
          <cell r="AL3509">
            <v>0</v>
          </cell>
          <cell r="AM3509">
            <v>0</v>
          </cell>
          <cell r="AO3509">
            <v>0</v>
          </cell>
          <cell r="AP3509">
            <v>0</v>
          </cell>
          <cell r="AR3509">
            <v>0</v>
          </cell>
          <cell r="AS3509">
            <v>0</v>
          </cell>
          <cell r="BF3509" t="str">
            <v>4200</v>
          </cell>
          <cell r="BG3509" t="str">
            <v>Z000</v>
          </cell>
          <cell r="BH3509" t="str">
            <v>INV</v>
          </cell>
        </row>
        <row r="3510">
          <cell r="K3510">
            <v>0</v>
          </cell>
          <cell r="L3510">
            <v>0</v>
          </cell>
          <cell r="N3510">
            <v>0</v>
          </cell>
          <cell r="O3510">
            <v>0</v>
          </cell>
          <cell r="Q3510">
            <v>0</v>
          </cell>
          <cell r="R3510">
            <v>0</v>
          </cell>
          <cell r="T3510">
            <v>0</v>
          </cell>
          <cell r="U3510">
            <v>0</v>
          </cell>
          <cell r="W3510">
            <v>0</v>
          </cell>
          <cell r="X3510">
            <v>0</v>
          </cell>
          <cell r="Z3510">
            <v>0</v>
          </cell>
          <cell r="AA3510">
            <v>0</v>
          </cell>
          <cell r="AC3510">
            <v>0</v>
          </cell>
          <cell r="AD3510">
            <v>0</v>
          </cell>
          <cell r="AF3510">
            <v>0</v>
          </cell>
          <cell r="AG3510">
            <v>0</v>
          </cell>
          <cell r="AI3510">
            <v>0</v>
          </cell>
          <cell r="AJ3510">
            <v>0</v>
          </cell>
          <cell r="AL3510">
            <v>0</v>
          </cell>
          <cell r="AM3510">
            <v>0</v>
          </cell>
          <cell r="AO3510">
            <v>0</v>
          </cell>
          <cell r="AP3510">
            <v>0</v>
          </cell>
          <cell r="AR3510">
            <v>0</v>
          </cell>
          <cell r="AS3510">
            <v>0</v>
          </cell>
          <cell r="BF3510" t="str">
            <v>4215</v>
          </cell>
          <cell r="BG3510" t="str">
            <v>Z000</v>
          </cell>
          <cell r="BH3510" t="str">
            <v>INV</v>
          </cell>
        </row>
        <row r="3511">
          <cell r="K3511">
            <v>0</v>
          </cell>
          <cell r="L3511">
            <v>0</v>
          </cell>
          <cell r="N3511">
            <v>0</v>
          </cell>
          <cell r="O3511">
            <v>0</v>
          </cell>
          <cell r="Q3511">
            <v>0</v>
          </cell>
          <cell r="R3511">
            <v>0</v>
          </cell>
          <cell r="T3511">
            <v>0</v>
          </cell>
          <cell r="U3511">
            <v>0</v>
          </cell>
          <cell r="W3511">
            <v>0</v>
          </cell>
          <cell r="X3511">
            <v>0</v>
          </cell>
          <cell r="Z3511">
            <v>0</v>
          </cell>
          <cell r="AA3511">
            <v>0</v>
          </cell>
          <cell r="AC3511">
            <v>1150</v>
          </cell>
          <cell r="AD3511">
            <v>0</v>
          </cell>
          <cell r="AF3511">
            <v>0</v>
          </cell>
          <cell r="AG3511">
            <v>0</v>
          </cell>
          <cell r="AI3511">
            <v>0</v>
          </cell>
          <cell r="AJ3511">
            <v>0</v>
          </cell>
          <cell r="AL3511">
            <v>0</v>
          </cell>
          <cell r="AM3511">
            <v>0</v>
          </cell>
          <cell r="AO3511">
            <v>301.47000000000003</v>
          </cell>
          <cell r="AP3511">
            <v>0</v>
          </cell>
          <cell r="AR3511">
            <v>0</v>
          </cell>
          <cell r="AS3511">
            <v>0</v>
          </cell>
          <cell r="BF3511" t="str">
            <v>4230</v>
          </cell>
          <cell r="BG3511" t="str">
            <v>Z000</v>
          </cell>
          <cell r="BH3511" t="str">
            <v>INV</v>
          </cell>
        </row>
        <row r="3512">
          <cell r="K3512">
            <v>0</v>
          </cell>
          <cell r="L3512">
            <v>0</v>
          </cell>
          <cell r="N3512">
            <v>0</v>
          </cell>
          <cell r="O3512">
            <v>0</v>
          </cell>
          <cell r="Q3512">
            <v>0</v>
          </cell>
          <cell r="R3512">
            <v>0</v>
          </cell>
          <cell r="T3512">
            <v>0</v>
          </cell>
          <cell r="U3512">
            <v>0</v>
          </cell>
          <cell r="W3512">
            <v>0</v>
          </cell>
          <cell r="X3512">
            <v>0</v>
          </cell>
          <cell r="Z3512">
            <v>0</v>
          </cell>
          <cell r="AA3512">
            <v>0</v>
          </cell>
          <cell r="AC3512">
            <v>0</v>
          </cell>
          <cell r="AD3512">
            <v>0</v>
          </cell>
          <cell r="AF3512">
            <v>0</v>
          </cell>
          <cell r="AG3512">
            <v>0</v>
          </cell>
          <cell r="AI3512">
            <v>0</v>
          </cell>
          <cell r="AJ3512">
            <v>0</v>
          </cell>
          <cell r="AL3512">
            <v>0</v>
          </cell>
          <cell r="AM3512">
            <v>0</v>
          </cell>
          <cell r="AO3512">
            <v>0</v>
          </cell>
          <cell r="AP3512">
            <v>0</v>
          </cell>
          <cell r="AR3512">
            <v>0</v>
          </cell>
          <cell r="AS3512">
            <v>0</v>
          </cell>
          <cell r="BF3512" t="str">
            <v>4240</v>
          </cell>
          <cell r="BG3512" t="str">
            <v>Z000</v>
          </cell>
          <cell r="BH3512" t="str">
            <v>INV</v>
          </cell>
        </row>
        <row r="3513">
          <cell r="K3513">
            <v>0</v>
          </cell>
          <cell r="L3513">
            <v>0</v>
          </cell>
          <cell r="N3513">
            <v>0</v>
          </cell>
          <cell r="O3513">
            <v>0</v>
          </cell>
          <cell r="Q3513">
            <v>0</v>
          </cell>
          <cell r="R3513">
            <v>0</v>
          </cell>
          <cell r="T3513">
            <v>0</v>
          </cell>
          <cell r="U3513">
            <v>0</v>
          </cell>
          <cell r="W3513">
            <v>0</v>
          </cell>
          <cell r="X3513">
            <v>0</v>
          </cell>
          <cell r="Z3513">
            <v>0</v>
          </cell>
          <cell r="AA3513">
            <v>0</v>
          </cell>
          <cell r="AC3513">
            <v>668</v>
          </cell>
          <cell r="AD3513">
            <v>0</v>
          </cell>
          <cell r="AF3513">
            <v>0</v>
          </cell>
          <cell r="AG3513">
            <v>0</v>
          </cell>
          <cell r="AI3513">
            <v>0</v>
          </cell>
          <cell r="AJ3513">
            <v>0</v>
          </cell>
          <cell r="AL3513">
            <v>0</v>
          </cell>
          <cell r="AM3513">
            <v>0</v>
          </cell>
          <cell r="AO3513">
            <v>0</v>
          </cell>
          <cell r="AP3513">
            <v>0</v>
          </cell>
          <cell r="AR3513">
            <v>0</v>
          </cell>
          <cell r="AS3513">
            <v>0</v>
          </cell>
          <cell r="BF3513" t="str">
            <v>4250</v>
          </cell>
          <cell r="BG3513" t="str">
            <v>Z000</v>
          </cell>
          <cell r="BH3513" t="str">
            <v>INV</v>
          </cell>
        </row>
        <row r="3514">
          <cell r="K3514">
            <v>0</v>
          </cell>
          <cell r="L3514">
            <v>0</v>
          </cell>
          <cell r="N3514">
            <v>0</v>
          </cell>
          <cell r="O3514">
            <v>0</v>
          </cell>
          <cell r="Q3514">
            <v>0</v>
          </cell>
          <cell r="R3514">
            <v>0</v>
          </cell>
          <cell r="T3514">
            <v>0</v>
          </cell>
          <cell r="U3514">
            <v>0</v>
          </cell>
          <cell r="W3514">
            <v>0</v>
          </cell>
          <cell r="X3514">
            <v>0</v>
          </cell>
          <cell r="Z3514">
            <v>0</v>
          </cell>
          <cell r="AA3514">
            <v>0</v>
          </cell>
          <cell r="AC3514">
            <v>0</v>
          </cell>
          <cell r="AD3514">
            <v>0</v>
          </cell>
          <cell r="AF3514">
            <v>0</v>
          </cell>
          <cell r="AG3514">
            <v>0</v>
          </cell>
          <cell r="AI3514">
            <v>0</v>
          </cell>
          <cell r="AJ3514">
            <v>0</v>
          </cell>
          <cell r="AL3514">
            <v>0</v>
          </cell>
          <cell r="AM3514">
            <v>0</v>
          </cell>
          <cell r="AO3514">
            <v>0</v>
          </cell>
          <cell r="AP3514">
            <v>0</v>
          </cell>
          <cell r="AR3514">
            <v>0</v>
          </cell>
          <cell r="AS3514">
            <v>0</v>
          </cell>
          <cell r="BF3514" t="str">
            <v>4275</v>
          </cell>
          <cell r="BG3514" t="str">
            <v>Z000</v>
          </cell>
          <cell r="BH3514" t="str">
            <v>INV</v>
          </cell>
        </row>
        <row r="3515">
          <cell r="K3515">
            <v>0</v>
          </cell>
          <cell r="L3515">
            <v>0</v>
          </cell>
          <cell r="N3515">
            <v>0</v>
          </cell>
          <cell r="O3515">
            <v>0</v>
          </cell>
          <cell r="Q3515">
            <v>0</v>
          </cell>
          <cell r="R3515">
            <v>0</v>
          </cell>
          <cell r="T3515">
            <v>0</v>
          </cell>
          <cell r="U3515">
            <v>0</v>
          </cell>
          <cell r="W3515">
            <v>0</v>
          </cell>
          <cell r="X3515">
            <v>0</v>
          </cell>
          <cell r="Z3515">
            <v>0</v>
          </cell>
          <cell r="AA3515">
            <v>0</v>
          </cell>
          <cell r="AC3515">
            <v>0</v>
          </cell>
          <cell r="AD3515">
            <v>0</v>
          </cell>
          <cell r="AF3515">
            <v>0</v>
          </cell>
          <cell r="AG3515">
            <v>0</v>
          </cell>
          <cell r="AI3515">
            <v>0</v>
          </cell>
          <cell r="AJ3515">
            <v>0</v>
          </cell>
          <cell r="AL3515">
            <v>83.99</v>
          </cell>
          <cell r="AM3515">
            <v>0</v>
          </cell>
          <cell r="AO3515">
            <v>3587.55</v>
          </cell>
          <cell r="AP3515">
            <v>0</v>
          </cell>
          <cell r="AR3515">
            <v>4395.95</v>
          </cell>
          <cell r="AS3515">
            <v>0</v>
          </cell>
          <cell r="BF3515" t="str">
            <v>4300</v>
          </cell>
          <cell r="BG3515" t="str">
            <v>Z000</v>
          </cell>
          <cell r="BH3515" t="str">
            <v>INV</v>
          </cell>
        </row>
        <row r="3516">
          <cell r="K3516">
            <v>0</v>
          </cell>
          <cell r="L3516">
            <v>0</v>
          </cell>
          <cell r="N3516">
            <v>0</v>
          </cell>
          <cell r="O3516">
            <v>0</v>
          </cell>
          <cell r="Q3516">
            <v>0</v>
          </cell>
          <cell r="R3516">
            <v>0</v>
          </cell>
          <cell r="T3516">
            <v>0</v>
          </cell>
          <cell r="U3516">
            <v>0</v>
          </cell>
          <cell r="W3516">
            <v>0</v>
          </cell>
          <cell r="X3516">
            <v>0</v>
          </cell>
          <cell r="Z3516">
            <v>0</v>
          </cell>
          <cell r="AA3516">
            <v>0</v>
          </cell>
          <cell r="AC3516">
            <v>0</v>
          </cell>
          <cell r="AD3516">
            <v>0</v>
          </cell>
          <cell r="AF3516">
            <v>0</v>
          </cell>
          <cell r="AG3516">
            <v>0</v>
          </cell>
          <cell r="AI3516">
            <v>0</v>
          </cell>
          <cell r="AJ3516">
            <v>0</v>
          </cell>
          <cell r="AL3516">
            <v>0</v>
          </cell>
          <cell r="AM3516">
            <v>0</v>
          </cell>
          <cell r="AO3516">
            <v>0</v>
          </cell>
          <cell r="AP3516">
            <v>0</v>
          </cell>
          <cell r="AR3516">
            <v>0</v>
          </cell>
          <cell r="AS3516">
            <v>0</v>
          </cell>
          <cell r="BF3516" t="str">
            <v>4320</v>
          </cell>
          <cell r="BG3516" t="str">
            <v>Z000</v>
          </cell>
          <cell r="BH3516" t="str">
            <v>INV</v>
          </cell>
        </row>
        <row r="3517">
          <cell r="K3517">
            <v>0</v>
          </cell>
          <cell r="L3517">
            <v>0</v>
          </cell>
          <cell r="N3517">
            <v>0</v>
          </cell>
          <cell r="O3517">
            <v>0</v>
          </cell>
          <cell r="Q3517">
            <v>0</v>
          </cell>
          <cell r="R3517">
            <v>0</v>
          </cell>
          <cell r="T3517">
            <v>0</v>
          </cell>
          <cell r="U3517">
            <v>0</v>
          </cell>
          <cell r="W3517">
            <v>0</v>
          </cell>
          <cell r="X3517">
            <v>0</v>
          </cell>
          <cell r="Z3517">
            <v>0</v>
          </cell>
          <cell r="AA3517">
            <v>0</v>
          </cell>
          <cell r="AC3517">
            <v>0</v>
          </cell>
          <cell r="AD3517">
            <v>0</v>
          </cell>
          <cell r="AF3517">
            <v>0</v>
          </cell>
          <cell r="AG3517">
            <v>0</v>
          </cell>
          <cell r="AI3517">
            <v>0</v>
          </cell>
          <cell r="AJ3517">
            <v>0</v>
          </cell>
          <cell r="AL3517">
            <v>0</v>
          </cell>
          <cell r="AM3517">
            <v>0</v>
          </cell>
          <cell r="AO3517">
            <v>0</v>
          </cell>
          <cell r="AP3517">
            <v>0</v>
          </cell>
          <cell r="AR3517">
            <v>0</v>
          </cell>
          <cell r="AS3517">
            <v>0</v>
          </cell>
          <cell r="BF3517" t="str">
            <v>4330</v>
          </cell>
          <cell r="BG3517" t="str">
            <v>Z000</v>
          </cell>
          <cell r="BH3517" t="str">
            <v>INV</v>
          </cell>
        </row>
        <row r="3518">
          <cell r="K3518">
            <v>0</v>
          </cell>
          <cell r="L3518">
            <v>0</v>
          </cell>
          <cell r="N3518">
            <v>0</v>
          </cell>
          <cell r="O3518">
            <v>0</v>
          </cell>
          <cell r="Q3518">
            <v>0</v>
          </cell>
          <cell r="R3518">
            <v>0</v>
          </cell>
          <cell r="T3518">
            <v>0</v>
          </cell>
          <cell r="U3518">
            <v>0</v>
          </cell>
          <cell r="W3518">
            <v>0</v>
          </cell>
          <cell r="X3518">
            <v>0</v>
          </cell>
          <cell r="Z3518">
            <v>0</v>
          </cell>
          <cell r="AA3518">
            <v>0</v>
          </cell>
          <cell r="AC3518">
            <v>0</v>
          </cell>
          <cell r="AD3518">
            <v>0</v>
          </cell>
          <cell r="AF3518">
            <v>0</v>
          </cell>
          <cell r="AG3518">
            <v>0</v>
          </cell>
          <cell r="AI3518">
            <v>0</v>
          </cell>
          <cell r="AJ3518">
            <v>0</v>
          </cell>
          <cell r="AL3518">
            <v>0</v>
          </cell>
          <cell r="AM3518">
            <v>0</v>
          </cell>
          <cell r="AO3518">
            <v>0</v>
          </cell>
          <cell r="AP3518">
            <v>0</v>
          </cell>
          <cell r="AR3518">
            <v>0</v>
          </cell>
          <cell r="AS3518">
            <v>0</v>
          </cell>
          <cell r="BF3518" t="str">
            <v>4340</v>
          </cell>
          <cell r="BG3518" t="str">
            <v>D006</v>
          </cell>
          <cell r="BH3518" t="str">
            <v>INV</v>
          </cell>
        </row>
        <row r="3519">
          <cell r="K3519">
            <v>0</v>
          </cell>
          <cell r="L3519">
            <v>0</v>
          </cell>
          <cell r="N3519">
            <v>0</v>
          </cell>
          <cell r="O3519">
            <v>0</v>
          </cell>
          <cell r="Q3519">
            <v>0</v>
          </cell>
          <cell r="R3519">
            <v>0</v>
          </cell>
          <cell r="T3519">
            <v>0</v>
          </cell>
          <cell r="U3519">
            <v>0</v>
          </cell>
          <cell r="W3519">
            <v>0</v>
          </cell>
          <cell r="X3519">
            <v>0</v>
          </cell>
          <cell r="Z3519">
            <v>0</v>
          </cell>
          <cell r="AA3519">
            <v>0</v>
          </cell>
          <cell r="AC3519">
            <v>0</v>
          </cell>
          <cell r="AD3519">
            <v>0</v>
          </cell>
          <cell r="AF3519">
            <v>0</v>
          </cell>
          <cell r="AG3519">
            <v>0</v>
          </cell>
          <cell r="AI3519">
            <v>0</v>
          </cell>
          <cell r="AJ3519">
            <v>0</v>
          </cell>
          <cell r="AL3519">
            <v>0</v>
          </cell>
          <cell r="AM3519">
            <v>0</v>
          </cell>
          <cell r="AO3519">
            <v>0</v>
          </cell>
          <cell r="AP3519">
            <v>0</v>
          </cell>
          <cell r="AR3519">
            <v>0</v>
          </cell>
          <cell r="AS3519">
            <v>0</v>
          </cell>
          <cell r="BF3519" t="str">
            <v>4340</v>
          </cell>
          <cell r="BG3519" t="str">
            <v>D007</v>
          </cell>
          <cell r="BH3519" t="str">
            <v>INV</v>
          </cell>
        </row>
        <row r="3520">
          <cell r="K3520">
            <v>0</v>
          </cell>
          <cell r="L3520">
            <v>0</v>
          </cell>
          <cell r="N3520">
            <v>0</v>
          </cell>
          <cell r="O3520">
            <v>0</v>
          </cell>
          <cell r="Q3520">
            <v>0</v>
          </cell>
          <cell r="R3520">
            <v>0</v>
          </cell>
          <cell r="T3520">
            <v>0</v>
          </cell>
          <cell r="U3520">
            <v>0</v>
          </cell>
          <cell r="W3520">
            <v>0</v>
          </cell>
          <cell r="X3520">
            <v>0</v>
          </cell>
          <cell r="Z3520">
            <v>0</v>
          </cell>
          <cell r="AA3520">
            <v>0</v>
          </cell>
          <cell r="AC3520">
            <v>0</v>
          </cell>
          <cell r="AD3520">
            <v>0</v>
          </cell>
          <cell r="AF3520">
            <v>0</v>
          </cell>
          <cell r="AG3520">
            <v>0</v>
          </cell>
          <cell r="AI3520">
            <v>0</v>
          </cell>
          <cell r="AJ3520">
            <v>0</v>
          </cell>
          <cell r="AL3520">
            <v>0</v>
          </cell>
          <cell r="AM3520">
            <v>0</v>
          </cell>
          <cell r="AO3520">
            <v>0</v>
          </cell>
          <cell r="AP3520">
            <v>0</v>
          </cell>
          <cell r="AR3520">
            <v>0</v>
          </cell>
          <cell r="AS3520">
            <v>0</v>
          </cell>
          <cell r="BF3520" t="str">
            <v>4340</v>
          </cell>
          <cell r="BG3520" t="str">
            <v>D008</v>
          </cell>
          <cell r="BH3520" t="str">
            <v>INV</v>
          </cell>
        </row>
        <row r="3521">
          <cell r="K3521">
            <v>0</v>
          </cell>
          <cell r="L3521">
            <v>0</v>
          </cell>
          <cell r="N3521">
            <v>0</v>
          </cell>
          <cell r="O3521">
            <v>0</v>
          </cell>
          <cell r="Q3521">
            <v>0</v>
          </cell>
          <cell r="R3521">
            <v>0</v>
          </cell>
          <cell r="T3521">
            <v>0</v>
          </cell>
          <cell r="U3521">
            <v>0</v>
          </cell>
          <cell r="W3521">
            <v>0</v>
          </cell>
          <cell r="X3521">
            <v>0</v>
          </cell>
          <cell r="Z3521">
            <v>0</v>
          </cell>
          <cell r="AA3521">
            <v>0</v>
          </cell>
          <cell r="AC3521">
            <v>0</v>
          </cell>
          <cell r="AD3521">
            <v>0</v>
          </cell>
          <cell r="AF3521">
            <v>0</v>
          </cell>
          <cell r="AG3521">
            <v>0</v>
          </cell>
          <cell r="AI3521">
            <v>0</v>
          </cell>
          <cell r="AJ3521">
            <v>0</v>
          </cell>
          <cell r="AL3521">
            <v>0</v>
          </cell>
          <cell r="AM3521">
            <v>0</v>
          </cell>
          <cell r="AO3521">
            <v>0</v>
          </cell>
          <cell r="AP3521">
            <v>0</v>
          </cell>
          <cell r="AR3521">
            <v>0</v>
          </cell>
          <cell r="AS3521">
            <v>0</v>
          </cell>
          <cell r="BF3521" t="str">
            <v>4360</v>
          </cell>
          <cell r="BG3521" t="str">
            <v>Z000</v>
          </cell>
          <cell r="BH3521" t="str">
            <v>INV</v>
          </cell>
        </row>
        <row r="3522">
          <cell r="K3522">
            <v>0</v>
          </cell>
          <cell r="L3522">
            <v>0</v>
          </cell>
          <cell r="N3522">
            <v>0</v>
          </cell>
          <cell r="O3522">
            <v>0</v>
          </cell>
          <cell r="Q3522">
            <v>0</v>
          </cell>
          <cell r="R3522">
            <v>0</v>
          </cell>
          <cell r="T3522">
            <v>0</v>
          </cell>
          <cell r="U3522">
            <v>0</v>
          </cell>
          <cell r="W3522">
            <v>0</v>
          </cell>
          <cell r="X3522">
            <v>0</v>
          </cell>
          <cell r="Z3522">
            <v>0</v>
          </cell>
          <cell r="AA3522">
            <v>0</v>
          </cell>
          <cell r="AC3522">
            <v>207.98000000000002</v>
          </cell>
          <cell r="AD3522">
            <v>0</v>
          </cell>
          <cell r="AF3522">
            <v>2237.58</v>
          </cell>
          <cell r="AG3522">
            <v>0</v>
          </cell>
          <cell r="AI3522">
            <v>167.88000000000011</v>
          </cell>
          <cell r="AJ3522">
            <v>0</v>
          </cell>
          <cell r="AL3522">
            <v>228.5</v>
          </cell>
          <cell r="AM3522">
            <v>0</v>
          </cell>
          <cell r="AO3522">
            <v>4107.6299999999992</v>
          </cell>
          <cell r="AP3522">
            <v>0</v>
          </cell>
          <cell r="AR3522">
            <v>284.10000000000036</v>
          </cell>
          <cell r="AS3522">
            <v>0</v>
          </cell>
          <cell r="BF3522" t="str">
            <v>4380</v>
          </cell>
          <cell r="BG3522" t="str">
            <v>Z000</v>
          </cell>
          <cell r="BH3522" t="str">
            <v>INV</v>
          </cell>
        </row>
        <row r="3523">
          <cell r="K3523">
            <v>0</v>
          </cell>
          <cell r="L3523">
            <v>0</v>
          </cell>
          <cell r="N3523">
            <v>0</v>
          </cell>
          <cell r="O3523">
            <v>0</v>
          </cell>
          <cell r="Q3523">
            <v>0</v>
          </cell>
          <cell r="R3523">
            <v>0</v>
          </cell>
          <cell r="T3523">
            <v>0</v>
          </cell>
          <cell r="U3523">
            <v>0</v>
          </cell>
          <cell r="W3523">
            <v>0</v>
          </cell>
          <cell r="X3523">
            <v>0</v>
          </cell>
          <cell r="Z3523">
            <v>0</v>
          </cell>
          <cell r="AA3523">
            <v>0</v>
          </cell>
          <cell r="AC3523">
            <v>0</v>
          </cell>
          <cell r="AD3523">
            <v>0</v>
          </cell>
          <cell r="AF3523">
            <v>0</v>
          </cell>
          <cell r="AG3523">
            <v>0</v>
          </cell>
          <cell r="AI3523">
            <v>0</v>
          </cell>
          <cell r="AJ3523">
            <v>0</v>
          </cell>
          <cell r="AL3523">
            <v>0</v>
          </cell>
          <cell r="AM3523">
            <v>0</v>
          </cell>
          <cell r="AO3523">
            <v>0</v>
          </cell>
          <cell r="AP3523">
            <v>0</v>
          </cell>
          <cell r="AR3523">
            <v>0</v>
          </cell>
          <cell r="AS3523">
            <v>0</v>
          </cell>
          <cell r="BF3523" t="str">
            <v>4400</v>
          </cell>
          <cell r="BG3523" t="str">
            <v>Z000</v>
          </cell>
          <cell r="BH3523" t="str">
            <v>INV</v>
          </cell>
        </row>
        <row r="3524">
          <cell r="K3524">
            <v>0</v>
          </cell>
          <cell r="L3524">
            <v>0</v>
          </cell>
          <cell r="N3524">
            <v>0</v>
          </cell>
          <cell r="O3524">
            <v>0</v>
          </cell>
          <cell r="Q3524">
            <v>0</v>
          </cell>
          <cell r="R3524">
            <v>0</v>
          </cell>
          <cell r="T3524">
            <v>0</v>
          </cell>
          <cell r="U3524">
            <v>0</v>
          </cell>
          <cell r="W3524">
            <v>0</v>
          </cell>
          <cell r="X3524">
            <v>0</v>
          </cell>
          <cell r="Z3524">
            <v>0</v>
          </cell>
          <cell r="AA3524">
            <v>0</v>
          </cell>
          <cell r="AC3524">
            <v>590</v>
          </cell>
          <cell r="AD3524">
            <v>0</v>
          </cell>
          <cell r="AF3524">
            <v>0</v>
          </cell>
          <cell r="AG3524">
            <v>0</v>
          </cell>
          <cell r="AI3524">
            <v>0</v>
          </cell>
          <cell r="AJ3524">
            <v>0</v>
          </cell>
          <cell r="AL3524">
            <v>0</v>
          </cell>
          <cell r="AM3524">
            <v>0</v>
          </cell>
          <cell r="AO3524">
            <v>0</v>
          </cell>
          <cell r="AP3524">
            <v>0</v>
          </cell>
          <cell r="AR3524">
            <v>7.999999999992724E-2</v>
          </cell>
          <cell r="AS3524">
            <v>0</v>
          </cell>
          <cell r="BF3524" t="str">
            <v>4480</v>
          </cell>
          <cell r="BG3524" t="str">
            <v>Z000</v>
          </cell>
          <cell r="BH3524" t="str">
            <v>INV</v>
          </cell>
        </row>
        <row r="3525">
          <cell r="K3525">
            <v>0</v>
          </cell>
          <cell r="L3525">
            <v>0</v>
          </cell>
          <cell r="N3525">
            <v>0</v>
          </cell>
          <cell r="O3525">
            <v>0</v>
          </cell>
          <cell r="Q3525">
            <v>0</v>
          </cell>
          <cell r="R3525">
            <v>0</v>
          </cell>
          <cell r="T3525">
            <v>0</v>
          </cell>
          <cell r="U3525">
            <v>0</v>
          </cell>
          <cell r="W3525">
            <v>0</v>
          </cell>
          <cell r="X3525">
            <v>0</v>
          </cell>
          <cell r="Z3525">
            <v>0</v>
          </cell>
          <cell r="AA3525">
            <v>0</v>
          </cell>
          <cell r="AC3525">
            <v>0</v>
          </cell>
          <cell r="AD3525">
            <v>0</v>
          </cell>
          <cell r="AF3525">
            <v>0</v>
          </cell>
          <cell r="AG3525">
            <v>0</v>
          </cell>
          <cell r="AI3525">
            <v>2966.75</v>
          </cell>
          <cell r="AJ3525">
            <v>0</v>
          </cell>
          <cell r="AL3525">
            <v>-2472.29</v>
          </cell>
          <cell r="AM3525">
            <v>0</v>
          </cell>
          <cell r="AO3525">
            <v>247.23000000000002</v>
          </cell>
          <cell r="AP3525">
            <v>0</v>
          </cell>
          <cell r="AR3525">
            <v>247.23000000000002</v>
          </cell>
          <cell r="AS3525">
            <v>0</v>
          </cell>
          <cell r="BF3525" t="str">
            <v>4500</v>
          </cell>
          <cell r="BG3525" t="str">
            <v>Z000</v>
          </cell>
          <cell r="BH3525" t="str">
            <v>INV</v>
          </cell>
        </row>
        <row r="3526">
          <cell r="K3526">
            <v>0</v>
          </cell>
          <cell r="L3526">
            <v>0</v>
          </cell>
          <cell r="N3526">
            <v>0</v>
          </cell>
          <cell r="O3526">
            <v>0</v>
          </cell>
          <cell r="Q3526">
            <v>0</v>
          </cell>
          <cell r="R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Z3526">
            <v>0</v>
          </cell>
          <cell r="AA3526">
            <v>0</v>
          </cell>
          <cell r="AC3526">
            <v>0</v>
          </cell>
          <cell r="AD3526">
            <v>0</v>
          </cell>
          <cell r="AF3526">
            <v>0</v>
          </cell>
          <cell r="AG3526">
            <v>0</v>
          </cell>
          <cell r="AI3526">
            <v>0</v>
          </cell>
          <cell r="AJ3526">
            <v>0</v>
          </cell>
          <cell r="AL3526">
            <v>0</v>
          </cell>
          <cell r="AM3526">
            <v>0</v>
          </cell>
          <cell r="AO3526">
            <v>0</v>
          </cell>
          <cell r="AP3526">
            <v>0</v>
          </cell>
          <cell r="AR3526">
            <v>0</v>
          </cell>
          <cell r="AS3526">
            <v>0</v>
          </cell>
          <cell r="BF3526" t="str">
            <v>4520</v>
          </cell>
          <cell r="BG3526" t="str">
            <v>D011</v>
          </cell>
          <cell r="BH3526" t="str">
            <v>INV</v>
          </cell>
        </row>
        <row r="3527">
          <cell r="K3527">
            <v>0</v>
          </cell>
          <cell r="L3527">
            <v>0</v>
          </cell>
          <cell r="N3527">
            <v>0</v>
          </cell>
          <cell r="O3527">
            <v>0</v>
          </cell>
          <cell r="Q3527">
            <v>0</v>
          </cell>
          <cell r="R3527">
            <v>0</v>
          </cell>
          <cell r="T3527">
            <v>0</v>
          </cell>
          <cell r="U3527">
            <v>0</v>
          </cell>
          <cell r="W3527">
            <v>0</v>
          </cell>
          <cell r="X3527">
            <v>0</v>
          </cell>
          <cell r="Z3527">
            <v>0</v>
          </cell>
          <cell r="AA3527">
            <v>0</v>
          </cell>
          <cell r="AC3527">
            <v>0</v>
          </cell>
          <cell r="AD3527">
            <v>0</v>
          </cell>
          <cell r="AF3527">
            <v>0</v>
          </cell>
          <cell r="AG3527">
            <v>0</v>
          </cell>
          <cell r="AI3527">
            <v>0</v>
          </cell>
          <cell r="AJ3527">
            <v>0</v>
          </cell>
          <cell r="AL3527">
            <v>0</v>
          </cell>
          <cell r="AM3527">
            <v>0</v>
          </cell>
          <cell r="AO3527">
            <v>0</v>
          </cell>
          <cell r="AP3527">
            <v>0</v>
          </cell>
          <cell r="AR3527">
            <v>0</v>
          </cell>
          <cell r="AS3527">
            <v>0</v>
          </cell>
          <cell r="BF3527" t="str">
            <v>4520</v>
          </cell>
          <cell r="BG3527" t="str">
            <v>D012</v>
          </cell>
          <cell r="BH3527" t="str">
            <v>INV</v>
          </cell>
        </row>
        <row r="3528">
          <cell r="K3528">
            <v>0</v>
          </cell>
          <cell r="L3528">
            <v>0</v>
          </cell>
          <cell r="N3528">
            <v>0</v>
          </cell>
          <cell r="O3528">
            <v>0</v>
          </cell>
          <cell r="Q3528">
            <v>0</v>
          </cell>
          <cell r="R3528">
            <v>0</v>
          </cell>
          <cell r="T3528">
            <v>0</v>
          </cell>
          <cell r="U3528">
            <v>0</v>
          </cell>
          <cell r="W3528">
            <v>0</v>
          </cell>
          <cell r="X3528">
            <v>0</v>
          </cell>
          <cell r="Z3528">
            <v>0</v>
          </cell>
          <cell r="AA3528">
            <v>0</v>
          </cell>
          <cell r="AC3528">
            <v>0</v>
          </cell>
          <cell r="AD3528">
            <v>0</v>
          </cell>
          <cell r="AF3528">
            <v>0</v>
          </cell>
          <cell r="AG3528">
            <v>0</v>
          </cell>
          <cell r="AI3528">
            <v>0</v>
          </cell>
          <cell r="AJ3528">
            <v>0</v>
          </cell>
          <cell r="AL3528">
            <v>0</v>
          </cell>
          <cell r="AM3528">
            <v>0</v>
          </cell>
          <cell r="AO3528">
            <v>0</v>
          </cell>
          <cell r="AP3528">
            <v>0</v>
          </cell>
          <cell r="AR3528">
            <v>0</v>
          </cell>
          <cell r="AS3528">
            <v>0</v>
          </cell>
          <cell r="BF3528" t="str">
            <v>4520</v>
          </cell>
          <cell r="BG3528" t="str">
            <v>D013</v>
          </cell>
          <cell r="BH3528" t="str">
            <v>INV</v>
          </cell>
        </row>
        <row r="3529">
          <cell r="K3529">
            <v>0</v>
          </cell>
          <cell r="L3529">
            <v>0</v>
          </cell>
          <cell r="N3529">
            <v>0</v>
          </cell>
          <cell r="O3529">
            <v>0</v>
          </cell>
          <cell r="Q3529">
            <v>0</v>
          </cell>
          <cell r="R3529">
            <v>0</v>
          </cell>
          <cell r="T3529">
            <v>0</v>
          </cell>
          <cell r="U3529">
            <v>0</v>
          </cell>
          <cell r="W3529">
            <v>0</v>
          </cell>
          <cell r="X3529">
            <v>0</v>
          </cell>
          <cell r="Z3529">
            <v>0</v>
          </cell>
          <cell r="AA3529">
            <v>0</v>
          </cell>
          <cell r="AC3529">
            <v>0</v>
          </cell>
          <cell r="AD3529">
            <v>0</v>
          </cell>
          <cell r="AF3529">
            <v>0</v>
          </cell>
          <cell r="AG3529">
            <v>0</v>
          </cell>
          <cell r="AI3529">
            <v>0</v>
          </cell>
          <cell r="AJ3529">
            <v>0</v>
          </cell>
          <cell r="AL3529">
            <v>0</v>
          </cell>
          <cell r="AM3529">
            <v>0</v>
          </cell>
          <cell r="AO3529">
            <v>0</v>
          </cell>
          <cell r="AP3529">
            <v>0</v>
          </cell>
          <cell r="AR3529">
            <v>0</v>
          </cell>
          <cell r="AS3529">
            <v>0</v>
          </cell>
          <cell r="BF3529" t="str">
            <v>4520</v>
          </cell>
          <cell r="BG3529" t="str">
            <v>D014</v>
          </cell>
          <cell r="BH3529" t="str">
            <v>INV</v>
          </cell>
        </row>
        <row r="3530">
          <cell r="K3530">
            <v>0</v>
          </cell>
          <cell r="L3530">
            <v>0</v>
          </cell>
          <cell r="N3530">
            <v>0</v>
          </cell>
          <cell r="O3530">
            <v>0</v>
          </cell>
          <cell r="Q3530">
            <v>0</v>
          </cell>
          <cell r="R3530">
            <v>0</v>
          </cell>
          <cell r="T3530">
            <v>0</v>
          </cell>
          <cell r="U3530">
            <v>0</v>
          </cell>
          <cell r="W3530">
            <v>0</v>
          </cell>
          <cell r="X3530">
            <v>0</v>
          </cell>
          <cell r="Z3530">
            <v>0</v>
          </cell>
          <cell r="AA3530">
            <v>0</v>
          </cell>
          <cell r="AC3530">
            <v>0</v>
          </cell>
          <cell r="AD3530">
            <v>0</v>
          </cell>
          <cell r="AF3530">
            <v>0</v>
          </cell>
          <cell r="AG3530">
            <v>0</v>
          </cell>
          <cell r="AI3530">
            <v>0</v>
          </cell>
          <cell r="AJ3530">
            <v>0</v>
          </cell>
          <cell r="AL3530">
            <v>0</v>
          </cell>
          <cell r="AM3530">
            <v>0</v>
          </cell>
          <cell r="AO3530">
            <v>0</v>
          </cell>
          <cell r="AP3530">
            <v>0</v>
          </cell>
          <cell r="AR3530">
            <v>0</v>
          </cell>
          <cell r="AS3530">
            <v>0</v>
          </cell>
          <cell r="BF3530" t="str">
            <v>4520</v>
          </cell>
          <cell r="BG3530" t="str">
            <v>D015</v>
          </cell>
          <cell r="BH3530" t="str">
            <v>INV</v>
          </cell>
        </row>
        <row r="3531">
          <cell r="K3531">
            <v>0</v>
          </cell>
          <cell r="L3531">
            <v>0</v>
          </cell>
          <cell r="N3531">
            <v>0</v>
          </cell>
          <cell r="O3531">
            <v>0</v>
          </cell>
          <cell r="Q3531">
            <v>0</v>
          </cell>
          <cell r="R3531">
            <v>0</v>
          </cell>
          <cell r="T3531">
            <v>0</v>
          </cell>
          <cell r="U3531">
            <v>0</v>
          </cell>
          <cell r="W3531">
            <v>0</v>
          </cell>
          <cell r="X3531">
            <v>0</v>
          </cell>
          <cell r="Z3531">
            <v>0</v>
          </cell>
          <cell r="AA3531">
            <v>0</v>
          </cell>
          <cell r="AC3531">
            <v>0</v>
          </cell>
          <cell r="AD3531">
            <v>0</v>
          </cell>
          <cell r="AF3531">
            <v>0</v>
          </cell>
          <cell r="AG3531">
            <v>0</v>
          </cell>
          <cell r="AI3531">
            <v>0</v>
          </cell>
          <cell r="AJ3531">
            <v>0</v>
          </cell>
          <cell r="AL3531">
            <v>0</v>
          </cell>
          <cell r="AM3531">
            <v>0</v>
          </cell>
          <cell r="AO3531">
            <v>0</v>
          </cell>
          <cell r="AP3531">
            <v>0</v>
          </cell>
          <cell r="AR3531">
            <v>0</v>
          </cell>
          <cell r="AS3531">
            <v>0</v>
          </cell>
          <cell r="BF3531" t="str">
            <v>4520</v>
          </cell>
          <cell r="BG3531" t="str">
            <v>D016</v>
          </cell>
          <cell r="BH3531" t="str">
            <v>INV</v>
          </cell>
        </row>
        <row r="3532">
          <cell r="K3532">
            <v>0</v>
          </cell>
          <cell r="L3532">
            <v>0</v>
          </cell>
          <cell r="N3532">
            <v>0</v>
          </cell>
          <cell r="O3532">
            <v>0</v>
          </cell>
          <cell r="Q3532">
            <v>0</v>
          </cell>
          <cell r="R3532">
            <v>0</v>
          </cell>
          <cell r="T3532">
            <v>0</v>
          </cell>
          <cell r="U3532">
            <v>0</v>
          </cell>
          <cell r="W3532">
            <v>0</v>
          </cell>
          <cell r="X3532">
            <v>0</v>
          </cell>
          <cell r="Z3532">
            <v>0</v>
          </cell>
          <cell r="AA3532">
            <v>0</v>
          </cell>
          <cell r="AC3532">
            <v>844.6</v>
          </cell>
          <cell r="AD3532">
            <v>0</v>
          </cell>
          <cell r="AF3532">
            <v>0</v>
          </cell>
          <cell r="AG3532">
            <v>0</v>
          </cell>
          <cell r="AI3532">
            <v>0</v>
          </cell>
          <cell r="AJ3532">
            <v>0</v>
          </cell>
          <cell r="AL3532">
            <v>0</v>
          </cell>
          <cell r="AM3532">
            <v>0</v>
          </cell>
          <cell r="AO3532">
            <v>0</v>
          </cell>
          <cell r="AP3532">
            <v>0</v>
          </cell>
          <cell r="AR3532">
            <v>0</v>
          </cell>
          <cell r="AS3532">
            <v>0</v>
          </cell>
          <cell r="BF3532" t="str">
            <v>4560</v>
          </cell>
          <cell r="BG3532" t="str">
            <v>Z000</v>
          </cell>
          <cell r="BH3532" t="str">
            <v>INV</v>
          </cell>
        </row>
        <row r="3533">
          <cell r="K3533">
            <v>0</v>
          </cell>
          <cell r="L3533">
            <v>0</v>
          </cell>
          <cell r="N3533">
            <v>0</v>
          </cell>
          <cell r="O3533">
            <v>0</v>
          </cell>
          <cell r="Q3533">
            <v>0</v>
          </cell>
          <cell r="R3533">
            <v>0</v>
          </cell>
          <cell r="T3533">
            <v>0</v>
          </cell>
          <cell r="U3533">
            <v>0</v>
          </cell>
          <cell r="W3533">
            <v>0</v>
          </cell>
          <cell r="X3533">
            <v>0</v>
          </cell>
          <cell r="Z3533">
            <v>0</v>
          </cell>
          <cell r="AA3533">
            <v>0</v>
          </cell>
          <cell r="AC3533">
            <v>7500</v>
          </cell>
          <cell r="AD3533">
            <v>0</v>
          </cell>
          <cell r="AF3533">
            <v>1180</v>
          </cell>
          <cell r="AG3533">
            <v>0</v>
          </cell>
          <cell r="AI3533">
            <v>0</v>
          </cell>
          <cell r="AJ3533">
            <v>0</v>
          </cell>
          <cell r="AL3533">
            <v>0</v>
          </cell>
          <cell r="AM3533">
            <v>0</v>
          </cell>
          <cell r="AO3533">
            <v>0</v>
          </cell>
          <cell r="AP3533">
            <v>0</v>
          </cell>
          <cell r="AR3533">
            <v>0</v>
          </cell>
          <cell r="AS3533">
            <v>0</v>
          </cell>
          <cell r="BF3533" t="str">
            <v>4580</v>
          </cell>
          <cell r="BG3533" t="str">
            <v>Z000</v>
          </cell>
          <cell r="BH3533" t="str">
            <v>INV</v>
          </cell>
        </row>
        <row r="3534">
          <cell r="K3534">
            <v>0</v>
          </cell>
          <cell r="L3534">
            <v>0</v>
          </cell>
          <cell r="N3534">
            <v>0</v>
          </cell>
          <cell r="O3534">
            <v>0</v>
          </cell>
          <cell r="Q3534">
            <v>0</v>
          </cell>
          <cell r="R3534">
            <v>0</v>
          </cell>
          <cell r="T3534">
            <v>0</v>
          </cell>
          <cell r="U3534">
            <v>0</v>
          </cell>
          <cell r="W3534">
            <v>0</v>
          </cell>
          <cell r="X3534">
            <v>0</v>
          </cell>
          <cell r="Z3534">
            <v>0</v>
          </cell>
          <cell r="AA3534">
            <v>0</v>
          </cell>
          <cell r="AC3534">
            <v>0</v>
          </cell>
          <cell r="AD3534">
            <v>0</v>
          </cell>
          <cell r="AF3534">
            <v>0</v>
          </cell>
          <cell r="AG3534">
            <v>0</v>
          </cell>
          <cell r="AI3534">
            <v>0</v>
          </cell>
          <cell r="AJ3534">
            <v>0</v>
          </cell>
          <cell r="AL3534">
            <v>0</v>
          </cell>
          <cell r="AM3534">
            <v>0</v>
          </cell>
          <cell r="AO3534">
            <v>0</v>
          </cell>
          <cell r="AP3534">
            <v>0</v>
          </cell>
          <cell r="AR3534">
            <v>0</v>
          </cell>
          <cell r="AS3534">
            <v>0</v>
          </cell>
          <cell r="BF3534" t="str">
            <v>4585</v>
          </cell>
          <cell r="BG3534" t="str">
            <v>D021</v>
          </cell>
          <cell r="BH3534" t="str">
            <v>INV</v>
          </cell>
        </row>
        <row r="3535">
          <cell r="K3535">
            <v>0</v>
          </cell>
          <cell r="L3535">
            <v>0</v>
          </cell>
          <cell r="N3535">
            <v>0</v>
          </cell>
          <cell r="O3535">
            <v>0</v>
          </cell>
          <cell r="Q3535">
            <v>0</v>
          </cell>
          <cell r="R3535">
            <v>0</v>
          </cell>
          <cell r="T3535">
            <v>0</v>
          </cell>
          <cell r="U3535">
            <v>0</v>
          </cell>
          <cell r="W3535">
            <v>0</v>
          </cell>
          <cell r="X3535">
            <v>0</v>
          </cell>
          <cell r="Z3535">
            <v>0</v>
          </cell>
          <cell r="AA3535">
            <v>0</v>
          </cell>
          <cell r="AC3535">
            <v>0</v>
          </cell>
          <cell r="AD3535">
            <v>0</v>
          </cell>
          <cell r="AF3535">
            <v>0</v>
          </cell>
          <cell r="AG3535">
            <v>0</v>
          </cell>
          <cell r="AI3535">
            <v>0</v>
          </cell>
          <cell r="AJ3535">
            <v>0</v>
          </cell>
          <cell r="AL3535">
            <v>0</v>
          </cell>
          <cell r="AM3535">
            <v>0</v>
          </cell>
          <cell r="AO3535">
            <v>0</v>
          </cell>
          <cell r="AP3535">
            <v>0</v>
          </cell>
          <cell r="AR3535">
            <v>0</v>
          </cell>
          <cell r="AS3535">
            <v>0</v>
          </cell>
          <cell r="BF3535" t="str">
            <v>4585</v>
          </cell>
          <cell r="BG3535" t="str">
            <v>D022</v>
          </cell>
          <cell r="BH3535" t="str">
            <v>INV</v>
          </cell>
        </row>
        <row r="3536">
          <cell r="K3536">
            <v>0</v>
          </cell>
          <cell r="L3536">
            <v>0</v>
          </cell>
          <cell r="N3536">
            <v>0</v>
          </cell>
          <cell r="O3536">
            <v>0</v>
          </cell>
          <cell r="Q3536">
            <v>0</v>
          </cell>
          <cell r="R3536">
            <v>0</v>
          </cell>
          <cell r="T3536">
            <v>0</v>
          </cell>
          <cell r="U3536">
            <v>0</v>
          </cell>
          <cell r="W3536">
            <v>0</v>
          </cell>
          <cell r="X3536">
            <v>0</v>
          </cell>
          <cell r="Z3536">
            <v>0</v>
          </cell>
          <cell r="AA3536">
            <v>0</v>
          </cell>
          <cell r="AC3536">
            <v>0</v>
          </cell>
          <cell r="AD3536">
            <v>0</v>
          </cell>
          <cell r="AF3536">
            <v>0</v>
          </cell>
          <cell r="AG3536">
            <v>0</v>
          </cell>
          <cell r="AI3536">
            <v>0</v>
          </cell>
          <cell r="AJ3536">
            <v>0</v>
          </cell>
          <cell r="AL3536">
            <v>0</v>
          </cell>
          <cell r="AM3536">
            <v>0</v>
          </cell>
          <cell r="AO3536">
            <v>0</v>
          </cell>
          <cell r="AP3536">
            <v>0</v>
          </cell>
          <cell r="AR3536">
            <v>0</v>
          </cell>
          <cell r="AS3536">
            <v>0</v>
          </cell>
          <cell r="BF3536" t="str">
            <v>4585</v>
          </cell>
          <cell r="BG3536" t="str">
            <v>D023</v>
          </cell>
          <cell r="BH3536" t="str">
            <v>INV</v>
          </cell>
        </row>
        <row r="3537">
          <cell r="K3537">
            <v>0</v>
          </cell>
          <cell r="L3537">
            <v>0</v>
          </cell>
          <cell r="N3537">
            <v>0</v>
          </cell>
          <cell r="O3537">
            <v>0</v>
          </cell>
          <cell r="Q3537">
            <v>0</v>
          </cell>
          <cell r="R3537">
            <v>0</v>
          </cell>
          <cell r="T3537">
            <v>0</v>
          </cell>
          <cell r="U3537">
            <v>0</v>
          </cell>
          <cell r="W3537">
            <v>0</v>
          </cell>
          <cell r="X3537">
            <v>0</v>
          </cell>
          <cell r="Z3537">
            <v>0</v>
          </cell>
          <cell r="AA3537">
            <v>0</v>
          </cell>
          <cell r="AC3537">
            <v>0</v>
          </cell>
          <cell r="AD3537">
            <v>0</v>
          </cell>
          <cell r="AF3537">
            <v>0</v>
          </cell>
          <cell r="AG3537">
            <v>0</v>
          </cell>
          <cell r="AI3537">
            <v>0</v>
          </cell>
          <cell r="AJ3537">
            <v>0</v>
          </cell>
          <cell r="AL3537">
            <v>0</v>
          </cell>
          <cell r="AM3537">
            <v>0</v>
          </cell>
          <cell r="AO3537">
            <v>0</v>
          </cell>
          <cell r="AP3537">
            <v>0</v>
          </cell>
          <cell r="AR3537">
            <v>0</v>
          </cell>
          <cell r="AS3537">
            <v>0</v>
          </cell>
          <cell r="BF3537" t="str">
            <v>4585</v>
          </cell>
          <cell r="BG3537" t="str">
            <v>D024</v>
          </cell>
          <cell r="BH3537" t="str">
            <v>INV</v>
          </cell>
        </row>
        <row r="3538">
          <cell r="K3538">
            <v>0</v>
          </cell>
          <cell r="L3538">
            <v>0</v>
          </cell>
          <cell r="N3538">
            <v>0</v>
          </cell>
          <cell r="O3538">
            <v>0</v>
          </cell>
          <cell r="Q3538">
            <v>0</v>
          </cell>
          <cell r="R3538">
            <v>0</v>
          </cell>
          <cell r="T3538">
            <v>0</v>
          </cell>
          <cell r="U3538">
            <v>0</v>
          </cell>
          <cell r="W3538">
            <v>0</v>
          </cell>
          <cell r="X3538">
            <v>0</v>
          </cell>
          <cell r="Z3538">
            <v>0</v>
          </cell>
          <cell r="AA3538">
            <v>0</v>
          </cell>
          <cell r="AC3538">
            <v>3576</v>
          </cell>
          <cell r="AD3538">
            <v>0</v>
          </cell>
          <cell r="AF3538">
            <v>902</v>
          </cell>
          <cell r="AG3538">
            <v>0</v>
          </cell>
          <cell r="AI3538">
            <v>0</v>
          </cell>
          <cell r="AJ3538">
            <v>0</v>
          </cell>
          <cell r="AL3538">
            <v>38140</v>
          </cell>
          <cell r="AM3538">
            <v>0</v>
          </cell>
          <cell r="AO3538">
            <v>0</v>
          </cell>
          <cell r="AP3538">
            <v>0</v>
          </cell>
          <cell r="AR3538">
            <v>4800</v>
          </cell>
          <cell r="AS3538">
            <v>0</v>
          </cell>
          <cell r="BF3538" t="str">
            <v>4590</v>
          </cell>
          <cell r="BG3538" t="str">
            <v>Z000</v>
          </cell>
          <cell r="BH3538" t="str">
            <v>INV</v>
          </cell>
        </row>
        <row r="3539">
          <cell r="K3539">
            <v>0</v>
          </cell>
          <cell r="L3539">
            <v>0</v>
          </cell>
          <cell r="N3539">
            <v>0</v>
          </cell>
          <cell r="O3539">
            <v>0</v>
          </cell>
          <cell r="Q3539">
            <v>0</v>
          </cell>
          <cell r="R3539">
            <v>0</v>
          </cell>
          <cell r="T3539">
            <v>0</v>
          </cell>
          <cell r="U3539">
            <v>0</v>
          </cell>
          <cell r="W3539">
            <v>0</v>
          </cell>
          <cell r="X3539">
            <v>0</v>
          </cell>
          <cell r="Z3539">
            <v>0</v>
          </cell>
          <cell r="AA3539">
            <v>0</v>
          </cell>
          <cell r="AC3539">
            <v>0</v>
          </cell>
          <cell r="AD3539">
            <v>0</v>
          </cell>
          <cell r="AF3539">
            <v>0</v>
          </cell>
          <cell r="AG3539">
            <v>0</v>
          </cell>
          <cell r="AI3539">
            <v>256.02</v>
          </cell>
          <cell r="AJ3539">
            <v>0</v>
          </cell>
          <cell r="AL3539">
            <v>2232.5499999999997</v>
          </cell>
          <cell r="AM3539">
            <v>0</v>
          </cell>
          <cell r="AO3539">
            <v>4734.2299999999996</v>
          </cell>
          <cell r="AP3539">
            <v>0</v>
          </cell>
          <cell r="AR3539">
            <v>59.220000000000255</v>
          </cell>
          <cell r="AS3539">
            <v>0</v>
          </cell>
          <cell r="BF3539" t="str">
            <v>4600</v>
          </cell>
          <cell r="BG3539" t="str">
            <v>Z000</v>
          </cell>
          <cell r="BH3539" t="str">
            <v>INV</v>
          </cell>
        </row>
        <row r="3540">
          <cell r="K3540">
            <v>0</v>
          </cell>
          <cell r="L3540">
            <v>0</v>
          </cell>
          <cell r="N3540">
            <v>0</v>
          </cell>
          <cell r="O3540">
            <v>0</v>
          </cell>
          <cell r="Q3540">
            <v>0</v>
          </cell>
          <cell r="R3540">
            <v>0</v>
          </cell>
          <cell r="T3540">
            <v>0</v>
          </cell>
          <cell r="U3540">
            <v>0</v>
          </cell>
          <cell r="W3540">
            <v>0</v>
          </cell>
          <cell r="X3540">
            <v>0</v>
          </cell>
          <cell r="Z3540">
            <v>0</v>
          </cell>
          <cell r="AA3540">
            <v>0</v>
          </cell>
          <cell r="AC3540">
            <v>184.72</v>
          </cell>
          <cell r="AD3540">
            <v>0</v>
          </cell>
          <cell r="AF3540">
            <v>0</v>
          </cell>
          <cell r="AG3540">
            <v>0</v>
          </cell>
          <cell r="AI3540">
            <v>0</v>
          </cell>
          <cell r="AJ3540">
            <v>0</v>
          </cell>
          <cell r="AL3540">
            <v>0</v>
          </cell>
          <cell r="AM3540">
            <v>0</v>
          </cell>
          <cell r="AO3540">
            <v>0</v>
          </cell>
          <cell r="AP3540">
            <v>0</v>
          </cell>
          <cell r="AR3540">
            <v>0</v>
          </cell>
          <cell r="AS3540">
            <v>0</v>
          </cell>
          <cell r="BF3540" t="str">
            <v>4620</v>
          </cell>
          <cell r="BG3540" t="str">
            <v>Z000</v>
          </cell>
          <cell r="BH3540" t="str">
            <v>INV</v>
          </cell>
        </row>
        <row r="3541">
          <cell r="K3541">
            <v>0</v>
          </cell>
          <cell r="L3541">
            <v>0</v>
          </cell>
          <cell r="N3541">
            <v>0</v>
          </cell>
          <cell r="O3541">
            <v>0</v>
          </cell>
          <cell r="Q3541">
            <v>0</v>
          </cell>
          <cell r="R3541">
            <v>0</v>
          </cell>
          <cell r="T3541">
            <v>0</v>
          </cell>
          <cell r="U3541">
            <v>0</v>
          </cell>
          <cell r="W3541">
            <v>0</v>
          </cell>
          <cell r="X3541">
            <v>0</v>
          </cell>
          <cell r="Z3541">
            <v>0</v>
          </cell>
          <cell r="AA3541">
            <v>0</v>
          </cell>
          <cell r="AC3541">
            <v>0</v>
          </cell>
          <cell r="AD3541">
            <v>0</v>
          </cell>
          <cell r="AF3541">
            <v>0</v>
          </cell>
          <cell r="AG3541">
            <v>0</v>
          </cell>
          <cell r="AI3541">
            <v>0</v>
          </cell>
          <cell r="AJ3541">
            <v>0</v>
          </cell>
          <cell r="AL3541">
            <v>0</v>
          </cell>
          <cell r="AM3541">
            <v>0</v>
          </cell>
          <cell r="AO3541">
            <v>0</v>
          </cell>
          <cell r="AP3541">
            <v>0</v>
          </cell>
          <cell r="AR3541">
            <v>0</v>
          </cell>
          <cell r="AS3541">
            <v>0</v>
          </cell>
          <cell r="BF3541" t="str">
            <v>4630</v>
          </cell>
          <cell r="BG3541" t="str">
            <v>Z000</v>
          </cell>
          <cell r="BH3541" t="str">
            <v>INV</v>
          </cell>
        </row>
        <row r="3542">
          <cell r="K3542">
            <v>0</v>
          </cell>
          <cell r="L3542">
            <v>0</v>
          </cell>
          <cell r="N3542">
            <v>0</v>
          </cell>
          <cell r="O3542">
            <v>0</v>
          </cell>
          <cell r="Q3542">
            <v>0</v>
          </cell>
          <cell r="R3542">
            <v>0</v>
          </cell>
          <cell r="T3542">
            <v>0</v>
          </cell>
          <cell r="U3542">
            <v>0</v>
          </cell>
          <cell r="W3542">
            <v>0</v>
          </cell>
          <cell r="X3542">
            <v>0</v>
          </cell>
          <cell r="Z3542">
            <v>0</v>
          </cell>
          <cell r="AA3542">
            <v>0</v>
          </cell>
          <cell r="AC3542">
            <v>0</v>
          </cell>
          <cell r="AD3542">
            <v>0</v>
          </cell>
          <cell r="AF3542">
            <v>0</v>
          </cell>
          <cell r="AG3542">
            <v>0</v>
          </cell>
          <cell r="AI3542">
            <v>55.8</v>
          </cell>
          <cell r="AJ3542">
            <v>0</v>
          </cell>
          <cell r="AL3542">
            <v>0</v>
          </cell>
          <cell r="AM3542">
            <v>0</v>
          </cell>
          <cell r="AO3542">
            <v>0</v>
          </cell>
          <cell r="AP3542">
            <v>0</v>
          </cell>
          <cell r="AR3542">
            <v>0</v>
          </cell>
          <cell r="AS3542">
            <v>0</v>
          </cell>
          <cell r="BF3542" t="str">
            <v>4660</v>
          </cell>
          <cell r="BG3542" t="str">
            <v>Z000</v>
          </cell>
          <cell r="BH3542" t="str">
            <v>INV</v>
          </cell>
        </row>
        <row r="3543">
          <cell r="K3543">
            <v>0</v>
          </cell>
          <cell r="L3543">
            <v>0</v>
          </cell>
          <cell r="N3543">
            <v>0</v>
          </cell>
          <cell r="O3543">
            <v>0</v>
          </cell>
          <cell r="Q3543">
            <v>0</v>
          </cell>
          <cell r="R3543">
            <v>0</v>
          </cell>
          <cell r="T3543">
            <v>0</v>
          </cell>
          <cell r="U3543">
            <v>0</v>
          </cell>
          <cell r="W3543">
            <v>0</v>
          </cell>
          <cell r="X3543">
            <v>0</v>
          </cell>
          <cell r="Z3543">
            <v>0</v>
          </cell>
          <cell r="AA3543">
            <v>0</v>
          </cell>
          <cell r="AC3543">
            <v>0</v>
          </cell>
          <cell r="AD3543">
            <v>0</v>
          </cell>
          <cell r="AF3543">
            <v>0</v>
          </cell>
          <cell r="AG3543">
            <v>0</v>
          </cell>
          <cell r="AI3543">
            <v>0</v>
          </cell>
          <cell r="AJ3543">
            <v>0</v>
          </cell>
          <cell r="AL3543">
            <v>0</v>
          </cell>
          <cell r="AM3543">
            <v>0</v>
          </cell>
          <cell r="AO3543">
            <v>0</v>
          </cell>
          <cell r="AP3543">
            <v>0</v>
          </cell>
          <cell r="AR3543">
            <v>0</v>
          </cell>
          <cell r="AS3543">
            <v>0</v>
          </cell>
          <cell r="BF3543" t="str">
            <v>4670</v>
          </cell>
          <cell r="BG3543" t="str">
            <v>Z000</v>
          </cell>
          <cell r="BH3543" t="str">
            <v>INV</v>
          </cell>
        </row>
        <row r="3544">
          <cell r="K3544">
            <v>0</v>
          </cell>
          <cell r="L3544">
            <v>0</v>
          </cell>
          <cell r="N3544">
            <v>0</v>
          </cell>
          <cell r="O3544">
            <v>0</v>
          </cell>
          <cell r="Q3544">
            <v>0</v>
          </cell>
          <cell r="R3544">
            <v>0</v>
          </cell>
          <cell r="T3544">
            <v>0</v>
          </cell>
          <cell r="U3544">
            <v>0</v>
          </cell>
          <cell r="W3544">
            <v>0</v>
          </cell>
          <cell r="X3544">
            <v>0</v>
          </cell>
          <cell r="Z3544">
            <v>0</v>
          </cell>
          <cell r="AA3544">
            <v>0</v>
          </cell>
          <cell r="AC3544">
            <v>0</v>
          </cell>
          <cell r="AD3544">
            <v>0</v>
          </cell>
          <cell r="AF3544">
            <v>0</v>
          </cell>
          <cell r="AG3544">
            <v>0</v>
          </cell>
          <cell r="AI3544">
            <v>0</v>
          </cell>
          <cell r="AJ3544">
            <v>0</v>
          </cell>
          <cell r="AL3544">
            <v>0</v>
          </cell>
          <cell r="AM3544">
            <v>0</v>
          </cell>
          <cell r="AO3544">
            <v>0</v>
          </cell>
          <cell r="AP3544">
            <v>0</v>
          </cell>
          <cell r="AR3544">
            <v>0</v>
          </cell>
          <cell r="AS3544">
            <v>0</v>
          </cell>
          <cell r="BF3544" t="str">
            <v>4690</v>
          </cell>
          <cell r="BG3544" t="str">
            <v>Z000</v>
          </cell>
          <cell r="BH3544" t="str">
            <v>INV</v>
          </cell>
        </row>
        <row r="3545">
          <cell r="K3545">
            <v>0</v>
          </cell>
          <cell r="L3545">
            <v>0</v>
          </cell>
          <cell r="N3545">
            <v>0</v>
          </cell>
          <cell r="O3545">
            <v>0</v>
          </cell>
          <cell r="Q3545">
            <v>0</v>
          </cell>
          <cell r="R3545">
            <v>0</v>
          </cell>
          <cell r="T3545">
            <v>0</v>
          </cell>
          <cell r="U3545">
            <v>0</v>
          </cell>
          <cell r="W3545">
            <v>0</v>
          </cell>
          <cell r="X3545">
            <v>0</v>
          </cell>
          <cell r="Z3545">
            <v>0</v>
          </cell>
          <cell r="AA3545">
            <v>0</v>
          </cell>
          <cell r="AC3545">
            <v>0</v>
          </cell>
          <cell r="AD3545">
            <v>0</v>
          </cell>
          <cell r="AF3545">
            <v>0</v>
          </cell>
          <cell r="AG3545">
            <v>0</v>
          </cell>
          <cell r="AI3545">
            <v>0</v>
          </cell>
          <cell r="AJ3545">
            <v>0</v>
          </cell>
          <cell r="AL3545">
            <v>0</v>
          </cell>
          <cell r="AM3545">
            <v>0</v>
          </cell>
          <cell r="AO3545">
            <v>0</v>
          </cell>
          <cell r="AP3545">
            <v>0</v>
          </cell>
          <cell r="AR3545">
            <v>0</v>
          </cell>
          <cell r="AS3545">
            <v>0</v>
          </cell>
          <cell r="BF3545" t="str">
            <v>4700</v>
          </cell>
          <cell r="BG3545" t="str">
            <v>D031</v>
          </cell>
          <cell r="BH3545" t="str">
            <v>INV</v>
          </cell>
        </row>
        <row r="3546">
          <cell r="K3546">
            <v>0</v>
          </cell>
          <cell r="L3546">
            <v>0</v>
          </cell>
          <cell r="N3546">
            <v>0</v>
          </cell>
          <cell r="O3546">
            <v>0</v>
          </cell>
          <cell r="Q3546">
            <v>0</v>
          </cell>
          <cell r="R3546">
            <v>0</v>
          </cell>
          <cell r="T3546">
            <v>0</v>
          </cell>
          <cell r="U3546">
            <v>0</v>
          </cell>
          <cell r="W3546">
            <v>0</v>
          </cell>
          <cell r="X3546">
            <v>0</v>
          </cell>
          <cell r="Z3546">
            <v>0</v>
          </cell>
          <cell r="AA3546">
            <v>0</v>
          </cell>
          <cell r="AC3546">
            <v>0</v>
          </cell>
          <cell r="AD3546">
            <v>0</v>
          </cell>
          <cell r="AF3546">
            <v>0</v>
          </cell>
          <cell r="AG3546">
            <v>0</v>
          </cell>
          <cell r="AI3546">
            <v>0</v>
          </cell>
          <cell r="AJ3546">
            <v>0</v>
          </cell>
          <cell r="AL3546">
            <v>0</v>
          </cell>
          <cell r="AM3546">
            <v>0</v>
          </cell>
          <cell r="AO3546">
            <v>0</v>
          </cell>
          <cell r="AP3546">
            <v>0</v>
          </cell>
          <cell r="AR3546">
            <v>0</v>
          </cell>
          <cell r="AS3546">
            <v>0</v>
          </cell>
          <cell r="BF3546" t="str">
            <v>4700</v>
          </cell>
          <cell r="BG3546" t="str">
            <v>D032</v>
          </cell>
          <cell r="BH3546" t="str">
            <v>INV</v>
          </cell>
        </row>
        <row r="3547">
          <cell r="K3547">
            <v>0</v>
          </cell>
          <cell r="L3547">
            <v>0</v>
          </cell>
          <cell r="N3547">
            <v>0</v>
          </cell>
          <cell r="O3547">
            <v>0</v>
          </cell>
          <cell r="Q3547">
            <v>0</v>
          </cell>
          <cell r="R3547">
            <v>0</v>
          </cell>
          <cell r="T3547">
            <v>0</v>
          </cell>
          <cell r="U3547">
            <v>0</v>
          </cell>
          <cell r="W3547">
            <v>0</v>
          </cell>
          <cell r="X3547">
            <v>0</v>
          </cell>
          <cell r="Z3547">
            <v>0</v>
          </cell>
          <cell r="AA3547">
            <v>0</v>
          </cell>
          <cell r="AC3547">
            <v>3102.8599999999997</v>
          </cell>
          <cell r="AD3547">
            <v>0</v>
          </cell>
          <cell r="AF3547">
            <v>7199.1100000000015</v>
          </cell>
          <cell r="AG3547">
            <v>0</v>
          </cell>
          <cell r="AI3547">
            <v>7925.8300000000017</v>
          </cell>
          <cell r="AJ3547">
            <v>0</v>
          </cell>
          <cell r="AL3547">
            <v>24678.860000000008</v>
          </cell>
          <cell r="AM3547">
            <v>0</v>
          </cell>
          <cell r="AO3547">
            <v>12564.910000000003</v>
          </cell>
          <cell r="AP3547">
            <v>0</v>
          </cell>
          <cell r="AR3547">
            <v>25287.909999999996</v>
          </cell>
          <cell r="AS3547">
            <v>0</v>
          </cell>
          <cell r="BF3547" t="str">
            <v>4740</v>
          </cell>
          <cell r="BG3547" t="str">
            <v>D041</v>
          </cell>
          <cell r="BH3547" t="str">
            <v>INV</v>
          </cell>
        </row>
        <row r="3548">
          <cell r="K3548">
            <v>0</v>
          </cell>
          <cell r="L3548">
            <v>0</v>
          </cell>
          <cell r="N3548">
            <v>0</v>
          </cell>
          <cell r="O3548">
            <v>0</v>
          </cell>
          <cell r="Q3548">
            <v>0</v>
          </cell>
          <cell r="R3548">
            <v>0</v>
          </cell>
          <cell r="T3548">
            <v>0</v>
          </cell>
          <cell r="U3548">
            <v>0</v>
          </cell>
          <cell r="W3548">
            <v>0</v>
          </cell>
          <cell r="X3548">
            <v>0</v>
          </cell>
          <cell r="Z3548">
            <v>0</v>
          </cell>
          <cell r="AA3548">
            <v>0</v>
          </cell>
          <cell r="AC3548">
            <v>0</v>
          </cell>
          <cell r="AD3548">
            <v>0</v>
          </cell>
          <cell r="AF3548">
            <v>0</v>
          </cell>
          <cell r="AG3548">
            <v>0</v>
          </cell>
          <cell r="AI3548">
            <v>0</v>
          </cell>
          <cell r="AJ3548">
            <v>0</v>
          </cell>
          <cell r="AL3548">
            <v>0</v>
          </cell>
          <cell r="AM3548">
            <v>0</v>
          </cell>
          <cell r="AO3548">
            <v>0</v>
          </cell>
          <cell r="AP3548">
            <v>0</v>
          </cell>
          <cell r="AR3548">
            <v>0</v>
          </cell>
          <cell r="AS3548">
            <v>0</v>
          </cell>
          <cell r="BF3548" t="str">
            <v>4740</v>
          </cell>
          <cell r="BG3548" t="str">
            <v>D042</v>
          </cell>
          <cell r="BH3548" t="str">
            <v>INV</v>
          </cell>
        </row>
        <row r="3549">
          <cell r="K3549">
            <v>0</v>
          </cell>
          <cell r="L3549">
            <v>0</v>
          </cell>
          <cell r="N3549">
            <v>0</v>
          </cell>
          <cell r="O3549">
            <v>0</v>
          </cell>
          <cell r="Q3549">
            <v>0</v>
          </cell>
          <cell r="R3549">
            <v>0</v>
          </cell>
          <cell r="T3549">
            <v>0</v>
          </cell>
          <cell r="U3549">
            <v>0</v>
          </cell>
          <cell r="W3549">
            <v>0</v>
          </cell>
          <cell r="X3549">
            <v>0</v>
          </cell>
          <cell r="Z3549">
            <v>0</v>
          </cell>
          <cell r="AA3549">
            <v>0</v>
          </cell>
          <cell r="AC3549">
            <v>0</v>
          </cell>
          <cell r="AD3549">
            <v>0</v>
          </cell>
          <cell r="AF3549">
            <v>0</v>
          </cell>
          <cell r="AG3549">
            <v>0</v>
          </cell>
          <cell r="AI3549">
            <v>0</v>
          </cell>
          <cell r="AJ3549">
            <v>0</v>
          </cell>
          <cell r="AL3549">
            <v>0</v>
          </cell>
          <cell r="AM3549">
            <v>0</v>
          </cell>
          <cell r="AO3549">
            <v>0</v>
          </cell>
          <cell r="AP3549">
            <v>0</v>
          </cell>
          <cell r="AR3549">
            <v>0</v>
          </cell>
          <cell r="AS3549">
            <v>0</v>
          </cell>
          <cell r="BF3549" t="str">
            <v>4740</v>
          </cell>
          <cell r="BG3549" t="str">
            <v>D043</v>
          </cell>
          <cell r="BH3549" t="str">
            <v>INV</v>
          </cell>
        </row>
        <row r="3550">
          <cell r="K3550">
            <v>0</v>
          </cell>
          <cell r="L3550">
            <v>0</v>
          </cell>
          <cell r="N3550">
            <v>0</v>
          </cell>
          <cell r="O3550">
            <v>0</v>
          </cell>
          <cell r="Q3550">
            <v>0</v>
          </cell>
          <cell r="R3550">
            <v>0</v>
          </cell>
          <cell r="T3550">
            <v>0</v>
          </cell>
          <cell r="U3550">
            <v>0</v>
          </cell>
          <cell r="W3550">
            <v>0</v>
          </cell>
          <cell r="X3550">
            <v>0</v>
          </cell>
          <cell r="Z3550">
            <v>0</v>
          </cell>
          <cell r="AA3550">
            <v>0</v>
          </cell>
          <cell r="AC3550">
            <v>0</v>
          </cell>
          <cell r="AD3550">
            <v>0</v>
          </cell>
          <cell r="AF3550">
            <v>0</v>
          </cell>
          <cell r="AG3550">
            <v>0</v>
          </cell>
          <cell r="AI3550">
            <v>0</v>
          </cell>
          <cell r="AJ3550">
            <v>0</v>
          </cell>
          <cell r="AL3550">
            <v>0</v>
          </cell>
          <cell r="AM3550">
            <v>0</v>
          </cell>
          <cell r="AO3550">
            <v>0</v>
          </cell>
          <cell r="AP3550">
            <v>0</v>
          </cell>
          <cell r="AR3550">
            <v>0</v>
          </cell>
          <cell r="AS3550">
            <v>0</v>
          </cell>
          <cell r="BF3550" t="str">
            <v>4740</v>
          </cell>
          <cell r="BG3550" t="str">
            <v>D044</v>
          </cell>
          <cell r="BH3550" t="str">
            <v>INV</v>
          </cell>
        </row>
        <row r="3551">
          <cell r="K3551">
            <v>0</v>
          </cell>
          <cell r="L3551">
            <v>0</v>
          </cell>
          <cell r="N3551">
            <v>0</v>
          </cell>
          <cell r="O3551">
            <v>0</v>
          </cell>
          <cell r="Q3551">
            <v>0</v>
          </cell>
          <cell r="R3551">
            <v>0</v>
          </cell>
          <cell r="T3551">
            <v>0</v>
          </cell>
          <cell r="U3551">
            <v>0</v>
          </cell>
          <cell r="W3551">
            <v>0</v>
          </cell>
          <cell r="X3551">
            <v>0</v>
          </cell>
          <cell r="Z3551">
            <v>0</v>
          </cell>
          <cell r="AA3551">
            <v>0</v>
          </cell>
          <cell r="AC3551">
            <v>0</v>
          </cell>
          <cell r="AD3551">
            <v>0</v>
          </cell>
          <cell r="AF3551">
            <v>0</v>
          </cell>
          <cell r="AG3551">
            <v>0</v>
          </cell>
          <cell r="AI3551">
            <v>0</v>
          </cell>
          <cell r="AJ3551">
            <v>0</v>
          </cell>
          <cell r="AL3551">
            <v>0</v>
          </cell>
          <cell r="AM3551">
            <v>0</v>
          </cell>
          <cell r="AO3551">
            <v>0</v>
          </cell>
          <cell r="AP3551">
            <v>0</v>
          </cell>
          <cell r="AR3551">
            <v>0</v>
          </cell>
          <cell r="AS3551">
            <v>0</v>
          </cell>
          <cell r="BF3551" t="str">
            <v>4740</v>
          </cell>
          <cell r="BG3551" t="str">
            <v>D045</v>
          </cell>
          <cell r="BH3551" t="str">
            <v>INV</v>
          </cell>
        </row>
        <row r="3552">
          <cell r="K3552">
            <v>0</v>
          </cell>
          <cell r="L3552">
            <v>0</v>
          </cell>
          <cell r="N3552">
            <v>0</v>
          </cell>
          <cell r="O3552">
            <v>0</v>
          </cell>
          <cell r="Q3552">
            <v>0</v>
          </cell>
          <cell r="R3552">
            <v>0</v>
          </cell>
          <cell r="T3552">
            <v>0</v>
          </cell>
          <cell r="U3552">
            <v>0</v>
          </cell>
          <cell r="W3552">
            <v>0</v>
          </cell>
          <cell r="X3552">
            <v>0</v>
          </cell>
          <cell r="Z3552">
            <v>0</v>
          </cell>
          <cell r="AA3552">
            <v>0</v>
          </cell>
          <cell r="AC3552">
            <v>0</v>
          </cell>
          <cell r="AD3552">
            <v>0</v>
          </cell>
          <cell r="AF3552">
            <v>0</v>
          </cell>
          <cell r="AG3552">
            <v>0</v>
          </cell>
          <cell r="AI3552">
            <v>0</v>
          </cell>
          <cell r="AJ3552">
            <v>0</v>
          </cell>
          <cell r="AL3552">
            <v>0</v>
          </cell>
          <cell r="AM3552">
            <v>0</v>
          </cell>
          <cell r="AO3552">
            <v>0</v>
          </cell>
          <cell r="AP3552">
            <v>0</v>
          </cell>
          <cell r="AR3552">
            <v>0</v>
          </cell>
          <cell r="AS3552">
            <v>0</v>
          </cell>
          <cell r="BF3552" t="str">
            <v>4740</v>
          </cell>
          <cell r="BG3552" t="str">
            <v>D046</v>
          </cell>
          <cell r="BH3552" t="str">
            <v>INV</v>
          </cell>
        </row>
        <row r="3553">
          <cell r="K3553">
            <v>0</v>
          </cell>
          <cell r="L3553">
            <v>0</v>
          </cell>
          <cell r="N3553">
            <v>0</v>
          </cell>
          <cell r="O3553">
            <v>0</v>
          </cell>
          <cell r="Q3553">
            <v>0</v>
          </cell>
          <cell r="R3553">
            <v>0</v>
          </cell>
          <cell r="T3553">
            <v>0</v>
          </cell>
          <cell r="U3553">
            <v>0</v>
          </cell>
          <cell r="W3553">
            <v>0</v>
          </cell>
          <cell r="X3553">
            <v>0</v>
          </cell>
          <cell r="Z3553">
            <v>0</v>
          </cell>
          <cell r="AA3553">
            <v>0</v>
          </cell>
          <cell r="AC3553">
            <v>0</v>
          </cell>
          <cell r="AD3553">
            <v>0</v>
          </cell>
          <cell r="AF3553">
            <v>0</v>
          </cell>
          <cell r="AG3553">
            <v>0</v>
          </cell>
          <cell r="AI3553">
            <v>0</v>
          </cell>
          <cell r="AJ3553">
            <v>0</v>
          </cell>
          <cell r="AL3553">
            <v>0</v>
          </cell>
          <cell r="AM3553">
            <v>0</v>
          </cell>
          <cell r="AO3553">
            <v>0</v>
          </cell>
          <cell r="AP3553">
            <v>0</v>
          </cell>
          <cell r="AR3553">
            <v>0</v>
          </cell>
          <cell r="AS3553">
            <v>0</v>
          </cell>
          <cell r="BF3553" t="str">
            <v>4760</v>
          </cell>
          <cell r="BG3553" t="str">
            <v>Z000</v>
          </cell>
          <cell r="BH3553" t="str">
            <v>INV</v>
          </cell>
        </row>
        <row r="3554">
          <cell r="K3554">
            <v>0</v>
          </cell>
          <cell r="L3554">
            <v>0</v>
          </cell>
          <cell r="N3554">
            <v>0</v>
          </cell>
          <cell r="O3554">
            <v>0</v>
          </cell>
          <cell r="Q3554">
            <v>0</v>
          </cell>
          <cell r="R3554">
            <v>0</v>
          </cell>
          <cell r="T3554">
            <v>0</v>
          </cell>
          <cell r="U3554">
            <v>0</v>
          </cell>
          <cell r="W3554">
            <v>0</v>
          </cell>
          <cell r="X3554">
            <v>0</v>
          </cell>
          <cell r="Z3554">
            <v>0</v>
          </cell>
          <cell r="AA3554">
            <v>0</v>
          </cell>
          <cell r="AC3554">
            <v>0</v>
          </cell>
          <cell r="AD3554">
            <v>0</v>
          </cell>
          <cell r="AF3554">
            <v>0</v>
          </cell>
          <cell r="AG3554">
            <v>0</v>
          </cell>
          <cell r="AI3554">
            <v>159.5</v>
          </cell>
          <cell r="AJ3554">
            <v>0</v>
          </cell>
          <cell r="AL3554">
            <v>0</v>
          </cell>
          <cell r="AM3554">
            <v>0</v>
          </cell>
          <cell r="AO3554">
            <v>0</v>
          </cell>
          <cell r="AP3554">
            <v>0</v>
          </cell>
          <cell r="AR3554">
            <v>0</v>
          </cell>
          <cell r="AS3554">
            <v>0</v>
          </cell>
          <cell r="BF3554" t="str">
            <v>4770</v>
          </cell>
          <cell r="BG3554" t="str">
            <v>Z000</v>
          </cell>
          <cell r="BH3554" t="str">
            <v>INV</v>
          </cell>
        </row>
        <row r="3555">
          <cell r="K3555">
            <v>0</v>
          </cell>
          <cell r="L3555">
            <v>0</v>
          </cell>
          <cell r="N3555">
            <v>0</v>
          </cell>
          <cell r="O3555">
            <v>0</v>
          </cell>
          <cell r="Q3555">
            <v>0</v>
          </cell>
          <cell r="R3555">
            <v>0</v>
          </cell>
          <cell r="T3555">
            <v>0</v>
          </cell>
          <cell r="U3555">
            <v>0</v>
          </cell>
          <cell r="W3555">
            <v>0</v>
          </cell>
          <cell r="X3555">
            <v>0</v>
          </cell>
          <cell r="Z3555">
            <v>0</v>
          </cell>
          <cell r="AA3555">
            <v>0</v>
          </cell>
          <cell r="AC3555">
            <v>0</v>
          </cell>
          <cell r="AD3555">
            <v>0</v>
          </cell>
          <cell r="AF3555">
            <v>0</v>
          </cell>
          <cell r="AG3555">
            <v>0</v>
          </cell>
          <cell r="AI3555">
            <v>0</v>
          </cell>
          <cell r="AJ3555">
            <v>0</v>
          </cell>
          <cell r="AL3555">
            <v>0</v>
          </cell>
          <cell r="AM3555">
            <v>0</v>
          </cell>
          <cell r="AO3555">
            <v>0</v>
          </cell>
          <cell r="AP3555">
            <v>0</v>
          </cell>
          <cell r="AR3555">
            <v>0</v>
          </cell>
          <cell r="AS3555">
            <v>0</v>
          </cell>
          <cell r="BF3555" t="str">
            <v>4800</v>
          </cell>
          <cell r="BG3555" t="str">
            <v>D101</v>
          </cell>
          <cell r="BH3555" t="str">
            <v>INV</v>
          </cell>
        </row>
        <row r="3556">
          <cell r="K3556">
            <v>0</v>
          </cell>
          <cell r="L3556">
            <v>0</v>
          </cell>
          <cell r="N3556">
            <v>0</v>
          </cell>
          <cell r="O3556">
            <v>0</v>
          </cell>
          <cell r="Q3556">
            <v>0</v>
          </cell>
          <cell r="R3556">
            <v>0</v>
          </cell>
          <cell r="T3556">
            <v>0</v>
          </cell>
          <cell r="U3556">
            <v>0</v>
          </cell>
          <cell r="W3556">
            <v>0</v>
          </cell>
          <cell r="X3556">
            <v>0</v>
          </cell>
          <cell r="Z3556">
            <v>0</v>
          </cell>
          <cell r="AA3556">
            <v>0</v>
          </cell>
          <cell r="AC3556">
            <v>0</v>
          </cell>
          <cell r="AD3556">
            <v>0</v>
          </cell>
          <cell r="AF3556">
            <v>189.17</v>
          </cell>
          <cell r="AG3556">
            <v>0</v>
          </cell>
          <cell r="AI3556">
            <v>0</v>
          </cell>
          <cell r="AJ3556">
            <v>0</v>
          </cell>
          <cell r="AL3556">
            <v>246.11999999999998</v>
          </cell>
          <cell r="AM3556">
            <v>0</v>
          </cell>
          <cell r="AO3556">
            <v>881.96</v>
          </cell>
          <cell r="AP3556">
            <v>0</v>
          </cell>
          <cell r="AR3556">
            <v>0</v>
          </cell>
          <cell r="AS3556">
            <v>0</v>
          </cell>
          <cell r="BF3556" t="str">
            <v>4800</v>
          </cell>
          <cell r="BG3556" t="str">
            <v>D102</v>
          </cell>
          <cell r="BH3556" t="str">
            <v>INV</v>
          </cell>
        </row>
        <row r="3557">
          <cell r="K3557">
            <v>0</v>
          </cell>
          <cell r="L3557">
            <v>0</v>
          </cell>
          <cell r="N3557">
            <v>0</v>
          </cell>
          <cell r="O3557">
            <v>0</v>
          </cell>
          <cell r="Q3557">
            <v>0</v>
          </cell>
          <cell r="R3557">
            <v>0</v>
          </cell>
          <cell r="T3557">
            <v>0</v>
          </cell>
          <cell r="U3557">
            <v>0</v>
          </cell>
          <cell r="W3557">
            <v>0</v>
          </cell>
          <cell r="X3557">
            <v>0</v>
          </cell>
          <cell r="Z3557">
            <v>0</v>
          </cell>
          <cell r="AA3557">
            <v>0</v>
          </cell>
          <cell r="AC3557">
            <v>0</v>
          </cell>
          <cell r="AD3557">
            <v>0</v>
          </cell>
          <cell r="AF3557">
            <v>0</v>
          </cell>
          <cell r="AG3557">
            <v>0</v>
          </cell>
          <cell r="AI3557">
            <v>0</v>
          </cell>
          <cell r="AJ3557">
            <v>0</v>
          </cell>
          <cell r="AL3557">
            <v>0</v>
          </cell>
          <cell r="AM3557">
            <v>0</v>
          </cell>
          <cell r="AO3557">
            <v>0</v>
          </cell>
          <cell r="AP3557">
            <v>0</v>
          </cell>
          <cell r="AR3557">
            <v>0</v>
          </cell>
          <cell r="AS3557">
            <v>0</v>
          </cell>
          <cell r="BF3557" t="str">
            <v>4800</v>
          </cell>
          <cell r="BG3557" t="str">
            <v>D103</v>
          </cell>
          <cell r="BH3557" t="str">
            <v>INV</v>
          </cell>
        </row>
        <row r="3558">
          <cell r="K3558">
            <v>0</v>
          </cell>
          <cell r="L3558">
            <v>0</v>
          </cell>
          <cell r="N3558">
            <v>0</v>
          </cell>
          <cell r="O3558">
            <v>0</v>
          </cell>
          <cell r="Q3558">
            <v>0</v>
          </cell>
          <cell r="R3558">
            <v>0</v>
          </cell>
          <cell r="T3558">
            <v>0</v>
          </cell>
          <cell r="U3558">
            <v>0</v>
          </cell>
          <cell r="W3558">
            <v>0</v>
          </cell>
          <cell r="X3558">
            <v>0</v>
          </cell>
          <cell r="Z3558">
            <v>0</v>
          </cell>
          <cell r="AA3558">
            <v>0</v>
          </cell>
          <cell r="AC3558">
            <v>0</v>
          </cell>
          <cell r="AD3558">
            <v>0</v>
          </cell>
          <cell r="AF3558">
            <v>0</v>
          </cell>
          <cell r="AG3558">
            <v>0</v>
          </cell>
          <cell r="AI3558">
            <v>0</v>
          </cell>
          <cell r="AJ3558">
            <v>0</v>
          </cell>
          <cell r="AL3558">
            <v>0</v>
          </cell>
          <cell r="AM3558">
            <v>0</v>
          </cell>
          <cell r="AO3558">
            <v>0</v>
          </cell>
          <cell r="AP3558">
            <v>0</v>
          </cell>
          <cell r="AR3558">
            <v>0</v>
          </cell>
          <cell r="AS3558">
            <v>0</v>
          </cell>
          <cell r="BF3558" t="str">
            <v>4800</v>
          </cell>
          <cell r="BG3558" t="str">
            <v>D104</v>
          </cell>
          <cell r="BH3558" t="str">
            <v>INV</v>
          </cell>
        </row>
        <row r="3559">
          <cell r="K3559">
            <v>0</v>
          </cell>
          <cell r="L3559">
            <v>0</v>
          </cell>
          <cell r="N3559">
            <v>0</v>
          </cell>
          <cell r="O3559">
            <v>0</v>
          </cell>
          <cell r="Q3559">
            <v>0</v>
          </cell>
          <cell r="R3559">
            <v>0</v>
          </cell>
          <cell r="T3559">
            <v>0</v>
          </cell>
          <cell r="U3559">
            <v>0</v>
          </cell>
          <cell r="W3559">
            <v>0</v>
          </cell>
          <cell r="X3559">
            <v>0</v>
          </cell>
          <cell r="Z3559">
            <v>0</v>
          </cell>
          <cell r="AA3559">
            <v>0</v>
          </cell>
          <cell r="AC3559">
            <v>0</v>
          </cell>
          <cell r="AD3559">
            <v>0</v>
          </cell>
          <cell r="AF3559">
            <v>0</v>
          </cell>
          <cell r="AG3559">
            <v>0</v>
          </cell>
          <cell r="AI3559">
            <v>0</v>
          </cell>
          <cell r="AJ3559">
            <v>0</v>
          </cell>
          <cell r="AL3559">
            <v>0</v>
          </cell>
          <cell r="AM3559">
            <v>0</v>
          </cell>
          <cell r="AO3559">
            <v>0</v>
          </cell>
          <cell r="AP3559">
            <v>0</v>
          </cell>
          <cell r="AR3559">
            <v>0</v>
          </cell>
          <cell r="AS3559">
            <v>0</v>
          </cell>
          <cell r="BF3559" t="str">
            <v>4820</v>
          </cell>
          <cell r="BG3559" t="str">
            <v>Z000</v>
          </cell>
          <cell r="BH3559" t="str">
            <v>INV</v>
          </cell>
        </row>
        <row r="3560">
          <cell r="K3560">
            <v>0</v>
          </cell>
          <cell r="L3560">
            <v>0</v>
          </cell>
          <cell r="N3560">
            <v>0</v>
          </cell>
          <cell r="O3560">
            <v>0</v>
          </cell>
          <cell r="Q3560">
            <v>0</v>
          </cell>
          <cell r="R3560">
            <v>0</v>
          </cell>
          <cell r="T3560">
            <v>0</v>
          </cell>
          <cell r="U3560">
            <v>0</v>
          </cell>
          <cell r="W3560">
            <v>0</v>
          </cell>
          <cell r="X3560">
            <v>0</v>
          </cell>
          <cell r="Z3560">
            <v>0</v>
          </cell>
          <cell r="AA3560">
            <v>0</v>
          </cell>
          <cell r="AC3560">
            <v>5983.3899999999994</v>
          </cell>
          <cell r="AD3560">
            <v>0</v>
          </cell>
          <cell r="AF3560">
            <v>1214.9799999999996</v>
          </cell>
          <cell r="AG3560">
            <v>0</v>
          </cell>
          <cell r="AI3560">
            <v>19.399999999999636</v>
          </cell>
          <cell r="AJ3560">
            <v>0</v>
          </cell>
          <cell r="AL3560">
            <v>0</v>
          </cell>
          <cell r="AM3560">
            <v>0</v>
          </cell>
          <cell r="AO3560">
            <v>0</v>
          </cell>
          <cell r="AP3560">
            <v>0</v>
          </cell>
          <cell r="AR3560">
            <v>0</v>
          </cell>
          <cell r="AS3560">
            <v>0</v>
          </cell>
          <cell r="BF3560" t="str">
            <v>4830</v>
          </cell>
          <cell r="BG3560" t="str">
            <v>D111</v>
          </cell>
          <cell r="BH3560" t="str">
            <v>INV</v>
          </cell>
        </row>
        <row r="3561">
          <cell r="K3561">
            <v>0</v>
          </cell>
          <cell r="L3561">
            <v>0</v>
          </cell>
          <cell r="N3561">
            <v>0</v>
          </cell>
          <cell r="O3561">
            <v>0</v>
          </cell>
          <cell r="Q3561">
            <v>0</v>
          </cell>
          <cell r="R3561">
            <v>0</v>
          </cell>
          <cell r="T3561">
            <v>0</v>
          </cell>
          <cell r="U3561">
            <v>0</v>
          </cell>
          <cell r="W3561">
            <v>0</v>
          </cell>
          <cell r="X3561">
            <v>0</v>
          </cell>
          <cell r="Z3561">
            <v>0</v>
          </cell>
          <cell r="AA3561">
            <v>0</v>
          </cell>
          <cell r="AC3561">
            <v>0</v>
          </cell>
          <cell r="AD3561">
            <v>0</v>
          </cell>
          <cell r="AF3561">
            <v>550.94000000000005</v>
          </cell>
          <cell r="AG3561">
            <v>0</v>
          </cell>
          <cell r="AI3561">
            <v>800.82999999999993</v>
          </cell>
          <cell r="AJ3561">
            <v>0</v>
          </cell>
          <cell r="AL3561">
            <v>0</v>
          </cell>
          <cell r="AM3561">
            <v>0</v>
          </cell>
          <cell r="AO3561">
            <v>59</v>
          </cell>
          <cell r="AP3561">
            <v>0</v>
          </cell>
          <cell r="AR3561">
            <v>0</v>
          </cell>
          <cell r="AS3561">
            <v>0</v>
          </cell>
          <cell r="BF3561" t="str">
            <v>4830</v>
          </cell>
          <cell r="BG3561" t="str">
            <v>D112</v>
          </cell>
          <cell r="BH3561" t="str">
            <v>INV</v>
          </cell>
        </row>
        <row r="3562">
          <cell r="K3562">
            <v>0</v>
          </cell>
          <cell r="L3562">
            <v>0</v>
          </cell>
          <cell r="N3562">
            <v>0</v>
          </cell>
          <cell r="O3562">
            <v>0</v>
          </cell>
          <cell r="Q3562">
            <v>0</v>
          </cell>
          <cell r="R3562">
            <v>0</v>
          </cell>
          <cell r="T3562">
            <v>0</v>
          </cell>
          <cell r="U3562">
            <v>0</v>
          </cell>
          <cell r="W3562">
            <v>0</v>
          </cell>
          <cell r="X3562">
            <v>0</v>
          </cell>
          <cell r="Z3562">
            <v>0</v>
          </cell>
          <cell r="AA3562">
            <v>0</v>
          </cell>
          <cell r="AC3562">
            <v>0</v>
          </cell>
          <cell r="AD3562">
            <v>0</v>
          </cell>
          <cell r="AF3562">
            <v>0</v>
          </cell>
          <cell r="AG3562">
            <v>0</v>
          </cell>
          <cell r="AI3562">
            <v>0</v>
          </cell>
          <cell r="AJ3562">
            <v>0</v>
          </cell>
          <cell r="AL3562">
            <v>0</v>
          </cell>
          <cell r="AM3562">
            <v>0</v>
          </cell>
          <cell r="AO3562">
            <v>0</v>
          </cell>
          <cell r="AP3562">
            <v>0</v>
          </cell>
          <cell r="AR3562">
            <v>0</v>
          </cell>
          <cell r="AS3562">
            <v>0</v>
          </cell>
          <cell r="BF3562" t="str">
            <v>4840</v>
          </cell>
          <cell r="BG3562" t="str">
            <v>Z000</v>
          </cell>
          <cell r="BH3562" t="str">
            <v>INV</v>
          </cell>
        </row>
        <row r="3563">
          <cell r="K3563">
            <v>0</v>
          </cell>
          <cell r="L3563">
            <v>0</v>
          </cell>
          <cell r="N3563">
            <v>0</v>
          </cell>
          <cell r="O3563">
            <v>0</v>
          </cell>
          <cell r="Q3563">
            <v>0</v>
          </cell>
          <cell r="R3563">
            <v>0</v>
          </cell>
          <cell r="T3563">
            <v>0</v>
          </cell>
          <cell r="U3563">
            <v>0</v>
          </cell>
          <cell r="W3563">
            <v>0</v>
          </cell>
          <cell r="X3563">
            <v>0</v>
          </cell>
          <cell r="Z3563">
            <v>0</v>
          </cell>
          <cell r="AA3563">
            <v>0</v>
          </cell>
          <cell r="AC3563">
            <v>0</v>
          </cell>
          <cell r="AD3563">
            <v>0</v>
          </cell>
          <cell r="AF3563">
            <v>0</v>
          </cell>
          <cell r="AG3563">
            <v>0</v>
          </cell>
          <cell r="AI3563">
            <v>0</v>
          </cell>
          <cell r="AJ3563">
            <v>0</v>
          </cell>
          <cell r="AL3563">
            <v>0</v>
          </cell>
          <cell r="AM3563">
            <v>0</v>
          </cell>
          <cell r="AO3563">
            <v>0</v>
          </cell>
          <cell r="AP3563">
            <v>0</v>
          </cell>
          <cell r="AR3563">
            <v>0</v>
          </cell>
          <cell r="AS3563">
            <v>0</v>
          </cell>
          <cell r="BF3563" t="str">
            <v>4870</v>
          </cell>
          <cell r="BG3563" t="str">
            <v>Z000</v>
          </cell>
          <cell r="BH3563" t="str">
            <v>INV</v>
          </cell>
        </row>
        <row r="3564">
          <cell r="K3564">
            <v>0</v>
          </cell>
          <cell r="L3564">
            <v>0</v>
          </cell>
          <cell r="N3564">
            <v>0</v>
          </cell>
          <cell r="O3564">
            <v>0</v>
          </cell>
          <cell r="Q3564">
            <v>0</v>
          </cell>
          <cell r="R3564">
            <v>0</v>
          </cell>
          <cell r="T3564">
            <v>0</v>
          </cell>
          <cell r="U3564">
            <v>0</v>
          </cell>
          <cell r="W3564">
            <v>0</v>
          </cell>
          <cell r="X3564">
            <v>0</v>
          </cell>
          <cell r="Z3564">
            <v>0</v>
          </cell>
          <cell r="AA3564">
            <v>0</v>
          </cell>
          <cell r="AC3564">
            <v>0</v>
          </cell>
          <cell r="AD3564">
            <v>0</v>
          </cell>
          <cell r="AF3564">
            <v>0</v>
          </cell>
          <cell r="AG3564">
            <v>0</v>
          </cell>
          <cell r="AI3564">
            <v>0</v>
          </cell>
          <cell r="AJ3564">
            <v>0</v>
          </cell>
          <cell r="AL3564">
            <v>0</v>
          </cell>
          <cell r="AM3564">
            <v>0</v>
          </cell>
          <cell r="AO3564">
            <v>0</v>
          </cell>
          <cell r="AP3564">
            <v>0</v>
          </cell>
          <cell r="AR3564">
            <v>0</v>
          </cell>
          <cell r="AS3564">
            <v>0</v>
          </cell>
          <cell r="BF3564" t="str">
            <v>4880</v>
          </cell>
          <cell r="BG3564" t="str">
            <v>Z000</v>
          </cell>
          <cell r="BH3564" t="str">
            <v>INV</v>
          </cell>
        </row>
        <row r="3565">
          <cell r="K3565">
            <v>0</v>
          </cell>
          <cell r="L3565">
            <v>0</v>
          </cell>
          <cell r="N3565">
            <v>0</v>
          </cell>
          <cell r="O3565">
            <v>0</v>
          </cell>
          <cell r="Q3565">
            <v>0</v>
          </cell>
          <cell r="R3565">
            <v>0</v>
          </cell>
          <cell r="T3565">
            <v>0</v>
          </cell>
          <cell r="U3565">
            <v>0</v>
          </cell>
          <cell r="W3565">
            <v>0</v>
          </cell>
          <cell r="X3565">
            <v>0</v>
          </cell>
          <cell r="Z3565">
            <v>0</v>
          </cell>
          <cell r="AA3565">
            <v>0</v>
          </cell>
          <cell r="AC3565">
            <v>0</v>
          </cell>
          <cell r="AD3565">
            <v>0</v>
          </cell>
          <cell r="AF3565">
            <v>0</v>
          </cell>
          <cell r="AG3565">
            <v>0</v>
          </cell>
          <cell r="AI3565">
            <v>0</v>
          </cell>
          <cell r="AJ3565">
            <v>0</v>
          </cell>
          <cell r="AL3565">
            <v>0</v>
          </cell>
          <cell r="AM3565">
            <v>0</v>
          </cell>
          <cell r="AO3565">
            <v>0</v>
          </cell>
          <cell r="AP3565">
            <v>0</v>
          </cell>
          <cell r="AR3565">
            <v>0</v>
          </cell>
          <cell r="AS3565">
            <v>0</v>
          </cell>
          <cell r="BF3565" t="str">
            <v>4890</v>
          </cell>
          <cell r="BG3565" t="str">
            <v>Z000</v>
          </cell>
          <cell r="BH3565" t="str">
            <v>INV</v>
          </cell>
        </row>
        <row r="3566">
          <cell r="K3566">
            <v>0</v>
          </cell>
          <cell r="L3566">
            <v>0</v>
          </cell>
          <cell r="N3566">
            <v>0</v>
          </cell>
          <cell r="O3566">
            <v>0</v>
          </cell>
          <cell r="Q3566">
            <v>0</v>
          </cell>
          <cell r="R3566">
            <v>0</v>
          </cell>
          <cell r="T3566">
            <v>0</v>
          </cell>
          <cell r="U3566">
            <v>0</v>
          </cell>
          <cell r="W3566">
            <v>0</v>
          </cell>
          <cell r="X3566">
            <v>0</v>
          </cell>
          <cell r="Z3566">
            <v>0</v>
          </cell>
          <cell r="AA3566">
            <v>0</v>
          </cell>
          <cell r="AC3566">
            <v>0</v>
          </cell>
          <cell r="AD3566">
            <v>0</v>
          </cell>
          <cell r="AF3566">
            <v>0</v>
          </cell>
          <cell r="AG3566">
            <v>0</v>
          </cell>
          <cell r="AI3566">
            <v>0</v>
          </cell>
          <cell r="AJ3566">
            <v>0</v>
          </cell>
          <cell r="AL3566">
            <v>0</v>
          </cell>
          <cell r="AM3566">
            <v>0</v>
          </cell>
          <cell r="AO3566">
            <v>0</v>
          </cell>
          <cell r="AP3566">
            <v>0</v>
          </cell>
          <cell r="AR3566">
            <v>0</v>
          </cell>
          <cell r="AS3566">
            <v>0</v>
          </cell>
          <cell r="BF3566" t="str">
            <v>4900</v>
          </cell>
          <cell r="BG3566" t="str">
            <v>Z000</v>
          </cell>
          <cell r="BH3566" t="str">
            <v>INV</v>
          </cell>
        </row>
        <row r="3567">
          <cell r="K3567">
            <v>0</v>
          </cell>
          <cell r="L3567">
            <v>0</v>
          </cell>
          <cell r="N3567">
            <v>0</v>
          </cell>
          <cell r="O3567">
            <v>0</v>
          </cell>
          <cell r="Q3567">
            <v>0</v>
          </cell>
          <cell r="R3567">
            <v>0</v>
          </cell>
          <cell r="T3567">
            <v>0</v>
          </cell>
          <cell r="U3567">
            <v>0</v>
          </cell>
          <cell r="W3567">
            <v>0</v>
          </cell>
          <cell r="X3567">
            <v>0</v>
          </cell>
          <cell r="Z3567">
            <v>0</v>
          </cell>
          <cell r="AA3567">
            <v>0</v>
          </cell>
          <cell r="AC3567">
            <v>0</v>
          </cell>
          <cell r="AD3567">
            <v>0</v>
          </cell>
          <cell r="AF3567">
            <v>0</v>
          </cell>
          <cell r="AG3567">
            <v>0</v>
          </cell>
          <cell r="AI3567">
            <v>0</v>
          </cell>
          <cell r="AJ3567">
            <v>0</v>
          </cell>
          <cell r="AL3567">
            <v>0</v>
          </cell>
          <cell r="AM3567">
            <v>0</v>
          </cell>
          <cell r="AO3567">
            <v>0</v>
          </cell>
          <cell r="AP3567">
            <v>0</v>
          </cell>
          <cell r="AR3567">
            <v>0</v>
          </cell>
          <cell r="AS3567">
            <v>0</v>
          </cell>
          <cell r="BF3567" t="str">
            <v>4910</v>
          </cell>
          <cell r="BG3567" t="str">
            <v>Z000</v>
          </cell>
          <cell r="BH3567" t="str">
            <v>INV</v>
          </cell>
        </row>
        <row r="3568">
          <cell r="K3568">
            <v>0</v>
          </cell>
          <cell r="L3568">
            <v>0</v>
          </cell>
          <cell r="N3568">
            <v>0</v>
          </cell>
          <cell r="O3568">
            <v>0</v>
          </cell>
          <cell r="Q3568">
            <v>0</v>
          </cell>
          <cell r="R3568">
            <v>0</v>
          </cell>
          <cell r="T3568">
            <v>0</v>
          </cell>
          <cell r="U3568">
            <v>0</v>
          </cell>
          <cell r="W3568">
            <v>0</v>
          </cell>
          <cell r="X3568">
            <v>0</v>
          </cell>
          <cell r="Z3568">
            <v>0</v>
          </cell>
          <cell r="AA3568">
            <v>0</v>
          </cell>
          <cell r="AC3568">
            <v>0</v>
          </cell>
          <cell r="AD3568">
            <v>0</v>
          </cell>
          <cell r="AF3568">
            <v>0</v>
          </cell>
          <cell r="AG3568">
            <v>0</v>
          </cell>
          <cell r="AI3568">
            <v>0</v>
          </cell>
          <cell r="AJ3568">
            <v>0</v>
          </cell>
          <cell r="AL3568">
            <v>0</v>
          </cell>
          <cell r="AM3568">
            <v>0</v>
          </cell>
          <cell r="AO3568">
            <v>0</v>
          </cell>
          <cell r="AP3568">
            <v>0</v>
          </cell>
          <cell r="AR3568">
            <v>0</v>
          </cell>
          <cell r="AS3568">
            <v>0</v>
          </cell>
          <cell r="BF3568" t="str">
            <v>4940</v>
          </cell>
          <cell r="BG3568" t="str">
            <v>Z000</v>
          </cell>
          <cell r="BH3568" t="str">
            <v>INV</v>
          </cell>
        </row>
        <row r="3569">
          <cell r="K3569">
            <v>0</v>
          </cell>
          <cell r="L3569">
            <v>0</v>
          </cell>
          <cell r="N3569">
            <v>0</v>
          </cell>
          <cell r="O3569">
            <v>0</v>
          </cell>
          <cell r="Q3569">
            <v>0</v>
          </cell>
          <cell r="R3569">
            <v>0</v>
          </cell>
          <cell r="T3569">
            <v>0</v>
          </cell>
          <cell r="U3569">
            <v>0</v>
          </cell>
          <cell r="W3569">
            <v>0</v>
          </cell>
          <cell r="X3569">
            <v>0</v>
          </cell>
          <cell r="Z3569">
            <v>0</v>
          </cell>
          <cell r="AA3569">
            <v>0</v>
          </cell>
          <cell r="AC3569">
            <v>0</v>
          </cell>
          <cell r="AD3569">
            <v>0</v>
          </cell>
          <cell r="AF3569">
            <v>0</v>
          </cell>
          <cell r="AG3569">
            <v>0</v>
          </cell>
          <cell r="AI3569">
            <v>0</v>
          </cell>
          <cell r="AJ3569">
            <v>0</v>
          </cell>
          <cell r="AL3569">
            <v>0</v>
          </cell>
          <cell r="AM3569">
            <v>0</v>
          </cell>
          <cell r="AO3569">
            <v>0</v>
          </cell>
          <cell r="AP3569">
            <v>0</v>
          </cell>
          <cell r="AR3569">
            <v>0</v>
          </cell>
          <cell r="AS3569">
            <v>0</v>
          </cell>
          <cell r="BF3569" t="str">
            <v>4941</v>
          </cell>
          <cell r="BG3569" t="str">
            <v>Z000</v>
          </cell>
          <cell r="BH3569" t="str">
            <v>INV</v>
          </cell>
        </row>
        <row r="3570">
          <cell r="K3570">
            <v>0</v>
          </cell>
          <cell r="L3570">
            <v>0</v>
          </cell>
          <cell r="N3570">
            <v>0</v>
          </cell>
          <cell r="O3570">
            <v>0</v>
          </cell>
          <cell r="Q3570">
            <v>0</v>
          </cell>
          <cell r="R3570">
            <v>0</v>
          </cell>
          <cell r="T3570">
            <v>0</v>
          </cell>
          <cell r="U3570">
            <v>0</v>
          </cell>
          <cell r="W3570">
            <v>0</v>
          </cell>
          <cell r="X3570">
            <v>0</v>
          </cell>
          <cell r="Z3570">
            <v>0</v>
          </cell>
          <cell r="AA3570">
            <v>0</v>
          </cell>
          <cell r="AC3570">
            <v>0</v>
          </cell>
          <cell r="AD3570">
            <v>0</v>
          </cell>
          <cell r="AF3570">
            <v>0</v>
          </cell>
          <cell r="AG3570">
            <v>0</v>
          </cell>
          <cell r="AI3570">
            <v>0</v>
          </cell>
          <cell r="AJ3570">
            <v>0</v>
          </cell>
          <cell r="AL3570">
            <v>0</v>
          </cell>
          <cell r="AM3570">
            <v>0</v>
          </cell>
          <cell r="AO3570">
            <v>0</v>
          </cell>
          <cell r="AP3570">
            <v>0</v>
          </cell>
          <cell r="AR3570">
            <v>0</v>
          </cell>
          <cell r="AS3570">
            <v>0</v>
          </cell>
          <cell r="BF3570" t="str">
            <v>4942</v>
          </cell>
          <cell r="BG3570" t="str">
            <v>Z000</v>
          </cell>
          <cell r="BH3570" t="str">
            <v>INV</v>
          </cell>
        </row>
        <row r="3571">
          <cell r="K3571">
            <v>0</v>
          </cell>
          <cell r="L3571">
            <v>0</v>
          </cell>
          <cell r="N3571">
            <v>0</v>
          </cell>
          <cell r="O3571">
            <v>0</v>
          </cell>
          <cell r="Q3571">
            <v>0</v>
          </cell>
          <cell r="R3571">
            <v>0</v>
          </cell>
          <cell r="T3571">
            <v>0</v>
          </cell>
          <cell r="U3571">
            <v>0</v>
          </cell>
          <cell r="W3571">
            <v>0</v>
          </cell>
          <cell r="X3571">
            <v>0</v>
          </cell>
          <cell r="Z3571">
            <v>0</v>
          </cell>
          <cell r="AA3571">
            <v>0</v>
          </cell>
          <cell r="AC3571">
            <v>0</v>
          </cell>
          <cell r="AD3571">
            <v>0</v>
          </cell>
          <cell r="AF3571">
            <v>0</v>
          </cell>
          <cell r="AG3571">
            <v>0</v>
          </cell>
          <cell r="AI3571">
            <v>0</v>
          </cell>
          <cell r="AJ3571">
            <v>0</v>
          </cell>
          <cell r="AL3571">
            <v>0</v>
          </cell>
          <cell r="AM3571">
            <v>0</v>
          </cell>
          <cell r="AO3571">
            <v>0</v>
          </cell>
          <cell r="AP3571">
            <v>0</v>
          </cell>
          <cell r="AR3571">
            <v>0</v>
          </cell>
          <cell r="AS3571">
            <v>0</v>
          </cell>
          <cell r="BF3571" t="str">
            <v>4950</v>
          </cell>
          <cell r="BG3571" t="str">
            <v>Z000</v>
          </cell>
          <cell r="BH3571" t="str">
            <v>INV</v>
          </cell>
        </row>
        <row r="3572">
          <cell r="K3572">
            <v>0</v>
          </cell>
          <cell r="L3572">
            <v>0</v>
          </cell>
          <cell r="N3572">
            <v>0</v>
          </cell>
          <cell r="O3572">
            <v>0</v>
          </cell>
          <cell r="Q3572">
            <v>0</v>
          </cell>
          <cell r="R3572">
            <v>0</v>
          </cell>
          <cell r="T3572">
            <v>0</v>
          </cell>
          <cell r="U3572">
            <v>0</v>
          </cell>
          <cell r="W3572">
            <v>0</v>
          </cell>
          <cell r="X3572">
            <v>0</v>
          </cell>
          <cell r="Z3572">
            <v>0</v>
          </cell>
          <cell r="AA3572">
            <v>0</v>
          </cell>
          <cell r="AC3572">
            <v>10000</v>
          </cell>
          <cell r="AD3572">
            <v>0</v>
          </cell>
          <cell r="AF3572">
            <v>0</v>
          </cell>
          <cell r="AG3572">
            <v>0</v>
          </cell>
          <cell r="AI3572">
            <v>0</v>
          </cell>
          <cell r="AJ3572">
            <v>0</v>
          </cell>
          <cell r="AL3572">
            <v>0</v>
          </cell>
          <cell r="AM3572">
            <v>0</v>
          </cell>
          <cell r="AO3572">
            <v>0</v>
          </cell>
          <cell r="AP3572">
            <v>0</v>
          </cell>
          <cell r="AR3572">
            <v>0</v>
          </cell>
          <cell r="AS3572">
            <v>0</v>
          </cell>
          <cell r="BF3572" t="str">
            <v>5100</v>
          </cell>
          <cell r="BG3572" t="str">
            <v>E001</v>
          </cell>
          <cell r="BH3572" t="str">
            <v>INV</v>
          </cell>
        </row>
        <row r="3573">
          <cell r="K3573">
            <v>0</v>
          </cell>
          <cell r="L3573">
            <v>0</v>
          </cell>
          <cell r="N3573">
            <v>0</v>
          </cell>
          <cell r="O3573">
            <v>0</v>
          </cell>
          <cell r="Q3573">
            <v>0</v>
          </cell>
          <cell r="R3573">
            <v>0</v>
          </cell>
          <cell r="T3573">
            <v>0</v>
          </cell>
          <cell r="U3573">
            <v>0</v>
          </cell>
          <cell r="W3573">
            <v>0</v>
          </cell>
          <cell r="X3573">
            <v>0</v>
          </cell>
          <cell r="Z3573">
            <v>0</v>
          </cell>
          <cell r="AA3573">
            <v>0</v>
          </cell>
          <cell r="AC3573">
            <v>0</v>
          </cell>
          <cell r="AD3573">
            <v>0</v>
          </cell>
          <cell r="AF3573">
            <v>0</v>
          </cell>
          <cell r="AG3573">
            <v>0</v>
          </cell>
          <cell r="AI3573">
            <v>0</v>
          </cell>
          <cell r="AJ3573">
            <v>0</v>
          </cell>
          <cell r="AL3573">
            <v>0</v>
          </cell>
          <cell r="AM3573">
            <v>0</v>
          </cell>
          <cell r="AO3573">
            <v>0</v>
          </cell>
          <cell r="AP3573">
            <v>0</v>
          </cell>
          <cell r="AR3573">
            <v>0</v>
          </cell>
          <cell r="AS3573">
            <v>0</v>
          </cell>
          <cell r="BF3573" t="str">
            <v>5100</v>
          </cell>
          <cell r="BG3573" t="str">
            <v>E002</v>
          </cell>
          <cell r="BH3573" t="str">
            <v>INV</v>
          </cell>
        </row>
        <row r="3574">
          <cell r="K3574">
            <v>0</v>
          </cell>
          <cell r="L3574">
            <v>0</v>
          </cell>
          <cell r="N3574">
            <v>0</v>
          </cell>
          <cell r="O3574">
            <v>0</v>
          </cell>
          <cell r="Q3574">
            <v>0</v>
          </cell>
          <cell r="R3574">
            <v>0</v>
          </cell>
          <cell r="T3574">
            <v>0</v>
          </cell>
          <cell r="U3574">
            <v>0</v>
          </cell>
          <cell r="W3574">
            <v>0</v>
          </cell>
          <cell r="X3574">
            <v>0</v>
          </cell>
          <cell r="Z3574">
            <v>0</v>
          </cell>
          <cell r="AA3574">
            <v>0</v>
          </cell>
          <cell r="AC3574">
            <v>0</v>
          </cell>
          <cell r="AD3574">
            <v>0</v>
          </cell>
          <cell r="AF3574">
            <v>0</v>
          </cell>
          <cell r="AG3574">
            <v>0</v>
          </cell>
          <cell r="AI3574">
            <v>0</v>
          </cell>
          <cell r="AJ3574">
            <v>0</v>
          </cell>
          <cell r="AL3574">
            <v>0</v>
          </cell>
          <cell r="AM3574">
            <v>0</v>
          </cell>
          <cell r="AO3574">
            <v>0</v>
          </cell>
          <cell r="AP3574">
            <v>0</v>
          </cell>
          <cell r="AR3574">
            <v>0</v>
          </cell>
          <cell r="AS3574">
            <v>0</v>
          </cell>
          <cell r="BF3574" t="str">
            <v>5200</v>
          </cell>
          <cell r="BG3574" t="str">
            <v>Z000</v>
          </cell>
          <cell r="BH3574" t="str">
            <v>INV</v>
          </cell>
        </row>
        <row r="3575">
          <cell r="K3575">
            <v>0</v>
          </cell>
          <cell r="L3575">
            <v>0</v>
          </cell>
          <cell r="N3575">
            <v>0</v>
          </cell>
          <cell r="O3575">
            <v>0</v>
          </cell>
          <cell r="Q3575">
            <v>0</v>
          </cell>
          <cell r="R3575">
            <v>0</v>
          </cell>
          <cell r="T3575">
            <v>0</v>
          </cell>
          <cell r="U3575">
            <v>0</v>
          </cell>
          <cell r="W3575">
            <v>0</v>
          </cell>
          <cell r="X3575">
            <v>0</v>
          </cell>
          <cell r="Z3575">
            <v>0</v>
          </cell>
          <cell r="AA3575">
            <v>0</v>
          </cell>
          <cell r="AC3575">
            <v>0</v>
          </cell>
          <cell r="AD3575">
            <v>0</v>
          </cell>
          <cell r="AF3575">
            <v>0</v>
          </cell>
          <cell r="AG3575">
            <v>0</v>
          </cell>
          <cell r="AI3575">
            <v>0</v>
          </cell>
          <cell r="AJ3575">
            <v>0</v>
          </cell>
          <cell r="AL3575">
            <v>0</v>
          </cell>
          <cell r="AM3575">
            <v>0</v>
          </cell>
          <cell r="AO3575">
            <v>0</v>
          </cell>
          <cell r="AP3575">
            <v>0</v>
          </cell>
          <cell r="AR3575">
            <v>0</v>
          </cell>
          <cell r="AS3575">
            <v>0</v>
          </cell>
          <cell r="BF3575" t="str">
            <v>5400</v>
          </cell>
          <cell r="BG3575" t="str">
            <v>F001</v>
          </cell>
          <cell r="BH3575" t="str">
            <v>INV</v>
          </cell>
        </row>
        <row r="3576">
          <cell r="K3576">
            <v>0</v>
          </cell>
          <cell r="L3576">
            <v>0</v>
          </cell>
          <cell r="N3576">
            <v>0</v>
          </cell>
          <cell r="O3576">
            <v>0</v>
          </cell>
          <cell r="Q3576">
            <v>0</v>
          </cell>
          <cell r="R3576">
            <v>0</v>
          </cell>
          <cell r="T3576">
            <v>0</v>
          </cell>
          <cell r="U3576">
            <v>0</v>
          </cell>
          <cell r="W3576">
            <v>0</v>
          </cell>
          <cell r="X3576">
            <v>0</v>
          </cell>
          <cell r="Z3576">
            <v>0</v>
          </cell>
          <cell r="AA3576">
            <v>0</v>
          </cell>
          <cell r="AC3576">
            <v>0</v>
          </cell>
          <cell r="AD3576">
            <v>0</v>
          </cell>
          <cell r="AF3576">
            <v>0</v>
          </cell>
          <cell r="AG3576">
            <v>0</v>
          </cell>
          <cell r="AI3576">
            <v>0</v>
          </cell>
          <cell r="AJ3576">
            <v>0</v>
          </cell>
          <cell r="AL3576">
            <v>0</v>
          </cell>
          <cell r="AM3576">
            <v>0</v>
          </cell>
          <cell r="AO3576">
            <v>0</v>
          </cell>
          <cell r="AP3576">
            <v>0</v>
          </cell>
          <cell r="AR3576">
            <v>0</v>
          </cell>
          <cell r="AS3576">
            <v>0</v>
          </cell>
          <cell r="BF3576" t="str">
            <v>5400</v>
          </cell>
          <cell r="BG3576" t="str">
            <v>F002</v>
          </cell>
          <cell r="BH3576" t="str">
            <v>INV</v>
          </cell>
        </row>
        <row r="3577">
          <cell r="K3577">
            <v>0</v>
          </cell>
          <cell r="L3577">
            <v>0</v>
          </cell>
          <cell r="N3577">
            <v>0</v>
          </cell>
          <cell r="O3577">
            <v>0</v>
          </cell>
          <cell r="Q3577">
            <v>0</v>
          </cell>
          <cell r="R3577">
            <v>0</v>
          </cell>
          <cell r="T3577">
            <v>0</v>
          </cell>
          <cell r="U3577">
            <v>0</v>
          </cell>
          <cell r="W3577">
            <v>0</v>
          </cell>
          <cell r="X3577">
            <v>0</v>
          </cell>
          <cell r="Z3577">
            <v>0</v>
          </cell>
          <cell r="AA3577">
            <v>0</v>
          </cell>
          <cell r="AC3577">
            <v>0</v>
          </cell>
          <cell r="AD3577">
            <v>0</v>
          </cell>
          <cell r="AF3577">
            <v>0</v>
          </cell>
          <cell r="AG3577">
            <v>0</v>
          </cell>
          <cell r="AI3577">
            <v>0</v>
          </cell>
          <cell r="AJ3577">
            <v>0</v>
          </cell>
          <cell r="AL3577">
            <v>0</v>
          </cell>
          <cell r="AM3577">
            <v>0</v>
          </cell>
          <cell r="AO3577">
            <v>0</v>
          </cell>
          <cell r="AP3577">
            <v>0</v>
          </cell>
          <cell r="AR3577">
            <v>0</v>
          </cell>
          <cell r="AS3577">
            <v>0</v>
          </cell>
          <cell r="BF3577" t="str">
            <v>5400</v>
          </cell>
          <cell r="BG3577" t="str">
            <v>F003</v>
          </cell>
          <cell r="BH3577" t="str">
            <v>INV</v>
          </cell>
        </row>
        <row r="3578">
          <cell r="K3578">
            <v>0</v>
          </cell>
          <cell r="L3578">
            <v>0</v>
          </cell>
          <cell r="N3578">
            <v>0</v>
          </cell>
          <cell r="O3578">
            <v>0</v>
          </cell>
          <cell r="Q3578">
            <v>0</v>
          </cell>
          <cell r="R3578">
            <v>0</v>
          </cell>
          <cell r="T3578">
            <v>0</v>
          </cell>
          <cell r="U3578">
            <v>0</v>
          </cell>
          <cell r="W3578">
            <v>0</v>
          </cell>
          <cell r="X3578">
            <v>0</v>
          </cell>
          <cell r="Z3578">
            <v>0</v>
          </cell>
          <cell r="AA3578">
            <v>0</v>
          </cell>
          <cell r="AC3578">
            <v>0</v>
          </cell>
          <cell r="AD3578">
            <v>0</v>
          </cell>
          <cell r="AF3578">
            <v>0</v>
          </cell>
          <cell r="AG3578">
            <v>0</v>
          </cell>
          <cell r="AI3578">
            <v>0</v>
          </cell>
          <cell r="AJ3578">
            <v>0</v>
          </cell>
          <cell r="AL3578">
            <v>0</v>
          </cell>
          <cell r="AM3578">
            <v>0</v>
          </cell>
          <cell r="AO3578">
            <v>0</v>
          </cell>
          <cell r="AP3578">
            <v>0</v>
          </cell>
          <cell r="AR3578">
            <v>0</v>
          </cell>
          <cell r="AS3578">
            <v>0</v>
          </cell>
          <cell r="BF3578" t="str">
            <v>5400</v>
          </cell>
          <cell r="BG3578" t="str">
            <v>F004</v>
          </cell>
          <cell r="BH3578" t="str">
            <v>INV</v>
          </cell>
        </row>
        <row r="3579">
          <cell r="K3579">
            <v>0</v>
          </cell>
          <cell r="L3579">
            <v>0</v>
          </cell>
          <cell r="N3579">
            <v>0</v>
          </cell>
          <cell r="O3579">
            <v>0</v>
          </cell>
          <cell r="Q3579">
            <v>0</v>
          </cell>
          <cell r="R3579">
            <v>0</v>
          </cell>
          <cell r="T3579">
            <v>0</v>
          </cell>
          <cell r="U3579">
            <v>0</v>
          </cell>
          <cell r="W3579">
            <v>0</v>
          </cell>
          <cell r="X3579">
            <v>0</v>
          </cell>
          <cell r="Z3579">
            <v>0</v>
          </cell>
          <cell r="AA3579">
            <v>0</v>
          </cell>
          <cell r="AC3579">
            <v>0</v>
          </cell>
          <cell r="AD3579">
            <v>0</v>
          </cell>
          <cell r="AF3579">
            <v>0</v>
          </cell>
          <cell r="AG3579">
            <v>0</v>
          </cell>
          <cell r="AI3579">
            <v>0</v>
          </cell>
          <cell r="AJ3579">
            <v>0</v>
          </cell>
          <cell r="AL3579">
            <v>0</v>
          </cell>
          <cell r="AM3579">
            <v>0</v>
          </cell>
          <cell r="AO3579">
            <v>0</v>
          </cell>
          <cell r="AP3579">
            <v>0</v>
          </cell>
          <cell r="AR3579">
            <v>0</v>
          </cell>
          <cell r="AS3579">
            <v>0</v>
          </cell>
          <cell r="BF3579" t="str">
            <v>5400</v>
          </cell>
          <cell r="BG3579" t="str">
            <v>F005</v>
          </cell>
          <cell r="BH3579" t="str">
            <v>INV</v>
          </cell>
        </row>
        <row r="3580">
          <cell r="K3580">
            <v>0</v>
          </cell>
          <cell r="L3580">
            <v>0</v>
          </cell>
          <cell r="N3580">
            <v>0</v>
          </cell>
          <cell r="O3580">
            <v>0</v>
          </cell>
          <cell r="Q3580">
            <v>0</v>
          </cell>
          <cell r="R3580">
            <v>0</v>
          </cell>
          <cell r="T3580">
            <v>0</v>
          </cell>
          <cell r="U3580">
            <v>0</v>
          </cell>
          <cell r="W3580">
            <v>0</v>
          </cell>
          <cell r="X3580">
            <v>0</v>
          </cell>
          <cell r="Z3580">
            <v>0</v>
          </cell>
          <cell r="AA3580">
            <v>0</v>
          </cell>
          <cell r="AC3580">
            <v>0</v>
          </cell>
          <cell r="AD3580">
            <v>0</v>
          </cell>
          <cell r="AF3580">
            <v>0</v>
          </cell>
          <cell r="AG3580">
            <v>0</v>
          </cell>
          <cell r="AI3580">
            <v>0</v>
          </cell>
          <cell r="AJ3580">
            <v>0</v>
          </cell>
          <cell r="AL3580">
            <v>0</v>
          </cell>
          <cell r="AM3580">
            <v>0</v>
          </cell>
          <cell r="AO3580">
            <v>0</v>
          </cell>
          <cell r="AP3580">
            <v>0</v>
          </cell>
          <cell r="AR3580">
            <v>0</v>
          </cell>
          <cell r="AS3580">
            <v>0</v>
          </cell>
          <cell r="BF3580" t="str">
            <v>5400</v>
          </cell>
          <cell r="BG3580" t="str">
            <v>F006</v>
          </cell>
          <cell r="BH3580" t="str">
            <v>INV</v>
          </cell>
        </row>
        <row r="3581">
          <cell r="K3581">
            <v>0</v>
          </cell>
          <cell r="L3581">
            <v>0</v>
          </cell>
          <cell r="N3581">
            <v>0</v>
          </cell>
          <cell r="O3581">
            <v>0</v>
          </cell>
          <cell r="Q3581">
            <v>0</v>
          </cell>
          <cell r="R3581">
            <v>0</v>
          </cell>
          <cell r="T3581">
            <v>0</v>
          </cell>
          <cell r="U3581">
            <v>0</v>
          </cell>
          <cell r="W3581">
            <v>0</v>
          </cell>
          <cell r="X3581">
            <v>0</v>
          </cell>
          <cell r="Z3581">
            <v>0</v>
          </cell>
          <cell r="AA3581">
            <v>0</v>
          </cell>
          <cell r="AC3581">
            <v>0</v>
          </cell>
          <cell r="AD3581">
            <v>0</v>
          </cell>
          <cell r="AF3581">
            <v>0</v>
          </cell>
          <cell r="AG3581">
            <v>0</v>
          </cell>
          <cell r="AI3581">
            <v>0</v>
          </cell>
          <cell r="AJ3581">
            <v>0</v>
          </cell>
          <cell r="AL3581">
            <v>0</v>
          </cell>
          <cell r="AM3581">
            <v>0</v>
          </cell>
          <cell r="AO3581">
            <v>0</v>
          </cell>
          <cell r="AP3581">
            <v>0</v>
          </cell>
          <cell r="AR3581">
            <v>0</v>
          </cell>
          <cell r="AS3581">
            <v>0</v>
          </cell>
          <cell r="BF3581" t="str">
            <v>5400</v>
          </cell>
          <cell r="BG3581" t="str">
            <v>F007</v>
          </cell>
          <cell r="BH3581" t="str">
            <v>INV</v>
          </cell>
        </row>
        <row r="3582">
          <cell r="K3582">
            <v>0</v>
          </cell>
          <cell r="L3582">
            <v>0</v>
          </cell>
          <cell r="N3582">
            <v>0</v>
          </cell>
          <cell r="O3582">
            <v>0</v>
          </cell>
          <cell r="Q3582">
            <v>0</v>
          </cell>
          <cell r="R3582">
            <v>0</v>
          </cell>
          <cell r="T3582">
            <v>0</v>
          </cell>
          <cell r="U3582">
            <v>0</v>
          </cell>
          <cell r="W3582">
            <v>0</v>
          </cell>
          <cell r="X3582">
            <v>0</v>
          </cell>
          <cell r="Z3582">
            <v>0</v>
          </cell>
          <cell r="AA3582">
            <v>0</v>
          </cell>
          <cell r="AC3582">
            <v>0</v>
          </cell>
          <cell r="AD3582">
            <v>0</v>
          </cell>
          <cell r="AF3582">
            <v>0</v>
          </cell>
          <cell r="AG3582">
            <v>0</v>
          </cell>
          <cell r="AI3582">
            <v>0</v>
          </cell>
          <cell r="AJ3582">
            <v>0</v>
          </cell>
          <cell r="AL3582">
            <v>0</v>
          </cell>
          <cell r="AM3582">
            <v>0</v>
          </cell>
          <cell r="AO3582">
            <v>0</v>
          </cell>
          <cell r="AP3582">
            <v>0</v>
          </cell>
          <cell r="AR3582">
            <v>0</v>
          </cell>
          <cell r="AS3582">
            <v>0</v>
          </cell>
          <cell r="BF3582" t="str">
            <v>5400</v>
          </cell>
          <cell r="BG3582" t="str">
            <v>F008</v>
          </cell>
          <cell r="BH3582" t="str">
            <v>INV</v>
          </cell>
        </row>
        <row r="3583">
          <cell r="K3583">
            <v>0</v>
          </cell>
          <cell r="L3583">
            <v>0</v>
          </cell>
          <cell r="N3583">
            <v>0</v>
          </cell>
          <cell r="O3583">
            <v>0</v>
          </cell>
          <cell r="Q3583">
            <v>0</v>
          </cell>
          <cell r="R3583">
            <v>0</v>
          </cell>
          <cell r="T3583">
            <v>0</v>
          </cell>
          <cell r="U3583">
            <v>0</v>
          </cell>
          <cell r="W3583">
            <v>0</v>
          </cell>
          <cell r="X3583">
            <v>0</v>
          </cell>
          <cell r="Z3583">
            <v>0</v>
          </cell>
          <cell r="AA3583">
            <v>0</v>
          </cell>
          <cell r="AC3583">
            <v>0</v>
          </cell>
          <cell r="AD3583">
            <v>0</v>
          </cell>
          <cell r="AF3583">
            <v>0</v>
          </cell>
          <cell r="AG3583">
            <v>0</v>
          </cell>
          <cell r="AI3583">
            <v>0</v>
          </cell>
          <cell r="AJ3583">
            <v>0</v>
          </cell>
          <cell r="AL3583">
            <v>0</v>
          </cell>
          <cell r="AM3583">
            <v>0</v>
          </cell>
          <cell r="AO3583">
            <v>0</v>
          </cell>
          <cell r="AP3583">
            <v>0</v>
          </cell>
          <cell r="AR3583">
            <v>0</v>
          </cell>
          <cell r="AS3583">
            <v>0</v>
          </cell>
          <cell r="BF3583" t="str">
            <v>5400</v>
          </cell>
          <cell r="BG3583" t="str">
            <v>F009</v>
          </cell>
          <cell r="BH3583" t="str">
            <v>INV</v>
          </cell>
        </row>
        <row r="3584">
          <cell r="K3584">
            <v>0</v>
          </cell>
          <cell r="L3584">
            <v>0</v>
          </cell>
          <cell r="N3584">
            <v>0</v>
          </cell>
          <cell r="O3584">
            <v>0</v>
          </cell>
          <cell r="Q3584">
            <v>0</v>
          </cell>
          <cell r="R3584">
            <v>0</v>
          </cell>
          <cell r="T3584">
            <v>0</v>
          </cell>
          <cell r="U3584">
            <v>0</v>
          </cell>
          <cell r="W3584">
            <v>0</v>
          </cell>
          <cell r="X3584">
            <v>0</v>
          </cell>
          <cell r="Z3584">
            <v>0</v>
          </cell>
          <cell r="AA3584">
            <v>0</v>
          </cell>
          <cell r="AC3584">
            <v>0</v>
          </cell>
          <cell r="AD3584">
            <v>0</v>
          </cell>
          <cell r="AF3584">
            <v>0</v>
          </cell>
          <cell r="AG3584">
            <v>0</v>
          </cell>
          <cell r="AI3584">
            <v>0</v>
          </cell>
          <cell r="AJ3584">
            <v>0</v>
          </cell>
          <cell r="AL3584">
            <v>0</v>
          </cell>
          <cell r="AM3584">
            <v>0</v>
          </cell>
          <cell r="AO3584">
            <v>0</v>
          </cell>
          <cell r="AP3584">
            <v>0</v>
          </cell>
          <cell r="AR3584">
            <v>0</v>
          </cell>
          <cell r="AS3584">
            <v>0</v>
          </cell>
          <cell r="BF3584" t="str">
            <v>5400</v>
          </cell>
          <cell r="BG3584" t="str">
            <v>F010</v>
          </cell>
          <cell r="BH3584" t="str">
            <v>INV</v>
          </cell>
        </row>
        <row r="3585">
          <cell r="K3585">
            <v>0</v>
          </cell>
          <cell r="L3585">
            <v>0</v>
          </cell>
          <cell r="N3585">
            <v>0</v>
          </cell>
          <cell r="O3585">
            <v>0</v>
          </cell>
          <cell r="Q3585">
            <v>0</v>
          </cell>
          <cell r="R3585">
            <v>0</v>
          </cell>
          <cell r="T3585">
            <v>0</v>
          </cell>
          <cell r="U3585">
            <v>0</v>
          </cell>
          <cell r="W3585">
            <v>0</v>
          </cell>
          <cell r="X3585">
            <v>0</v>
          </cell>
          <cell r="Z3585">
            <v>0</v>
          </cell>
          <cell r="AA3585">
            <v>0</v>
          </cell>
          <cell r="AC3585">
            <v>0</v>
          </cell>
          <cell r="AD3585">
            <v>0</v>
          </cell>
          <cell r="AF3585">
            <v>0</v>
          </cell>
          <cell r="AG3585">
            <v>0</v>
          </cell>
          <cell r="AI3585">
            <v>0</v>
          </cell>
          <cell r="AJ3585">
            <v>0</v>
          </cell>
          <cell r="AL3585">
            <v>0</v>
          </cell>
          <cell r="AM3585">
            <v>0</v>
          </cell>
          <cell r="AO3585">
            <v>0</v>
          </cell>
          <cell r="AP3585">
            <v>0</v>
          </cell>
          <cell r="AR3585">
            <v>0</v>
          </cell>
          <cell r="AS3585">
            <v>0</v>
          </cell>
          <cell r="BF3585" t="str">
            <v>5400</v>
          </cell>
          <cell r="BG3585" t="str">
            <v>F011</v>
          </cell>
          <cell r="BH3585" t="str">
            <v>INV</v>
          </cell>
        </row>
        <row r="3586">
          <cell r="K3586">
            <v>0</v>
          </cell>
          <cell r="L3586">
            <v>0</v>
          </cell>
          <cell r="N3586">
            <v>0</v>
          </cell>
          <cell r="O3586">
            <v>0</v>
          </cell>
          <cell r="Q3586">
            <v>0</v>
          </cell>
          <cell r="R3586">
            <v>0</v>
          </cell>
          <cell r="T3586">
            <v>0</v>
          </cell>
          <cell r="U3586">
            <v>0</v>
          </cell>
          <cell r="W3586">
            <v>0</v>
          </cell>
          <cell r="X3586">
            <v>0</v>
          </cell>
          <cell r="Z3586">
            <v>0</v>
          </cell>
          <cell r="AA3586">
            <v>0</v>
          </cell>
          <cell r="AC3586">
            <v>0</v>
          </cell>
          <cell r="AD3586">
            <v>0</v>
          </cell>
          <cell r="AF3586">
            <v>0</v>
          </cell>
          <cell r="AG3586">
            <v>0</v>
          </cell>
          <cell r="AI3586">
            <v>0</v>
          </cell>
          <cell r="AJ3586">
            <v>0</v>
          </cell>
          <cell r="AL3586">
            <v>0</v>
          </cell>
          <cell r="AM3586">
            <v>0</v>
          </cell>
          <cell r="AO3586">
            <v>0</v>
          </cell>
          <cell r="AP3586">
            <v>0</v>
          </cell>
          <cell r="AR3586">
            <v>0</v>
          </cell>
          <cell r="AS3586">
            <v>0</v>
          </cell>
          <cell r="BF3586" t="str">
            <v>5400</v>
          </cell>
          <cell r="BG3586" t="str">
            <v>F012</v>
          </cell>
          <cell r="BH3586" t="str">
            <v>INV</v>
          </cell>
        </row>
        <row r="3587">
          <cell r="K3587">
            <v>0</v>
          </cell>
          <cell r="L3587">
            <v>0</v>
          </cell>
          <cell r="N3587">
            <v>0</v>
          </cell>
          <cell r="O3587">
            <v>0</v>
          </cell>
          <cell r="Q3587">
            <v>0</v>
          </cell>
          <cell r="R3587">
            <v>0</v>
          </cell>
          <cell r="T3587">
            <v>0</v>
          </cell>
          <cell r="U3587">
            <v>0</v>
          </cell>
          <cell r="W3587">
            <v>0</v>
          </cell>
          <cell r="X3587">
            <v>0</v>
          </cell>
          <cell r="Z3587">
            <v>0</v>
          </cell>
          <cell r="AA3587">
            <v>0</v>
          </cell>
          <cell r="AC3587">
            <v>0</v>
          </cell>
          <cell r="AD3587">
            <v>0</v>
          </cell>
          <cell r="AF3587">
            <v>0</v>
          </cell>
          <cell r="AG3587">
            <v>0</v>
          </cell>
          <cell r="AI3587">
            <v>0</v>
          </cell>
          <cell r="AJ3587">
            <v>0</v>
          </cell>
          <cell r="AL3587">
            <v>0</v>
          </cell>
          <cell r="AM3587">
            <v>0</v>
          </cell>
          <cell r="AO3587">
            <v>0</v>
          </cell>
          <cell r="AP3587">
            <v>0</v>
          </cell>
          <cell r="AR3587">
            <v>0</v>
          </cell>
          <cell r="AS3587">
            <v>0</v>
          </cell>
          <cell r="BF3587" t="str">
            <v>5400</v>
          </cell>
          <cell r="BG3587" t="str">
            <v>F013</v>
          </cell>
          <cell r="BH3587" t="str">
            <v>INV</v>
          </cell>
        </row>
        <row r="3588">
          <cell r="K3588">
            <v>0</v>
          </cell>
          <cell r="L3588">
            <v>0</v>
          </cell>
          <cell r="N3588">
            <v>0</v>
          </cell>
          <cell r="O3588">
            <v>0</v>
          </cell>
          <cell r="Q3588">
            <v>0</v>
          </cell>
          <cell r="R3588">
            <v>0</v>
          </cell>
          <cell r="T3588">
            <v>0</v>
          </cell>
          <cell r="U3588">
            <v>0</v>
          </cell>
          <cell r="W3588">
            <v>0</v>
          </cell>
          <cell r="X3588">
            <v>0</v>
          </cell>
          <cell r="Z3588">
            <v>0</v>
          </cell>
          <cell r="AA3588">
            <v>0</v>
          </cell>
          <cell r="AC3588">
            <v>0</v>
          </cell>
          <cell r="AD3588">
            <v>0</v>
          </cell>
          <cell r="AF3588">
            <v>0</v>
          </cell>
          <cell r="AG3588">
            <v>0</v>
          </cell>
          <cell r="AI3588">
            <v>0</v>
          </cell>
          <cell r="AJ3588">
            <v>0</v>
          </cell>
          <cell r="AL3588">
            <v>0</v>
          </cell>
          <cell r="AM3588">
            <v>0</v>
          </cell>
          <cell r="AO3588">
            <v>0</v>
          </cell>
          <cell r="AP3588">
            <v>0</v>
          </cell>
          <cell r="AR3588">
            <v>0</v>
          </cell>
          <cell r="AS3588">
            <v>0</v>
          </cell>
          <cell r="BF3588" t="str">
            <v>5400</v>
          </cell>
          <cell r="BG3588" t="str">
            <v>F014</v>
          </cell>
          <cell r="BH3588" t="str">
            <v>INV</v>
          </cell>
        </row>
        <row r="3589">
          <cell r="K3589">
            <v>0</v>
          </cell>
          <cell r="L3589">
            <v>0</v>
          </cell>
          <cell r="N3589">
            <v>0</v>
          </cell>
          <cell r="O3589">
            <v>0</v>
          </cell>
          <cell r="Q3589">
            <v>0</v>
          </cell>
          <cell r="R3589">
            <v>0</v>
          </cell>
          <cell r="T3589">
            <v>0</v>
          </cell>
          <cell r="U3589">
            <v>0</v>
          </cell>
          <cell r="W3589">
            <v>0</v>
          </cell>
          <cell r="X3589">
            <v>0</v>
          </cell>
          <cell r="Z3589">
            <v>0</v>
          </cell>
          <cell r="AA3589">
            <v>0</v>
          </cell>
          <cell r="AC3589">
            <v>0</v>
          </cell>
          <cell r="AD3589">
            <v>0</v>
          </cell>
          <cell r="AF3589">
            <v>0</v>
          </cell>
          <cell r="AG3589">
            <v>0</v>
          </cell>
          <cell r="AI3589">
            <v>0</v>
          </cell>
          <cell r="AJ3589">
            <v>0</v>
          </cell>
          <cell r="AL3589">
            <v>55500</v>
          </cell>
          <cell r="AM3589">
            <v>0</v>
          </cell>
          <cell r="AO3589">
            <v>447.87000000000262</v>
          </cell>
          <cell r="AP3589">
            <v>0</v>
          </cell>
          <cell r="AR3589">
            <v>-100.54000000000087</v>
          </cell>
          <cell r="AS3589">
            <v>0</v>
          </cell>
          <cell r="BF3589" t="str">
            <v>5400</v>
          </cell>
          <cell r="BG3589" t="str">
            <v>F015</v>
          </cell>
          <cell r="BH3589" t="str">
            <v>INV</v>
          </cell>
        </row>
        <row r="3590">
          <cell r="K3590">
            <v>0</v>
          </cell>
          <cell r="L3590">
            <v>0</v>
          </cell>
          <cell r="N3590">
            <v>0</v>
          </cell>
          <cell r="O3590">
            <v>0</v>
          </cell>
          <cell r="Q3590">
            <v>0</v>
          </cell>
          <cell r="R3590">
            <v>0</v>
          </cell>
          <cell r="T3590">
            <v>0</v>
          </cell>
          <cell r="U3590">
            <v>0</v>
          </cell>
          <cell r="W3590">
            <v>0</v>
          </cell>
          <cell r="X3590">
            <v>0</v>
          </cell>
          <cell r="Z3590">
            <v>0</v>
          </cell>
          <cell r="AA3590">
            <v>0</v>
          </cell>
          <cell r="AC3590">
            <v>0</v>
          </cell>
          <cell r="AD3590">
            <v>0</v>
          </cell>
          <cell r="AF3590">
            <v>0</v>
          </cell>
          <cell r="AG3590">
            <v>0</v>
          </cell>
          <cell r="AI3590">
            <v>0</v>
          </cell>
          <cell r="AJ3590">
            <v>0</v>
          </cell>
          <cell r="AL3590">
            <v>0</v>
          </cell>
          <cell r="AM3590">
            <v>0</v>
          </cell>
          <cell r="AO3590">
            <v>0</v>
          </cell>
          <cell r="AP3590">
            <v>0</v>
          </cell>
          <cell r="AR3590">
            <v>0</v>
          </cell>
          <cell r="AS3590">
            <v>0</v>
          </cell>
          <cell r="BF3590" t="str">
            <v>5400</v>
          </cell>
          <cell r="BG3590" t="str">
            <v>F016</v>
          </cell>
          <cell r="BH3590" t="str">
            <v>INV</v>
          </cell>
        </row>
        <row r="3591">
          <cell r="K3591">
            <v>0</v>
          </cell>
          <cell r="L3591">
            <v>0</v>
          </cell>
          <cell r="N3591">
            <v>0</v>
          </cell>
          <cell r="O3591">
            <v>0</v>
          </cell>
          <cell r="Q3591">
            <v>0</v>
          </cell>
          <cell r="R3591">
            <v>0</v>
          </cell>
          <cell r="T3591">
            <v>0</v>
          </cell>
          <cell r="U3591">
            <v>0</v>
          </cell>
          <cell r="W3591">
            <v>0</v>
          </cell>
          <cell r="X3591">
            <v>0</v>
          </cell>
          <cell r="Z3591">
            <v>0</v>
          </cell>
          <cell r="AA3591">
            <v>0</v>
          </cell>
          <cell r="AC3591">
            <v>0</v>
          </cell>
          <cell r="AD3591">
            <v>0</v>
          </cell>
          <cell r="AF3591">
            <v>0</v>
          </cell>
          <cell r="AG3591">
            <v>0</v>
          </cell>
          <cell r="AI3591">
            <v>0</v>
          </cell>
          <cell r="AJ3591">
            <v>0</v>
          </cell>
          <cell r="AL3591">
            <v>0</v>
          </cell>
          <cell r="AM3591">
            <v>0</v>
          </cell>
          <cell r="AO3591">
            <v>0</v>
          </cell>
          <cell r="AP3591">
            <v>0</v>
          </cell>
          <cell r="AR3591">
            <v>0</v>
          </cell>
          <cell r="AS3591">
            <v>0</v>
          </cell>
          <cell r="BF3591" t="str">
            <v>5400</v>
          </cell>
          <cell r="BG3591" t="str">
            <v>F017</v>
          </cell>
          <cell r="BH3591" t="str">
            <v>INV</v>
          </cell>
        </row>
        <row r="3592">
          <cell r="K3592">
            <v>0</v>
          </cell>
          <cell r="L3592">
            <v>0</v>
          </cell>
          <cell r="N3592">
            <v>0</v>
          </cell>
          <cell r="O3592">
            <v>0</v>
          </cell>
          <cell r="Q3592">
            <v>0</v>
          </cell>
          <cell r="R3592">
            <v>0</v>
          </cell>
          <cell r="T3592">
            <v>0</v>
          </cell>
          <cell r="U3592">
            <v>0</v>
          </cell>
          <cell r="W3592">
            <v>0</v>
          </cell>
          <cell r="X3592">
            <v>0</v>
          </cell>
          <cell r="Z3592">
            <v>0</v>
          </cell>
          <cell r="AA3592">
            <v>0</v>
          </cell>
          <cell r="AC3592">
            <v>0</v>
          </cell>
          <cell r="AD3592">
            <v>0</v>
          </cell>
          <cell r="AF3592">
            <v>0</v>
          </cell>
          <cell r="AG3592">
            <v>0</v>
          </cell>
          <cell r="AI3592">
            <v>0</v>
          </cell>
          <cell r="AJ3592">
            <v>0</v>
          </cell>
          <cell r="AL3592">
            <v>0</v>
          </cell>
          <cell r="AM3592">
            <v>0</v>
          </cell>
          <cell r="AO3592">
            <v>0</v>
          </cell>
          <cell r="AP3592">
            <v>0</v>
          </cell>
          <cell r="AR3592">
            <v>0</v>
          </cell>
          <cell r="AS3592">
            <v>0</v>
          </cell>
          <cell r="BF3592" t="str">
            <v>5400</v>
          </cell>
          <cell r="BG3592" t="str">
            <v>F018</v>
          </cell>
          <cell r="BH3592" t="str">
            <v>INV</v>
          </cell>
        </row>
        <row r="3593">
          <cell r="K3593">
            <v>0</v>
          </cell>
          <cell r="L3593">
            <v>0</v>
          </cell>
          <cell r="N3593">
            <v>0</v>
          </cell>
          <cell r="O3593">
            <v>0</v>
          </cell>
          <cell r="Q3593">
            <v>0</v>
          </cell>
          <cell r="R3593">
            <v>0</v>
          </cell>
          <cell r="T3593">
            <v>0</v>
          </cell>
          <cell r="U3593">
            <v>0</v>
          </cell>
          <cell r="W3593">
            <v>0</v>
          </cell>
          <cell r="X3593">
            <v>0</v>
          </cell>
          <cell r="Z3593">
            <v>0</v>
          </cell>
          <cell r="AA3593">
            <v>0</v>
          </cell>
          <cell r="AC3593">
            <v>0</v>
          </cell>
          <cell r="AD3593">
            <v>0</v>
          </cell>
          <cell r="AF3593">
            <v>0</v>
          </cell>
          <cell r="AG3593">
            <v>0</v>
          </cell>
          <cell r="AI3593">
            <v>0</v>
          </cell>
          <cell r="AJ3593">
            <v>0</v>
          </cell>
          <cell r="AL3593">
            <v>0</v>
          </cell>
          <cell r="AM3593">
            <v>0</v>
          </cell>
          <cell r="AO3593">
            <v>0</v>
          </cell>
          <cell r="AP3593">
            <v>0</v>
          </cell>
          <cell r="AR3593">
            <v>0</v>
          </cell>
          <cell r="AS3593">
            <v>0</v>
          </cell>
          <cell r="BF3593" t="str">
            <v>5400</v>
          </cell>
          <cell r="BG3593" t="str">
            <v>F019</v>
          </cell>
          <cell r="BH3593" t="str">
            <v>INV</v>
          </cell>
        </row>
        <row r="3594">
          <cell r="K3594">
            <v>0</v>
          </cell>
          <cell r="L3594">
            <v>0</v>
          </cell>
          <cell r="N3594">
            <v>0</v>
          </cell>
          <cell r="O3594">
            <v>0</v>
          </cell>
          <cell r="Q3594">
            <v>0</v>
          </cell>
          <cell r="R3594">
            <v>0</v>
          </cell>
          <cell r="T3594">
            <v>0</v>
          </cell>
          <cell r="U3594">
            <v>0</v>
          </cell>
          <cell r="W3594">
            <v>0</v>
          </cell>
          <cell r="X3594">
            <v>0</v>
          </cell>
          <cell r="Z3594">
            <v>0</v>
          </cell>
          <cell r="AA3594">
            <v>0</v>
          </cell>
          <cell r="AC3594">
            <v>0</v>
          </cell>
          <cell r="AD3594">
            <v>0</v>
          </cell>
          <cell r="AF3594">
            <v>0</v>
          </cell>
          <cell r="AG3594">
            <v>0</v>
          </cell>
          <cell r="AI3594">
            <v>0</v>
          </cell>
          <cell r="AJ3594">
            <v>0</v>
          </cell>
          <cell r="AL3594">
            <v>0</v>
          </cell>
          <cell r="AM3594">
            <v>0</v>
          </cell>
          <cell r="AO3594">
            <v>0</v>
          </cell>
          <cell r="AP3594">
            <v>0</v>
          </cell>
          <cell r="AR3594">
            <v>0</v>
          </cell>
          <cell r="AS3594">
            <v>0</v>
          </cell>
          <cell r="BF3594" t="str">
            <v>5400</v>
          </cell>
          <cell r="BG3594" t="str">
            <v>F020</v>
          </cell>
          <cell r="BH3594" t="str">
            <v>INV</v>
          </cell>
        </row>
        <row r="3595">
          <cell r="K3595">
            <v>0</v>
          </cell>
          <cell r="L3595">
            <v>0</v>
          </cell>
          <cell r="N3595">
            <v>0</v>
          </cell>
          <cell r="O3595">
            <v>0</v>
          </cell>
          <cell r="Q3595">
            <v>0</v>
          </cell>
          <cell r="R3595">
            <v>0</v>
          </cell>
          <cell r="T3595">
            <v>0</v>
          </cell>
          <cell r="U3595">
            <v>0</v>
          </cell>
          <cell r="W3595">
            <v>0</v>
          </cell>
          <cell r="X3595">
            <v>0</v>
          </cell>
          <cell r="Z3595">
            <v>0</v>
          </cell>
          <cell r="AA3595">
            <v>0</v>
          </cell>
          <cell r="AC3595">
            <v>1022751.62</v>
          </cell>
          <cell r="AD3595">
            <v>0</v>
          </cell>
          <cell r="AF3595">
            <v>-5095813.6899999995</v>
          </cell>
          <cell r="AG3595">
            <v>0</v>
          </cell>
          <cell r="AI3595">
            <v>-310399.25</v>
          </cell>
          <cell r="AJ3595">
            <v>0</v>
          </cell>
          <cell r="AL3595">
            <v>-468747.41999999993</v>
          </cell>
          <cell r="AM3595">
            <v>0</v>
          </cell>
          <cell r="AO3595">
            <v>-108234.54000000004</v>
          </cell>
          <cell r="AP3595">
            <v>0</v>
          </cell>
          <cell r="AR3595">
            <v>-60269.139999999665</v>
          </cell>
          <cell r="AS3595">
            <v>0</v>
          </cell>
          <cell r="BF3595" t="str">
            <v>5500</v>
          </cell>
          <cell r="BG3595" t="str">
            <v>G001</v>
          </cell>
          <cell r="BH3595" t="str">
            <v>INV</v>
          </cell>
        </row>
        <row r="3596">
          <cell r="K3596">
            <v>0</v>
          </cell>
          <cell r="L3596">
            <v>0</v>
          </cell>
          <cell r="N3596">
            <v>0</v>
          </cell>
          <cell r="O3596">
            <v>0</v>
          </cell>
          <cell r="Q3596">
            <v>0</v>
          </cell>
          <cell r="R3596">
            <v>0</v>
          </cell>
          <cell r="T3596">
            <v>0</v>
          </cell>
          <cell r="U3596">
            <v>0</v>
          </cell>
          <cell r="W3596">
            <v>0</v>
          </cell>
          <cell r="X3596">
            <v>0</v>
          </cell>
          <cell r="Z3596">
            <v>0</v>
          </cell>
          <cell r="AA3596">
            <v>0</v>
          </cell>
          <cell r="AC3596">
            <v>0</v>
          </cell>
          <cell r="AD3596">
            <v>0</v>
          </cell>
          <cell r="AF3596">
            <v>0</v>
          </cell>
          <cell r="AG3596">
            <v>0</v>
          </cell>
          <cell r="AI3596">
            <v>0</v>
          </cell>
          <cell r="AJ3596">
            <v>0</v>
          </cell>
          <cell r="AL3596">
            <v>0</v>
          </cell>
          <cell r="AM3596">
            <v>0</v>
          </cell>
          <cell r="AO3596">
            <v>0</v>
          </cell>
          <cell r="AP3596">
            <v>0</v>
          </cell>
          <cell r="AR3596">
            <v>0</v>
          </cell>
          <cell r="AS3596">
            <v>0</v>
          </cell>
          <cell r="BF3596" t="str">
            <v>5500</v>
          </cell>
          <cell r="BG3596" t="str">
            <v>G002</v>
          </cell>
          <cell r="BH3596" t="str">
            <v>INV</v>
          </cell>
        </row>
        <row r="3597">
          <cell r="K3597">
            <v>0</v>
          </cell>
          <cell r="L3597">
            <v>0</v>
          </cell>
          <cell r="N3597">
            <v>0</v>
          </cell>
          <cell r="O3597">
            <v>0</v>
          </cell>
          <cell r="Q3597">
            <v>0</v>
          </cell>
          <cell r="R3597">
            <v>0</v>
          </cell>
          <cell r="T3597">
            <v>0</v>
          </cell>
          <cell r="U3597">
            <v>0</v>
          </cell>
          <cell r="W3597">
            <v>0</v>
          </cell>
          <cell r="X3597">
            <v>0</v>
          </cell>
          <cell r="Z3597">
            <v>0</v>
          </cell>
          <cell r="AA3597">
            <v>0</v>
          </cell>
          <cell r="AC3597">
            <v>0</v>
          </cell>
          <cell r="AD3597">
            <v>0</v>
          </cell>
          <cell r="AF3597">
            <v>0</v>
          </cell>
          <cell r="AG3597">
            <v>0</v>
          </cell>
          <cell r="AI3597">
            <v>0</v>
          </cell>
          <cell r="AJ3597">
            <v>0</v>
          </cell>
          <cell r="AL3597">
            <v>0</v>
          </cell>
          <cell r="AM3597">
            <v>0</v>
          </cell>
          <cell r="AO3597">
            <v>0</v>
          </cell>
          <cell r="AP3597">
            <v>0</v>
          </cell>
          <cell r="AR3597">
            <v>0</v>
          </cell>
          <cell r="AS3597">
            <v>0</v>
          </cell>
          <cell r="BF3597" t="str">
            <v>5500</v>
          </cell>
          <cell r="BG3597" t="str">
            <v>G003</v>
          </cell>
          <cell r="BH3597" t="str">
            <v>INV</v>
          </cell>
        </row>
        <row r="3598">
          <cell r="K3598">
            <v>0</v>
          </cell>
          <cell r="L3598">
            <v>0</v>
          </cell>
          <cell r="N3598">
            <v>0</v>
          </cell>
          <cell r="O3598">
            <v>0</v>
          </cell>
          <cell r="Q3598">
            <v>0</v>
          </cell>
          <cell r="R3598">
            <v>0</v>
          </cell>
          <cell r="T3598">
            <v>0</v>
          </cell>
          <cell r="U3598">
            <v>0</v>
          </cell>
          <cell r="W3598">
            <v>0</v>
          </cell>
          <cell r="X3598">
            <v>0</v>
          </cell>
          <cell r="Z3598">
            <v>0</v>
          </cell>
          <cell r="AA3598">
            <v>0</v>
          </cell>
          <cell r="AC3598">
            <v>0</v>
          </cell>
          <cell r="AD3598">
            <v>0</v>
          </cell>
          <cell r="AF3598">
            <v>0</v>
          </cell>
          <cell r="AG3598">
            <v>0</v>
          </cell>
          <cell r="AI3598">
            <v>0</v>
          </cell>
          <cell r="AJ3598">
            <v>0</v>
          </cell>
          <cell r="AL3598">
            <v>0</v>
          </cell>
          <cell r="AM3598">
            <v>0</v>
          </cell>
          <cell r="AO3598">
            <v>0</v>
          </cell>
          <cell r="AP3598">
            <v>0</v>
          </cell>
          <cell r="AR3598">
            <v>0</v>
          </cell>
          <cell r="AS3598">
            <v>0</v>
          </cell>
          <cell r="BF3598" t="str">
            <v>5500</v>
          </cell>
          <cell r="BG3598" t="str">
            <v>G004</v>
          </cell>
          <cell r="BH3598" t="str">
            <v>INV</v>
          </cell>
        </row>
        <row r="3599">
          <cell r="K3599">
            <v>0</v>
          </cell>
          <cell r="L3599">
            <v>0</v>
          </cell>
          <cell r="N3599">
            <v>0</v>
          </cell>
          <cell r="O3599">
            <v>0</v>
          </cell>
          <cell r="Q3599">
            <v>0</v>
          </cell>
          <cell r="R3599">
            <v>0</v>
          </cell>
          <cell r="T3599">
            <v>0</v>
          </cell>
          <cell r="U3599">
            <v>0</v>
          </cell>
          <cell r="W3599">
            <v>0</v>
          </cell>
          <cell r="X3599">
            <v>0</v>
          </cell>
          <cell r="Z3599">
            <v>0</v>
          </cell>
          <cell r="AA3599">
            <v>0</v>
          </cell>
          <cell r="AC3599">
            <v>0</v>
          </cell>
          <cell r="AD3599">
            <v>0</v>
          </cell>
          <cell r="AF3599">
            <v>0</v>
          </cell>
          <cell r="AG3599">
            <v>0</v>
          </cell>
          <cell r="AI3599">
            <v>0</v>
          </cell>
          <cell r="AJ3599">
            <v>0</v>
          </cell>
          <cell r="AL3599">
            <v>0</v>
          </cell>
          <cell r="AM3599">
            <v>0</v>
          </cell>
          <cell r="AO3599">
            <v>0</v>
          </cell>
          <cell r="AP3599">
            <v>0</v>
          </cell>
          <cell r="AR3599">
            <v>0</v>
          </cell>
          <cell r="AS3599">
            <v>0</v>
          </cell>
          <cell r="BF3599" t="str">
            <v>5500</v>
          </cell>
          <cell r="BG3599" t="str">
            <v>G005</v>
          </cell>
          <cell r="BH3599" t="str">
            <v>INV</v>
          </cell>
        </row>
        <row r="3600">
          <cell r="K3600">
            <v>0</v>
          </cell>
          <cell r="L3600">
            <v>0</v>
          </cell>
          <cell r="N3600">
            <v>0</v>
          </cell>
          <cell r="O3600">
            <v>0</v>
          </cell>
          <cell r="Q3600">
            <v>0</v>
          </cell>
          <cell r="R3600">
            <v>0</v>
          </cell>
          <cell r="T3600">
            <v>0</v>
          </cell>
          <cell r="U3600">
            <v>0</v>
          </cell>
          <cell r="W3600">
            <v>0</v>
          </cell>
          <cell r="X3600">
            <v>0</v>
          </cell>
          <cell r="Z3600">
            <v>0</v>
          </cell>
          <cell r="AA3600">
            <v>0</v>
          </cell>
          <cell r="AC3600">
            <v>0</v>
          </cell>
          <cell r="AD3600">
            <v>0</v>
          </cell>
          <cell r="AF3600">
            <v>0</v>
          </cell>
          <cell r="AG3600">
            <v>0</v>
          </cell>
          <cell r="AI3600">
            <v>0</v>
          </cell>
          <cell r="AJ3600">
            <v>0</v>
          </cell>
          <cell r="AL3600">
            <v>0</v>
          </cell>
          <cell r="AM3600">
            <v>0</v>
          </cell>
          <cell r="AO3600">
            <v>0</v>
          </cell>
          <cell r="AP3600">
            <v>0</v>
          </cell>
          <cell r="AR3600">
            <v>0</v>
          </cell>
          <cell r="AS3600">
            <v>0</v>
          </cell>
          <cell r="BF3600" t="str">
            <v>5500</v>
          </cell>
          <cell r="BG3600" t="str">
            <v>G006</v>
          </cell>
          <cell r="BH3600" t="str">
            <v>INV</v>
          </cell>
        </row>
        <row r="3601">
          <cell r="K3601">
            <v>0</v>
          </cell>
          <cell r="L3601">
            <v>0</v>
          </cell>
          <cell r="N3601">
            <v>0</v>
          </cell>
          <cell r="O3601">
            <v>0</v>
          </cell>
          <cell r="Q3601">
            <v>0</v>
          </cell>
          <cell r="R3601">
            <v>0</v>
          </cell>
          <cell r="T3601">
            <v>0</v>
          </cell>
          <cell r="U3601">
            <v>0</v>
          </cell>
          <cell r="W3601">
            <v>0</v>
          </cell>
          <cell r="X3601">
            <v>0</v>
          </cell>
          <cell r="Z3601">
            <v>0</v>
          </cell>
          <cell r="AA3601">
            <v>0</v>
          </cell>
          <cell r="AC3601">
            <v>0</v>
          </cell>
          <cell r="AD3601">
            <v>0</v>
          </cell>
          <cell r="AF3601">
            <v>0</v>
          </cell>
          <cell r="AG3601">
            <v>0</v>
          </cell>
          <cell r="AI3601">
            <v>0</v>
          </cell>
          <cell r="AJ3601">
            <v>0</v>
          </cell>
          <cell r="AL3601">
            <v>0</v>
          </cell>
          <cell r="AM3601">
            <v>0</v>
          </cell>
          <cell r="AO3601">
            <v>0</v>
          </cell>
          <cell r="AP3601">
            <v>0</v>
          </cell>
          <cell r="AR3601">
            <v>0</v>
          </cell>
          <cell r="AS3601">
            <v>0</v>
          </cell>
          <cell r="BF3601" t="str">
            <v>5500</v>
          </cell>
          <cell r="BG3601" t="str">
            <v>G007</v>
          </cell>
          <cell r="BH3601" t="str">
            <v>INV</v>
          </cell>
        </row>
        <row r="3602">
          <cell r="K3602">
            <v>0</v>
          </cell>
          <cell r="L3602">
            <v>0</v>
          </cell>
          <cell r="N3602">
            <v>0</v>
          </cell>
          <cell r="O3602">
            <v>0</v>
          </cell>
          <cell r="Q3602">
            <v>0</v>
          </cell>
          <cell r="R3602">
            <v>0</v>
          </cell>
          <cell r="T3602">
            <v>0</v>
          </cell>
          <cell r="U3602">
            <v>0</v>
          </cell>
          <cell r="W3602">
            <v>0</v>
          </cell>
          <cell r="X3602">
            <v>0</v>
          </cell>
          <cell r="Z3602">
            <v>0</v>
          </cell>
          <cell r="AA3602">
            <v>0</v>
          </cell>
          <cell r="AC3602">
            <v>0</v>
          </cell>
          <cell r="AD3602">
            <v>0</v>
          </cell>
          <cell r="AF3602">
            <v>0</v>
          </cell>
          <cell r="AG3602">
            <v>0</v>
          </cell>
          <cell r="AI3602">
            <v>0</v>
          </cell>
          <cell r="AJ3602">
            <v>0</v>
          </cell>
          <cell r="AL3602">
            <v>0</v>
          </cell>
          <cell r="AM3602">
            <v>0</v>
          </cell>
          <cell r="AO3602">
            <v>0</v>
          </cell>
          <cell r="AP3602">
            <v>0</v>
          </cell>
          <cell r="AR3602">
            <v>0</v>
          </cell>
          <cell r="AS3602">
            <v>0</v>
          </cell>
          <cell r="BF3602" t="str">
            <v>5500</v>
          </cell>
          <cell r="BG3602" t="str">
            <v>G008</v>
          </cell>
          <cell r="BH3602" t="str">
            <v>INV</v>
          </cell>
        </row>
        <row r="3603">
          <cell r="K3603">
            <v>0</v>
          </cell>
          <cell r="L3603">
            <v>0</v>
          </cell>
          <cell r="N3603">
            <v>0</v>
          </cell>
          <cell r="O3603">
            <v>0</v>
          </cell>
          <cell r="Q3603">
            <v>0</v>
          </cell>
          <cell r="R3603">
            <v>0</v>
          </cell>
          <cell r="T3603">
            <v>0</v>
          </cell>
          <cell r="U3603">
            <v>0</v>
          </cell>
          <cell r="W3603">
            <v>0</v>
          </cell>
          <cell r="X3603">
            <v>0</v>
          </cell>
          <cell r="Z3603">
            <v>0</v>
          </cell>
          <cell r="AA3603">
            <v>0</v>
          </cell>
          <cell r="AC3603">
            <v>0</v>
          </cell>
          <cell r="AD3603">
            <v>0</v>
          </cell>
          <cell r="AF3603">
            <v>0</v>
          </cell>
          <cell r="AG3603">
            <v>0</v>
          </cell>
          <cell r="AI3603">
            <v>0</v>
          </cell>
          <cell r="AJ3603">
            <v>0</v>
          </cell>
          <cell r="AL3603">
            <v>0</v>
          </cell>
          <cell r="AM3603">
            <v>0</v>
          </cell>
          <cell r="AO3603">
            <v>0</v>
          </cell>
          <cell r="AP3603">
            <v>0</v>
          </cell>
          <cell r="AR3603">
            <v>0</v>
          </cell>
          <cell r="AS3603">
            <v>0</v>
          </cell>
          <cell r="BF3603" t="str">
            <v>5500</v>
          </cell>
          <cell r="BG3603" t="str">
            <v>G009</v>
          </cell>
          <cell r="BH3603" t="str">
            <v>INV</v>
          </cell>
        </row>
        <row r="3604">
          <cell r="K3604">
            <v>0</v>
          </cell>
          <cell r="L3604">
            <v>0</v>
          </cell>
          <cell r="N3604">
            <v>0</v>
          </cell>
          <cell r="O3604">
            <v>0</v>
          </cell>
          <cell r="Q3604">
            <v>0</v>
          </cell>
          <cell r="R3604">
            <v>0</v>
          </cell>
          <cell r="T3604">
            <v>0</v>
          </cell>
          <cell r="U3604">
            <v>0</v>
          </cell>
          <cell r="W3604">
            <v>0</v>
          </cell>
          <cell r="X3604">
            <v>0</v>
          </cell>
          <cell r="Z3604">
            <v>0</v>
          </cell>
          <cell r="AA3604">
            <v>0</v>
          </cell>
          <cell r="AC3604">
            <v>0</v>
          </cell>
          <cell r="AD3604">
            <v>0</v>
          </cell>
          <cell r="AF3604">
            <v>0</v>
          </cell>
          <cell r="AG3604">
            <v>0</v>
          </cell>
          <cell r="AI3604">
            <v>0</v>
          </cell>
          <cell r="AJ3604">
            <v>0</v>
          </cell>
          <cell r="AL3604">
            <v>0</v>
          </cell>
          <cell r="AM3604">
            <v>0</v>
          </cell>
          <cell r="AO3604">
            <v>0</v>
          </cell>
          <cell r="AP3604">
            <v>0</v>
          </cell>
          <cell r="AR3604">
            <v>0</v>
          </cell>
          <cell r="AS3604">
            <v>0</v>
          </cell>
          <cell r="BF3604" t="str">
            <v>5500</v>
          </cell>
          <cell r="BG3604" t="str">
            <v>G010</v>
          </cell>
          <cell r="BH3604" t="str">
            <v>INV</v>
          </cell>
        </row>
        <row r="3605">
          <cell r="K3605">
            <v>0</v>
          </cell>
          <cell r="L3605">
            <v>0</v>
          </cell>
          <cell r="N3605">
            <v>0</v>
          </cell>
          <cell r="O3605">
            <v>0</v>
          </cell>
          <cell r="Q3605">
            <v>0</v>
          </cell>
          <cell r="R3605">
            <v>0</v>
          </cell>
          <cell r="T3605">
            <v>0</v>
          </cell>
          <cell r="U3605">
            <v>0</v>
          </cell>
          <cell r="W3605">
            <v>0</v>
          </cell>
          <cell r="X3605">
            <v>0</v>
          </cell>
          <cell r="Z3605">
            <v>0</v>
          </cell>
          <cell r="AA3605">
            <v>0</v>
          </cell>
          <cell r="AC3605">
            <v>0</v>
          </cell>
          <cell r="AD3605">
            <v>0</v>
          </cell>
          <cell r="AF3605">
            <v>0</v>
          </cell>
          <cell r="AG3605">
            <v>0</v>
          </cell>
          <cell r="AI3605">
            <v>0</v>
          </cell>
          <cell r="AJ3605">
            <v>0</v>
          </cell>
          <cell r="AL3605">
            <v>0</v>
          </cell>
          <cell r="AM3605">
            <v>0</v>
          </cell>
          <cell r="AO3605">
            <v>0</v>
          </cell>
          <cell r="AP3605">
            <v>0</v>
          </cell>
          <cell r="AR3605">
            <v>0</v>
          </cell>
          <cell r="AS3605">
            <v>0</v>
          </cell>
          <cell r="BF3605" t="str">
            <v>5500</v>
          </cell>
          <cell r="BG3605" t="str">
            <v>G011</v>
          </cell>
          <cell r="BH3605" t="str">
            <v>INV</v>
          </cell>
        </row>
        <row r="3606">
          <cell r="K3606">
            <v>0</v>
          </cell>
          <cell r="L3606">
            <v>0</v>
          </cell>
          <cell r="N3606">
            <v>0</v>
          </cell>
          <cell r="O3606">
            <v>0</v>
          </cell>
          <cell r="Q3606">
            <v>0</v>
          </cell>
          <cell r="R3606">
            <v>0</v>
          </cell>
          <cell r="T3606">
            <v>0</v>
          </cell>
          <cell r="U3606">
            <v>0</v>
          </cell>
          <cell r="W3606">
            <v>0</v>
          </cell>
          <cell r="X3606">
            <v>0</v>
          </cell>
          <cell r="Z3606">
            <v>0</v>
          </cell>
          <cell r="AA3606">
            <v>0</v>
          </cell>
          <cell r="AC3606">
            <v>0</v>
          </cell>
          <cell r="AD3606">
            <v>0</v>
          </cell>
          <cell r="AF3606">
            <v>0</v>
          </cell>
          <cell r="AG3606">
            <v>0</v>
          </cell>
          <cell r="AI3606">
            <v>0</v>
          </cell>
          <cell r="AJ3606">
            <v>0</v>
          </cell>
          <cell r="AL3606">
            <v>0</v>
          </cell>
          <cell r="AM3606">
            <v>0</v>
          </cell>
          <cell r="AO3606">
            <v>0</v>
          </cell>
          <cell r="AP3606">
            <v>0</v>
          </cell>
          <cell r="AR3606">
            <v>0</v>
          </cell>
          <cell r="AS3606">
            <v>0</v>
          </cell>
          <cell r="BF3606" t="str">
            <v>5500</v>
          </cell>
          <cell r="BG3606" t="str">
            <v>G012</v>
          </cell>
          <cell r="BH3606" t="str">
            <v>INV</v>
          </cell>
        </row>
        <row r="3607">
          <cell r="K3607">
            <v>0</v>
          </cell>
          <cell r="L3607">
            <v>0</v>
          </cell>
          <cell r="N3607">
            <v>0</v>
          </cell>
          <cell r="O3607">
            <v>0</v>
          </cell>
          <cell r="Q3607">
            <v>0</v>
          </cell>
          <cell r="R3607">
            <v>0</v>
          </cell>
          <cell r="T3607">
            <v>0</v>
          </cell>
          <cell r="U3607">
            <v>0</v>
          </cell>
          <cell r="W3607">
            <v>0</v>
          </cell>
          <cell r="X3607">
            <v>0</v>
          </cell>
          <cell r="Z3607">
            <v>0</v>
          </cell>
          <cell r="AA3607">
            <v>0</v>
          </cell>
          <cell r="AC3607">
            <v>0</v>
          </cell>
          <cell r="AD3607">
            <v>0</v>
          </cell>
          <cell r="AF3607">
            <v>0</v>
          </cell>
          <cell r="AG3607">
            <v>0</v>
          </cell>
          <cell r="AI3607">
            <v>0</v>
          </cell>
          <cell r="AJ3607">
            <v>0</v>
          </cell>
          <cell r="AL3607">
            <v>0</v>
          </cell>
          <cell r="AM3607">
            <v>0</v>
          </cell>
          <cell r="AO3607">
            <v>0</v>
          </cell>
          <cell r="AP3607">
            <v>0</v>
          </cell>
          <cell r="AR3607">
            <v>0</v>
          </cell>
          <cell r="AS3607">
            <v>0</v>
          </cell>
          <cell r="BF3607" t="str">
            <v>5600</v>
          </cell>
          <cell r="BG3607" t="str">
            <v>H001</v>
          </cell>
          <cell r="BH3607" t="str">
            <v>INV</v>
          </cell>
        </row>
        <row r="3608">
          <cell r="K3608">
            <v>0</v>
          </cell>
          <cell r="L3608">
            <v>0</v>
          </cell>
          <cell r="N3608">
            <v>0</v>
          </cell>
          <cell r="O3608">
            <v>0</v>
          </cell>
          <cell r="Q3608">
            <v>0</v>
          </cell>
          <cell r="R3608">
            <v>0</v>
          </cell>
          <cell r="T3608">
            <v>0</v>
          </cell>
          <cell r="U3608">
            <v>0</v>
          </cell>
          <cell r="W3608">
            <v>0</v>
          </cell>
          <cell r="X3608">
            <v>0</v>
          </cell>
          <cell r="Z3608">
            <v>0</v>
          </cell>
          <cell r="AA3608">
            <v>0</v>
          </cell>
          <cell r="AC3608">
            <v>0</v>
          </cell>
          <cell r="AD3608">
            <v>0</v>
          </cell>
          <cell r="AF3608">
            <v>0</v>
          </cell>
          <cell r="AG3608">
            <v>0</v>
          </cell>
          <cell r="AI3608">
            <v>0</v>
          </cell>
          <cell r="AJ3608">
            <v>0</v>
          </cell>
          <cell r="AL3608">
            <v>0</v>
          </cell>
          <cell r="AM3608">
            <v>0</v>
          </cell>
          <cell r="AO3608">
            <v>0</v>
          </cell>
          <cell r="AP3608">
            <v>0</v>
          </cell>
          <cell r="AR3608">
            <v>0</v>
          </cell>
          <cell r="AS3608">
            <v>0</v>
          </cell>
          <cell r="BF3608" t="str">
            <v>5600</v>
          </cell>
          <cell r="BG3608" t="str">
            <v>H002</v>
          </cell>
          <cell r="BH3608" t="str">
            <v>INV</v>
          </cell>
        </row>
        <row r="3609">
          <cell r="K3609">
            <v>0</v>
          </cell>
          <cell r="L3609">
            <v>0</v>
          </cell>
          <cell r="N3609">
            <v>0</v>
          </cell>
          <cell r="O3609">
            <v>0</v>
          </cell>
          <cell r="Q3609">
            <v>0</v>
          </cell>
          <cell r="R3609">
            <v>0</v>
          </cell>
          <cell r="T3609">
            <v>0</v>
          </cell>
          <cell r="U3609">
            <v>0</v>
          </cell>
          <cell r="W3609">
            <v>0</v>
          </cell>
          <cell r="X3609">
            <v>0</v>
          </cell>
          <cell r="Z3609">
            <v>0</v>
          </cell>
          <cell r="AA3609">
            <v>0</v>
          </cell>
          <cell r="AC3609">
            <v>0</v>
          </cell>
          <cell r="AD3609">
            <v>0</v>
          </cell>
          <cell r="AF3609">
            <v>0</v>
          </cell>
          <cell r="AG3609">
            <v>0</v>
          </cell>
          <cell r="AI3609">
            <v>0</v>
          </cell>
          <cell r="AJ3609">
            <v>0</v>
          </cell>
          <cell r="AL3609">
            <v>0</v>
          </cell>
          <cell r="AM3609">
            <v>0</v>
          </cell>
          <cell r="AO3609">
            <v>0</v>
          </cell>
          <cell r="AP3609">
            <v>0</v>
          </cell>
          <cell r="AR3609">
            <v>0</v>
          </cell>
          <cell r="AS3609">
            <v>0</v>
          </cell>
          <cell r="BF3609" t="str">
            <v>5600</v>
          </cell>
          <cell r="BG3609" t="str">
            <v>H003</v>
          </cell>
          <cell r="BH3609" t="str">
            <v>INV</v>
          </cell>
        </row>
        <row r="3610">
          <cell r="K3610">
            <v>0</v>
          </cell>
          <cell r="L3610">
            <v>0</v>
          </cell>
          <cell r="N3610">
            <v>0</v>
          </cell>
          <cell r="O3610">
            <v>0</v>
          </cell>
          <cell r="Q3610">
            <v>0</v>
          </cell>
          <cell r="R3610">
            <v>0</v>
          </cell>
          <cell r="T3610">
            <v>0</v>
          </cell>
          <cell r="U3610">
            <v>0</v>
          </cell>
          <cell r="W3610">
            <v>0</v>
          </cell>
          <cell r="X3610">
            <v>0</v>
          </cell>
          <cell r="Z3610">
            <v>0</v>
          </cell>
          <cell r="AA3610">
            <v>0</v>
          </cell>
          <cell r="AC3610">
            <v>0</v>
          </cell>
          <cell r="AD3610">
            <v>0</v>
          </cell>
          <cell r="AF3610">
            <v>0</v>
          </cell>
          <cell r="AG3610">
            <v>0</v>
          </cell>
          <cell r="AI3610">
            <v>0</v>
          </cell>
          <cell r="AJ3610">
            <v>0</v>
          </cell>
          <cell r="AL3610">
            <v>0</v>
          </cell>
          <cell r="AM3610">
            <v>0</v>
          </cell>
          <cell r="AO3610">
            <v>0</v>
          </cell>
          <cell r="AP3610">
            <v>0</v>
          </cell>
          <cell r="AR3610">
            <v>0</v>
          </cell>
          <cell r="AS3610">
            <v>0</v>
          </cell>
          <cell r="BF3610" t="str">
            <v>5600</v>
          </cell>
          <cell r="BG3610" t="str">
            <v>H004</v>
          </cell>
          <cell r="BH3610" t="str">
            <v>INV</v>
          </cell>
        </row>
        <row r="3611">
          <cell r="K3611">
            <v>0</v>
          </cell>
          <cell r="L3611">
            <v>0</v>
          </cell>
          <cell r="N3611">
            <v>0</v>
          </cell>
          <cell r="O3611">
            <v>0</v>
          </cell>
          <cell r="Q3611">
            <v>0</v>
          </cell>
          <cell r="R3611">
            <v>0</v>
          </cell>
          <cell r="T3611">
            <v>0</v>
          </cell>
          <cell r="U3611">
            <v>0</v>
          </cell>
          <cell r="W3611">
            <v>0</v>
          </cell>
          <cell r="X3611">
            <v>0</v>
          </cell>
          <cell r="Z3611">
            <v>0</v>
          </cell>
          <cell r="AA3611">
            <v>0</v>
          </cell>
          <cell r="AC3611">
            <v>0</v>
          </cell>
          <cell r="AD3611">
            <v>0</v>
          </cell>
          <cell r="AF3611">
            <v>0</v>
          </cell>
          <cell r="AG3611">
            <v>0</v>
          </cell>
          <cell r="AI3611">
            <v>0</v>
          </cell>
          <cell r="AJ3611">
            <v>0</v>
          </cell>
          <cell r="AL3611">
            <v>0</v>
          </cell>
          <cell r="AM3611">
            <v>0</v>
          </cell>
          <cell r="AO3611">
            <v>0</v>
          </cell>
          <cell r="AP3611">
            <v>0</v>
          </cell>
          <cell r="AR3611">
            <v>0</v>
          </cell>
          <cell r="AS3611">
            <v>0</v>
          </cell>
          <cell r="BF3611" t="str">
            <v>5600</v>
          </cell>
          <cell r="BG3611" t="str">
            <v>H005</v>
          </cell>
          <cell r="BH3611" t="str">
            <v>INV</v>
          </cell>
        </row>
        <row r="3612">
          <cell r="K3612">
            <v>0</v>
          </cell>
          <cell r="L3612">
            <v>0</v>
          </cell>
          <cell r="N3612">
            <v>0</v>
          </cell>
          <cell r="O3612">
            <v>0</v>
          </cell>
          <cell r="Q3612">
            <v>0</v>
          </cell>
          <cell r="R3612">
            <v>0</v>
          </cell>
          <cell r="T3612">
            <v>0</v>
          </cell>
          <cell r="U3612">
            <v>0</v>
          </cell>
          <cell r="W3612">
            <v>0</v>
          </cell>
          <cell r="X3612">
            <v>0</v>
          </cell>
          <cell r="Z3612">
            <v>0</v>
          </cell>
          <cell r="AA3612">
            <v>0</v>
          </cell>
          <cell r="AC3612">
            <v>0</v>
          </cell>
          <cell r="AD3612">
            <v>0</v>
          </cell>
          <cell r="AF3612">
            <v>0</v>
          </cell>
          <cell r="AG3612">
            <v>0</v>
          </cell>
          <cell r="AI3612">
            <v>0</v>
          </cell>
          <cell r="AJ3612">
            <v>0</v>
          </cell>
          <cell r="AL3612">
            <v>0</v>
          </cell>
          <cell r="AM3612">
            <v>0</v>
          </cell>
          <cell r="AO3612">
            <v>0</v>
          </cell>
          <cell r="AP3612">
            <v>0</v>
          </cell>
          <cell r="AR3612">
            <v>0</v>
          </cell>
          <cell r="AS3612">
            <v>0</v>
          </cell>
          <cell r="BF3612" t="str">
            <v>5600</v>
          </cell>
          <cell r="BG3612" t="str">
            <v>H006</v>
          </cell>
          <cell r="BH3612" t="str">
            <v>INV</v>
          </cell>
        </row>
        <row r="3613">
          <cell r="K3613">
            <v>0</v>
          </cell>
          <cell r="L3613">
            <v>0</v>
          </cell>
          <cell r="N3613">
            <v>0</v>
          </cell>
          <cell r="O3613">
            <v>0</v>
          </cell>
          <cell r="Q3613">
            <v>0</v>
          </cell>
          <cell r="R3613">
            <v>0</v>
          </cell>
          <cell r="T3613">
            <v>0</v>
          </cell>
          <cell r="U3613">
            <v>0</v>
          </cell>
          <cell r="W3613">
            <v>0</v>
          </cell>
          <cell r="X3613">
            <v>0</v>
          </cell>
          <cell r="Z3613">
            <v>0</v>
          </cell>
          <cell r="AA3613">
            <v>0</v>
          </cell>
          <cell r="AC3613">
            <v>0</v>
          </cell>
          <cell r="AD3613">
            <v>0</v>
          </cell>
          <cell r="AF3613">
            <v>0</v>
          </cell>
          <cell r="AG3613">
            <v>0</v>
          </cell>
          <cell r="AI3613">
            <v>0</v>
          </cell>
          <cell r="AJ3613">
            <v>0</v>
          </cell>
          <cell r="AL3613">
            <v>0</v>
          </cell>
          <cell r="AM3613">
            <v>0</v>
          </cell>
          <cell r="AO3613">
            <v>0</v>
          </cell>
          <cell r="AP3613">
            <v>0</v>
          </cell>
          <cell r="AR3613">
            <v>0</v>
          </cell>
          <cell r="AS3613">
            <v>0</v>
          </cell>
          <cell r="BF3613" t="str">
            <v>5600</v>
          </cell>
          <cell r="BG3613" t="str">
            <v>H007</v>
          </cell>
          <cell r="BH3613" t="str">
            <v>INV</v>
          </cell>
        </row>
        <row r="3614">
          <cell r="K3614">
            <v>0</v>
          </cell>
          <cell r="L3614">
            <v>0</v>
          </cell>
          <cell r="N3614">
            <v>0</v>
          </cell>
          <cell r="O3614">
            <v>0</v>
          </cell>
          <cell r="Q3614">
            <v>0</v>
          </cell>
          <cell r="R3614">
            <v>0</v>
          </cell>
          <cell r="T3614">
            <v>0</v>
          </cell>
          <cell r="U3614">
            <v>0</v>
          </cell>
          <cell r="W3614">
            <v>0</v>
          </cell>
          <cell r="X3614">
            <v>0</v>
          </cell>
          <cell r="Z3614">
            <v>0</v>
          </cell>
          <cell r="AA3614">
            <v>0</v>
          </cell>
          <cell r="AC3614">
            <v>0</v>
          </cell>
          <cell r="AD3614">
            <v>0</v>
          </cell>
          <cell r="AF3614">
            <v>0</v>
          </cell>
          <cell r="AG3614">
            <v>0</v>
          </cell>
          <cell r="AI3614">
            <v>0</v>
          </cell>
          <cell r="AJ3614">
            <v>0</v>
          </cell>
          <cell r="AL3614">
            <v>0</v>
          </cell>
          <cell r="AM3614">
            <v>0</v>
          </cell>
          <cell r="AO3614">
            <v>0</v>
          </cell>
          <cell r="AP3614">
            <v>0</v>
          </cell>
          <cell r="AR3614">
            <v>0</v>
          </cell>
          <cell r="AS3614">
            <v>0</v>
          </cell>
          <cell r="BF3614" t="str">
            <v>5600</v>
          </cell>
          <cell r="BG3614" t="str">
            <v>H008</v>
          </cell>
          <cell r="BH3614" t="str">
            <v>INV</v>
          </cell>
        </row>
        <row r="3615">
          <cell r="K3615">
            <v>0</v>
          </cell>
          <cell r="L3615">
            <v>0</v>
          </cell>
          <cell r="N3615">
            <v>0</v>
          </cell>
          <cell r="O3615">
            <v>0</v>
          </cell>
          <cell r="Q3615">
            <v>0</v>
          </cell>
          <cell r="R3615">
            <v>0</v>
          </cell>
          <cell r="T3615">
            <v>0</v>
          </cell>
          <cell r="U3615">
            <v>0</v>
          </cell>
          <cell r="W3615">
            <v>0</v>
          </cell>
          <cell r="X3615">
            <v>0</v>
          </cell>
          <cell r="Z3615">
            <v>0</v>
          </cell>
          <cell r="AA3615">
            <v>0</v>
          </cell>
          <cell r="AC3615">
            <v>0</v>
          </cell>
          <cell r="AD3615">
            <v>0</v>
          </cell>
          <cell r="AF3615">
            <v>0</v>
          </cell>
          <cell r="AG3615">
            <v>0</v>
          </cell>
          <cell r="AI3615">
            <v>0</v>
          </cell>
          <cell r="AJ3615">
            <v>0</v>
          </cell>
          <cell r="AL3615">
            <v>0</v>
          </cell>
          <cell r="AM3615">
            <v>0</v>
          </cell>
          <cell r="AO3615">
            <v>0</v>
          </cell>
          <cell r="AP3615">
            <v>0</v>
          </cell>
          <cell r="AR3615">
            <v>0</v>
          </cell>
          <cell r="AS3615">
            <v>0</v>
          </cell>
          <cell r="BF3615" t="str">
            <v>5700</v>
          </cell>
          <cell r="BG3615" t="str">
            <v>I001</v>
          </cell>
          <cell r="BH3615" t="str">
            <v>INV</v>
          </cell>
        </row>
        <row r="3616">
          <cell r="K3616">
            <v>0</v>
          </cell>
          <cell r="L3616">
            <v>0</v>
          </cell>
          <cell r="N3616">
            <v>0</v>
          </cell>
          <cell r="O3616">
            <v>0</v>
          </cell>
          <cell r="Q3616">
            <v>0</v>
          </cell>
          <cell r="R3616">
            <v>0</v>
          </cell>
          <cell r="T3616">
            <v>0</v>
          </cell>
          <cell r="U3616">
            <v>0</v>
          </cell>
          <cell r="W3616">
            <v>0</v>
          </cell>
          <cell r="X3616">
            <v>0</v>
          </cell>
          <cell r="Z3616">
            <v>0</v>
          </cell>
          <cell r="AA3616">
            <v>0</v>
          </cell>
          <cell r="AC3616">
            <v>0</v>
          </cell>
          <cell r="AD3616">
            <v>0</v>
          </cell>
          <cell r="AF3616">
            <v>0</v>
          </cell>
          <cell r="AG3616">
            <v>0</v>
          </cell>
          <cell r="AI3616">
            <v>0</v>
          </cell>
          <cell r="AJ3616">
            <v>0</v>
          </cell>
          <cell r="AL3616">
            <v>0</v>
          </cell>
          <cell r="AM3616">
            <v>0</v>
          </cell>
          <cell r="AO3616">
            <v>0</v>
          </cell>
          <cell r="AP3616">
            <v>0</v>
          </cell>
          <cell r="AR3616">
            <v>0</v>
          </cell>
          <cell r="AS3616">
            <v>0</v>
          </cell>
          <cell r="BF3616" t="str">
            <v>5700</v>
          </cell>
          <cell r="BG3616" t="str">
            <v>I002</v>
          </cell>
          <cell r="BH3616" t="str">
            <v>INV</v>
          </cell>
        </row>
        <row r="3617">
          <cell r="K3617">
            <v>0</v>
          </cell>
          <cell r="L3617">
            <v>0</v>
          </cell>
          <cell r="N3617">
            <v>0</v>
          </cell>
          <cell r="O3617">
            <v>0</v>
          </cell>
          <cell r="Q3617">
            <v>0</v>
          </cell>
          <cell r="R3617">
            <v>0</v>
          </cell>
          <cell r="T3617">
            <v>0</v>
          </cell>
          <cell r="U3617">
            <v>0</v>
          </cell>
          <cell r="W3617">
            <v>0</v>
          </cell>
          <cell r="X3617">
            <v>0</v>
          </cell>
          <cell r="Z3617">
            <v>0</v>
          </cell>
          <cell r="AA3617">
            <v>0</v>
          </cell>
          <cell r="AC3617">
            <v>0</v>
          </cell>
          <cell r="AD3617">
            <v>0</v>
          </cell>
          <cell r="AF3617">
            <v>0</v>
          </cell>
          <cell r="AG3617">
            <v>0</v>
          </cell>
          <cell r="AI3617">
            <v>0</v>
          </cell>
          <cell r="AJ3617">
            <v>0</v>
          </cell>
          <cell r="AL3617">
            <v>0</v>
          </cell>
          <cell r="AM3617">
            <v>0</v>
          </cell>
          <cell r="AO3617">
            <v>0</v>
          </cell>
          <cell r="AP3617">
            <v>0</v>
          </cell>
          <cell r="AR3617">
            <v>0</v>
          </cell>
          <cell r="AS3617">
            <v>0</v>
          </cell>
          <cell r="BF3617" t="str">
            <v>5700</v>
          </cell>
          <cell r="BG3617" t="str">
            <v>I003</v>
          </cell>
          <cell r="BH3617" t="str">
            <v>INV</v>
          </cell>
        </row>
        <row r="3618">
          <cell r="K3618">
            <v>0</v>
          </cell>
          <cell r="L3618">
            <v>0</v>
          </cell>
          <cell r="N3618">
            <v>0</v>
          </cell>
          <cell r="O3618">
            <v>0</v>
          </cell>
          <cell r="Q3618">
            <v>0</v>
          </cell>
          <cell r="R3618">
            <v>0</v>
          </cell>
          <cell r="T3618">
            <v>0</v>
          </cell>
          <cell r="U3618">
            <v>0</v>
          </cell>
          <cell r="W3618">
            <v>0</v>
          </cell>
          <cell r="X3618">
            <v>0</v>
          </cell>
          <cell r="Z3618">
            <v>0</v>
          </cell>
          <cell r="AA3618">
            <v>0</v>
          </cell>
          <cell r="AC3618">
            <v>0</v>
          </cell>
          <cell r="AD3618">
            <v>0</v>
          </cell>
          <cell r="AF3618">
            <v>0</v>
          </cell>
          <cell r="AG3618">
            <v>0</v>
          </cell>
          <cell r="AI3618">
            <v>0</v>
          </cell>
          <cell r="AJ3618">
            <v>0</v>
          </cell>
          <cell r="AL3618">
            <v>0</v>
          </cell>
          <cell r="AM3618">
            <v>0</v>
          </cell>
          <cell r="AO3618">
            <v>0</v>
          </cell>
          <cell r="AP3618">
            <v>0</v>
          </cell>
          <cell r="AR3618">
            <v>0</v>
          </cell>
          <cell r="AS3618">
            <v>0</v>
          </cell>
          <cell r="BF3618" t="str">
            <v>5700</v>
          </cell>
          <cell r="BG3618" t="str">
            <v>I004</v>
          </cell>
          <cell r="BH3618" t="str">
            <v>INV</v>
          </cell>
        </row>
        <row r="3619">
          <cell r="K3619">
            <v>0</v>
          </cell>
          <cell r="L3619">
            <v>0</v>
          </cell>
          <cell r="N3619">
            <v>0</v>
          </cell>
          <cell r="O3619">
            <v>0</v>
          </cell>
          <cell r="Q3619">
            <v>0</v>
          </cell>
          <cell r="R3619">
            <v>0</v>
          </cell>
          <cell r="T3619">
            <v>0</v>
          </cell>
          <cell r="U3619">
            <v>0</v>
          </cell>
          <cell r="W3619">
            <v>0</v>
          </cell>
          <cell r="X3619">
            <v>0</v>
          </cell>
          <cell r="Z3619">
            <v>0</v>
          </cell>
          <cell r="AA3619">
            <v>0</v>
          </cell>
          <cell r="AC3619">
            <v>0</v>
          </cell>
          <cell r="AD3619">
            <v>0</v>
          </cell>
          <cell r="AF3619">
            <v>0</v>
          </cell>
          <cell r="AG3619">
            <v>0</v>
          </cell>
          <cell r="AI3619">
            <v>0</v>
          </cell>
          <cell r="AJ3619">
            <v>0</v>
          </cell>
          <cell r="AL3619">
            <v>0</v>
          </cell>
          <cell r="AM3619">
            <v>0</v>
          </cell>
          <cell r="AO3619">
            <v>0</v>
          </cell>
          <cell r="AP3619">
            <v>0</v>
          </cell>
          <cell r="AR3619">
            <v>0</v>
          </cell>
          <cell r="AS3619">
            <v>0</v>
          </cell>
          <cell r="BF3619" t="str">
            <v>5700</v>
          </cell>
          <cell r="BG3619" t="str">
            <v>I005</v>
          </cell>
          <cell r="BH3619" t="str">
            <v>INV</v>
          </cell>
        </row>
        <row r="3620">
          <cell r="K3620">
            <v>0</v>
          </cell>
          <cell r="L3620">
            <v>0</v>
          </cell>
          <cell r="N3620">
            <v>0</v>
          </cell>
          <cell r="O3620">
            <v>0</v>
          </cell>
          <cell r="Q3620">
            <v>0</v>
          </cell>
          <cell r="R3620">
            <v>0</v>
          </cell>
          <cell r="T3620">
            <v>0</v>
          </cell>
          <cell r="U3620">
            <v>0</v>
          </cell>
          <cell r="W3620">
            <v>0</v>
          </cell>
          <cell r="X3620">
            <v>0</v>
          </cell>
          <cell r="Z3620">
            <v>0</v>
          </cell>
          <cell r="AA3620">
            <v>0</v>
          </cell>
          <cell r="AC3620">
            <v>0</v>
          </cell>
          <cell r="AD3620">
            <v>0</v>
          </cell>
          <cell r="AF3620">
            <v>0</v>
          </cell>
          <cell r="AG3620">
            <v>0</v>
          </cell>
          <cell r="AI3620">
            <v>0</v>
          </cell>
          <cell r="AJ3620">
            <v>0</v>
          </cell>
          <cell r="AL3620">
            <v>0</v>
          </cell>
          <cell r="AM3620">
            <v>0</v>
          </cell>
          <cell r="AO3620">
            <v>0</v>
          </cell>
          <cell r="AP3620">
            <v>0</v>
          </cell>
          <cell r="AR3620">
            <v>0</v>
          </cell>
          <cell r="AS3620">
            <v>0</v>
          </cell>
          <cell r="BF3620" t="str">
            <v>5700</v>
          </cell>
          <cell r="BG3620" t="str">
            <v>I006</v>
          </cell>
          <cell r="BH3620" t="str">
            <v>INV</v>
          </cell>
        </row>
        <row r="3621">
          <cell r="K3621">
            <v>0</v>
          </cell>
          <cell r="L3621">
            <v>0</v>
          </cell>
          <cell r="N3621">
            <v>0</v>
          </cell>
          <cell r="O3621">
            <v>0</v>
          </cell>
          <cell r="Q3621">
            <v>0</v>
          </cell>
          <cell r="R3621">
            <v>0</v>
          </cell>
          <cell r="T3621">
            <v>0</v>
          </cell>
          <cell r="U3621">
            <v>0</v>
          </cell>
          <cell r="W3621">
            <v>0</v>
          </cell>
          <cell r="X3621">
            <v>0</v>
          </cell>
          <cell r="Z3621">
            <v>0</v>
          </cell>
          <cell r="AA3621">
            <v>0</v>
          </cell>
          <cell r="AC3621">
            <v>0</v>
          </cell>
          <cell r="AD3621">
            <v>0</v>
          </cell>
          <cell r="AF3621">
            <v>0</v>
          </cell>
          <cell r="AG3621">
            <v>0</v>
          </cell>
          <cell r="AI3621">
            <v>0</v>
          </cell>
          <cell r="AJ3621">
            <v>0</v>
          </cell>
          <cell r="AL3621">
            <v>0</v>
          </cell>
          <cell r="AM3621">
            <v>0</v>
          </cell>
          <cell r="AO3621">
            <v>0</v>
          </cell>
          <cell r="AP3621">
            <v>0</v>
          </cell>
          <cell r="AR3621">
            <v>0</v>
          </cell>
          <cell r="AS3621">
            <v>0</v>
          </cell>
          <cell r="BF3621" t="str">
            <v>5700</v>
          </cell>
          <cell r="BG3621" t="str">
            <v>I007</v>
          </cell>
          <cell r="BH3621" t="str">
            <v>INV</v>
          </cell>
        </row>
        <row r="3622">
          <cell r="K3622">
            <v>0</v>
          </cell>
          <cell r="L3622">
            <v>0</v>
          </cell>
          <cell r="N3622">
            <v>0</v>
          </cell>
          <cell r="O3622">
            <v>0</v>
          </cell>
          <cell r="Q3622">
            <v>0</v>
          </cell>
          <cell r="R3622">
            <v>0</v>
          </cell>
          <cell r="T3622">
            <v>0</v>
          </cell>
          <cell r="U3622">
            <v>0</v>
          </cell>
          <cell r="W3622">
            <v>0</v>
          </cell>
          <cell r="X3622">
            <v>0</v>
          </cell>
          <cell r="Z3622">
            <v>0</v>
          </cell>
          <cell r="AA3622">
            <v>0</v>
          </cell>
          <cell r="AC3622">
            <v>0</v>
          </cell>
          <cell r="AD3622">
            <v>0</v>
          </cell>
          <cell r="AF3622">
            <v>0</v>
          </cell>
          <cell r="AG3622">
            <v>0</v>
          </cell>
          <cell r="AI3622">
            <v>0</v>
          </cell>
          <cell r="AJ3622">
            <v>0</v>
          </cell>
          <cell r="AL3622">
            <v>0</v>
          </cell>
          <cell r="AM3622">
            <v>0</v>
          </cell>
          <cell r="AO3622">
            <v>0</v>
          </cell>
          <cell r="AP3622">
            <v>0</v>
          </cell>
          <cell r="AR3622">
            <v>0</v>
          </cell>
          <cell r="AS3622">
            <v>0</v>
          </cell>
          <cell r="BF3622" t="str">
            <v>5700</v>
          </cell>
          <cell r="BG3622" t="str">
            <v>I008</v>
          </cell>
          <cell r="BH3622" t="str">
            <v>INV</v>
          </cell>
        </row>
        <row r="3623">
          <cell r="K3623">
            <v>0</v>
          </cell>
          <cell r="L3623">
            <v>0</v>
          </cell>
          <cell r="N3623">
            <v>0</v>
          </cell>
          <cell r="O3623">
            <v>0</v>
          </cell>
          <cell r="Q3623">
            <v>0</v>
          </cell>
          <cell r="R3623">
            <v>0</v>
          </cell>
          <cell r="T3623">
            <v>0</v>
          </cell>
          <cell r="U3623">
            <v>0</v>
          </cell>
          <cell r="W3623">
            <v>0</v>
          </cell>
          <cell r="X3623">
            <v>0</v>
          </cell>
          <cell r="Z3623">
            <v>0</v>
          </cell>
          <cell r="AA3623">
            <v>0</v>
          </cell>
          <cell r="AC3623">
            <v>0</v>
          </cell>
          <cell r="AD3623">
            <v>0</v>
          </cell>
          <cell r="AF3623">
            <v>0</v>
          </cell>
          <cell r="AG3623">
            <v>0</v>
          </cell>
          <cell r="AI3623">
            <v>109161.24999999999</v>
          </cell>
          <cell r="AJ3623">
            <v>0</v>
          </cell>
          <cell r="AL3623">
            <v>897.22000000000116</v>
          </cell>
          <cell r="AM3623">
            <v>0</v>
          </cell>
          <cell r="AO3623">
            <v>15975.839999999997</v>
          </cell>
          <cell r="AP3623">
            <v>0</v>
          </cell>
          <cell r="AR3623">
            <v>1035.8999999999942</v>
          </cell>
          <cell r="AS3623">
            <v>0</v>
          </cell>
          <cell r="BF3623" t="str">
            <v>5700</v>
          </cell>
          <cell r="BG3623" t="str">
            <v>I009</v>
          </cell>
          <cell r="BH3623" t="str">
            <v>INV</v>
          </cell>
        </row>
        <row r="3624">
          <cell r="K3624">
            <v>0</v>
          </cell>
          <cell r="L3624">
            <v>0</v>
          </cell>
          <cell r="N3624">
            <v>0</v>
          </cell>
          <cell r="O3624">
            <v>0</v>
          </cell>
          <cell r="Q3624">
            <v>0</v>
          </cell>
          <cell r="R3624">
            <v>0</v>
          </cell>
          <cell r="T3624">
            <v>0</v>
          </cell>
          <cell r="U3624">
            <v>0</v>
          </cell>
          <cell r="W3624">
            <v>0</v>
          </cell>
          <cell r="X3624">
            <v>0</v>
          </cell>
          <cell r="Z3624">
            <v>0</v>
          </cell>
          <cell r="AA3624">
            <v>0</v>
          </cell>
          <cell r="AC3624">
            <v>0</v>
          </cell>
          <cell r="AD3624">
            <v>0</v>
          </cell>
          <cell r="AF3624">
            <v>0</v>
          </cell>
          <cell r="AG3624">
            <v>0</v>
          </cell>
          <cell r="AI3624">
            <v>0</v>
          </cell>
          <cell r="AJ3624">
            <v>0</v>
          </cell>
          <cell r="AL3624">
            <v>0</v>
          </cell>
          <cell r="AM3624">
            <v>0</v>
          </cell>
          <cell r="AO3624">
            <v>0</v>
          </cell>
          <cell r="AP3624">
            <v>0</v>
          </cell>
          <cell r="AR3624">
            <v>0</v>
          </cell>
          <cell r="AS3624">
            <v>0</v>
          </cell>
          <cell r="BF3624" t="str">
            <v>5700</v>
          </cell>
          <cell r="BG3624" t="str">
            <v>I010</v>
          </cell>
          <cell r="BH3624" t="str">
            <v>INV</v>
          </cell>
        </row>
        <row r="3625">
          <cell r="K3625">
            <v>0</v>
          </cell>
          <cell r="L3625">
            <v>0</v>
          </cell>
          <cell r="N3625">
            <v>0</v>
          </cell>
          <cell r="O3625">
            <v>0</v>
          </cell>
          <cell r="Q3625">
            <v>0</v>
          </cell>
          <cell r="R3625">
            <v>0</v>
          </cell>
          <cell r="T3625">
            <v>0</v>
          </cell>
          <cell r="U3625">
            <v>0</v>
          </cell>
          <cell r="W3625">
            <v>0</v>
          </cell>
          <cell r="X3625">
            <v>0</v>
          </cell>
          <cell r="Z3625">
            <v>0</v>
          </cell>
          <cell r="AA3625">
            <v>0</v>
          </cell>
          <cell r="AC3625">
            <v>0</v>
          </cell>
          <cell r="AD3625">
            <v>0</v>
          </cell>
          <cell r="AF3625">
            <v>0</v>
          </cell>
          <cell r="AG3625">
            <v>0</v>
          </cell>
          <cell r="AI3625">
            <v>0</v>
          </cell>
          <cell r="AJ3625">
            <v>0</v>
          </cell>
          <cell r="AL3625">
            <v>0</v>
          </cell>
          <cell r="AM3625">
            <v>0</v>
          </cell>
          <cell r="AO3625">
            <v>0</v>
          </cell>
          <cell r="AP3625">
            <v>0</v>
          </cell>
          <cell r="AR3625">
            <v>0</v>
          </cell>
          <cell r="AS3625">
            <v>0</v>
          </cell>
          <cell r="BF3625" t="str">
            <v>5700</v>
          </cell>
          <cell r="BG3625" t="str">
            <v>I011</v>
          </cell>
          <cell r="BH3625" t="str">
            <v>INV</v>
          </cell>
        </row>
        <row r="3626">
          <cell r="K3626">
            <v>0</v>
          </cell>
          <cell r="L3626">
            <v>0</v>
          </cell>
          <cell r="N3626">
            <v>0</v>
          </cell>
          <cell r="O3626">
            <v>0</v>
          </cell>
          <cell r="Q3626">
            <v>0</v>
          </cell>
          <cell r="R3626">
            <v>0</v>
          </cell>
          <cell r="T3626">
            <v>0</v>
          </cell>
          <cell r="U3626">
            <v>0</v>
          </cell>
          <cell r="W3626">
            <v>0</v>
          </cell>
          <cell r="X3626">
            <v>0</v>
          </cell>
          <cell r="Z3626">
            <v>0</v>
          </cell>
          <cell r="AA3626">
            <v>0</v>
          </cell>
          <cell r="AC3626">
            <v>0</v>
          </cell>
          <cell r="AD3626">
            <v>0</v>
          </cell>
          <cell r="AF3626">
            <v>0</v>
          </cell>
          <cell r="AG3626">
            <v>0</v>
          </cell>
          <cell r="AI3626">
            <v>0</v>
          </cell>
          <cell r="AJ3626">
            <v>0</v>
          </cell>
          <cell r="AL3626">
            <v>0</v>
          </cell>
          <cell r="AM3626">
            <v>0</v>
          </cell>
          <cell r="AO3626">
            <v>0</v>
          </cell>
          <cell r="AP3626">
            <v>0</v>
          </cell>
          <cell r="AR3626">
            <v>0</v>
          </cell>
          <cell r="AS3626">
            <v>0</v>
          </cell>
          <cell r="BF3626" t="str">
            <v>5700</v>
          </cell>
          <cell r="BG3626" t="str">
            <v>I012</v>
          </cell>
          <cell r="BH3626" t="str">
            <v>INV</v>
          </cell>
        </row>
        <row r="3627">
          <cell r="K3627">
            <v>0</v>
          </cell>
          <cell r="L3627">
            <v>0</v>
          </cell>
          <cell r="N3627">
            <v>0</v>
          </cell>
          <cell r="O3627">
            <v>0</v>
          </cell>
          <cell r="Q3627">
            <v>0</v>
          </cell>
          <cell r="R3627">
            <v>0</v>
          </cell>
          <cell r="T3627">
            <v>0</v>
          </cell>
          <cell r="U3627">
            <v>0</v>
          </cell>
          <cell r="W3627">
            <v>0</v>
          </cell>
          <cell r="X3627">
            <v>0</v>
          </cell>
          <cell r="Z3627">
            <v>0</v>
          </cell>
          <cell r="AA3627">
            <v>0</v>
          </cell>
          <cell r="AC3627">
            <v>0</v>
          </cell>
          <cell r="AD3627">
            <v>0</v>
          </cell>
          <cell r="AF3627">
            <v>0</v>
          </cell>
          <cell r="AG3627">
            <v>0</v>
          </cell>
          <cell r="AI3627">
            <v>0</v>
          </cell>
          <cell r="AJ3627">
            <v>0</v>
          </cell>
          <cell r="AL3627">
            <v>0</v>
          </cell>
          <cell r="AM3627">
            <v>0</v>
          </cell>
          <cell r="AO3627">
            <v>0</v>
          </cell>
          <cell r="AP3627">
            <v>0</v>
          </cell>
          <cell r="AR3627">
            <v>0</v>
          </cell>
          <cell r="AS3627">
            <v>0</v>
          </cell>
          <cell r="BF3627" t="str">
            <v>5700</v>
          </cell>
          <cell r="BG3627" t="str">
            <v>I015</v>
          </cell>
          <cell r="BH3627" t="str">
            <v>INV</v>
          </cell>
        </row>
        <row r="3628">
          <cell r="K3628">
            <v>0</v>
          </cell>
          <cell r="L3628">
            <v>0</v>
          </cell>
          <cell r="N3628">
            <v>0</v>
          </cell>
          <cell r="O3628">
            <v>0</v>
          </cell>
          <cell r="Q3628">
            <v>0</v>
          </cell>
          <cell r="R3628">
            <v>0</v>
          </cell>
          <cell r="T3628">
            <v>0</v>
          </cell>
          <cell r="U3628">
            <v>0</v>
          </cell>
          <cell r="W3628">
            <v>0</v>
          </cell>
          <cell r="X3628">
            <v>0</v>
          </cell>
          <cell r="Z3628">
            <v>0</v>
          </cell>
          <cell r="AA3628">
            <v>0</v>
          </cell>
          <cell r="AC3628">
            <v>0</v>
          </cell>
          <cell r="AD3628">
            <v>0</v>
          </cell>
          <cell r="AF3628">
            <v>0</v>
          </cell>
          <cell r="AG3628">
            <v>0</v>
          </cell>
          <cell r="AI3628">
            <v>0</v>
          </cell>
          <cell r="AJ3628">
            <v>0</v>
          </cell>
          <cell r="AL3628">
            <v>0</v>
          </cell>
          <cell r="AM3628">
            <v>0</v>
          </cell>
          <cell r="AO3628">
            <v>0</v>
          </cell>
          <cell r="AP3628">
            <v>0</v>
          </cell>
          <cell r="AR3628">
            <v>0</v>
          </cell>
          <cell r="AS3628">
            <v>0</v>
          </cell>
          <cell r="BF3628" t="str">
            <v>5800</v>
          </cell>
          <cell r="BG3628" t="str">
            <v>J001</v>
          </cell>
          <cell r="BH3628" t="str">
            <v>INV</v>
          </cell>
        </row>
        <row r="3629">
          <cell r="K3629">
            <v>0</v>
          </cell>
          <cell r="L3629">
            <v>0</v>
          </cell>
          <cell r="N3629">
            <v>0</v>
          </cell>
          <cell r="O3629">
            <v>0</v>
          </cell>
          <cell r="Q3629">
            <v>0</v>
          </cell>
          <cell r="R3629">
            <v>0</v>
          </cell>
          <cell r="T3629">
            <v>0</v>
          </cell>
          <cell r="U3629">
            <v>0</v>
          </cell>
          <cell r="W3629">
            <v>0</v>
          </cell>
          <cell r="X3629">
            <v>0</v>
          </cell>
          <cell r="Z3629">
            <v>0</v>
          </cell>
          <cell r="AA3629">
            <v>0</v>
          </cell>
          <cell r="AC3629">
            <v>0</v>
          </cell>
          <cell r="AD3629">
            <v>0</v>
          </cell>
          <cell r="AF3629">
            <v>0</v>
          </cell>
          <cell r="AG3629">
            <v>0</v>
          </cell>
          <cell r="AI3629">
            <v>0</v>
          </cell>
          <cell r="AJ3629">
            <v>0</v>
          </cell>
          <cell r="AL3629">
            <v>0</v>
          </cell>
          <cell r="AM3629">
            <v>0</v>
          </cell>
          <cell r="AO3629">
            <v>0</v>
          </cell>
          <cell r="AP3629">
            <v>0</v>
          </cell>
          <cell r="AR3629">
            <v>0</v>
          </cell>
          <cell r="AS3629">
            <v>0</v>
          </cell>
          <cell r="BF3629" t="str">
            <v>5800</v>
          </cell>
          <cell r="BG3629" t="str">
            <v>J002</v>
          </cell>
          <cell r="BH3629" t="str">
            <v>INV</v>
          </cell>
        </row>
        <row r="3630">
          <cell r="K3630">
            <v>0</v>
          </cell>
          <cell r="L3630">
            <v>0</v>
          </cell>
          <cell r="N3630">
            <v>0</v>
          </cell>
          <cell r="O3630">
            <v>0</v>
          </cell>
          <cell r="Q3630">
            <v>0</v>
          </cell>
          <cell r="R3630">
            <v>0</v>
          </cell>
          <cell r="T3630">
            <v>0</v>
          </cell>
          <cell r="U3630">
            <v>0</v>
          </cell>
          <cell r="W3630">
            <v>0</v>
          </cell>
          <cell r="X3630">
            <v>0</v>
          </cell>
          <cell r="Z3630">
            <v>0</v>
          </cell>
          <cell r="AA3630">
            <v>0</v>
          </cell>
          <cell r="AC3630">
            <v>0</v>
          </cell>
          <cell r="AD3630">
            <v>0</v>
          </cell>
          <cell r="AF3630">
            <v>0</v>
          </cell>
          <cell r="AG3630">
            <v>0</v>
          </cell>
          <cell r="AI3630">
            <v>0</v>
          </cell>
          <cell r="AJ3630">
            <v>0</v>
          </cell>
          <cell r="AL3630">
            <v>0</v>
          </cell>
          <cell r="AM3630">
            <v>0</v>
          </cell>
          <cell r="AO3630">
            <v>0</v>
          </cell>
          <cell r="AP3630">
            <v>0</v>
          </cell>
          <cell r="AR3630">
            <v>0</v>
          </cell>
          <cell r="AS3630">
            <v>0</v>
          </cell>
          <cell r="BF3630" t="str">
            <v>5800</v>
          </cell>
          <cell r="BG3630" t="str">
            <v>J003</v>
          </cell>
          <cell r="BH3630" t="str">
            <v>INV</v>
          </cell>
        </row>
        <row r="3631">
          <cell r="K3631">
            <v>0</v>
          </cell>
          <cell r="L3631">
            <v>0</v>
          </cell>
          <cell r="N3631">
            <v>0</v>
          </cell>
          <cell r="O3631">
            <v>0</v>
          </cell>
          <cell r="Q3631">
            <v>0</v>
          </cell>
          <cell r="R3631">
            <v>0</v>
          </cell>
          <cell r="T3631">
            <v>0</v>
          </cell>
          <cell r="U3631">
            <v>0</v>
          </cell>
          <cell r="W3631">
            <v>0</v>
          </cell>
          <cell r="X3631">
            <v>0</v>
          </cell>
          <cell r="Z3631">
            <v>0</v>
          </cell>
          <cell r="AA3631">
            <v>0</v>
          </cell>
          <cell r="AC3631">
            <v>0</v>
          </cell>
          <cell r="AD3631">
            <v>0</v>
          </cell>
          <cell r="AF3631">
            <v>0</v>
          </cell>
          <cell r="AG3631">
            <v>0</v>
          </cell>
          <cell r="AI3631">
            <v>0</v>
          </cell>
          <cell r="AJ3631">
            <v>0</v>
          </cell>
          <cell r="AL3631">
            <v>0</v>
          </cell>
          <cell r="AM3631">
            <v>0</v>
          </cell>
          <cell r="AO3631">
            <v>0</v>
          </cell>
          <cell r="AP3631">
            <v>0</v>
          </cell>
          <cell r="AR3631">
            <v>0</v>
          </cell>
          <cell r="AS3631">
            <v>0</v>
          </cell>
          <cell r="BF3631" t="str">
            <v>5800</v>
          </cell>
          <cell r="BG3631" t="str">
            <v>J004</v>
          </cell>
          <cell r="BH3631" t="str">
            <v>INV</v>
          </cell>
        </row>
        <row r="3632">
          <cell r="K3632">
            <v>0</v>
          </cell>
          <cell r="L3632">
            <v>0</v>
          </cell>
          <cell r="N3632">
            <v>0</v>
          </cell>
          <cell r="O3632">
            <v>0</v>
          </cell>
          <cell r="Q3632">
            <v>0</v>
          </cell>
          <cell r="R3632">
            <v>0</v>
          </cell>
          <cell r="T3632">
            <v>0</v>
          </cell>
          <cell r="U3632">
            <v>0</v>
          </cell>
          <cell r="W3632">
            <v>0</v>
          </cell>
          <cell r="X3632">
            <v>0</v>
          </cell>
          <cell r="Z3632">
            <v>0</v>
          </cell>
          <cell r="AA3632">
            <v>0</v>
          </cell>
          <cell r="AC3632">
            <v>0</v>
          </cell>
          <cell r="AD3632">
            <v>0</v>
          </cell>
          <cell r="AF3632">
            <v>0</v>
          </cell>
          <cell r="AG3632">
            <v>0</v>
          </cell>
          <cell r="AI3632">
            <v>0</v>
          </cell>
          <cell r="AJ3632">
            <v>0</v>
          </cell>
          <cell r="AL3632">
            <v>0</v>
          </cell>
          <cell r="AM3632">
            <v>0</v>
          </cell>
          <cell r="AO3632">
            <v>0</v>
          </cell>
          <cell r="AP3632">
            <v>0</v>
          </cell>
          <cell r="AR3632">
            <v>0</v>
          </cell>
          <cell r="AS3632">
            <v>0</v>
          </cell>
          <cell r="BF3632" t="str">
            <v>5800</v>
          </cell>
          <cell r="BG3632" t="str">
            <v>J005</v>
          </cell>
          <cell r="BH3632" t="str">
            <v>INV</v>
          </cell>
        </row>
        <row r="3633">
          <cell r="K3633">
            <v>0</v>
          </cell>
          <cell r="L3633">
            <v>0</v>
          </cell>
          <cell r="N3633">
            <v>0</v>
          </cell>
          <cell r="O3633">
            <v>0</v>
          </cell>
          <cell r="Q3633">
            <v>0</v>
          </cell>
          <cell r="R3633">
            <v>0</v>
          </cell>
          <cell r="T3633">
            <v>0</v>
          </cell>
          <cell r="U3633">
            <v>0</v>
          </cell>
          <cell r="W3633">
            <v>0</v>
          </cell>
          <cell r="X3633">
            <v>0</v>
          </cell>
          <cell r="Z3633">
            <v>0</v>
          </cell>
          <cell r="AA3633">
            <v>0</v>
          </cell>
          <cell r="AC3633">
            <v>0</v>
          </cell>
          <cell r="AD3633">
            <v>0</v>
          </cell>
          <cell r="AF3633">
            <v>0</v>
          </cell>
          <cell r="AG3633">
            <v>0</v>
          </cell>
          <cell r="AI3633">
            <v>0</v>
          </cell>
          <cell r="AJ3633">
            <v>0</v>
          </cell>
          <cell r="AL3633">
            <v>0</v>
          </cell>
          <cell r="AM3633">
            <v>0</v>
          </cell>
          <cell r="AO3633">
            <v>0</v>
          </cell>
          <cell r="AP3633">
            <v>0</v>
          </cell>
          <cell r="AR3633">
            <v>0</v>
          </cell>
          <cell r="AS3633">
            <v>0</v>
          </cell>
          <cell r="BF3633" t="str">
            <v>5800</v>
          </cell>
          <cell r="BG3633" t="str">
            <v>J006</v>
          </cell>
          <cell r="BH3633" t="str">
            <v>INV</v>
          </cell>
        </row>
        <row r="3634">
          <cell r="K3634">
            <v>0</v>
          </cell>
          <cell r="L3634">
            <v>0</v>
          </cell>
          <cell r="N3634">
            <v>0</v>
          </cell>
          <cell r="O3634">
            <v>0</v>
          </cell>
          <cell r="Q3634">
            <v>0</v>
          </cell>
          <cell r="R3634">
            <v>0</v>
          </cell>
          <cell r="T3634">
            <v>0</v>
          </cell>
          <cell r="U3634">
            <v>0</v>
          </cell>
          <cell r="W3634">
            <v>0</v>
          </cell>
          <cell r="X3634">
            <v>0</v>
          </cell>
          <cell r="Z3634">
            <v>0</v>
          </cell>
          <cell r="AA3634">
            <v>0</v>
          </cell>
          <cell r="AC3634">
            <v>0</v>
          </cell>
          <cell r="AD3634">
            <v>0</v>
          </cell>
          <cell r="AF3634">
            <v>0</v>
          </cell>
          <cell r="AG3634">
            <v>0</v>
          </cell>
          <cell r="AI3634">
            <v>0</v>
          </cell>
          <cell r="AJ3634">
            <v>0</v>
          </cell>
          <cell r="AL3634">
            <v>0</v>
          </cell>
          <cell r="AM3634">
            <v>0</v>
          </cell>
          <cell r="AO3634">
            <v>0</v>
          </cell>
          <cell r="AP3634">
            <v>0</v>
          </cell>
          <cell r="AR3634">
            <v>0</v>
          </cell>
          <cell r="AS3634">
            <v>0</v>
          </cell>
          <cell r="BF3634" t="str">
            <v>5800</v>
          </cell>
          <cell r="BG3634" t="str">
            <v>J007</v>
          </cell>
          <cell r="BH3634" t="str">
            <v>INV</v>
          </cell>
        </row>
        <row r="3635">
          <cell r="K3635">
            <v>0</v>
          </cell>
          <cell r="L3635">
            <v>0</v>
          </cell>
          <cell r="N3635">
            <v>0</v>
          </cell>
          <cell r="O3635">
            <v>0</v>
          </cell>
          <cell r="Q3635">
            <v>0</v>
          </cell>
          <cell r="R3635">
            <v>0</v>
          </cell>
          <cell r="T3635">
            <v>0</v>
          </cell>
          <cell r="U3635">
            <v>0</v>
          </cell>
          <cell r="W3635">
            <v>0</v>
          </cell>
          <cell r="X3635">
            <v>0</v>
          </cell>
          <cell r="Z3635">
            <v>0</v>
          </cell>
          <cell r="AA3635">
            <v>0</v>
          </cell>
          <cell r="AC3635">
            <v>0</v>
          </cell>
          <cell r="AD3635">
            <v>0</v>
          </cell>
          <cell r="AF3635">
            <v>0</v>
          </cell>
          <cell r="AG3635">
            <v>0</v>
          </cell>
          <cell r="AI3635">
            <v>0</v>
          </cell>
          <cell r="AJ3635">
            <v>0</v>
          </cell>
          <cell r="AL3635">
            <v>0</v>
          </cell>
          <cell r="AM3635">
            <v>0</v>
          </cell>
          <cell r="AO3635">
            <v>0</v>
          </cell>
          <cell r="AP3635">
            <v>0</v>
          </cell>
          <cell r="AR3635">
            <v>0</v>
          </cell>
          <cell r="AS3635">
            <v>0</v>
          </cell>
          <cell r="BF3635" t="str">
            <v>5800</v>
          </cell>
          <cell r="BG3635" t="str">
            <v>J013</v>
          </cell>
          <cell r="BH3635" t="str">
            <v>INV</v>
          </cell>
        </row>
        <row r="3636">
          <cell r="K3636">
            <v>0</v>
          </cell>
          <cell r="L3636">
            <v>0</v>
          </cell>
          <cell r="N3636">
            <v>0</v>
          </cell>
          <cell r="O3636">
            <v>0</v>
          </cell>
          <cell r="Q3636">
            <v>0</v>
          </cell>
          <cell r="R3636">
            <v>0</v>
          </cell>
          <cell r="T3636">
            <v>0</v>
          </cell>
          <cell r="U3636">
            <v>0</v>
          </cell>
          <cell r="W3636">
            <v>0</v>
          </cell>
          <cell r="X3636">
            <v>0</v>
          </cell>
          <cell r="Z3636">
            <v>0</v>
          </cell>
          <cell r="AA3636">
            <v>0</v>
          </cell>
          <cell r="AC3636">
            <v>0</v>
          </cell>
          <cell r="AD3636">
            <v>0</v>
          </cell>
          <cell r="AF3636">
            <v>0</v>
          </cell>
          <cell r="AG3636">
            <v>0</v>
          </cell>
          <cell r="AI3636">
            <v>0</v>
          </cell>
          <cell r="AJ3636">
            <v>0</v>
          </cell>
          <cell r="AL3636">
            <v>0</v>
          </cell>
          <cell r="AM3636">
            <v>0</v>
          </cell>
          <cell r="AO3636">
            <v>0</v>
          </cell>
          <cell r="AP3636">
            <v>0</v>
          </cell>
          <cell r="AR3636">
            <v>0</v>
          </cell>
          <cell r="AS3636">
            <v>0</v>
          </cell>
          <cell r="BF3636" t="str">
            <v>6000</v>
          </cell>
          <cell r="BG3636" t="str">
            <v>K001</v>
          </cell>
          <cell r="BH3636" t="str">
            <v>INV</v>
          </cell>
        </row>
        <row r="3637">
          <cell r="K3637">
            <v>0</v>
          </cell>
          <cell r="L3637">
            <v>0</v>
          </cell>
          <cell r="N3637">
            <v>0</v>
          </cell>
          <cell r="O3637">
            <v>0</v>
          </cell>
          <cell r="Q3637">
            <v>0</v>
          </cell>
          <cell r="R3637">
            <v>0</v>
          </cell>
          <cell r="T3637">
            <v>0</v>
          </cell>
          <cell r="U3637">
            <v>0</v>
          </cell>
          <cell r="W3637">
            <v>0</v>
          </cell>
          <cell r="X3637">
            <v>0</v>
          </cell>
          <cell r="Z3637">
            <v>0</v>
          </cell>
          <cell r="AA3637">
            <v>0</v>
          </cell>
          <cell r="AC3637">
            <v>0</v>
          </cell>
          <cell r="AD3637">
            <v>0</v>
          </cell>
          <cell r="AF3637">
            <v>0</v>
          </cell>
          <cell r="AG3637">
            <v>0</v>
          </cell>
          <cell r="AI3637">
            <v>0</v>
          </cell>
          <cell r="AJ3637">
            <v>0</v>
          </cell>
          <cell r="AL3637">
            <v>0</v>
          </cell>
          <cell r="AM3637">
            <v>0</v>
          </cell>
          <cell r="AO3637">
            <v>0</v>
          </cell>
          <cell r="AP3637">
            <v>0</v>
          </cell>
          <cell r="AR3637">
            <v>0</v>
          </cell>
          <cell r="AS3637">
            <v>0</v>
          </cell>
          <cell r="BF3637" t="str">
            <v>6000</v>
          </cell>
          <cell r="BG3637" t="str">
            <v>K002</v>
          </cell>
          <cell r="BH3637" t="str">
            <v>INV</v>
          </cell>
        </row>
        <row r="3638">
          <cell r="K3638">
            <v>0</v>
          </cell>
          <cell r="L3638">
            <v>0</v>
          </cell>
          <cell r="N3638">
            <v>0</v>
          </cell>
          <cell r="O3638">
            <v>0</v>
          </cell>
          <cell r="Q3638">
            <v>0</v>
          </cell>
          <cell r="R3638">
            <v>0</v>
          </cell>
          <cell r="T3638">
            <v>0</v>
          </cell>
          <cell r="U3638">
            <v>0</v>
          </cell>
          <cell r="W3638">
            <v>0</v>
          </cell>
          <cell r="X3638">
            <v>0</v>
          </cell>
          <cell r="Z3638">
            <v>0</v>
          </cell>
          <cell r="AA3638">
            <v>0</v>
          </cell>
          <cell r="AC3638">
            <v>0</v>
          </cell>
          <cell r="AD3638">
            <v>0</v>
          </cell>
          <cell r="AF3638">
            <v>0</v>
          </cell>
          <cell r="AG3638">
            <v>0</v>
          </cell>
          <cell r="AI3638">
            <v>0</v>
          </cell>
          <cell r="AJ3638">
            <v>0</v>
          </cell>
          <cell r="AL3638">
            <v>1299</v>
          </cell>
          <cell r="AM3638">
            <v>0</v>
          </cell>
          <cell r="AO3638">
            <v>0</v>
          </cell>
          <cell r="AP3638">
            <v>0</v>
          </cell>
          <cell r="AR3638">
            <v>0</v>
          </cell>
          <cell r="AS3638">
            <v>0</v>
          </cell>
          <cell r="BF3638" t="str">
            <v>6100</v>
          </cell>
          <cell r="BG3638" t="str">
            <v>K001</v>
          </cell>
          <cell r="BH3638" t="str">
            <v>INV</v>
          </cell>
        </row>
        <row r="3639">
          <cell r="K3639">
            <v>0</v>
          </cell>
          <cell r="L3639">
            <v>0</v>
          </cell>
          <cell r="N3639">
            <v>0</v>
          </cell>
          <cell r="O3639">
            <v>0</v>
          </cell>
          <cell r="Q3639">
            <v>0</v>
          </cell>
          <cell r="R3639">
            <v>0</v>
          </cell>
          <cell r="T3639">
            <v>0</v>
          </cell>
          <cell r="U3639">
            <v>0</v>
          </cell>
          <cell r="W3639">
            <v>0</v>
          </cell>
          <cell r="X3639">
            <v>0</v>
          </cell>
          <cell r="Z3639">
            <v>0</v>
          </cell>
          <cell r="AA3639">
            <v>0</v>
          </cell>
          <cell r="AC3639">
            <v>0</v>
          </cell>
          <cell r="AD3639">
            <v>0</v>
          </cell>
          <cell r="AF3639">
            <v>0</v>
          </cell>
          <cell r="AG3639">
            <v>0</v>
          </cell>
          <cell r="AI3639">
            <v>0</v>
          </cell>
          <cell r="AJ3639">
            <v>0</v>
          </cell>
          <cell r="AL3639">
            <v>-1.19</v>
          </cell>
          <cell r="AM3639">
            <v>0</v>
          </cell>
          <cell r="AO3639">
            <v>-71.17</v>
          </cell>
          <cell r="AP3639">
            <v>0</v>
          </cell>
          <cell r="AR3639">
            <v>-8.6799999999999926</v>
          </cell>
          <cell r="AS3639">
            <v>0</v>
          </cell>
          <cell r="BF3639" t="str">
            <v>6100</v>
          </cell>
          <cell r="BG3639" t="str">
            <v>K002</v>
          </cell>
          <cell r="BH3639" t="str">
            <v>INV</v>
          </cell>
        </row>
        <row r="3640">
          <cell r="K3640">
            <v>0</v>
          </cell>
          <cell r="L3640">
            <v>0</v>
          </cell>
          <cell r="N3640">
            <v>0</v>
          </cell>
          <cell r="O3640">
            <v>0</v>
          </cell>
          <cell r="Q3640">
            <v>0</v>
          </cell>
          <cell r="R3640">
            <v>0</v>
          </cell>
          <cell r="T3640">
            <v>0</v>
          </cell>
          <cell r="U3640">
            <v>0</v>
          </cell>
          <cell r="W3640">
            <v>0</v>
          </cell>
          <cell r="X3640">
            <v>0</v>
          </cell>
          <cell r="Z3640">
            <v>0</v>
          </cell>
          <cell r="AA3640">
            <v>0</v>
          </cell>
          <cell r="AC3640">
            <v>0</v>
          </cell>
          <cell r="AD3640">
            <v>0</v>
          </cell>
          <cell r="AF3640">
            <v>0</v>
          </cell>
          <cell r="AG3640">
            <v>0</v>
          </cell>
          <cell r="AI3640">
            <v>0</v>
          </cell>
          <cell r="AJ3640">
            <v>0</v>
          </cell>
          <cell r="AL3640">
            <v>0</v>
          </cell>
          <cell r="AM3640">
            <v>0</v>
          </cell>
          <cell r="AO3640">
            <v>0</v>
          </cell>
          <cell r="AP3640">
            <v>0</v>
          </cell>
          <cell r="AR3640">
            <v>0</v>
          </cell>
          <cell r="AS3640">
            <v>0</v>
          </cell>
          <cell r="BF3640" t="str">
            <v>6200</v>
          </cell>
          <cell r="BG3640" t="str">
            <v>K001</v>
          </cell>
          <cell r="BH3640" t="str">
            <v>INV</v>
          </cell>
        </row>
        <row r="3641">
          <cell r="K3641">
            <v>0</v>
          </cell>
          <cell r="L3641">
            <v>0</v>
          </cell>
          <cell r="N3641">
            <v>0</v>
          </cell>
          <cell r="O3641">
            <v>0</v>
          </cell>
          <cell r="Q3641">
            <v>0</v>
          </cell>
          <cell r="R3641">
            <v>0</v>
          </cell>
          <cell r="T3641">
            <v>0</v>
          </cell>
          <cell r="U3641">
            <v>0</v>
          </cell>
          <cell r="W3641">
            <v>0</v>
          </cell>
          <cell r="X3641">
            <v>0</v>
          </cell>
          <cell r="Z3641">
            <v>0</v>
          </cell>
          <cell r="AA3641">
            <v>0</v>
          </cell>
          <cell r="AC3641">
            <v>0</v>
          </cell>
          <cell r="AD3641">
            <v>0</v>
          </cell>
          <cell r="AF3641">
            <v>0</v>
          </cell>
          <cell r="AG3641">
            <v>0</v>
          </cell>
          <cell r="AI3641">
            <v>0</v>
          </cell>
          <cell r="AJ3641">
            <v>0</v>
          </cell>
          <cell r="AL3641">
            <v>0</v>
          </cell>
          <cell r="AM3641">
            <v>0</v>
          </cell>
          <cell r="AO3641">
            <v>0</v>
          </cell>
          <cell r="AP3641">
            <v>0</v>
          </cell>
          <cell r="AR3641">
            <v>0</v>
          </cell>
          <cell r="AS3641">
            <v>0</v>
          </cell>
          <cell r="BF3641" t="str">
            <v>6200</v>
          </cell>
          <cell r="BG3641" t="str">
            <v>K002</v>
          </cell>
          <cell r="BH3641" t="str">
            <v>INV</v>
          </cell>
        </row>
        <row r="3642">
          <cell r="K3642">
            <v>0</v>
          </cell>
          <cell r="L3642">
            <v>0</v>
          </cell>
          <cell r="N3642">
            <v>0</v>
          </cell>
          <cell r="O3642">
            <v>0</v>
          </cell>
          <cell r="Q3642">
            <v>0</v>
          </cell>
          <cell r="R3642">
            <v>0</v>
          </cell>
          <cell r="T3642">
            <v>0</v>
          </cell>
          <cell r="U3642">
            <v>0</v>
          </cell>
          <cell r="W3642">
            <v>0</v>
          </cell>
          <cell r="X3642">
            <v>0</v>
          </cell>
          <cell r="Z3642">
            <v>0</v>
          </cell>
          <cell r="AA3642">
            <v>0</v>
          </cell>
          <cell r="AC3642">
            <v>0</v>
          </cell>
          <cell r="AD3642">
            <v>0</v>
          </cell>
          <cell r="AF3642">
            <v>0</v>
          </cell>
          <cell r="AG3642">
            <v>0</v>
          </cell>
          <cell r="AI3642">
            <v>20000</v>
          </cell>
          <cell r="AJ3642">
            <v>0</v>
          </cell>
          <cell r="AL3642">
            <v>55500</v>
          </cell>
          <cell r="AM3642">
            <v>0</v>
          </cell>
          <cell r="AO3642">
            <v>0</v>
          </cell>
          <cell r="AP3642">
            <v>0</v>
          </cell>
          <cell r="AR3642">
            <v>0</v>
          </cell>
          <cell r="AS3642">
            <v>0</v>
          </cell>
          <cell r="BF3642" t="str">
            <v>6300</v>
          </cell>
          <cell r="BG3642" t="str">
            <v>K001</v>
          </cell>
          <cell r="BH3642" t="str">
            <v>INV</v>
          </cell>
        </row>
        <row r="3643">
          <cell r="K3643">
            <v>0</v>
          </cell>
          <cell r="L3643">
            <v>0</v>
          </cell>
          <cell r="N3643">
            <v>0</v>
          </cell>
          <cell r="O3643">
            <v>0</v>
          </cell>
          <cell r="Q3643">
            <v>0</v>
          </cell>
          <cell r="R3643">
            <v>0</v>
          </cell>
          <cell r="T3643">
            <v>0</v>
          </cell>
          <cell r="U3643">
            <v>0</v>
          </cell>
          <cell r="W3643">
            <v>0</v>
          </cell>
          <cell r="X3643">
            <v>0</v>
          </cell>
          <cell r="Z3643">
            <v>0</v>
          </cell>
          <cell r="AA3643">
            <v>0</v>
          </cell>
          <cell r="AC3643">
            <v>0</v>
          </cell>
          <cell r="AD3643">
            <v>0</v>
          </cell>
          <cell r="AF3643">
            <v>0</v>
          </cell>
          <cell r="AG3643">
            <v>0</v>
          </cell>
          <cell r="AI3643">
            <v>0</v>
          </cell>
          <cell r="AJ3643">
            <v>0</v>
          </cell>
          <cell r="AL3643">
            <v>-82.8</v>
          </cell>
          <cell r="AM3643">
            <v>0</v>
          </cell>
          <cell r="AO3643">
            <v>-3516.38</v>
          </cell>
          <cell r="AP3643">
            <v>0</v>
          </cell>
          <cell r="AR3643">
            <v>-4387.2700000000004</v>
          </cell>
          <cell r="AS3643">
            <v>0</v>
          </cell>
          <cell r="BF3643" t="str">
            <v>6300</v>
          </cell>
          <cell r="BG3643" t="str">
            <v>K002</v>
          </cell>
          <cell r="BH3643" t="str">
            <v>INV</v>
          </cell>
        </row>
        <row r="3644">
          <cell r="K3644">
            <v>0</v>
          </cell>
          <cell r="L3644">
            <v>0</v>
          </cell>
          <cell r="N3644">
            <v>0</v>
          </cell>
          <cell r="O3644">
            <v>0</v>
          </cell>
          <cell r="Q3644">
            <v>0</v>
          </cell>
          <cell r="R3644">
            <v>0</v>
          </cell>
          <cell r="T3644">
            <v>0</v>
          </cell>
          <cell r="U3644">
            <v>0</v>
          </cell>
          <cell r="W3644">
            <v>0</v>
          </cell>
          <cell r="X3644">
            <v>0</v>
          </cell>
          <cell r="Z3644">
            <v>0</v>
          </cell>
          <cell r="AA3644">
            <v>0</v>
          </cell>
          <cell r="AC3644">
            <v>0</v>
          </cell>
          <cell r="AD3644">
            <v>0</v>
          </cell>
          <cell r="AF3644">
            <v>0</v>
          </cell>
          <cell r="AG3644">
            <v>0</v>
          </cell>
          <cell r="AI3644">
            <v>0</v>
          </cell>
          <cell r="AJ3644">
            <v>0</v>
          </cell>
          <cell r="AL3644">
            <v>0</v>
          </cell>
          <cell r="AM3644">
            <v>0</v>
          </cell>
          <cell r="AO3644">
            <v>0</v>
          </cell>
          <cell r="AP3644">
            <v>0</v>
          </cell>
          <cell r="AR3644">
            <v>0</v>
          </cell>
          <cell r="AS3644">
            <v>0</v>
          </cell>
          <cell r="BF3644" t="str">
            <v>6400</v>
          </cell>
          <cell r="BG3644" t="str">
            <v>K001</v>
          </cell>
          <cell r="BH3644" t="str">
            <v>INV</v>
          </cell>
        </row>
        <row r="3645">
          <cell r="K3645">
            <v>0</v>
          </cell>
          <cell r="L3645">
            <v>0</v>
          </cell>
          <cell r="N3645">
            <v>0</v>
          </cell>
          <cell r="O3645">
            <v>0</v>
          </cell>
          <cell r="Q3645">
            <v>0</v>
          </cell>
          <cell r="R3645">
            <v>0</v>
          </cell>
          <cell r="T3645">
            <v>0</v>
          </cell>
          <cell r="U3645">
            <v>0</v>
          </cell>
          <cell r="W3645">
            <v>0</v>
          </cell>
          <cell r="X3645">
            <v>0</v>
          </cell>
          <cell r="Z3645">
            <v>0</v>
          </cell>
          <cell r="AA3645">
            <v>0</v>
          </cell>
          <cell r="AC3645">
            <v>0</v>
          </cell>
          <cell r="AD3645">
            <v>0</v>
          </cell>
          <cell r="AF3645">
            <v>0</v>
          </cell>
          <cell r="AG3645">
            <v>0</v>
          </cell>
          <cell r="AI3645">
            <v>0</v>
          </cell>
          <cell r="AJ3645">
            <v>0</v>
          </cell>
          <cell r="AL3645">
            <v>0</v>
          </cell>
          <cell r="AM3645">
            <v>0</v>
          </cell>
          <cell r="AO3645">
            <v>0</v>
          </cell>
          <cell r="AP3645">
            <v>0</v>
          </cell>
          <cell r="AR3645">
            <v>0</v>
          </cell>
          <cell r="AS3645">
            <v>0</v>
          </cell>
          <cell r="BF3645" t="str">
            <v>6400</v>
          </cell>
          <cell r="BG3645" t="str">
            <v>K002</v>
          </cell>
          <cell r="BH3645" t="str">
            <v>INV</v>
          </cell>
        </row>
        <row r="3646">
          <cell r="K3646">
            <v>0</v>
          </cell>
          <cell r="L3646">
            <v>0</v>
          </cell>
          <cell r="N3646">
            <v>0</v>
          </cell>
          <cell r="O3646">
            <v>0</v>
          </cell>
          <cell r="Q3646">
            <v>0</v>
          </cell>
          <cell r="R3646">
            <v>0</v>
          </cell>
          <cell r="T3646">
            <v>0</v>
          </cell>
          <cell r="U3646">
            <v>0</v>
          </cell>
          <cell r="W3646">
            <v>0</v>
          </cell>
          <cell r="X3646">
            <v>0</v>
          </cell>
          <cell r="Z3646">
            <v>0</v>
          </cell>
          <cell r="AA3646">
            <v>0</v>
          </cell>
          <cell r="AC3646">
            <v>0</v>
          </cell>
          <cell r="AD3646">
            <v>0</v>
          </cell>
          <cell r="AF3646">
            <v>0</v>
          </cell>
          <cell r="AG3646">
            <v>0</v>
          </cell>
          <cell r="AI3646">
            <v>0</v>
          </cell>
          <cell r="AJ3646">
            <v>0</v>
          </cell>
          <cell r="AL3646">
            <v>0</v>
          </cell>
          <cell r="AM3646">
            <v>0</v>
          </cell>
          <cell r="AO3646">
            <v>0</v>
          </cell>
          <cell r="AP3646">
            <v>0</v>
          </cell>
          <cell r="AR3646">
            <v>0</v>
          </cell>
          <cell r="AS3646">
            <v>0</v>
          </cell>
          <cell r="BF3646" t="str">
            <v>6500</v>
          </cell>
          <cell r="BG3646" t="str">
            <v>K001</v>
          </cell>
          <cell r="BH3646" t="str">
            <v>INV</v>
          </cell>
        </row>
        <row r="3647">
          <cell r="K3647">
            <v>0</v>
          </cell>
          <cell r="L3647">
            <v>0</v>
          </cell>
          <cell r="N3647">
            <v>0</v>
          </cell>
          <cell r="O3647">
            <v>0</v>
          </cell>
          <cell r="Q3647">
            <v>0</v>
          </cell>
          <cell r="R3647">
            <v>0</v>
          </cell>
          <cell r="T3647">
            <v>0</v>
          </cell>
          <cell r="U3647">
            <v>0</v>
          </cell>
          <cell r="W3647">
            <v>0</v>
          </cell>
          <cell r="X3647">
            <v>0</v>
          </cell>
          <cell r="Z3647">
            <v>0</v>
          </cell>
          <cell r="AA3647">
            <v>0</v>
          </cell>
          <cell r="AC3647">
            <v>0</v>
          </cell>
          <cell r="AD3647">
            <v>0</v>
          </cell>
          <cell r="AF3647">
            <v>0</v>
          </cell>
          <cell r="AG3647">
            <v>0</v>
          </cell>
          <cell r="AI3647">
            <v>0</v>
          </cell>
          <cell r="AJ3647">
            <v>0</v>
          </cell>
          <cell r="AL3647">
            <v>0</v>
          </cell>
          <cell r="AM3647">
            <v>0</v>
          </cell>
          <cell r="AO3647">
            <v>0</v>
          </cell>
          <cell r="AP3647">
            <v>0</v>
          </cell>
          <cell r="AR3647">
            <v>0</v>
          </cell>
          <cell r="AS3647">
            <v>0</v>
          </cell>
          <cell r="BF3647" t="str">
            <v>6500</v>
          </cell>
          <cell r="BG3647" t="str">
            <v>K002</v>
          </cell>
          <cell r="BH3647" t="str">
            <v>INV</v>
          </cell>
        </row>
        <row r="3648">
          <cell r="K3648">
            <v>0</v>
          </cell>
          <cell r="L3648">
            <v>0</v>
          </cell>
          <cell r="N3648">
            <v>0</v>
          </cell>
          <cell r="O3648">
            <v>0</v>
          </cell>
          <cell r="Q3648">
            <v>0</v>
          </cell>
          <cell r="R3648">
            <v>0</v>
          </cell>
          <cell r="T3648">
            <v>0</v>
          </cell>
          <cell r="U3648">
            <v>0</v>
          </cell>
          <cell r="W3648">
            <v>0</v>
          </cell>
          <cell r="X3648">
            <v>0</v>
          </cell>
          <cell r="Z3648">
            <v>0</v>
          </cell>
          <cell r="AA3648">
            <v>0</v>
          </cell>
          <cell r="AC3648">
            <v>0</v>
          </cell>
          <cell r="AD3648">
            <v>0</v>
          </cell>
          <cell r="AF3648">
            <v>0</v>
          </cell>
          <cell r="AG3648">
            <v>0</v>
          </cell>
          <cell r="AI3648">
            <v>0</v>
          </cell>
          <cell r="AJ3648">
            <v>0</v>
          </cell>
          <cell r="AL3648">
            <v>0</v>
          </cell>
          <cell r="AM3648">
            <v>0</v>
          </cell>
          <cell r="AO3648">
            <v>0</v>
          </cell>
          <cell r="AP3648">
            <v>0</v>
          </cell>
          <cell r="AR3648">
            <v>0</v>
          </cell>
          <cell r="AS3648">
            <v>0</v>
          </cell>
          <cell r="BF3648" t="str">
            <v>6600</v>
          </cell>
          <cell r="BG3648" t="str">
            <v>K001</v>
          </cell>
          <cell r="BH3648" t="str">
            <v>INV</v>
          </cell>
        </row>
        <row r="3649">
          <cell r="K3649">
            <v>0</v>
          </cell>
          <cell r="L3649">
            <v>0</v>
          </cell>
          <cell r="N3649">
            <v>0</v>
          </cell>
          <cell r="O3649">
            <v>0</v>
          </cell>
          <cell r="Q3649">
            <v>0</v>
          </cell>
          <cell r="R3649">
            <v>0</v>
          </cell>
          <cell r="T3649">
            <v>0</v>
          </cell>
          <cell r="U3649">
            <v>0</v>
          </cell>
          <cell r="W3649">
            <v>0</v>
          </cell>
          <cell r="X3649">
            <v>0</v>
          </cell>
          <cell r="Z3649">
            <v>0</v>
          </cell>
          <cell r="AA3649">
            <v>0</v>
          </cell>
          <cell r="AC3649">
            <v>0</v>
          </cell>
          <cell r="AD3649">
            <v>0</v>
          </cell>
          <cell r="AF3649">
            <v>0</v>
          </cell>
          <cell r="AG3649">
            <v>0</v>
          </cell>
          <cell r="AI3649">
            <v>0</v>
          </cell>
          <cell r="AJ3649">
            <v>0</v>
          </cell>
          <cell r="AL3649">
            <v>0</v>
          </cell>
          <cell r="AM3649">
            <v>0</v>
          </cell>
          <cell r="AO3649">
            <v>0</v>
          </cell>
          <cell r="AP3649">
            <v>0</v>
          </cell>
          <cell r="AR3649">
            <v>0</v>
          </cell>
          <cell r="AS3649">
            <v>0</v>
          </cell>
          <cell r="BF3649" t="str">
            <v>6600</v>
          </cell>
          <cell r="BG3649" t="str">
            <v>K002</v>
          </cell>
          <cell r="BH3649" t="str">
            <v>INV</v>
          </cell>
        </row>
        <row r="3650">
          <cell r="K3650">
            <v>0</v>
          </cell>
          <cell r="L3650">
            <v>0</v>
          </cell>
          <cell r="N3650">
            <v>0</v>
          </cell>
          <cell r="O3650">
            <v>0</v>
          </cell>
          <cell r="Q3650">
            <v>0</v>
          </cell>
          <cell r="R3650">
            <v>0</v>
          </cell>
          <cell r="T3650">
            <v>0</v>
          </cell>
          <cell r="U3650">
            <v>0</v>
          </cell>
          <cell r="W3650">
            <v>0</v>
          </cell>
          <cell r="X3650">
            <v>0</v>
          </cell>
          <cell r="Z3650">
            <v>0</v>
          </cell>
          <cell r="AA3650">
            <v>0</v>
          </cell>
          <cell r="AC3650">
            <v>0</v>
          </cell>
          <cell r="AD3650">
            <v>0</v>
          </cell>
          <cell r="AF3650">
            <v>0</v>
          </cell>
          <cell r="AG3650">
            <v>0</v>
          </cell>
          <cell r="AI3650">
            <v>0</v>
          </cell>
          <cell r="AJ3650">
            <v>0</v>
          </cell>
          <cell r="AL3650">
            <v>2472.29</v>
          </cell>
          <cell r="AM3650">
            <v>0</v>
          </cell>
          <cell r="AO3650">
            <v>-247.23000000000002</v>
          </cell>
          <cell r="AP3650">
            <v>0</v>
          </cell>
          <cell r="AR3650">
            <v>-247.23000000000002</v>
          </cell>
          <cell r="AS3650">
            <v>0</v>
          </cell>
          <cell r="BF3650" t="str">
            <v>7000</v>
          </cell>
          <cell r="BG3650" t="str">
            <v>Z000</v>
          </cell>
          <cell r="BH3650" t="str">
            <v>INV</v>
          </cell>
        </row>
        <row r="3651">
          <cell r="K3651">
            <v>0</v>
          </cell>
          <cell r="L3651">
            <v>0</v>
          </cell>
          <cell r="N3651">
            <v>0</v>
          </cell>
          <cell r="O3651">
            <v>0</v>
          </cell>
          <cell r="Q3651">
            <v>0</v>
          </cell>
          <cell r="R3651">
            <v>0</v>
          </cell>
          <cell r="T3651">
            <v>0</v>
          </cell>
          <cell r="U3651">
            <v>0</v>
          </cell>
          <cell r="W3651">
            <v>0</v>
          </cell>
          <cell r="X3651">
            <v>0</v>
          </cell>
          <cell r="Z3651">
            <v>0</v>
          </cell>
          <cell r="AA3651">
            <v>0</v>
          </cell>
          <cell r="AC3651">
            <v>0</v>
          </cell>
          <cell r="AD3651">
            <v>0</v>
          </cell>
          <cell r="AF3651">
            <v>0</v>
          </cell>
          <cell r="AG3651">
            <v>0</v>
          </cell>
          <cell r="AI3651">
            <v>0</v>
          </cell>
          <cell r="AJ3651">
            <v>0</v>
          </cell>
          <cell r="AL3651">
            <v>0</v>
          </cell>
          <cell r="AM3651">
            <v>0</v>
          </cell>
          <cell r="AO3651">
            <v>0</v>
          </cell>
          <cell r="AP3651">
            <v>0</v>
          </cell>
          <cell r="AR3651">
            <v>0</v>
          </cell>
          <cell r="AS3651">
            <v>0</v>
          </cell>
          <cell r="BF3651" t="str">
            <v>7100</v>
          </cell>
          <cell r="BG3651" t="str">
            <v>Z000</v>
          </cell>
          <cell r="BH3651" t="str">
            <v>INV</v>
          </cell>
        </row>
        <row r="3652">
          <cell r="K3652">
            <v>0</v>
          </cell>
          <cell r="L3652">
            <v>0</v>
          </cell>
          <cell r="N3652">
            <v>0</v>
          </cell>
          <cell r="O3652">
            <v>0</v>
          </cell>
          <cell r="Q3652">
            <v>0</v>
          </cell>
          <cell r="R3652">
            <v>0</v>
          </cell>
          <cell r="T3652">
            <v>0</v>
          </cell>
          <cell r="U3652">
            <v>0</v>
          </cell>
          <cell r="W3652">
            <v>0</v>
          </cell>
          <cell r="X3652">
            <v>0</v>
          </cell>
          <cell r="Z3652">
            <v>0</v>
          </cell>
          <cell r="AA3652">
            <v>0</v>
          </cell>
          <cell r="AC3652">
            <v>0</v>
          </cell>
          <cell r="AD3652">
            <v>0</v>
          </cell>
          <cell r="AF3652">
            <v>0</v>
          </cell>
          <cell r="AG3652">
            <v>0</v>
          </cell>
          <cell r="AI3652">
            <v>0</v>
          </cell>
          <cell r="AJ3652">
            <v>0</v>
          </cell>
          <cell r="AL3652">
            <v>0</v>
          </cell>
          <cell r="AM3652">
            <v>0</v>
          </cell>
          <cell r="AO3652">
            <v>0</v>
          </cell>
          <cell r="AP3652">
            <v>0</v>
          </cell>
          <cell r="AR3652">
            <v>0</v>
          </cell>
          <cell r="AS3652">
            <v>0</v>
          </cell>
          <cell r="BF3652" t="str">
            <v>7300</v>
          </cell>
          <cell r="BG3652" t="str">
            <v>Z000</v>
          </cell>
          <cell r="BH3652" t="str">
            <v>INV</v>
          </cell>
        </row>
        <row r="3653">
          <cell r="K3653">
            <v>0</v>
          </cell>
          <cell r="L3653">
            <v>0</v>
          </cell>
          <cell r="N3653">
            <v>0</v>
          </cell>
          <cell r="O3653">
            <v>0</v>
          </cell>
          <cell r="Q3653">
            <v>0</v>
          </cell>
          <cell r="R3653">
            <v>0</v>
          </cell>
          <cell r="T3653">
            <v>0</v>
          </cell>
          <cell r="U3653">
            <v>0</v>
          </cell>
          <cell r="W3653">
            <v>0</v>
          </cell>
          <cell r="X3653">
            <v>0</v>
          </cell>
          <cell r="Z3653">
            <v>0</v>
          </cell>
          <cell r="AA3653">
            <v>0</v>
          </cell>
          <cell r="AC3653">
            <v>0</v>
          </cell>
          <cell r="AD3653">
            <v>0</v>
          </cell>
          <cell r="AF3653">
            <v>7500</v>
          </cell>
          <cell r="AG3653">
            <v>0</v>
          </cell>
          <cell r="AI3653">
            <v>0</v>
          </cell>
          <cell r="AJ3653">
            <v>0</v>
          </cell>
          <cell r="AL3653">
            <v>0</v>
          </cell>
          <cell r="AM3653">
            <v>0</v>
          </cell>
          <cell r="AO3653">
            <v>0</v>
          </cell>
          <cell r="AP3653">
            <v>0</v>
          </cell>
          <cell r="AR3653">
            <v>0</v>
          </cell>
          <cell r="AS3653">
            <v>0</v>
          </cell>
          <cell r="BF3653" t="str">
            <v>7350</v>
          </cell>
          <cell r="BG3653" t="str">
            <v>Z000</v>
          </cell>
          <cell r="BH3653" t="str">
            <v>INV</v>
          </cell>
        </row>
        <row r="3654">
          <cell r="K3654">
            <v>0</v>
          </cell>
          <cell r="L3654">
            <v>0</v>
          </cell>
          <cell r="N3654">
            <v>0</v>
          </cell>
          <cell r="O3654">
            <v>0</v>
          </cell>
          <cell r="Q3654">
            <v>0</v>
          </cell>
          <cell r="R3654">
            <v>0</v>
          </cell>
          <cell r="T3654">
            <v>0</v>
          </cell>
          <cell r="U3654">
            <v>0</v>
          </cell>
          <cell r="W3654">
            <v>0</v>
          </cell>
          <cell r="X3654">
            <v>0</v>
          </cell>
          <cell r="Z3654">
            <v>0</v>
          </cell>
          <cell r="AA3654">
            <v>0</v>
          </cell>
          <cell r="AC3654">
            <v>0</v>
          </cell>
          <cell r="AD3654">
            <v>0</v>
          </cell>
          <cell r="AF3654">
            <v>0</v>
          </cell>
          <cell r="AG3654">
            <v>0</v>
          </cell>
          <cell r="AI3654">
            <v>0</v>
          </cell>
          <cell r="AJ3654">
            <v>0</v>
          </cell>
          <cell r="AL3654">
            <v>0</v>
          </cell>
          <cell r="AM3654">
            <v>0</v>
          </cell>
          <cell r="AO3654">
            <v>0</v>
          </cell>
          <cell r="AP3654">
            <v>0</v>
          </cell>
          <cell r="AR3654">
            <v>0</v>
          </cell>
          <cell r="AS3654">
            <v>0</v>
          </cell>
          <cell r="BF3654" t="str">
            <v>7400</v>
          </cell>
          <cell r="BG3654" t="str">
            <v>Z000</v>
          </cell>
          <cell r="BH3654" t="str">
            <v>INV</v>
          </cell>
        </row>
        <row r="3655">
          <cell r="K3655">
            <v>0</v>
          </cell>
          <cell r="L3655">
            <v>0</v>
          </cell>
          <cell r="N3655">
            <v>0</v>
          </cell>
          <cell r="O3655">
            <v>0</v>
          </cell>
          <cell r="Q3655">
            <v>0</v>
          </cell>
          <cell r="R3655">
            <v>0</v>
          </cell>
          <cell r="T3655">
            <v>0</v>
          </cell>
          <cell r="U3655">
            <v>0</v>
          </cell>
          <cell r="W3655">
            <v>0</v>
          </cell>
          <cell r="X3655">
            <v>0</v>
          </cell>
          <cell r="Z3655">
            <v>0</v>
          </cell>
          <cell r="AA3655">
            <v>0</v>
          </cell>
          <cell r="AC3655">
            <v>0</v>
          </cell>
          <cell r="AD3655">
            <v>0</v>
          </cell>
          <cell r="AF3655">
            <v>0</v>
          </cell>
          <cell r="AG3655">
            <v>0</v>
          </cell>
          <cell r="AI3655">
            <v>0</v>
          </cell>
          <cell r="AJ3655">
            <v>0</v>
          </cell>
          <cell r="AL3655">
            <v>0</v>
          </cell>
          <cell r="AM3655">
            <v>0</v>
          </cell>
          <cell r="AO3655">
            <v>0</v>
          </cell>
          <cell r="AP3655">
            <v>0</v>
          </cell>
          <cell r="AR3655">
            <v>0</v>
          </cell>
          <cell r="AS3655">
            <v>0</v>
          </cell>
          <cell r="BF3655" t="str">
            <v>7500</v>
          </cell>
          <cell r="BG3655" t="str">
            <v>Z000</v>
          </cell>
          <cell r="BH3655" t="str">
            <v>INV</v>
          </cell>
        </row>
        <row r="3656">
          <cell r="K3656">
            <v>0</v>
          </cell>
          <cell r="L3656">
            <v>0</v>
          </cell>
          <cell r="N3656">
            <v>0</v>
          </cell>
          <cell r="O3656">
            <v>0</v>
          </cell>
          <cell r="Q3656">
            <v>0</v>
          </cell>
          <cell r="R3656">
            <v>0</v>
          </cell>
          <cell r="T3656">
            <v>0</v>
          </cell>
          <cell r="U3656">
            <v>0</v>
          </cell>
          <cell r="W3656">
            <v>0</v>
          </cell>
          <cell r="X3656">
            <v>0</v>
          </cell>
          <cell r="Z3656">
            <v>0</v>
          </cell>
          <cell r="AA3656">
            <v>0</v>
          </cell>
          <cell r="AC3656">
            <v>0</v>
          </cell>
          <cell r="AD3656">
            <v>0</v>
          </cell>
          <cell r="AF3656">
            <v>0</v>
          </cell>
          <cell r="AG3656">
            <v>0</v>
          </cell>
          <cell r="AI3656">
            <v>0</v>
          </cell>
          <cell r="AJ3656">
            <v>0</v>
          </cell>
          <cell r="AL3656">
            <v>0</v>
          </cell>
          <cell r="AM3656">
            <v>0</v>
          </cell>
          <cell r="AO3656">
            <v>0</v>
          </cell>
          <cell r="AP3656">
            <v>0</v>
          </cell>
          <cell r="AR3656">
            <v>0</v>
          </cell>
          <cell r="AS3656">
            <v>0</v>
          </cell>
          <cell r="BF3656" t="str">
            <v>7600</v>
          </cell>
          <cell r="BG3656" t="str">
            <v>Z000</v>
          </cell>
          <cell r="BH3656" t="str">
            <v>INV</v>
          </cell>
        </row>
        <row r="3657">
          <cell r="K3657">
            <v>0</v>
          </cell>
          <cell r="L3657">
            <v>0</v>
          </cell>
          <cell r="N3657">
            <v>0</v>
          </cell>
          <cell r="O3657">
            <v>0</v>
          </cell>
          <cell r="Q3657">
            <v>0</v>
          </cell>
          <cell r="R3657">
            <v>0</v>
          </cell>
          <cell r="T3657">
            <v>0</v>
          </cell>
          <cell r="U3657">
            <v>0</v>
          </cell>
          <cell r="W3657">
            <v>0</v>
          </cell>
          <cell r="X3657">
            <v>0</v>
          </cell>
          <cell r="Z3657">
            <v>0</v>
          </cell>
          <cell r="AA3657">
            <v>0</v>
          </cell>
          <cell r="AC3657">
            <v>0</v>
          </cell>
          <cell r="AD3657">
            <v>0</v>
          </cell>
          <cell r="AF3657">
            <v>0</v>
          </cell>
          <cell r="AG3657">
            <v>0</v>
          </cell>
          <cell r="AI3657">
            <v>0</v>
          </cell>
          <cell r="AJ3657">
            <v>0</v>
          </cell>
          <cell r="AL3657">
            <v>0</v>
          </cell>
          <cell r="AM3657">
            <v>0</v>
          </cell>
          <cell r="AO3657">
            <v>0</v>
          </cell>
          <cell r="AP3657">
            <v>0</v>
          </cell>
          <cell r="AR3657">
            <v>0</v>
          </cell>
          <cell r="AS3657">
            <v>0</v>
          </cell>
          <cell r="BF3657" t="str">
            <v>7700</v>
          </cell>
          <cell r="BG3657" t="str">
            <v>Z000</v>
          </cell>
          <cell r="BH3657" t="str">
            <v>INV</v>
          </cell>
        </row>
        <row r="3658">
          <cell r="K3658">
            <v>0</v>
          </cell>
          <cell r="L3658">
            <v>0</v>
          </cell>
          <cell r="N3658">
            <v>0</v>
          </cell>
          <cell r="O3658">
            <v>0</v>
          </cell>
          <cell r="Q3658">
            <v>0</v>
          </cell>
          <cell r="R3658">
            <v>0</v>
          </cell>
          <cell r="T3658">
            <v>0</v>
          </cell>
          <cell r="U3658">
            <v>0</v>
          </cell>
          <cell r="W3658">
            <v>0</v>
          </cell>
          <cell r="X3658">
            <v>0</v>
          </cell>
          <cell r="Z3658">
            <v>0</v>
          </cell>
          <cell r="AA3658">
            <v>0</v>
          </cell>
          <cell r="AC3658">
            <v>0</v>
          </cell>
          <cell r="AD3658">
            <v>0</v>
          </cell>
          <cell r="AF3658">
            <v>0</v>
          </cell>
          <cell r="AG3658">
            <v>0</v>
          </cell>
          <cell r="AI3658">
            <v>0</v>
          </cell>
          <cell r="AJ3658">
            <v>0</v>
          </cell>
          <cell r="AL3658">
            <v>0</v>
          </cell>
          <cell r="AM3658">
            <v>0</v>
          </cell>
          <cell r="AO3658">
            <v>0</v>
          </cell>
          <cell r="AP3658">
            <v>0</v>
          </cell>
          <cell r="AR3658">
            <v>0</v>
          </cell>
          <cell r="AS3658">
            <v>0</v>
          </cell>
          <cell r="BF3658" t="str">
            <v>8002</v>
          </cell>
          <cell r="BG3658" t="str">
            <v>Z000</v>
          </cell>
          <cell r="BH3658" t="str">
            <v>INV</v>
          </cell>
        </row>
        <row r="3659">
          <cell r="K3659">
            <v>0</v>
          </cell>
          <cell r="L3659">
            <v>0</v>
          </cell>
          <cell r="N3659">
            <v>0</v>
          </cell>
          <cell r="O3659">
            <v>0</v>
          </cell>
          <cell r="Q3659">
            <v>0</v>
          </cell>
          <cell r="R3659">
            <v>0</v>
          </cell>
          <cell r="T3659">
            <v>0</v>
          </cell>
          <cell r="U3659">
            <v>0</v>
          </cell>
          <cell r="W3659">
            <v>0</v>
          </cell>
          <cell r="X3659">
            <v>0</v>
          </cell>
          <cell r="Z3659">
            <v>0</v>
          </cell>
          <cell r="AA3659">
            <v>0</v>
          </cell>
          <cell r="AC3659">
            <v>0</v>
          </cell>
          <cell r="AD3659">
            <v>0</v>
          </cell>
          <cell r="AF3659">
            <v>0</v>
          </cell>
          <cell r="AG3659">
            <v>0</v>
          </cell>
          <cell r="AI3659">
            <v>0</v>
          </cell>
          <cell r="AJ3659">
            <v>0</v>
          </cell>
          <cell r="AL3659">
            <v>0</v>
          </cell>
          <cell r="AM3659">
            <v>0</v>
          </cell>
          <cell r="AO3659">
            <v>0</v>
          </cell>
          <cell r="AP3659">
            <v>0</v>
          </cell>
          <cell r="AR3659">
            <v>0</v>
          </cell>
          <cell r="AS3659">
            <v>0</v>
          </cell>
          <cell r="BF3659" t="str">
            <v>8003</v>
          </cell>
          <cell r="BG3659" t="str">
            <v>Z000</v>
          </cell>
          <cell r="BH3659" t="str">
            <v>INV</v>
          </cell>
        </row>
        <row r="3660">
          <cell r="K3660">
            <v>0</v>
          </cell>
          <cell r="L3660">
            <v>0</v>
          </cell>
          <cell r="N3660">
            <v>0</v>
          </cell>
          <cell r="O3660">
            <v>0</v>
          </cell>
          <cell r="Q3660">
            <v>0</v>
          </cell>
          <cell r="R3660">
            <v>0</v>
          </cell>
          <cell r="T3660">
            <v>0</v>
          </cell>
          <cell r="U3660">
            <v>0</v>
          </cell>
          <cell r="W3660">
            <v>0</v>
          </cell>
          <cell r="X3660">
            <v>0</v>
          </cell>
          <cell r="Z3660">
            <v>0</v>
          </cell>
          <cell r="AA3660">
            <v>0</v>
          </cell>
          <cell r="AC3660">
            <v>0</v>
          </cell>
          <cell r="AD3660">
            <v>0</v>
          </cell>
          <cell r="AF3660">
            <v>0</v>
          </cell>
          <cell r="AG3660">
            <v>0</v>
          </cell>
          <cell r="AI3660">
            <v>0</v>
          </cell>
          <cell r="AJ3660">
            <v>0</v>
          </cell>
          <cell r="AL3660">
            <v>0</v>
          </cell>
          <cell r="AM3660">
            <v>0</v>
          </cell>
          <cell r="AO3660">
            <v>0</v>
          </cell>
          <cell r="AP3660">
            <v>0</v>
          </cell>
          <cell r="AR3660">
            <v>0</v>
          </cell>
          <cell r="AS3660">
            <v>0</v>
          </cell>
          <cell r="BF3660" t="str">
            <v>8200</v>
          </cell>
          <cell r="BG3660" t="str">
            <v>Z000</v>
          </cell>
          <cell r="BH3660" t="str">
            <v>INV</v>
          </cell>
        </row>
        <row r="3661">
          <cell r="K3661">
            <v>0</v>
          </cell>
          <cell r="L3661">
            <v>0</v>
          </cell>
          <cell r="N3661">
            <v>0</v>
          </cell>
          <cell r="O3661">
            <v>0</v>
          </cell>
          <cell r="Q3661">
            <v>0</v>
          </cell>
          <cell r="R3661">
            <v>0</v>
          </cell>
          <cell r="T3661">
            <v>0</v>
          </cell>
          <cell r="U3661">
            <v>0</v>
          </cell>
          <cell r="W3661">
            <v>0</v>
          </cell>
          <cell r="X3661">
            <v>0</v>
          </cell>
          <cell r="Z3661">
            <v>0</v>
          </cell>
          <cell r="AA3661">
            <v>0</v>
          </cell>
          <cell r="AC3661">
            <v>0</v>
          </cell>
          <cell r="AD3661">
            <v>0</v>
          </cell>
          <cell r="AF3661">
            <v>0</v>
          </cell>
          <cell r="AG3661">
            <v>0</v>
          </cell>
          <cell r="AI3661">
            <v>0</v>
          </cell>
          <cell r="AJ3661">
            <v>0</v>
          </cell>
          <cell r="AL3661">
            <v>0</v>
          </cell>
          <cell r="AM3661">
            <v>0</v>
          </cell>
          <cell r="AO3661">
            <v>0</v>
          </cell>
          <cell r="AP3661">
            <v>0</v>
          </cell>
          <cell r="AR3661">
            <v>0</v>
          </cell>
          <cell r="AS3661">
            <v>0</v>
          </cell>
          <cell r="BF3661" t="str">
            <v>8201</v>
          </cell>
          <cell r="BG3661" t="str">
            <v>Z000</v>
          </cell>
          <cell r="BH3661" t="str">
            <v>INV</v>
          </cell>
        </row>
        <row r="3662">
          <cell r="K3662">
            <v>0</v>
          </cell>
          <cell r="L3662">
            <v>0</v>
          </cell>
          <cell r="N3662">
            <v>0</v>
          </cell>
          <cell r="O3662">
            <v>0</v>
          </cell>
          <cell r="Q3662">
            <v>0</v>
          </cell>
          <cell r="R3662">
            <v>0</v>
          </cell>
          <cell r="T3662">
            <v>0</v>
          </cell>
          <cell r="U3662">
            <v>0</v>
          </cell>
          <cell r="W3662">
            <v>0</v>
          </cell>
          <cell r="X3662">
            <v>0</v>
          </cell>
          <cell r="Z3662">
            <v>0</v>
          </cell>
          <cell r="AA3662">
            <v>0</v>
          </cell>
          <cell r="AC3662">
            <v>0</v>
          </cell>
          <cell r="AD3662">
            <v>0</v>
          </cell>
          <cell r="AF3662">
            <v>0</v>
          </cell>
          <cell r="AG3662">
            <v>0</v>
          </cell>
          <cell r="AI3662">
            <v>0</v>
          </cell>
          <cell r="AJ3662">
            <v>0</v>
          </cell>
          <cell r="AL3662">
            <v>0</v>
          </cell>
          <cell r="AM3662">
            <v>0</v>
          </cell>
          <cell r="AO3662">
            <v>0</v>
          </cell>
          <cell r="AP3662">
            <v>0</v>
          </cell>
          <cell r="AR3662">
            <v>0</v>
          </cell>
          <cell r="AS3662">
            <v>0</v>
          </cell>
          <cell r="BF3662" t="str">
            <v>8300</v>
          </cell>
          <cell r="BG3662" t="str">
            <v>Z000</v>
          </cell>
          <cell r="BH3662" t="str">
            <v>INV</v>
          </cell>
        </row>
        <row r="3663">
          <cell r="K3663">
            <v>0</v>
          </cell>
          <cell r="L3663">
            <v>0</v>
          </cell>
          <cell r="N3663">
            <v>0</v>
          </cell>
          <cell r="O3663">
            <v>0</v>
          </cell>
          <cell r="Q3663">
            <v>0</v>
          </cell>
          <cell r="R3663">
            <v>0</v>
          </cell>
          <cell r="T3663">
            <v>0</v>
          </cell>
          <cell r="U3663">
            <v>0</v>
          </cell>
          <cell r="W3663">
            <v>0</v>
          </cell>
          <cell r="X3663">
            <v>0</v>
          </cell>
          <cell r="Z3663">
            <v>0</v>
          </cell>
          <cell r="AA3663">
            <v>0</v>
          </cell>
          <cell r="AC3663">
            <v>8871.9500000000044</v>
          </cell>
          <cell r="AD3663">
            <v>0</v>
          </cell>
          <cell r="AF3663">
            <v>218859.96999999997</v>
          </cell>
          <cell r="AG3663">
            <v>0</v>
          </cell>
          <cell r="AI3663">
            <v>-123848.27999999994</v>
          </cell>
          <cell r="AJ3663">
            <v>0</v>
          </cell>
          <cell r="AL3663">
            <v>74805.280000000028</v>
          </cell>
          <cell r="AM3663">
            <v>0</v>
          </cell>
          <cell r="AO3663">
            <v>-30088.649999999936</v>
          </cell>
          <cell r="AP3663">
            <v>0</v>
          </cell>
          <cell r="AR3663">
            <v>-18071.559999999998</v>
          </cell>
          <cell r="AS3663">
            <v>0</v>
          </cell>
          <cell r="BF3663" t="str">
            <v>8400</v>
          </cell>
          <cell r="BG3663" t="str">
            <v>N001</v>
          </cell>
          <cell r="BH3663" t="str">
            <v>INV</v>
          </cell>
        </row>
        <row r="3664">
          <cell r="K3664">
            <v>0</v>
          </cell>
          <cell r="L3664">
            <v>0</v>
          </cell>
          <cell r="N3664">
            <v>0</v>
          </cell>
          <cell r="O3664">
            <v>0</v>
          </cell>
          <cell r="Q3664">
            <v>0</v>
          </cell>
          <cell r="R3664">
            <v>0</v>
          </cell>
          <cell r="T3664">
            <v>0</v>
          </cell>
          <cell r="U3664">
            <v>0</v>
          </cell>
          <cell r="W3664">
            <v>0</v>
          </cell>
          <cell r="X3664">
            <v>0</v>
          </cell>
          <cell r="Z3664">
            <v>0</v>
          </cell>
          <cell r="AA3664">
            <v>0</v>
          </cell>
          <cell r="AC3664">
            <v>1351500</v>
          </cell>
          <cell r="AD3664">
            <v>0</v>
          </cell>
          <cell r="AF3664">
            <v>-1297636.5799999991</v>
          </cell>
          <cell r="AG3664">
            <v>0</v>
          </cell>
          <cell r="AI3664">
            <v>-9136.0300000011921</v>
          </cell>
          <cell r="AJ3664">
            <v>0</v>
          </cell>
          <cell r="AL3664">
            <v>-44727.310000005178</v>
          </cell>
          <cell r="AM3664">
            <v>0</v>
          </cell>
          <cell r="AO3664">
            <v>5858.5100000016391</v>
          </cell>
          <cell r="AP3664">
            <v>0</v>
          </cell>
          <cell r="AR3664">
            <v>-8.9999999850988388E-2</v>
          </cell>
          <cell r="AS3664">
            <v>0</v>
          </cell>
          <cell r="BF3664" t="str">
            <v>8400</v>
          </cell>
          <cell r="BG3664" t="str">
            <v>N002</v>
          </cell>
          <cell r="BH3664" t="str">
            <v>INV</v>
          </cell>
        </row>
        <row r="3665">
          <cell r="K3665">
            <v>0</v>
          </cell>
          <cell r="L3665">
            <v>0</v>
          </cell>
          <cell r="N3665">
            <v>0</v>
          </cell>
          <cell r="O3665">
            <v>0</v>
          </cell>
          <cell r="Q3665">
            <v>0</v>
          </cell>
          <cell r="R3665">
            <v>0</v>
          </cell>
          <cell r="T3665">
            <v>0</v>
          </cell>
          <cell r="U3665">
            <v>0</v>
          </cell>
          <cell r="W3665">
            <v>0</v>
          </cell>
          <cell r="X3665">
            <v>0</v>
          </cell>
          <cell r="Z3665">
            <v>0</v>
          </cell>
          <cell r="AA3665">
            <v>0</v>
          </cell>
          <cell r="AC3665">
            <v>0</v>
          </cell>
          <cell r="AD3665">
            <v>0</v>
          </cell>
          <cell r="AF3665">
            <v>0</v>
          </cell>
          <cell r="AG3665">
            <v>0</v>
          </cell>
          <cell r="AI3665">
            <v>0</v>
          </cell>
          <cell r="AJ3665">
            <v>0</v>
          </cell>
          <cell r="AL3665">
            <v>0</v>
          </cell>
          <cell r="AM3665">
            <v>0</v>
          </cell>
          <cell r="AO3665">
            <v>0</v>
          </cell>
          <cell r="AP3665">
            <v>0</v>
          </cell>
          <cell r="AR3665">
            <v>0</v>
          </cell>
          <cell r="AS3665">
            <v>0</v>
          </cell>
          <cell r="BF3665" t="str">
            <v>8420</v>
          </cell>
          <cell r="BG3665" t="str">
            <v>Z000</v>
          </cell>
          <cell r="BH3665" t="str">
            <v>INV</v>
          </cell>
        </row>
        <row r="3666">
          <cell r="K3666">
            <v>0</v>
          </cell>
          <cell r="L3666">
            <v>0</v>
          </cell>
          <cell r="N3666">
            <v>0</v>
          </cell>
          <cell r="O3666">
            <v>0</v>
          </cell>
          <cell r="Q3666">
            <v>0</v>
          </cell>
          <cell r="R3666">
            <v>0</v>
          </cell>
          <cell r="T3666">
            <v>0</v>
          </cell>
          <cell r="U3666">
            <v>0</v>
          </cell>
          <cell r="W3666">
            <v>0</v>
          </cell>
          <cell r="X3666">
            <v>0</v>
          </cell>
          <cell r="Z3666">
            <v>0</v>
          </cell>
          <cell r="AA3666">
            <v>0</v>
          </cell>
          <cell r="AC3666">
            <v>0</v>
          </cell>
          <cell r="AD3666">
            <v>0</v>
          </cell>
          <cell r="AF3666">
            <v>0</v>
          </cell>
          <cell r="AG3666">
            <v>0</v>
          </cell>
          <cell r="AI3666">
            <v>0</v>
          </cell>
          <cell r="AJ3666">
            <v>0</v>
          </cell>
          <cell r="AL3666">
            <v>0</v>
          </cell>
          <cell r="AM3666">
            <v>0</v>
          </cell>
          <cell r="AO3666">
            <v>0</v>
          </cell>
          <cell r="AP3666">
            <v>0</v>
          </cell>
          <cell r="AR3666">
            <v>0</v>
          </cell>
          <cell r="AS3666">
            <v>0</v>
          </cell>
          <cell r="BF3666" t="str">
            <v>8500</v>
          </cell>
          <cell r="BG3666" t="str">
            <v>Z000</v>
          </cell>
          <cell r="BH3666" t="str">
            <v>INV</v>
          </cell>
        </row>
        <row r="3667">
          <cell r="K3667">
            <v>0</v>
          </cell>
          <cell r="L3667">
            <v>0</v>
          </cell>
          <cell r="N3667">
            <v>0</v>
          </cell>
          <cell r="O3667">
            <v>0</v>
          </cell>
          <cell r="Q3667">
            <v>0</v>
          </cell>
          <cell r="R3667">
            <v>0</v>
          </cell>
          <cell r="T3667">
            <v>0</v>
          </cell>
          <cell r="U3667">
            <v>0</v>
          </cell>
          <cell r="W3667">
            <v>0</v>
          </cell>
          <cell r="X3667">
            <v>0</v>
          </cell>
          <cell r="Z3667">
            <v>0</v>
          </cell>
          <cell r="AA3667">
            <v>0</v>
          </cell>
          <cell r="AC3667">
            <v>0</v>
          </cell>
          <cell r="AD3667">
            <v>0</v>
          </cell>
          <cell r="AF3667">
            <v>0</v>
          </cell>
          <cell r="AG3667">
            <v>0</v>
          </cell>
          <cell r="AI3667">
            <v>0</v>
          </cell>
          <cell r="AJ3667">
            <v>0</v>
          </cell>
          <cell r="AL3667">
            <v>0</v>
          </cell>
          <cell r="AM3667">
            <v>0</v>
          </cell>
          <cell r="AO3667">
            <v>0</v>
          </cell>
          <cell r="AP3667">
            <v>0</v>
          </cell>
          <cell r="AR3667">
            <v>0</v>
          </cell>
          <cell r="AS3667">
            <v>0</v>
          </cell>
          <cell r="BF3667" t="str">
            <v>8600</v>
          </cell>
          <cell r="BG3667" t="str">
            <v>P201</v>
          </cell>
          <cell r="BH3667" t="str">
            <v>INV</v>
          </cell>
        </row>
        <row r="3668">
          <cell r="K3668">
            <v>0</v>
          </cell>
          <cell r="L3668">
            <v>0</v>
          </cell>
          <cell r="N3668">
            <v>0</v>
          </cell>
          <cell r="O3668">
            <v>0</v>
          </cell>
          <cell r="Q3668">
            <v>0</v>
          </cell>
          <cell r="R3668">
            <v>0</v>
          </cell>
          <cell r="T3668">
            <v>0</v>
          </cell>
          <cell r="U3668">
            <v>0</v>
          </cell>
          <cell r="W3668">
            <v>0</v>
          </cell>
          <cell r="X3668">
            <v>0</v>
          </cell>
          <cell r="Z3668">
            <v>0</v>
          </cell>
          <cell r="AA3668">
            <v>0</v>
          </cell>
          <cell r="AC3668">
            <v>0</v>
          </cell>
          <cell r="AD3668">
            <v>0</v>
          </cell>
          <cell r="AF3668">
            <v>0</v>
          </cell>
          <cell r="AG3668">
            <v>0</v>
          </cell>
          <cell r="AI3668">
            <v>0</v>
          </cell>
          <cell r="AJ3668">
            <v>0</v>
          </cell>
          <cell r="AL3668">
            <v>0</v>
          </cell>
          <cell r="AM3668">
            <v>0</v>
          </cell>
          <cell r="AO3668">
            <v>0</v>
          </cell>
          <cell r="AP3668">
            <v>0</v>
          </cell>
          <cell r="AR3668">
            <v>0</v>
          </cell>
          <cell r="AS3668">
            <v>0</v>
          </cell>
          <cell r="BF3668" t="str">
            <v>8600</v>
          </cell>
          <cell r="BG3668" t="str">
            <v>P202</v>
          </cell>
          <cell r="BH3668" t="str">
            <v>INV</v>
          </cell>
        </row>
        <row r="3669">
          <cell r="K3669">
            <v>0</v>
          </cell>
          <cell r="L3669">
            <v>0</v>
          </cell>
          <cell r="N3669">
            <v>0</v>
          </cell>
          <cell r="O3669">
            <v>0</v>
          </cell>
          <cell r="Q3669">
            <v>0</v>
          </cell>
          <cell r="R3669">
            <v>0</v>
          </cell>
          <cell r="T3669">
            <v>0</v>
          </cell>
          <cell r="U3669">
            <v>0</v>
          </cell>
          <cell r="W3669">
            <v>0</v>
          </cell>
          <cell r="X3669">
            <v>0</v>
          </cell>
          <cell r="Z3669">
            <v>0</v>
          </cell>
          <cell r="AA3669">
            <v>0</v>
          </cell>
          <cell r="AC3669">
            <v>0</v>
          </cell>
          <cell r="AD3669">
            <v>0</v>
          </cell>
          <cell r="AF3669">
            <v>0</v>
          </cell>
          <cell r="AG3669">
            <v>0</v>
          </cell>
          <cell r="AI3669">
            <v>0</v>
          </cell>
          <cell r="AJ3669">
            <v>0</v>
          </cell>
          <cell r="AL3669">
            <v>0</v>
          </cell>
          <cell r="AM3669">
            <v>0</v>
          </cell>
          <cell r="AO3669">
            <v>0</v>
          </cell>
          <cell r="AP3669">
            <v>0</v>
          </cell>
          <cell r="AR3669">
            <v>0</v>
          </cell>
          <cell r="AS3669">
            <v>0</v>
          </cell>
          <cell r="BF3669" t="str">
            <v>8600</v>
          </cell>
          <cell r="BG3669" t="str">
            <v>P203</v>
          </cell>
          <cell r="BH3669" t="str">
            <v>INV</v>
          </cell>
        </row>
        <row r="3670">
          <cell r="K3670">
            <v>0</v>
          </cell>
          <cell r="L3670">
            <v>0</v>
          </cell>
          <cell r="N3670">
            <v>0</v>
          </cell>
          <cell r="O3670">
            <v>0</v>
          </cell>
          <cell r="Q3670">
            <v>0</v>
          </cell>
          <cell r="R3670">
            <v>0</v>
          </cell>
          <cell r="T3670">
            <v>0</v>
          </cell>
          <cell r="U3670">
            <v>0</v>
          </cell>
          <cell r="W3670">
            <v>0</v>
          </cell>
          <cell r="X3670">
            <v>0</v>
          </cell>
          <cell r="Z3670">
            <v>0</v>
          </cell>
          <cell r="AA3670">
            <v>0</v>
          </cell>
          <cell r="AC3670">
            <v>0</v>
          </cell>
          <cell r="AD3670">
            <v>0</v>
          </cell>
          <cell r="AF3670">
            <v>0</v>
          </cell>
          <cell r="AG3670">
            <v>0</v>
          </cell>
          <cell r="AI3670">
            <v>0</v>
          </cell>
          <cell r="AJ3670">
            <v>0</v>
          </cell>
          <cell r="AL3670">
            <v>0</v>
          </cell>
          <cell r="AM3670">
            <v>0</v>
          </cell>
          <cell r="AO3670">
            <v>0</v>
          </cell>
          <cell r="AP3670">
            <v>0</v>
          </cell>
          <cell r="AR3670">
            <v>0</v>
          </cell>
          <cell r="AS3670">
            <v>0</v>
          </cell>
          <cell r="BF3670" t="str">
            <v>8600</v>
          </cell>
          <cell r="BG3670" t="str">
            <v>P204</v>
          </cell>
          <cell r="BH3670" t="str">
            <v>INV</v>
          </cell>
        </row>
        <row r="3671">
          <cell r="K3671">
            <v>0</v>
          </cell>
          <cell r="L3671">
            <v>0</v>
          </cell>
          <cell r="N3671">
            <v>0</v>
          </cell>
          <cell r="O3671">
            <v>0</v>
          </cell>
          <cell r="Q3671">
            <v>0</v>
          </cell>
          <cell r="R3671">
            <v>0</v>
          </cell>
          <cell r="T3671">
            <v>0</v>
          </cell>
          <cell r="U3671">
            <v>0</v>
          </cell>
          <cell r="W3671">
            <v>0</v>
          </cell>
          <cell r="X3671">
            <v>0</v>
          </cell>
          <cell r="Z3671">
            <v>0</v>
          </cell>
          <cell r="AA3671">
            <v>0</v>
          </cell>
          <cell r="AC3671">
            <v>0</v>
          </cell>
          <cell r="AD3671">
            <v>0</v>
          </cell>
          <cell r="AF3671">
            <v>0</v>
          </cell>
          <cell r="AG3671">
            <v>0</v>
          </cell>
          <cell r="AI3671">
            <v>0</v>
          </cell>
          <cell r="AJ3671">
            <v>0</v>
          </cell>
          <cell r="AL3671">
            <v>0</v>
          </cell>
          <cell r="AM3671">
            <v>0</v>
          </cell>
          <cell r="AO3671">
            <v>0</v>
          </cell>
          <cell r="AP3671">
            <v>0</v>
          </cell>
          <cell r="AR3671">
            <v>0</v>
          </cell>
          <cell r="AS3671">
            <v>0</v>
          </cell>
          <cell r="BF3671" t="str">
            <v>8600</v>
          </cell>
          <cell r="BG3671" t="str">
            <v>P205</v>
          </cell>
          <cell r="BH3671" t="str">
            <v>INV</v>
          </cell>
        </row>
        <row r="3672">
          <cell r="K3672">
            <v>0</v>
          </cell>
          <cell r="L3672">
            <v>0</v>
          </cell>
          <cell r="N3672">
            <v>0</v>
          </cell>
          <cell r="O3672">
            <v>0</v>
          </cell>
          <cell r="Q3672">
            <v>0</v>
          </cell>
          <cell r="R3672">
            <v>0</v>
          </cell>
          <cell r="T3672">
            <v>0</v>
          </cell>
          <cell r="U3672">
            <v>0</v>
          </cell>
          <cell r="W3672">
            <v>0</v>
          </cell>
          <cell r="X3672">
            <v>0</v>
          </cell>
          <cell r="Z3672">
            <v>0</v>
          </cell>
          <cell r="AA3672">
            <v>0</v>
          </cell>
          <cell r="AC3672">
            <v>0</v>
          </cell>
          <cell r="AD3672">
            <v>0</v>
          </cell>
          <cell r="AF3672">
            <v>0</v>
          </cell>
          <cell r="AG3672">
            <v>0</v>
          </cell>
          <cell r="AI3672">
            <v>0</v>
          </cell>
          <cell r="AJ3672">
            <v>0</v>
          </cell>
          <cell r="AL3672">
            <v>0</v>
          </cell>
          <cell r="AM3672">
            <v>0</v>
          </cell>
          <cell r="AO3672">
            <v>0</v>
          </cell>
          <cell r="AP3672">
            <v>0</v>
          </cell>
          <cell r="AR3672">
            <v>0</v>
          </cell>
          <cell r="AS3672">
            <v>0</v>
          </cell>
          <cell r="BF3672" t="str">
            <v>8600</v>
          </cell>
          <cell r="BG3672" t="str">
            <v>P206</v>
          </cell>
          <cell r="BH3672" t="str">
            <v>INV</v>
          </cell>
        </row>
        <row r="3673">
          <cell r="K3673">
            <v>0</v>
          </cell>
          <cell r="L3673">
            <v>0</v>
          </cell>
          <cell r="N3673">
            <v>0</v>
          </cell>
          <cell r="O3673">
            <v>0</v>
          </cell>
          <cell r="Q3673">
            <v>0</v>
          </cell>
          <cell r="R3673">
            <v>0</v>
          </cell>
          <cell r="T3673">
            <v>0</v>
          </cell>
          <cell r="U3673">
            <v>0</v>
          </cell>
          <cell r="W3673">
            <v>0</v>
          </cell>
          <cell r="X3673">
            <v>0</v>
          </cell>
          <cell r="Z3673">
            <v>0</v>
          </cell>
          <cell r="AA3673">
            <v>0</v>
          </cell>
          <cell r="AC3673">
            <v>0</v>
          </cell>
          <cell r="AD3673">
            <v>0</v>
          </cell>
          <cell r="AF3673">
            <v>0</v>
          </cell>
          <cell r="AG3673">
            <v>0</v>
          </cell>
          <cell r="AI3673">
            <v>0</v>
          </cell>
          <cell r="AJ3673">
            <v>0</v>
          </cell>
          <cell r="AL3673">
            <v>0</v>
          </cell>
          <cell r="AM3673">
            <v>0</v>
          </cell>
          <cell r="AO3673">
            <v>0</v>
          </cell>
          <cell r="AP3673">
            <v>0</v>
          </cell>
          <cell r="AR3673">
            <v>0</v>
          </cell>
          <cell r="AS3673">
            <v>0</v>
          </cell>
          <cell r="BF3673" t="str">
            <v>8600</v>
          </cell>
          <cell r="BG3673" t="str">
            <v>P207</v>
          </cell>
          <cell r="BH3673" t="str">
            <v>INV</v>
          </cell>
        </row>
        <row r="3674">
          <cell r="K3674">
            <v>0</v>
          </cell>
          <cell r="L3674">
            <v>0</v>
          </cell>
          <cell r="N3674">
            <v>0</v>
          </cell>
          <cell r="O3674">
            <v>0</v>
          </cell>
          <cell r="Q3674">
            <v>0</v>
          </cell>
          <cell r="R3674">
            <v>0</v>
          </cell>
          <cell r="T3674">
            <v>0</v>
          </cell>
          <cell r="U3674">
            <v>0</v>
          </cell>
          <cell r="W3674">
            <v>0</v>
          </cell>
          <cell r="X3674">
            <v>0</v>
          </cell>
          <cell r="Z3674">
            <v>0</v>
          </cell>
          <cell r="AA3674">
            <v>0</v>
          </cell>
          <cell r="AC3674">
            <v>0</v>
          </cell>
          <cell r="AD3674">
            <v>0</v>
          </cell>
          <cell r="AF3674">
            <v>0</v>
          </cell>
          <cell r="AG3674">
            <v>0</v>
          </cell>
          <cell r="AI3674">
            <v>0</v>
          </cell>
          <cell r="AJ3674">
            <v>0</v>
          </cell>
          <cell r="AL3674">
            <v>0</v>
          </cell>
          <cell r="AM3674">
            <v>0</v>
          </cell>
          <cell r="AO3674">
            <v>0</v>
          </cell>
          <cell r="AP3674">
            <v>0</v>
          </cell>
          <cell r="AR3674">
            <v>0</v>
          </cell>
          <cell r="AS3674">
            <v>0</v>
          </cell>
          <cell r="BF3674" t="str">
            <v>8600</v>
          </cell>
          <cell r="BG3674" t="str">
            <v>P208</v>
          </cell>
          <cell r="BH3674" t="str">
            <v>INV</v>
          </cell>
        </row>
        <row r="3675">
          <cell r="K3675">
            <v>0</v>
          </cell>
          <cell r="L3675">
            <v>0</v>
          </cell>
          <cell r="N3675">
            <v>0</v>
          </cell>
          <cell r="O3675">
            <v>0</v>
          </cell>
          <cell r="Q3675">
            <v>0</v>
          </cell>
          <cell r="R3675">
            <v>0</v>
          </cell>
          <cell r="T3675">
            <v>0</v>
          </cell>
          <cell r="U3675">
            <v>0</v>
          </cell>
          <cell r="W3675">
            <v>0</v>
          </cell>
          <cell r="X3675">
            <v>0</v>
          </cell>
          <cell r="Z3675">
            <v>0</v>
          </cell>
          <cell r="AA3675">
            <v>0</v>
          </cell>
          <cell r="AC3675">
            <v>0</v>
          </cell>
          <cell r="AD3675">
            <v>0</v>
          </cell>
          <cell r="AF3675">
            <v>0</v>
          </cell>
          <cell r="AG3675">
            <v>0</v>
          </cell>
          <cell r="AI3675">
            <v>0</v>
          </cell>
          <cell r="AJ3675">
            <v>0</v>
          </cell>
          <cell r="AL3675">
            <v>0</v>
          </cell>
          <cell r="AM3675">
            <v>0</v>
          </cell>
          <cell r="AO3675">
            <v>0</v>
          </cell>
          <cell r="AP3675">
            <v>0</v>
          </cell>
          <cell r="AR3675">
            <v>0</v>
          </cell>
          <cell r="AS3675">
            <v>0</v>
          </cell>
          <cell r="BF3675" t="str">
            <v>8600</v>
          </cell>
          <cell r="BG3675" t="str">
            <v>P209</v>
          </cell>
          <cell r="BH3675" t="str">
            <v>INV</v>
          </cell>
        </row>
        <row r="3676">
          <cell r="K3676">
            <v>0</v>
          </cell>
          <cell r="L3676">
            <v>0</v>
          </cell>
          <cell r="N3676">
            <v>0</v>
          </cell>
          <cell r="O3676">
            <v>0</v>
          </cell>
          <cell r="Q3676">
            <v>0</v>
          </cell>
          <cell r="R3676">
            <v>0</v>
          </cell>
          <cell r="T3676">
            <v>0</v>
          </cell>
          <cell r="U3676">
            <v>0</v>
          </cell>
          <cell r="W3676">
            <v>0</v>
          </cell>
          <cell r="X3676">
            <v>0</v>
          </cell>
          <cell r="Z3676">
            <v>0</v>
          </cell>
          <cell r="AA3676">
            <v>0</v>
          </cell>
          <cell r="AC3676">
            <v>0</v>
          </cell>
          <cell r="AD3676">
            <v>0</v>
          </cell>
          <cell r="AF3676">
            <v>0</v>
          </cell>
          <cell r="AG3676">
            <v>0</v>
          </cell>
          <cell r="AI3676">
            <v>0</v>
          </cell>
          <cell r="AJ3676">
            <v>0</v>
          </cell>
          <cell r="AL3676">
            <v>0</v>
          </cell>
          <cell r="AM3676">
            <v>0</v>
          </cell>
          <cell r="AO3676">
            <v>0</v>
          </cell>
          <cell r="AP3676">
            <v>0</v>
          </cell>
          <cell r="AR3676">
            <v>0</v>
          </cell>
          <cell r="AS3676">
            <v>0</v>
          </cell>
          <cell r="BF3676" t="str">
            <v>8600</v>
          </cell>
          <cell r="BG3676" t="str">
            <v>P210</v>
          </cell>
          <cell r="BH3676" t="str">
            <v>INV</v>
          </cell>
        </row>
        <row r="3677">
          <cell r="K3677">
            <v>0</v>
          </cell>
          <cell r="L3677">
            <v>0</v>
          </cell>
          <cell r="N3677">
            <v>0</v>
          </cell>
          <cell r="O3677">
            <v>0</v>
          </cell>
          <cell r="Q3677">
            <v>0</v>
          </cell>
          <cell r="R3677">
            <v>0</v>
          </cell>
          <cell r="T3677">
            <v>0</v>
          </cell>
          <cell r="U3677">
            <v>0</v>
          </cell>
          <cell r="W3677">
            <v>0</v>
          </cell>
          <cell r="X3677">
            <v>0</v>
          </cell>
          <cell r="Z3677">
            <v>0</v>
          </cell>
          <cell r="AA3677">
            <v>0</v>
          </cell>
          <cell r="AC3677">
            <v>0</v>
          </cell>
          <cell r="AD3677">
            <v>0</v>
          </cell>
          <cell r="AF3677">
            <v>0</v>
          </cell>
          <cell r="AG3677">
            <v>0</v>
          </cell>
          <cell r="AI3677">
            <v>0</v>
          </cell>
          <cell r="AJ3677">
            <v>0</v>
          </cell>
          <cell r="AL3677">
            <v>0</v>
          </cell>
          <cell r="AM3677">
            <v>0</v>
          </cell>
          <cell r="AO3677">
            <v>0</v>
          </cell>
          <cell r="AP3677">
            <v>0</v>
          </cell>
          <cell r="AR3677">
            <v>0</v>
          </cell>
          <cell r="AS3677">
            <v>0</v>
          </cell>
          <cell r="BF3677" t="str">
            <v>8600</v>
          </cell>
          <cell r="BG3677" t="str">
            <v>P211</v>
          </cell>
          <cell r="BH3677" t="str">
            <v>INV</v>
          </cell>
        </row>
        <row r="3678">
          <cell r="K3678">
            <v>0</v>
          </cell>
          <cell r="L3678">
            <v>0</v>
          </cell>
          <cell r="N3678">
            <v>0</v>
          </cell>
          <cell r="O3678">
            <v>0</v>
          </cell>
          <cell r="Q3678">
            <v>0</v>
          </cell>
          <cell r="R3678">
            <v>0</v>
          </cell>
          <cell r="T3678">
            <v>0</v>
          </cell>
          <cell r="U3678">
            <v>0</v>
          </cell>
          <cell r="W3678">
            <v>0</v>
          </cell>
          <cell r="X3678">
            <v>0</v>
          </cell>
          <cell r="Z3678">
            <v>0</v>
          </cell>
          <cell r="AA3678">
            <v>0</v>
          </cell>
          <cell r="AC3678">
            <v>0</v>
          </cell>
          <cell r="AD3678">
            <v>0</v>
          </cell>
          <cell r="AF3678">
            <v>37342.83</v>
          </cell>
          <cell r="AG3678">
            <v>0</v>
          </cell>
          <cell r="AI3678">
            <v>30295.399999999994</v>
          </cell>
          <cell r="AJ3678">
            <v>0</v>
          </cell>
          <cell r="AL3678">
            <v>58374.680000000008</v>
          </cell>
          <cell r="AM3678">
            <v>0</v>
          </cell>
          <cell r="AO3678">
            <v>51799.299999999988</v>
          </cell>
          <cell r="AP3678">
            <v>0</v>
          </cell>
          <cell r="AR3678">
            <v>44405.279999999999</v>
          </cell>
          <cell r="AS3678">
            <v>0</v>
          </cell>
          <cell r="BF3678" t="str">
            <v>9000</v>
          </cell>
          <cell r="BG3678" t="str">
            <v>Q102</v>
          </cell>
          <cell r="BH3678" t="str">
            <v>INV</v>
          </cell>
        </row>
        <row r="3679">
          <cell r="K3679">
            <v>0</v>
          </cell>
          <cell r="L3679">
            <v>0</v>
          </cell>
          <cell r="N3679">
            <v>0</v>
          </cell>
          <cell r="O3679">
            <v>0</v>
          </cell>
          <cell r="Q3679">
            <v>0</v>
          </cell>
          <cell r="R3679">
            <v>0</v>
          </cell>
          <cell r="T3679">
            <v>0</v>
          </cell>
          <cell r="U3679">
            <v>0</v>
          </cell>
          <cell r="W3679">
            <v>0</v>
          </cell>
          <cell r="X3679">
            <v>0</v>
          </cell>
          <cell r="Z3679">
            <v>0</v>
          </cell>
          <cell r="AA3679">
            <v>0</v>
          </cell>
          <cell r="AC3679">
            <v>2500</v>
          </cell>
          <cell r="AD3679">
            <v>0</v>
          </cell>
          <cell r="AF3679">
            <v>250</v>
          </cell>
          <cell r="AG3679">
            <v>0</v>
          </cell>
          <cell r="AI3679">
            <v>6000</v>
          </cell>
          <cell r="AJ3679">
            <v>0</v>
          </cell>
          <cell r="AL3679">
            <v>-5250</v>
          </cell>
          <cell r="AM3679">
            <v>0</v>
          </cell>
          <cell r="AO3679">
            <v>0</v>
          </cell>
          <cell r="AP3679">
            <v>0</v>
          </cell>
          <cell r="AR3679">
            <v>0</v>
          </cell>
          <cell r="AS3679">
            <v>0</v>
          </cell>
          <cell r="BF3679" t="str">
            <v>9000</v>
          </cell>
          <cell r="BG3679" t="str">
            <v>Q103</v>
          </cell>
          <cell r="BH3679" t="str">
            <v>INV</v>
          </cell>
        </row>
        <row r="3680">
          <cell r="K3680">
            <v>0</v>
          </cell>
          <cell r="L3680">
            <v>0</v>
          </cell>
          <cell r="N3680">
            <v>0</v>
          </cell>
          <cell r="O3680">
            <v>0</v>
          </cell>
          <cell r="Q3680">
            <v>0</v>
          </cell>
          <cell r="R3680">
            <v>0</v>
          </cell>
          <cell r="T3680">
            <v>0</v>
          </cell>
          <cell r="U3680">
            <v>0</v>
          </cell>
          <cell r="W3680">
            <v>0</v>
          </cell>
          <cell r="X3680">
            <v>0</v>
          </cell>
          <cell r="Z3680">
            <v>0</v>
          </cell>
          <cell r="AA3680">
            <v>0</v>
          </cell>
          <cell r="AC3680">
            <v>2000</v>
          </cell>
          <cell r="AD3680">
            <v>0</v>
          </cell>
          <cell r="AF3680">
            <v>7349.9</v>
          </cell>
          <cell r="AG3680">
            <v>0</v>
          </cell>
          <cell r="AI3680">
            <v>6146.0899999999983</v>
          </cell>
          <cell r="AJ3680">
            <v>0</v>
          </cell>
          <cell r="AL3680">
            <v>4693.2299999999996</v>
          </cell>
          <cell r="AM3680">
            <v>0</v>
          </cell>
          <cell r="AO3680">
            <v>2000</v>
          </cell>
          <cell r="AP3680">
            <v>0</v>
          </cell>
          <cell r="AR3680">
            <v>-10189.220000000001</v>
          </cell>
          <cell r="AS3680">
            <v>0</v>
          </cell>
          <cell r="BF3680" t="str">
            <v>9000</v>
          </cell>
          <cell r="BG3680" t="str">
            <v>Z000</v>
          </cell>
          <cell r="BH3680" t="str">
            <v>INV</v>
          </cell>
        </row>
        <row r="3681">
          <cell r="K3681">
            <v>0</v>
          </cell>
          <cell r="L3681">
            <v>0</v>
          </cell>
          <cell r="N3681">
            <v>0</v>
          </cell>
          <cell r="O3681">
            <v>0</v>
          </cell>
          <cell r="Q3681">
            <v>0</v>
          </cell>
          <cell r="R3681">
            <v>0</v>
          </cell>
          <cell r="T3681">
            <v>0</v>
          </cell>
          <cell r="U3681">
            <v>0</v>
          </cell>
          <cell r="W3681">
            <v>0</v>
          </cell>
          <cell r="X3681">
            <v>0</v>
          </cell>
          <cell r="Z3681">
            <v>0</v>
          </cell>
          <cell r="AA3681">
            <v>0</v>
          </cell>
          <cell r="AC3681">
            <v>0</v>
          </cell>
          <cell r="AD3681">
            <v>0</v>
          </cell>
          <cell r="AF3681">
            <v>0</v>
          </cell>
          <cell r="AG3681">
            <v>0</v>
          </cell>
          <cell r="AI3681">
            <v>0</v>
          </cell>
          <cell r="AJ3681">
            <v>0</v>
          </cell>
          <cell r="AL3681">
            <v>0</v>
          </cell>
          <cell r="AM3681">
            <v>0</v>
          </cell>
          <cell r="AO3681">
            <v>0</v>
          </cell>
          <cell r="AP3681">
            <v>0</v>
          </cell>
          <cell r="AR3681">
            <v>0</v>
          </cell>
          <cell r="AS3681">
            <v>0</v>
          </cell>
          <cell r="BF3681" t="str">
            <v>9050</v>
          </cell>
          <cell r="BG3681" t="str">
            <v>Z000</v>
          </cell>
          <cell r="BH3681" t="str">
            <v>INV</v>
          </cell>
        </row>
        <row r="3682">
          <cell r="K3682">
            <v>0</v>
          </cell>
          <cell r="L3682">
            <v>0</v>
          </cell>
          <cell r="N3682">
            <v>0</v>
          </cell>
          <cell r="O3682">
            <v>0</v>
          </cell>
          <cell r="Q3682">
            <v>0</v>
          </cell>
          <cell r="R3682">
            <v>0</v>
          </cell>
          <cell r="T3682">
            <v>0</v>
          </cell>
          <cell r="U3682">
            <v>0</v>
          </cell>
          <cell r="W3682">
            <v>0</v>
          </cell>
          <cell r="X3682">
            <v>0</v>
          </cell>
          <cell r="Z3682">
            <v>0</v>
          </cell>
          <cell r="AA3682">
            <v>0</v>
          </cell>
          <cell r="AC3682">
            <v>0</v>
          </cell>
          <cell r="AD3682">
            <v>0</v>
          </cell>
          <cell r="AF3682">
            <v>0</v>
          </cell>
          <cell r="AG3682">
            <v>0</v>
          </cell>
          <cell r="AI3682">
            <v>0</v>
          </cell>
          <cell r="AJ3682">
            <v>0</v>
          </cell>
          <cell r="AL3682">
            <v>0</v>
          </cell>
          <cell r="AM3682">
            <v>0</v>
          </cell>
          <cell r="AO3682">
            <v>0</v>
          </cell>
          <cell r="AP3682">
            <v>0</v>
          </cell>
          <cell r="AR3682">
            <v>0</v>
          </cell>
          <cell r="AS3682">
            <v>0</v>
          </cell>
          <cell r="BF3682" t="str">
            <v>9051</v>
          </cell>
          <cell r="BG3682" t="str">
            <v>Z000</v>
          </cell>
          <cell r="BH3682" t="str">
            <v>INV</v>
          </cell>
        </row>
        <row r="3683">
          <cell r="K3683">
            <v>0</v>
          </cell>
          <cell r="L3683">
            <v>0</v>
          </cell>
          <cell r="N3683">
            <v>0</v>
          </cell>
          <cell r="O3683">
            <v>0</v>
          </cell>
          <cell r="Q3683">
            <v>0</v>
          </cell>
          <cell r="R3683">
            <v>0</v>
          </cell>
          <cell r="T3683">
            <v>0</v>
          </cell>
          <cell r="U3683">
            <v>0</v>
          </cell>
          <cell r="W3683">
            <v>0</v>
          </cell>
          <cell r="X3683">
            <v>0</v>
          </cell>
          <cell r="Z3683">
            <v>0</v>
          </cell>
          <cell r="AA3683">
            <v>0</v>
          </cell>
          <cell r="AC3683">
            <v>349000</v>
          </cell>
          <cell r="AD3683">
            <v>0</v>
          </cell>
          <cell r="AF3683">
            <v>4018138.9299999997</v>
          </cell>
          <cell r="AG3683">
            <v>0</v>
          </cell>
          <cell r="AI3683">
            <v>261089.06999999844</v>
          </cell>
          <cell r="AJ3683">
            <v>0</v>
          </cell>
          <cell r="AL3683">
            <v>492569.56999999844</v>
          </cell>
          <cell r="AM3683">
            <v>0</v>
          </cell>
          <cell r="AO3683">
            <v>69260.519999999553</v>
          </cell>
          <cell r="AP3683">
            <v>0</v>
          </cell>
          <cell r="AR3683">
            <v>0</v>
          </cell>
          <cell r="AS3683">
            <v>0</v>
          </cell>
          <cell r="BF3683" t="str">
            <v>9100</v>
          </cell>
          <cell r="BG3683" t="str">
            <v>Z000</v>
          </cell>
          <cell r="BH3683" t="str">
            <v>INV</v>
          </cell>
        </row>
        <row r="3684">
          <cell r="K3684">
            <v>0</v>
          </cell>
          <cell r="L3684">
            <v>0</v>
          </cell>
          <cell r="N3684">
            <v>0</v>
          </cell>
          <cell r="O3684">
            <v>0</v>
          </cell>
          <cell r="Q3684">
            <v>0</v>
          </cell>
          <cell r="R3684">
            <v>0</v>
          </cell>
          <cell r="T3684">
            <v>0</v>
          </cell>
          <cell r="U3684">
            <v>0</v>
          </cell>
          <cell r="W3684">
            <v>0</v>
          </cell>
          <cell r="X3684">
            <v>0</v>
          </cell>
          <cell r="Z3684">
            <v>0</v>
          </cell>
          <cell r="AA3684">
            <v>0</v>
          </cell>
          <cell r="AC3684">
            <v>0</v>
          </cell>
          <cell r="AD3684">
            <v>0</v>
          </cell>
          <cell r="AF3684">
            <v>-37342.83</v>
          </cell>
          <cell r="AG3684">
            <v>0</v>
          </cell>
          <cell r="AI3684">
            <v>0</v>
          </cell>
          <cell r="AJ3684">
            <v>0</v>
          </cell>
          <cell r="AL3684">
            <v>7295.739999999998</v>
          </cell>
          <cell r="AM3684">
            <v>0</v>
          </cell>
          <cell r="AO3684">
            <v>-6498.7000000000044</v>
          </cell>
          <cell r="AP3684">
            <v>0</v>
          </cell>
          <cell r="AR3684">
            <v>13066.800000000003</v>
          </cell>
          <cell r="AS3684">
            <v>0</v>
          </cell>
          <cell r="BF3684" t="str">
            <v>9200</v>
          </cell>
          <cell r="BG3684" t="str">
            <v>Q001</v>
          </cell>
          <cell r="BH3684" t="str">
            <v>INV</v>
          </cell>
        </row>
        <row r="3685">
          <cell r="K3685">
            <v>0</v>
          </cell>
          <cell r="L3685">
            <v>0</v>
          </cell>
          <cell r="N3685">
            <v>0</v>
          </cell>
          <cell r="O3685">
            <v>0</v>
          </cell>
          <cell r="Q3685">
            <v>0</v>
          </cell>
          <cell r="R3685">
            <v>0</v>
          </cell>
          <cell r="T3685">
            <v>0</v>
          </cell>
          <cell r="U3685">
            <v>0</v>
          </cell>
          <cell r="W3685">
            <v>0</v>
          </cell>
          <cell r="X3685">
            <v>0</v>
          </cell>
          <cell r="Z3685">
            <v>0</v>
          </cell>
          <cell r="AA3685">
            <v>0</v>
          </cell>
          <cell r="AC3685">
            <v>0</v>
          </cell>
          <cell r="AD3685">
            <v>0</v>
          </cell>
          <cell r="AF3685">
            <v>37342.83</v>
          </cell>
          <cell r="AG3685">
            <v>0</v>
          </cell>
          <cell r="AI3685">
            <v>0</v>
          </cell>
          <cell r="AJ3685">
            <v>0</v>
          </cell>
          <cell r="AL3685">
            <v>0</v>
          </cell>
          <cell r="AM3685">
            <v>0</v>
          </cell>
          <cell r="AO3685">
            <v>0</v>
          </cell>
          <cell r="AP3685">
            <v>0</v>
          </cell>
          <cell r="AR3685">
            <v>0</v>
          </cell>
          <cell r="AS3685">
            <v>0</v>
          </cell>
          <cell r="BF3685" t="str">
            <v>9200</v>
          </cell>
          <cell r="BG3685" t="str">
            <v>Q002</v>
          </cell>
          <cell r="BH3685" t="str">
            <v>INV</v>
          </cell>
        </row>
        <row r="3686">
          <cell r="K3686">
            <v>0</v>
          </cell>
          <cell r="L3686">
            <v>0</v>
          </cell>
          <cell r="N3686">
            <v>0</v>
          </cell>
          <cell r="O3686">
            <v>0</v>
          </cell>
          <cell r="Q3686">
            <v>0</v>
          </cell>
          <cell r="R3686">
            <v>0</v>
          </cell>
          <cell r="T3686">
            <v>0</v>
          </cell>
          <cell r="U3686">
            <v>0</v>
          </cell>
          <cell r="W3686">
            <v>0</v>
          </cell>
          <cell r="X3686">
            <v>0</v>
          </cell>
          <cell r="Z3686">
            <v>0</v>
          </cell>
          <cell r="AA3686">
            <v>0</v>
          </cell>
          <cell r="AC3686">
            <v>0</v>
          </cell>
          <cell r="AD3686">
            <v>0</v>
          </cell>
          <cell r="AF3686">
            <v>0</v>
          </cell>
          <cell r="AG3686">
            <v>0</v>
          </cell>
          <cell r="AI3686">
            <v>0</v>
          </cell>
          <cell r="AJ3686">
            <v>0</v>
          </cell>
          <cell r="AL3686">
            <v>0</v>
          </cell>
          <cell r="AM3686">
            <v>0</v>
          </cell>
          <cell r="AO3686">
            <v>0</v>
          </cell>
          <cell r="AP3686">
            <v>0</v>
          </cell>
          <cell r="AR3686">
            <v>0</v>
          </cell>
          <cell r="AS3686">
            <v>0</v>
          </cell>
          <cell r="BF3686" t="str">
            <v>9200</v>
          </cell>
          <cell r="BG3686" t="str">
            <v>Q003</v>
          </cell>
          <cell r="BH3686" t="str">
            <v>INV</v>
          </cell>
        </row>
        <row r="3687">
          <cell r="K3687">
            <v>0</v>
          </cell>
          <cell r="L3687">
            <v>0</v>
          </cell>
          <cell r="N3687">
            <v>0</v>
          </cell>
          <cell r="O3687">
            <v>0</v>
          </cell>
          <cell r="Q3687">
            <v>0</v>
          </cell>
          <cell r="R3687">
            <v>0</v>
          </cell>
          <cell r="T3687">
            <v>0</v>
          </cell>
          <cell r="U3687">
            <v>0</v>
          </cell>
          <cell r="W3687">
            <v>0</v>
          </cell>
          <cell r="X3687">
            <v>0</v>
          </cell>
          <cell r="Z3687">
            <v>0</v>
          </cell>
          <cell r="AA3687">
            <v>0</v>
          </cell>
          <cell r="AC3687">
            <v>0</v>
          </cell>
          <cell r="AD3687">
            <v>0</v>
          </cell>
          <cell r="AF3687">
            <v>0</v>
          </cell>
          <cell r="AG3687">
            <v>0</v>
          </cell>
          <cell r="AI3687">
            <v>0</v>
          </cell>
          <cell r="AJ3687">
            <v>0</v>
          </cell>
          <cell r="AL3687">
            <v>0</v>
          </cell>
          <cell r="AM3687">
            <v>0</v>
          </cell>
          <cell r="AO3687">
            <v>0</v>
          </cell>
          <cell r="AP3687">
            <v>0</v>
          </cell>
          <cell r="AR3687">
            <v>0</v>
          </cell>
          <cell r="AS3687">
            <v>0</v>
          </cell>
          <cell r="BF3687" t="str">
            <v>9300</v>
          </cell>
          <cell r="BG3687" t="str">
            <v>Z000</v>
          </cell>
          <cell r="BH3687" t="str">
            <v>INV</v>
          </cell>
        </row>
        <row r="3688">
          <cell r="K3688">
            <v>0</v>
          </cell>
          <cell r="L3688">
            <v>0</v>
          </cell>
          <cell r="N3688">
            <v>0</v>
          </cell>
          <cell r="O3688">
            <v>0</v>
          </cell>
          <cell r="Q3688">
            <v>0</v>
          </cell>
          <cell r="R3688">
            <v>0</v>
          </cell>
          <cell r="T3688">
            <v>0</v>
          </cell>
          <cell r="U3688">
            <v>0</v>
          </cell>
          <cell r="W3688">
            <v>0</v>
          </cell>
          <cell r="X3688">
            <v>0</v>
          </cell>
          <cell r="Z3688">
            <v>0</v>
          </cell>
          <cell r="AA3688">
            <v>0</v>
          </cell>
          <cell r="AC3688">
            <v>0</v>
          </cell>
          <cell r="AD3688">
            <v>0</v>
          </cell>
          <cell r="AF3688">
            <v>0</v>
          </cell>
          <cell r="AG3688">
            <v>0</v>
          </cell>
          <cell r="AI3688">
            <v>0</v>
          </cell>
          <cell r="AJ3688">
            <v>0</v>
          </cell>
          <cell r="AL3688">
            <v>0</v>
          </cell>
          <cell r="AM3688">
            <v>0</v>
          </cell>
          <cell r="AO3688">
            <v>0</v>
          </cell>
          <cell r="AP3688">
            <v>0</v>
          </cell>
          <cell r="AR3688">
            <v>0</v>
          </cell>
          <cell r="AS3688">
            <v>0</v>
          </cell>
          <cell r="BF3688" t="str">
            <v>9400</v>
          </cell>
          <cell r="BG3688" t="str">
            <v>Z000</v>
          </cell>
          <cell r="BH3688" t="str">
            <v>INV</v>
          </cell>
        </row>
        <row r="3689">
          <cell r="K3689">
            <v>0</v>
          </cell>
          <cell r="L3689">
            <v>0</v>
          </cell>
          <cell r="N3689">
            <v>0</v>
          </cell>
          <cell r="O3689">
            <v>0</v>
          </cell>
          <cell r="Q3689">
            <v>0</v>
          </cell>
          <cell r="R3689">
            <v>0</v>
          </cell>
          <cell r="T3689">
            <v>0</v>
          </cell>
          <cell r="U3689">
            <v>0</v>
          </cell>
          <cell r="W3689">
            <v>0</v>
          </cell>
          <cell r="X3689">
            <v>0</v>
          </cell>
          <cell r="Z3689">
            <v>0</v>
          </cell>
          <cell r="AA3689">
            <v>0</v>
          </cell>
          <cell r="AC3689">
            <v>0</v>
          </cell>
          <cell r="AD3689">
            <v>0</v>
          </cell>
          <cell r="AF3689">
            <v>0</v>
          </cell>
          <cell r="AG3689">
            <v>0</v>
          </cell>
          <cell r="AI3689">
            <v>0</v>
          </cell>
          <cell r="AJ3689">
            <v>0</v>
          </cell>
          <cell r="AL3689">
            <v>0</v>
          </cell>
          <cell r="AM3689">
            <v>0</v>
          </cell>
          <cell r="AO3689">
            <v>0</v>
          </cell>
          <cell r="AP3689">
            <v>0</v>
          </cell>
          <cell r="AR3689">
            <v>0</v>
          </cell>
          <cell r="AS3689">
            <v>0</v>
          </cell>
          <cell r="BF3689" t="str">
            <v>9500</v>
          </cell>
          <cell r="BG3689" t="str">
            <v>Z000</v>
          </cell>
          <cell r="BH3689" t="str">
            <v>INV</v>
          </cell>
        </row>
        <row r="3690">
          <cell r="K3690">
            <v>0</v>
          </cell>
          <cell r="L3690">
            <v>0</v>
          </cell>
          <cell r="N3690">
            <v>0</v>
          </cell>
          <cell r="O3690">
            <v>0</v>
          </cell>
          <cell r="Q3690">
            <v>0</v>
          </cell>
          <cell r="R3690">
            <v>0</v>
          </cell>
          <cell r="T3690">
            <v>0</v>
          </cell>
          <cell r="U3690">
            <v>0</v>
          </cell>
          <cell r="W3690">
            <v>0</v>
          </cell>
          <cell r="X3690">
            <v>0</v>
          </cell>
          <cell r="Z3690">
            <v>0</v>
          </cell>
          <cell r="AA3690">
            <v>0</v>
          </cell>
          <cell r="AC3690">
            <v>0</v>
          </cell>
          <cell r="AD3690">
            <v>0</v>
          </cell>
          <cell r="AF3690">
            <v>0</v>
          </cell>
          <cell r="AG3690">
            <v>0</v>
          </cell>
          <cell r="AI3690">
            <v>0</v>
          </cell>
          <cell r="AJ3690">
            <v>0</v>
          </cell>
          <cell r="AL3690">
            <v>0</v>
          </cell>
          <cell r="AM3690">
            <v>0</v>
          </cell>
          <cell r="AO3690">
            <v>0</v>
          </cell>
          <cell r="AP3690">
            <v>0</v>
          </cell>
          <cell r="AR3690">
            <v>0</v>
          </cell>
          <cell r="AS3690">
            <v>0</v>
          </cell>
          <cell r="BF3690" t="str">
            <v>9550</v>
          </cell>
          <cell r="BG3690" t="str">
            <v>Z000</v>
          </cell>
          <cell r="BH3690" t="str">
            <v>INV</v>
          </cell>
        </row>
        <row r="3691">
          <cell r="K3691">
            <v>0</v>
          </cell>
          <cell r="L3691">
            <v>0</v>
          </cell>
          <cell r="N3691">
            <v>0</v>
          </cell>
          <cell r="O3691">
            <v>0</v>
          </cell>
          <cell r="Q3691">
            <v>0</v>
          </cell>
          <cell r="R3691">
            <v>0</v>
          </cell>
          <cell r="T3691">
            <v>0</v>
          </cell>
          <cell r="U3691">
            <v>0</v>
          </cell>
          <cell r="W3691">
            <v>0</v>
          </cell>
          <cell r="X3691">
            <v>0</v>
          </cell>
          <cell r="Z3691">
            <v>0</v>
          </cell>
          <cell r="AA3691">
            <v>0</v>
          </cell>
          <cell r="AC3691">
            <v>0</v>
          </cell>
          <cell r="AD3691">
            <v>0</v>
          </cell>
          <cell r="AF3691">
            <v>0</v>
          </cell>
          <cell r="AG3691">
            <v>0</v>
          </cell>
          <cell r="AI3691">
            <v>0</v>
          </cell>
          <cell r="AJ3691">
            <v>0</v>
          </cell>
          <cell r="AL3691">
            <v>0</v>
          </cell>
          <cell r="AM3691">
            <v>0</v>
          </cell>
          <cell r="AO3691">
            <v>-250</v>
          </cell>
          <cell r="AP3691">
            <v>0</v>
          </cell>
          <cell r="AR3691">
            <v>0</v>
          </cell>
          <cell r="AS3691">
            <v>0</v>
          </cell>
          <cell r="BF3691" t="str">
            <v>9600</v>
          </cell>
          <cell r="BG3691" t="str">
            <v>Z000</v>
          </cell>
          <cell r="BH3691" t="str">
            <v>INV</v>
          </cell>
        </row>
        <row r="3692">
          <cell r="K3692">
            <v>0</v>
          </cell>
          <cell r="L3692">
            <v>0</v>
          </cell>
          <cell r="N3692">
            <v>0</v>
          </cell>
          <cell r="O3692">
            <v>0</v>
          </cell>
          <cell r="Q3692">
            <v>0</v>
          </cell>
          <cell r="R3692">
            <v>0</v>
          </cell>
          <cell r="T3692">
            <v>0</v>
          </cell>
          <cell r="U3692">
            <v>0</v>
          </cell>
          <cell r="W3692">
            <v>0</v>
          </cell>
          <cell r="X3692">
            <v>0</v>
          </cell>
          <cell r="Z3692">
            <v>0</v>
          </cell>
          <cell r="AA3692">
            <v>0</v>
          </cell>
          <cell r="AC3692">
            <v>0</v>
          </cell>
          <cell r="AD3692">
            <v>0</v>
          </cell>
          <cell r="AF3692">
            <v>0</v>
          </cell>
          <cell r="AG3692">
            <v>0</v>
          </cell>
          <cell r="AI3692">
            <v>0</v>
          </cell>
          <cell r="AJ3692">
            <v>0</v>
          </cell>
          <cell r="AL3692">
            <v>0</v>
          </cell>
          <cell r="AM3692">
            <v>0</v>
          </cell>
          <cell r="AO3692">
            <v>0</v>
          </cell>
          <cell r="AP3692">
            <v>0</v>
          </cell>
          <cell r="AR3692">
            <v>0</v>
          </cell>
          <cell r="AS3692">
            <v>0</v>
          </cell>
          <cell r="BF3692" t="str">
            <v>9700</v>
          </cell>
          <cell r="BG3692" t="str">
            <v>Z000</v>
          </cell>
          <cell r="BH3692" t="str">
            <v>INV</v>
          </cell>
        </row>
        <row r="3693">
          <cell r="K3693">
            <v>0</v>
          </cell>
          <cell r="L3693">
            <v>0</v>
          </cell>
          <cell r="N3693">
            <v>0</v>
          </cell>
          <cell r="O3693">
            <v>0</v>
          </cell>
          <cell r="Q3693">
            <v>0</v>
          </cell>
          <cell r="R3693">
            <v>0</v>
          </cell>
          <cell r="T3693">
            <v>0</v>
          </cell>
          <cell r="U3693">
            <v>0</v>
          </cell>
          <cell r="W3693">
            <v>0</v>
          </cell>
          <cell r="X3693">
            <v>0</v>
          </cell>
          <cell r="Z3693">
            <v>0</v>
          </cell>
          <cell r="AA3693">
            <v>0</v>
          </cell>
          <cell r="AC3693">
            <v>0</v>
          </cell>
          <cell r="AD3693">
            <v>0</v>
          </cell>
          <cell r="AF3693">
            <v>0</v>
          </cell>
          <cell r="AG3693">
            <v>0</v>
          </cell>
          <cell r="AI3693">
            <v>0</v>
          </cell>
          <cell r="AJ3693">
            <v>0</v>
          </cell>
          <cell r="AL3693">
            <v>0</v>
          </cell>
          <cell r="AM3693">
            <v>0</v>
          </cell>
          <cell r="AO3693">
            <v>0</v>
          </cell>
          <cell r="AP3693">
            <v>0</v>
          </cell>
          <cell r="AR3693">
            <v>0</v>
          </cell>
          <cell r="AS3693">
            <v>0</v>
          </cell>
          <cell r="BF3693" t="str">
            <v>9702</v>
          </cell>
          <cell r="BG3693" t="str">
            <v>Z000</v>
          </cell>
          <cell r="BH3693" t="str">
            <v>INV</v>
          </cell>
        </row>
        <row r="3694">
          <cell r="K3694">
            <v>0</v>
          </cell>
          <cell r="L3694">
            <v>0</v>
          </cell>
          <cell r="N3694">
            <v>0</v>
          </cell>
          <cell r="O3694">
            <v>0</v>
          </cell>
          <cell r="Q3694">
            <v>0</v>
          </cell>
          <cell r="R3694">
            <v>0</v>
          </cell>
          <cell r="T3694">
            <v>0</v>
          </cell>
          <cell r="U3694">
            <v>0</v>
          </cell>
          <cell r="W3694">
            <v>0</v>
          </cell>
          <cell r="X3694">
            <v>0</v>
          </cell>
          <cell r="Z3694">
            <v>0</v>
          </cell>
          <cell r="AA3694">
            <v>0</v>
          </cell>
          <cell r="AC3694">
            <v>0</v>
          </cell>
          <cell r="AD3694">
            <v>0</v>
          </cell>
          <cell r="AF3694">
            <v>-276.66999999999996</v>
          </cell>
          <cell r="AG3694">
            <v>0</v>
          </cell>
          <cell r="AI3694">
            <v>0</v>
          </cell>
          <cell r="AJ3694">
            <v>0</v>
          </cell>
          <cell r="AL3694">
            <v>-569.36999999999989</v>
          </cell>
          <cell r="AM3694">
            <v>0</v>
          </cell>
          <cell r="AO3694">
            <v>0</v>
          </cell>
          <cell r="AP3694">
            <v>0</v>
          </cell>
          <cell r="AR3694">
            <v>0</v>
          </cell>
          <cell r="AS3694">
            <v>0</v>
          </cell>
          <cell r="BF3694" t="str">
            <v>9750</v>
          </cell>
          <cell r="BG3694" t="str">
            <v>Z000</v>
          </cell>
          <cell r="BH3694" t="str">
            <v>INV</v>
          </cell>
        </row>
        <row r="3695">
          <cell r="K3695">
            <v>0</v>
          </cell>
          <cell r="L3695">
            <v>0</v>
          </cell>
          <cell r="N3695">
            <v>0</v>
          </cell>
          <cell r="O3695">
            <v>0</v>
          </cell>
          <cell r="Q3695">
            <v>0</v>
          </cell>
          <cell r="R3695">
            <v>0</v>
          </cell>
          <cell r="T3695">
            <v>0</v>
          </cell>
          <cell r="U3695">
            <v>0</v>
          </cell>
          <cell r="W3695">
            <v>0</v>
          </cell>
          <cell r="X3695">
            <v>0</v>
          </cell>
          <cell r="Z3695">
            <v>0</v>
          </cell>
          <cell r="AA3695">
            <v>0</v>
          </cell>
          <cell r="AC3695">
            <v>0</v>
          </cell>
          <cell r="AD3695">
            <v>0</v>
          </cell>
          <cell r="AF3695">
            <v>6937.48</v>
          </cell>
          <cell r="AG3695">
            <v>0</v>
          </cell>
          <cell r="AI3695">
            <v>6937.48</v>
          </cell>
          <cell r="AJ3695">
            <v>0</v>
          </cell>
          <cell r="AL3695">
            <v>16619.07</v>
          </cell>
          <cell r="AM3695">
            <v>0</v>
          </cell>
          <cell r="AO3695">
            <v>6573.4900000000052</v>
          </cell>
          <cell r="AP3695">
            <v>0</v>
          </cell>
          <cell r="AR3695">
            <v>9950.8999999999942</v>
          </cell>
          <cell r="AS3695">
            <v>0</v>
          </cell>
          <cell r="BF3695" t="str">
            <v>2015</v>
          </cell>
          <cell r="BG3695" t="str">
            <v>B211</v>
          </cell>
          <cell r="BH3695" t="str">
            <v>GBM</v>
          </cell>
        </row>
        <row r="3696">
          <cell r="K3696">
            <v>0</v>
          </cell>
          <cell r="L3696">
            <v>0</v>
          </cell>
          <cell r="N3696">
            <v>0</v>
          </cell>
          <cell r="O3696">
            <v>0</v>
          </cell>
          <cell r="Q3696">
            <v>0</v>
          </cell>
          <cell r="R3696">
            <v>0</v>
          </cell>
          <cell r="T3696">
            <v>0</v>
          </cell>
          <cell r="U3696">
            <v>0</v>
          </cell>
          <cell r="W3696">
            <v>0</v>
          </cell>
          <cell r="X3696">
            <v>0</v>
          </cell>
          <cell r="Z3696">
            <v>0</v>
          </cell>
          <cell r="AA3696">
            <v>0</v>
          </cell>
          <cell r="AC3696">
            <v>1368100</v>
          </cell>
          <cell r="AD3696">
            <v>0</v>
          </cell>
          <cell r="AF3696">
            <v>24641.64000000013</v>
          </cell>
          <cell r="AG3696">
            <v>0</v>
          </cell>
          <cell r="AI3696">
            <v>-15331.180000000168</v>
          </cell>
          <cell r="AJ3696">
            <v>0</v>
          </cell>
          <cell r="AL3696">
            <v>-1377410.46</v>
          </cell>
          <cell r="AM3696">
            <v>0</v>
          </cell>
          <cell r="AO3696">
            <v>0</v>
          </cell>
          <cell r="AP3696">
            <v>0</v>
          </cell>
          <cell r="AR3696">
            <v>0</v>
          </cell>
          <cell r="AS3696">
            <v>0</v>
          </cell>
          <cell r="BF3696" t="str">
            <v>5400</v>
          </cell>
          <cell r="BG3696" t="str">
            <v>F023</v>
          </cell>
          <cell r="BH3696" t="str">
            <v>GBM</v>
          </cell>
        </row>
        <row r="3697">
          <cell r="K3697">
            <v>0</v>
          </cell>
          <cell r="L3697">
            <v>0</v>
          </cell>
          <cell r="N3697">
            <v>0</v>
          </cell>
          <cell r="O3697">
            <v>0</v>
          </cell>
          <cell r="Q3697">
            <v>0</v>
          </cell>
          <cell r="R3697">
            <v>0</v>
          </cell>
          <cell r="T3697">
            <v>0</v>
          </cell>
          <cell r="U3697">
            <v>0</v>
          </cell>
          <cell r="W3697">
            <v>0</v>
          </cell>
          <cell r="X3697">
            <v>0</v>
          </cell>
          <cell r="Z3697">
            <v>0</v>
          </cell>
          <cell r="AA3697">
            <v>0</v>
          </cell>
          <cell r="AC3697">
            <v>13487.81</v>
          </cell>
          <cell r="AD3697">
            <v>0</v>
          </cell>
          <cell r="AF3697">
            <v>0</v>
          </cell>
          <cell r="AG3697">
            <v>0</v>
          </cell>
          <cell r="AI3697">
            <v>-1.8189894035458565E-12</v>
          </cell>
          <cell r="AJ3697">
            <v>0</v>
          </cell>
          <cell r="AL3697">
            <v>0</v>
          </cell>
          <cell r="AM3697">
            <v>0</v>
          </cell>
          <cell r="AO3697">
            <v>0</v>
          </cell>
          <cell r="AP3697">
            <v>0</v>
          </cell>
          <cell r="AR3697">
            <v>0</v>
          </cell>
          <cell r="AS3697">
            <v>0</v>
          </cell>
          <cell r="BF3697" t="str">
            <v>5800</v>
          </cell>
          <cell r="BG3697" t="str">
            <v>J013</v>
          </cell>
          <cell r="BH3697" t="str">
            <v>GBM</v>
          </cell>
        </row>
        <row r="3698">
          <cell r="K3698">
            <v>0</v>
          </cell>
          <cell r="L3698">
            <v>0</v>
          </cell>
          <cell r="N3698">
            <v>0</v>
          </cell>
          <cell r="O3698">
            <v>0</v>
          </cell>
          <cell r="Q3698">
            <v>0</v>
          </cell>
          <cell r="R3698">
            <v>0</v>
          </cell>
          <cell r="T3698">
            <v>0</v>
          </cell>
          <cell r="U3698">
            <v>0</v>
          </cell>
          <cell r="W3698">
            <v>0</v>
          </cell>
          <cell r="X3698">
            <v>0</v>
          </cell>
          <cell r="Z3698">
            <v>0</v>
          </cell>
          <cell r="AA3698">
            <v>0</v>
          </cell>
          <cell r="AC3698">
            <v>0</v>
          </cell>
          <cell r="AD3698">
            <v>0</v>
          </cell>
          <cell r="AF3698">
            <v>4994985</v>
          </cell>
          <cell r="AG3698">
            <v>0</v>
          </cell>
          <cell r="AI3698">
            <v>5.000000074505806E-2</v>
          </cell>
          <cell r="AJ3698">
            <v>0</v>
          </cell>
          <cell r="AL3698">
            <v>-2297935</v>
          </cell>
          <cell r="AM3698">
            <v>0</v>
          </cell>
          <cell r="AO3698">
            <v>0</v>
          </cell>
          <cell r="AP3698">
            <v>0</v>
          </cell>
          <cell r="AR3698">
            <v>0</v>
          </cell>
          <cell r="AS3698">
            <v>0</v>
          </cell>
          <cell r="BF3698" t="str">
            <v>5802</v>
          </cell>
          <cell r="BG3698" t="str">
            <v>J014</v>
          </cell>
          <cell r="BH3698" t="str">
            <v>GBM</v>
          </cell>
        </row>
        <row r="3699">
          <cell r="K3699">
            <v>0</v>
          </cell>
          <cell r="L3699">
            <v>0</v>
          </cell>
          <cell r="N3699">
            <v>0</v>
          </cell>
          <cell r="O3699">
            <v>0</v>
          </cell>
          <cell r="Q3699">
            <v>0</v>
          </cell>
          <cell r="R3699">
            <v>0</v>
          </cell>
          <cell r="T3699">
            <v>0</v>
          </cell>
          <cell r="U3699">
            <v>0</v>
          </cell>
          <cell r="W3699">
            <v>0</v>
          </cell>
          <cell r="X3699">
            <v>0</v>
          </cell>
          <cell r="Z3699">
            <v>0</v>
          </cell>
          <cell r="AA3699">
            <v>0</v>
          </cell>
          <cell r="AC3699">
            <v>0</v>
          </cell>
          <cell r="AD3699">
            <v>0</v>
          </cell>
          <cell r="AF3699">
            <v>-45735</v>
          </cell>
          <cell r="AG3699">
            <v>0</v>
          </cell>
          <cell r="AI3699">
            <v>0</v>
          </cell>
          <cell r="AJ3699">
            <v>0</v>
          </cell>
          <cell r="AL3699">
            <v>0</v>
          </cell>
          <cell r="AM3699">
            <v>0</v>
          </cell>
          <cell r="AO3699">
            <v>0</v>
          </cell>
          <cell r="AP3699">
            <v>0</v>
          </cell>
          <cell r="AR3699">
            <v>-567456</v>
          </cell>
          <cell r="AS3699">
            <v>0</v>
          </cell>
          <cell r="BF3699" t="str">
            <v>9750</v>
          </cell>
          <cell r="BG3699" t="str">
            <v>Z000</v>
          </cell>
          <cell r="BH3699" t="str">
            <v>GFS</v>
          </cell>
        </row>
        <row r="3700">
          <cell r="K3700">
            <v>0</v>
          </cell>
          <cell r="L3700">
            <v>0</v>
          </cell>
          <cell r="N3700">
            <v>0</v>
          </cell>
          <cell r="O3700">
            <v>0</v>
          </cell>
          <cell r="Q3700">
            <v>0</v>
          </cell>
          <cell r="R3700">
            <v>0</v>
          </cell>
          <cell r="T3700">
            <v>0</v>
          </cell>
          <cell r="U3700">
            <v>0</v>
          </cell>
          <cell r="W3700">
            <v>0</v>
          </cell>
          <cell r="X3700">
            <v>0</v>
          </cell>
          <cell r="Z3700">
            <v>0</v>
          </cell>
          <cell r="AA3700">
            <v>0</v>
          </cell>
          <cell r="AC3700">
            <v>0</v>
          </cell>
          <cell r="AD3700">
            <v>0</v>
          </cell>
          <cell r="AF3700">
            <v>2473044.52</v>
          </cell>
          <cell r="AG3700">
            <v>0</v>
          </cell>
          <cell r="AI3700">
            <v>-1099000</v>
          </cell>
          <cell r="AJ3700">
            <v>0</v>
          </cell>
          <cell r="AL3700">
            <v>-83000</v>
          </cell>
          <cell r="AM3700">
            <v>0</v>
          </cell>
          <cell r="AO3700">
            <v>0</v>
          </cell>
          <cell r="AP3700">
            <v>0</v>
          </cell>
          <cell r="AR3700">
            <v>-234500</v>
          </cell>
          <cell r="AS3700">
            <v>0</v>
          </cell>
          <cell r="BF3700" t="str">
            <v>8400</v>
          </cell>
          <cell r="BG3700" t="str">
            <v>N010</v>
          </cell>
          <cell r="BH3700" t="str">
            <v>GML</v>
          </cell>
        </row>
        <row r="3701">
          <cell r="K3701">
            <v>0</v>
          </cell>
          <cell r="L3701">
            <v>0</v>
          </cell>
          <cell r="N3701">
            <v>0</v>
          </cell>
          <cell r="O3701">
            <v>0</v>
          </cell>
          <cell r="Q3701">
            <v>0</v>
          </cell>
          <cell r="R3701">
            <v>0</v>
          </cell>
          <cell r="T3701">
            <v>0</v>
          </cell>
          <cell r="U3701">
            <v>0</v>
          </cell>
          <cell r="W3701">
            <v>0</v>
          </cell>
          <cell r="X3701">
            <v>0</v>
          </cell>
          <cell r="Z3701">
            <v>0</v>
          </cell>
          <cell r="AA3701">
            <v>0</v>
          </cell>
          <cell r="AC3701">
            <v>1057282.8400000001</v>
          </cell>
          <cell r="AD3701">
            <v>0</v>
          </cell>
          <cell r="AF3701">
            <v>-2000000</v>
          </cell>
          <cell r="AG3701">
            <v>0</v>
          </cell>
          <cell r="AI3701">
            <v>-635170.15000000014</v>
          </cell>
          <cell r="AJ3701">
            <v>0</v>
          </cell>
          <cell r="AL3701">
            <v>129372.26999999955</v>
          </cell>
          <cell r="AM3701">
            <v>0</v>
          </cell>
          <cell r="AO3701">
            <v>1117957.25</v>
          </cell>
          <cell r="AP3701">
            <v>0</v>
          </cell>
          <cell r="AR3701">
            <v>138968.36000000034</v>
          </cell>
          <cell r="AS3701">
            <v>0</v>
          </cell>
          <cell r="BF3701" t="str">
            <v>5700</v>
          </cell>
          <cell r="BG3701" t="str">
            <v>I017</v>
          </cell>
          <cell r="BH3701" t="str">
            <v>GBB</v>
          </cell>
        </row>
        <row r="3702">
          <cell r="K3702">
            <v>0</v>
          </cell>
          <cell r="L3702">
            <v>0</v>
          </cell>
          <cell r="N3702">
            <v>0</v>
          </cell>
          <cell r="O3702">
            <v>0</v>
          </cell>
          <cell r="Q3702">
            <v>0</v>
          </cell>
          <cell r="R3702">
            <v>0</v>
          </cell>
          <cell r="T3702">
            <v>0</v>
          </cell>
          <cell r="U3702">
            <v>0</v>
          </cell>
          <cell r="W3702">
            <v>0</v>
          </cell>
          <cell r="X3702">
            <v>0</v>
          </cell>
          <cell r="Z3702">
            <v>0</v>
          </cell>
          <cell r="AA3702">
            <v>0</v>
          </cell>
          <cell r="AC3702">
            <v>9990000</v>
          </cell>
          <cell r="AD3702">
            <v>0</v>
          </cell>
          <cell r="AF3702">
            <v>0</v>
          </cell>
          <cell r="AG3702">
            <v>0</v>
          </cell>
          <cell r="AI3702">
            <v>0</v>
          </cell>
          <cell r="AJ3702">
            <v>0</v>
          </cell>
          <cell r="AL3702">
            <v>0</v>
          </cell>
          <cell r="AM3702">
            <v>0</v>
          </cell>
          <cell r="AO3702">
            <v>0</v>
          </cell>
          <cell r="AP3702">
            <v>0</v>
          </cell>
          <cell r="AR3702">
            <v>0</v>
          </cell>
          <cell r="AS3702">
            <v>0</v>
          </cell>
          <cell r="BF3702" t="str">
            <v>5800</v>
          </cell>
          <cell r="BG3702" t="str">
            <v>J015</v>
          </cell>
          <cell r="BH3702" t="str">
            <v>GBB</v>
          </cell>
        </row>
        <row r="3705">
          <cell r="K3705">
            <v>0</v>
          </cell>
          <cell r="L3705">
            <v>0</v>
          </cell>
          <cell r="N3705">
            <v>0</v>
          </cell>
          <cell r="O3705">
            <v>0</v>
          </cell>
          <cell r="Q3705">
            <v>0</v>
          </cell>
          <cell r="R3705">
            <v>0</v>
          </cell>
          <cell r="T3705">
            <v>0</v>
          </cell>
          <cell r="U3705">
            <v>0</v>
          </cell>
          <cell r="W3705">
            <v>0</v>
          </cell>
          <cell r="X3705">
            <v>0</v>
          </cell>
          <cell r="Z3705">
            <v>0</v>
          </cell>
          <cell r="AA3705">
            <v>0</v>
          </cell>
          <cell r="AC3705">
            <v>0</v>
          </cell>
          <cell r="AD3705">
            <v>0</v>
          </cell>
          <cell r="AF3705">
            <v>0</v>
          </cell>
          <cell r="AG3705">
            <v>0</v>
          </cell>
          <cell r="AI3705">
            <v>109161.24999999999</v>
          </cell>
          <cell r="AJ3705">
            <v>0</v>
          </cell>
          <cell r="AL3705">
            <v>897.22000000000116</v>
          </cell>
          <cell r="AM3705">
            <v>0</v>
          </cell>
          <cell r="AO3705">
            <v>15975.840000000011</v>
          </cell>
          <cell r="AP3705">
            <v>0</v>
          </cell>
          <cell r="AR3705">
            <v>1035.8999999999942</v>
          </cell>
          <cell r="AS3705">
            <v>0</v>
          </cell>
          <cell r="BF3705" t="str">
            <v>5500</v>
          </cell>
          <cell r="BG3705" t="str">
            <v>G015</v>
          </cell>
          <cell r="BH3705" t="str">
            <v>GES</v>
          </cell>
        </row>
        <row r="3706">
          <cell r="K3706">
            <v>0</v>
          </cell>
          <cell r="L3706">
            <v>0</v>
          </cell>
          <cell r="N3706">
            <v>0</v>
          </cell>
          <cell r="O3706">
            <v>0</v>
          </cell>
          <cell r="Q3706">
            <v>0</v>
          </cell>
          <cell r="R3706">
            <v>0</v>
          </cell>
          <cell r="T3706">
            <v>0</v>
          </cell>
          <cell r="U3706">
            <v>0</v>
          </cell>
          <cell r="W3706">
            <v>0</v>
          </cell>
          <cell r="X3706">
            <v>0</v>
          </cell>
          <cell r="Z3706">
            <v>0</v>
          </cell>
          <cell r="AA3706">
            <v>0</v>
          </cell>
          <cell r="AC3706">
            <v>0</v>
          </cell>
          <cell r="AD3706">
            <v>0</v>
          </cell>
          <cell r="AF3706">
            <v>0</v>
          </cell>
          <cell r="AG3706">
            <v>0</v>
          </cell>
          <cell r="AI3706">
            <v>15844.6</v>
          </cell>
          <cell r="AJ3706">
            <v>0</v>
          </cell>
          <cell r="AL3706">
            <v>3179.9999999999982</v>
          </cell>
          <cell r="AM3706">
            <v>0</v>
          </cell>
          <cell r="AO3706">
            <v>5100.0000000000036</v>
          </cell>
          <cell r="AP3706">
            <v>0</v>
          </cell>
          <cell r="AR3706">
            <v>13397.599999999995</v>
          </cell>
          <cell r="AS3706">
            <v>0</v>
          </cell>
          <cell r="BF3706" t="str">
            <v>4740</v>
          </cell>
          <cell r="BG3706" t="str">
            <v>D042</v>
          </cell>
          <cell r="BH3706" t="str">
            <v>CC0</v>
          </cell>
        </row>
        <row r="3707">
          <cell r="K3707">
            <v>0</v>
          </cell>
          <cell r="L3707">
            <v>0</v>
          </cell>
          <cell r="N3707">
            <v>0</v>
          </cell>
          <cell r="O3707">
            <v>0</v>
          </cell>
          <cell r="Q3707">
            <v>0</v>
          </cell>
          <cell r="R3707">
            <v>0</v>
          </cell>
          <cell r="T3707">
            <v>0</v>
          </cell>
          <cell r="U3707">
            <v>0</v>
          </cell>
          <cell r="W3707">
            <v>0</v>
          </cell>
          <cell r="X3707">
            <v>0</v>
          </cell>
          <cell r="Z3707">
            <v>0</v>
          </cell>
          <cell r="AA3707">
            <v>0</v>
          </cell>
          <cell r="AC3707">
            <v>53553.62</v>
          </cell>
          <cell r="AD3707">
            <v>0</v>
          </cell>
          <cell r="AF3707">
            <v>0</v>
          </cell>
          <cell r="AG3707">
            <v>0</v>
          </cell>
          <cell r="AI3707">
            <v>0</v>
          </cell>
          <cell r="AJ3707">
            <v>0</v>
          </cell>
          <cell r="AL3707">
            <v>0</v>
          </cell>
          <cell r="AM3707">
            <v>0</v>
          </cell>
          <cell r="AO3707">
            <v>0</v>
          </cell>
          <cell r="AP3707">
            <v>0</v>
          </cell>
          <cell r="AR3707">
            <v>0</v>
          </cell>
          <cell r="AS3707">
            <v>0</v>
          </cell>
          <cell r="BF3707" t="str">
            <v>4900</v>
          </cell>
          <cell r="BG3707" t="str">
            <v>Z000</v>
          </cell>
          <cell r="BH3707" t="str">
            <v>CC0</v>
          </cell>
        </row>
        <row r="3708">
          <cell r="K3708">
            <v>0</v>
          </cell>
          <cell r="L3708">
            <v>0</v>
          </cell>
          <cell r="N3708">
            <v>0</v>
          </cell>
          <cell r="O3708">
            <v>0</v>
          </cell>
          <cell r="Q3708">
            <v>0</v>
          </cell>
          <cell r="R3708">
            <v>0</v>
          </cell>
          <cell r="T3708">
            <v>0</v>
          </cell>
          <cell r="U3708">
            <v>0</v>
          </cell>
          <cell r="W3708">
            <v>0</v>
          </cell>
          <cell r="X3708">
            <v>0</v>
          </cell>
          <cell r="Z3708">
            <v>0</v>
          </cell>
          <cell r="AA3708">
            <v>0</v>
          </cell>
          <cell r="AC3708">
            <v>37907.68</v>
          </cell>
          <cell r="AD3708">
            <v>0</v>
          </cell>
          <cell r="AF3708">
            <v>0</v>
          </cell>
          <cell r="AG3708">
            <v>0</v>
          </cell>
          <cell r="AI3708">
            <v>0</v>
          </cell>
          <cell r="AJ3708">
            <v>0</v>
          </cell>
          <cell r="AL3708">
            <v>0</v>
          </cell>
          <cell r="AM3708">
            <v>0</v>
          </cell>
          <cell r="AO3708">
            <v>0</v>
          </cell>
          <cell r="AP3708">
            <v>0</v>
          </cell>
          <cell r="AR3708">
            <v>0</v>
          </cell>
          <cell r="AS3708">
            <v>0</v>
          </cell>
          <cell r="BF3708" t="str">
            <v>4942</v>
          </cell>
          <cell r="BG3708" t="str">
            <v>Z000</v>
          </cell>
          <cell r="BH3708" t="str">
            <v>CC0</v>
          </cell>
        </row>
        <row r="3709">
          <cell r="K3709">
            <v>0</v>
          </cell>
          <cell r="L3709">
            <v>0</v>
          </cell>
          <cell r="N3709">
            <v>0</v>
          </cell>
          <cell r="O3709">
            <v>0</v>
          </cell>
          <cell r="Q3709">
            <v>0</v>
          </cell>
          <cell r="R3709">
            <v>0</v>
          </cell>
          <cell r="T3709">
            <v>0</v>
          </cell>
          <cell r="U3709">
            <v>0</v>
          </cell>
          <cell r="W3709">
            <v>0</v>
          </cell>
          <cell r="X3709">
            <v>0</v>
          </cell>
          <cell r="Z3709">
            <v>0</v>
          </cell>
          <cell r="AA3709">
            <v>0</v>
          </cell>
          <cell r="AC3709">
            <v>0</v>
          </cell>
          <cell r="AD3709">
            <v>0</v>
          </cell>
          <cell r="AF3709">
            <v>0</v>
          </cell>
          <cell r="AG3709">
            <v>0</v>
          </cell>
          <cell r="AI3709">
            <v>24040.06</v>
          </cell>
          <cell r="AJ3709">
            <v>0</v>
          </cell>
          <cell r="AL3709">
            <v>-2185.3600000000006</v>
          </cell>
          <cell r="AM3709">
            <v>0</v>
          </cell>
          <cell r="AO3709">
            <v>-2185.4599999999991</v>
          </cell>
          <cell r="AP3709">
            <v>0</v>
          </cell>
          <cell r="AR3709">
            <v>-2185.4700000000012</v>
          </cell>
          <cell r="AS3709">
            <v>0</v>
          </cell>
          <cell r="BF3709" t="str">
            <v>7000</v>
          </cell>
          <cell r="BG3709" t="str">
            <v>Z000</v>
          </cell>
          <cell r="BH3709" t="str">
            <v>CC0</v>
          </cell>
        </row>
        <row r="3710">
          <cell r="K3710">
            <v>0</v>
          </cell>
          <cell r="L3710">
            <v>0</v>
          </cell>
          <cell r="N3710">
            <v>0</v>
          </cell>
          <cell r="O3710">
            <v>0</v>
          </cell>
          <cell r="Q3710">
            <v>0</v>
          </cell>
          <cell r="R3710">
            <v>0</v>
          </cell>
          <cell r="T3710">
            <v>0</v>
          </cell>
          <cell r="U3710">
            <v>0</v>
          </cell>
          <cell r="W3710">
            <v>0</v>
          </cell>
          <cell r="X3710">
            <v>0</v>
          </cell>
          <cell r="Z3710">
            <v>0</v>
          </cell>
          <cell r="AA3710">
            <v>0</v>
          </cell>
          <cell r="AC3710">
            <v>0</v>
          </cell>
          <cell r="AD3710">
            <v>0</v>
          </cell>
          <cell r="AF3710">
            <v>0</v>
          </cell>
          <cell r="AG3710">
            <v>0</v>
          </cell>
          <cell r="AI3710">
            <v>0</v>
          </cell>
          <cell r="AJ3710">
            <v>0</v>
          </cell>
          <cell r="AL3710">
            <v>18300</v>
          </cell>
          <cell r="AM3710">
            <v>0</v>
          </cell>
          <cell r="AO3710">
            <v>26900</v>
          </cell>
          <cell r="AP3710">
            <v>0</v>
          </cell>
          <cell r="AR3710">
            <v>45975</v>
          </cell>
          <cell r="AS3710">
            <v>0</v>
          </cell>
          <cell r="BF3710" t="str">
            <v>1000</v>
          </cell>
          <cell r="BG3710" t="str">
            <v>A011</v>
          </cell>
          <cell r="BH3710" t="str">
            <v>GSA</v>
          </cell>
        </row>
        <row r="3711">
          <cell r="K3711">
            <v>0</v>
          </cell>
          <cell r="L3711">
            <v>0</v>
          </cell>
          <cell r="N3711">
            <v>0</v>
          </cell>
          <cell r="O3711">
            <v>0</v>
          </cell>
          <cell r="Q3711">
            <v>0</v>
          </cell>
          <cell r="R3711">
            <v>0</v>
          </cell>
          <cell r="T3711">
            <v>0</v>
          </cell>
          <cell r="U3711">
            <v>0</v>
          </cell>
          <cell r="W3711">
            <v>0</v>
          </cell>
          <cell r="X3711">
            <v>0</v>
          </cell>
          <cell r="Z3711">
            <v>0</v>
          </cell>
          <cell r="AA3711">
            <v>0</v>
          </cell>
          <cell r="AC3711">
            <v>0</v>
          </cell>
          <cell r="AD3711">
            <v>0</v>
          </cell>
          <cell r="AF3711">
            <v>0</v>
          </cell>
          <cell r="AG3711">
            <v>0</v>
          </cell>
          <cell r="AI3711">
            <v>0</v>
          </cell>
          <cell r="AJ3711">
            <v>0</v>
          </cell>
          <cell r="AL3711">
            <v>0</v>
          </cell>
          <cell r="AM3711">
            <v>0</v>
          </cell>
          <cell r="AO3711">
            <v>0</v>
          </cell>
          <cell r="AP3711">
            <v>0</v>
          </cell>
          <cell r="AR3711">
            <v>0</v>
          </cell>
          <cell r="AS3711">
            <v>0</v>
          </cell>
          <cell r="BF3711" t="str">
            <v>7100</v>
          </cell>
          <cell r="BG3711" t="str">
            <v>L001</v>
          </cell>
          <cell r="BH3711" t="str">
            <v>GSA</v>
          </cell>
        </row>
        <row r="3712">
          <cell r="K3712">
            <v>0</v>
          </cell>
          <cell r="L3712">
            <v>0</v>
          </cell>
          <cell r="N3712">
            <v>0</v>
          </cell>
          <cell r="O3712">
            <v>0</v>
          </cell>
          <cell r="Q3712">
            <v>0</v>
          </cell>
          <cell r="R3712">
            <v>0</v>
          </cell>
          <cell r="T3712">
            <v>0</v>
          </cell>
          <cell r="U3712">
            <v>0</v>
          </cell>
          <cell r="W3712">
            <v>0</v>
          </cell>
          <cell r="X3712">
            <v>0</v>
          </cell>
          <cell r="Z3712">
            <v>0</v>
          </cell>
          <cell r="AA3712">
            <v>0</v>
          </cell>
          <cell r="AC3712">
            <v>0</v>
          </cell>
          <cell r="AD3712">
            <v>0</v>
          </cell>
          <cell r="AF3712">
            <v>0</v>
          </cell>
          <cell r="AG3712">
            <v>0</v>
          </cell>
          <cell r="AI3712">
            <v>47714.58</v>
          </cell>
          <cell r="AJ3712">
            <v>0</v>
          </cell>
          <cell r="AL3712">
            <v>0</v>
          </cell>
          <cell r="AM3712">
            <v>0</v>
          </cell>
          <cell r="AO3712">
            <v>0</v>
          </cell>
          <cell r="AP3712">
            <v>0</v>
          </cell>
          <cell r="AR3712">
            <v>0</v>
          </cell>
          <cell r="AS3712">
            <v>0</v>
          </cell>
          <cell r="BF3712" t="str">
            <v>5800</v>
          </cell>
          <cell r="BG3712" t="str">
            <v>J016</v>
          </cell>
          <cell r="BH3712" t="str">
            <v>GBM</v>
          </cell>
        </row>
        <row r="3713">
          <cell r="K3713">
            <v>0</v>
          </cell>
          <cell r="L3713">
            <v>0</v>
          </cell>
          <cell r="N3713">
            <v>0</v>
          </cell>
          <cell r="O3713">
            <v>0</v>
          </cell>
          <cell r="Q3713">
            <v>0</v>
          </cell>
          <cell r="R3713">
            <v>0</v>
          </cell>
          <cell r="T3713">
            <v>0</v>
          </cell>
          <cell r="U3713">
            <v>0</v>
          </cell>
          <cell r="W3713">
            <v>0</v>
          </cell>
          <cell r="X3713">
            <v>0</v>
          </cell>
          <cell r="Z3713">
            <v>0</v>
          </cell>
          <cell r="AA3713">
            <v>0</v>
          </cell>
          <cell r="AC3713">
            <v>0</v>
          </cell>
          <cell r="AD3713">
            <v>0</v>
          </cell>
          <cell r="AF3713">
            <v>0</v>
          </cell>
          <cell r="AG3713">
            <v>0</v>
          </cell>
          <cell r="AI3713">
            <v>0</v>
          </cell>
          <cell r="AJ3713">
            <v>0</v>
          </cell>
          <cell r="AL3713">
            <v>36750.19</v>
          </cell>
          <cell r="AM3713">
            <v>0</v>
          </cell>
          <cell r="AO3713">
            <v>-36750.19</v>
          </cell>
          <cell r="AP3713">
            <v>0</v>
          </cell>
          <cell r="AR3713">
            <v>0</v>
          </cell>
          <cell r="AS3713">
            <v>0</v>
          </cell>
          <cell r="BF3713" t="str">
            <v>8400</v>
          </cell>
          <cell r="BG3713" t="str">
            <v>N999</v>
          </cell>
          <cell r="BH3713" t="str">
            <v>GBM</v>
          </cell>
        </row>
        <row r="3714">
          <cell r="K3714">
            <v>0</v>
          </cell>
          <cell r="L3714">
            <v>0</v>
          </cell>
          <cell r="N3714">
            <v>0</v>
          </cell>
          <cell r="O3714">
            <v>0</v>
          </cell>
          <cell r="Q3714">
            <v>0</v>
          </cell>
          <cell r="R3714">
            <v>0</v>
          </cell>
          <cell r="T3714">
            <v>0</v>
          </cell>
          <cell r="U3714">
            <v>0</v>
          </cell>
          <cell r="W3714">
            <v>0</v>
          </cell>
          <cell r="X3714">
            <v>0</v>
          </cell>
          <cell r="Z3714">
            <v>0</v>
          </cell>
          <cell r="AA3714">
            <v>0</v>
          </cell>
          <cell r="AC3714">
            <v>0</v>
          </cell>
          <cell r="AD3714">
            <v>0</v>
          </cell>
          <cell r="AF3714">
            <v>0</v>
          </cell>
          <cell r="AG3714">
            <v>0</v>
          </cell>
          <cell r="AI3714">
            <v>-35400.97</v>
          </cell>
          <cell r="AJ3714">
            <v>0</v>
          </cell>
          <cell r="AL3714">
            <v>-36224.11</v>
          </cell>
          <cell r="AM3714">
            <v>0</v>
          </cell>
          <cell r="AO3714">
            <v>71625.08</v>
          </cell>
          <cell r="AP3714">
            <v>0</v>
          </cell>
          <cell r="AR3714">
            <v>0</v>
          </cell>
          <cell r="AS3714">
            <v>0</v>
          </cell>
          <cell r="BF3714" t="str">
            <v>8202</v>
          </cell>
          <cell r="BG3714" t="str">
            <v>Z000</v>
          </cell>
          <cell r="BH3714" t="str">
            <v>GFS</v>
          </cell>
        </row>
        <row r="3715">
          <cell r="K3715">
            <v>0</v>
          </cell>
          <cell r="L3715">
            <v>0</v>
          </cell>
          <cell r="N3715">
            <v>0</v>
          </cell>
          <cell r="O3715">
            <v>0</v>
          </cell>
          <cell r="Q3715">
            <v>0</v>
          </cell>
          <cell r="R3715">
            <v>0</v>
          </cell>
          <cell r="T3715">
            <v>0</v>
          </cell>
          <cell r="U3715">
            <v>0</v>
          </cell>
          <cell r="W3715">
            <v>0</v>
          </cell>
          <cell r="X3715">
            <v>0</v>
          </cell>
          <cell r="Z3715">
            <v>0</v>
          </cell>
          <cell r="AA3715">
            <v>0</v>
          </cell>
          <cell r="AC3715">
            <v>0</v>
          </cell>
          <cell r="AD3715">
            <v>0</v>
          </cell>
          <cell r="AF3715">
            <v>0</v>
          </cell>
          <cell r="AG3715">
            <v>0</v>
          </cell>
          <cell r="AI3715">
            <v>7153.3700000000008</v>
          </cell>
          <cell r="AJ3715">
            <v>0</v>
          </cell>
          <cell r="AL3715">
            <v>12446.620000000012</v>
          </cell>
          <cell r="AM3715">
            <v>0</v>
          </cell>
          <cell r="AO3715">
            <v>4791.6199999999881</v>
          </cell>
          <cell r="AP3715">
            <v>0</v>
          </cell>
          <cell r="AR3715">
            <v>-24118.719999999987</v>
          </cell>
          <cell r="AS3715">
            <v>0</v>
          </cell>
          <cell r="BF3715" t="str">
            <v>8400</v>
          </cell>
          <cell r="BG3715" t="str">
            <v>N009</v>
          </cell>
          <cell r="BH3715" t="str">
            <v>GFS</v>
          </cell>
        </row>
        <row r="3716">
          <cell r="K3716">
            <v>0</v>
          </cell>
          <cell r="L3716">
            <v>0</v>
          </cell>
          <cell r="N3716">
            <v>0</v>
          </cell>
          <cell r="O3716">
            <v>0</v>
          </cell>
          <cell r="Q3716">
            <v>0</v>
          </cell>
          <cell r="R3716">
            <v>0</v>
          </cell>
          <cell r="T3716">
            <v>0</v>
          </cell>
          <cell r="U3716">
            <v>0</v>
          </cell>
          <cell r="W3716">
            <v>0</v>
          </cell>
          <cell r="X3716">
            <v>0</v>
          </cell>
          <cell r="Z3716">
            <v>0</v>
          </cell>
          <cell r="AA3716">
            <v>0</v>
          </cell>
          <cell r="AC3716">
            <v>0</v>
          </cell>
          <cell r="AD3716">
            <v>0</v>
          </cell>
          <cell r="AF3716">
            <v>0</v>
          </cell>
          <cell r="AG3716">
            <v>0</v>
          </cell>
          <cell r="AI3716">
            <v>10090</v>
          </cell>
          <cell r="AJ3716">
            <v>0</v>
          </cell>
          <cell r="AL3716">
            <v>-9492.2099999999991</v>
          </cell>
          <cell r="AM3716">
            <v>0</v>
          </cell>
          <cell r="AO3716">
            <v>56061.47</v>
          </cell>
          <cell r="AP3716">
            <v>0</v>
          </cell>
          <cell r="AR3716">
            <v>-55140.310000000063</v>
          </cell>
          <cell r="AS3716">
            <v>0</v>
          </cell>
          <cell r="BF3716" t="str">
            <v>8400</v>
          </cell>
          <cell r="BG3716" t="str">
            <v>N010</v>
          </cell>
          <cell r="BH3716" t="str">
            <v>GFS</v>
          </cell>
        </row>
        <row r="3717">
          <cell r="K3717">
            <v>0</v>
          </cell>
          <cell r="L3717">
            <v>0</v>
          </cell>
          <cell r="N3717">
            <v>0</v>
          </cell>
          <cell r="O3717">
            <v>0</v>
          </cell>
          <cell r="Q3717">
            <v>0</v>
          </cell>
          <cell r="R3717">
            <v>0</v>
          </cell>
          <cell r="T3717">
            <v>0</v>
          </cell>
          <cell r="U3717">
            <v>0</v>
          </cell>
          <cell r="W3717">
            <v>0</v>
          </cell>
          <cell r="X3717">
            <v>0</v>
          </cell>
          <cell r="Z3717">
            <v>0</v>
          </cell>
          <cell r="AA3717">
            <v>0</v>
          </cell>
          <cell r="AC3717">
            <v>0</v>
          </cell>
          <cell r="AD3717">
            <v>0</v>
          </cell>
          <cell r="AF3717">
            <v>0</v>
          </cell>
          <cell r="AG3717">
            <v>0</v>
          </cell>
          <cell r="AI3717">
            <v>-2939320</v>
          </cell>
          <cell r="AJ3717">
            <v>0</v>
          </cell>
          <cell r="AL3717">
            <v>-2149510.92</v>
          </cell>
          <cell r="AM3717">
            <v>0</v>
          </cell>
          <cell r="AO3717">
            <v>5088830.92</v>
          </cell>
          <cell r="AP3717">
            <v>0</v>
          </cell>
          <cell r="AR3717">
            <v>8030051</v>
          </cell>
          <cell r="AS3717">
            <v>0</v>
          </cell>
          <cell r="BF3717" t="str">
            <v>8202</v>
          </cell>
          <cell r="BG3717" t="str">
            <v>Z000</v>
          </cell>
          <cell r="BH3717" t="str">
            <v>GML</v>
          </cell>
        </row>
        <row r="3718">
          <cell r="K3718">
            <v>0</v>
          </cell>
          <cell r="L3718">
            <v>0</v>
          </cell>
          <cell r="N3718">
            <v>0</v>
          </cell>
          <cell r="O3718">
            <v>0</v>
          </cell>
          <cell r="Q3718">
            <v>0</v>
          </cell>
          <cell r="R3718">
            <v>0</v>
          </cell>
          <cell r="T3718">
            <v>0</v>
          </cell>
          <cell r="U3718">
            <v>0</v>
          </cell>
          <cell r="W3718">
            <v>0</v>
          </cell>
          <cell r="X3718">
            <v>0</v>
          </cell>
          <cell r="Z3718">
            <v>0</v>
          </cell>
          <cell r="AA3718">
            <v>0</v>
          </cell>
          <cell r="AC3718">
            <v>0</v>
          </cell>
          <cell r="AD3718">
            <v>0</v>
          </cell>
          <cell r="AF3718">
            <v>0</v>
          </cell>
          <cell r="AG3718">
            <v>0</v>
          </cell>
          <cell r="AI3718">
            <v>4912.0400000000009</v>
          </cell>
          <cell r="AJ3718">
            <v>0</v>
          </cell>
          <cell r="AL3718">
            <v>-4820.3000000000029</v>
          </cell>
          <cell r="AM3718">
            <v>0</v>
          </cell>
          <cell r="AO3718">
            <v>2136.8000000000029</v>
          </cell>
          <cell r="AP3718">
            <v>0</v>
          </cell>
          <cell r="AR3718">
            <v>-1428.5399999999936</v>
          </cell>
          <cell r="AS3718">
            <v>0</v>
          </cell>
          <cell r="BF3718" t="str">
            <v>8600</v>
          </cell>
          <cell r="BG3718" t="str">
            <v>P999</v>
          </cell>
          <cell r="BH3718" t="str">
            <v>TUL</v>
          </cell>
        </row>
        <row r="3721">
          <cell r="K3721">
            <v>0</v>
          </cell>
          <cell r="L3721">
            <v>0</v>
          </cell>
          <cell r="N3721">
            <v>0</v>
          </cell>
          <cell r="O3721">
            <v>0</v>
          </cell>
          <cell r="Q3721">
            <v>0</v>
          </cell>
          <cell r="R3721">
            <v>0</v>
          </cell>
          <cell r="T3721">
            <v>0</v>
          </cell>
          <cell r="U3721">
            <v>0</v>
          </cell>
          <cell r="W3721">
            <v>0</v>
          </cell>
          <cell r="X3721">
            <v>0</v>
          </cell>
          <cell r="Z3721">
            <v>0</v>
          </cell>
          <cell r="AA3721">
            <v>0</v>
          </cell>
          <cell r="AC3721">
            <v>0</v>
          </cell>
          <cell r="AD3721">
            <v>0</v>
          </cell>
          <cell r="AF3721">
            <v>0</v>
          </cell>
          <cell r="AG3721">
            <v>0</v>
          </cell>
          <cell r="AI3721">
            <v>0</v>
          </cell>
          <cell r="AJ3721">
            <v>0</v>
          </cell>
          <cell r="AL3721">
            <v>50115</v>
          </cell>
          <cell r="AM3721">
            <v>0</v>
          </cell>
          <cell r="AO3721">
            <v>10680</v>
          </cell>
          <cell r="AP3721">
            <v>0</v>
          </cell>
          <cell r="AR3721">
            <v>83536.5</v>
          </cell>
          <cell r="AS3721">
            <v>0</v>
          </cell>
          <cell r="BF3721" t="str">
            <v>1009</v>
          </cell>
          <cell r="BG3721" t="str">
            <v>A066</v>
          </cell>
          <cell r="BH3721" t="str">
            <v>VSS</v>
          </cell>
        </row>
        <row r="3722">
          <cell r="K3722">
            <v>0</v>
          </cell>
          <cell r="L3722">
            <v>0</v>
          </cell>
          <cell r="N3722">
            <v>0</v>
          </cell>
          <cell r="O3722">
            <v>0</v>
          </cell>
          <cell r="Q3722">
            <v>0</v>
          </cell>
          <cell r="R3722">
            <v>0</v>
          </cell>
          <cell r="T3722">
            <v>0</v>
          </cell>
          <cell r="U3722">
            <v>0</v>
          </cell>
          <cell r="W3722">
            <v>0</v>
          </cell>
          <cell r="X3722">
            <v>0</v>
          </cell>
          <cell r="Z3722">
            <v>0</v>
          </cell>
          <cell r="AA3722">
            <v>0</v>
          </cell>
          <cell r="AC3722">
            <v>0</v>
          </cell>
          <cell r="AD3722">
            <v>0</v>
          </cell>
          <cell r="AF3722">
            <v>0</v>
          </cell>
          <cell r="AG3722">
            <v>0</v>
          </cell>
          <cell r="AI3722">
            <v>0</v>
          </cell>
          <cell r="AJ3722">
            <v>0</v>
          </cell>
          <cell r="AL3722">
            <v>100000</v>
          </cell>
          <cell r="AM3722">
            <v>0</v>
          </cell>
          <cell r="AO3722">
            <v>0</v>
          </cell>
          <cell r="AP3722">
            <v>0</v>
          </cell>
          <cell r="AR3722">
            <v>0</v>
          </cell>
          <cell r="AS3722">
            <v>0</v>
          </cell>
          <cell r="BF3722" t="str">
            <v>8400</v>
          </cell>
          <cell r="BG3722" t="str">
            <v>N005</v>
          </cell>
          <cell r="BH3722" t="str">
            <v>EMU</v>
          </cell>
        </row>
        <row r="3725">
          <cell r="K3725">
            <v>0</v>
          </cell>
          <cell r="L3725">
            <v>0</v>
          </cell>
          <cell r="N3725">
            <v>0</v>
          </cell>
          <cell r="O3725">
            <v>0</v>
          </cell>
          <cell r="Q3725">
            <v>0</v>
          </cell>
          <cell r="R3725">
            <v>0</v>
          </cell>
          <cell r="T3725">
            <v>0</v>
          </cell>
          <cell r="U3725">
            <v>0</v>
          </cell>
          <cell r="W3725">
            <v>0</v>
          </cell>
          <cell r="X3725">
            <v>0</v>
          </cell>
          <cell r="Z3725">
            <v>0</v>
          </cell>
          <cell r="AA3725">
            <v>0</v>
          </cell>
          <cell r="AC3725">
            <v>0</v>
          </cell>
          <cell r="AD3725">
            <v>0</v>
          </cell>
          <cell r="AF3725">
            <v>0</v>
          </cell>
          <cell r="AG3725">
            <v>0</v>
          </cell>
          <cell r="AI3725">
            <v>0</v>
          </cell>
          <cell r="AJ3725">
            <v>0</v>
          </cell>
          <cell r="AL3725">
            <v>0</v>
          </cell>
          <cell r="AM3725">
            <v>0</v>
          </cell>
          <cell r="AO3725">
            <v>138.55000000000001</v>
          </cell>
          <cell r="AP3725">
            <v>0</v>
          </cell>
          <cell r="AR3725">
            <v>238.43</v>
          </cell>
          <cell r="AS3725">
            <v>0</v>
          </cell>
          <cell r="BF3725" t="str">
            <v>2017</v>
          </cell>
          <cell r="BG3725" t="str">
            <v>B404</v>
          </cell>
          <cell r="BH3725" t="str">
            <v>GES</v>
          </cell>
        </row>
        <row r="3726">
          <cell r="K3726">
            <v>0</v>
          </cell>
          <cell r="L3726">
            <v>0</v>
          </cell>
          <cell r="N3726">
            <v>0</v>
          </cell>
          <cell r="O3726">
            <v>0</v>
          </cell>
          <cell r="Q3726">
            <v>0</v>
          </cell>
          <cell r="R3726">
            <v>0</v>
          </cell>
          <cell r="T3726">
            <v>0</v>
          </cell>
          <cell r="U3726">
            <v>0</v>
          </cell>
          <cell r="W3726">
            <v>0</v>
          </cell>
          <cell r="X3726">
            <v>0</v>
          </cell>
          <cell r="Z3726">
            <v>0</v>
          </cell>
          <cell r="AA3726">
            <v>0</v>
          </cell>
          <cell r="AC3726">
            <v>0</v>
          </cell>
          <cell r="AD3726">
            <v>0</v>
          </cell>
          <cell r="AF3726">
            <v>0</v>
          </cell>
          <cell r="AG3726">
            <v>0</v>
          </cell>
          <cell r="AI3726">
            <v>0</v>
          </cell>
          <cell r="AJ3726">
            <v>0</v>
          </cell>
          <cell r="AL3726">
            <v>0</v>
          </cell>
          <cell r="AM3726">
            <v>0</v>
          </cell>
          <cell r="AO3726">
            <v>0</v>
          </cell>
          <cell r="AP3726">
            <v>0</v>
          </cell>
          <cell r="AR3726">
            <v>4399550.5999999996</v>
          </cell>
          <cell r="AS3726">
            <v>0</v>
          </cell>
          <cell r="BF3726" t="str">
            <v>6700</v>
          </cell>
          <cell r="BG3726" t="str">
            <v>K001</v>
          </cell>
          <cell r="BH3726" t="str">
            <v>VSS</v>
          </cell>
        </row>
        <row r="3727">
          <cell r="K3727">
            <v>0</v>
          </cell>
          <cell r="L3727">
            <v>0</v>
          </cell>
          <cell r="N3727">
            <v>0</v>
          </cell>
          <cell r="O3727">
            <v>0</v>
          </cell>
          <cell r="Q3727">
            <v>0</v>
          </cell>
          <cell r="R3727">
            <v>0</v>
          </cell>
          <cell r="T3727">
            <v>0</v>
          </cell>
          <cell r="U3727">
            <v>0</v>
          </cell>
          <cell r="W3727">
            <v>0</v>
          </cell>
          <cell r="X3727">
            <v>0</v>
          </cell>
          <cell r="Z3727">
            <v>0</v>
          </cell>
          <cell r="AA3727">
            <v>0</v>
          </cell>
          <cell r="AC3727">
            <v>0</v>
          </cell>
          <cell r="AD3727">
            <v>0</v>
          </cell>
          <cell r="AF3727">
            <v>0</v>
          </cell>
          <cell r="AG3727">
            <v>0</v>
          </cell>
          <cell r="AI3727">
            <v>0</v>
          </cell>
          <cell r="AJ3727">
            <v>0</v>
          </cell>
          <cell r="AL3727">
            <v>0</v>
          </cell>
          <cell r="AM3727">
            <v>0</v>
          </cell>
          <cell r="AO3727">
            <v>0</v>
          </cell>
          <cell r="AP3727">
            <v>0</v>
          </cell>
          <cell r="AR3727">
            <v>0</v>
          </cell>
          <cell r="AS3727">
            <v>0</v>
          </cell>
          <cell r="BF3727" t="str">
            <v>6700</v>
          </cell>
          <cell r="BG3727" t="str">
            <v>K002</v>
          </cell>
          <cell r="BH3727" t="str">
            <v>VSS</v>
          </cell>
        </row>
        <row r="3728">
          <cell r="K3728">
            <v>0</v>
          </cell>
          <cell r="L3728">
            <v>0</v>
          </cell>
          <cell r="N3728">
            <v>0</v>
          </cell>
          <cell r="O3728">
            <v>0</v>
          </cell>
          <cell r="Q3728">
            <v>0</v>
          </cell>
          <cell r="R3728">
            <v>0</v>
          </cell>
          <cell r="T3728">
            <v>0</v>
          </cell>
          <cell r="U3728">
            <v>0</v>
          </cell>
          <cell r="W3728">
            <v>0</v>
          </cell>
          <cell r="X3728">
            <v>0</v>
          </cell>
          <cell r="Z3728">
            <v>0</v>
          </cell>
          <cell r="AA3728">
            <v>0</v>
          </cell>
          <cell r="AC3728">
            <v>0</v>
          </cell>
          <cell r="AD3728">
            <v>0</v>
          </cell>
          <cell r="AF3728">
            <v>0</v>
          </cell>
          <cell r="AG3728">
            <v>0</v>
          </cell>
          <cell r="AI3728">
            <v>0</v>
          </cell>
          <cell r="AJ3728">
            <v>0</v>
          </cell>
          <cell r="AL3728">
            <v>0</v>
          </cell>
          <cell r="AM3728">
            <v>0</v>
          </cell>
          <cell r="AO3728">
            <v>0</v>
          </cell>
          <cell r="AP3728">
            <v>0</v>
          </cell>
          <cell r="AR3728">
            <v>0</v>
          </cell>
          <cell r="AS3728">
            <v>0</v>
          </cell>
          <cell r="BF3728" t="str">
            <v>2002</v>
          </cell>
          <cell r="BG3728" t="str">
            <v>B501</v>
          </cell>
          <cell r="BH3728" t="str">
            <v>GML</v>
          </cell>
        </row>
        <row r="3729">
          <cell r="K3729">
            <v>0</v>
          </cell>
          <cell r="L3729">
            <v>0</v>
          </cell>
          <cell r="N3729">
            <v>0</v>
          </cell>
          <cell r="O3729">
            <v>0</v>
          </cell>
          <cell r="Q3729">
            <v>0</v>
          </cell>
          <cell r="R3729">
            <v>0</v>
          </cell>
          <cell r="T3729">
            <v>0</v>
          </cell>
          <cell r="U3729">
            <v>0</v>
          </cell>
          <cell r="W3729">
            <v>0</v>
          </cell>
          <cell r="X3729">
            <v>0</v>
          </cell>
          <cell r="Z3729">
            <v>0</v>
          </cell>
          <cell r="AA3729">
            <v>0</v>
          </cell>
          <cell r="AC3729">
            <v>0</v>
          </cell>
          <cell r="AD3729">
            <v>0</v>
          </cell>
          <cell r="AF3729">
            <v>0</v>
          </cell>
          <cell r="AG3729">
            <v>0</v>
          </cell>
          <cell r="AI3729">
            <v>0</v>
          </cell>
          <cell r="AJ3729">
            <v>0</v>
          </cell>
          <cell r="AL3729">
            <v>6247.17</v>
          </cell>
          <cell r="AM3729">
            <v>0</v>
          </cell>
          <cell r="AO3729">
            <v>5765.4</v>
          </cell>
          <cell r="AP3729">
            <v>0</v>
          </cell>
          <cell r="AR3729">
            <v>6911.8700000000026</v>
          </cell>
          <cell r="AS3729">
            <v>0</v>
          </cell>
          <cell r="BF3729" t="str">
            <v>4590</v>
          </cell>
          <cell r="BG3729" t="str">
            <v>D121</v>
          </cell>
          <cell r="BH3729" t="str">
            <v>TUL</v>
          </cell>
        </row>
        <row r="3732">
          <cell r="K3732">
            <v>0</v>
          </cell>
          <cell r="L3732">
            <v>0</v>
          </cell>
          <cell r="N3732">
            <v>0</v>
          </cell>
          <cell r="O3732">
            <v>0</v>
          </cell>
          <cell r="Q3732">
            <v>0</v>
          </cell>
          <cell r="R3732">
            <v>0</v>
          </cell>
          <cell r="T3732">
            <v>0</v>
          </cell>
          <cell r="U3732">
            <v>0</v>
          </cell>
          <cell r="W3732">
            <v>0</v>
          </cell>
          <cell r="X3732">
            <v>0</v>
          </cell>
          <cell r="Z3732">
            <v>0</v>
          </cell>
          <cell r="AA3732">
            <v>0</v>
          </cell>
          <cell r="AC3732">
            <v>0</v>
          </cell>
          <cell r="AD3732">
            <v>0</v>
          </cell>
          <cell r="AF3732">
            <v>0</v>
          </cell>
          <cell r="AG3732">
            <v>0</v>
          </cell>
          <cell r="AI3732">
            <v>0</v>
          </cell>
          <cell r="AJ3732">
            <v>0</v>
          </cell>
          <cell r="AL3732">
            <v>0</v>
          </cell>
          <cell r="AM3732">
            <v>0</v>
          </cell>
          <cell r="AO3732">
            <v>0</v>
          </cell>
          <cell r="AP3732">
            <v>0</v>
          </cell>
          <cell r="AR3732">
            <v>0</v>
          </cell>
          <cell r="AS3732">
            <v>0</v>
          </cell>
          <cell r="BF3732" t="str">
            <v>1003</v>
          </cell>
          <cell r="BG3732" t="str">
            <v>A121</v>
          </cell>
          <cell r="BH3732" t="str">
            <v>GSA</v>
          </cell>
        </row>
        <row r="3733">
          <cell r="K3733">
            <v>0</v>
          </cell>
          <cell r="L3733">
            <v>0</v>
          </cell>
          <cell r="N3733">
            <v>0</v>
          </cell>
          <cell r="O3733">
            <v>0</v>
          </cell>
          <cell r="Q3733">
            <v>0</v>
          </cell>
          <cell r="R3733">
            <v>0</v>
          </cell>
          <cell r="T3733">
            <v>0</v>
          </cell>
          <cell r="U3733">
            <v>0</v>
          </cell>
          <cell r="W3733">
            <v>0</v>
          </cell>
          <cell r="X3733">
            <v>0</v>
          </cell>
          <cell r="Z3733">
            <v>0</v>
          </cell>
          <cell r="AA3733">
            <v>0</v>
          </cell>
          <cell r="AC3733">
            <v>0</v>
          </cell>
          <cell r="AD3733">
            <v>0</v>
          </cell>
          <cell r="AF3733">
            <v>0</v>
          </cell>
          <cell r="AG3733">
            <v>0</v>
          </cell>
          <cell r="AI3733">
            <v>0</v>
          </cell>
          <cell r="AJ3733">
            <v>0</v>
          </cell>
          <cell r="AL3733">
            <v>0</v>
          </cell>
          <cell r="AM3733">
            <v>0</v>
          </cell>
          <cell r="AO3733">
            <v>0</v>
          </cell>
          <cell r="AP3733">
            <v>0</v>
          </cell>
          <cell r="AR3733">
            <v>0</v>
          </cell>
          <cell r="AS3733">
            <v>0</v>
          </cell>
          <cell r="BF3733" t="str">
            <v>1003</v>
          </cell>
          <cell r="BG3733" t="str">
            <v>A122</v>
          </cell>
          <cell r="BH3733" t="str">
            <v>GSA</v>
          </cell>
        </row>
        <row r="3734">
          <cell r="K3734">
            <v>0</v>
          </cell>
          <cell r="L3734">
            <v>0</v>
          </cell>
          <cell r="N3734">
            <v>0</v>
          </cell>
          <cell r="O3734">
            <v>0</v>
          </cell>
          <cell r="Q3734">
            <v>0</v>
          </cell>
          <cell r="R3734">
            <v>0</v>
          </cell>
          <cell r="T3734">
            <v>0</v>
          </cell>
          <cell r="U3734">
            <v>0</v>
          </cell>
          <cell r="W3734">
            <v>0</v>
          </cell>
          <cell r="X3734">
            <v>0</v>
          </cell>
          <cell r="Z3734">
            <v>0</v>
          </cell>
          <cell r="AA3734">
            <v>0</v>
          </cell>
          <cell r="AC3734">
            <v>0</v>
          </cell>
          <cell r="AD3734">
            <v>0</v>
          </cell>
          <cell r="AF3734">
            <v>0</v>
          </cell>
          <cell r="AG3734">
            <v>0</v>
          </cell>
          <cell r="AI3734">
            <v>0</v>
          </cell>
          <cell r="AJ3734">
            <v>0</v>
          </cell>
          <cell r="AL3734">
            <v>0</v>
          </cell>
          <cell r="AM3734">
            <v>0</v>
          </cell>
          <cell r="AO3734">
            <v>172518.39999999999</v>
          </cell>
          <cell r="AP3734">
            <v>0</v>
          </cell>
          <cell r="AR3734">
            <v>307806.71999999997</v>
          </cell>
          <cell r="AS3734">
            <v>0</v>
          </cell>
          <cell r="BF3734" t="str">
            <v>2017</v>
          </cell>
          <cell r="BG3734" t="str">
            <v>B404</v>
          </cell>
          <cell r="BH3734" t="str">
            <v>GSA</v>
          </cell>
        </row>
        <row r="3735">
          <cell r="K3735">
            <v>0</v>
          </cell>
          <cell r="L3735">
            <v>0</v>
          </cell>
          <cell r="N3735">
            <v>0</v>
          </cell>
          <cell r="O3735">
            <v>0</v>
          </cell>
          <cell r="Q3735">
            <v>0</v>
          </cell>
          <cell r="R3735">
            <v>0</v>
          </cell>
          <cell r="T3735">
            <v>0</v>
          </cell>
          <cell r="U3735">
            <v>0</v>
          </cell>
          <cell r="W3735">
            <v>0</v>
          </cell>
          <cell r="X3735">
            <v>0</v>
          </cell>
          <cell r="Z3735">
            <v>0</v>
          </cell>
          <cell r="AA3735">
            <v>0</v>
          </cell>
          <cell r="AC3735">
            <v>0</v>
          </cell>
          <cell r="AD3735">
            <v>0</v>
          </cell>
          <cell r="AF3735">
            <v>0</v>
          </cell>
          <cell r="AG3735">
            <v>0</v>
          </cell>
          <cell r="AI3735">
            <v>0</v>
          </cell>
          <cell r="AJ3735">
            <v>0</v>
          </cell>
          <cell r="AL3735">
            <v>0</v>
          </cell>
          <cell r="AM3735">
            <v>0</v>
          </cell>
          <cell r="AO3735">
            <v>11432.7</v>
          </cell>
          <cell r="AP3735">
            <v>0</v>
          </cell>
          <cell r="AR3735">
            <v>0</v>
          </cell>
          <cell r="AS3735">
            <v>0</v>
          </cell>
          <cell r="BF3735" t="str">
            <v>5700</v>
          </cell>
          <cell r="BG3735" t="str">
            <v>I018</v>
          </cell>
          <cell r="BH3735" t="str">
            <v>GBM</v>
          </cell>
        </row>
        <row r="3738">
          <cell r="K3738">
            <v>0</v>
          </cell>
          <cell r="L3738">
            <v>0</v>
          </cell>
          <cell r="N3738">
            <v>0</v>
          </cell>
          <cell r="O3738">
            <v>0</v>
          </cell>
          <cell r="Q3738">
            <v>0</v>
          </cell>
          <cell r="R3738">
            <v>0</v>
          </cell>
          <cell r="T3738">
            <v>0</v>
          </cell>
          <cell r="U3738">
            <v>0</v>
          </cell>
          <cell r="W3738">
            <v>0</v>
          </cell>
          <cell r="X3738">
            <v>0</v>
          </cell>
          <cell r="Z3738">
            <v>0</v>
          </cell>
          <cell r="AA3738">
            <v>0</v>
          </cell>
          <cell r="AC3738">
            <v>0</v>
          </cell>
          <cell r="AD3738">
            <v>0</v>
          </cell>
          <cell r="AF3738">
            <v>0</v>
          </cell>
          <cell r="AG3738">
            <v>0</v>
          </cell>
          <cell r="AI3738">
            <v>0</v>
          </cell>
          <cell r="AJ3738">
            <v>0</v>
          </cell>
          <cell r="AL3738">
            <v>0</v>
          </cell>
          <cell r="AM3738">
            <v>0</v>
          </cell>
          <cell r="AO3738">
            <v>0</v>
          </cell>
          <cell r="AP3738">
            <v>0</v>
          </cell>
          <cell r="AR3738">
            <v>0</v>
          </cell>
          <cell r="AS3738">
            <v>0</v>
          </cell>
          <cell r="BF3738" t="str">
            <v>1001</v>
          </cell>
          <cell r="BG3738" t="str">
            <v>A023</v>
          </cell>
          <cell r="BH3738" t="str">
            <v>GSA</v>
          </cell>
        </row>
        <row r="3739">
          <cell r="K3739">
            <v>0</v>
          </cell>
          <cell r="L3739">
            <v>0</v>
          </cell>
          <cell r="N3739">
            <v>0</v>
          </cell>
          <cell r="O3739">
            <v>0</v>
          </cell>
          <cell r="Q3739">
            <v>0</v>
          </cell>
          <cell r="R3739">
            <v>0</v>
          </cell>
          <cell r="T3739">
            <v>0</v>
          </cell>
          <cell r="U3739">
            <v>0</v>
          </cell>
          <cell r="W3739">
            <v>0</v>
          </cell>
          <cell r="X3739">
            <v>0</v>
          </cell>
          <cell r="Z3739">
            <v>0</v>
          </cell>
          <cell r="AA3739">
            <v>0</v>
          </cell>
          <cell r="AC3739">
            <v>0</v>
          </cell>
          <cell r="AD3739">
            <v>0</v>
          </cell>
          <cell r="AF3739">
            <v>0</v>
          </cell>
          <cell r="AG3739">
            <v>0</v>
          </cell>
          <cell r="AI3739">
            <v>0</v>
          </cell>
          <cell r="AJ3739">
            <v>0</v>
          </cell>
          <cell r="AL3739">
            <v>0</v>
          </cell>
          <cell r="AM3739">
            <v>0</v>
          </cell>
          <cell r="AO3739">
            <v>444338.94999999995</v>
          </cell>
          <cell r="AP3739">
            <v>0</v>
          </cell>
          <cell r="AR3739">
            <v>112965.5</v>
          </cell>
          <cell r="AS3739">
            <v>0</v>
          </cell>
          <cell r="BF3739" t="str">
            <v>1001</v>
          </cell>
          <cell r="BG3739" t="str">
            <v>A024</v>
          </cell>
          <cell r="BH3739" t="str">
            <v>GSA</v>
          </cell>
        </row>
        <row r="3740">
          <cell r="K3740">
            <v>0</v>
          </cell>
          <cell r="L3740">
            <v>0</v>
          </cell>
          <cell r="N3740">
            <v>0</v>
          </cell>
          <cell r="O3740">
            <v>0</v>
          </cell>
          <cell r="Q3740">
            <v>0</v>
          </cell>
          <cell r="R3740">
            <v>0</v>
          </cell>
          <cell r="T3740">
            <v>0</v>
          </cell>
          <cell r="U3740">
            <v>0</v>
          </cell>
          <cell r="W3740">
            <v>0</v>
          </cell>
          <cell r="X3740">
            <v>0</v>
          </cell>
          <cell r="Z3740">
            <v>0</v>
          </cell>
          <cell r="AA3740">
            <v>0</v>
          </cell>
          <cell r="AC3740">
            <v>0</v>
          </cell>
          <cell r="AD3740">
            <v>0</v>
          </cell>
          <cell r="AF3740">
            <v>0</v>
          </cell>
          <cell r="AG3740">
            <v>0</v>
          </cell>
          <cell r="AI3740">
            <v>0</v>
          </cell>
          <cell r="AJ3740">
            <v>0</v>
          </cell>
          <cell r="AL3740">
            <v>0</v>
          </cell>
          <cell r="AM3740">
            <v>0</v>
          </cell>
          <cell r="AO3740">
            <v>1254168.7</v>
          </cell>
          <cell r="AP3740">
            <v>0</v>
          </cell>
          <cell r="AR3740">
            <v>321951.70999999996</v>
          </cell>
          <cell r="AS3740">
            <v>0</v>
          </cell>
          <cell r="BF3740" t="str">
            <v>1001</v>
          </cell>
          <cell r="BG3740" t="str">
            <v>A025</v>
          </cell>
          <cell r="BH3740" t="str">
            <v>GSA</v>
          </cell>
        </row>
        <row r="3741">
          <cell r="K3741">
            <v>0</v>
          </cell>
          <cell r="L3741">
            <v>0</v>
          </cell>
          <cell r="N3741">
            <v>0</v>
          </cell>
          <cell r="O3741">
            <v>0</v>
          </cell>
          <cell r="Q3741">
            <v>0</v>
          </cell>
          <cell r="R3741">
            <v>0</v>
          </cell>
          <cell r="T3741">
            <v>0</v>
          </cell>
          <cell r="U3741">
            <v>0</v>
          </cell>
          <cell r="W3741">
            <v>0</v>
          </cell>
          <cell r="X3741">
            <v>0</v>
          </cell>
          <cell r="Z3741">
            <v>0</v>
          </cell>
          <cell r="AA3741">
            <v>0</v>
          </cell>
          <cell r="AC3741">
            <v>0</v>
          </cell>
          <cell r="AD3741">
            <v>0</v>
          </cell>
          <cell r="AF3741">
            <v>9438.25</v>
          </cell>
          <cell r="AG3741">
            <v>0</v>
          </cell>
          <cell r="AI3741">
            <v>-9083.9699999999993</v>
          </cell>
          <cell r="AJ3741">
            <v>0</v>
          </cell>
          <cell r="AL3741">
            <v>1910.1399999999994</v>
          </cell>
          <cell r="AM3741">
            <v>0</v>
          </cell>
          <cell r="AO3741">
            <v>98320.58</v>
          </cell>
          <cell r="AP3741">
            <v>0</v>
          </cell>
          <cell r="AR3741">
            <v>32888</v>
          </cell>
          <cell r="AS3741">
            <v>0</v>
          </cell>
          <cell r="BF3741" t="str">
            <v>1001</v>
          </cell>
          <cell r="BG3741" t="str">
            <v>A023</v>
          </cell>
          <cell r="BH3741" t="str">
            <v>GFS</v>
          </cell>
        </row>
        <row r="3742">
          <cell r="K3742">
            <v>0</v>
          </cell>
          <cell r="L3742">
            <v>0</v>
          </cell>
          <cell r="N3742">
            <v>0</v>
          </cell>
          <cell r="O3742">
            <v>0</v>
          </cell>
          <cell r="Q3742">
            <v>0</v>
          </cell>
          <cell r="R3742">
            <v>0</v>
          </cell>
          <cell r="T3742">
            <v>0</v>
          </cell>
          <cell r="U3742">
            <v>0</v>
          </cell>
          <cell r="W3742">
            <v>0</v>
          </cell>
          <cell r="X3742">
            <v>0</v>
          </cell>
          <cell r="Z3742">
            <v>0</v>
          </cell>
          <cell r="AA3742">
            <v>0</v>
          </cell>
          <cell r="AC3742">
            <v>0</v>
          </cell>
          <cell r="AD3742">
            <v>0</v>
          </cell>
          <cell r="AF3742">
            <v>0</v>
          </cell>
          <cell r="AG3742">
            <v>0</v>
          </cell>
          <cell r="AI3742">
            <v>0</v>
          </cell>
          <cell r="AJ3742">
            <v>0</v>
          </cell>
          <cell r="AL3742">
            <v>0</v>
          </cell>
          <cell r="AM3742">
            <v>0</v>
          </cell>
          <cell r="AO3742">
            <v>6617.75</v>
          </cell>
          <cell r="AP3742">
            <v>0</v>
          </cell>
          <cell r="AR3742">
            <v>2204.7999999999993</v>
          </cell>
          <cell r="AS3742">
            <v>0</v>
          </cell>
          <cell r="BF3742" t="str">
            <v>1001</v>
          </cell>
          <cell r="BG3742" t="str">
            <v>A024</v>
          </cell>
          <cell r="BH3742" t="str">
            <v>GFS</v>
          </cell>
        </row>
        <row r="3743">
          <cell r="K3743">
            <v>0</v>
          </cell>
          <cell r="L3743">
            <v>0</v>
          </cell>
          <cell r="N3743">
            <v>0</v>
          </cell>
          <cell r="O3743">
            <v>0</v>
          </cell>
          <cell r="Q3743">
            <v>0</v>
          </cell>
          <cell r="R3743">
            <v>0</v>
          </cell>
          <cell r="T3743">
            <v>0</v>
          </cell>
          <cell r="U3743">
            <v>0</v>
          </cell>
          <cell r="W3743">
            <v>0</v>
          </cell>
          <cell r="X3743">
            <v>0</v>
          </cell>
          <cell r="Z3743">
            <v>0</v>
          </cell>
          <cell r="AA3743">
            <v>0</v>
          </cell>
          <cell r="AC3743">
            <v>0</v>
          </cell>
          <cell r="AD3743">
            <v>0</v>
          </cell>
          <cell r="AF3743">
            <v>0</v>
          </cell>
          <cell r="AG3743">
            <v>0</v>
          </cell>
          <cell r="AI3743">
            <v>0</v>
          </cell>
          <cell r="AJ3743">
            <v>0</v>
          </cell>
          <cell r="AL3743">
            <v>0</v>
          </cell>
          <cell r="AM3743">
            <v>0</v>
          </cell>
          <cell r="AO3743">
            <v>0</v>
          </cell>
          <cell r="AP3743">
            <v>0</v>
          </cell>
          <cell r="AR3743">
            <v>0</v>
          </cell>
          <cell r="AS3743">
            <v>0</v>
          </cell>
          <cell r="BF3743" t="str">
            <v>1001</v>
          </cell>
          <cell r="BG3743" t="str">
            <v>A025</v>
          </cell>
          <cell r="BH3743" t="str">
            <v>GFS</v>
          </cell>
        </row>
        <row r="3744">
          <cell r="K3744">
            <v>0</v>
          </cell>
          <cell r="L3744">
            <v>0</v>
          </cell>
          <cell r="N3744">
            <v>0</v>
          </cell>
          <cell r="O3744">
            <v>0</v>
          </cell>
          <cell r="Q3744">
            <v>0</v>
          </cell>
          <cell r="R3744">
            <v>0</v>
          </cell>
          <cell r="T3744">
            <v>0</v>
          </cell>
          <cell r="U3744">
            <v>0</v>
          </cell>
          <cell r="W3744">
            <v>0</v>
          </cell>
          <cell r="X3744">
            <v>0</v>
          </cell>
          <cell r="Z3744">
            <v>0</v>
          </cell>
          <cell r="AA3744">
            <v>0</v>
          </cell>
          <cell r="AC3744">
            <v>0</v>
          </cell>
          <cell r="AD3744">
            <v>0</v>
          </cell>
          <cell r="AF3744">
            <v>0</v>
          </cell>
          <cell r="AG3744">
            <v>0</v>
          </cell>
          <cell r="AI3744">
            <v>0</v>
          </cell>
          <cell r="AJ3744">
            <v>0</v>
          </cell>
          <cell r="AL3744">
            <v>0</v>
          </cell>
          <cell r="AM3744">
            <v>0</v>
          </cell>
          <cell r="AO3744">
            <v>33088.769999999997</v>
          </cell>
          <cell r="AP3744">
            <v>0</v>
          </cell>
          <cell r="AR3744">
            <v>11024</v>
          </cell>
          <cell r="AS3744">
            <v>0</v>
          </cell>
          <cell r="BF3744" t="str">
            <v>2002</v>
          </cell>
          <cell r="BG3744" t="str">
            <v>B501</v>
          </cell>
          <cell r="BH3744" t="str">
            <v>GFS</v>
          </cell>
        </row>
        <row r="3745">
          <cell r="K3745">
            <v>0</v>
          </cell>
          <cell r="L3745">
            <v>0</v>
          </cell>
          <cell r="N3745">
            <v>0</v>
          </cell>
          <cell r="O3745">
            <v>0</v>
          </cell>
          <cell r="Q3745">
            <v>0</v>
          </cell>
          <cell r="R3745">
            <v>0</v>
          </cell>
          <cell r="T3745">
            <v>0</v>
          </cell>
          <cell r="U3745">
            <v>0</v>
          </cell>
          <cell r="W3745">
            <v>0</v>
          </cell>
          <cell r="X3745">
            <v>0</v>
          </cell>
          <cell r="Z3745">
            <v>0</v>
          </cell>
          <cell r="AA3745">
            <v>0</v>
          </cell>
          <cell r="AC3745">
            <v>0</v>
          </cell>
          <cell r="AD3745">
            <v>0</v>
          </cell>
          <cell r="AF3745">
            <v>0</v>
          </cell>
          <cell r="AG3745">
            <v>0</v>
          </cell>
          <cell r="AI3745">
            <v>8820</v>
          </cell>
          <cell r="AJ3745">
            <v>0</v>
          </cell>
          <cell r="AL3745">
            <v>131954.07999999999</v>
          </cell>
          <cell r="AM3745">
            <v>0</v>
          </cell>
          <cell r="AO3745">
            <v>7004755.9199999999</v>
          </cell>
          <cell r="AP3745">
            <v>0</v>
          </cell>
          <cell r="AR3745">
            <v>2124420</v>
          </cell>
          <cell r="AS3745">
            <v>0</v>
          </cell>
          <cell r="BF3745" t="str">
            <v>1001</v>
          </cell>
          <cell r="BG3745" t="str">
            <v>A023</v>
          </cell>
          <cell r="BH3745" t="str">
            <v>GBM</v>
          </cell>
        </row>
        <row r="3746">
          <cell r="K3746">
            <v>0</v>
          </cell>
          <cell r="L3746">
            <v>0</v>
          </cell>
          <cell r="N3746">
            <v>0</v>
          </cell>
          <cell r="O3746">
            <v>0</v>
          </cell>
          <cell r="Q3746">
            <v>0</v>
          </cell>
          <cell r="R3746">
            <v>0</v>
          </cell>
          <cell r="T3746">
            <v>0</v>
          </cell>
          <cell r="U3746">
            <v>0</v>
          </cell>
          <cell r="W3746">
            <v>0</v>
          </cell>
          <cell r="X3746">
            <v>0</v>
          </cell>
          <cell r="Z3746">
            <v>0</v>
          </cell>
          <cell r="AA3746">
            <v>0</v>
          </cell>
          <cell r="AC3746">
            <v>0</v>
          </cell>
          <cell r="AD3746">
            <v>0</v>
          </cell>
          <cell r="AF3746">
            <v>0</v>
          </cell>
          <cell r="AG3746">
            <v>0</v>
          </cell>
          <cell r="AI3746">
            <v>0</v>
          </cell>
          <cell r="AJ3746">
            <v>0</v>
          </cell>
          <cell r="AL3746">
            <v>0</v>
          </cell>
          <cell r="AM3746">
            <v>0</v>
          </cell>
          <cell r="AO3746">
            <v>862308</v>
          </cell>
          <cell r="AP3746">
            <v>0</v>
          </cell>
          <cell r="AR3746">
            <v>230115</v>
          </cell>
          <cell r="AS3746">
            <v>0</v>
          </cell>
          <cell r="BF3746" t="str">
            <v>1001</v>
          </cell>
          <cell r="BG3746" t="str">
            <v>A024</v>
          </cell>
          <cell r="BH3746" t="str">
            <v>GBM</v>
          </cell>
        </row>
        <row r="3747">
          <cell r="K3747">
            <v>0</v>
          </cell>
          <cell r="L3747">
            <v>0</v>
          </cell>
          <cell r="N3747">
            <v>0</v>
          </cell>
          <cell r="O3747">
            <v>0</v>
          </cell>
          <cell r="Q3747">
            <v>0</v>
          </cell>
          <cell r="R3747">
            <v>0</v>
          </cell>
          <cell r="T3747">
            <v>0</v>
          </cell>
          <cell r="U3747">
            <v>0</v>
          </cell>
          <cell r="W3747">
            <v>0</v>
          </cell>
          <cell r="X3747">
            <v>0</v>
          </cell>
          <cell r="Z3747">
            <v>0</v>
          </cell>
          <cell r="AA3747">
            <v>0</v>
          </cell>
          <cell r="AC3747">
            <v>0</v>
          </cell>
          <cell r="AD3747">
            <v>0</v>
          </cell>
          <cell r="AF3747">
            <v>0</v>
          </cell>
          <cell r="AG3747">
            <v>0</v>
          </cell>
          <cell r="AI3747">
            <v>0</v>
          </cell>
          <cell r="AJ3747">
            <v>0</v>
          </cell>
          <cell r="AL3747">
            <v>0</v>
          </cell>
          <cell r="AM3747">
            <v>0</v>
          </cell>
          <cell r="AO3747">
            <v>0</v>
          </cell>
          <cell r="AP3747">
            <v>0</v>
          </cell>
          <cell r="AR3747">
            <v>0</v>
          </cell>
          <cell r="AS3747">
            <v>0</v>
          </cell>
          <cell r="BF3747" t="str">
            <v>1001</v>
          </cell>
          <cell r="BG3747" t="str">
            <v>A025</v>
          </cell>
          <cell r="BH3747" t="str">
            <v>GBM</v>
          </cell>
        </row>
        <row r="3748">
          <cell r="K3748">
            <v>283564.79999999999</v>
          </cell>
          <cell r="L3748">
            <v>0</v>
          </cell>
          <cell r="N3748">
            <v>-120326.83000000002</v>
          </cell>
          <cell r="O3748">
            <v>0</v>
          </cell>
          <cell r="Q3748">
            <v>269456.43</v>
          </cell>
          <cell r="R3748">
            <v>0</v>
          </cell>
          <cell r="T3748">
            <v>-153926.39999999997</v>
          </cell>
          <cell r="U3748">
            <v>0</v>
          </cell>
          <cell r="W3748">
            <v>559720.69999999995</v>
          </cell>
          <cell r="X3748">
            <v>0</v>
          </cell>
          <cell r="Z3748">
            <v>209703.03000000003</v>
          </cell>
          <cell r="AA3748">
            <v>0</v>
          </cell>
          <cell r="AC3748">
            <v>260614.95999999996</v>
          </cell>
          <cell r="AD3748">
            <v>0</v>
          </cell>
          <cell r="AF3748">
            <v>360660.95999999996</v>
          </cell>
          <cell r="AG3748">
            <v>0</v>
          </cell>
          <cell r="AI3748">
            <v>545783.23</v>
          </cell>
          <cell r="AJ3748">
            <v>0</v>
          </cell>
          <cell r="AL3748">
            <v>578848.21</v>
          </cell>
          <cell r="AM3748">
            <v>0</v>
          </cell>
          <cell r="AO3748">
            <v>15963081.440000001</v>
          </cell>
          <cell r="AP3748">
            <v>0</v>
          </cell>
          <cell r="AR3748">
            <v>1406438.2300000004</v>
          </cell>
          <cell r="AS3748">
            <v>0</v>
          </cell>
          <cell r="BF3748" t="str">
            <v>1001</v>
          </cell>
          <cell r="BG3748" t="str">
            <v>A023</v>
          </cell>
          <cell r="BH3748" t="str">
            <v>EMU</v>
          </cell>
        </row>
        <row r="3749">
          <cell r="K3749">
            <v>0</v>
          </cell>
          <cell r="L3749">
            <v>0</v>
          </cell>
          <cell r="N3749">
            <v>0</v>
          </cell>
          <cell r="O3749">
            <v>0</v>
          </cell>
          <cell r="Q3749">
            <v>0</v>
          </cell>
          <cell r="R3749">
            <v>0</v>
          </cell>
          <cell r="T3749">
            <v>0</v>
          </cell>
          <cell r="U3749">
            <v>0</v>
          </cell>
          <cell r="W3749">
            <v>0</v>
          </cell>
          <cell r="X3749">
            <v>0</v>
          </cell>
          <cell r="Z3749">
            <v>0</v>
          </cell>
          <cell r="AA3749">
            <v>0</v>
          </cell>
          <cell r="AC3749">
            <v>0</v>
          </cell>
          <cell r="AD3749">
            <v>0</v>
          </cell>
          <cell r="AF3749">
            <v>0</v>
          </cell>
          <cell r="AG3749">
            <v>0</v>
          </cell>
          <cell r="AI3749">
            <v>0</v>
          </cell>
          <cell r="AJ3749">
            <v>0</v>
          </cell>
          <cell r="AL3749">
            <v>0</v>
          </cell>
          <cell r="AM3749">
            <v>0</v>
          </cell>
          <cell r="AO3749">
            <v>52456.07</v>
          </cell>
          <cell r="AP3749">
            <v>0</v>
          </cell>
          <cell r="AR3749">
            <v>0</v>
          </cell>
          <cell r="AS3749">
            <v>0</v>
          </cell>
          <cell r="BF3749" t="str">
            <v>1001</v>
          </cell>
          <cell r="BG3749" t="str">
            <v>A024</v>
          </cell>
          <cell r="BH3749" t="str">
            <v>EMU</v>
          </cell>
        </row>
        <row r="3750">
          <cell r="K3750">
            <v>0</v>
          </cell>
          <cell r="L3750">
            <v>0</v>
          </cell>
          <cell r="N3750">
            <v>0</v>
          </cell>
          <cell r="O3750">
            <v>0</v>
          </cell>
          <cell r="Q3750">
            <v>0</v>
          </cell>
          <cell r="R3750">
            <v>0</v>
          </cell>
          <cell r="T3750">
            <v>0</v>
          </cell>
          <cell r="U3750">
            <v>0</v>
          </cell>
          <cell r="W3750">
            <v>0</v>
          </cell>
          <cell r="X3750">
            <v>0</v>
          </cell>
          <cell r="Z3750">
            <v>0</v>
          </cell>
          <cell r="AA3750">
            <v>0</v>
          </cell>
          <cell r="AC3750">
            <v>0</v>
          </cell>
          <cell r="AD3750">
            <v>0</v>
          </cell>
          <cell r="AF3750">
            <v>0</v>
          </cell>
          <cell r="AG3750">
            <v>0</v>
          </cell>
          <cell r="AI3750">
            <v>0</v>
          </cell>
          <cell r="AJ3750">
            <v>0</v>
          </cell>
          <cell r="AL3750">
            <v>0</v>
          </cell>
          <cell r="AM3750">
            <v>0</v>
          </cell>
          <cell r="AO3750">
            <v>0</v>
          </cell>
          <cell r="AP3750">
            <v>0</v>
          </cell>
          <cell r="AR3750">
            <v>0</v>
          </cell>
          <cell r="AS3750">
            <v>0</v>
          </cell>
          <cell r="BF3750" t="str">
            <v>1001</v>
          </cell>
          <cell r="BG3750" t="str">
            <v>A025</v>
          </cell>
          <cell r="BH3750" t="str">
            <v>EMU</v>
          </cell>
        </row>
        <row r="3753">
          <cell r="K3753">
            <v>0</v>
          </cell>
          <cell r="L3753">
            <v>0</v>
          </cell>
          <cell r="N3753">
            <v>0</v>
          </cell>
          <cell r="O3753">
            <v>0</v>
          </cell>
          <cell r="Q3753">
            <v>0</v>
          </cell>
          <cell r="R3753">
            <v>0</v>
          </cell>
          <cell r="T3753">
            <v>0</v>
          </cell>
          <cell r="U3753">
            <v>0</v>
          </cell>
          <cell r="W3753">
            <v>0</v>
          </cell>
          <cell r="X3753">
            <v>0</v>
          </cell>
          <cell r="Z3753">
            <v>0</v>
          </cell>
          <cell r="AA3753">
            <v>0</v>
          </cell>
          <cell r="AC3753">
            <v>0</v>
          </cell>
          <cell r="AD3753">
            <v>0</v>
          </cell>
          <cell r="AF3753">
            <v>0</v>
          </cell>
          <cell r="AG3753">
            <v>0</v>
          </cell>
          <cell r="AI3753">
            <v>0</v>
          </cell>
          <cell r="AJ3753">
            <v>0</v>
          </cell>
          <cell r="AL3753">
            <v>0</v>
          </cell>
          <cell r="AM3753">
            <v>0</v>
          </cell>
          <cell r="AO3753">
            <v>0</v>
          </cell>
          <cell r="AP3753">
            <v>0</v>
          </cell>
          <cell r="AR3753">
            <v>4616</v>
          </cell>
          <cell r="AS3753">
            <v>0</v>
          </cell>
          <cell r="BF3753" t="str">
            <v>4600</v>
          </cell>
          <cell r="BG3753" t="str">
            <v>Z000</v>
          </cell>
          <cell r="BH3753" t="str">
            <v>CC0</v>
          </cell>
        </row>
        <row r="3754">
          <cell r="K3754">
            <v>0</v>
          </cell>
          <cell r="L3754">
            <v>0</v>
          </cell>
          <cell r="N3754">
            <v>0</v>
          </cell>
          <cell r="O3754">
            <v>0</v>
          </cell>
          <cell r="Q3754">
            <v>0</v>
          </cell>
          <cell r="R3754">
            <v>0</v>
          </cell>
          <cell r="T3754">
            <v>0</v>
          </cell>
          <cell r="U3754">
            <v>0</v>
          </cell>
          <cell r="W3754">
            <v>0</v>
          </cell>
          <cell r="X3754">
            <v>0</v>
          </cell>
          <cell r="Z3754">
            <v>0</v>
          </cell>
          <cell r="AA3754">
            <v>0</v>
          </cell>
          <cell r="AC3754">
            <v>0</v>
          </cell>
          <cell r="AD3754">
            <v>0</v>
          </cell>
          <cell r="AF3754">
            <v>0</v>
          </cell>
          <cell r="AG3754">
            <v>0</v>
          </cell>
          <cell r="AI3754">
            <v>0</v>
          </cell>
          <cell r="AJ3754">
            <v>0</v>
          </cell>
          <cell r="AL3754">
            <v>0</v>
          </cell>
          <cell r="AM3754">
            <v>0</v>
          </cell>
          <cell r="AO3754">
            <v>0</v>
          </cell>
          <cell r="AP3754">
            <v>0</v>
          </cell>
          <cell r="AR3754">
            <v>0</v>
          </cell>
          <cell r="AS3754">
            <v>0</v>
          </cell>
          <cell r="BF3754" t="str">
            <v>8500</v>
          </cell>
          <cell r="BG3754" t="str">
            <v>O101</v>
          </cell>
          <cell r="BH3754" t="str">
            <v>CC0</v>
          </cell>
        </row>
        <row r="3755">
          <cell r="K3755">
            <v>0</v>
          </cell>
          <cell r="L3755">
            <v>0</v>
          </cell>
          <cell r="N3755">
            <v>0</v>
          </cell>
          <cell r="O3755">
            <v>0</v>
          </cell>
          <cell r="Q3755">
            <v>0</v>
          </cell>
          <cell r="R3755">
            <v>0</v>
          </cell>
          <cell r="T3755">
            <v>0</v>
          </cell>
          <cell r="U3755">
            <v>0</v>
          </cell>
          <cell r="W3755">
            <v>0</v>
          </cell>
          <cell r="X3755">
            <v>0</v>
          </cell>
          <cell r="Z3755">
            <v>0</v>
          </cell>
          <cell r="AA3755">
            <v>0</v>
          </cell>
          <cell r="AC3755">
            <v>0</v>
          </cell>
          <cell r="AD3755">
            <v>0</v>
          </cell>
          <cell r="AF3755">
            <v>0</v>
          </cell>
          <cell r="AG3755">
            <v>0</v>
          </cell>
          <cell r="AI3755">
            <v>0</v>
          </cell>
          <cell r="AJ3755">
            <v>0</v>
          </cell>
          <cell r="AL3755">
            <v>0</v>
          </cell>
          <cell r="AM3755">
            <v>0</v>
          </cell>
          <cell r="AO3755">
            <v>0</v>
          </cell>
          <cell r="AP3755">
            <v>0</v>
          </cell>
          <cell r="AR3755">
            <v>81211.75</v>
          </cell>
          <cell r="AS3755">
            <v>0</v>
          </cell>
          <cell r="BF3755" t="str">
            <v>8500</v>
          </cell>
          <cell r="BG3755" t="str">
            <v>O102</v>
          </cell>
          <cell r="BH3755" t="str">
            <v>CC0</v>
          </cell>
        </row>
        <row r="3756">
          <cell r="K3756">
            <v>0</v>
          </cell>
          <cell r="L3756">
            <v>0</v>
          </cell>
          <cell r="N3756">
            <v>0</v>
          </cell>
          <cell r="O3756">
            <v>0</v>
          </cell>
          <cell r="Q3756">
            <v>0</v>
          </cell>
          <cell r="R3756">
            <v>0</v>
          </cell>
          <cell r="T3756">
            <v>0</v>
          </cell>
          <cell r="U3756">
            <v>0</v>
          </cell>
          <cell r="W3756">
            <v>0</v>
          </cell>
          <cell r="X3756">
            <v>0</v>
          </cell>
          <cell r="Z3756">
            <v>0</v>
          </cell>
          <cell r="AA3756">
            <v>0</v>
          </cell>
          <cell r="AC3756">
            <v>0</v>
          </cell>
          <cell r="AD3756">
            <v>0</v>
          </cell>
          <cell r="AF3756">
            <v>0</v>
          </cell>
          <cell r="AG3756">
            <v>0</v>
          </cell>
          <cell r="AI3756">
            <v>0</v>
          </cell>
          <cell r="AJ3756">
            <v>0</v>
          </cell>
          <cell r="AL3756">
            <v>0</v>
          </cell>
          <cell r="AM3756">
            <v>0</v>
          </cell>
          <cell r="AO3756">
            <v>0</v>
          </cell>
          <cell r="AP3756">
            <v>0</v>
          </cell>
          <cell r="AR3756">
            <v>6496.73</v>
          </cell>
          <cell r="AS3756">
            <v>0</v>
          </cell>
          <cell r="BF3756" t="str">
            <v>8500</v>
          </cell>
          <cell r="BG3756" t="str">
            <v>O103</v>
          </cell>
          <cell r="BH3756" t="str">
            <v>CC0</v>
          </cell>
        </row>
        <row r="3757">
          <cell r="K3757">
            <v>0</v>
          </cell>
          <cell r="L3757">
            <v>0</v>
          </cell>
          <cell r="N3757">
            <v>0</v>
          </cell>
          <cell r="O3757">
            <v>0</v>
          </cell>
          <cell r="Q3757">
            <v>0</v>
          </cell>
          <cell r="R3757">
            <v>0</v>
          </cell>
          <cell r="T3757">
            <v>0</v>
          </cell>
          <cell r="U3757">
            <v>0</v>
          </cell>
          <cell r="W3757">
            <v>0</v>
          </cell>
          <cell r="X3757">
            <v>0</v>
          </cell>
          <cell r="Z3757">
            <v>0</v>
          </cell>
          <cell r="AA3757">
            <v>0</v>
          </cell>
          <cell r="AC3757">
            <v>0</v>
          </cell>
          <cell r="AD3757">
            <v>0</v>
          </cell>
          <cell r="AF3757">
            <v>0</v>
          </cell>
          <cell r="AG3757">
            <v>0</v>
          </cell>
          <cell r="AI3757">
            <v>0</v>
          </cell>
          <cell r="AJ3757">
            <v>0</v>
          </cell>
          <cell r="AL3757">
            <v>0</v>
          </cell>
          <cell r="AM3757">
            <v>0</v>
          </cell>
          <cell r="AO3757">
            <v>0</v>
          </cell>
          <cell r="AP3757">
            <v>0</v>
          </cell>
          <cell r="AR3757">
            <v>24339</v>
          </cell>
          <cell r="AS3757">
            <v>0</v>
          </cell>
          <cell r="BF3757" t="str">
            <v>8500</v>
          </cell>
          <cell r="BG3757" t="str">
            <v>O104</v>
          </cell>
          <cell r="BH3757" t="str">
            <v>CC0</v>
          </cell>
        </row>
        <row r="3758">
          <cell r="K3758">
            <v>0</v>
          </cell>
          <cell r="L3758">
            <v>0</v>
          </cell>
          <cell r="N3758">
            <v>0</v>
          </cell>
          <cell r="O3758">
            <v>0</v>
          </cell>
          <cell r="Q3758">
            <v>0</v>
          </cell>
          <cell r="R3758">
            <v>0</v>
          </cell>
          <cell r="T3758">
            <v>0</v>
          </cell>
          <cell r="U3758">
            <v>0</v>
          </cell>
          <cell r="W3758">
            <v>0</v>
          </cell>
          <cell r="X3758">
            <v>0</v>
          </cell>
          <cell r="Z3758">
            <v>0</v>
          </cell>
          <cell r="AA3758">
            <v>0</v>
          </cell>
          <cell r="AC3758">
            <v>0</v>
          </cell>
          <cell r="AD3758">
            <v>0</v>
          </cell>
          <cell r="AF3758">
            <v>0</v>
          </cell>
          <cell r="AG3758">
            <v>0</v>
          </cell>
          <cell r="AI3758">
            <v>0</v>
          </cell>
          <cell r="AJ3758">
            <v>0</v>
          </cell>
          <cell r="AL3758">
            <v>0</v>
          </cell>
          <cell r="AM3758">
            <v>0</v>
          </cell>
          <cell r="AO3758">
            <v>0</v>
          </cell>
          <cell r="AP3758">
            <v>0</v>
          </cell>
          <cell r="AR3758">
            <v>0</v>
          </cell>
          <cell r="AS3758">
            <v>0</v>
          </cell>
          <cell r="BF3758" t="str">
            <v>8500</v>
          </cell>
          <cell r="BG3758" t="str">
            <v>O105</v>
          </cell>
          <cell r="BH3758" t="str">
            <v>CC0</v>
          </cell>
        </row>
        <row r="3759">
          <cell r="K3759">
            <v>0</v>
          </cell>
          <cell r="L3759">
            <v>0</v>
          </cell>
          <cell r="N3759">
            <v>0</v>
          </cell>
          <cell r="O3759">
            <v>0</v>
          </cell>
          <cell r="Q3759">
            <v>0</v>
          </cell>
          <cell r="R3759">
            <v>0</v>
          </cell>
          <cell r="T3759">
            <v>0</v>
          </cell>
          <cell r="U3759">
            <v>0</v>
          </cell>
          <cell r="W3759">
            <v>0</v>
          </cell>
          <cell r="X3759">
            <v>0</v>
          </cell>
          <cell r="Z3759">
            <v>0</v>
          </cell>
          <cell r="AA3759">
            <v>0</v>
          </cell>
          <cell r="AC3759">
            <v>0</v>
          </cell>
          <cell r="AD3759">
            <v>0</v>
          </cell>
          <cell r="AF3759">
            <v>0</v>
          </cell>
          <cell r="AG3759">
            <v>0</v>
          </cell>
          <cell r="AI3759">
            <v>0</v>
          </cell>
          <cell r="AJ3759">
            <v>0</v>
          </cell>
          <cell r="AL3759">
            <v>0</v>
          </cell>
          <cell r="AM3759">
            <v>0</v>
          </cell>
          <cell r="AO3759">
            <v>0</v>
          </cell>
          <cell r="AP3759">
            <v>0</v>
          </cell>
          <cell r="AR3759">
            <v>1426778.07</v>
          </cell>
          <cell r="AS3759">
            <v>0</v>
          </cell>
          <cell r="BF3759" t="str">
            <v>5400</v>
          </cell>
          <cell r="BG3759" t="str">
            <v>F028</v>
          </cell>
          <cell r="BH3759" t="str">
            <v>VSS</v>
          </cell>
        </row>
        <row r="3760">
          <cell r="K3760">
            <v>0</v>
          </cell>
          <cell r="L3760">
            <v>0</v>
          </cell>
          <cell r="N3760">
            <v>0</v>
          </cell>
          <cell r="O3760">
            <v>0</v>
          </cell>
          <cell r="Q3760">
            <v>0</v>
          </cell>
          <cell r="R3760">
            <v>0</v>
          </cell>
          <cell r="T3760">
            <v>0</v>
          </cell>
          <cell r="U3760">
            <v>0</v>
          </cell>
          <cell r="W3760">
            <v>0</v>
          </cell>
          <cell r="X3760">
            <v>0</v>
          </cell>
          <cell r="Z3760">
            <v>0</v>
          </cell>
          <cell r="AA3760">
            <v>0</v>
          </cell>
          <cell r="AC3760">
            <v>0</v>
          </cell>
          <cell r="AD3760">
            <v>0</v>
          </cell>
          <cell r="AF3760">
            <v>0</v>
          </cell>
          <cell r="AG3760">
            <v>0</v>
          </cell>
          <cell r="AI3760">
            <v>0</v>
          </cell>
          <cell r="AJ3760">
            <v>0</v>
          </cell>
          <cell r="AL3760">
            <v>0</v>
          </cell>
          <cell r="AM3760">
            <v>0</v>
          </cell>
          <cell r="AO3760">
            <v>0</v>
          </cell>
          <cell r="AP3760">
            <v>0</v>
          </cell>
          <cell r="AR3760">
            <v>0</v>
          </cell>
          <cell r="AS3760">
            <v>0</v>
          </cell>
          <cell r="BF3760" t="str">
            <v>1003</v>
          </cell>
          <cell r="BG3760" t="str">
            <v>A121</v>
          </cell>
          <cell r="BH3760" t="str">
            <v>GBM</v>
          </cell>
        </row>
        <row r="3761">
          <cell r="K3761">
            <v>0</v>
          </cell>
          <cell r="L3761">
            <v>0</v>
          </cell>
          <cell r="N3761">
            <v>0</v>
          </cell>
          <cell r="O3761">
            <v>0</v>
          </cell>
          <cell r="Q3761">
            <v>0</v>
          </cell>
          <cell r="R3761">
            <v>0</v>
          </cell>
          <cell r="T3761">
            <v>0</v>
          </cell>
          <cell r="U3761">
            <v>0</v>
          </cell>
          <cell r="W3761">
            <v>0</v>
          </cell>
          <cell r="X3761">
            <v>0</v>
          </cell>
          <cell r="Z3761">
            <v>0</v>
          </cell>
          <cell r="AA3761">
            <v>0</v>
          </cell>
          <cell r="AC3761">
            <v>0</v>
          </cell>
          <cell r="AD3761">
            <v>0</v>
          </cell>
          <cell r="AF3761">
            <v>0</v>
          </cell>
          <cell r="AG3761">
            <v>0</v>
          </cell>
          <cell r="AI3761">
            <v>0</v>
          </cell>
          <cell r="AJ3761">
            <v>0</v>
          </cell>
          <cell r="AL3761">
            <v>0</v>
          </cell>
          <cell r="AM3761">
            <v>0</v>
          </cell>
          <cell r="AO3761">
            <v>0</v>
          </cell>
          <cell r="AP3761">
            <v>0</v>
          </cell>
          <cell r="AR3761">
            <v>-32301.120000000003</v>
          </cell>
          <cell r="AS3761">
            <v>0</v>
          </cell>
          <cell r="BF3761" t="str">
            <v>5500</v>
          </cell>
          <cell r="BG3761" t="str">
            <v>G019</v>
          </cell>
          <cell r="BH3761" t="str">
            <v>GBM</v>
          </cell>
        </row>
        <row r="3762">
          <cell r="K3762">
            <v>0</v>
          </cell>
          <cell r="L3762">
            <v>0</v>
          </cell>
          <cell r="N3762">
            <v>0</v>
          </cell>
          <cell r="O3762">
            <v>0</v>
          </cell>
          <cell r="Q3762">
            <v>0</v>
          </cell>
          <cell r="R3762">
            <v>0</v>
          </cell>
          <cell r="T3762">
            <v>0</v>
          </cell>
          <cell r="U3762">
            <v>0</v>
          </cell>
          <cell r="W3762">
            <v>0</v>
          </cell>
          <cell r="X3762">
            <v>0</v>
          </cell>
          <cell r="Z3762">
            <v>0</v>
          </cell>
          <cell r="AA3762">
            <v>0</v>
          </cell>
          <cell r="AC3762">
            <v>0</v>
          </cell>
          <cell r="AD3762">
            <v>0</v>
          </cell>
          <cell r="AF3762">
            <v>0</v>
          </cell>
          <cell r="AG3762">
            <v>0</v>
          </cell>
          <cell r="AI3762">
            <v>0</v>
          </cell>
          <cell r="AJ3762">
            <v>0</v>
          </cell>
          <cell r="AL3762">
            <v>0</v>
          </cell>
          <cell r="AM3762">
            <v>0</v>
          </cell>
          <cell r="AO3762">
            <v>4311540.0199999996</v>
          </cell>
          <cell r="AP3762">
            <v>0</v>
          </cell>
          <cell r="AR3762">
            <v>1225584</v>
          </cell>
          <cell r="AS3762">
            <v>0</v>
          </cell>
          <cell r="BF3762" t="str">
            <v>2002</v>
          </cell>
          <cell r="BG3762" t="str">
            <v>B501</v>
          </cell>
          <cell r="BH3762" t="str">
            <v>GML</v>
          </cell>
        </row>
        <row r="3763">
          <cell r="K3763">
            <v>0</v>
          </cell>
          <cell r="L3763">
            <v>0</v>
          </cell>
          <cell r="N3763">
            <v>0</v>
          </cell>
          <cell r="O3763">
            <v>0</v>
          </cell>
          <cell r="Q3763">
            <v>0</v>
          </cell>
          <cell r="R3763">
            <v>0</v>
          </cell>
          <cell r="T3763">
            <v>0</v>
          </cell>
          <cell r="U3763">
            <v>0</v>
          </cell>
          <cell r="W3763">
            <v>0</v>
          </cell>
          <cell r="X3763">
            <v>0</v>
          </cell>
          <cell r="Z3763">
            <v>0</v>
          </cell>
          <cell r="AA3763">
            <v>0</v>
          </cell>
          <cell r="AC3763">
            <v>0</v>
          </cell>
          <cell r="AD3763">
            <v>0</v>
          </cell>
          <cell r="AF3763">
            <v>0</v>
          </cell>
          <cell r="AG3763">
            <v>0</v>
          </cell>
          <cell r="AI3763">
            <v>0</v>
          </cell>
          <cell r="AJ3763">
            <v>0</v>
          </cell>
          <cell r="AL3763">
            <v>0</v>
          </cell>
          <cell r="AM3763">
            <v>0</v>
          </cell>
          <cell r="AO3763">
            <v>0</v>
          </cell>
          <cell r="AP3763">
            <v>0</v>
          </cell>
          <cell r="AR3763">
            <v>61000</v>
          </cell>
          <cell r="AS3763">
            <v>0</v>
          </cell>
          <cell r="BF3763" t="str">
            <v>8400</v>
          </cell>
          <cell r="BG3763" t="str">
            <v>N006</v>
          </cell>
          <cell r="BH3763" t="str">
            <v>EMU</v>
          </cell>
        </row>
        <row r="3764">
          <cell r="K3764">
            <v>0</v>
          </cell>
          <cell r="L3764">
            <v>0</v>
          </cell>
          <cell r="N3764">
            <v>0</v>
          </cell>
          <cell r="O3764">
            <v>0</v>
          </cell>
          <cell r="Q3764">
            <v>0</v>
          </cell>
          <cell r="R3764">
            <v>0</v>
          </cell>
          <cell r="T3764">
            <v>0</v>
          </cell>
          <cell r="U3764">
            <v>0</v>
          </cell>
          <cell r="W3764">
            <v>0</v>
          </cell>
          <cell r="X3764">
            <v>0</v>
          </cell>
          <cell r="Z3764">
            <v>0</v>
          </cell>
          <cell r="AA3764">
            <v>0</v>
          </cell>
          <cell r="AC3764">
            <v>0</v>
          </cell>
          <cell r="AD3764">
            <v>0</v>
          </cell>
          <cell r="AF3764">
            <v>0</v>
          </cell>
          <cell r="AG3764">
            <v>0</v>
          </cell>
          <cell r="AI3764">
            <v>0</v>
          </cell>
          <cell r="AJ3764">
            <v>0</v>
          </cell>
          <cell r="AL3764">
            <v>0</v>
          </cell>
          <cell r="AM3764">
            <v>0</v>
          </cell>
          <cell r="AO3764">
            <v>0</v>
          </cell>
          <cell r="AP3764">
            <v>0</v>
          </cell>
          <cell r="AR3764">
            <v>0</v>
          </cell>
          <cell r="AS3764">
            <v>0</v>
          </cell>
          <cell r="BF3764" t="str">
            <v>8400</v>
          </cell>
          <cell r="BG3764" t="str">
            <v>N007</v>
          </cell>
          <cell r="BH3764" t="str">
            <v>EMU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 INFO"/>
      <sheetName val="CONTENTS"/>
      <sheetName val="RESPONS"/>
      <sheetName val="DIR REP"/>
      <sheetName val="REPORT"/>
      <sheetName val="INC ST"/>
      <sheetName val="BL SHET"/>
      <sheetName val="ST CHNG"/>
      <sheetName val="CASH FLO"/>
      <sheetName val="ACC POL"/>
      <sheetName val="ACC POL 2"/>
      <sheetName val="ACC POL2"/>
      <sheetName val="ACC POL3"/>
      <sheetName val="ACC POL4"/>
      <sheetName val="ACC POL 5"/>
      <sheetName val="NOTES"/>
      <sheetName val="NOTES2"/>
      <sheetName val="NOTES3"/>
      <sheetName val="NOTES 4"/>
      <sheetName val="NOTES 5"/>
      <sheetName val="NOTES 6"/>
      <sheetName val="NOTES 7"/>
      <sheetName val="NOTES 8"/>
      <sheetName val="NOTES 9"/>
      <sheetName val="NOTES 10"/>
      <sheetName val="Note 11"/>
      <sheetName val="NOTE 11a"/>
      <sheetName val="Note 11b"/>
      <sheetName val="NOTES 12"/>
      <sheetName val="D INC ST"/>
      <sheetName val="Sheet1"/>
      <sheetName val="TBFINAL"/>
      <sheetName val="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Bots - TB"/>
      <sheetName val="TU Loans - TB"/>
      <sheetName val="BU Bucks - TB"/>
      <sheetName val="CashCorp - TB"/>
      <sheetName val="Alto Legal - TB"/>
      <sheetName val="Alto Assurance - TB"/>
      <sheetName val="Ochwe Properties - TB"/>
      <sheetName val="CashCorp PPA - Bots Cons."/>
      <sheetName val="Intercompany Matrix - Bots Cons"/>
      <sheetName val="Elimination Entries - Bots Cons"/>
      <sheetName val="Inter Company Interest"/>
      <sheetName val="Equity Translations"/>
      <sheetName val="Foreign Exchange Rates"/>
      <sheetName val="Retained earnings"/>
      <sheetName val="Detailed Map Consol."/>
    </sheetNames>
    <sheetDataSet>
      <sheetData sheetId="0">
        <row r="1">
          <cell r="G1" t="str">
            <v>FCTR</v>
          </cell>
        </row>
      </sheetData>
      <sheetData sheetId="1">
        <row r="1">
          <cell r="G1" t="str">
            <v>FCTR</v>
          </cell>
        </row>
      </sheetData>
      <sheetData sheetId="2">
        <row r="1">
          <cell r="G1" t="str">
            <v>FCTR</v>
          </cell>
        </row>
      </sheetData>
      <sheetData sheetId="3">
        <row r="1">
          <cell r="H1" t="str">
            <v>FCTR</v>
          </cell>
        </row>
      </sheetData>
      <sheetData sheetId="4">
        <row r="1">
          <cell r="G1" t="str">
            <v>FCTR</v>
          </cell>
        </row>
      </sheetData>
      <sheetData sheetId="5">
        <row r="1">
          <cell r="G1" t="str">
            <v>FCTR</v>
          </cell>
        </row>
      </sheetData>
      <sheetData sheetId="6">
        <row r="1">
          <cell r="G1" t="str">
            <v>FCTR</v>
          </cell>
        </row>
      </sheetData>
      <sheetData sheetId="7"/>
      <sheetData sheetId="8"/>
      <sheetData sheetId="9">
        <row r="266">
          <cell r="B266">
            <v>0</v>
          </cell>
        </row>
      </sheetData>
      <sheetData sheetId="10">
        <row r="5">
          <cell r="C5" t="str">
            <v>1005/A082</v>
          </cell>
          <cell r="E5">
            <v>4.7838378398467406E-2</v>
          </cell>
        </row>
        <row r="6">
          <cell r="C6" t="str">
            <v>1005/A083</v>
          </cell>
          <cell r="E6">
            <v>-58095.298121954249</v>
          </cell>
        </row>
        <row r="7">
          <cell r="C7" t="str">
            <v>2001/B002</v>
          </cell>
          <cell r="E7">
            <v>333608.56151992746</v>
          </cell>
        </row>
        <row r="8">
          <cell r="C8" t="str">
            <v>2001/B002</v>
          </cell>
          <cell r="E8">
            <v>14384.11667788396</v>
          </cell>
        </row>
        <row r="9">
          <cell r="C9" t="str">
            <v>2001/B002</v>
          </cell>
          <cell r="E9">
            <v>0</v>
          </cell>
        </row>
      </sheetData>
      <sheetData sheetId="11">
        <row r="5">
          <cell r="B5">
            <v>0</v>
          </cell>
        </row>
      </sheetData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INFO"/>
      <sheetName val="CONTENTS"/>
      <sheetName val="DIRECTOR'S RPT"/>
      <sheetName val="AUDITOR'S RPT"/>
      <sheetName val="INCOME"/>
      <sheetName val="BALANCE SHEET"/>
      <sheetName val="Sheet1"/>
      <sheetName val="Changes in equity"/>
      <sheetName val=" CASHFLOW"/>
      <sheetName val="accpol1"/>
      <sheetName val="accpol2"/>
      <sheetName val="POLICIES CONT. (1)"/>
      <sheetName val="POLICIES CONT. (2)"/>
      <sheetName val="POLICIES CONT. (3)"/>
      <sheetName val="Sheet3"/>
      <sheetName val="NOTES1"/>
      <sheetName val="NOTES 2"/>
      <sheetName val="Notes 3"/>
      <sheetName val="Notes 4"/>
      <sheetName val="NOTES 5"/>
      <sheetName val="NOTES 6"/>
      <sheetName val="NOTES 7"/>
      <sheetName val="Note 8"/>
      <sheetName val="Note 9"/>
      <sheetName val="DETAILED"/>
      <sheetName val="Consol workings"/>
      <sheetName val="Intercompany tra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Cover page"/>
      <sheetName val="Information page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Tax computation"/>
      <sheetName val="Capital allowances"/>
      <sheetName val="Library"/>
      <sheetName val="Data"/>
      <sheetName val="Director"/>
      <sheetName val="AbbBS"/>
      <sheetName val="BS"/>
      <sheetName val="Notes"/>
      <sheetName val="CF"/>
      <sheetName val="PL"/>
      <sheetName val="DetailPL1"/>
      <sheetName val="TB"/>
      <sheetName val="Settings"/>
      <sheetName val="Contents"/>
      <sheetName val="Cover"/>
      <sheetName val="TaxCompData"/>
      <sheetName val="Information"/>
      <sheetName val="TaxComp"/>
      <sheetName val="CapAl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m upload zambia"/>
      <sheetName val="PandZambia"/>
      <sheetName val="balance sheet"/>
      <sheetName val="trial balance zambia"/>
      <sheetName val="consol"/>
      <sheetName val="Maersk"/>
      <sheetName val="feeder"/>
      <sheetName val="exp maersk"/>
      <sheetName val="Mercantile"/>
      <sheetName val="expmerc"/>
      <sheetName val="commbalmerc"/>
      <sheetName val="comm bal maerskl"/>
      <sheetName val="balmerc"/>
      <sheetName val="balmaersk"/>
      <sheetName val="comperf"/>
      <sheetName val="perf"/>
      <sheetName val="moz"/>
      <sheetName val="danmo"/>
      <sheetName val="zambia"/>
      <sheetName val="INP"/>
      <sheetName val="3 a 1 Corporate Data"/>
      <sheetName val="Instructions"/>
      <sheetName val="Group file-Division"/>
      <sheetName val="Group file-CHI"/>
      <sheetName val="Group file-Cons"/>
      <sheetName val="Group file-Combined"/>
      <sheetName val="VAT"/>
      <sheetName val="Going Concern"/>
      <sheetName val="N Cir"/>
      <sheetName val="Payroll"/>
      <sheetName val="F Cir"/>
      <sheetName val="Cash &amp; bank"/>
      <sheetName val="Sales &amp; COS"/>
      <sheetName val="Example"/>
      <sheetName val="Instructions &amp; Guidance"/>
      <sheetName val="Page 1 - OSP Assurance"/>
      <sheetName val="Page 2 - Population"/>
      <sheetName val="Page 3 - Sample Size Calc"/>
      <sheetName val="Page  4-Alternative Sample Size"/>
      <sheetName val="Page 5-Sampling Evaluation"/>
      <sheetName val="Page 6 Tests"/>
      <sheetName val="Page 7 Tests done"/>
      <sheetName val="Page 8 Differences"/>
      <sheetName val="Page 9 No Payment Vouchers"/>
      <sheetName val="Page 10 No Supporting documents"/>
      <sheetName val="Page 11 Fixed assets expensed"/>
      <sheetName val="Assurance Factors Lookup Table"/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Others"/>
      <sheetName val="PROPERTY"/>
      <sheetName val="NOTES"/>
      <sheetName val="SCHEDULE"/>
      <sheetName val="TAXCOVER"/>
      <sheetName val="TAXCOMP"/>
      <sheetName val="Sheet2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Year Ended Mar 2005"/>
      <sheetName val="Exchange movements"/>
      <sheetName val="Non Cash Benefits"/>
      <sheetName val="Other Payments"/>
      <sheetName val="Genral welfare"/>
      <sheetName val="bad debts-Entertainment"/>
      <sheetName val="Licences etc"/>
      <sheetName val="Subscriptions"/>
      <sheetName val="Advert"/>
      <sheetName val="Donations"/>
      <sheetName val="P and L"/>
      <sheetName val="Summary"/>
      <sheetName val="Land &amp; Buildings"/>
      <sheetName val="Hatchery Equipment inc in PE"/>
      <sheetName val="Office Equip and Furn"/>
      <sheetName val="Profit &amp; Loss"/>
      <sheetName val="Moveable Equipment"/>
      <sheetName val="Nest Boxes"/>
      <sheetName val="4AM(1)"/>
      <sheetName val="4AM(2)"/>
      <sheetName val="4BM(1)"/>
      <sheetName val="4BM(2)"/>
      <sheetName val="5G"/>
      <sheetName val="INVENTORY"/>
      <sheetName val="10A"/>
      <sheetName val="10B"/>
      <sheetName val="FADETAIL"/>
      <sheetName val="10C"/>
      <sheetName val="11A"/>
      <sheetName val="USD"/>
      <sheetName val="MAP"/>
      <sheetName val="WKs"/>
      <sheetName val="TB client"/>
      <sheetName val="Sundry income"/>
      <sheetName val="LIVESTOCK 11"/>
      <sheetName val="LIVESTOCK"/>
      <sheetName val="TAXRECON"/>
      <sheetName val="G Ledgers"/>
      <sheetName val="D-tax asset"/>
      <sheetName val="SALES"/>
      <sheetName val="Sheet3"/>
      <sheetName val="Volume Assns"/>
      <sheetName val="ZIM"/>
      <sheetName val="RSA"/>
      <sheetName val="DRC"/>
      <sheetName val="ASSUMPTIONS"/>
      <sheetName val="Depreciation Schedule"/>
      <sheetName val="Schedules"/>
      <sheetName val="WORKINGS"/>
      <sheetName val="Financials"/>
      <sheetName val="Valuation"/>
      <sheetName val="Financial Statements"/>
      <sheetName val="Routes"/>
      <sheetName val=" Costs"/>
      <sheetName val="Personnel Cost"/>
      <sheetName val="Trucks Financing"/>
      <sheetName val="Fran - assumptions"/>
      <sheetName val="Fran - workings"/>
      <sheetName val="Fran -single Franc results"/>
      <sheetName val="Loan Schedule"/>
      <sheetName val="Financials_annual"/>
      <sheetName val="Financials_monthly"/>
      <sheetName val="BExRepositorySheet"/>
      <sheetName val="Cover_Confirmation"/>
      <sheetName val="Checklist_Contracts"/>
      <sheetName val="Income Statement"/>
      <sheetName val="Anniversary Provision"/>
      <sheetName val="Severance Payment Provision"/>
      <sheetName val="Pension Provision"/>
      <sheetName val="Equity"/>
      <sheetName val="Tax reconciliation"/>
      <sheetName val="Deferred Tax"/>
      <sheetName val="Intercompany-receivables"/>
      <sheetName val="Intercompany-payables"/>
      <sheetName val="Intercompany-BS"/>
      <sheetName val="Intercompany-income"/>
      <sheetName val="Intercompany-expense-interest"/>
      <sheetName val="Assets"/>
      <sheetName val="Provisions"/>
      <sheetName val="Split_Positions_Other"/>
      <sheetName val="Variances_HB"/>
      <sheetName val="Notes_Cover"/>
      <sheetName val="Leasing"/>
      <sheetName val="notes lease"/>
      <sheetName val="Inventories (IAS 2)"/>
      <sheetName val="Impairment (IAS 36_IFRS 3)"/>
      <sheetName val="Government Grants (IAS 20)"/>
      <sheetName val="Intang. Assets (IAS 38)"/>
      <sheetName val="Tang. Assets (IAS 16)"/>
      <sheetName val="Provisions (IAS 37)"/>
      <sheetName val="Employee Benefits (IAS 19)"/>
      <sheetName val="Related Parties"/>
      <sheetName val="IAS 39 - Notes"/>
      <sheetName val="IFRS 7"/>
      <sheetName val="BW_IFRS7"/>
      <sheetName val="FV_IFRS7"/>
      <sheetName val="Criteria_FV_Calculation"/>
      <sheetName val="Valuation allowance"/>
      <sheetName val="Sales_ABCanalysis"/>
      <sheetName val="Receivables"/>
      <sheetName val="Maturities"/>
      <sheetName val="Notes-Currency"/>
      <sheetName val="notes warranty"/>
      <sheetName val="Elim IC profit inventory"/>
      <sheetName val="Companies"/>
      <sheetName val="FinStat (No Input)"/>
      <sheetName val="A"/>
      <sheetName val="Board Pack - Review 1 mil (2)"/>
      <sheetName val="Key Financial Objectives"/>
      <sheetName val="Balance Sheet &amp; Cash Flow"/>
      <sheetName val="IS per average subscriber"/>
      <sheetName val="OP Analisys Slides"/>
      <sheetName val="Detailed Map Consol."/>
      <sheetName val="Lookup"/>
      <sheetName val="Date_Lup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Q7" t="str">
            <v>apm</v>
          </cell>
        </row>
      </sheetData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>
        <row r="2">
          <cell r="A2" t="str">
            <v>INCOME STATEMENT IN R000'S</v>
          </cell>
        </row>
      </sheetData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7">
          <cell r="C7" t="str">
            <v>receivables</v>
          </cell>
        </row>
      </sheetData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Settings"/>
      <sheetName val="SectList"/>
      <sheetName val="AcList"/>
      <sheetName val="DepList"/>
      <sheetName val="CurList"/>
      <sheetName val="SectTB"/>
      <sheetName val="SectCDTB"/>
      <sheetName val="AcTB"/>
      <sheetName val="AcCDTB"/>
      <sheetName val="Settings"/>
      <sheetName val="TB Scheme A"/>
      <sheetName val="TB Scheme B"/>
      <sheetName val="TB Scheme C"/>
      <sheetName val="TB Scheme D"/>
      <sheetName val="Check List"/>
      <sheetName val="History"/>
      <sheetName val="Data"/>
      <sheetName val="CFWorkings"/>
      <sheetName val="Audit"/>
      <sheetName val="CAStatement"/>
      <sheetName val="CAAssurance"/>
      <sheetName val="ACCAReportLong"/>
      <sheetName val="ACCAReportShort"/>
      <sheetName val="CAReport"/>
      <sheetName val="CAReportLong"/>
      <sheetName val="Fixed asset reg"/>
      <sheetName val="Journal"/>
      <sheetName val="Cover"/>
      <sheetName val="Contents"/>
      <sheetName val="Information"/>
      <sheetName val="Director"/>
      <sheetName val="Responsibility"/>
      <sheetName val="Accountant"/>
      <sheetName val="PL"/>
      <sheetName val="S.O.C.E"/>
      <sheetName val="BS"/>
      <sheetName val="CF"/>
      <sheetName val="TB"/>
      <sheetName val="Notes"/>
      <sheetName val="TAXCOMP (2)"/>
      <sheetName val="TAXCOVER (2)"/>
      <sheetName val="Taxcover"/>
      <sheetName val="TaxComp"/>
      <sheetName val="CapAllow"/>
      <sheetName val="DetailPL2"/>
      <sheetName val="DetailPL1"/>
      <sheetName val="AbbCover"/>
      <sheetName val="AbbAudit"/>
      <sheetName val="AbbCAReport"/>
      <sheetName val="AbbACCAReportLong"/>
      <sheetName val="AbbACCAReportShort"/>
      <sheetName val="AbbCAReportLong"/>
      <sheetName val="AbbBS"/>
      <sheetName val="AbbNotes"/>
      <sheetName val="ChargeableGains"/>
      <sheetName val="TaxCompData"/>
      <sheetName val="Library"/>
      <sheetName val="VT_Results"/>
      <sheetName val="K.01"/>
      <sheetName val="H.01"/>
      <sheetName val="B.01"/>
      <sheetName val="F.01"/>
      <sheetName val="I.01"/>
      <sheetName val="I.02"/>
      <sheetName val="N.01"/>
      <sheetName val="O.01"/>
      <sheetName val="P.01"/>
      <sheetName val="T.01"/>
      <sheetName val="U.01"/>
      <sheetName val="V.01"/>
      <sheetName val="L.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7">
          <cell r="C47" t="b">
            <v>1</v>
          </cell>
        </row>
        <row r="52">
          <cell r="C52" t="b">
            <v>1</v>
          </cell>
        </row>
        <row r="53">
          <cell r="C53" t="b">
            <v>0</v>
          </cell>
        </row>
        <row r="57">
          <cell r="C57">
            <v>41639</v>
          </cell>
        </row>
        <row r="58">
          <cell r="C58">
            <v>41274</v>
          </cell>
        </row>
        <row r="59">
          <cell r="C59" t="b">
            <v>1</v>
          </cell>
        </row>
        <row r="60">
          <cell r="C60" t="str">
            <v xml:space="preserve">2013 </v>
          </cell>
        </row>
        <row r="61">
          <cell r="C61" t="str">
            <v xml:space="preserve">2012 </v>
          </cell>
        </row>
        <row r="64">
          <cell r="C64" t="b">
            <v>1</v>
          </cell>
        </row>
        <row r="86">
          <cell r="C86" t="b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E6" t="str">
            <v>April 2008</v>
          </cell>
        </row>
        <row r="13">
          <cell r="E13">
            <v>0</v>
          </cell>
        </row>
        <row r="16">
          <cell r="E16">
            <v>0</v>
          </cell>
        </row>
        <row r="22">
          <cell r="E22" t="str">
            <v>Ingrid Jordan</v>
          </cell>
        </row>
        <row r="23">
          <cell r="E23">
            <v>0</v>
          </cell>
        </row>
        <row r="27">
          <cell r="E27">
            <v>0</v>
          </cell>
        </row>
        <row r="30">
          <cell r="E30" t="str">
            <v>M Sakala</v>
          </cell>
        </row>
        <row r="32">
          <cell r="E32" t="str">
            <v>Chartered Accountants</v>
          </cell>
        </row>
        <row r="35">
          <cell r="E35" t="str">
            <v>Nkhata House</v>
          </cell>
        </row>
        <row r="36">
          <cell r="E36" t="str">
            <v>Thabo Mbeki Road - East</v>
          </cell>
        </row>
        <row r="37">
          <cell r="E37" t="str">
            <v>Lusaka</v>
          </cell>
        </row>
        <row r="38">
          <cell r="E38" t="str">
            <v>Zambia</v>
          </cell>
        </row>
        <row r="39">
          <cell r="E39" t="str">
            <v>Email: contact@abacus360.co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6">
          <cell r="A16" t="str">
            <v>Chianina Ranching</v>
          </cell>
        </row>
      </sheetData>
      <sheetData sheetId="28"/>
      <sheetData sheetId="29">
        <row r="6">
          <cell r="A6">
            <v>0</v>
          </cell>
        </row>
      </sheetData>
      <sheetData sheetId="30">
        <row r="36">
          <cell r="B36">
            <v>0</v>
          </cell>
        </row>
      </sheetData>
      <sheetData sheetId="31" refreshError="1"/>
      <sheetData sheetId="32" refreshError="1"/>
      <sheetData sheetId="33"/>
      <sheetData sheetId="34" refreshError="1"/>
      <sheetData sheetId="35">
        <row r="26">
          <cell r="G26">
            <v>0</v>
          </cell>
        </row>
        <row r="27">
          <cell r="G27">
            <v>-391604</v>
          </cell>
        </row>
        <row r="29">
          <cell r="G29">
            <v>-386604</v>
          </cell>
        </row>
        <row r="33">
          <cell r="G33">
            <v>0</v>
          </cell>
        </row>
      </sheetData>
      <sheetData sheetId="36">
        <row r="50">
          <cell r="F50">
            <v>5000</v>
          </cell>
        </row>
      </sheetData>
      <sheetData sheetId="37"/>
      <sheetData sheetId="38">
        <row r="57">
          <cell r="A57">
            <v>3</v>
          </cell>
        </row>
        <row r="187">
          <cell r="A187">
            <v>3</v>
          </cell>
        </row>
        <row r="192">
          <cell r="A192">
            <v>4</v>
          </cell>
        </row>
        <row r="237">
          <cell r="G237">
            <v>0</v>
          </cell>
        </row>
        <row r="449">
          <cell r="G449">
            <v>0</v>
          </cell>
        </row>
        <row r="459">
          <cell r="G459">
            <v>0</v>
          </cell>
        </row>
        <row r="468">
          <cell r="G468">
            <v>0</v>
          </cell>
        </row>
      </sheetData>
      <sheetData sheetId="39" refreshError="1"/>
      <sheetData sheetId="40" refreshError="1"/>
      <sheetData sheetId="41" refreshError="1"/>
      <sheetData sheetId="42"/>
      <sheetData sheetId="43">
        <row r="44">
          <cell r="G44">
            <v>44955</v>
          </cell>
        </row>
        <row r="62">
          <cell r="G62" t="e">
            <v>#REF!</v>
          </cell>
        </row>
        <row r="65">
          <cell r="G65" t="e">
            <v>#REF!</v>
          </cell>
        </row>
      </sheetData>
      <sheetData sheetId="44" refreshError="1"/>
      <sheetData sheetId="45">
        <row r="26">
          <cell r="C26" t="e">
            <v>#REF!</v>
          </cell>
          <cell r="E26" t="e">
            <v>#REF!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32">
          <cell r="E32" t="e">
            <v>#REF!</v>
          </cell>
          <cell r="H32" t="e">
            <v>#REF!</v>
          </cell>
        </row>
        <row r="41">
          <cell r="E41" t="e">
            <v>#REF!</v>
          </cell>
          <cell r="H41" t="e">
            <v>#REF!</v>
          </cell>
        </row>
      </sheetData>
      <sheetData sheetId="53" refreshError="1"/>
      <sheetData sheetId="54" refreshError="1"/>
      <sheetData sheetId="55">
        <row r="12">
          <cell r="G12" t="str">
            <v>K'000</v>
          </cell>
        </row>
      </sheetData>
      <sheetData sheetId="56">
        <row r="17">
          <cell r="A17" t="str">
            <v>year</v>
          </cell>
        </row>
        <row r="20">
          <cell r="A20" t="str">
            <v>s'</v>
          </cell>
        </row>
        <row r="21">
          <cell r="A21" t="str">
            <v>present</v>
          </cell>
        </row>
        <row r="22">
          <cell r="A22" t="str">
            <v>their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otes"/>
      <sheetName val="Edit check"/>
      <sheetName val="Parent Company"/>
      <sheetName val="French FinStat"/>
      <sheetName val="English FinStat"/>
      <sheetName val="Adjustments"/>
      <sheetName val="Consol - unadjusted"/>
      <sheetName val="Benin"/>
      <sheetName val="Burkina Faso"/>
      <sheetName val="Cameroun"/>
      <sheetName val="E-process"/>
      <sheetName val="EDC"/>
      <sheetName val="EIC Bourse"/>
      <sheetName val="ETI"/>
      <sheetName val="Ghana"/>
      <sheetName val="Guinea"/>
      <sheetName val="Ivory Coast"/>
      <sheetName val="Liberia"/>
      <sheetName val="Mali"/>
      <sheetName val="Niger"/>
      <sheetName val="Nigeria"/>
      <sheetName val="Senegal"/>
      <sheetName val="Togo"/>
      <sheetName val="IND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UTATION"/>
      <sheetName val="A-C"/>
      <sheetName val="D, G &amp; H"/>
      <sheetName val="J,K,L &amp; M"/>
      <sheetName val="I SOFP"/>
      <sheetName val="N SOCI"/>
      <sheetName val="F"/>
      <sheetName val="Tax Comp"/>
      <sheetName val="Def tax"/>
      <sheetName val="DEFERRED TAXATION"/>
      <sheetName val="Rate Test"/>
      <sheetName val="ITA 202"/>
      <sheetName val="INTERESTS"/>
      <sheetName val="DIRECTORS REMUNERATION"/>
      <sheetName val="ITA 202A"/>
      <sheetName val="Sheet1"/>
      <sheetName val="ITA 202B"/>
      <sheetName val="XREF"/>
      <sheetName val="Tickmarks"/>
      <sheetName val="ITA 201"/>
      <sheetName val="ITA 201A"/>
      <sheetName val="ITA 201B"/>
      <sheetName val="Interest"/>
      <sheetName val="ITA202 A"/>
      <sheetName val="ITA202B"/>
      <sheetName val="Interest-"/>
      <sheetName val="Provision"/>
    </sheetNames>
    <sheetDataSet>
      <sheetData sheetId="0">
        <row r="11">
          <cell r="G11">
            <v>147111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G17">
            <v>2279232</v>
          </cell>
        </row>
        <row r="20">
          <cell r="Q20">
            <v>164045.04971875018</v>
          </cell>
        </row>
        <row r="40">
          <cell r="J40">
            <v>-241917.73093812505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"/>
      <sheetName val="Going Concern"/>
      <sheetName val="N Cir"/>
      <sheetName val="Payroll"/>
      <sheetName val="F Cir"/>
      <sheetName val="Cash &amp; bank"/>
      <sheetName val="Sales &amp; COS"/>
      <sheetName val="Example"/>
      <sheetName val="Instructions &amp; Guidance"/>
      <sheetName val="Page 1 - OSP Assurance"/>
      <sheetName val="Page 2 - Population"/>
      <sheetName val="Page 3 - Sample Size Calc"/>
      <sheetName val="Page  4-Alternative Sample Size"/>
      <sheetName val="Page 5-Sampling Evaluation"/>
      <sheetName val="Page 6 Tests"/>
      <sheetName val="Page 7 Tests done"/>
      <sheetName val="Page 8 Differences"/>
      <sheetName val="Page 9 No Payment Vouchers"/>
      <sheetName val="Page 10 No Supporting documents"/>
      <sheetName val="Page 11 Fixed assets expensed"/>
      <sheetName val="Assurance Factors 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"/>
      <sheetName val="deferred tax"/>
      <sheetName val="Proof of Tax Total"/>
      <sheetName val="XREF"/>
      <sheetName val="Tickmarks"/>
    </sheetNames>
    <sheetDataSet>
      <sheetData sheetId="0" refreshError="1"/>
      <sheetData sheetId="1" refreshError="1">
        <row r="1">
          <cell r="A1" t="str">
            <v>DEFERRED TAX ACCOUNT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GAAP"/>
      <sheetName val="BALANCE SHEET-GAAP"/>
      <sheetName val="ENTRIES OF ADJUSMENTS-GAAP"/>
      <sheetName val="INDEX"/>
      <sheetName val="O"/>
      <sheetName val="1"/>
      <sheetName val="1a"/>
      <sheetName val="1A(1)"/>
      <sheetName val="2"/>
      <sheetName val="3"/>
      <sheetName val="4"/>
      <sheetName val="4A(1)"/>
      <sheetName val="4A(2)"/>
      <sheetName val="4B(1)"/>
      <sheetName val="4B(2)"/>
      <sheetName val="4C(1)"/>
      <sheetName val="4C(2)"/>
      <sheetName val="4D(1)"/>
      <sheetName val="4D(2)"/>
      <sheetName val="5(1)"/>
      <sheetName val="5(2)"/>
      <sheetName val="5A"/>
      <sheetName val="5B"/>
      <sheetName val="5C"/>
      <sheetName val="5D"/>
      <sheetName val="6(1)"/>
      <sheetName val="6(2)"/>
      <sheetName val="7"/>
      <sheetName val="8"/>
      <sheetName val="8A(1)"/>
      <sheetName val="8A(2)"/>
      <sheetName val="8B"/>
      <sheetName val="9"/>
      <sheetName val="10"/>
      <sheetName val="10A"/>
      <sheetName val="10B"/>
      <sheetName val="11(1)"/>
      <sheetName val="11(2)"/>
      <sheetName val="11B"/>
      <sheetName val="12"/>
      <sheetName val="13"/>
      <sheetName val="14A(1)"/>
      <sheetName val="14A(2)"/>
      <sheetName val="14B(1)"/>
      <sheetName val="14B(2)"/>
      <sheetName val="15(1)"/>
      <sheetName val="15(2)"/>
      <sheetName val="analyse"/>
      <sheetName val="DATA"/>
      <sheetName val="rate"/>
      <sheetName val="TABLE"/>
      <sheetName val="0"/>
      <sheetName val="4A"/>
      <sheetName val="4A$"/>
      <sheetName val="4AY"/>
      <sheetName val="4AY$"/>
      <sheetName val="4AM"/>
      <sheetName val="4AM$"/>
      <sheetName val="5"/>
      <sheetName val="5$"/>
      <sheetName val="6"/>
      <sheetName val="6$"/>
      <sheetName val="8A"/>
      <sheetName val="9A"/>
      <sheetName val="9B"/>
      <sheetName val="9D"/>
      <sheetName val="9E"/>
      <sheetName val="10C"/>
      <sheetName val="10D"/>
      <sheetName val="10E"/>
      <sheetName val="10F"/>
      <sheetName val="10G"/>
      <sheetName val="10H"/>
      <sheetName val="10I"/>
      <sheetName val="10J"/>
      <sheetName val="10K"/>
      <sheetName val="10L"/>
      <sheetName val="11"/>
      <sheetName val="11 interm  CFA"/>
      <sheetName val="11 interm USD"/>
      <sheetName val="11A"/>
      <sheetName val="14"/>
      <sheetName val="TTest"/>
      <sheetName val="5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9">
          <cell r="C19">
            <v>24324036</v>
          </cell>
        </row>
      </sheetData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dan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INFO"/>
      <sheetName val="CONTENTS"/>
      <sheetName val="DIRECTOR'S RPT"/>
      <sheetName val="AUDITOR'S RPT"/>
      <sheetName val="INCOME"/>
      <sheetName val="BALANCE SHEET"/>
      <sheetName val="Sheet1"/>
      <sheetName val="Changes in equity"/>
      <sheetName val=" CASHFLOW"/>
      <sheetName val="accpol1"/>
      <sheetName val="accpol2"/>
      <sheetName val="POLICIES CONT. (1)"/>
      <sheetName val="POLICIES CONT. (2)"/>
      <sheetName val="POLICIES CONT. (3)"/>
      <sheetName val="Sheet3"/>
      <sheetName val="NOTES1"/>
      <sheetName val="NOTES 2"/>
      <sheetName val="Notes 3"/>
      <sheetName val="Notes 4"/>
      <sheetName val="NOTES 5"/>
      <sheetName val="NOTES 6"/>
      <sheetName val="NOTES 7"/>
      <sheetName val="Note 8"/>
      <sheetName val="Note 9"/>
      <sheetName val="DETAILED"/>
      <sheetName val="Consol workings"/>
      <sheetName val="Intercompany tra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Country"/>
      <sheetName val="CoyScan"/>
      <sheetName val="Input"/>
      <sheetName val="IncStat"/>
      <sheetName val="BalSheet"/>
      <sheetName val="IntCalc"/>
      <sheetName val="FixCost"/>
      <sheetName val="MngmFee"/>
      <sheetName val="ExciseCalc"/>
      <sheetName val="RawMatChib"/>
      <sheetName val="RawMatMah"/>
      <sheetName val="Utilities"/>
      <sheetName val="OperVar"/>
      <sheetName val="TaxCalc"/>
      <sheetName val="RevAuth"/>
      <sheetName val="DefTax"/>
      <sheetName val="CapAllwnc"/>
      <sheetName val="CapCash"/>
      <sheetName val="CapAddn"/>
      <sheetName val="CapDepn"/>
      <sheetName val="DepnSum"/>
      <sheetName val="CapRecon"/>
    </sheetNames>
    <sheetDataSet>
      <sheetData sheetId="0"/>
      <sheetData sheetId="1"/>
      <sheetData sheetId="2"/>
      <sheetData sheetId="3"/>
      <sheetData sheetId="4" refreshError="1">
        <row r="2">
          <cell r="A2" t="str">
            <v>Chibuku Products Limited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GAAP"/>
      <sheetName val="BALANCE SHEET-GAAP"/>
      <sheetName val="ENTRIES OF ADJUSMENTS-GAAP "/>
      <sheetName val="INDEX"/>
      <sheetName val="O"/>
      <sheetName val="1"/>
      <sheetName val="1a"/>
      <sheetName val="2"/>
      <sheetName val="3"/>
      <sheetName val="4"/>
      <sheetName val="4A(1)"/>
      <sheetName val="4B(1)"/>
      <sheetName val="4D(1)"/>
      <sheetName val="4E(1)"/>
      <sheetName val="5(1)"/>
      <sheetName val="5A"/>
      <sheetName val="5B"/>
      <sheetName val="5C"/>
      <sheetName val="5D"/>
      <sheetName val="6(1)"/>
      <sheetName val="7"/>
      <sheetName val="8"/>
      <sheetName val="8A (1)"/>
      <sheetName val="8A (2)"/>
      <sheetName val="8B"/>
      <sheetName val="9"/>
      <sheetName val="10"/>
      <sheetName val="10B"/>
      <sheetName val="11(1)"/>
      <sheetName val="11(2)"/>
      <sheetName val="11B"/>
      <sheetName val="12"/>
      <sheetName val="13"/>
      <sheetName val="14A(1)"/>
      <sheetName val="14B(1)"/>
      <sheetName val="15(1)"/>
      <sheetName val="IN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1"/>
      <sheetName val="TB"/>
      <sheetName val="Taxcomp"/>
      <sheetName val="Deftaxcomp"/>
      <sheetName val="Tax rate recon"/>
      <sheetName val="Tax creditor"/>
      <sheetName val="ITA201"/>
      <sheetName val="ITA202"/>
      <sheetName val="ITA202A"/>
      <sheetName val="ITA202B"/>
      <sheetName val="FA Movement"/>
      <sheetName val="FAR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UL"/>
      <sheetName val="Quick Search"/>
      <sheetName val="Payroll"/>
      <sheetName val="Summary"/>
      <sheetName val="Company Summary"/>
      <sheetName val="Bank Schedule"/>
      <sheetName val="PAYE"/>
      <sheetName val="NSSF"/>
      <sheetName val="Pension"/>
      <sheetName val="Payt Summary"/>
      <sheetName val="Branch Report"/>
      <sheetName val="DEDUCTIONS"/>
      <sheetName val="Settings"/>
      <sheetName val="Welcome"/>
      <sheetName val="Payslips"/>
      <sheetName val="Reconcilatio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H3" t="str">
            <v>Head Office</v>
          </cell>
          <cell r="K3" t="str">
            <v>Finance</v>
          </cell>
        </row>
        <row r="4">
          <cell r="K4" t="str">
            <v>Human Resources</v>
          </cell>
        </row>
        <row r="5">
          <cell r="K5" t="str">
            <v>Marketing</v>
          </cell>
        </row>
        <row r="6">
          <cell r="K6" t="str">
            <v>Operations</v>
          </cell>
        </row>
        <row r="7">
          <cell r="K7" t="str">
            <v>Internal Audit</v>
          </cell>
        </row>
        <row r="8">
          <cell r="K8" t="str">
            <v>IT</v>
          </cell>
        </row>
        <row r="9">
          <cell r="K9" t="str">
            <v>Relationship</v>
          </cell>
        </row>
        <row r="10">
          <cell r="K10" t="str">
            <v>Transformation</v>
          </cell>
        </row>
        <row r="11">
          <cell r="K11" t="str">
            <v>Marketing</v>
          </cell>
        </row>
        <row r="12">
          <cell r="K12" t="str">
            <v>Administration</v>
          </cell>
        </row>
        <row r="13">
          <cell r="K13" t="str">
            <v>ED</v>
          </cell>
        </row>
        <row r="14">
          <cell r="C14">
            <v>0.05</v>
          </cell>
          <cell r="D14">
            <v>0.05</v>
          </cell>
          <cell r="K14" t="str">
            <v>CEO</v>
          </cell>
        </row>
        <row r="15">
          <cell r="C15">
            <v>0.1</v>
          </cell>
          <cell r="K15" t="str">
            <v>Risk</v>
          </cell>
        </row>
        <row r="16">
          <cell r="K16" t="str">
            <v>Legal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Instructions"/>
      <sheetName val="Set_Up"/>
      <sheetName val="DIS"/>
      <sheetName val="SOF"/>
      <sheetName val="Borrow"/>
      <sheetName val="Interco"/>
      <sheetName val="Div"/>
      <sheetName val="Non-Op Exp"/>
      <sheetName val="Non-Op Inc"/>
      <sheetName val="Min Int"/>
      <sheetName val="Uncons"/>
      <sheetName val="Director"/>
      <sheetName val="BS"/>
      <sheetName val="Notes"/>
      <sheetName val="CF"/>
      <sheetName val="PL"/>
      <sheetName val="Contents"/>
      <sheetName val="Notes continue"/>
      <sheetName val="Library"/>
      <sheetName val="Information"/>
      <sheetName val="AbbNotes"/>
      <sheetName val="AbbBS"/>
      <sheetName val="DetailPL2"/>
      <sheetName val="4"/>
      <sheetName val="1"/>
    </sheetNames>
    <sheetDataSet>
      <sheetData sheetId="0" refreshError="1"/>
      <sheetData sheetId="1" refreshError="1"/>
      <sheetData sheetId="2" refreshError="1">
        <row r="11">
          <cell r="B11">
            <v>0</v>
          </cell>
        </row>
        <row r="14">
          <cell r="B14">
            <v>0</v>
          </cell>
        </row>
        <row r="17">
          <cell r="B17">
            <v>0</v>
          </cell>
        </row>
        <row r="20">
          <cell r="B20">
            <v>0</v>
          </cell>
        </row>
        <row r="23">
          <cell r="A23">
            <v>1</v>
          </cell>
          <cell r="B23">
            <v>31</v>
          </cell>
        </row>
        <row r="24">
          <cell r="A24">
            <v>2</v>
          </cell>
          <cell r="B24">
            <v>60</v>
          </cell>
        </row>
        <row r="25">
          <cell r="A25">
            <v>3</v>
          </cell>
          <cell r="B25">
            <v>91</v>
          </cell>
        </row>
        <row r="26">
          <cell r="A26">
            <v>4</v>
          </cell>
          <cell r="B26">
            <v>121</v>
          </cell>
        </row>
        <row r="27">
          <cell r="A27">
            <v>5</v>
          </cell>
          <cell r="B27">
            <v>152</v>
          </cell>
        </row>
        <row r="28">
          <cell r="A28">
            <v>6</v>
          </cell>
          <cell r="B28">
            <v>182</v>
          </cell>
        </row>
        <row r="29">
          <cell r="A29">
            <v>7</v>
          </cell>
          <cell r="B29">
            <v>213</v>
          </cell>
        </row>
        <row r="30">
          <cell r="A30">
            <v>8</v>
          </cell>
          <cell r="B30">
            <v>244</v>
          </cell>
        </row>
        <row r="31">
          <cell r="A31">
            <v>9</v>
          </cell>
          <cell r="B31">
            <v>274</v>
          </cell>
        </row>
        <row r="32">
          <cell r="A32">
            <v>10</v>
          </cell>
          <cell r="B32">
            <v>305</v>
          </cell>
        </row>
        <row r="33">
          <cell r="A33">
            <v>11</v>
          </cell>
          <cell r="B33">
            <v>335</v>
          </cell>
        </row>
        <row r="34">
          <cell r="A34">
            <v>12</v>
          </cell>
          <cell r="B34">
            <v>366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oan 1"/>
      <sheetName val="loan 2"/>
      <sheetName val="loan3"/>
      <sheetName val="loan 4"/>
      <sheetName val="loan 5"/>
      <sheetName val="Directors Report etc"/>
      <sheetName val="Parameters"/>
      <sheetName val="Divisional Consolidation"/>
      <sheetName val="INDO"/>
      <sheetName val="loan_1"/>
      <sheetName val="loan_2"/>
      <sheetName val="loan_4"/>
      <sheetName val="loan_5"/>
      <sheetName val="Directors_Report_etc"/>
      <sheetName val="Divisional_Consolidation"/>
      <sheetName val="Zanaco ZMK pmt"/>
      <sheetName val="loan_11"/>
      <sheetName val="loan_21"/>
      <sheetName val="loan_41"/>
      <sheetName val="loan_51"/>
      <sheetName val="Directors_Report_etc1"/>
      <sheetName val="Divisional_Consolidation1"/>
      <sheetName val="danmo"/>
      <sheetName val="Set_Up"/>
      <sheetName val="Input_Sheet1"/>
      <sheetName val="loan_12"/>
      <sheetName val="loan_22"/>
      <sheetName val="loan_42"/>
      <sheetName val="loan_52"/>
      <sheetName val="Directors_Report_etc2"/>
      <sheetName val="Divisional_Consolidation2"/>
    </sheetNames>
    <sheetDataSet>
      <sheetData sheetId="0" refreshError="1">
        <row r="6">
          <cell r="A6" t="str">
            <v>A Company Ltd</v>
          </cell>
        </row>
        <row r="8">
          <cell r="B8">
            <v>36611</v>
          </cell>
        </row>
      </sheetData>
      <sheetData sheetId="1" refreshError="1">
        <row r="11">
          <cell r="D1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TAX 1"/>
      <sheetName val="TAX 2"/>
      <sheetName val="Tax summary"/>
      <sheetName val="BS"/>
      <sheetName val="Data"/>
      <sheetName val="Notes continue"/>
      <sheetName val="Notes"/>
      <sheetName val="DetailPL2"/>
      <sheetName val="CF"/>
      <sheetName val="AbbNotes"/>
      <sheetName val="PL"/>
      <sheetName val="AbbBS"/>
      <sheetName val="Information"/>
      <sheetName val="Summary"/>
      <sheetName val="Directors Report etc"/>
      <sheetName val="Parameters"/>
      <sheetName val="STANBIC BANK ZKW"/>
      <sheetName val="Summary of Stds DV"/>
      <sheetName val="Home"/>
      <sheetName val="SET_UP"/>
      <sheetName val="INDO"/>
      <sheetName val="Updated"/>
      <sheetName val="TAX_1"/>
      <sheetName val="TAX_2"/>
      <sheetName val="Tax_summary"/>
      <sheetName val="Directors_Report_etc"/>
      <sheetName val="STANBIC_BANK_ZKW"/>
      <sheetName val="Summary_of_Stds_D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AP - BALANC SHEET"/>
      <sheetName val="GAAP - INCOME STAT."/>
      <sheetName val="GAAP - ADJUSTMENT"/>
      <sheetName val="INDEX"/>
      <sheetName val="COMMENTARY"/>
      <sheetName val="1"/>
      <sheetName val="2"/>
      <sheetName val="4"/>
      <sheetName val="4A(1)"/>
      <sheetName val="4A(2)"/>
      <sheetName val="5(1)"/>
      <sheetName val="5(2)"/>
      <sheetName val="5C"/>
      <sheetName val="5D"/>
      <sheetName val="6(1)"/>
      <sheetName val="6(2)"/>
      <sheetName val="7"/>
      <sheetName val="8A"/>
      <sheetName val="8B"/>
      <sheetName val="10"/>
      <sheetName val="10A"/>
      <sheetName val="Set_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 sheet 2006 &amp; 2007"/>
      <sheetName val="B-SHEET (2007)"/>
      <sheetName val="B_SHHET (2006)"/>
      <sheetName val="B-SHEET WORKINGS2006"/>
      <sheetName val="Score sheet 200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- Jun 16"/>
      <sheetName val="IS PY (14)"/>
      <sheetName val="IS PY (15)"/>
      <sheetName val="Review Comments"/>
      <sheetName val="Queries"/>
      <sheetName val="Action items for June 2018"/>
      <sheetName val="Income Statement  "/>
      <sheetName val="YTD X3 TB"/>
      <sheetName val="BS Sch"/>
      <sheetName val="Product mix"/>
      <sheetName val="Loan book run down"/>
      <sheetName val="Payaway"/>
      <sheetName val="Monthly X3 TB"/>
      <sheetName val="New Vehicle loans"/>
      <sheetName val="Movement"/>
      <sheetName val="YE Fixed Asset Register"/>
      <sheetName val="9700 WHT"/>
      <sheetName val="9000-Accruals (2018)"/>
      <sheetName val="Tax Calculation"/>
      <sheetName val="FA Movement"/>
      <sheetName val="Gross Salary"/>
      <sheetName val="Commission"/>
      <sheetName val="Staff recruitment"/>
      <sheetName val="RE reconciliation"/>
      <sheetName val="5001 Issued Shares"/>
      <sheetName val="Asset register"/>
      <sheetName val="8201-accrued origination "/>
      <sheetName val="BTU amortisation"/>
      <sheetName val="Interest local funding"/>
      <sheetName val="5400-19 Cost lean investments"/>
      <sheetName val="5500-01 Mauritius"/>
      <sheetName val="5500-01 Mauritius (WHT Corr (2"/>
      <sheetName val="Mauritius Loan adjusted"/>
      <sheetName val="Mauritius new"/>
      <sheetName val="Interco payable control"/>
      <sheetName val="5500-07 GB Bots 5700 708"/>
      <sheetName val="Interco Receivable"/>
      <sheetName val="Cashcorp Loan"/>
      <sheetName val="Getbucks Loan Account"/>
      <sheetName val="Unknown Receipts"/>
      <sheetName val="6100-01+02 computer equipm"/>
      <sheetName val="6200-01+02 furniture&amp;fittings"/>
      <sheetName val="6300 01+02 vehicles"/>
      <sheetName val="6400-01+02 office equipment"/>
      <sheetName val="6600-01+02 Lease hold impro"/>
      <sheetName val="Sundry Payables"/>
      <sheetName val="7350-Deposits"/>
      <sheetName val="7000-Prepayments"/>
      <sheetName val="700L021 - Summary (Revised)"/>
      <sheetName val="Deferred Originating (2015 Exp)"/>
      <sheetName val="Deferred Originating (2016 Exp)"/>
      <sheetName val="Deferred Originating (2017"/>
      <sheetName val="Deferred Agents Comm (2017)"/>
      <sheetName val="Deferred Origination Fees"/>
      <sheetName val="8200-M009 Accrued Income Report"/>
      <sheetName val="Average life "/>
      <sheetName val="Writeoffs recoverd"/>
      <sheetName val="Prepayment Schedule"/>
      <sheetName val="Group_Provision Summary"/>
      <sheetName val="Group provision summary"/>
      <sheetName val="7500-Sundry receiveables"/>
      <sheetName val="Employers "/>
      <sheetName val="8200 Loan Book Recon"/>
      <sheetName val="FNB Client Recon"/>
      <sheetName val="FNB Ops"/>
      <sheetName val="FNB CLient"/>
      <sheetName val="BoG"/>
      <sheetName val="FNB Credit Card"/>
      <sheetName val="FNB CC2"/>
      <sheetName val="Stanbic Ops Recon"/>
      <sheetName val="Credit Card 2000"/>
      <sheetName val="Stanbic Ops "/>
      <sheetName val="Stanbic Clients Recon"/>
      <sheetName val="Stanbic clients"/>
      <sheetName val="Petty Cash recon"/>
      <sheetName val="Teller recon"/>
      <sheetName val="Petty Cash Control"/>
      <sheetName val="Petty Cash Schedule"/>
      <sheetName val="Bank Clearing"/>
      <sheetName val="NBFIRA Levy Expense"/>
      <sheetName val="9000-Accruals"/>
      <sheetName val="9050 Unknown receipts recon"/>
      <sheetName val="9051 Payaway"/>
      <sheetName val="9500 Suspense"/>
      <sheetName val="VAT"/>
      <sheetName val="9750-Taxation payable"/>
      <sheetName val="Taxation Computation"/>
      <sheetName val="9702-Deferred Tax"/>
      <sheetName val="Salaries"/>
      <sheetName val="Surplus"/>
      <sheetName val="5600-04 BTU Loans "/>
      <sheetName val="Interest income BTU Loan"/>
      <sheetName val="Profit loss forex"/>
      <sheetName val="Forex 2017"/>
      <sheetName val="Leave Schedule"/>
      <sheetName val="PY IS 12month a"/>
      <sheetName val="8400-Banks (Old)"/>
      <sheetName val="5500-11 VSS Loan"/>
      <sheetName val="Vehicle loan"/>
      <sheetName val="Bank of Gaborone"/>
      <sheetName val="Rent "/>
      <sheetName val="Monthly Journals"/>
      <sheetName val="written off"/>
      <sheetName val="Salaries IS"/>
      <sheetName val="Rent and Accommodation "/>
      <sheetName val="collection commission BTU 2017 "/>
      <sheetName val="7000-Prepayments Old"/>
      <sheetName val="Bad debts schedule for 3 months"/>
      <sheetName val="Trial Balance"/>
      <sheetName val="Balance sheet"/>
      <sheetName val="Income Statement "/>
      <sheetName val="Consulting &amp; Directors fees"/>
      <sheetName val="NPV Journals"/>
      <sheetName val="Sheet1"/>
      <sheetName val="NPV_Summary_Botswana_TU_2018-06"/>
      <sheetName val="NPV Summary_Jnls"/>
      <sheetName val="Monthly summary "/>
      <sheetName val="Repayment Split  (2)"/>
      <sheetName val="NPV report"/>
      <sheetName val="Product Split"/>
      <sheetName val="NPV_Summary_Botswana_TU_2018-05"/>
      <sheetName val="Income Statement analysis"/>
      <sheetName val="NPV Detailed Report"/>
      <sheetName val="Revenue Income"/>
      <sheetName val="NPV Summary Journals"/>
      <sheetName val="Repayment split "/>
      <sheetName val="Product Split "/>
      <sheetName val="BTU Transactions"/>
      <sheetName val="Employer Re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101001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e Your Loan Manager"/>
      <sheetName val="Loan Data"/>
      <sheetName val="Loan Amortization Table"/>
      <sheetName val="Summary Graph"/>
      <sheetName val="Macros"/>
      <sheetName val="Lock"/>
      <sheetName val="VDlg"/>
      <sheetName val="ChgLoan"/>
      <sheetName val="Proposed MRA facility_2014-15"/>
      <sheetName val="Accounting Period"/>
    </sheetNames>
    <sheetDataSet>
      <sheetData sheetId="0" refreshError="1">
        <row r="21">
          <cell r="G21">
            <v>240</v>
          </cell>
        </row>
      </sheetData>
      <sheetData sheetId="1" refreshError="1">
        <row r="18">
          <cell r="F18">
            <v>4000000000</v>
          </cell>
          <cell r="I18">
            <v>0.37</v>
          </cell>
        </row>
        <row r="19">
          <cell r="F19">
            <v>41760</v>
          </cell>
          <cell r="I19">
            <v>5</v>
          </cell>
        </row>
        <row r="20">
          <cell r="I20">
            <v>12</v>
          </cell>
        </row>
        <row r="22">
          <cell r="F22">
            <v>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 ye"/>
      <sheetName val="COVER"/>
      <sheetName val="contents"/>
      <sheetName val="ACCOUNTS"/>
      <sheetName val="Notes 1"/>
      <sheetName val="Notes 2"/>
      <sheetName val="ETB 2007"/>
      <sheetName val="JE"/>
      <sheetName val="LEAD SCHEDULES"/>
      <sheetName val="schedules"/>
      <sheetName val="Stan ZMK pmt"/>
      <sheetName val="Stan USD pmt"/>
      <sheetName val=" USD rec"/>
      <sheetName val="petty cash pmt"/>
      <sheetName val="D-tax asset"/>
      <sheetName val="Bank REC"/>
      <sheetName val="Payroll"/>
      <sheetName val="TAX COVER"/>
      <sheetName val="Tax comp"/>
      <sheetName val="Payroll summary"/>
      <sheetName val="Directors' payroll"/>
      <sheetName val="Jan Payroll"/>
      <sheetName val="Feb payroll"/>
      <sheetName val="INPUT VAT"/>
      <sheetName val="VAT "/>
      <sheetName val="TB PASTEL"/>
      <sheetName val="Sales"/>
      <sheetName val="Tax proof"/>
      <sheetName val="petcashzmkrec"/>
      <sheetName val="Stan ZMK rec"/>
      <sheetName val="petcashusdrec "/>
      <sheetName val="petcash usdpmt"/>
      <sheetName val="ZMK"/>
      <sheetName val="USD"/>
      <sheetName val="Director' petcas"/>
      <sheetName val="Director'zmk"/>
      <sheetName val="ZMK 19FEB2008"/>
      <sheetName val="payroll WORKINGS"/>
      <sheetName val="Set_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BUDGETS"/>
      <sheetName val="FS-Q"/>
      <sheetName val="LEAD"/>
      <sheetName val="PORTFOL"/>
      <sheetName val="MD-BOARD"/>
      <sheetName val="CONSO"/>
      <sheetName val="Depart"/>
      <sheetName val="IFC RATIOS"/>
      <sheetName val="CONSO-FSQ"/>
      <sheetName val="MGEN TRANS"/>
      <sheetName val="TB"/>
      <sheetName val="MGEN TZ"/>
      <sheetName val="LSA"/>
      <sheetName val="Proforma"/>
    </sheetNames>
    <sheetDataSet>
      <sheetData sheetId="0" refreshError="1">
        <row r="1">
          <cell r="B1">
            <v>40178</v>
          </cell>
        </row>
        <row r="2">
          <cell r="B2">
            <v>39813</v>
          </cell>
        </row>
      </sheetData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ther"/>
      <sheetName val="A&amp;G"/>
      <sheetName val="Marketing"/>
      <sheetName val="R&amp;M"/>
      <sheetName val="Transport"/>
      <sheetName val="Security"/>
      <sheetName val="Utilities"/>
      <sheetName val="Payroll"/>
      <sheetName val="Headcount"/>
      <sheetName val="Tables"/>
      <sheetName val="Slots"/>
      <sheetName val="Reservations"/>
      <sheetName val="F&amp;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1">
          <cell r="A31" t="str">
            <v xml:space="preserve"> Vat</v>
          </cell>
        </row>
      </sheetData>
      <sheetData sheetId="11"/>
      <sheetData sheetId="12"/>
      <sheetData sheetId="1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Control"/>
      <sheetName val="Instructions"/>
      <sheetName val="Wear &amp; tear rates"/>
      <sheetName val="Client details"/>
      <sheetName val="Questionnaire"/>
      <sheetName val="Tax calc"/>
      <sheetName val="BS"/>
      <sheetName val="IS"/>
      <sheetName val="COS"/>
      <sheetName val="Other income"/>
      <sheetName val="Other expenses "/>
      <sheetName val="Alterations &amp; improvements"/>
      <sheetName val="Compensation for loss of office"/>
      <sheetName val="Consulting, Legal &amp; Prof fees"/>
      <sheetName val="Inter group tx"/>
      <sheetName val="R&amp;M"/>
      <sheetName val="Travelling foreign"/>
      <sheetName val="Forex"/>
      <sheetName val="Bad debts"/>
      <sheetName val="Directors"/>
      <sheetName val="Donations"/>
      <sheetName val="Research &amp; development"/>
      <sheetName val="Restraint of trade"/>
      <sheetName val="Royalty &amp; licence fees"/>
      <sheetName val="Key man insurance"/>
      <sheetName val="FA tax values"/>
      <sheetName val="FA additions"/>
      <sheetName val="Intergrp FA purch"/>
      <sheetName val="Interdiv FA purch"/>
      <sheetName val="FA disposals"/>
      <sheetName val="Intergrp FA sales"/>
      <sheetName val="Interdiv FA sales"/>
      <sheetName val="Plantations"/>
      <sheetName val="Livestock"/>
      <sheetName val="BS Other"/>
      <sheetName val="Inventory"/>
      <sheetName val="Receivables"/>
      <sheetName val="Provisions"/>
      <sheetName val="Prov. doubtful debts"/>
      <sheetName val="Prepmts"/>
      <sheetName val="Payables"/>
      <sheetName val="Accruals"/>
      <sheetName val="Debtors with credit balances"/>
      <sheetName val="Advance pmts"/>
      <sheetName val="Learnership agreements"/>
      <sheetName val="Recoupment Leasing"/>
      <sheetName val="Capital Gains "/>
      <sheetName val="Foreign Tax Credits"/>
      <sheetName val="Partnerships"/>
      <sheetName val="Contributed Tax Capital"/>
      <sheetName val="Dividends declared"/>
      <sheetName val="STC Credits"/>
      <sheetName val="Transfer pricing"/>
      <sheetName val="Change in sharehol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>
        <row r="1">
          <cell r="D1" t="str">
            <v>Schedule IS 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>
        <row r="66">
          <cell r="A66" t="str">
            <v>for the 6 months ended 31 December 2014</v>
          </cell>
        </row>
      </sheetData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Check"/>
      <sheetName val="Group"/>
      <sheetName val="Sheet7"/>
      <sheetName val="Stanbic IS"/>
      <sheetName val="Month IS Rnd"/>
      <sheetName val="Sheet4"/>
      <sheetName val="Month IS"/>
      <sheetName val="Qtr IS var"/>
      <sheetName val="Stanbic BS"/>
      <sheetName val="BS month"/>
      <sheetName val="NII"/>
      <sheetName val="NIR"/>
      <sheetName val="Prov"/>
      <sheetName val="Exp"/>
      <sheetName val="RWA"/>
      <sheetName val="Sheet2"/>
      <sheetName val="Dom grid"/>
      <sheetName val="Dom Qtr"/>
      <sheetName val="Sheet1"/>
      <sheetName val="International"/>
      <sheetName val="Africa"/>
      <sheetName val="Centr Fund"/>
      <sheetName val="Liberty"/>
      <sheetName val="Stanlib"/>
      <sheetName val="CJE's"/>
      <sheetName val="IS wkgs"/>
      <sheetName val="Vs last mth"/>
      <sheetName val="International GBP IS"/>
      <sheetName val="Intern GBP BS"/>
      <sheetName val="Africa BS"/>
      <sheetName val="MIP input BS"/>
      <sheetName val="Round BS"/>
      <sheetName val="MIP input IS"/>
      <sheetName val="Round IS"/>
      <sheetName val="Exch rates"/>
      <sheetName val="Sheet3"/>
      <sheetName val="Margin"/>
      <sheetName val="ACC133 new"/>
      <sheetName val="AC133"/>
      <sheetName val="Step AC133"/>
      <sheetName val="AC133 wkgs"/>
      <sheetName val="Exch"/>
      <sheetName val="Dom BS"/>
      <sheetName val="Dom BS1"/>
      <sheetName val="Dom BS new"/>
      <sheetName val="Dom month BS"/>
      <sheetName val="NAV"/>
      <sheetName val="RWA input"/>
      <sheetName val="Sheet5"/>
      <sheetName val="Ratios"/>
      <sheetName val="Stanbic_IS"/>
      <sheetName val="Month_IS_Rnd"/>
      <sheetName val="Month_IS"/>
      <sheetName val="Qtr_IS_var"/>
      <sheetName val="Stanbic_BS"/>
      <sheetName val="BS_month"/>
      <sheetName val="Dom_grid"/>
      <sheetName val="Dom_Qtr"/>
      <sheetName val="Centr_Fund"/>
      <sheetName val="IS_wkgs"/>
      <sheetName val="Vs_last_mth"/>
      <sheetName val="International_GBP_IS"/>
      <sheetName val="Intern_GBP_BS"/>
      <sheetName val="Africa_BS"/>
      <sheetName val="MIP_input_BS"/>
      <sheetName val="Round_BS"/>
      <sheetName val="MIP_input_IS"/>
      <sheetName val="Round_IS"/>
      <sheetName val="Exch_rates"/>
      <sheetName val="ACC133_new"/>
      <sheetName val="Step_AC133"/>
      <sheetName val="AC133_wkgs"/>
      <sheetName val="Dom_BS"/>
      <sheetName val="Dom_BS1"/>
      <sheetName val="Dom_BS_new"/>
      <sheetName val="Dom_month_BS"/>
      <sheetName val="RWA_input"/>
      <sheetName val="STANBIC BANK ZKW"/>
      <sheetName val="Stanbic_IS1"/>
      <sheetName val="Month_IS_Rnd1"/>
      <sheetName val="Month_IS1"/>
      <sheetName val="Qtr_IS_var1"/>
      <sheetName val="Stanbic_BS1"/>
      <sheetName val="BS_month1"/>
      <sheetName val="Dom_grid1"/>
      <sheetName val="Dom_Qtr1"/>
      <sheetName val="Centr_Fund1"/>
      <sheetName val="IS_wkgs1"/>
      <sheetName val="Vs_last_mth1"/>
      <sheetName val="International_GBP_IS1"/>
      <sheetName val="Intern_GBP_BS1"/>
      <sheetName val="Africa_BS1"/>
      <sheetName val="MIP_input_BS1"/>
      <sheetName val="Round_BS1"/>
      <sheetName val="MIP_input_IS1"/>
      <sheetName val="Round_IS1"/>
      <sheetName val="Exch_rates1"/>
      <sheetName val="ACC133_new1"/>
      <sheetName val="Step_AC1331"/>
      <sheetName val="AC133_wkgs1"/>
      <sheetName val="Dom_BS2"/>
      <sheetName val="Dom_BS11"/>
      <sheetName val="Dom_BS_new1"/>
      <sheetName val="Dom_month_BS1"/>
      <sheetName val="RWA_input1"/>
    </sheetNames>
    <sheetDataSet>
      <sheetData sheetId="0" refreshError="1">
        <row r="1">
          <cell r="A1" t="str">
            <v>Number of month</v>
          </cell>
        </row>
        <row r="4">
          <cell r="A4" t="str">
            <v>Headline earnings (monthly)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Taxcomp"/>
      <sheetName val="Deftaxcomp"/>
      <sheetName val="Tax rate check"/>
      <sheetName val="ITA202"/>
      <sheetName val="ITA202A"/>
      <sheetName val="ITA202B"/>
      <sheetName val="ITA201"/>
      <sheetName val="BU Bucks"/>
      <sheetName val="Journals"/>
      <sheetName val="Section 41 Claim"/>
      <sheetName val="Tax Analysis"/>
    </sheetNames>
    <sheetDataSet>
      <sheetData sheetId="0"/>
      <sheetData sheetId="1">
        <row r="59">
          <cell r="K59">
            <v>38274.394412000009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Taxcomp"/>
      <sheetName val="Deftaxcomp"/>
      <sheetName val="Tax rate check"/>
      <sheetName val="ITA202"/>
      <sheetName val="ITA202A"/>
      <sheetName val="ITA202B"/>
      <sheetName val="ITA201"/>
      <sheetName val="BU Bucks"/>
      <sheetName val="Journals"/>
      <sheetName val="Section 41 Claim"/>
      <sheetName val="Tax Analysis"/>
    </sheetNames>
    <sheetDataSet>
      <sheetData sheetId="0"/>
      <sheetData sheetId="1">
        <row r="59">
          <cell r="K59">
            <v>38274.394412000009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Instructions"/>
      <sheetName val="Index"/>
      <sheetName val="Main Pack"/>
      <sheetName val="Tax calc"/>
      <sheetName val="Interco list"/>
      <sheetName val="IFRS 7 schedules"/>
      <sheetName val="Movement schedules"/>
      <sheetName val="Intangible assets"/>
      <sheetName val="FEC assets"/>
      <sheetName val="Basic Cash Flow"/>
      <sheetName val="Sheet2"/>
      <sheetName val="Approval"/>
    </sheetNames>
    <sheetDataSet>
      <sheetData sheetId="0"/>
      <sheetData sheetId="1"/>
      <sheetData sheetId="2"/>
      <sheetData sheetId="3">
        <row r="3709">
          <cell r="E370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Home Page"/>
      <sheetName val="Fixed Asset Menu"/>
      <sheetName val="Year End Procedure"/>
      <sheetName val="Setup Menu"/>
      <sheetName val="Documentation"/>
      <sheetName val="Fixed Asset Category 1"/>
      <sheetName val="Fixed Asset Category 2"/>
      <sheetName val="Fixed Asset Category 3"/>
      <sheetName val="Fixed Asset Category 4"/>
      <sheetName val="Fixed Asset Category 5"/>
      <sheetName val="Fixed Asset Category 6"/>
      <sheetName val="Fixed Asset Category 7"/>
      <sheetName val="Depreciation Journal 1"/>
      <sheetName val="Depreciation Journal 2"/>
      <sheetName val="Depreciation Journal 3"/>
      <sheetName val="Depreciation Journal 4"/>
      <sheetName val="Depreciation Journal 5"/>
      <sheetName val="Depreciation Journal 6"/>
      <sheetName val="Fixed Asset Summary"/>
      <sheetName val="Accounting Period"/>
      <sheetName val="Setup"/>
      <sheetName val="Error Report"/>
      <sheetName val="Drop Down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1">
          <cell r="B21">
            <v>41640</v>
          </cell>
        </row>
        <row r="23">
          <cell r="B23">
            <v>42004</v>
          </cell>
        </row>
      </sheetData>
      <sheetData sheetId="21"/>
      <sheetData sheetId="22"/>
      <sheetData sheetId="2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 INFO"/>
      <sheetName val="CONTENTS"/>
      <sheetName val="REPORT"/>
      <sheetName val="INC ST"/>
      <sheetName val="BL SHT"/>
      <sheetName val="C FLO"/>
      <sheetName val="ST CHNGE"/>
      <sheetName val="ACC POL"/>
      <sheetName val="ACC POL2"/>
      <sheetName val="ACC POL (2)"/>
      <sheetName val="n-page 10"/>
      <sheetName val="n-page 11"/>
      <sheetName val="n page 12"/>
      <sheetName val="n-page 13"/>
      <sheetName val="NOTES"/>
      <sheetName val="NOTES2"/>
      <sheetName val="NOTES3"/>
      <sheetName val="NOTES4"/>
      <sheetName val="NoTE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Mng1"/>
      <sheetName val="Cons1"/>
      <sheetName val="Cons2"/>
      <sheetName val="Age1"/>
      <sheetName val="Age2"/>
      <sheetName val="Log1"/>
      <sheetName val="Log2"/>
      <sheetName val="Trm1"/>
      <sheetName val="Trm2"/>
      <sheetName val="Tru1"/>
      <sheetName val="Tru2"/>
      <sheetName val="Rep1"/>
      <sheetName val="Rep2"/>
      <sheetName val="MIE1"/>
      <sheetName val="MIE2"/>
      <sheetName val="ERS1"/>
      <sheetName val="ERS2"/>
      <sheetName val="Wh1"/>
      <sheetName val="Wh2"/>
      <sheetName val="Hasec1"/>
      <sheetName val="Hasec2"/>
      <sheetName val="Hewi1"/>
      <sheetName val="Hewi2"/>
      <sheetName val="Ot1"/>
      <sheetName val="Ot2"/>
      <sheetName val="Bal1"/>
      <sheetName val="Bal2"/>
      <sheetName val="CF2"/>
      <sheetName val="KPI1"/>
      <sheetName val="KPI2"/>
      <sheetName val="Parameters"/>
      <sheetName val="Audit Schedules"/>
      <sheetName val="F_A Sch F"/>
      <sheetName val="Fin Statements"/>
      <sheetName val="Cover"/>
      <sheetName val="Input_Sheet"/>
      <sheetName val="Jan Payroll"/>
      <sheetName val="Input_Sheet1"/>
      <sheetName val="Audit_Schedules"/>
      <sheetName val="F_A_Sch_F"/>
      <sheetName val="Fin_Statements"/>
      <sheetName val="STANBIC BANK ZKW"/>
      <sheetName val="INDO"/>
    </sheetNames>
    <sheetDataSet>
      <sheetData sheetId="0">
        <row r="9">
          <cell r="C9" t="str">
            <v>nl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COVER"/>
      <sheetName val="COVER _2_"/>
      <sheetName val="REPORT"/>
      <sheetName val="ACCOUNTS"/>
      <sheetName val="ACC POLICIES"/>
      <sheetName val="PROPERTY"/>
      <sheetName val="NOTES"/>
      <sheetName val="JE"/>
      <sheetName val="ETB"/>
      <sheetName val="TAXCOVER"/>
      <sheetName val="TAXCOMP"/>
      <sheetName val="livestock"/>
      <sheetName val="TAX RECON"/>
      <sheetName val="CONSULTANCY"/>
      <sheetName val="FARMING"/>
      <sheetName val="D_tax asset"/>
      <sheetName val="Zanaco ZMK pmt"/>
      <sheetName val="Zanaco ZMK rct"/>
      <sheetName val="Zanaco USD pmt 2"/>
      <sheetName val="Zanaco USD rct"/>
      <sheetName val="STAN CHART USD PMT"/>
      <sheetName val="petcashZMK PMT"/>
      <sheetName val="Sales"/>
      <sheetName val="Bank REC"/>
      <sheetName val="Asset Reg"/>
      <sheetName val="REVALUATION"/>
      <sheetName val="VAT"/>
      <sheetName val="ZANACO LOAN ZMK"/>
      <sheetName val="ZANACO LOAN  USD 79"/>
      <sheetName val="ZANACO LOAN  USD 102"/>
      <sheetName val="Directors loan"/>
      <sheetName val="ICC LOAN"/>
      <sheetName val="ICC Lease "/>
      <sheetName val="lease pmt"/>
      <sheetName val="ICC Lease Sum"/>
      <sheetName val="ICC Lease  VAT"/>
      <sheetName val="Payroll"/>
      <sheetName val="Contents"/>
      <sheetName val="Information"/>
      <sheetName val="CF"/>
      <sheetName val="BS"/>
      <sheetName val="DetailP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Movementschedule"/>
      <sheetName val="NBV Proof"/>
      <sheetName val="Asset Verification"/>
      <sheetName val="Disposals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 INFO"/>
      <sheetName val="CONTENTS"/>
      <sheetName val="REPORT"/>
      <sheetName val="INC ST "/>
      <sheetName val="BL SHET"/>
      <sheetName val="ST CHNG"/>
      <sheetName val="C FLO"/>
      <sheetName val="ACC POL1"/>
      <sheetName val="ACC POL2"/>
      <sheetName val="ACC POL3"/>
      <sheetName val="NOTES1"/>
      <sheetName val="SHEET"/>
      <sheetName val="NOTES2"/>
      <sheetName val="NOTES3"/>
      <sheetName val="NOTES4"/>
      <sheetName val="DET INC"/>
      <sheetName val="XREF"/>
      <sheetName val="data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Deferred Tax Computation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5"/>
      <sheetData sheetId="6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7"/>
      <sheetData sheetId="8"/>
      <sheetData sheetId="9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&amp; Dates"/>
      <sheetName val="Account Classification"/>
      <sheetName val="Account Mapping"/>
      <sheetName val="SSG Accounts"/>
    </sheetNames>
    <sheetDataSet>
      <sheetData sheetId="0" refreshError="1">
        <row r="10">
          <cell r="C10">
            <v>1</v>
          </cell>
          <cell r="D10">
            <v>39539</v>
          </cell>
          <cell r="E10">
            <v>39568</v>
          </cell>
          <cell r="F10">
            <v>1</v>
          </cell>
          <cell r="G10">
            <v>30</v>
          </cell>
          <cell r="H10">
            <v>3670</v>
          </cell>
          <cell r="I10">
            <v>3475</v>
          </cell>
          <cell r="J10">
            <v>3524.2367855025805</v>
          </cell>
          <cell r="K10">
            <v>0</v>
          </cell>
          <cell r="L10">
            <v>8.1463000000000001</v>
          </cell>
          <cell r="M10">
            <v>7.5975999999999999</v>
          </cell>
          <cell r="N10">
            <v>7.87195</v>
          </cell>
          <cell r="O10">
            <v>0</v>
          </cell>
        </row>
        <row r="11">
          <cell r="C11">
            <v>2</v>
          </cell>
          <cell r="D11">
            <v>39569</v>
          </cell>
          <cell r="E11">
            <v>39599</v>
          </cell>
          <cell r="F11">
            <v>1</v>
          </cell>
          <cell r="G11">
            <v>31</v>
          </cell>
          <cell r="H11">
            <v>3475</v>
          </cell>
          <cell r="I11">
            <v>3425</v>
          </cell>
          <cell r="J11">
            <v>3398.578586992679</v>
          </cell>
          <cell r="K11">
            <v>0</v>
          </cell>
          <cell r="L11">
            <v>7.5975999999999999</v>
          </cell>
          <cell r="M11">
            <v>7.6151999999999997</v>
          </cell>
          <cell r="N11">
            <v>7.6063999999999998</v>
          </cell>
          <cell r="O11">
            <v>0</v>
          </cell>
        </row>
        <row r="12">
          <cell r="C12">
            <v>3</v>
          </cell>
          <cell r="D12">
            <v>39600</v>
          </cell>
          <cell r="E12">
            <v>39629</v>
          </cell>
          <cell r="F12">
            <v>1</v>
          </cell>
          <cell r="G12">
            <v>30</v>
          </cell>
          <cell r="H12">
            <v>3425</v>
          </cell>
          <cell r="I12">
            <v>3205</v>
          </cell>
          <cell r="J12">
            <v>3259.3816901747496</v>
          </cell>
          <cell r="K12">
            <v>0</v>
          </cell>
          <cell r="L12">
            <v>7.6151999999999997</v>
          </cell>
          <cell r="M12">
            <v>7.8460999999999999</v>
          </cell>
          <cell r="N12">
            <v>7.7306499999999998</v>
          </cell>
          <cell r="O12">
            <v>0</v>
          </cell>
        </row>
        <row r="13">
          <cell r="C13">
            <v>4</v>
          </cell>
          <cell r="D13">
            <v>39630</v>
          </cell>
          <cell r="E13">
            <v>39660</v>
          </cell>
          <cell r="F13">
            <v>2</v>
          </cell>
          <cell r="G13">
            <v>31</v>
          </cell>
          <cell r="H13">
            <v>3205</v>
          </cell>
          <cell r="I13">
            <v>3520</v>
          </cell>
          <cell r="J13">
            <v>3413.2918513139339</v>
          </cell>
          <cell r="K13">
            <v>0</v>
          </cell>
          <cell r="L13">
            <v>7.8460999999999999</v>
          </cell>
          <cell r="M13">
            <v>7.3407</v>
          </cell>
          <cell r="N13">
            <v>7.5933999999999999</v>
          </cell>
          <cell r="O13">
            <v>0</v>
          </cell>
        </row>
        <row r="14">
          <cell r="C14">
            <v>5</v>
          </cell>
          <cell r="D14">
            <v>39661</v>
          </cell>
          <cell r="E14">
            <v>39691</v>
          </cell>
          <cell r="F14">
            <v>2</v>
          </cell>
          <cell r="G14">
            <v>31</v>
          </cell>
          <cell r="H14">
            <v>3520</v>
          </cell>
          <cell r="I14">
            <v>3500</v>
          </cell>
          <cell r="J14">
            <v>3441.24</v>
          </cell>
          <cell r="K14">
            <v>0</v>
          </cell>
          <cell r="L14">
            <v>7.3407</v>
          </cell>
          <cell r="M14">
            <v>7.7041000000000004</v>
          </cell>
          <cell r="N14">
            <v>7.5224000000000002</v>
          </cell>
          <cell r="O14">
            <v>0</v>
          </cell>
        </row>
        <row r="15">
          <cell r="C15">
            <v>6</v>
          </cell>
          <cell r="D15">
            <v>39692</v>
          </cell>
          <cell r="E15">
            <v>39721</v>
          </cell>
          <cell r="F15">
            <v>2</v>
          </cell>
          <cell r="G15">
            <v>30</v>
          </cell>
          <cell r="H15">
            <v>3500</v>
          </cell>
          <cell r="I15">
            <v>3590</v>
          </cell>
          <cell r="J15">
            <v>3538.8019718154692</v>
          </cell>
          <cell r="K15">
            <v>0</v>
          </cell>
          <cell r="L15">
            <v>7.7041000000000004</v>
          </cell>
          <cell r="M15">
            <v>8.2949999999999999</v>
          </cell>
          <cell r="N15">
            <v>7.9995500000000002</v>
          </cell>
          <cell r="O15">
            <v>0</v>
          </cell>
        </row>
        <row r="16">
          <cell r="C16">
            <v>7</v>
          </cell>
          <cell r="D16">
            <v>39722</v>
          </cell>
          <cell r="E16">
            <v>39752</v>
          </cell>
          <cell r="F16">
            <v>3</v>
          </cell>
          <cell r="G16">
            <v>31</v>
          </cell>
          <cell r="H16">
            <v>3590</v>
          </cell>
          <cell r="I16">
            <v>4460</v>
          </cell>
          <cell r="J16">
            <v>4037.8775965442678</v>
          </cell>
          <cell r="K16">
            <v>0</v>
          </cell>
          <cell r="L16">
            <v>8.2949999999999999</v>
          </cell>
          <cell r="M16">
            <v>9.8000000000000007</v>
          </cell>
          <cell r="N16">
            <v>9.67</v>
          </cell>
          <cell r="O16">
            <v>0</v>
          </cell>
        </row>
        <row r="17">
          <cell r="C17">
            <v>8</v>
          </cell>
          <cell r="D17">
            <v>39753</v>
          </cell>
          <cell r="E17">
            <v>39782</v>
          </cell>
          <cell r="F17">
            <v>3</v>
          </cell>
          <cell r="G17">
            <v>30</v>
          </cell>
          <cell r="H17">
            <v>4460</v>
          </cell>
          <cell r="I17">
            <v>4495</v>
          </cell>
          <cell r="J17">
            <v>4245.9336375551575</v>
          </cell>
          <cell r="K17">
            <v>0</v>
          </cell>
          <cell r="L17">
            <v>9.8000000000000007</v>
          </cell>
          <cell r="M17">
            <v>10.215</v>
          </cell>
          <cell r="N17">
            <v>10.0075</v>
          </cell>
          <cell r="O17">
            <v>0</v>
          </cell>
        </row>
        <row r="18">
          <cell r="C18">
            <v>9</v>
          </cell>
          <cell r="D18">
            <v>39783</v>
          </cell>
          <cell r="E18">
            <v>39813</v>
          </cell>
          <cell r="F18">
            <v>3</v>
          </cell>
          <cell r="G18">
            <v>31</v>
          </cell>
          <cell r="H18">
            <v>4495</v>
          </cell>
          <cell r="I18">
            <v>4810</v>
          </cell>
          <cell r="J18">
            <v>4880.59</v>
          </cell>
          <cell r="K18">
            <v>0</v>
          </cell>
          <cell r="L18">
            <v>10.215</v>
          </cell>
          <cell r="M18">
            <v>9.6</v>
          </cell>
          <cell r="N18">
            <v>9.9074999999999989</v>
          </cell>
          <cell r="O18">
            <v>0</v>
          </cell>
        </row>
        <row r="19">
          <cell r="C19">
            <v>10</v>
          </cell>
          <cell r="D19">
            <v>39814</v>
          </cell>
          <cell r="E19">
            <v>39844</v>
          </cell>
          <cell r="F19">
            <v>4</v>
          </cell>
          <cell r="G19">
            <v>31</v>
          </cell>
          <cell r="H19">
            <v>4810</v>
          </cell>
          <cell r="I19">
            <v>5135</v>
          </cell>
          <cell r="J19">
            <v>5039.9457031125057</v>
          </cell>
          <cell r="K19">
            <v>0</v>
          </cell>
          <cell r="L19">
            <v>9.6</v>
          </cell>
          <cell r="M19">
            <v>10.256</v>
          </cell>
          <cell r="N19">
            <v>9.9280000000000008</v>
          </cell>
          <cell r="O19">
            <v>0</v>
          </cell>
        </row>
        <row r="20">
          <cell r="C20">
            <v>11</v>
          </cell>
          <cell r="D20">
            <v>39845</v>
          </cell>
          <cell r="E20">
            <v>39872</v>
          </cell>
          <cell r="F20">
            <v>4</v>
          </cell>
          <cell r="G20">
            <v>28</v>
          </cell>
          <cell r="H20">
            <v>5135</v>
          </cell>
          <cell r="I20">
            <v>3670</v>
          </cell>
          <cell r="J20">
            <v>3755.9286519370507</v>
          </cell>
          <cell r="K20">
            <v>0</v>
          </cell>
          <cell r="L20">
            <v>10.256</v>
          </cell>
          <cell r="M20">
            <v>8.1463000000000001</v>
          </cell>
          <cell r="N20">
            <v>9.2011500000000002</v>
          </cell>
          <cell r="O20">
            <v>0</v>
          </cell>
        </row>
        <row r="21">
          <cell r="C21">
            <v>12</v>
          </cell>
          <cell r="H21">
            <v>1218</v>
          </cell>
          <cell r="I21">
            <v>1218</v>
          </cell>
          <cell r="J21">
            <v>1184.5196774193548</v>
          </cell>
          <cell r="K21">
            <v>0</v>
          </cell>
          <cell r="L21">
            <v>8.1463000000000001</v>
          </cell>
          <cell r="M21">
            <v>8.1463000000000001</v>
          </cell>
          <cell r="N21">
            <v>8.1463000000000001</v>
          </cell>
          <cell r="O21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M"/>
      <sheetName val="STD"/>
      <sheetName val="FCB"/>
      <sheetName val="FDH BANK"/>
      <sheetName val="NED"/>
      <sheetName val="NBS"/>
      <sheetName val="ECO "/>
      <sheetName val="CDH"/>
      <sheetName val="Summary"/>
      <sheetName val="Sensitivities"/>
      <sheetName val="BS Consol"/>
      <sheetName val="IS Consol"/>
      <sheetName val="CF Consol"/>
      <sheetName val="BS"/>
      <sheetName val="IS"/>
      <sheetName val="CF"/>
      <sheetName val="Capital &amp; Liquidity Analysis"/>
      <sheetName val="Overnight Borrowing"/>
      <sheetName val="Customer Deposits &amp; Borrowings"/>
      <sheetName val="para"/>
      <sheetName val="Fee Income"/>
      <sheetName val="Commission and Deferred Comm"/>
      <sheetName val="Govt Payroll"/>
      <sheetName val="Loan Schedules"/>
      <sheetName val="INVESTMENTS"/>
      <sheetName val="Management Fees"/>
      <sheetName val="Bond Costs"/>
      <sheetName val="Expenses"/>
      <sheetName val="Operations Budget"/>
      <sheetName val="Purchased Loan Book Amortisatio"/>
      <sheetName val="Premium"/>
      <sheetName val="Run Down Purchased Loan Book"/>
      <sheetName val="Advances Summary"/>
      <sheetName val="Impairment"/>
      <sheetName val="Advances"/>
      <sheetName val="Merger BS"/>
      <sheetName val="Expected Inflows"/>
      <sheetName val="NFB - Loans Secured"/>
      <sheetName val="NFB - Vehicle Asset Finance"/>
      <sheetName val="NFB - Warehouse Receipting"/>
      <sheetName val="NFB - Staff Loans"/>
      <sheetName val="NFB - Overdraft"/>
      <sheetName val="NFB - Group Loans"/>
      <sheetName val="NFB - Govt Payroll"/>
      <sheetName val="NFB - IPF Target"/>
      <sheetName val="IT Budget 2019"/>
      <sheetName val="IT Budget"/>
      <sheetName val="IT Additional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0</v>
          </cell>
        </row>
        <row r="7">
          <cell r="D7">
            <v>1567500000</v>
          </cell>
        </row>
        <row r="12">
          <cell r="D12">
            <v>43524</v>
          </cell>
        </row>
      </sheetData>
      <sheetData sheetId="10"/>
      <sheetData sheetId="11">
        <row r="58">
          <cell r="C58">
            <v>-719128288.45000005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eadsheet Insructions"/>
      <sheetName val="Opening balances"/>
      <sheetName val="Dividends"/>
      <sheetName val="Non-Monetary Translations"/>
      <sheetName val="Bots Fixed Assets"/>
      <sheetName val="GBSA - TB"/>
      <sheetName val="VSS - TB"/>
      <sheetName val="GetSure SA - TB"/>
      <sheetName val="Sanceda Rec SA - TB"/>
      <sheetName val="OTM Mobile - TB"/>
      <sheetName val="RSA TB"/>
      <sheetName val="VSS TB"/>
      <sheetName val="GS RSA TB"/>
      <sheetName val="San Rec TB"/>
      <sheetName val="Lyngreen TB"/>
      <sheetName val="Intercompany Matrix - SA Cons"/>
      <sheetName val="Elimination Entries - SA Cons"/>
      <sheetName val="GB Bots - TB"/>
      <sheetName val="TU Loans - TB"/>
      <sheetName val="BU Bucks - TB"/>
      <sheetName val="CashCorp - TB"/>
      <sheetName val="Alto Legal - TB"/>
      <sheetName val="Alto Assurance - TB"/>
      <sheetName val="Ochwe Properties - TB"/>
      <sheetName val="GB Bots"/>
      <sheetName val="TU Loans"/>
      <sheetName val="BU Bucks"/>
      <sheetName val="Cash Corp"/>
      <sheetName val="Alto Assurance"/>
      <sheetName val="Alto Legal"/>
      <sheetName val="Ochwe Prop"/>
      <sheetName val="SureChoice - TB"/>
      <sheetName val="Intercompany Matrix - Bots Cons"/>
      <sheetName val="Elimination Entries - Bots Cons"/>
      <sheetName val="SureChoice PPA"/>
      <sheetName val="CashCorp PPA - Bots Cons."/>
      <sheetName val="N-CI Recon - Bots Cons."/>
      <sheetName val="Equity - SC &amp; RE"/>
      <sheetName val="GB Mauritius - TB"/>
      <sheetName val="Mauritius TB"/>
      <sheetName val="GB Zimbabwe - TB"/>
      <sheetName val="Zim TB"/>
      <sheetName val="GB Kenya - TB"/>
      <sheetName val="GB Malawi - TB"/>
      <sheetName val="Kenya TB"/>
      <sheetName val="Ataye TB"/>
      <sheetName val="GetSure Botswana - TB"/>
      <sheetName val="GB Invest - TB"/>
      <sheetName val="Austria TB"/>
      <sheetName val="Spain TB"/>
      <sheetName val="Poland TB"/>
      <sheetName val="ZIM 2016"/>
      <sheetName val="Kenya Haraka TB"/>
      <sheetName val="Malawi TB"/>
      <sheetName val="GB Zambia - TB"/>
      <sheetName val="Zambia TB"/>
      <sheetName val="GB Swaziland - TB"/>
      <sheetName val="Swaziland TB"/>
      <sheetName val="Swazi 2017"/>
      <sheetName val="GB Ghana - TB"/>
      <sheetName val="Ghana TB"/>
      <sheetName val="GB EG - TB"/>
      <sheetName val="Equatorial Guinea TB"/>
      <sheetName val="GB Namibia - TB"/>
      <sheetName val="Namibia TB"/>
      <sheetName val="GB Uganda - TB"/>
      <sheetName val="Uganda TB"/>
      <sheetName val="OI Group"/>
      <sheetName val="InterCompany Matrix - MAU Cons."/>
      <sheetName val="Balance Sheet - Maur Group"/>
      <sheetName val="Investment in Subsidiaries"/>
      <sheetName val="Elimination Entries - Mau Cons."/>
      <sheetName val="Detailed Map Consol (EUR) (2)"/>
      <sheetName val="Balance Sheet - Bots Group"/>
      <sheetName val="SOCI - Bots Cons."/>
      <sheetName val="SoCE - Bots Cons. "/>
      <sheetName val="Statement of CF - Bots Cons."/>
      <sheetName val="Spain TB MB Europe"/>
      <sheetName val="Poland TB MB Europe"/>
      <sheetName val="Elimination Entries - Mau Cons"/>
      <sheetName val="MyBucks Europe - TB"/>
      <sheetName val="MyBucks Europe TB"/>
      <sheetName val="GB Spain - TB"/>
      <sheetName val="Spain 2017"/>
      <sheetName val="GB Poland - TB"/>
      <sheetName val="Poland 2017"/>
      <sheetName val="Intercompany Matrix - MB Europe"/>
      <sheetName val="Elimination Entries - MB Europe"/>
      <sheetName val="MyBucks Lux - TB"/>
      <sheetName val="MyBucks Lux TB"/>
      <sheetName val="FGF TB"/>
      <sheetName val="FGF PPA"/>
      <sheetName val="Establishment fee ADJ"/>
      <sheetName val="Intercompany Matrix - Lux Cons."/>
      <sheetName val="Elimination Entries - MyBucks"/>
      <sheetName val="Sheet1"/>
      <sheetName val="NCI Recon"/>
      <sheetName val="Other reserves summary"/>
      <sheetName val="Detailed Map Consol."/>
      <sheetName val="Share-Based_Historical_rates"/>
      <sheetName val="Intercompany Transactions"/>
      <sheetName val="Inter Company Interest"/>
      <sheetName val="Intercompany Interest Schedule"/>
      <sheetName val="Equity Translations"/>
      <sheetName val="Foreign Exchange Rates"/>
      <sheetName val="SoFP"/>
      <sheetName val="SoPL"/>
      <sheetName val="SoCE"/>
      <sheetName val="FCTR Detail"/>
      <sheetName val="FCTR"/>
      <sheetName val="Look out for"/>
      <sheetName val="FCTR NCI"/>
      <sheetName val="SOCI - Mau Group - NEW"/>
      <sheetName val="SoCI - Maur Group"/>
      <sheetName val="SoCE - Maur Group"/>
      <sheetName val="Loan Book ST-LT Class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 refreshError="1"/>
      <sheetData sheetId="58" refreshError="1"/>
      <sheetData sheetId="59"/>
      <sheetData sheetId="60" refreshError="1"/>
      <sheetData sheetId="61"/>
      <sheetData sheetId="62" refreshError="1"/>
      <sheetData sheetId="63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/>
      <sheetData sheetId="83" refreshError="1"/>
      <sheetData sheetId="84"/>
      <sheetData sheetId="85" refreshError="1"/>
      <sheetData sheetId="86" refreshError="1"/>
      <sheetData sheetId="87"/>
      <sheetData sheetId="88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5">
          <cell r="J5" t="str">
            <v>1005/A082</v>
          </cell>
          <cell r="K5" t="str">
            <v>GetSure Bots</v>
          </cell>
          <cell r="L5">
            <v>4.7838378398467406E-2</v>
          </cell>
          <cell r="AZ5" t="str">
            <v>1005/A082</v>
          </cell>
          <cell r="BA5" t="str">
            <v>Austria Bond</v>
          </cell>
          <cell r="BB5">
            <v>-67327.700840049569</v>
          </cell>
          <cell r="BG5" t="str">
            <v>1005/A082</v>
          </cell>
          <cell r="BH5" t="str">
            <v>GBSA</v>
          </cell>
          <cell r="BI5">
            <v>-41397.434135249518</v>
          </cell>
          <cell r="BN5" t="str">
            <v>2001/B002</v>
          </cell>
          <cell r="BO5" t="str">
            <v>MyBucks Europe</v>
          </cell>
          <cell r="BP5">
            <v>118739.48210136671</v>
          </cell>
          <cell r="BU5" t="str">
            <v>1005/A082</v>
          </cell>
          <cell r="BV5" t="str">
            <v>GB Namibia</v>
          </cell>
          <cell r="BW5">
            <v>0</v>
          </cell>
          <cell r="DK5" t="str">
            <v>1005/A082</v>
          </cell>
          <cell r="DL5" t="str">
            <v>GB Spain</v>
          </cell>
          <cell r="DM5">
            <v>1.4551915228366852E-11</v>
          </cell>
          <cell r="DR5" t="str">
            <v>1005/A082</v>
          </cell>
          <cell r="DS5" t="str">
            <v>GB Poland</v>
          </cell>
          <cell r="DT5">
            <v>0</v>
          </cell>
        </row>
        <row r="6">
          <cell r="J6" t="str">
            <v>1005/A083</v>
          </cell>
          <cell r="K6" t="str">
            <v>GBSA</v>
          </cell>
          <cell r="L6">
            <v>-58095.298121954249</v>
          </cell>
          <cell r="AZ6" t="str">
            <v>1005/A082</v>
          </cell>
          <cell r="BA6" t="str">
            <v>Austria Current</v>
          </cell>
          <cell r="BB6">
            <v>67327.700840049569</v>
          </cell>
          <cell r="BG6" t="str">
            <v>1005/A082</v>
          </cell>
          <cell r="BH6" t="str">
            <v>GB Swaziland</v>
          </cell>
          <cell r="BI6">
            <v>0</v>
          </cell>
          <cell r="BN6" t="str">
            <v>2001/B002</v>
          </cell>
          <cell r="BO6" t="str">
            <v>GB Mauritius</v>
          </cell>
          <cell r="BP6">
            <v>0</v>
          </cell>
          <cell r="BU6" t="str">
            <v>1005/A082</v>
          </cell>
          <cell r="BV6" t="str">
            <v>OTM Mobile</v>
          </cell>
          <cell r="BW6">
            <v>0</v>
          </cell>
          <cell r="DK6" t="str">
            <v>1005/A082</v>
          </cell>
          <cell r="DL6" t="str">
            <v>GB Poland</v>
          </cell>
          <cell r="DM6">
            <v>-119374.03</v>
          </cell>
          <cell r="DR6" t="str">
            <v>1005/A082</v>
          </cell>
          <cell r="DS6" t="str">
            <v>GB Mauritius</v>
          </cell>
          <cell r="DT6">
            <v>-1258337.9856000002</v>
          </cell>
        </row>
        <row r="7">
          <cell r="J7" t="str">
            <v>2001/B002</v>
          </cell>
          <cell r="K7" t="str">
            <v>TU Loans</v>
          </cell>
          <cell r="L7">
            <v>333608.56151992746</v>
          </cell>
          <cell r="AZ7" t="str">
            <v>1005/A082</v>
          </cell>
          <cell r="BA7" t="str">
            <v>Carcharias</v>
          </cell>
          <cell r="BB7">
            <v>0</v>
          </cell>
          <cell r="BG7" t="str">
            <v>1005/A082</v>
          </cell>
          <cell r="BH7" t="str">
            <v>GB Mauritius</v>
          </cell>
          <cell r="BI7">
            <v>0</v>
          </cell>
          <cell r="BN7" t="str">
            <v>2001/B002</v>
          </cell>
          <cell r="BO7" t="str">
            <v>Austria Current</v>
          </cell>
          <cell r="BP7">
            <v>0</v>
          </cell>
          <cell r="BU7" t="str">
            <v>1005/A082</v>
          </cell>
          <cell r="BV7" t="str">
            <v>VSS</v>
          </cell>
          <cell r="BW7">
            <v>-826435.70578475832</v>
          </cell>
          <cell r="DM7">
            <v>0</v>
          </cell>
          <cell r="DR7" t="str">
            <v>1005/A082</v>
          </cell>
          <cell r="DS7" t="str">
            <v>GBSA</v>
          </cell>
          <cell r="DT7">
            <v>-17282.02</v>
          </cell>
        </row>
        <row r="8">
          <cell r="J8" t="str">
            <v>2001/B002</v>
          </cell>
          <cell r="K8" t="str">
            <v>GetSure Bots</v>
          </cell>
          <cell r="L8">
            <v>14384.11667788396</v>
          </cell>
          <cell r="AZ8" t="str">
            <v>1005/A082</v>
          </cell>
          <cell r="BA8" t="str">
            <v>Ecsponent</v>
          </cell>
          <cell r="BB8">
            <v>-0.2475446261312389</v>
          </cell>
          <cell r="BG8" t="str">
            <v>2001/B002</v>
          </cell>
          <cell r="BH8" t="str">
            <v>GBSA</v>
          </cell>
          <cell r="BI8">
            <v>0</v>
          </cell>
          <cell r="BN8" t="str">
            <v>2001/B002</v>
          </cell>
          <cell r="BO8" t="str">
            <v>MyBucks Lux</v>
          </cell>
          <cell r="BP8">
            <v>0</v>
          </cell>
          <cell r="BU8" t="str">
            <v>1005/A083</v>
          </cell>
          <cell r="BV8" t="str">
            <v>GB Mauritius</v>
          </cell>
          <cell r="BW8">
            <v>0</v>
          </cell>
          <cell r="DT8">
            <v>0</v>
          </cell>
        </row>
        <row r="9">
          <cell r="J9" t="str">
            <v>2001/B002</v>
          </cell>
          <cell r="K9" t="str">
            <v>GBSA</v>
          </cell>
          <cell r="L9">
            <v>0</v>
          </cell>
          <cell r="AZ9" t="str">
            <v>1005/A082</v>
          </cell>
          <cell r="BA9" t="str">
            <v>GB EG</v>
          </cell>
          <cell r="BB9">
            <v>-16303.985869038313</v>
          </cell>
          <cell r="BG9" t="str">
            <v>2001/B002</v>
          </cell>
          <cell r="BH9" t="str">
            <v>GB Swaziland</v>
          </cell>
          <cell r="BI9">
            <v>557.41237222967902</v>
          </cell>
          <cell r="BU9" t="str">
            <v>2001/B002</v>
          </cell>
          <cell r="BV9" t="str">
            <v>GB Namibia</v>
          </cell>
          <cell r="BW9">
            <v>1.9611673526157809E-12</v>
          </cell>
          <cell r="DT9">
            <v>0</v>
          </cell>
        </row>
        <row r="10">
          <cell r="AZ10" t="str">
            <v>1005/A082</v>
          </cell>
          <cell r="BA10" t="str">
            <v>GB Ghana</v>
          </cell>
          <cell r="BB10">
            <v>8.3385379968638737E-13</v>
          </cell>
          <cell r="BG10" t="str">
            <v>2001/B002</v>
          </cell>
          <cell r="BH10" t="str">
            <v>GB Mauritius</v>
          </cell>
          <cell r="BI10">
            <v>138203.12154184043</v>
          </cell>
          <cell r="BU10" t="str">
            <v>2001/B002</v>
          </cell>
          <cell r="BV10" t="str">
            <v>GB Swaziland</v>
          </cell>
          <cell r="BW10">
            <v>1.9611673526157809E-12</v>
          </cell>
          <cell r="DT10">
            <v>0</v>
          </cell>
        </row>
        <row r="11">
          <cell r="AZ11" t="str">
            <v>1005/A082</v>
          </cell>
          <cell r="BA11" t="str">
            <v>GB Invest</v>
          </cell>
          <cell r="BB11">
            <v>0</v>
          </cell>
          <cell r="BU11" t="str">
            <v>2001/B002</v>
          </cell>
          <cell r="BV11" t="str">
            <v>GetSure SA</v>
          </cell>
          <cell r="BW11">
            <v>64746.895505633038</v>
          </cell>
          <cell r="DT11">
            <v>0</v>
          </cell>
        </row>
        <row r="12">
          <cell r="AZ12" t="str">
            <v>1005/A082</v>
          </cell>
          <cell r="BA12" t="str">
            <v>GB Kenya</v>
          </cell>
          <cell r="BB12">
            <v>-684619.32897158759</v>
          </cell>
          <cell r="BU12" t="str">
            <v>2001/B003</v>
          </cell>
          <cell r="BV12" t="str">
            <v>GB Bots</v>
          </cell>
          <cell r="BW12">
            <v>60415.426246754512</v>
          </cell>
          <cell r="DT12">
            <v>0</v>
          </cell>
        </row>
        <row r="13">
          <cell r="AZ13" t="str">
            <v>1005/A082</v>
          </cell>
          <cell r="BA13" t="str">
            <v>GB Malawi</v>
          </cell>
          <cell r="BB13">
            <v>-145347.04661725517</v>
          </cell>
          <cell r="BU13" t="str">
            <v>2001/B003</v>
          </cell>
          <cell r="BV13" t="str">
            <v>GB Mauritius</v>
          </cell>
          <cell r="BW13">
            <v>358346.24994017923</v>
          </cell>
          <cell r="DT13">
            <v>0</v>
          </cell>
        </row>
        <row r="14">
          <cell r="AZ14" t="str">
            <v>1005/A082</v>
          </cell>
          <cell r="BA14" t="str">
            <v>GB Namibia</v>
          </cell>
          <cell r="BB14">
            <v>-123795.45390213482</v>
          </cell>
          <cell r="BU14" t="str">
            <v>2001/B003</v>
          </cell>
          <cell r="BV14" t="str">
            <v>GB Namibia</v>
          </cell>
          <cell r="BW14">
            <v>58533.886664662452</v>
          </cell>
          <cell r="DT14">
            <v>0</v>
          </cell>
        </row>
        <row r="15">
          <cell r="AZ15" t="str">
            <v>1005/A082</v>
          </cell>
          <cell r="BA15" t="str">
            <v>GB Poland</v>
          </cell>
          <cell r="BB15">
            <v>-3.3354151987455495E-12</v>
          </cell>
          <cell r="BU15" t="str">
            <v>2001/B003</v>
          </cell>
          <cell r="BV15" t="str">
            <v>GB Swaziland</v>
          </cell>
          <cell r="BW15">
            <v>267942.11515613343</v>
          </cell>
          <cell r="DT15">
            <v>0</v>
          </cell>
        </row>
        <row r="16">
          <cell r="AZ16" t="str">
            <v>1005/A082</v>
          </cell>
          <cell r="BA16" t="str">
            <v>GB Spain</v>
          </cell>
          <cell r="BB16">
            <v>-6.670830397491099E-12</v>
          </cell>
          <cell r="DT16">
            <v>0</v>
          </cell>
        </row>
        <row r="17">
          <cell r="AZ17" t="str">
            <v>1005/A082</v>
          </cell>
          <cell r="BA17" t="str">
            <v>GB Uganda</v>
          </cell>
          <cell r="BB17">
            <v>-21890.618833081237</v>
          </cell>
          <cell r="DT17">
            <v>0</v>
          </cell>
        </row>
        <row r="18">
          <cell r="AZ18" t="str">
            <v>1005/A082</v>
          </cell>
          <cell r="BA18" t="str">
            <v>GB Zambia</v>
          </cell>
          <cell r="BB18">
            <v>-2121540.46504565</v>
          </cell>
          <cell r="DT18">
            <v>0</v>
          </cell>
        </row>
        <row r="19">
          <cell r="AZ19" t="str">
            <v>1005/A082</v>
          </cell>
          <cell r="BA19" t="str">
            <v>GBSA</v>
          </cell>
          <cell r="BB19">
            <v>-328308.04075861024</v>
          </cell>
        </row>
        <row r="20">
          <cell r="AZ20" t="str">
            <v>1005/A083</v>
          </cell>
          <cell r="BA20" t="str">
            <v>GBSA</v>
          </cell>
          <cell r="BB20">
            <v>-6.670830397491099E-12</v>
          </cell>
        </row>
        <row r="21">
          <cell r="AZ21" t="str">
            <v>1005/A082</v>
          </cell>
          <cell r="BA21" t="str">
            <v>MyBucks Lux</v>
          </cell>
          <cell r="BB21">
            <v>0</v>
          </cell>
        </row>
        <row r="22">
          <cell r="AZ22" t="str">
            <v>1005/A082</v>
          </cell>
          <cell r="BA22" t="str">
            <v>RBC</v>
          </cell>
          <cell r="BB22">
            <v>0</v>
          </cell>
        </row>
        <row r="23">
          <cell r="AZ23" t="str">
            <v>1005/A082</v>
          </cell>
          <cell r="BA23" t="str">
            <v>TU Loans</v>
          </cell>
          <cell r="BB23">
            <v>-696572.99308601941</v>
          </cell>
        </row>
        <row r="24">
          <cell r="AZ24" t="str">
            <v>1005/A082</v>
          </cell>
          <cell r="BA24" t="str">
            <v>OI Kenya</v>
          </cell>
          <cell r="BB24">
            <v>-130725.23650258711</v>
          </cell>
        </row>
        <row r="25">
          <cell r="AZ25" t="str">
            <v>1005/A082</v>
          </cell>
          <cell r="BA25" t="str">
            <v>OI Tanzania</v>
          </cell>
          <cell r="BB25">
            <v>-50527.708886807573</v>
          </cell>
        </row>
        <row r="26">
          <cell r="AZ26" t="str">
            <v>2001/B002</v>
          </cell>
          <cell r="BA26" t="str">
            <v>Austria Bond</v>
          </cell>
          <cell r="BB26">
            <v>594274.49788318679</v>
          </cell>
        </row>
        <row r="27">
          <cell r="AZ27" t="str">
            <v>2001/B002</v>
          </cell>
          <cell r="BA27" t="str">
            <v>Austria Current</v>
          </cell>
          <cell r="BB27">
            <v>4.0024982384946594E-11</v>
          </cell>
        </row>
        <row r="28">
          <cell r="AZ28" t="str">
            <v>2001/B002</v>
          </cell>
          <cell r="BA28" t="str">
            <v>Carcharias</v>
          </cell>
          <cell r="BB28">
            <v>0</v>
          </cell>
        </row>
        <row r="29">
          <cell r="AZ29" t="str">
            <v>2001/B002</v>
          </cell>
          <cell r="BA29" t="str">
            <v>Ecsponent</v>
          </cell>
          <cell r="BB29">
            <v>0</v>
          </cell>
        </row>
        <row r="30">
          <cell r="AZ30" t="str">
            <v>2001/B002</v>
          </cell>
          <cell r="BA30" t="str">
            <v>GB EG</v>
          </cell>
          <cell r="BB30">
            <v>0</v>
          </cell>
        </row>
        <row r="31">
          <cell r="AZ31" t="str">
            <v>2001/B002</v>
          </cell>
          <cell r="BA31" t="str">
            <v>GB Ghana</v>
          </cell>
          <cell r="BB31">
            <v>23451.461047371031</v>
          </cell>
        </row>
        <row r="32">
          <cell r="AZ32" t="str">
            <v>2001/B002</v>
          </cell>
          <cell r="BA32" t="str">
            <v>GB Invest</v>
          </cell>
          <cell r="BB32">
            <v>0</v>
          </cell>
        </row>
        <row r="33">
          <cell r="AZ33" t="str">
            <v>2001/B002</v>
          </cell>
          <cell r="BA33" t="str">
            <v>GB Kenya</v>
          </cell>
          <cell r="BB33">
            <v>0</v>
          </cell>
        </row>
        <row r="34">
          <cell r="AZ34" t="str">
            <v>2001/B002</v>
          </cell>
          <cell r="BA34" t="str">
            <v>GB Malawi</v>
          </cell>
          <cell r="BB34">
            <v>-2.0012491192473297E-11</v>
          </cell>
        </row>
        <row r="35">
          <cell r="AZ35" t="str">
            <v>2001/B002</v>
          </cell>
          <cell r="BA35" t="str">
            <v>GB Namibia</v>
          </cell>
          <cell r="BB35">
            <v>0</v>
          </cell>
        </row>
        <row r="36">
          <cell r="AZ36" t="str">
            <v>2001/B002</v>
          </cell>
          <cell r="BA36" t="str">
            <v>GB Poland</v>
          </cell>
          <cell r="BB36">
            <v>0</v>
          </cell>
        </row>
        <row r="37">
          <cell r="AZ37" t="str">
            <v>2001/B002</v>
          </cell>
          <cell r="BA37" t="str">
            <v>GB Spain</v>
          </cell>
          <cell r="BB37">
            <v>0</v>
          </cell>
        </row>
        <row r="38">
          <cell r="AZ38" t="str">
            <v>2001/B002</v>
          </cell>
          <cell r="BA38" t="str">
            <v>GB Uganda</v>
          </cell>
          <cell r="BB38">
            <v>0</v>
          </cell>
        </row>
        <row r="39">
          <cell r="AZ39" t="str">
            <v>2001/B002</v>
          </cell>
          <cell r="BA39" t="str">
            <v>GB Zambia</v>
          </cell>
          <cell r="BB39">
            <v>0</v>
          </cell>
        </row>
        <row r="40">
          <cell r="AZ40" t="str">
            <v>2001/B002</v>
          </cell>
          <cell r="BA40" t="str">
            <v>GBSA</v>
          </cell>
          <cell r="BB40">
            <v>0</v>
          </cell>
        </row>
        <row r="41">
          <cell r="AZ41" t="str">
            <v>2001/B002</v>
          </cell>
          <cell r="BA41" t="str">
            <v>MyBucks Lux</v>
          </cell>
          <cell r="BB41">
            <v>1258363.1448510818</v>
          </cell>
        </row>
        <row r="42">
          <cell r="AZ42" t="str">
            <v>2001/B002</v>
          </cell>
          <cell r="BA42" t="str">
            <v>RBC</v>
          </cell>
          <cell r="BB42">
            <v>0</v>
          </cell>
        </row>
        <row r="43">
          <cell r="AZ43" t="str">
            <v>2001/B002</v>
          </cell>
          <cell r="BA43" t="str">
            <v>TU Loans</v>
          </cell>
          <cell r="BB43">
            <v>0</v>
          </cell>
        </row>
        <row r="44">
          <cell r="AZ44" t="str">
            <v>2001/B002</v>
          </cell>
          <cell r="BA44" t="str">
            <v>TLG</v>
          </cell>
          <cell r="BB44">
            <v>0</v>
          </cell>
        </row>
      </sheetData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 INFO"/>
      <sheetName val="CONTENTS"/>
      <sheetName val="REPORT"/>
      <sheetName val="INC ST"/>
      <sheetName val="BL SHT"/>
      <sheetName val="C FLO"/>
      <sheetName val="ST CHNGE"/>
      <sheetName val="ACC POL"/>
      <sheetName val="ACC POL2"/>
      <sheetName val="ACC POL (2)"/>
      <sheetName val="n-page 10"/>
      <sheetName val="n-page 11"/>
      <sheetName val="n page 12"/>
      <sheetName val="n-page 13"/>
      <sheetName val="NOTES"/>
      <sheetName val="NOTES2"/>
      <sheetName val="NOTES3"/>
      <sheetName val="NOTES4"/>
      <sheetName val="NoTE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KC"/>
      <sheetName val="INCOME STATEMENT-ECUADOR"/>
      <sheetName val="BALANCE SHEET-KC"/>
      <sheetName val="BALANCE SHEET-ECUADOR"/>
      <sheetName val="ENTRIES OF ADJUSMENTS-KC"/>
      <sheetName val="ENTRIES OF ADJUSMENTS-ECUADOR"/>
      <sheetName val="INDEX"/>
      <sheetName val="O"/>
      <sheetName val="1-KC"/>
      <sheetName val="ATTACHEMENT TO SCH  1-KC"/>
      <sheetName val="1-ECUADOR"/>
      <sheetName val="1A"/>
      <sheetName val="2-KC"/>
      <sheetName val="2-ECUADOR"/>
      <sheetName val="3"/>
      <sheetName val="4"/>
      <sheetName val="4A(1)"/>
      <sheetName val="4B(1)"/>
      <sheetName val="4D(1)"/>
      <sheetName val="4E(1)"/>
      <sheetName val="5(1)"/>
      <sheetName val="5A"/>
      <sheetName val="5B"/>
      <sheetName val="5C"/>
      <sheetName val="5D"/>
      <sheetName val="6(1)"/>
      <sheetName val="7-KC"/>
      <sheetName val="7-ECUADOR"/>
      <sheetName val="8"/>
      <sheetName val="8A(1)"/>
      <sheetName val="8A(2)"/>
      <sheetName val="8A(3)"/>
      <sheetName val="8B"/>
      <sheetName val="9"/>
      <sheetName val="10"/>
      <sheetName val="10A"/>
      <sheetName val="10B"/>
      <sheetName val="11(1)"/>
      <sheetName val="11(2)"/>
      <sheetName val="11B"/>
      <sheetName val="12"/>
      <sheetName val="13"/>
      <sheetName val="14A(1)"/>
      <sheetName val="14B(1)"/>
      <sheetName val="15(1)"/>
      <sheetName val="15(2)"/>
      <sheetName val="15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ach"/>
      <sheetName val="Consolidated"/>
      <sheetName val="Vaal Ridge"/>
      <sheetName val="Auto Helderburg"/>
      <sheetName val="Sovereign Bloemfontein"/>
      <sheetName val="Sovereign Kimberley"/>
      <sheetName val="Iveco Pomona"/>
      <sheetName val="Iveco Pinetown"/>
      <sheetName val="Multifranchise"/>
      <sheetName val="Head Office"/>
      <sheetName val="Additions Testing"/>
      <sheetName val="Verification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s"/>
      <sheetName val="Partner Info"/>
      <sheetName val="Portfolio Report"/>
      <sheetName val="Financial Info"/>
      <sheetName val="Income Statement"/>
      <sheetName val="Balance Sheet"/>
      <sheetName val="Self-Assessments"/>
      <sheetName val="Personnel and Board"/>
      <sheetName val="Outputs"/>
      <sheetName val="Performance Summary"/>
      <sheetName val="Portfolio Trends"/>
      <sheetName val="Portfolio Graphs"/>
      <sheetName val="Financial Trends"/>
      <sheetName val="Financial Graphs"/>
      <sheetName val="Definitions"/>
      <sheetName val="Data"/>
    </sheetNames>
    <sheetDataSet>
      <sheetData sheetId="0" refreshError="1"/>
      <sheetData sheetId="1" refreshError="1">
        <row r="17">
          <cell r="F17" t="str">
            <v>2006 Q4 (Oct-Dec)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2333"/>
      <sheetName val="Movement schedule"/>
      <sheetName val="Verification"/>
      <sheetName val="Additions"/>
      <sheetName val="Depreciation reasonability"/>
      <sheetName val="Residual Value and Useful life"/>
      <sheetName val="PN 19"/>
      <sheetName val="Impairment"/>
      <sheetName val="Sample size"/>
      <sheetName val="XREF"/>
      <sheetName val="Tickmar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Input Sheet"/>
      <sheetName val="TAX 2"/>
      <sheetName val="Audit Schedules"/>
      <sheetName val="F_A Sch F"/>
      <sheetName val="Fin Stat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Inpu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Sheet"/>
      <sheetName val="Index"/>
      <sheetName val="VersionControl"/>
      <sheetName val="Checklist"/>
      <sheetName val="Summary"/>
      <sheetName val="Sheet2"/>
      <sheetName val="ECLComp"/>
      <sheetName val="ASS1a Internal Grades-Indv Asse"/>
      <sheetName val="SecurityInput"/>
      <sheetName val="ASS1-Internal Grades"/>
      <sheetName val="ASS2-Macro Forecasts"/>
      <sheetName val="ASS3-Default Data"/>
      <sheetName val="IndustryCodes"/>
      <sheetName val="ASS4-Security"/>
      <sheetName val="Validation Tables"/>
      <sheetName val="PortfolioReport"/>
      <sheetName val="IndustryCodes (2)"/>
      <sheetName val="Loan Book"/>
      <sheetName val="Amortisation and Repayments"/>
      <sheetName val="ExchangeRates"/>
      <sheetName val="Sheet4"/>
      <sheetName val="Macro"/>
      <sheetName val="GDP"/>
      <sheetName val="NPL"/>
      <sheetName val="ExRates-Annual Averages"/>
      <sheetName val="PDs-S&amp;P"/>
      <sheetName val="FLI"/>
      <sheetName val="Methodology Foward looking(FLI)"/>
      <sheetName val="InflationForecast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C7">
            <v>343368666.4867298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">
          <cell r="F6">
            <v>0.56768974928922433</v>
          </cell>
        </row>
        <row r="7">
          <cell r="F7">
            <v>0.55065646236922738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1"/>
      <sheetName val="TB"/>
      <sheetName val="Taxcomp"/>
      <sheetName val="Deftaxcomp"/>
      <sheetName val="Tax rate recon"/>
      <sheetName val="Tax creditor"/>
      <sheetName val="ITA201"/>
      <sheetName val="ITA202"/>
      <sheetName val="ITA202A"/>
      <sheetName val="ITA202B"/>
      <sheetName val="FA Movement"/>
      <sheetName val="FAR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ATA"/>
      <sheetName val="TAX 2"/>
    </sheetNames>
    <sheetDataSet>
      <sheetData sheetId="0"/>
      <sheetData sheetId="1">
        <row r="1">
          <cell r="G1" t="str">
            <v>lookup</v>
          </cell>
          <cell r="H1" t="str">
            <v>fxRate</v>
          </cell>
          <cell r="I1" t="str">
            <v>fxRate_avg</v>
          </cell>
          <cell r="J1" t="str">
            <v>Cat_1</v>
          </cell>
          <cell r="K1" t="str">
            <v>Cat_2</v>
          </cell>
          <cell r="L1" t="str">
            <v>Cat_3</v>
          </cell>
          <cell r="M1" t="str">
            <v>Cat_4</v>
          </cell>
          <cell r="N1" t="str">
            <v>zar_amount</v>
          </cell>
          <cell r="O1" t="str">
            <v>Period</v>
          </cell>
        </row>
        <row r="2">
          <cell r="G2" t="str">
            <v>1101000</v>
          </cell>
          <cell r="H2">
            <v>10.9678</v>
          </cell>
          <cell r="I2">
            <v>12.1671</v>
          </cell>
          <cell r="J2" t="str">
            <v>Income Statement</v>
          </cell>
          <cell r="K2" t="str">
            <v>Interest income</v>
          </cell>
          <cell r="L2" t="str">
            <v>External interest income</v>
          </cell>
          <cell r="M2" t="str">
            <v>Loans and advances</v>
          </cell>
          <cell r="N2">
            <v>-8068314.0559377344</v>
          </cell>
          <cell r="O2">
            <v>40940</v>
          </cell>
        </row>
        <row r="3">
          <cell r="G3" t="str">
            <v>1103000</v>
          </cell>
          <cell r="H3">
            <v>10.9678</v>
          </cell>
          <cell r="I3">
            <v>12.1671</v>
          </cell>
          <cell r="J3" t="str">
            <v>Income Statement</v>
          </cell>
          <cell r="K3" t="str">
            <v>Interest income</v>
          </cell>
          <cell r="L3" t="str">
            <v>External interest income</v>
          </cell>
          <cell r="M3" t="str">
            <v>Loans and advances</v>
          </cell>
          <cell r="N3">
            <v>-1093828.0280428368</v>
          </cell>
          <cell r="O3">
            <v>40940</v>
          </cell>
        </row>
        <row r="4">
          <cell r="G4" t="str">
            <v>1108000</v>
          </cell>
          <cell r="H4">
            <v>10.9678</v>
          </cell>
          <cell r="I4">
            <v>12.1671</v>
          </cell>
          <cell r="J4" t="str">
            <v>Income Statement</v>
          </cell>
          <cell r="K4" t="str">
            <v>Interest income</v>
          </cell>
          <cell r="L4" t="str">
            <v>External interest income</v>
          </cell>
          <cell r="M4" t="str">
            <v>Written of loans</v>
          </cell>
          <cell r="N4">
            <v>-1809678.359674861</v>
          </cell>
          <cell r="O4">
            <v>40940</v>
          </cell>
        </row>
        <row r="5">
          <cell r="G5" t="str">
            <v>1201000</v>
          </cell>
          <cell r="H5">
            <v>10.9678</v>
          </cell>
          <cell r="I5">
            <v>12.1671</v>
          </cell>
          <cell r="J5" t="str">
            <v>Income Statement</v>
          </cell>
          <cell r="K5" t="str">
            <v>Administration and commission income</v>
          </cell>
          <cell r="L5" t="str">
            <v>Initiation fee income</v>
          </cell>
          <cell r="N5">
            <v>-1481249.6502864284</v>
          </cell>
          <cell r="O5">
            <v>40940</v>
          </cell>
        </row>
        <row r="6">
          <cell r="G6" t="str">
            <v>1221000</v>
          </cell>
          <cell r="H6">
            <v>10.9678</v>
          </cell>
          <cell r="I6">
            <v>12.1671</v>
          </cell>
          <cell r="J6" t="str">
            <v>Income Statement</v>
          </cell>
          <cell r="K6" t="str">
            <v>Interest income</v>
          </cell>
          <cell r="L6" t="str">
            <v>External interest income</v>
          </cell>
          <cell r="M6" t="str">
            <v>Loans and advances</v>
          </cell>
          <cell r="N6">
            <v>2155691.0299085239</v>
          </cell>
          <cell r="O6">
            <v>40940</v>
          </cell>
        </row>
        <row r="7">
          <cell r="G7" t="str">
            <v>1221000</v>
          </cell>
          <cell r="H7">
            <v>10.9678</v>
          </cell>
          <cell r="I7">
            <v>12.1671</v>
          </cell>
          <cell r="J7" t="str">
            <v>Income Statement</v>
          </cell>
          <cell r="K7" t="str">
            <v>Interest income</v>
          </cell>
          <cell r="L7" t="str">
            <v>External interest income</v>
          </cell>
          <cell r="M7" t="str">
            <v>Loans and advances</v>
          </cell>
          <cell r="N7">
            <v>-2155691.0299085239</v>
          </cell>
          <cell r="O7">
            <v>40940</v>
          </cell>
        </row>
        <row r="8">
          <cell r="G8" t="str">
            <v>1299000</v>
          </cell>
          <cell r="H8">
            <v>10.9678</v>
          </cell>
          <cell r="I8">
            <v>12.1671</v>
          </cell>
          <cell r="J8" t="str">
            <v>Income Statement</v>
          </cell>
          <cell r="K8" t="str">
            <v>Administration and commission income</v>
          </cell>
          <cell r="L8" t="str">
            <v>Initiation fee income</v>
          </cell>
          <cell r="N8">
            <v>107722.64878237214</v>
          </cell>
          <cell r="O8">
            <v>40940</v>
          </cell>
        </row>
        <row r="9">
          <cell r="G9" t="str">
            <v>1404000</v>
          </cell>
          <cell r="H9">
            <v>10.9678</v>
          </cell>
          <cell r="I9">
            <v>12.1671</v>
          </cell>
          <cell r="J9" t="str">
            <v>Income Statement</v>
          </cell>
          <cell r="K9" t="str">
            <v>Administration and commission income</v>
          </cell>
          <cell r="L9" t="str">
            <v>Insurance gross premium income</v>
          </cell>
          <cell r="N9">
            <v>-1310671.6744335133</v>
          </cell>
          <cell r="O9">
            <v>40940</v>
          </cell>
        </row>
        <row r="10">
          <cell r="G10" t="str">
            <v>1610000</v>
          </cell>
          <cell r="H10">
            <v>10.9678</v>
          </cell>
          <cell r="I10">
            <v>12.1671</v>
          </cell>
          <cell r="J10" t="str">
            <v>Income Statement</v>
          </cell>
          <cell r="K10" t="str">
            <v>Other income</v>
          </cell>
          <cell r="L10" t="str">
            <v>Profit share-Insurance</v>
          </cell>
          <cell r="N10">
            <v>-74547.509266793233</v>
          </cell>
          <cell r="O10">
            <v>40940</v>
          </cell>
        </row>
        <row r="11">
          <cell r="G11" t="str">
            <v>1616000</v>
          </cell>
          <cell r="H11">
            <v>10.9678</v>
          </cell>
          <cell r="I11">
            <v>12.1671</v>
          </cell>
          <cell r="J11" t="str">
            <v>Income Statement</v>
          </cell>
          <cell r="K11" t="str">
            <v>Other income</v>
          </cell>
          <cell r="L11" t="str">
            <v>Commission received</v>
          </cell>
          <cell r="N11">
            <v>-33869.610671400747</v>
          </cell>
          <cell r="O11">
            <v>40940</v>
          </cell>
        </row>
        <row r="12">
          <cell r="G12" t="str">
            <v>1801000</v>
          </cell>
          <cell r="H12">
            <v>10.9678</v>
          </cell>
          <cell r="I12">
            <v>12.1671</v>
          </cell>
          <cell r="J12" t="str">
            <v>Income Statement</v>
          </cell>
          <cell r="K12" t="str">
            <v>Forex (gain) / loss</v>
          </cell>
          <cell r="L12" t="str">
            <v>Profit on exchange differences - Intergroup</v>
          </cell>
          <cell r="N12">
            <v>-1387599.8874012707</v>
          </cell>
          <cell r="O12">
            <v>40940</v>
          </cell>
        </row>
        <row r="13">
          <cell r="G13" t="str">
            <v>2199000</v>
          </cell>
          <cell r="H13">
            <v>10.9678</v>
          </cell>
          <cell r="I13">
            <v>12.1671</v>
          </cell>
          <cell r="J13" t="str">
            <v>Income Statement</v>
          </cell>
          <cell r="K13" t="str">
            <v>Interest expense</v>
          </cell>
          <cell r="L13" t="str">
            <v>External interest expense</v>
          </cell>
          <cell r="M13" t="str">
            <v>Interest- bank balances</v>
          </cell>
          <cell r="N13">
            <v>78.079410870297778</v>
          </cell>
          <cell r="O13">
            <v>40940</v>
          </cell>
        </row>
        <row r="14">
          <cell r="G14" t="str">
            <v>2301000</v>
          </cell>
          <cell r="H14">
            <v>1</v>
          </cell>
          <cell r="I14">
            <v>1</v>
          </cell>
          <cell r="J14" t="str">
            <v>Income Statement</v>
          </cell>
          <cell r="K14" t="str">
            <v>Impairment of loan advances and bad debts</v>
          </cell>
          <cell r="L14" t="str">
            <v>Provision movement - Loans and Advances</v>
          </cell>
          <cell r="M14" t="str">
            <v>Term</v>
          </cell>
          <cell r="N14">
            <v>924253.81571509305</v>
          </cell>
          <cell r="O14">
            <v>40940</v>
          </cell>
        </row>
        <row r="15">
          <cell r="G15" t="str">
            <v>2301000</v>
          </cell>
          <cell r="H15">
            <v>1</v>
          </cell>
          <cell r="I15">
            <v>1</v>
          </cell>
          <cell r="J15" t="str">
            <v>Income Statement</v>
          </cell>
          <cell r="K15" t="str">
            <v>Impairment of loan advances and bad debts</v>
          </cell>
          <cell r="L15" t="str">
            <v>Provision movement - Loans and Advances</v>
          </cell>
          <cell r="M15" t="str">
            <v>Term</v>
          </cell>
          <cell r="N15">
            <v>-924253.81571509305</v>
          </cell>
          <cell r="O15">
            <v>40940</v>
          </cell>
        </row>
        <row r="16">
          <cell r="G16" t="str">
            <v>2301000</v>
          </cell>
          <cell r="H16">
            <v>10.9678</v>
          </cell>
          <cell r="I16">
            <v>12.1671</v>
          </cell>
          <cell r="J16" t="str">
            <v>Income Statement</v>
          </cell>
          <cell r="K16" t="str">
            <v>Impairment of loan advances and bad debts</v>
          </cell>
          <cell r="L16" t="str">
            <v>Provision movement - Loans and Advances</v>
          </cell>
          <cell r="M16" t="str">
            <v>Term</v>
          </cell>
          <cell r="N16">
            <v>5883003.4683696199</v>
          </cell>
          <cell r="O16">
            <v>40940</v>
          </cell>
        </row>
        <row r="17">
          <cell r="G17" t="str">
            <v>2303000</v>
          </cell>
          <cell r="H17">
            <v>10.9678</v>
          </cell>
          <cell r="I17">
            <v>12.1671</v>
          </cell>
          <cell r="J17" t="str">
            <v>Income Statement</v>
          </cell>
          <cell r="K17" t="str">
            <v>Impairment of loan advances and bad debts</v>
          </cell>
          <cell r="L17" t="str">
            <v>Provision movement - Loans and Advances</v>
          </cell>
          <cell r="M17" t="str">
            <v>Cash Express</v>
          </cell>
          <cell r="N17">
            <v>-103671.9473005071</v>
          </cell>
          <cell r="O17">
            <v>40940</v>
          </cell>
        </row>
        <row r="18">
          <cell r="G18" t="str">
            <v>2404000</v>
          </cell>
          <cell r="H18">
            <v>10.9678</v>
          </cell>
          <cell r="I18">
            <v>12.1671</v>
          </cell>
          <cell r="J18" t="str">
            <v>Income Statement</v>
          </cell>
          <cell r="K18" t="str">
            <v>Administration and commission income</v>
          </cell>
          <cell r="L18" t="str">
            <v>Insurance gross premium expense</v>
          </cell>
          <cell r="N18">
            <v>190691.38085492846</v>
          </cell>
          <cell r="O18">
            <v>40940</v>
          </cell>
        </row>
        <row r="19">
          <cell r="G19" t="str">
            <v>2701001</v>
          </cell>
          <cell r="H19">
            <v>10.9678</v>
          </cell>
          <cell r="I19">
            <v>12.1671</v>
          </cell>
          <cell r="J19" t="str">
            <v>Income Statement</v>
          </cell>
          <cell r="K19" t="str">
            <v>Intergroup management fee expense</v>
          </cell>
          <cell r="L19" t="str">
            <v>Intergroup management fee expense</v>
          </cell>
          <cell r="M19" t="str">
            <v>Interco</v>
          </cell>
          <cell r="N19">
            <v>3489593.6369389584</v>
          </cell>
          <cell r="O19">
            <v>40940</v>
          </cell>
        </row>
        <row r="20">
          <cell r="G20" t="str">
            <v>2702006</v>
          </cell>
          <cell r="H20">
            <v>10.9678</v>
          </cell>
          <cell r="I20">
            <v>12.1671</v>
          </cell>
          <cell r="J20" t="str">
            <v>Income Statement</v>
          </cell>
          <cell r="K20" t="str">
            <v>Interest expense</v>
          </cell>
          <cell r="L20" t="str">
            <v>Intergroup interest expense</v>
          </cell>
          <cell r="N20">
            <v>-336491.13675403345</v>
          </cell>
          <cell r="O20">
            <v>40940</v>
          </cell>
        </row>
        <row r="21">
          <cell r="G21" t="str">
            <v>3101000</v>
          </cell>
          <cell r="H21">
            <v>10.9678</v>
          </cell>
          <cell r="I21">
            <v>12.1671</v>
          </cell>
          <cell r="J21" t="str">
            <v>Income Statement</v>
          </cell>
          <cell r="K21" t="str">
            <v>Operating expenses</v>
          </cell>
          <cell r="L21" t="str">
            <v>Employee cost</v>
          </cell>
          <cell r="N21">
            <v>76280.561514247442</v>
          </cell>
          <cell r="O21">
            <v>40940</v>
          </cell>
        </row>
        <row r="22">
          <cell r="G22" t="str">
            <v>3101000</v>
          </cell>
          <cell r="H22">
            <v>10.9678</v>
          </cell>
          <cell r="I22">
            <v>12.1671</v>
          </cell>
          <cell r="J22" t="str">
            <v>Income Statement</v>
          </cell>
          <cell r="K22" t="str">
            <v>Operating expenses</v>
          </cell>
          <cell r="L22" t="str">
            <v>Employee cost</v>
          </cell>
          <cell r="N22">
            <v>86097.987194976624</v>
          </cell>
          <cell r="O22">
            <v>40940</v>
          </cell>
        </row>
        <row r="23">
          <cell r="G23" t="str">
            <v>3101000</v>
          </cell>
          <cell r="H23">
            <v>10.9678</v>
          </cell>
          <cell r="I23">
            <v>12.1671</v>
          </cell>
          <cell r="J23" t="str">
            <v>Income Statement</v>
          </cell>
          <cell r="K23" t="str">
            <v>Operating expenses</v>
          </cell>
          <cell r="L23" t="str">
            <v>Employee cost</v>
          </cell>
          <cell r="N23">
            <v>99944.423075342522</v>
          </cell>
          <cell r="O23">
            <v>40940</v>
          </cell>
        </row>
        <row r="24">
          <cell r="G24" t="str">
            <v>3101000</v>
          </cell>
          <cell r="H24">
            <v>10.9678</v>
          </cell>
          <cell r="I24">
            <v>12.1671</v>
          </cell>
          <cell r="J24" t="str">
            <v>Income Statement</v>
          </cell>
          <cell r="K24" t="str">
            <v>Operating expenses</v>
          </cell>
          <cell r="L24" t="str">
            <v>Employee cost</v>
          </cell>
          <cell r="N24">
            <v>113348.06486344323</v>
          </cell>
          <cell r="O24">
            <v>40940</v>
          </cell>
        </row>
        <row r="25">
          <cell r="G25" t="str">
            <v>3101000</v>
          </cell>
          <cell r="H25">
            <v>10.9678</v>
          </cell>
          <cell r="I25">
            <v>12.1671</v>
          </cell>
          <cell r="J25" t="str">
            <v>Income Statement</v>
          </cell>
          <cell r="K25" t="str">
            <v>Operating expenses</v>
          </cell>
          <cell r="L25" t="str">
            <v>Employee cost</v>
          </cell>
          <cell r="N25">
            <v>84666.633791125249</v>
          </cell>
          <cell r="O25">
            <v>40940</v>
          </cell>
        </row>
        <row r="26">
          <cell r="G26" t="str">
            <v>3101000</v>
          </cell>
          <cell r="H26">
            <v>10.9678</v>
          </cell>
          <cell r="I26">
            <v>12.1671</v>
          </cell>
          <cell r="J26" t="str">
            <v>Income Statement</v>
          </cell>
          <cell r="K26" t="str">
            <v>Operating expenses</v>
          </cell>
          <cell r="L26" t="str">
            <v>Employee cost</v>
          </cell>
          <cell r="N26">
            <v>96049.99383583598</v>
          </cell>
          <cell r="O26">
            <v>40940</v>
          </cell>
        </row>
        <row r="27">
          <cell r="G27" t="str">
            <v>3101000</v>
          </cell>
          <cell r="H27">
            <v>10.9678</v>
          </cell>
          <cell r="I27">
            <v>12.1671</v>
          </cell>
          <cell r="J27" t="str">
            <v>Income Statement</v>
          </cell>
          <cell r="K27" t="str">
            <v>Operating expenses</v>
          </cell>
          <cell r="L27" t="str">
            <v>Employee cost</v>
          </cell>
          <cell r="N27">
            <v>96792.464104018218</v>
          </cell>
          <cell r="O27">
            <v>40940</v>
          </cell>
        </row>
        <row r="28">
          <cell r="G28" t="str">
            <v>3101000</v>
          </cell>
          <cell r="H28">
            <v>10.9678</v>
          </cell>
          <cell r="I28">
            <v>12.1671</v>
          </cell>
          <cell r="J28" t="str">
            <v>Income Statement</v>
          </cell>
          <cell r="K28" t="str">
            <v>Operating expenses</v>
          </cell>
          <cell r="L28" t="str">
            <v>Employee cost</v>
          </cell>
          <cell r="N28">
            <v>141141.41167574853</v>
          </cell>
          <cell r="O28">
            <v>40940</v>
          </cell>
        </row>
        <row r="29">
          <cell r="G29" t="str">
            <v>3101000</v>
          </cell>
          <cell r="H29">
            <v>10.9678</v>
          </cell>
          <cell r="I29">
            <v>12.1671</v>
          </cell>
          <cell r="J29" t="str">
            <v>Income Statement</v>
          </cell>
          <cell r="K29" t="str">
            <v>Operating expenses</v>
          </cell>
          <cell r="L29" t="str">
            <v>Employee cost</v>
          </cell>
          <cell r="N29">
            <v>1036041.1642872994</v>
          </cell>
          <cell r="O29">
            <v>40940</v>
          </cell>
        </row>
        <row r="30">
          <cell r="G30" t="str">
            <v>3101000</v>
          </cell>
          <cell r="H30">
            <v>10.9678</v>
          </cell>
          <cell r="I30">
            <v>12.1671</v>
          </cell>
          <cell r="J30" t="str">
            <v>Income Statement</v>
          </cell>
          <cell r="K30" t="str">
            <v>Operating expenses</v>
          </cell>
          <cell r="L30" t="str">
            <v>Employee cost</v>
          </cell>
          <cell r="N30">
            <v>75.613745263867315</v>
          </cell>
          <cell r="O30">
            <v>40940</v>
          </cell>
        </row>
        <row r="31">
          <cell r="G31" t="str">
            <v>3109000</v>
          </cell>
          <cell r="H31">
            <v>10.9678</v>
          </cell>
          <cell r="I31">
            <v>12.1671</v>
          </cell>
          <cell r="J31" t="str">
            <v>Income Statement</v>
          </cell>
          <cell r="K31" t="str">
            <v>Operating expenses</v>
          </cell>
          <cell r="L31" t="str">
            <v>Employee cost</v>
          </cell>
          <cell r="N31">
            <v>7244.1255516926794</v>
          </cell>
          <cell r="O31">
            <v>40940</v>
          </cell>
        </row>
        <row r="32">
          <cell r="G32" t="str">
            <v>3109000</v>
          </cell>
          <cell r="H32">
            <v>10.9678</v>
          </cell>
          <cell r="I32">
            <v>12.1671</v>
          </cell>
          <cell r="J32" t="str">
            <v>Income Statement</v>
          </cell>
          <cell r="K32" t="str">
            <v>Operating expenses</v>
          </cell>
          <cell r="L32" t="str">
            <v>Employee cost</v>
          </cell>
          <cell r="N32">
            <v>21095.002095815766</v>
          </cell>
          <cell r="O32">
            <v>40940</v>
          </cell>
        </row>
        <row r="33">
          <cell r="G33" t="str">
            <v>3109000</v>
          </cell>
          <cell r="H33">
            <v>10.9678</v>
          </cell>
          <cell r="I33">
            <v>12.1671</v>
          </cell>
          <cell r="J33" t="str">
            <v>Income Statement</v>
          </cell>
          <cell r="K33" t="str">
            <v>Operating expenses</v>
          </cell>
          <cell r="L33" t="str">
            <v>Employee cost</v>
          </cell>
          <cell r="N33">
            <v>34978.595556870576</v>
          </cell>
          <cell r="O33">
            <v>40940</v>
          </cell>
        </row>
        <row r="34">
          <cell r="G34" t="str">
            <v>3109000</v>
          </cell>
          <cell r="H34">
            <v>10.9678</v>
          </cell>
          <cell r="I34">
            <v>12.1671</v>
          </cell>
          <cell r="J34" t="str">
            <v>Income Statement</v>
          </cell>
          <cell r="K34" t="str">
            <v>Operating expenses</v>
          </cell>
          <cell r="L34" t="str">
            <v>Employee cost</v>
          </cell>
          <cell r="N34">
            <v>70200.502995783711</v>
          </cell>
          <cell r="O34">
            <v>40940</v>
          </cell>
        </row>
        <row r="35">
          <cell r="G35" t="str">
            <v>3109000</v>
          </cell>
          <cell r="H35">
            <v>10.9678</v>
          </cell>
          <cell r="I35">
            <v>12.1671</v>
          </cell>
          <cell r="J35" t="str">
            <v>Income Statement</v>
          </cell>
          <cell r="K35" t="str">
            <v>Operating expenses</v>
          </cell>
          <cell r="L35" t="str">
            <v>Employee cost</v>
          </cell>
          <cell r="N35">
            <v>58918.90014876183</v>
          </cell>
          <cell r="O35">
            <v>40940</v>
          </cell>
        </row>
        <row r="36">
          <cell r="G36" t="str">
            <v>3109000</v>
          </cell>
          <cell r="H36">
            <v>10.9678</v>
          </cell>
          <cell r="I36">
            <v>12.1671</v>
          </cell>
          <cell r="J36" t="str">
            <v>Income Statement</v>
          </cell>
          <cell r="K36" t="str">
            <v>Operating expenses</v>
          </cell>
          <cell r="L36" t="str">
            <v>Employee cost</v>
          </cell>
          <cell r="N36">
            <v>76121.560601951162</v>
          </cell>
          <cell r="O36">
            <v>40940</v>
          </cell>
        </row>
        <row r="37">
          <cell r="G37" t="str">
            <v>3109000</v>
          </cell>
          <cell r="H37">
            <v>10.9678</v>
          </cell>
          <cell r="I37">
            <v>12.1671</v>
          </cell>
          <cell r="J37" t="str">
            <v>Income Statement</v>
          </cell>
          <cell r="K37" t="str">
            <v>Operating expenses</v>
          </cell>
          <cell r="L37" t="str">
            <v>Employee cost</v>
          </cell>
          <cell r="N37">
            <v>69076.369060827972</v>
          </cell>
          <cell r="O37">
            <v>40940</v>
          </cell>
        </row>
        <row r="38">
          <cell r="G38" t="str">
            <v>3109000</v>
          </cell>
          <cell r="H38">
            <v>10.9678</v>
          </cell>
          <cell r="I38">
            <v>12.1671</v>
          </cell>
          <cell r="J38" t="str">
            <v>Income Statement</v>
          </cell>
          <cell r="K38" t="str">
            <v>Operating expenses</v>
          </cell>
          <cell r="L38" t="str">
            <v>Employee cost</v>
          </cell>
          <cell r="N38">
            <v>38434.631095330849</v>
          </cell>
          <cell r="O38">
            <v>40940</v>
          </cell>
        </row>
        <row r="39">
          <cell r="G39" t="str">
            <v>3109000</v>
          </cell>
          <cell r="H39">
            <v>10.9678</v>
          </cell>
          <cell r="I39">
            <v>12.1671</v>
          </cell>
          <cell r="J39" t="str">
            <v>Income Statement</v>
          </cell>
          <cell r="K39" t="str">
            <v>Operating expenses</v>
          </cell>
          <cell r="L39" t="str">
            <v>Employee cost</v>
          </cell>
          <cell r="N39">
            <v>2565.3894518825359</v>
          </cell>
          <cell r="O39">
            <v>40940</v>
          </cell>
        </row>
        <row r="40">
          <cell r="G40" t="str">
            <v>3110000</v>
          </cell>
          <cell r="H40">
            <v>10.9678</v>
          </cell>
          <cell r="I40">
            <v>12.1671</v>
          </cell>
          <cell r="J40" t="str">
            <v>Income Statement</v>
          </cell>
          <cell r="K40" t="str">
            <v>Operating expenses</v>
          </cell>
          <cell r="L40" t="str">
            <v>Employee cost</v>
          </cell>
          <cell r="N40">
            <v>454.69339448184041</v>
          </cell>
          <cell r="O40">
            <v>40940</v>
          </cell>
        </row>
        <row r="41">
          <cell r="G41" t="str">
            <v>3110000</v>
          </cell>
          <cell r="H41">
            <v>10.9678</v>
          </cell>
          <cell r="I41">
            <v>12.1671</v>
          </cell>
          <cell r="J41" t="str">
            <v>Income Statement</v>
          </cell>
          <cell r="K41" t="str">
            <v>Operating expenses</v>
          </cell>
          <cell r="L41" t="str">
            <v>Employee cost</v>
          </cell>
          <cell r="N41">
            <v>227.34669724092021</v>
          </cell>
          <cell r="O41">
            <v>40940</v>
          </cell>
        </row>
        <row r="42">
          <cell r="G42" t="str">
            <v>3110000</v>
          </cell>
          <cell r="H42">
            <v>10.9678</v>
          </cell>
          <cell r="I42">
            <v>12.1671</v>
          </cell>
          <cell r="J42" t="str">
            <v>Income Statement</v>
          </cell>
          <cell r="K42" t="str">
            <v>Operating expenses</v>
          </cell>
          <cell r="L42" t="str">
            <v>Employee cost</v>
          </cell>
          <cell r="N42">
            <v>909.38678896368083</v>
          </cell>
          <cell r="O42">
            <v>40940</v>
          </cell>
        </row>
        <row r="43">
          <cell r="G43" t="str">
            <v>3110000</v>
          </cell>
          <cell r="H43">
            <v>10.9678</v>
          </cell>
          <cell r="I43">
            <v>12.1671</v>
          </cell>
          <cell r="J43" t="str">
            <v>Income Statement</v>
          </cell>
          <cell r="K43" t="str">
            <v>Operating expenses</v>
          </cell>
          <cell r="L43" t="str">
            <v>Employee cost</v>
          </cell>
          <cell r="N43">
            <v>682.04009172276062</v>
          </cell>
          <cell r="O43">
            <v>40940</v>
          </cell>
        </row>
        <row r="44">
          <cell r="G44" t="str">
            <v>3110000</v>
          </cell>
          <cell r="H44">
            <v>10.9678</v>
          </cell>
          <cell r="I44">
            <v>12.1671</v>
          </cell>
          <cell r="J44" t="str">
            <v>Income Statement</v>
          </cell>
          <cell r="K44" t="str">
            <v>Operating expenses</v>
          </cell>
          <cell r="L44" t="str">
            <v>Employee cost</v>
          </cell>
          <cell r="N44">
            <v>701.25995512488589</v>
          </cell>
          <cell r="O44">
            <v>40940</v>
          </cell>
        </row>
        <row r="45">
          <cell r="G45" t="str">
            <v>3110000</v>
          </cell>
          <cell r="H45">
            <v>10.9678</v>
          </cell>
          <cell r="I45">
            <v>12.1671</v>
          </cell>
          <cell r="J45" t="str">
            <v>Income Statement</v>
          </cell>
          <cell r="K45" t="str">
            <v>Operating expenses</v>
          </cell>
          <cell r="L45" t="str">
            <v>Employee cost</v>
          </cell>
          <cell r="N45">
            <v>227.34669724092021</v>
          </cell>
          <cell r="O45">
            <v>40940</v>
          </cell>
        </row>
        <row r="46">
          <cell r="G46" t="str">
            <v>3110000</v>
          </cell>
          <cell r="H46">
            <v>10.9678</v>
          </cell>
          <cell r="I46">
            <v>12.1671</v>
          </cell>
          <cell r="J46" t="str">
            <v>Income Statement</v>
          </cell>
          <cell r="K46" t="str">
            <v>Operating expenses</v>
          </cell>
          <cell r="L46" t="str">
            <v>Employee cost</v>
          </cell>
          <cell r="N46">
            <v>2728.1603668910425</v>
          </cell>
          <cell r="O46">
            <v>40940</v>
          </cell>
        </row>
        <row r="47">
          <cell r="G47" t="str">
            <v>3111000</v>
          </cell>
          <cell r="H47">
            <v>10.9678</v>
          </cell>
          <cell r="I47">
            <v>12.1671</v>
          </cell>
          <cell r="J47" t="str">
            <v>Income Statement</v>
          </cell>
          <cell r="K47" t="str">
            <v>Operating expenses</v>
          </cell>
          <cell r="L47" t="str">
            <v>Employee cost</v>
          </cell>
          <cell r="N47">
            <v>891.70796656557445</v>
          </cell>
          <cell r="O47">
            <v>40940</v>
          </cell>
        </row>
        <row r="48">
          <cell r="G48" t="str">
            <v>3111000</v>
          </cell>
          <cell r="H48">
            <v>10.9678</v>
          </cell>
          <cell r="I48">
            <v>12.1671</v>
          </cell>
          <cell r="J48" t="str">
            <v>Income Statement</v>
          </cell>
          <cell r="K48" t="str">
            <v>Operating expenses</v>
          </cell>
          <cell r="L48" t="str">
            <v>Employee cost</v>
          </cell>
          <cell r="N48">
            <v>3780.6872631933657</v>
          </cell>
          <cell r="O48">
            <v>40940</v>
          </cell>
        </row>
        <row r="49">
          <cell r="G49" t="str">
            <v>3111000</v>
          </cell>
          <cell r="H49">
            <v>10.9678</v>
          </cell>
          <cell r="I49">
            <v>12.1671</v>
          </cell>
          <cell r="J49" t="str">
            <v>Income Statement</v>
          </cell>
          <cell r="K49" t="str">
            <v>Operating expenses</v>
          </cell>
          <cell r="L49" t="str">
            <v>Employee cost</v>
          </cell>
          <cell r="N49">
            <v>13643.34968891519</v>
          </cell>
          <cell r="O49">
            <v>40940</v>
          </cell>
        </row>
        <row r="50">
          <cell r="G50" t="str">
            <v>3111000</v>
          </cell>
          <cell r="H50">
            <v>10.9678</v>
          </cell>
          <cell r="I50">
            <v>12.1671</v>
          </cell>
          <cell r="J50" t="str">
            <v>Income Statement</v>
          </cell>
          <cell r="K50" t="str">
            <v>Operating expenses</v>
          </cell>
          <cell r="L50" t="str">
            <v>Employee cost</v>
          </cell>
          <cell r="N50">
            <v>5917.5974554330942</v>
          </cell>
          <cell r="O50">
            <v>40940</v>
          </cell>
        </row>
        <row r="51">
          <cell r="G51" t="str">
            <v>3111000</v>
          </cell>
          <cell r="H51">
            <v>10.9678</v>
          </cell>
          <cell r="I51">
            <v>12.1671</v>
          </cell>
          <cell r="J51" t="str">
            <v>Income Statement</v>
          </cell>
          <cell r="K51" t="str">
            <v>Operating expenses</v>
          </cell>
          <cell r="L51" t="str">
            <v>Employee cost</v>
          </cell>
          <cell r="N51">
            <v>9084.5230169884362</v>
          </cell>
          <cell r="O51">
            <v>40940</v>
          </cell>
        </row>
        <row r="52">
          <cell r="G52" t="str">
            <v>3111000</v>
          </cell>
          <cell r="H52">
            <v>10.9678</v>
          </cell>
          <cell r="I52">
            <v>12.1671</v>
          </cell>
          <cell r="J52" t="str">
            <v>Income Statement</v>
          </cell>
          <cell r="K52" t="str">
            <v>Operating expenses</v>
          </cell>
          <cell r="L52" t="str">
            <v>Employee cost</v>
          </cell>
          <cell r="N52">
            <v>6657.2971373622313</v>
          </cell>
          <cell r="O52">
            <v>40940</v>
          </cell>
        </row>
        <row r="53">
          <cell r="G53" t="str">
            <v>3111000</v>
          </cell>
          <cell r="H53">
            <v>10.9678</v>
          </cell>
          <cell r="I53">
            <v>12.1671</v>
          </cell>
          <cell r="J53" t="str">
            <v>Income Statement</v>
          </cell>
          <cell r="K53" t="str">
            <v>Operating expenses</v>
          </cell>
          <cell r="L53" t="str">
            <v>Employee cost</v>
          </cell>
          <cell r="N53">
            <v>3205.3652883595928</v>
          </cell>
          <cell r="O53">
            <v>40940</v>
          </cell>
        </row>
        <row r="54">
          <cell r="G54" t="str">
            <v>3111000</v>
          </cell>
          <cell r="H54">
            <v>10.9678</v>
          </cell>
          <cell r="I54">
            <v>12.1671</v>
          </cell>
          <cell r="J54" t="str">
            <v>Income Statement</v>
          </cell>
          <cell r="K54" t="str">
            <v>Operating expenses</v>
          </cell>
          <cell r="L54" t="str">
            <v>Employee cost</v>
          </cell>
          <cell r="N54">
            <v>5884.2123431220261</v>
          </cell>
          <cell r="O54">
            <v>40940</v>
          </cell>
        </row>
        <row r="55">
          <cell r="G55" t="str">
            <v>3112000</v>
          </cell>
          <cell r="H55">
            <v>10.9678</v>
          </cell>
          <cell r="I55">
            <v>12.1671</v>
          </cell>
          <cell r="J55" t="str">
            <v>Income Statement</v>
          </cell>
          <cell r="K55" t="str">
            <v>Operating expenses</v>
          </cell>
          <cell r="L55" t="str">
            <v>Employee cost</v>
          </cell>
          <cell r="N55">
            <v>1128.7899335092175</v>
          </cell>
          <cell r="O55">
            <v>40940</v>
          </cell>
        </row>
        <row r="56">
          <cell r="G56" t="str">
            <v>3112000</v>
          </cell>
          <cell r="H56">
            <v>10.9678</v>
          </cell>
          <cell r="I56">
            <v>12.1671</v>
          </cell>
          <cell r="J56" t="str">
            <v>Income Statement</v>
          </cell>
          <cell r="K56" t="str">
            <v>Operating expenses</v>
          </cell>
          <cell r="L56" t="str">
            <v>Employee cost</v>
          </cell>
          <cell r="N56">
            <v>1197.2014695367016</v>
          </cell>
          <cell r="O56">
            <v>40940</v>
          </cell>
        </row>
        <row r="57">
          <cell r="G57" t="str">
            <v>3112000</v>
          </cell>
          <cell r="H57">
            <v>10.9678</v>
          </cell>
          <cell r="I57">
            <v>12.1671</v>
          </cell>
          <cell r="J57" t="str">
            <v>Income Statement</v>
          </cell>
          <cell r="K57" t="str">
            <v>Operating expenses</v>
          </cell>
          <cell r="L57" t="str">
            <v>Employee cost</v>
          </cell>
          <cell r="N57">
            <v>4634.8809494456364</v>
          </cell>
          <cell r="O57">
            <v>40940</v>
          </cell>
        </row>
        <row r="58">
          <cell r="G58" t="str">
            <v>3112000</v>
          </cell>
          <cell r="H58">
            <v>10.9678</v>
          </cell>
          <cell r="I58">
            <v>12.1671</v>
          </cell>
          <cell r="J58" t="str">
            <v>Income Statement</v>
          </cell>
          <cell r="K58" t="str">
            <v>Operating expenses</v>
          </cell>
          <cell r="L58" t="str">
            <v>Employee cost</v>
          </cell>
          <cell r="N58">
            <v>8371.9579850580667</v>
          </cell>
          <cell r="O58">
            <v>40940</v>
          </cell>
        </row>
        <row r="59">
          <cell r="G59" t="str">
            <v>3112000</v>
          </cell>
          <cell r="H59">
            <v>10.9678</v>
          </cell>
          <cell r="I59">
            <v>12.1671</v>
          </cell>
          <cell r="J59" t="str">
            <v>Income Statement</v>
          </cell>
          <cell r="K59" t="str">
            <v>Operating expenses</v>
          </cell>
          <cell r="L59" t="str">
            <v>Employee cost</v>
          </cell>
          <cell r="N59">
            <v>20232.829515661087</v>
          </cell>
          <cell r="O59">
            <v>40940</v>
          </cell>
        </row>
        <row r="60">
          <cell r="G60" t="str">
            <v>3113000</v>
          </cell>
          <cell r="H60">
            <v>10.9678</v>
          </cell>
          <cell r="I60">
            <v>12.1671</v>
          </cell>
          <cell r="J60" t="str">
            <v>Income Statement</v>
          </cell>
          <cell r="K60" t="str">
            <v>Operating expenses</v>
          </cell>
          <cell r="L60" t="str">
            <v>Employee cost</v>
          </cell>
          <cell r="N60">
            <v>-1197.2014695367016</v>
          </cell>
          <cell r="O60">
            <v>40940</v>
          </cell>
        </row>
        <row r="61">
          <cell r="G61" t="str">
            <v>3113000</v>
          </cell>
          <cell r="H61">
            <v>10.9678</v>
          </cell>
          <cell r="I61">
            <v>12.1671</v>
          </cell>
          <cell r="J61" t="str">
            <v>Income Statement</v>
          </cell>
          <cell r="K61" t="str">
            <v>Operating expenses</v>
          </cell>
          <cell r="L61" t="str">
            <v>Employee cost</v>
          </cell>
          <cell r="N61">
            <v>-2388.059603356593</v>
          </cell>
          <cell r="O61">
            <v>40940</v>
          </cell>
        </row>
        <row r="62">
          <cell r="G62" t="str">
            <v>3113000</v>
          </cell>
          <cell r="H62">
            <v>10.9678</v>
          </cell>
          <cell r="I62">
            <v>12.1671</v>
          </cell>
          <cell r="J62" t="str">
            <v>Income Statement</v>
          </cell>
          <cell r="K62" t="str">
            <v>Operating expenses</v>
          </cell>
          <cell r="L62" t="str">
            <v>Employee cost</v>
          </cell>
          <cell r="N62">
            <v>-1259.2154252040339</v>
          </cell>
          <cell r="O62">
            <v>40940</v>
          </cell>
        </row>
        <row r="63">
          <cell r="G63" t="str">
            <v>3113000</v>
          </cell>
          <cell r="H63">
            <v>10.9678</v>
          </cell>
          <cell r="I63">
            <v>12.1671</v>
          </cell>
          <cell r="J63" t="str">
            <v>Income Statement</v>
          </cell>
          <cell r="K63" t="str">
            <v>Operating expenses</v>
          </cell>
          <cell r="L63" t="str">
            <v>Employee cost</v>
          </cell>
          <cell r="N63">
            <v>-3494.5812888856012</v>
          </cell>
          <cell r="O63">
            <v>40940</v>
          </cell>
        </row>
        <row r="64">
          <cell r="G64" t="str">
            <v>3113000</v>
          </cell>
          <cell r="H64">
            <v>10.9678</v>
          </cell>
          <cell r="I64">
            <v>12.1671</v>
          </cell>
          <cell r="J64" t="str">
            <v>Income Statement</v>
          </cell>
          <cell r="K64" t="str">
            <v>Operating expenses</v>
          </cell>
          <cell r="L64" t="str">
            <v>Employee cost</v>
          </cell>
          <cell r="N64">
            <v>-11522.588784509044</v>
          </cell>
          <cell r="O64">
            <v>40940</v>
          </cell>
        </row>
        <row r="65">
          <cell r="G65" t="str">
            <v>3114000</v>
          </cell>
          <cell r="H65">
            <v>10.9678</v>
          </cell>
          <cell r="I65">
            <v>12.1671</v>
          </cell>
          <cell r="J65" t="str">
            <v>Income Statement</v>
          </cell>
          <cell r="K65" t="str">
            <v>Operating expenses</v>
          </cell>
          <cell r="L65" t="str">
            <v>Employee cost</v>
          </cell>
          <cell r="N65">
            <v>398.57484527948321</v>
          </cell>
          <cell r="O65">
            <v>40940</v>
          </cell>
        </row>
        <row r="66">
          <cell r="G66" t="str">
            <v>3115000</v>
          </cell>
          <cell r="H66">
            <v>10.9678</v>
          </cell>
          <cell r="I66">
            <v>12.1671</v>
          </cell>
          <cell r="J66" t="str">
            <v>Income Statement</v>
          </cell>
          <cell r="K66" t="str">
            <v>Operating expenses</v>
          </cell>
          <cell r="L66" t="str">
            <v>Employee cost</v>
          </cell>
          <cell r="N66">
            <v>227.34669724092021</v>
          </cell>
          <cell r="O66">
            <v>40940</v>
          </cell>
        </row>
        <row r="67">
          <cell r="G67" t="str">
            <v>3115000</v>
          </cell>
          <cell r="H67">
            <v>10.9678</v>
          </cell>
          <cell r="I67">
            <v>12.1671</v>
          </cell>
          <cell r="J67" t="str">
            <v>Income Statement</v>
          </cell>
          <cell r="K67" t="str">
            <v>Operating expenses</v>
          </cell>
          <cell r="L67" t="str">
            <v>Employee cost</v>
          </cell>
          <cell r="N67">
            <v>227.34669724092021</v>
          </cell>
          <cell r="O67">
            <v>40940</v>
          </cell>
        </row>
        <row r="68">
          <cell r="G68" t="str">
            <v>3121000</v>
          </cell>
          <cell r="H68">
            <v>10.9678</v>
          </cell>
          <cell r="I68">
            <v>12.1671</v>
          </cell>
          <cell r="J68" t="str">
            <v>Income Statement</v>
          </cell>
          <cell r="K68" t="str">
            <v>Operating expenses</v>
          </cell>
          <cell r="L68" t="str">
            <v>Employee cost</v>
          </cell>
          <cell r="N68">
            <v>445.62467638138918</v>
          </cell>
          <cell r="O68">
            <v>40940</v>
          </cell>
        </row>
        <row r="69">
          <cell r="G69" t="str">
            <v>3121000</v>
          </cell>
          <cell r="H69">
            <v>10.9678</v>
          </cell>
          <cell r="I69">
            <v>12.1671</v>
          </cell>
          <cell r="J69" t="str">
            <v>Income Statement</v>
          </cell>
          <cell r="K69" t="str">
            <v>Operating expenses</v>
          </cell>
          <cell r="L69" t="str">
            <v>Employee cost</v>
          </cell>
          <cell r="N69">
            <v>512.13600611485072</v>
          </cell>
          <cell r="O69">
            <v>40940</v>
          </cell>
        </row>
        <row r="70">
          <cell r="G70" t="str">
            <v>3121000</v>
          </cell>
          <cell r="H70">
            <v>10.9678</v>
          </cell>
          <cell r="I70">
            <v>12.1671</v>
          </cell>
          <cell r="J70" t="str">
            <v>Income Statement</v>
          </cell>
          <cell r="K70" t="str">
            <v>Operating expenses</v>
          </cell>
          <cell r="L70" t="str">
            <v>Employee cost</v>
          </cell>
          <cell r="N70">
            <v>501.93390372397698</v>
          </cell>
          <cell r="O70">
            <v>40940</v>
          </cell>
        </row>
        <row r="71">
          <cell r="G71" t="str">
            <v>3121000</v>
          </cell>
          <cell r="H71">
            <v>10.9678</v>
          </cell>
          <cell r="I71">
            <v>12.1671</v>
          </cell>
          <cell r="J71" t="str">
            <v>Income Statement</v>
          </cell>
          <cell r="K71" t="str">
            <v>Operating expenses</v>
          </cell>
          <cell r="L71" t="str">
            <v>Employee cost</v>
          </cell>
          <cell r="N71">
            <v>745.36495960417858</v>
          </cell>
          <cell r="O71">
            <v>40940</v>
          </cell>
        </row>
        <row r="72">
          <cell r="G72" t="str">
            <v>3121000</v>
          </cell>
          <cell r="H72">
            <v>10.9678</v>
          </cell>
          <cell r="I72">
            <v>12.1671</v>
          </cell>
          <cell r="J72" t="str">
            <v>Income Statement</v>
          </cell>
          <cell r="K72" t="str">
            <v>Operating expenses</v>
          </cell>
          <cell r="L72" t="str">
            <v>Employee cost</v>
          </cell>
          <cell r="N72">
            <v>460.76304131633674</v>
          </cell>
          <cell r="O72">
            <v>40940</v>
          </cell>
        </row>
        <row r="73">
          <cell r="G73" t="str">
            <v>3121000</v>
          </cell>
          <cell r="H73">
            <v>10.9678</v>
          </cell>
          <cell r="I73">
            <v>12.1671</v>
          </cell>
          <cell r="J73" t="str">
            <v>Income Statement</v>
          </cell>
          <cell r="K73" t="str">
            <v>Operating expenses</v>
          </cell>
          <cell r="L73" t="str">
            <v>Employee cost</v>
          </cell>
          <cell r="N73">
            <v>332.55582677877231</v>
          </cell>
          <cell r="O73">
            <v>40940</v>
          </cell>
        </row>
        <row r="74">
          <cell r="G74" t="str">
            <v>3121000</v>
          </cell>
          <cell r="H74">
            <v>10.9678</v>
          </cell>
          <cell r="I74">
            <v>12.1671</v>
          </cell>
          <cell r="J74" t="str">
            <v>Income Statement</v>
          </cell>
          <cell r="K74" t="str">
            <v>Operating expenses</v>
          </cell>
          <cell r="L74" t="str">
            <v>Employee cost</v>
          </cell>
          <cell r="N74">
            <v>568.44523345743846</v>
          </cell>
          <cell r="O74">
            <v>40940</v>
          </cell>
        </row>
        <row r="75">
          <cell r="G75" t="str">
            <v>3121000</v>
          </cell>
          <cell r="H75">
            <v>10.9678</v>
          </cell>
          <cell r="I75">
            <v>12.1671</v>
          </cell>
          <cell r="J75" t="str">
            <v>Income Statement</v>
          </cell>
          <cell r="K75" t="str">
            <v>Operating expenses</v>
          </cell>
          <cell r="L75" t="str">
            <v>Employee cost</v>
          </cell>
          <cell r="N75">
            <v>-2985.8355729795926</v>
          </cell>
          <cell r="O75">
            <v>40940</v>
          </cell>
        </row>
        <row r="76">
          <cell r="G76" t="str">
            <v>3121000</v>
          </cell>
          <cell r="H76">
            <v>10.9678</v>
          </cell>
          <cell r="I76">
            <v>12.1671</v>
          </cell>
          <cell r="J76" t="str">
            <v>Income Statement</v>
          </cell>
          <cell r="K76" t="str">
            <v>Operating expenses</v>
          </cell>
          <cell r="L76" t="str">
            <v>Employee cost</v>
          </cell>
          <cell r="N76">
            <v>6448.2604729146642</v>
          </cell>
          <cell r="O76">
            <v>40940</v>
          </cell>
        </row>
        <row r="77">
          <cell r="G77" t="str">
            <v>3121000</v>
          </cell>
          <cell r="H77">
            <v>10.9678</v>
          </cell>
          <cell r="I77">
            <v>12.1671</v>
          </cell>
          <cell r="J77" t="str">
            <v>Income Statement</v>
          </cell>
          <cell r="K77" t="str">
            <v>Operating expenses</v>
          </cell>
          <cell r="L77" t="str">
            <v>Employee cost</v>
          </cell>
          <cell r="N77">
            <v>-153555.64349762886</v>
          </cell>
          <cell r="O77">
            <v>40940</v>
          </cell>
        </row>
        <row r="78">
          <cell r="G78" t="str">
            <v>3121000</v>
          </cell>
          <cell r="H78">
            <v>10.9678</v>
          </cell>
          <cell r="I78">
            <v>12.1671</v>
          </cell>
          <cell r="J78" t="str">
            <v>Income Statement</v>
          </cell>
          <cell r="K78" t="str">
            <v>Operating expenses</v>
          </cell>
          <cell r="L78" t="str">
            <v>Employee cost</v>
          </cell>
          <cell r="N78">
            <v>179259.90992101651</v>
          </cell>
          <cell r="O78">
            <v>40940</v>
          </cell>
        </row>
        <row r="79">
          <cell r="G79" t="str">
            <v>3141000</v>
          </cell>
          <cell r="H79">
            <v>10.9678</v>
          </cell>
          <cell r="I79">
            <v>12.1671</v>
          </cell>
          <cell r="J79" t="str">
            <v>Income Statement</v>
          </cell>
          <cell r="K79" t="str">
            <v>Operating expenses</v>
          </cell>
          <cell r="L79" t="str">
            <v>Employee cost</v>
          </cell>
          <cell r="N79">
            <v>723.26191121960039</v>
          </cell>
          <cell r="O79">
            <v>40940</v>
          </cell>
        </row>
        <row r="80">
          <cell r="G80" t="str">
            <v>3141000</v>
          </cell>
          <cell r="H80">
            <v>10.9678</v>
          </cell>
          <cell r="I80">
            <v>12.1671</v>
          </cell>
          <cell r="J80" t="str">
            <v>Income Statement</v>
          </cell>
          <cell r="K80" t="str">
            <v>Operating expenses</v>
          </cell>
          <cell r="L80" t="str">
            <v>Employee cost</v>
          </cell>
          <cell r="N80">
            <v>756.13745263867315</v>
          </cell>
          <cell r="O80">
            <v>40940</v>
          </cell>
        </row>
        <row r="81">
          <cell r="G81" t="str">
            <v>3141000</v>
          </cell>
          <cell r="H81">
            <v>10.9678</v>
          </cell>
          <cell r="I81">
            <v>12.1671</v>
          </cell>
          <cell r="J81" t="str">
            <v>Income Statement</v>
          </cell>
          <cell r="K81" t="str">
            <v>Operating expenses</v>
          </cell>
          <cell r="L81" t="str">
            <v>Employee cost</v>
          </cell>
          <cell r="N81">
            <v>838.32630618635505</v>
          </cell>
          <cell r="O81">
            <v>40940</v>
          </cell>
        </row>
        <row r="82">
          <cell r="G82" t="str">
            <v>3141000</v>
          </cell>
          <cell r="H82">
            <v>10.9678</v>
          </cell>
          <cell r="I82">
            <v>12.1671</v>
          </cell>
          <cell r="J82" t="str">
            <v>Income Statement</v>
          </cell>
          <cell r="K82" t="str">
            <v>Operating expenses</v>
          </cell>
          <cell r="L82" t="str">
            <v>Employee cost</v>
          </cell>
          <cell r="N82">
            <v>1117.7684082484734</v>
          </cell>
          <cell r="O82">
            <v>40940</v>
          </cell>
        </row>
        <row r="83">
          <cell r="G83" t="str">
            <v>3141000</v>
          </cell>
          <cell r="H83">
            <v>10.9678</v>
          </cell>
          <cell r="I83">
            <v>12.1671</v>
          </cell>
          <cell r="J83" t="str">
            <v>Income Statement</v>
          </cell>
          <cell r="K83" t="str">
            <v>Operating expenses</v>
          </cell>
          <cell r="L83" t="str">
            <v>Employee cost</v>
          </cell>
          <cell r="N83">
            <v>723.26191121960039</v>
          </cell>
          <cell r="O83">
            <v>40940</v>
          </cell>
        </row>
        <row r="84">
          <cell r="G84" t="str">
            <v>3141000</v>
          </cell>
          <cell r="H84">
            <v>10.9678</v>
          </cell>
          <cell r="I84">
            <v>12.1671</v>
          </cell>
          <cell r="J84" t="str">
            <v>Income Statement</v>
          </cell>
          <cell r="K84" t="str">
            <v>Operating expenses</v>
          </cell>
          <cell r="L84" t="str">
            <v>Employee cost</v>
          </cell>
          <cell r="N84">
            <v>871.20184760542782</v>
          </cell>
          <cell r="O84">
            <v>40940</v>
          </cell>
        </row>
        <row r="85">
          <cell r="G85" t="str">
            <v>3141000</v>
          </cell>
          <cell r="H85">
            <v>10.9678</v>
          </cell>
          <cell r="I85">
            <v>12.1671</v>
          </cell>
          <cell r="J85" t="str">
            <v>Income Statement</v>
          </cell>
          <cell r="K85" t="str">
            <v>Operating expenses</v>
          </cell>
          <cell r="L85" t="str">
            <v>Employee cost</v>
          </cell>
          <cell r="N85">
            <v>789.01299405774591</v>
          </cell>
          <cell r="O85">
            <v>40940</v>
          </cell>
        </row>
        <row r="86">
          <cell r="G86" t="str">
            <v>3141000</v>
          </cell>
          <cell r="H86">
            <v>10.9678</v>
          </cell>
          <cell r="I86">
            <v>12.1671</v>
          </cell>
          <cell r="J86" t="str">
            <v>Income Statement</v>
          </cell>
          <cell r="K86" t="str">
            <v>Operating expenses</v>
          </cell>
          <cell r="L86" t="str">
            <v>Employee cost</v>
          </cell>
          <cell r="N86">
            <v>1282.1461153438372</v>
          </cell>
          <cell r="O86">
            <v>40940</v>
          </cell>
        </row>
        <row r="87">
          <cell r="G87" t="str">
            <v>3141000</v>
          </cell>
          <cell r="H87">
            <v>10.9678</v>
          </cell>
          <cell r="I87">
            <v>12.1671</v>
          </cell>
          <cell r="J87" t="str">
            <v>Income Statement</v>
          </cell>
          <cell r="K87" t="str">
            <v>Operating expenses</v>
          </cell>
          <cell r="L87" t="str">
            <v>Employee cost</v>
          </cell>
          <cell r="N87">
            <v>3550.5584732598568</v>
          </cell>
          <cell r="O87">
            <v>40940</v>
          </cell>
        </row>
        <row r="88">
          <cell r="G88" t="str">
            <v>3144000</v>
          </cell>
          <cell r="H88">
            <v>10.9678</v>
          </cell>
          <cell r="I88">
            <v>12.1671</v>
          </cell>
          <cell r="J88" t="str">
            <v>Income Statement</v>
          </cell>
          <cell r="K88" t="str">
            <v>Operating expenses</v>
          </cell>
          <cell r="L88" t="str">
            <v>Employee cost</v>
          </cell>
          <cell r="N88">
            <v>466.1151794593618</v>
          </cell>
          <cell r="O88">
            <v>40940</v>
          </cell>
        </row>
        <row r="89">
          <cell r="G89" t="str">
            <v>3144000</v>
          </cell>
          <cell r="H89">
            <v>10.9678</v>
          </cell>
          <cell r="I89">
            <v>12.1671</v>
          </cell>
          <cell r="J89" t="str">
            <v>Income Statement</v>
          </cell>
          <cell r="K89" t="str">
            <v>Operating expenses</v>
          </cell>
          <cell r="L89" t="str">
            <v>Employee cost</v>
          </cell>
          <cell r="N89">
            <v>498.63484314257306</v>
          </cell>
          <cell r="O89">
            <v>40940</v>
          </cell>
        </row>
        <row r="90">
          <cell r="G90" t="str">
            <v>3144000</v>
          </cell>
          <cell r="H90">
            <v>10.9678</v>
          </cell>
          <cell r="I90">
            <v>12.1671</v>
          </cell>
          <cell r="J90" t="str">
            <v>Income Statement</v>
          </cell>
          <cell r="K90" t="str">
            <v>Operating expenses</v>
          </cell>
          <cell r="L90" t="str">
            <v>Employee cost</v>
          </cell>
          <cell r="N90">
            <v>552.83428261459187</v>
          </cell>
          <cell r="O90">
            <v>40940</v>
          </cell>
        </row>
        <row r="91">
          <cell r="G91" t="str">
            <v>3144000</v>
          </cell>
          <cell r="H91">
            <v>10.9678</v>
          </cell>
          <cell r="I91">
            <v>12.1671</v>
          </cell>
          <cell r="J91" t="str">
            <v>Income Statement</v>
          </cell>
          <cell r="K91" t="str">
            <v>Operating expenses</v>
          </cell>
          <cell r="L91" t="str">
            <v>Employee cost</v>
          </cell>
          <cell r="N91">
            <v>769.63204050266711</v>
          </cell>
          <cell r="O91">
            <v>40940</v>
          </cell>
        </row>
        <row r="92">
          <cell r="G92" t="str">
            <v>3144000</v>
          </cell>
          <cell r="H92">
            <v>10.9678</v>
          </cell>
          <cell r="I92">
            <v>12.1671</v>
          </cell>
          <cell r="J92" t="str">
            <v>Income Statement</v>
          </cell>
          <cell r="K92" t="str">
            <v>Operating expenses</v>
          </cell>
          <cell r="L92" t="str">
            <v>Employee cost</v>
          </cell>
          <cell r="N92">
            <v>476.95506735376551</v>
          </cell>
          <cell r="O92">
            <v>40940</v>
          </cell>
        </row>
        <row r="93">
          <cell r="G93" t="str">
            <v>3144000</v>
          </cell>
          <cell r="H93">
            <v>10.9678</v>
          </cell>
          <cell r="I93">
            <v>12.1671</v>
          </cell>
          <cell r="J93" t="str">
            <v>Income Statement</v>
          </cell>
          <cell r="K93" t="str">
            <v>Operating expenses</v>
          </cell>
          <cell r="L93" t="str">
            <v>Employee cost</v>
          </cell>
          <cell r="N93">
            <v>563.67417050899553</v>
          </cell>
          <cell r="O93">
            <v>40940</v>
          </cell>
        </row>
        <row r="94">
          <cell r="G94" t="str">
            <v>3144000</v>
          </cell>
          <cell r="H94">
            <v>10.9678</v>
          </cell>
          <cell r="I94">
            <v>12.1671</v>
          </cell>
          <cell r="J94" t="str">
            <v>Income Statement</v>
          </cell>
          <cell r="K94" t="str">
            <v>Operating expenses</v>
          </cell>
          <cell r="L94" t="str">
            <v>Employee cost</v>
          </cell>
          <cell r="N94">
            <v>520.31461893138055</v>
          </cell>
          <cell r="O94">
            <v>40940</v>
          </cell>
        </row>
        <row r="95">
          <cell r="G95" t="str">
            <v>3144000</v>
          </cell>
          <cell r="H95">
            <v>10.9678</v>
          </cell>
          <cell r="I95">
            <v>12.1671</v>
          </cell>
          <cell r="J95" t="str">
            <v>Income Statement</v>
          </cell>
          <cell r="K95" t="str">
            <v>Operating expenses</v>
          </cell>
          <cell r="L95" t="str">
            <v>Employee cost</v>
          </cell>
          <cell r="N95">
            <v>834.67136786908964</v>
          </cell>
          <cell r="O95">
            <v>40940</v>
          </cell>
        </row>
        <row r="96">
          <cell r="G96" t="str">
            <v>3144000</v>
          </cell>
          <cell r="H96">
            <v>10.9678</v>
          </cell>
          <cell r="I96">
            <v>12.1671</v>
          </cell>
          <cell r="J96" t="str">
            <v>Income Statement</v>
          </cell>
          <cell r="K96" t="str">
            <v>Operating expenses</v>
          </cell>
          <cell r="L96" t="str">
            <v>Employee cost</v>
          </cell>
          <cell r="N96">
            <v>2352.2556730856163</v>
          </cell>
          <cell r="O96">
            <v>40940</v>
          </cell>
        </row>
        <row r="97">
          <cell r="G97" t="str">
            <v>3144000</v>
          </cell>
          <cell r="H97">
            <v>10.9678</v>
          </cell>
          <cell r="I97">
            <v>12.1671</v>
          </cell>
          <cell r="J97" t="str">
            <v>Income Statement</v>
          </cell>
          <cell r="K97" t="str">
            <v>Operating expenses</v>
          </cell>
          <cell r="L97" t="str">
            <v>Employee cost</v>
          </cell>
          <cell r="N97">
            <v>10.840709782939239</v>
          </cell>
          <cell r="O97">
            <v>40940</v>
          </cell>
        </row>
        <row r="98">
          <cell r="G98" t="str">
            <v>3145000</v>
          </cell>
          <cell r="H98">
            <v>10.9678</v>
          </cell>
          <cell r="I98">
            <v>12.1671</v>
          </cell>
          <cell r="J98" t="str">
            <v>Income Statement</v>
          </cell>
          <cell r="K98" t="str">
            <v>Operating expenses</v>
          </cell>
          <cell r="L98" t="str">
            <v>Employee cost</v>
          </cell>
          <cell r="N98">
            <v>2313.5767767175416</v>
          </cell>
          <cell r="O98">
            <v>40940</v>
          </cell>
        </row>
        <row r="99">
          <cell r="G99" t="str">
            <v>3145000</v>
          </cell>
          <cell r="H99">
            <v>10.9678</v>
          </cell>
          <cell r="I99">
            <v>12.1671</v>
          </cell>
          <cell r="J99" t="str">
            <v>Income Statement</v>
          </cell>
          <cell r="K99" t="str">
            <v>Operating expenses</v>
          </cell>
          <cell r="L99" t="str">
            <v>Employee cost</v>
          </cell>
          <cell r="N99">
            <v>2677.2377970099697</v>
          </cell>
          <cell r="O99">
            <v>40940</v>
          </cell>
        </row>
        <row r="100">
          <cell r="G100" t="str">
            <v>3145000</v>
          </cell>
          <cell r="H100">
            <v>10.9678</v>
          </cell>
          <cell r="I100">
            <v>12.1671</v>
          </cell>
          <cell r="J100" t="str">
            <v>Income Statement</v>
          </cell>
          <cell r="K100" t="str">
            <v>Operating expenses</v>
          </cell>
          <cell r="L100" t="str">
            <v>Employee cost</v>
          </cell>
          <cell r="N100">
            <v>2719.0875393479141</v>
          </cell>
          <cell r="O100">
            <v>40940</v>
          </cell>
        </row>
        <row r="101">
          <cell r="G101" t="str">
            <v>3145000</v>
          </cell>
          <cell r="H101">
            <v>10.9678</v>
          </cell>
          <cell r="I101">
            <v>12.1671</v>
          </cell>
          <cell r="J101" t="str">
            <v>Income Statement</v>
          </cell>
          <cell r="K101" t="str">
            <v>Operating expenses</v>
          </cell>
          <cell r="L101" t="str">
            <v>Employee cost</v>
          </cell>
          <cell r="N101">
            <v>2127.8003797125034</v>
          </cell>
          <cell r="O101">
            <v>40940</v>
          </cell>
        </row>
        <row r="102">
          <cell r="G102" t="str">
            <v>3145000</v>
          </cell>
          <cell r="H102">
            <v>10.9678</v>
          </cell>
          <cell r="I102">
            <v>12.1671</v>
          </cell>
          <cell r="J102" t="str">
            <v>Income Statement</v>
          </cell>
          <cell r="K102" t="str">
            <v>Operating expenses</v>
          </cell>
          <cell r="L102" t="str">
            <v>Employee cost</v>
          </cell>
          <cell r="N102">
            <v>2627.5612101486795</v>
          </cell>
          <cell r="O102">
            <v>40940</v>
          </cell>
        </row>
        <row r="103">
          <cell r="G103" t="str">
            <v>3145000</v>
          </cell>
          <cell r="H103">
            <v>10.9678</v>
          </cell>
          <cell r="I103">
            <v>12.1671</v>
          </cell>
          <cell r="J103" t="str">
            <v>Income Statement</v>
          </cell>
          <cell r="K103" t="str">
            <v>Operating expenses</v>
          </cell>
          <cell r="L103" t="str">
            <v>Employee cost</v>
          </cell>
          <cell r="N103">
            <v>1402.078556106221</v>
          </cell>
          <cell r="O103">
            <v>40940</v>
          </cell>
        </row>
        <row r="104">
          <cell r="G104" t="str">
            <v>3145000</v>
          </cell>
          <cell r="H104">
            <v>10.9678</v>
          </cell>
          <cell r="I104">
            <v>12.1671</v>
          </cell>
          <cell r="J104" t="str">
            <v>Income Statement</v>
          </cell>
          <cell r="K104" t="str">
            <v>Operating expenses</v>
          </cell>
          <cell r="L104" t="str">
            <v>Employee cost</v>
          </cell>
          <cell r="N104">
            <v>1555.096119864224</v>
          </cell>
          <cell r="O104">
            <v>40940</v>
          </cell>
        </row>
        <row r="105">
          <cell r="G105" t="str">
            <v>3145000</v>
          </cell>
          <cell r="H105">
            <v>10.9678</v>
          </cell>
          <cell r="I105">
            <v>12.1671</v>
          </cell>
          <cell r="J105" t="str">
            <v>Income Statement</v>
          </cell>
          <cell r="K105" t="str">
            <v>Operating expenses</v>
          </cell>
          <cell r="L105" t="str">
            <v>Employee cost</v>
          </cell>
          <cell r="N105">
            <v>4210.9459115154805</v>
          </cell>
          <cell r="O105">
            <v>40940</v>
          </cell>
        </row>
        <row r="106">
          <cell r="G106" t="str">
            <v>3145000</v>
          </cell>
          <cell r="H106">
            <v>10.9678</v>
          </cell>
          <cell r="I106">
            <v>12.1671</v>
          </cell>
          <cell r="J106" t="str">
            <v>Income Statement</v>
          </cell>
          <cell r="K106" t="str">
            <v>Operating expenses</v>
          </cell>
          <cell r="L106" t="str">
            <v>Employee cost</v>
          </cell>
          <cell r="N106">
            <v>25621.963327333546</v>
          </cell>
          <cell r="O106">
            <v>40940</v>
          </cell>
        </row>
        <row r="107">
          <cell r="G107" t="str">
            <v>3153000</v>
          </cell>
          <cell r="H107">
            <v>10.9678</v>
          </cell>
          <cell r="I107">
            <v>12.1671</v>
          </cell>
          <cell r="J107" t="str">
            <v>Income Statement</v>
          </cell>
          <cell r="K107" t="str">
            <v>Operating expenses</v>
          </cell>
          <cell r="L107" t="str">
            <v>Employee cost</v>
          </cell>
          <cell r="N107">
            <v>371.0826737677836</v>
          </cell>
          <cell r="O107">
            <v>40940</v>
          </cell>
        </row>
        <row r="108">
          <cell r="G108" t="str">
            <v>3153000</v>
          </cell>
          <cell r="H108">
            <v>10.9678</v>
          </cell>
          <cell r="I108">
            <v>12.1671</v>
          </cell>
          <cell r="J108" t="str">
            <v>Income Statement</v>
          </cell>
          <cell r="K108" t="str">
            <v>Operating expenses</v>
          </cell>
          <cell r="L108" t="str">
            <v>Employee cost</v>
          </cell>
          <cell r="N108">
            <v>1391.2131896672172</v>
          </cell>
          <cell r="O108">
            <v>40940</v>
          </cell>
        </row>
        <row r="109">
          <cell r="G109" t="str">
            <v>3153000</v>
          </cell>
          <cell r="H109">
            <v>10.9678</v>
          </cell>
          <cell r="I109">
            <v>12.1671</v>
          </cell>
          <cell r="J109" t="str">
            <v>Income Statement</v>
          </cell>
          <cell r="K109" t="str">
            <v>Operating expenses</v>
          </cell>
          <cell r="L109" t="str">
            <v>Employee cost</v>
          </cell>
          <cell r="N109">
            <v>1468.873437384422</v>
          </cell>
          <cell r="O109">
            <v>40940</v>
          </cell>
        </row>
        <row r="110">
          <cell r="G110" t="str">
            <v>3153000</v>
          </cell>
          <cell r="H110">
            <v>10.9678</v>
          </cell>
          <cell r="I110">
            <v>12.1671</v>
          </cell>
          <cell r="J110" t="str">
            <v>Income Statement</v>
          </cell>
          <cell r="K110" t="str">
            <v>Operating expenses</v>
          </cell>
          <cell r="L110" t="str">
            <v>Employee cost</v>
          </cell>
          <cell r="N110">
            <v>1405.1663913340074</v>
          </cell>
          <cell r="O110">
            <v>40940</v>
          </cell>
        </row>
        <row r="111">
          <cell r="G111" t="str">
            <v>3153000</v>
          </cell>
          <cell r="H111">
            <v>10.9678</v>
          </cell>
          <cell r="I111">
            <v>12.1671</v>
          </cell>
          <cell r="J111" t="str">
            <v>Income Statement</v>
          </cell>
          <cell r="K111" t="str">
            <v>Operating expenses</v>
          </cell>
          <cell r="L111" t="str">
            <v>Employee cost</v>
          </cell>
          <cell r="N111">
            <v>160.30771506768252</v>
          </cell>
          <cell r="O111">
            <v>40940</v>
          </cell>
        </row>
        <row r="112">
          <cell r="G112" t="str">
            <v>3153000</v>
          </cell>
          <cell r="H112">
            <v>10.9678</v>
          </cell>
          <cell r="I112">
            <v>12.1671</v>
          </cell>
          <cell r="J112" t="str">
            <v>Income Statement</v>
          </cell>
          <cell r="K112" t="str">
            <v>Operating expenses</v>
          </cell>
          <cell r="L112" t="str">
            <v>Employee cost</v>
          </cell>
          <cell r="N112">
            <v>6616.6489960631534</v>
          </cell>
          <cell r="O112">
            <v>40940</v>
          </cell>
        </row>
        <row r="113">
          <cell r="G113" t="str">
            <v>3197000</v>
          </cell>
          <cell r="H113">
            <v>10.9678</v>
          </cell>
          <cell r="I113">
            <v>12.1671</v>
          </cell>
          <cell r="J113" t="str">
            <v>Income Statement</v>
          </cell>
          <cell r="K113" t="str">
            <v>Operating expenses</v>
          </cell>
          <cell r="L113" t="str">
            <v>Employee cost</v>
          </cell>
          <cell r="N113">
            <v>5004.0478010372235</v>
          </cell>
          <cell r="O113">
            <v>40940</v>
          </cell>
        </row>
        <row r="114">
          <cell r="G114" t="str">
            <v>3199000</v>
          </cell>
          <cell r="H114">
            <v>10.9678</v>
          </cell>
          <cell r="I114">
            <v>12.1671</v>
          </cell>
          <cell r="J114" t="str">
            <v>Income Statement</v>
          </cell>
          <cell r="K114" t="str">
            <v>Operating expenses</v>
          </cell>
          <cell r="L114" t="str">
            <v>Employee cost</v>
          </cell>
          <cell r="N114">
            <v>-1150.6439496675462</v>
          </cell>
          <cell r="O114">
            <v>40940</v>
          </cell>
        </row>
        <row r="115">
          <cell r="G115" t="str">
            <v>3199000</v>
          </cell>
          <cell r="H115">
            <v>10.9678</v>
          </cell>
          <cell r="I115">
            <v>12.1671</v>
          </cell>
          <cell r="J115" t="str">
            <v>Income Statement</v>
          </cell>
          <cell r="K115" t="str">
            <v>Operating expenses</v>
          </cell>
          <cell r="L115" t="str">
            <v>Employee cost</v>
          </cell>
          <cell r="N115">
            <v>-657.51082838145498</v>
          </cell>
          <cell r="O115">
            <v>40940</v>
          </cell>
        </row>
        <row r="116">
          <cell r="G116" t="str">
            <v>3199000</v>
          </cell>
          <cell r="H116">
            <v>10.9678</v>
          </cell>
          <cell r="I116">
            <v>12.1671</v>
          </cell>
          <cell r="J116" t="str">
            <v>Income Statement</v>
          </cell>
          <cell r="K116" t="str">
            <v>Operating expenses</v>
          </cell>
          <cell r="L116" t="str">
            <v>Employee cost</v>
          </cell>
          <cell r="N116">
            <v>-904.07738902450058</v>
          </cell>
          <cell r="O116">
            <v>40940</v>
          </cell>
        </row>
        <row r="117">
          <cell r="G117" t="str">
            <v>3199000</v>
          </cell>
          <cell r="H117">
            <v>10.9678</v>
          </cell>
          <cell r="I117">
            <v>12.1671</v>
          </cell>
          <cell r="J117" t="str">
            <v>Income Statement</v>
          </cell>
          <cell r="K117" t="str">
            <v>Operating expenses</v>
          </cell>
          <cell r="L117" t="str">
            <v>Employee cost</v>
          </cell>
          <cell r="N117">
            <v>13859.055978828152</v>
          </cell>
          <cell r="O117">
            <v>40940</v>
          </cell>
        </row>
        <row r="118">
          <cell r="G118" t="str">
            <v>3199000</v>
          </cell>
          <cell r="H118">
            <v>10.9678</v>
          </cell>
          <cell r="I118">
            <v>12.1671</v>
          </cell>
          <cell r="J118" t="str">
            <v>Income Statement</v>
          </cell>
          <cell r="K118" t="str">
            <v>Operating expenses</v>
          </cell>
          <cell r="L118" t="str">
            <v>Employee cost</v>
          </cell>
          <cell r="N118">
            <v>10032.840200212047</v>
          </cell>
          <cell r="O118">
            <v>40940</v>
          </cell>
        </row>
        <row r="119">
          <cell r="G119" t="str">
            <v>3203000</v>
          </cell>
          <cell r="H119">
            <v>10.9678</v>
          </cell>
          <cell r="I119">
            <v>12.1671</v>
          </cell>
          <cell r="J119" t="str">
            <v>Income Statement</v>
          </cell>
          <cell r="K119" t="str">
            <v>Operating expenses</v>
          </cell>
          <cell r="L119" t="str">
            <v>Depreciation</v>
          </cell>
          <cell r="M119" t="str">
            <v>Furniture &amp; Fittings</v>
          </cell>
          <cell r="N119">
            <v>270398.01102974417</v>
          </cell>
          <cell r="O119">
            <v>40940</v>
          </cell>
        </row>
        <row r="120">
          <cell r="G120" t="str">
            <v>3204000</v>
          </cell>
          <cell r="H120">
            <v>10.9678</v>
          </cell>
          <cell r="I120">
            <v>12.1671</v>
          </cell>
          <cell r="J120" t="str">
            <v>Income Statement</v>
          </cell>
          <cell r="K120" t="str">
            <v>Operating expenses</v>
          </cell>
          <cell r="L120" t="str">
            <v>Depreciation</v>
          </cell>
          <cell r="M120" t="str">
            <v>Vehicles</v>
          </cell>
          <cell r="N120">
            <v>102089.32366792417</v>
          </cell>
          <cell r="O120">
            <v>40940</v>
          </cell>
        </row>
        <row r="121">
          <cell r="G121" t="str">
            <v>3205000</v>
          </cell>
          <cell r="H121">
            <v>10.9678</v>
          </cell>
          <cell r="I121">
            <v>12.1671</v>
          </cell>
          <cell r="J121" t="str">
            <v>Income Statement</v>
          </cell>
          <cell r="K121" t="str">
            <v>Operating expenses</v>
          </cell>
          <cell r="L121" t="str">
            <v>Depreciation</v>
          </cell>
          <cell r="M121" t="str">
            <v>IT Equipment</v>
          </cell>
          <cell r="N121">
            <v>56722.261672871929</v>
          </cell>
          <cell r="O121">
            <v>40940</v>
          </cell>
        </row>
        <row r="122">
          <cell r="G122" t="str">
            <v>3206000</v>
          </cell>
          <cell r="H122">
            <v>10.9678</v>
          </cell>
          <cell r="I122">
            <v>12.1671</v>
          </cell>
          <cell r="J122" t="str">
            <v>Income Statement</v>
          </cell>
          <cell r="K122" t="str">
            <v>Operating expenses</v>
          </cell>
          <cell r="L122" t="str">
            <v>Depreciation</v>
          </cell>
          <cell r="M122" t="str">
            <v>Comuter Software</v>
          </cell>
          <cell r="N122">
            <v>401210.77167114598</v>
          </cell>
          <cell r="O122">
            <v>40940</v>
          </cell>
        </row>
        <row r="123">
          <cell r="G123" t="str">
            <v>3302000</v>
          </cell>
          <cell r="H123">
            <v>10.9678</v>
          </cell>
          <cell r="I123">
            <v>12.1671</v>
          </cell>
          <cell r="J123" t="str">
            <v>Income Statement</v>
          </cell>
          <cell r="K123" t="str">
            <v>Operating expenses</v>
          </cell>
          <cell r="L123" t="str">
            <v>Lease rentals on operating lease</v>
          </cell>
          <cell r="M123" t="str">
            <v>Premisis</v>
          </cell>
          <cell r="N123">
            <v>48789.184768761661</v>
          </cell>
          <cell r="O123">
            <v>40940</v>
          </cell>
        </row>
        <row r="124">
          <cell r="G124" t="str">
            <v>3302000</v>
          </cell>
          <cell r="H124">
            <v>10.9678</v>
          </cell>
          <cell r="I124">
            <v>12.1671</v>
          </cell>
          <cell r="J124" t="str">
            <v>Income Statement</v>
          </cell>
          <cell r="K124" t="str">
            <v>Operating expenses</v>
          </cell>
          <cell r="L124" t="str">
            <v>Lease rentals on operating lease</v>
          </cell>
          <cell r="M124" t="str">
            <v>Premisis</v>
          </cell>
          <cell r="N124">
            <v>80977.870651182282</v>
          </cell>
          <cell r="O124">
            <v>40940</v>
          </cell>
        </row>
        <row r="125">
          <cell r="G125" t="str">
            <v>3302000</v>
          </cell>
          <cell r="H125">
            <v>10.9678</v>
          </cell>
          <cell r="I125">
            <v>12.1671</v>
          </cell>
          <cell r="J125" t="str">
            <v>Income Statement</v>
          </cell>
          <cell r="K125" t="str">
            <v>Operating expenses</v>
          </cell>
          <cell r="L125" t="str">
            <v>Lease rentals on operating lease</v>
          </cell>
          <cell r="M125" t="str">
            <v>Premisis</v>
          </cell>
          <cell r="N125">
            <v>62463.528696238216</v>
          </cell>
          <cell r="O125">
            <v>40940</v>
          </cell>
        </row>
        <row r="126">
          <cell r="G126" t="str">
            <v>3302000</v>
          </cell>
          <cell r="H126">
            <v>10.9678</v>
          </cell>
          <cell r="I126">
            <v>12.1671</v>
          </cell>
          <cell r="J126" t="str">
            <v>Income Statement</v>
          </cell>
          <cell r="K126" t="str">
            <v>Operating expenses</v>
          </cell>
          <cell r="L126" t="str">
            <v>Lease rentals on operating lease</v>
          </cell>
          <cell r="M126" t="str">
            <v>Premisis</v>
          </cell>
          <cell r="N126">
            <v>50236.940602115545</v>
          </cell>
          <cell r="O126">
            <v>40940</v>
          </cell>
        </row>
        <row r="127">
          <cell r="G127" t="str">
            <v>3302000</v>
          </cell>
          <cell r="H127">
            <v>10.9678</v>
          </cell>
          <cell r="I127">
            <v>12.1671</v>
          </cell>
          <cell r="J127" t="str">
            <v>Income Statement</v>
          </cell>
          <cell r="K127" t="str">
            <v>Operating expenses</v>
          </cell>
          <cell r="L127" t="str">
            <v>Lease rentals on operating lease</v>
          </cell>
          <cell r="M127" t="str">
            <v>Premisis</v>
          </cell>
          <cell r="N127">
            <v>67052.387175251293</v>
          </cell>
          <cell r="O127">
            <v>40940</v>
          </cell>
        </row>
        <row r="128">
          <cell r="G128" t="str">
            <v>3302000</v>
          </cell>
          <cell r="H128">
            <v>10.9678</v>
          </cell>
          <cell r="I128">
            <v>12.1671</v>
          </cell>
          <cell r="J128" t="str">
            <v>Income Statement</v>
          </cell>
          <cell r="K128" t="str">
            <v>Operating expenses</v>
          </cell>
          <cell r="L128" t="str">
            <v>Lease rentals on operating lease</v>
          </cell>
          <cell r="M128" t="str">
            <v>Premisis</v>
          </cell>
          <cell r="N128">
            <v>62923.786276105238</v>
          </cell>
          <cell r="O128">
            <v>40940</v>
          </cell>
        </row>
        <row r="129">
          <cell r="G129" t="str">
            <v>3302000</v>
          </cell>
          <cell r="H129">
            <v>10.9678</v>
          </cell>
          <cell r="I129">
            <v>12.1671</v>
          </cell>
          <cell r="J129" t="str">
            <v>Income Statement</v>
          </cell>
          <cell r="K129" t="str">
            <v>Operating expenses</v>
          </cell>
          <cell r="L129" t="str">
            <v>Lease rentals on operating lease</v>
          </cell>
          <cell r="M129" t="str">
            <v>Premisis</v>
          </cell>
          <cell r="N129">
            <v>72253.864930838085</v>
          </cell>
          <cell r="O129">
            <v>40940</v>
          </cell>
        </row>
        <row r="130">
          <cell r="G130" t="str">
            <v>3302000</v>
          </cell>
          <cell r="H130">
            <v>10.9678</v>
          </cell>
          <cell r="I130">
            <v>12.1671</v>
          </cell>
          <cell r="J130" t="str">
            <v>Income Statement</v>
          </cell>
          <cell r="K130" t="str">
            <v>Operating expenses</v>
          </cell>
          <cell r="L130" t="str">
            <v>Lease rentals on operating lease</v>
          </cell>
          <cell r="M130" t="str">
            <v>Premisis</v>
          </cell>
          <cell r="N130">
            <v>354281.98913463356</v>
          </cell>
          <cell r="O130">
            <v>40940</v>
          </cell>
        </row>
        <row r="131">
          <cell r="G131" t="str">
            <v>3302000</v>
          </cell>
          <cell r="H131">
            <v>10.9678</v>
          </cell>
          <cell r="I131">
            <v>12.1671</v>
          </cell>
          <cell r="J131" t="str">
            <v>Income Statement</v>
          </cell>
          <cell r="K131" t="str">
            <v>Operating expenses</v>
          </cell>
          <cell r="L131" t="str">
            <v>Lease rentals on operating lease</v>
          </cell>
          <cell r="M131" t="str">
            <v>Premisis</v>
          </cell>
          <cell r="N131">
            <v>432033.84619177948</v>
          </cell>
          <cell r="O131">
            <v>40940</v>
          </cell>
        </row>
        <row r="132">
          <cell r="G132" t="str">
            <v>3302000</v>
          </cell>
          <cell r="H132">
            <v>10.9678</v>
          </cell>
          <cell r="I132">
            <v>12.1671</v>
          </cell>
          <cell r="J132" t="str">
            <v>Income Statement</v>
          </cell>
          <cell r="K132" t="str">
            <v>Operating expenses</v>
          </cell>
          <cell r="L132" t="str">
            <v>Lease rentals on operating lease</v>
          </cell>
          <cell r="M132" t="str">
            <v>Premisis</v>
          </cell>
          <cell r="N132">
            <v>77838.41917959087</v>
          </cell>
          <cell r="O132">
            <v>40940</v>
          </cell>
        </row>
        <row r="133">
          <cell r="G133" t="str">
            <v>3303000</v>
          </cell>
          <cell r="H133">
            <v>10.9678</v>
          </cell>
          <cell r="I133">
            <v>12.1671</v>
          </cell>
          <cell r="J133" t="str">
            <v>Income Statement</v>
          </cell>
          <cell r="K133" t="str">
            <v>Operating expenses</v>
          </cell>
          <cell r="L133" t="str">
            <v>Lease rentals on operating lease</v>
          </cell>
          <cell r="M133" t="str">
            <v>F&amp;F</v>
          </cell>
          <cell r="N133">
            <v>953.3907011531096</v>
          </cell>
          <cell r="O133">
            <v>40940</v>
          </cell>
        </row>
        <row r="134">
          <cell r="G134" t="str">
            <v>3303000</v>
          </cell>
          <cell r="H134">
            <v>10.9678</v>
          </cell>
          <cell r="I134">
            <v>12.1671</v>
          </cell>
          <cell r="J134" t="str">
            <v>Income Statement</v>
          </cell>
          <cell r="K134" t="str">
            <v>Operating expenses</v>
          </cell>
          <cell r="L134" t="str">
            <v>Lease rentals on operating lease</v>
          </cell>
          <cell r="M134" t="str">
            <v>F&amp;F</v>
          </cell>
          <cell r="N134">
            <v>953.3907011531096</v>
          </cell>
          <cell r="O134">
            <v>40940</v>
          </cell>
        </row>
        <row r="135">
          <cell r="G135" t="str">
            <v>3303000</v>
          </cell>
          <cell r="H135">
            <v>10.9678</v>
          </cell>
          <cell r="I135">
            <v>12.1671</v>
          </cell>
          <cell r="J135" t="str">
            <v>Income Statement</v>
          </cell>
          <cell r="K135" t="str">
            <v>Operating expenses</v>
          </cell>
          <cell r="L135" t="str">
            <v>Lease rentals on operating lease</v>
          </cell>
          <cell r="M135" t="str">
            <v>F&amp;F</v>
          </cell>
          <cell r="N135">
            <v>953.3907011531096</v>
          </cell>
          <cell r="O135">
            <v>40940</v>
          </cell>
        </row>
        <row r="136">
          <cell r="G136" t="str">
            <v>3303000</v>
          </cell>
          <cell r="H136">
            <v>10.9678</v>
          </cell>
          <cell r="I136">
            <v>12.1671</v>
          </cell>
          <cell r="J136" t="str">
            <v>Income Statement</v>
          </cell>
          <cell r="K136" t="str">
            <v>Operating expenses</v>
          </cell>
          <cell r="L136" t="str">
            <v>Lease rentals on operating lease</v>
          </cell>
          <cell r="M136" t="str">
            <v>F&amp;F</v>
          </cell>
          <cell r="N136">
            <v>953.3907011531096</v>
          </cell>
          <cell r="O136">
            <v>40940</v>
          </cell>
        </row>
        <row r="137">
          <cell r="G137" t="str">
            <v>3303000</v>
          </cell>
          <cell r="H137">
            <v>10.9678</v>
          </cell>
          <cell r="I137">
            <v>12.1671</v>
          </cell>
          <cell r="J137" t="str">
            <v>Income Statement</v>
          </cell>
          <cell r="K137" t="str">
            <v>Operating expenses</v>
          </cell>
          <cell r="L137" t="str">
            <v>Lease rentals on operating lease</v>
          </cell>
          <cell r="M137" t="str">
            <v>F&amp;F</v>
          </cell>
          <cell r="N137">
            <v>953.3907011531096</v>
          </cell>
          <cell r="O137">
            <v>40940</v>
          </cell>
        </row>
        <row r="138">
          <cell r="G138" t="str">
            <v>3303000</v>
          </cell>
          <cell r="H138">
            <v>10.9678</v>
          </cell>
          <cell r="I138">
            <v>12.1671</v>
          </cell>
          <cell r="J138" t="str">
            <v>Income Statement</v>
          </cell>
          <cell r="K138" t="str">
            <v>Operating expenses</v>
          </cell>
          <cell r="L138" t="str">
            <v>Lease rentals on operating lease</v>
          </cell>
          <cell r="M138" t="str">
            <v>F&amp;F</v>
          </cell>
          <cell r="N138">
            <v>953.3907011531096</v>
          </cell>
          <cell r="O138">
            <v>40940</v>
          </cell>
        </row>
        <row r="139">
          <cell r="G139" t="str">
            <v>3303000</v>
          </cell>
          <cell r="H139">
            <v>10.9678</v>
          </cell>
          <cell r="I139">
            <v>12.1671</v>
          </cell>
          <cell r="J139" t="str">
            <v>Income Statement</v>
          </cell>
          <cell r="K139" t="str">
            <v>Operating expenses</v>
          </cell>
          <cell r="L139" t="str">
            <v>Lease rentals on operating lease</v>
          </cell>
          <cell r="M139" t="str">
            <v>F&amp;F</v>
          </cell>
          <cell r="N139">
            <v>953.3907011531096</v>
          </cell>
          <cell r="O139">
            <v>40940</v>
          </cell>
        </row>
        <row r="140">
          <cell r="G140" t="str">
            <v>3303000</v>
          </cell>
          <cell r="H140">
            <v>10.9678</v>
          </cell>
          <cell r="I140">
            <v>12.1671</v>
          </cell>
          <cell r="J140" t="str">
            <v>Income Statement</v>
          </cell>
          <cell r="K140" t="str">
            <v>Operating expenses</v>
          </cell>
          <cell r="L140" t="str">
            <v>Lease rentals on operating lease</v>
          </cell>
          <cell r="M140" t="str">
            <v>F&amp;F</v>
          </cell>
          <cell r="N140">
            <v>953.3907011531096</v>
          </cell>
          <cell r="O140">
            <v>40940</v>
          </cell>
        </row>
        <row r="141">
          <cell r="G141" t="str">
            <v>3303000</v>
          </cell>
          <cell r="H141">
            <v>10.9678</v>
          </cell>
          <cell r="I141">
            <v>12.1671</v>
          </cell>
          <cell r="J141" t="str">
            <v>Income Statement</v>
          </cell>
          <cell r="K141" t="str">
            <v>Operating expenses</v>
          </cell>
          <cell r="L141" t="str">
            <v>Lease rentals on operating lease</v>
          </cell>
          <cell r="M141" t="str">
            <v>F&amp;F</v>
          </cell>
          <cell r="N141">
            <v>162453.94547591457</v>
          </cell>
          <cell r="O141">
            <v>40940</v>
          </cell>
        </row>
        <row r="142">
          <cell r="G142" t="str">
            <v>3401000</v>
          </cell>
          <cell r="H142">
            <v>10.9678</v>
          </cell>
          <cell r="I142">
            <v>12.1671</v>
          </cell>
          <cell r="J142" t="str">
            <v>Income Statement</v>
          </cell>
          <cell r="K142" t="str">
            <v>Operating expenses</v>
          </cell>
          <cell r="L142" t="str">
            <v>Accounting fees</v>
          </cell>
          <cell r="N142">
            <v>135.61160835367508</v>
          </cell>
          <cell r="O142">
            <v>40940</v>
          </cell>
        </row>
        <row r="143">
          <cell r="G143" t="str">
            <v>3402000</v>
          </cell>
          <cell r="H143">
            <v>10.9678</v>
          </cell>
          <cell r="I143">
            <v>12.1671</v>
          </cell>
          <cell r="J143" t="str">
            <v>Income Statement</v>
          </cell>
          <cell r="K143" t="str">
            <v>Operating expenses</v>
          </cell>
          <cell r="L143" t="str">
            <v>Secretarial Costs</v>
          </cell>
          <cell r="N143">
            <v>6535.6576341116624</v>
          </cell>
          <cell r="O143">
            <v>40940</v>
          </cell>
        </row>
        <row r="144">
          <cell r="G144" t="str">
            <v>3403000</v>
          </cell>
          <cell r="H144">
            <v>10.9678</v>
          </cell>
          <cell r="I144">
            <v>12.1671</v>
          </cell>
          <cell r="J144" t="str">
            <v>Income Statement</v>
          </cell>
          <cell r="K144" t="str">
            <v>Operating expenses</v>
          </cell>
          <cell r="L144" t="str">
            <v>Audit Fees</v>
          </cell>
          <cell r="N144">
            <v>180483.62880226184</v>
          </cell>
          <cell r="O144">
            <v>40940</v>
          </cell>
        </row>
        <row r="145">
          <cell r="G145" t="str">
            <v>3403000</v>
          </cell>
          <cell r="H145">
            <v>10.9678</v>
          </cell>
          <cell r="I145">
            <v>12.1671</v>
          </cell>
          <cell r="J145" t="str">
            <v>Income Statement</v>
          </cell>
          <cell r="K145" t="str">
            <v>Operating expenses</v>
          </cell>
          <cell r="L145" t="str">
            <v>Audit Fees</v>
          </cell>
          <cell r="N145">
            <v>107342.42752997839</v>
          </cell>
          <cell r="O145">
            <v>40940</v>
          </cell>
        </row>
        <row r="146">
          <cell r="G146" t="str">
            <v>3404000</v>
          </cell>
          <cell r="H146">
            <v>10.9678</v>
          </cell>
          <cell r="I146">
            <v>12.1671</v>
          </cell>
          <cell r="J146" t="str">
            <v>Income Statement</v>
          </cell>
          <cell r="K146" t="str">
            <v>Operating expenses</v>
          </cell>
          <cell r="L146" t="str">
            <v>Bank Charges</v>
          </cell>
          <cell r="N146">
            <v>9422.7917909773078</v>
          </cell>
          <cell r="O146">
            <v>40940</v>
          </cell>
        </row>
        <row r="147">
          <cell r="G147" t="str">
            <v>3404000</v>
          </cell>
          <cell r="H147">
            <v>10.9678</v>
          </cell>
          <cell r="I147">
            <v>12.1671</v>
          </cell>
          <cell r="J147" t="str">
            <v>Income Statement</v>
          </cell>
          <cell r="K147" t="str">
            <v>Operating expenses</v>
          </cell>
          <cell r="L147" t="str">
            <v>Bank Charges</v>
          </cell>
          <cell r="N147">
            <v>152635.82776503853</v>
          </cell>
          <cell r="O147">
            <v>40940</v>
          </cell>
        </row>
        <row r="148">
          <cell r="G148" t="str">
            <v>3405000</v>
          </cell>
          <cell r="H148">
            <v>10.9678</v>
          </cell>
          <cell r="I148">
            <v>12.1671</v>
          </cell>
          <cell r="J148" t="str">
            <v>Income Statement</v>
          </cell>
          <cell r="K148" t="str">
            <v>Operating expenses</v>
          </cell>
          <cell r="L148" t="str">
            <v>Cleaning</v>
          </cell>
          <cell r="N148">
            <v>1763.6084194261575</v>
          </cell>
          <cell r="O148">
            <v>40940</v>
          </cell>
        </row>
        <row r="149">
          <cell r="G149" t="str">
            <v>3405000</v>
          </cell>
          <cell r="H149">
            <v>10.9678</v>
          </cell>
          <cell r="I149">
            <v>12.1671</v>
          </cell>
          <cell r="J149" t="str">
            <v>Income Statement</v>
          </cell>
          <cell r="K149" t="str">
            <v>Operating expenses</v>
          </cell>
          <cell r="L149" t="str">
            <v>Cleaning</v>
          </cell>
          <cell r="N149">
            <v>3782.8241733856057</v>
          </cell>
          <cell r="O149">
            <v>40940</v>
          </cell>
        </row>
        <row r="150">
          <cell r="G150" t="str">
            <v>3405000</v>
          </cell>
          <cell r="H150">
            <v>10.9678</v>
          </cell>
          <cell r="I150">
            <v>12.1671</v>
          </cell>
          <cell r="J150" t="str">
            <v>Income Statement</v>
          </cell>
          <cell r="K150" t="str">
            <v>Operating expenses</v>
          </cell>
          <cell r="L150" t="str">
            <v>Cleaning</v>
          </cell>
          <cell r="N150">
            <v>4555.5637744409105</v>
          </cell>
          <cell r="O150">
            <v>40940</v>
          </cell>
        </row>
        <row r="151">
          <cell r="G151" t="str">
            <v>3405000</v>
          </cell>
          <cell r="H151">
            <v>10.9678</v>
          </cell>
          <cell r="I151">
            <v>12.1671</v>
          </cell>
          <cell r="J151" t="str">
            <v>Income Statement</v>
          </cell>
          <cell r="K151" t="str">
            <v>Operating expenses</v>
          </cell>
          <cell r="L151" t="str">
            <v>Cleaning</v>
          </cell>
          <cell r="N151">
            <v>5045.820285852833</v>
          </cell>
          <cell r="O151">
            <v>40940</v>
          </cell>
        </row>
        <row r="152">
          <cell r="G152" t="str">
            <v>3405000</v>
          </cell>
          <cell r="H152">
            <v>10.9678</v>
          </cell>
          <cell r="I152">
            <v>12.1671</v>
          </cell>
          <cell r="J152" t="str">
            <v>Income Statement</v>
          </cell>
          <cell r="K152" t="str">
            <v>Operating expenses</v>
          </cell>
          <cell r="L152" t="str">
            <v>Cleaning</v>
          </cell>
          <cell r="N152">
            <v>3997.3370811450554</v>
          </cell>
          <cell r="O152">
            <v>40940</v>
          </cell>
        </row>
        <row r="153">
          <cell r="G153" t="str">
            <v>3405000</v>
          </cell>
          <cell r="H153">
            <v>10.9678</v>
          </cell>
          <cell r="I153">
            <v>12.1671</v>
          </cell>
          <cell r="J153" t="str">
            <v>Income Statement</v>
          </cell>
          <cell r="K153" t="str">
            <v>Operating expenses</v>
          </cell>
          <cell r="L153" t="str">
            <v>Cleaning</v>
          </cell>
          <cell r="N153">
            <v>3689.0466914877006</v>
          </cell>
          <cell r="O153">
            <v>40940</v>
          </cell>
        </row>
        <row r="154">
          <cell r="G154" t="str">
            <v>3405000</v>
          </cell>
          <cell r="H154">
            <v>10.9678</v>
          </cell>
          <cell r="I154">
            <v>12.1671</v>
          </cell>
          <cell r="J154" t="str">
            <v>Income Statement</v>
          </cell>
          <cell r="K154" t="str">
            <v>Operating expenses</v>
          </cell>
          <cell r="L154" t="str">
            <v>Cleaning</v>
          </cell>
          <cell r="N154">
            <v>4062.8415974225577</v>
          </cell>
          <cell r="O154">
            <v>40940</v>
          </cell>
        </row>
        <row r="155">
          <cell r="G155" t="str">
            <v>3405000</v>
          </cell>
          <cell r="H155">
            <v>10.9678</v>
          </cell>
          <cell r="I155">
            <v>12.1671</v>
          </cell>
          <cell r="J155" t="str">
            <v>Income Statement</v>
          </cell>
          <cell r="K155" t="str">
            <v>Operating expenses</v>
          </cell>
          <cell r="L155" t="str">
            <v>Cleaning</v>
          </cell>
          <cell r="N155">
            <v>899.4748132258303</v>
          </cell>
          <cell r="O155">
            <v>40940</v>
          </cell>
        </row>
        <row r="156">
          <cell r="G156" t="str">
            <v>3405000</v>
          </cell>
          <cell r="H156">
            <v>10.9678</v>
          </cell>
          <cell r="I156">
            <v>12.1671</v>
          </cell>
          <cell r="J156" t="str">
            <v>Income Statement</v>
          </cell>
          <cell r="K156" t="str">
            <v>Operating expenses</v>
          </cell>
          <cell r="L156" t="str">
            <v>Cleaning</v>
          </cell>
          <cell r="N156">
            <v>7525.2114308257514</v>
          </cell>
          <cell r="O156">
            <v>40940</v>
          </cell>
        </row>
        <row r="157">
          <cell r="G157" t="str">
            <v>3406000</v>
          </cell>
          <cell r="H157">
            <v>10.9678</v>
          </cell>
          <cell r="I157">
            <v>12.1671</v>
          </cell>
          <cell r="J157" t="str">
            <v>Income Statement</v>
          </cell>
          <cell r="K157" t="str">
            <v>Operating expenses</v>
          </cell>
          <cell r="L157" t="str">
            <v>Processing and collection costs</v>
          </cell>
          <cell r="N157">
            <v>205.47213386920467</v>
          </cell>
          <cell r="O157">
            <v>40940</v>
          </cell>
        </row>
        <row r="158">
          <cell r="G158" t="str">
            <v>3406000</v>
          </cell>
          <cell r="H158">
            <v>10.9678</v>
          </cell>
          <cell r="I158">
            <v>12.1671</v>
          </cell>
          <cell r="J158" t="str">
            <v>Income Statement</v>
          </cell>
          <cell r="K158" t="str">
            <v>Operating expenses</v>
          </cell>
          <cell r="L158" t="str">
            <v>Processing and collection costs</v>
          </cell>
          <cell r="N158">
            <v>79211.4004158756</v>
          </cell>
          <cell r="O158">
            <v>40940</v>
          </cell>
        </row>
        <row r="159">
          <cell r="G159" t="str">
            <v>3406000</v>
          </cell>
          <cell r="H159">
            <v>10.9678</v>
          </cell>
          <cell r="I159">
            <v>12.1671</v>
          </cell>
          <cell r="J159" t="str">
            <v>Income Statement</v>
          </cell>
          <cell r="K159" t="str">
            <v>Operating expenses</v>
          </cell>
          <cell r="L159" t="str">
            <v>Processing and collection costs</v>
          </cell>
          <cell r="N159">
            <v>4016.639133400728</v>
          </cell>
          <cell r="O159">
            <v>40940</v>
          </cell>
        </row>
        <row r="160">
          <cell r="G160" t="str">
            <v>3407000</v>
          </cell>
          <cell r="H160">
            <v>10.9678</v>
          </cell>
          <cell r="I160">
            <v>12.1671</v>
          </cell>
          <cell r="J160" t="str">
            <v>Income Statement</v>
          </cell>
          <cell r="K160" t="str">
            <v>Operating expenses</v>
          </cell>
          <cell r="L160" t="str">
            <v>Commission expense</v>
          </cell>
          <cell r="N160">
            <v>1059.0855668154286</v>
          </cell>
          <cell r="O160">
            <v>40940</v>
          </cell>
        </row>
        <row r="161">
          <cell r="G161" t="str">
            <v>3407000</v>
          </cell>
          <cell r="H161">
            <v>10.9678</v>
          </cell>
          <cell r="I161">
            <v>12.1671</v>
          </cell>
          <cell r="J161" t="str">
            <v>Income Statement</v>
          </cell>
          <cell r="K161" t="str">
            <v>Operating expenses</v>
          </cell>
          <cell r="L161" t="str">
            <v>Commission expense</v>
          </cell>
          <cell r="N161">
            <v>2208.0035505584733</v>
          </cell>
          <cell r="O161">
            <v>40940</v>
          </cell>
        </row>
        <row r="162">
          <cell r="G162" t="str">
            <v>3407000</v>
          </cell>
          <cell r="H162">
            <v>10.9678</v>
          </cell>
          <cell r="I162">
            <v>12.1671</v>
          </cell>
          <cell r="J162" t="str">
            <v>Income Statement</v>
          </cell>
          <cell r="K162" t="str">
            <v>Operating expenses</v>
          </cell>
          <cell r="L162" t="str">
            <v>Commission expense</v>
          </cell>
          <cell r="N162">
            <v>1732.0478996638476</v>
          </cell>
          <cell r="O162">
            <v>40940</v>
          </cell>
        </row>
        <row r="163">
          <cell r="G163" t="str">
            <v>3407000</v>
          </cell>
          <cell r="H163">
            <v>10.9678</v>
          </cell>
          <cell r="I163">
            <v>12.1671</v>
          </cell>
          <cell r="J163" t="str">
            <v>Income Statement</v>
          </cell>
          <cell r="K163" t="str">
            <v>Operating expenses</v>
          </cell>
          <cell r="L163" t="str">
            <v>Commission expense</v>
          </cell>
          <cell r="N163">
            <v>1762.45777547649</v>
          </cell>
          <cell r="O163">
            <v>40940</v>
          </cell>
        </row>
        <row r="164">
          <cell r="G164" t="str">
            <v>3407000</v>
          </cell>
          <cell r="H164">
            <v>10.9678</v>
          </cell>
          <cell r="I164">
            <v>12.1671</v>
          </cell>
          <cell r="J164" t="str">
            <v>Income Statement</v>
          </cell>
          <cell r="K164" t="str">
            <v>Operating expenses</v>
          </cell>
          <cell r="L164" t="str">
            <v>Commission expense</v>
          </cell>
          <cell r="N164">
            <v>9674.4499510976329</v>
          </cell>
          <cell r="O164">
            <v>40940</v>
          </cell>
        </row>
        <row r="165">
          <cell r="G165" t="str">
            <v>3407000</v>
          </cell>
          <cell r="H165">
            <v>10.9678</v>
          </cell>
          <cell r="I165">
            <v>12.1671</v>
          </cell>
          <cell r="J165" t="str">
            <v>Income Statement</v>
          </cell>
          <cell r="K165" t="str">
            <v>Operating expenses</v>
          </cell>
          <cell r="L165" t="str">
            <v>Commission expense</v>
          </cell>
          <cell r="N165">
            <v>1983.2170361055635</v>
          </cell>
          <cell r="O165">
            <v>40940</v>
          </cell>
        </row>
        <row r="166">
          <cell r="G166" t="str">
            <v>3407000</v>
          </cell>
          <cell r="H166">
            <v>10.9678</v>
          </cell>
          <cell r="I166">
            <v>12.1671</v>
          </cell>
          <cell r="J166" t="str">
            <v>Income Statement</v>
          </cell>
          <cell r="K166" t="str">
            <v>Operating expenses</v>
          </cell>
          <cell r="L166" t="str">
            <v>Commission expense</v>
          </cell>
          <cell r="N166">
            <v>1534.8768400029589</v>
          </cell>
          <cell r="O166">
            <v>40940</v>
          </cell>
        </row>
        <row r="167">
          <cell r="G167" t="str">
            <v>3407000</v>
          </cell>
          <cell r="H167">
            <v>10.9678</v>
          </cell>
          <cell r="I167">
            <v>12.1671</v>
          </cell>
          <cell r="J167" t="str">
            <v>Income Statement</v>
          </cell>
          <cell r="K167" t="str">
            <v>Operating expenses</v>
          </cell>
          <cell r="L167" t="str">
            <v>Commission expense</v>
          </cell>
          <cell r="N167">
            <v>31741.828373236021</v>
          </cell>
          <cell r="O167">
            <v>40940</v>
          </cell>
        </row>
        <row r="168">
          <cell r="G168" t="str">
            <v>3408000</v>
          </cell>
          <cell r="H168">
            <v>10.9678</v>
          </cell>
          <cell r="I168">
            <v>12.1671</v>
          </cell>
          <cell r="J168" t="str">
            <v>Income Statement</v>
          </cell>
          <cell r="K168" t="str">
            <v>Operating expenses</v>
          </cell>
          <cell r="L168" t="str">
            <v>Compliance Fees</v>
          </cell>
          <cell r="N168">
            <v>906.54305463093101</v>
          </cell>
          <cell r="O168">
            <v>40940</v>
          </cell>
        </row>
        <row r="169">
          <cell r="G169" t="str">
            <v>3408000</v>
          </cell>
          <cell r="H169">
            <v>10.9678</v>
          </cell>
          <cell r="I169">
            <v>12.1671</v>
          </cell>
          <cell r="J169" t="str">
            <v>Income Statement</v>
          </cell>
          <cell r="K169" t="str">
            <v>Operating expenses</v>
          </cell>
          <cell r="L169" t="str">
            <v>Compliance Fees</v>
          </cell>
          <cell r="N169">
            <v>-246.56656064304559</v>
          </cell>
          <cell r="O169">
            <v>40940</v>
          </cell>
        </row>
        <row r="170">
          <cell r="G170" t="str">
            <v>3408000</v>
          </cell>
          <cell r="H170">
            <v>10.9678</v>
          </cell>
          <cell r="I170">
            <v>12.1671</v>
          </cell>
          <cell r="J170" t="str">
            <v>Income Statement</v>
          </cell>
          <cell r="K170" t="str">
            <v>Operating expenses</v>
          </cell>
          <cell r="L170" t="str">
            <v>Compliance Fees</v>
          </cell>
          <cell r="N170">
            <v>2136.9101922397285</v>
          </cell>
          <cell r="O170">
            <v>40940</v>
          </cell>
        </row>
        <row r="171">
          <cell r="G171" t="str">
            <v>3408000</v>
          </cell>
          <cell r="H171">
            <v>10.9678</v>
          </cell>
          <cell r="I171">
            <v>12.1671</v>
          </cell>
          <cell r="J171" t="str">
            <v>Income Statement</v>
          </cell>
          <cell r="K171" t="str">
            <v>Operating expenses</v>
          </cell>
          <cell r="L171" t="str">
            <v>Compliance Fees</v>
          </cell>
          <cell r="N171">
            <v>33268.65070559131</v>
          </cell>
          <cell r="O171">
            <v>40940</v>
          </cell>
        </row>
        <row r="172">
          <cell r="G172" t="str">
            <v>3409000</v>
          </cell>
          <cell r="H172">
            <v>10.9678</v>
          </cell>
          <cell r="I172">
            <v>12.1671</v>
          </cell>
          <cell r="J172" t="str">
            <v>Income Statement</v>
          </cell>
          <cell r="K172" t="str">
            <v>Operating expenses</v>
          </cell>
          <cell r="L172" t="str">
            <v>Computer Expenses</v>
          </cell>
          <cell r="N172">
            <v>2465.6656064304561</v>
          </cell>
          <cell r="O172">
            <v>40940</v>
          </cell>
        </row>
        <row r="173">
          <cell r="G173" t="str">
            <v>3409000</v>
          </cell>
          <cell r="H173">
            <v>10.9678</v>
          </cell>
          <cell r="I173">
            <v>12.1671</v>
          </cell>
          <cell r="J173" t="str">
            <v>Income Statement</v>
          </cell>
          <cell r="K173" t="str">
            <v>Operating expenses</v>
          </cell>
          <cell r="L173" t="str">
            <v>Computer Expenses</v>
          </cell>
          <cell r="N173">
            <v>2465.6656064304561</v>
          </cell>
          <cell r="O173">
            <v>40940</v>
          </cell>
        </row>
        <row r="174">
          <cell r="G174" t="str">
            <v>3409000</v>
          </cell>
          <cell r="H174">
            <v>10.9678</v>
          </cell>
          <cell r="I174">
            <v>12.1671</v>
          </cell>
          <cell r="J174" t="str">
            <v>Income Statement</v>
          </cell>
          <cell r="K174" t="str">
            <v>Operating expenses</v>
          </cell>
          <cell r="L174" t="str">
            <v>Computer Expenses</v>
          </cell>
          <cell r="N174">
            <v>2465.6656064304561</v>
          </cell>
          <cell r="O174">
            <v>40940</v>
          </cell>
        </row>
        <row r="175">
          <cell r="G175" t="str">
            <v>3409000</v>
          </cell>
          <cell r="H175">
            <v>10.9678</v>
          </cell>
          <cell r="I175">
            <v>12.1671</v>
          </cell>
          <cell r="J175" t="str">
            <v>Income Statement</v>
          </cell>
          <cell r="K175" t="str">
            <v>Operating expenses</v>
          </cell>
          <cell r="L175" t="str">
            <v>Computer Expenses</v>
          </cell>
          <cell r="N175">
            <v>2465.6656064304561</v>
          </cell>
          <cell r="O175">
            <v>40940</v>
          </cell>
        </row>
        <row r="176">
          <cell r="G176" t="str">
            <v>3409000</v>
          </cell>
          <cell r="H176">
            <v>10.9678</v>
          </cell>
          <cell r="I176">
            <v>12.1671</v>
          </cell>
          <cell r="J176" t="str">
            <v>Income Statement</v>
          </cell>
          <cell r="K176" t="str">
            <v>Operating expenses</v>
          </cell>
          <cell r="L176" t="str">
            <v>Computer Expenses</v>
          </cell>
          <cell r="N176">
            <v>2465.6656064304561</v>
          </cell>
          <cell r="O176">
            <v>40940</v>
          </cell>
        </row>
        <row r="177">
          <cell r="G177" t="str">
            <v>3409000</v>
          </cell>
          <cell r="H177">
            <v>10.9678</v>
          </cell>
          <cell r="I177">
            <v>12.1671</v>
          </cell>
          <cell r="J177" t="str">
            <v>Income Statement</v>
          </cell>
          <cell r="K177" t="str">
            <v>Operating expenses</v>
          </cell>
          <cell r="L177" t="str">
            <v>Computer Expenses</v>
          </cell>
          <cell r="N177">
            <v>3234.1313871012812</v>
          </cell>
          <cell r="O177">
            <v>40940</v>
          </cell>
        </row>
        <row r="178">
          <cell r="G178" t="str">
            <v>3409000</v>
          </cell>
          <cell r="H178">
            <v>10.9678</v>
          </cell>
          <cell r="I178">
            <v>12.1671</v>
          </cell>
          <cell r="J178" t="str">
            <v>Income Statement</v>
          </cell>
          <cell r="K178" t="str">
            <v>Operating expenses</v>
          </cell>
          <cell r="L178" t="str">
            <v>Computer Expenses</v>
          </cell>
          <cell r="N178">
            <v>2465.6656064304561</v>
          </cell>
          <cell r="O178">
            <v>40940</v>
          </cell>
        </row>
        <row r="179">
          <cell r="G179" t="str">
            <v>3409000</v>
          </cell>
          <cell r="H179">
            <v>10.9678</v>
          </cell>
          <cell r="I179">
            <v>12.1671</v>
          </cell>
          <cell r="J179" t="str">
            <v>Income Statement</v>
          </cell>
          <cell r="K179" t="str">
            <v>Operating expenses</v>
          </cell>
          <cell r="L179" t="str">
            <v>Computer Expenses</v>
          </cell>
          <cell r="N179">
            <v>2465.6656064304561</v>
          </cell>
          <cell r="O179">
            <v>40940</v>
          </cell>
        </row>
        <row r="180">
          <cell r="G180" t="str">
            <v>3409000</v>
          </cell>
          <cell r="H180">
            <v>10.9678</v>
          </cell>
          <cell r="I180">
            <v>12.1671</v>
          </cell>
          <cell r="J180" t="str">
            <v>Income Statement</v>
          </cell>
          <cell r="K180" t="str">
            <v>Operating expenses</v>
          </cell>
          <cell r="L180" t="str">
            <v>Computer Expenses</v>
          </cell>
          <cell r="N180">
            <v>43797.433242103711</v>
          </cell>
          <cell r="O180">
            <v>40940</v>
          </cell>
        </row>
        <row r="181">
          <cell r="G181" t="str">
            <v>3411000</v>
          </cell>
          <cell r="H181">
            <v>10.9678</v>
          </cell>
          <cell r="I181">
            <v>12.1671</v>
          </cell>
          <cell r="J181" t="str">
            <v>Income Statement</v>
          </cell>
          <cell r="K181" t="str">
            <v>Operating expenses</v>
          </cell>
          <cell r="L181" t="str">
            <v>Consulting and professional fees</v>
          </cell>
          <cell r="N181">
            <v>65192.198634021253</v>
          </cell>
          <cell r="O181">
            <v>40940</v>
          </cell>
        </row>
        <row r="182">
          <cell r="G182" t="str">
            <v>3412000</v>
          </cell>
          <cell r="H182">
            <v>10.9678</v>
          </cell>
          <cell r="I182">
            <v>12.1671</v>
          </cell>
          <cell r="J182" t="str">
            <v>Income Statement</v>
          </cell>
          <cell r="K182" t="str">
            <v>Operating expenses</v>
          </cell>
          <cell r="L182" t="str">
            <v>Corporate Social Investment</v>
          </cell>
          <cell r="N182">
            <v>30820.820080380701</v>
          </cell>
          <cell r="O182">
            <v>40940</v>
          </cell>
        </row>
        <row r="183">
          <cell r="G183" t="str">
            <v>3413000</v>
          </cell>
          <cell r="H183">
            <v>10.9678</v>
          </cell>
          <cell r="I183">
            <v>12.1671</v>
          </cell>
          <cell r="J183" t="str">
            <v>Income Statement</v>
          </cell>
          <cell r="K183" t="str">
            <v>Operating expenses</v>
          </cell>
          <cell r="L183" t="str">
            <v>Processing and collection costs</v>
          </cell>
          <cell r="N183">
            <v>679.29087457159062</v>
          </cell>
          <cell r="O183">
            <v>40940</v>
          </cell>
        </row>
        <row r="184">
          <cell r="G184" t="str">
            <v>3413000</v>
          </cell>
          <cell r="H184">
            <v>10.9678</v>
          </cell>
          <cell r="I184">
            <v>12.1671</v>
          </cell>
          <cell r="J184" t="str">
            <v>Income Statement</v>
          </cell>
          <cell r="K184" t="str">
            <v>Operating expenses</v>
          </cell>
          <cell r="L184" t="str">
            <v>Processing and collection costs</v>
          </cell>
          <cell r="N184">
            <v>141.36482810201281</v>
          </cell>
          <cell r="O184">
            <v>40940</v>
          </cell>
        </row>
        <row r="185">
          <cell r="G185" t="str">
            <v>3413000</v>
          </cell>
          <cell r="H185">
            <v>10.9678</v>
          </cell>
          <cell r="I185">
            <v>12.1671</v>
          </cell>
          <cell r="J185" t="str">
            <v>Income Statement</v>
          </cell>
          <cell r="K185" t="str">
            <v>Operating expenses</v>
          </cell>
          <cell r="L185" t="str">
            <v>Processing and collection costs</v>
          </cell>
          <cell r="N185">
            <v>39.861593970625705</v>
          </cell>
          <cell r="O185">
            <v>40940</v>
          </cell>
        </row>
        <row r="186">
          <cell r="G186" t="str">
            <v>3413000</v>
          </cell>
          <cell r="H186">
            <v>10.9678</v>
          </cell>
          <cell r="I186">
            <v>12.1671</v>
          </cell>
          <cell r="J186" t="str">
            <v>Income Statement</v>
          </cell>
          <cell r="K186" t="str">
            <v>Operating expenses</v>
          </cell>
          <cell r="L186" t="str">
            <v>Processing and collection costs</v>
          </cell>
          <cell r="N186">
            <v>14.383049370844327</v>
          </cell>
          <cell r="O186">
            <v>40940</v>
          </cell>
        </row>
        <row r="187">
          <cell r="G187" t="str">
            <v>3413000</v>
          </cell>
          <cell r="H187">
            <v>10.9678</v>
          </cell>
          <cell r="I187">
            <v>12.1671</v>
          </cell>
          <cell r="J187" t="str">
            <v>Income Statement</v>
          </cell>
          <cell r="K187" t="str">
            <v>Operating expenses</v>
          </cell>
          <cell r="L187" t="str">
            <v>Processing and collection costs</v>
          </cell>
          <cell r="N187">
            <v>75.202800996128914</v>
          </cell>
          <cell r="O187">
            <v>40940</v>
          </cell>
        </row>
        <row r="188">
          <cell r="G188" t="str">
            <v>3413000</v>
          </cell>
          <cell r="H188">
            <v>10.9678</v>
          </cell>
          <cell r="I188">
            <v>12.1671</v>
          </cell>
          <cell r="J188" t="str">
            <v>Income Statement</v>
          </cell>
          <cell r="K188" t="str">
            <v>Operating expenses</v>
          </cell>
          <cell r="L188" t="str">
            <v>Processing and collection costs</v>
          </cell>
          <cell r="N188">
            <v>27309.376926301255</v>
          </cell>
          <cell r="O188">
            <v>40940</v>
          </cell>
        </row>
        <row r="189">
          <cell r="G189" t="str">
            <v>3413000</v>
          </cell>
          <cell r="H189">
            <v>10.9678</v>
          </cell>
          <cell r="I189">
            <v>12.1671</v>
          </cell>
          <cell r="J189" t="str">
            <v>Income Statement</v>
          </cell>
          <cell r="K189" t="str">
            <v>Operating expenses</v>
          </cell>
          <cell r="L189" t="str">
            <v>Processing and collection costs</v>
          </cell>
          <cell r="N189">
            <v>-739.51064756597714</v>
          </cell>
          <cell r="O189">
            <v>40940</v>
          </cell>
        </row>
        <row r="190">
          <cell r="G190" t="str">
            <v>3416000</v>
          </cell>
          <cell r="H190">
            <v>10.9678</v>
          </cell>
          <cell r="I190">
            <v>12.1671</v>
          </cell>
          <cell r="J190" t="str">
            <v>Income Statement</v>
          </cell>
          <cell r="K190" t="str">
            <v>Operating expenses</v>
          </cell>
          <cell r="L190" t="str">
            <v>Office Expenses</v>
          </cell>
          <cell r="M190" t="str">
            <v>Electricity and water</v>
          </cell>
          <cell r="N190">
            <v>1386.3780194130072</v>
          </cell>
          <cell r="O190">
            <v>40940</v>
          </cell>
        </row>
        <row r="191">
          <cell r="G191" t="str">
            <v>3416000</v>
          </cell>
          <cell r="H191">
            <v>10.9678</v>
          </cell>
          <cell r="I191">
            <v>12.1671</v>
          </cell>
          <cell r="J191" t="str">
            <v>Income Statement</v>
          </cell>
          <cell r="K191" t="str">
            <v>Operating expenses</v>
          </cell>
          <cell r="L191" t="str">
            <v>Office Expenses</v>
          </cell>
          <cell r="M191" t="str">
            <v>Electricity and water</v>
          </cell>
          <cell r="N191">
            <v>1694.9314134017147</v>
          </cell>
          <cell r="O191">
            <v>40940</v>
          </cell>
        </row>
        <row r="192">
          <cell r="G192" t="str">
            <v>3416000</v>
          </cell>
          <cell r="H192">
            <v>10.9678</v>
          </cell>
          <cell r="I192">
            <v>12.1671</v>
          </cell>
          <cell r="J192" t="str">
            <v>Income Statement</v>
          </cell>
          <cell r="K192" t="str">
            <v>Operating expenses</v>
          </cell>
          <cell r="L192" t="str">
            <v>Office Expenses</v>
          </cell>
          <cell r="M192" t="str">
            <v>Electricity and water</v>
          </cell>
          <cell r="N192">
            <v>2819.9077841063195</v>
          </cell>
          <cell r="O192">
            <v>40940</v>
          </cell>
        </row>
        <row r="193">
          <cell r="G193" t="str">
            <v>3416000</v>
          </cell>
          <cell r="H193">
            <v>10.9678</v>
          </cell>
          <cell r="I193">
            <v>12.1671</v>
          </cell>
          <cell r="J193" t="str">
            <v>Income Statement</v>
          </cell>
          <cell r="K193" t="str">
            <v>Operating expenses</v>
          </cell>
          <cell r="L193" t="str">
            <v>Office Expenses</v>
          </cell>
          <cell r="M193" t="str">
            <v>Electricity and water</v>
          </cell>
          <cell r="N193">
            <v>4370.5731028757882</v>
          </cell>
          <cell r="O193">
            <v>40940</v>
          </cell>
        </row>
        <row r="194">
          <cell r="G194" t="str">
            <v>3416000</v>
          </cell>
          <cell r="H194">
            <v>10.9678</v>
          </cell>
          <cell r="I194">
            <v>12.1671</v>
          </cell>
          <cell r="J194" t="str">
            <v>Income Statement</v>
          </cell>
          <cell r="K194" t="str">
            <v>Operating expenses</v>
          </cell>
          <cell r="L194" t="str">
            <v>Office Expenses</v>
          </cell>
          <cell r="M194" t="str">
            <v>Electricity and water</v>
          </cell>
          <cell r="N194">
            <v>5612.8411864782902</v>
          </cell>
          <cell r="O194">
            <v>40940</v>
          </cell>
        </row>
        <row r="195">
          <cell r="G195" t="str">
            <v>3416000</v>
          </cell>
          <cell r="H195">
            <v>10.9678</v>
          </cell>
          <cell r="I195">
            <v>12.1671</v>
          </cell>
          <cell r="J195" t="str">
            <v>Income Statement</v>
          </cell>
          <cell r="K195" t="str">
            <v>Operating expenses</v>
          </cell>
          <cell r="L195" t="str">
            <v>Office Expenses</v>
          </cell>
          <cell r="M195" t="str">
            <v>Electricity and water</v>
          </cell>
          <cell r="N195">
            <v>2070.0166843372704</v>
          </cell>
          <cell r="O195">
            <v>40940</v>
          </cell>
        </row>
        <row r="196">
          <cell r="G196" t="str">
            <v>3416000</v>
          </cell>
          <cell r="H196">
            <v>10.9678</v>
          </cell>
          <cell r="I196">
            <v>12.1671</v>
          </cell>
          <cell r="J196" t="str">
            <v>Income Statement</v>
          </cell>
          <cell r="K196" t="str">
            <v>Operating expenses</v>
          </cell>
          <cell r="L196" t="str">
            <v>Office Expenses</v>
          </cell>
          <cell r="M196" t="str">
            <v>Electricity and water</v>
          </cell>
          <cell r="N196">
            <v>2384.8082123102467</v>
          </cell>
          <cell r="O196">
            <v>40940</v>
          </cell>
        </row>
        <row r="197">
          <cell r="G197" t="str">
            <v>3416000</v>
          </cell>
          <cell r="H197">
            <v>10.9678</v>
          </cell>
          <cell r="I197">
            <v>12.1671</v>
          </cell>
          <cell r="J197" t="str">
            <v>Income Statement</v>
          </cell>
          <cell r="K197" t="str">
            <v>Operating expenses</v>
          </cell>
          <cell r="L197" t="str">
            <v>Office Expenses</v>
          </cell>
          <cell r="M197" t="str">
            <v>Electricity and water</v>
          </cell>
          <cell r="N197">
            <v>905.72116609545412</v>
          </cell>
          <cell r="O197">
            <v>40940</v>
          </cell>
        </row>
        <row r="198">
          <cell r="G198" t="str">
            <v>3416000</v>
          </cell>
          <cell r="H198">
            <v>10.9678</v>
          </cell>
          <cell r="I198">
            <v>12.1671</v>
          </cell>
          <cell r="J198" t="str">
            <v>Income Statement</v>
          </cell>
          <cell r="K198" t="str">
            <v>Operating expenses</v>
          </cell>
          <cell r="L198" t="str">
            <v>Office Expenses</v>
          </cell>
          <cell r="M198" t="str">
            <v>Electricity and water</v>
          </cell>
          <cell r="N198">
            <v>62368.412357916015</v>
          </cell>
          <cell r="O198">
            <v>40940</v>
          </cell>
        </row>
        <row r="199">
          <cell r="G199" t="str">
            <v>3416000</v>
          </cell>
          <cell r="H199">
            <v>10.9678</v>
          </cell>
          <cell r="I199">
            <v>12.1671</v>
          </cell>
          <cell r="J199" t="str">
            <v>Income Statement</v>
          </cell>
          <cell r="K199" t="str">
            <v>Operating expenses</v>
          </cell>
          <cell r="L199" t="str">
            <v>Office Expenses</v>
          </cell>
          <cell r="M199" t="str">
            <v>Electricity and water</v>
          </cell>
          <cell r="N199">
            <v>12216.551191327433</v>
          </cell>
          <cell r="O199">
            <v>40940</v>
          </cell>
        </row>
        <row r="200">
          <cell r="G200" t="str">
            <v>3417000</v>
          </cell>
          <cell r="H200">
            <v>10.9678</v>
          </cell>
          <cell r="I200">
            <v>12.1671</v>
          </cell>
          <cell r="J200" t="str">
            <v>Income Statement</v>
          </cell>
          <cell r="K200" t="str">
            <v>Operating expenses</v>
          </cell>
          <cell r="L200" t="str">
            <v>Entertainment</v>
          </cell>
          <cell r="N200">
            <v>1232.8328032152281</v>
          </cell>
          <cell r="O200">
            <v>40940</v>
          </cell>
        </row>
        <row r="201">
          <cell r="G201" t="str">
            <v>3417000</v>
          </cell>
          <cell r="H201">
            <v>10.9678</v>
          </cell>
          <cell r="I201">
            <v>12.1671</v>
          </cell>
          <cell r="J201" t="str">
            <v>Income Statement</v>
          </cell>
          <cell r="K201" t="str">
            <v>Operating expenses</v>
          </cell>
          <cell r="L201" t="str">
            <v>Entertainment</v>
          </cell>
          <cell r="N201">
            <v>1602.6826441797964</v>
          </cell>
          <cell r="O201">
            <v>40940</v>
          </cell>
        </row>
        <row r="202">
          <cell r="G202" t="str">
            <v>3417000</v>
          </cell>
          <cell r="H202">
            <v>10.9678</v>
          </cell>
          <cell r="I202">
            <v>12.1671</v>
          </cell>
          <cell r="J202" t="str">
            <v>Income Statement</v>
          </cell>
          <cell r="K202" t="str">
            <v>Operating expenses</v>
          </cell>
          <cell r="L202" t="str">
            <v>Entertainment</v>
          </cell>
          <cell r="N202">
            <v>1356.1160835367507</v>
          </cell>
          <cell r="O202">
            <v>40940</v>
          </cell>
        </row>
        <row r="203">
          <cell r="G203" t="str">
            <v>3417000</v>
          </cell>
          <cell r="H203">
            <v>10.9678</v>
          </cell>
          <cell r="I203">
            <v>12.1671</v>
          </cell>
          <cell r="J203" t="str">
            <v>Income Statement</v>
          </cell>
          <cell r="K203" t="str">
            <v>Operating expenses</v>
          </cell>
          <cell r="L203" t="str">
            <v>Entertainment</v>
          </cell>
          <cell r="N203">
            <v>2465.6656064304561</v>
          </cell>
          <cell r="O203">
            <v>40940</v>
          </cell>
        </row>
        <row r="204">
          <cell r="G204" t="str">
            <v>3417000</v>
          </cell>
          <cell r="H204">
            <v>10.9678</v>
          </cell>
          <cell r="I204">
            <v>12.1671</v>
          </cell>
          <cell r="J204" t="str">
            <v>Income Statement</v>
          </cell>
          <cell r="K204" t="str">
            <v>Operating expenses</v>
          </cell>
          <cell r="L204" t="str">
            <v>Entertainment</v>
          </cell>
          <cell r="N204">
            <v>1479.3993638582735</v>
          </cell>
          <cell r="O204">
            <v>40940</v>
          </cell>
        </row>
        <row r="205">
          <cell r="G205" t="str">
            <v>3417000</v>
          </cell>
          <cell r="H205">
            <v>10.9678</v>
          </cell>
          <cell r="I205">
            <v>12.1671</v>
          </cell>
          <cell r="J205" t="str">
            <v>Income Statement</v>
          </cell>
          <cell r="K205" t="str">
            <v>Operating expenses</v>
          </cell>
          <cell r="L205" t="str">
            <v>Entertainment</v>
          </cell>
          <cell r="N205">
            <v>3279.3352565525065</v>
          </cell>
          <cell r="O205">
            <v>40940</v>
          </cell>
        </row>
        <row r="206">
          <cell r="G206" t="str">
            <v>3417000</v>
          </cell>
          <cell r="H206">
            <v>10.9678</v>
          </cell>
          <cell r="I206">
            <v>12.1671</v>
          </cell>
          <cell r="J206" t="str">
            <v>Income Statement</v>
          </cell>
          <cell r="K206" t="str">
            <v>Operating expenses</v>
          </cell>
          <cell r="L206" t="str">
            <v>Entertainment</v>
          </cell>
          <cell r="N206">
            <v>1972.5324851443647</v>
          </cell>
          <cell r="O206">
            <v>40940</v>
          </cell>
        </row>
        <row r="207">
          <cell r="G207" t="str">
            <v>3417000</v>
          </cell>
          <cell r="H207">
            <v>10.9678</v>
          </cell>
          <cell r="I207">
            <v>12.1671</v>
          </cell>
          <cell r="J207" t="str">
            <v>Income Statement</v>
          </cell>
          <cell r="K207" t="str">
            <v>Operating expenses</v>
          </cell>
          <cell r="L207" t="str">
            <v>Entertainment</v>
          </cell>
          <cell r="N207">
            <v>11474.385843791866</v>
          </cell>
          <cell r="O207">
            <v>40940</v>
          </cell>
        </row>
        <row r="208">
          <cell r="G208" t="str">
            <v>3420000</v>
          </cell>
          <cell r="H208">
            <v>10.9678</v>
          </cell>
          <cell r="I208">
            <v>12.1671</v>
          </cell>
          <cell r="J208" t="str">
            <v>Income Statement</v>
          </cell>
          <cell r="K208" t="str">
            <v>Operating expenses</v>
          </cell>
          <cell r="L208" t="str">
            <v>Insurance &amp; licence fees</v>
          </cell>
          <cell r="N208">
            <v>58349.565631909005</v>
          </cell>
          <cell r="O208">
            <v>40940</v>
          </cell>
        </row>
        <row r="209">
          <cell r="G209" t="str">
            <v>3421000</v>
          </cell>
          <cell r="H209">
            <v>10.9678</v>
          </cell>
          <cell r="I209">
            <v>12.1671</v>
          </cell>
          <cell r="J209" t="str">
            <v>Income Statement</v>
          </cell>
          <cell r="K209" t="str">
            <v>Operating expenses</v>
          </cell>
          <cell r="L209" t="str">
            <v>Legal expenses</v>
          </cell>
          <cell r="M209" t="str">
            <v>Capital nature</v>
          </cell>
          <cell r="N209">
            <v>141323.79449499058</v>
          </cell>
          <cell r="O209">
            <v>40940</v>
          </cell>
        </row>
        <row r="210">
          <cell r="G210" t="str">
            <v>3421000</v>
          </cell>
          <cell r="H210">
            <v>10.9678</v>
          </cell>
          <cell r="I210">
            <v>12.1671</v>
          </cell>
          <cell r="J210" t="str">
            <v>Income Statement</v>
          </cell>
          <cell r="K210" t="str">
            <v>Operating expenses</v>
          </cell>
          <cell r="L210" t="str">
            <v>Legal expenses</v>
          </cell>
          <cell r="M210" t="str">
            <v>Capital nature</v>
          </cell>
          <cell r="N210">
            <v>-15396.026990819506</v>
          </cell>
          <cell r="O210">
            <v>40940</v>
          </cell>
        </row>
        <row r="211">
          <cell r="G211" t="str">
            <v>3422000</v>
          </cell>
          <cell r="H211">
            <v>10.9678</v>
          </cell>
          <cell r="I211">
            <v>12.1671</v>
          </cell>
          <cell r="J211" t="str">
            <v>Income Statement</v>
          </cell>
          <cell r="K211" t="str">
            <v>Operating expenses</v>
          </cell>
          <cell r="L211" t="str">
            <v>Legal expenses</v>
          </cell>
          <cell r="M211" t="str">
            <v>Expense nature</v>
          </cell>
          <cell r="N211">
            <v>944896.976272078</v>
          </cell>
          <cell r="O211">
            <v>40940</v>
          </cell>
        </row>
        <row r="212">
          <cell r="G212" t="str">
            <v>3422000</v>
          </cell>
          <cell r="H212">
            <v>10.9678</v>
          </cell>
          <cell r="I212">
            <v>12.1671</v>
          </cell>
          <cell r="J212" t="str">
            <v>Income Statement</v>
          </cell>
          <cell r="K212" t="str">
            <v>Operating expenses</v>
          </cell>
          <cell r="L212" t="str">
            <v>Legal expenses</v>
          </cell>
          <cell r="M212" t="str">
            <v>Expense nature</v>
          </cell>
          <cell r="N212">
            <v>14560.141693583517</v>
          </cell>
          <cell r="O212">
            <v>40940</v>
          </cell>
        </row>
        <row r="213">
          <cell r="G213" t="str">
            <v>3425000</v>
          </cell>
          <cell r="H213">
            <v>10.9678</v>
          </cell>
          <cell r="I213">
            <v>12.1671</v>
          </cell>
          <cell r="J213" t="str">
            <v>Income Statement</v>
          </cell>
          <cell r="K213" t="str">
            <v>Operating expenses</v>
          </cell>
          <cell r="L213" t="str">
            <v>Advertising</v>
          </cell>
          <cell r="N213">
            <v>123.2832803215228</v>
          </cell>
          <cell r="O213">
            <v>40940</v>
          </cell>
        </row>
        <row r="214">
          <cell r="G214" t="str">
            <v>3425000</v>
          </cell>
          <cell r="H214">
            <v>10.9678</v>
          </cell>
          <cell r="I214">
            <v>12.1671</v>
          </cell>
          <cell r="J214" t="str">
            <v>Income Statement</v>
          </cell>
          <cell r="K214" t="str">
            <v>Operating expenses</v>
          </cell>
          <cell r="L214" t="str">
            <v>Advertising</v>
          </cell>
          <cell r="N214">
            <v>252.73072465912173</v>
          </cell>
          <cell r="O214">
            <v>40940</v>
          </cell>
        </row>
        <row r="215">
          <cell r="G215" t="str">
            <v>3425000</v>
          </cell>
          <cell r="H215">
            <v>10.9678</v>
          </cell>
          <cell r="I215">
            <v>12.1671</v>
          </cell>
          <cell r="J215" t="str">
            <v>Income Statement</v>
          </cell>
          <cell r="K215" t="str">
            <v>Operating expenses</v>
          </cell>
          <cell r="L215" t="str">
            <v>Advertising</v>
          </cell>
          <cell r="N215">
            <v>756.13745263867315</v>
          </cell>
          <cell r="O215">
            <v>40940</v>
          </cell>
        </row>
        <row r="216">
          <cell r="G216" t="str">
            <v>3425000</v>
          </cell>
          <cell r="H216">
            <v>10.9678</v>
          </cell>
          <cell r="I216">
            <v>12.1671</v>
          </cell>
          <cell r="J216" t="str">
            <v>Income Statement</v>
          </cell>
          <cell r="K216" t="str">
            <v>Operating expenses</v>
          </cell>
          <cell r="L216" t="str">
            <v>Advertising</v>
          </cell>
          <cell r="N216">
            <v>2210.8801604326422</v>
          </cell>
          <cell r="O216">
            <v>40940</v>
          </cell>
        </row>
        <row r="217">
          <cell r="G217" t="str">
            <v>3425000</v>
          </cell>
          <cell r="H217">
            <v>10.9678</v>
          </cell>
          <cell r="I217">
            <v>12.1671</v>
          </cell>
          <cell r="J217" t="str">
            <v>Income Statement</v>
          </cell>
          <cell r="K217" t="str">
            <v>Operating expenses</v>
          </cell>
          <cell r="L217" t="str">
            <v>Advertising</v>
          </cell>
          <cell r="N217">
            <v>1972.5324851443647</v>
          </cell>
          <cell r="O217">
            <v>40940</v>
          </cell>
        </row>
        <row r="218">
          <cell r="G218" t="str">
            <v>3425000</v>
          </cell>
          <cell r="H218">
            <v>10.9678</v>
          </cell>
          <cell r="I218">
            <v>12.1671</v>
          </cell>
          <cell r="J218" t="str">
            <v>Income Statement</v>
          </cell>
          <cell r="K218" t="str">
            <v>Operating expenses</v>
          </cell>
          <cell r="L218" t="str">
            <v>Advertising</v>
          </cell>
          <cell r="N218">
            <v>1261.5989019569167</v>
          </cell>
          <cell r="O218">
            <v>40940</v>
          </cell>
        </row>
        <row r="219">
          <cell r="G219" t="str">
            <v>3425000</v>
          </cell>
          <cell r="H219">
            <v>10.9678</v>
          </cell>
          <cell r="I219">
            <v>12.1671</v>
          </cell>
          <cell r="J219" t="str">
            <v>Income Statement</v>
          </cell>
          <cell r="K219" t="str">
            <v>Operating expenses</v>
          </cell>
          <cell r="L219" t="str">
            <v>Advertising</v>
          </cell>
          <cell r="N219">
            <v>131.50216567629099</v>
          </cell>
          <cell r="O219">
            <v>40940</v>
          </cell>
        </row>
        <row r="220">
          <cell r="G220" t="str">
            <v>3425000</v>
          </cell>
          <cell r="H220">
            <v>10.9678</v>
          </cell>
          <cell r="I220">
            <v>12.1671</v>
          </cell>
          <cell r="J220" t="str">
            <v>Income Statement</v>
          </cell>
          <cell r="K220" t="str">
            <v>Operating expenses</v>
          </cell>
          <cell r="L220" t="str">
            <v>Advertising</v>
          </cell>
          <cell r="N220">
            <v>603743.70227909693</v>
          </cell>
          <cell r="O220">
            <v>40940</v>
          </cell>
        </row>
        <row r="221">
          <cell r="G221" t="str">
            <v>3427000</v>
          </cell>
          <cell r="H221">
            <v>10.9678</v>
          </cell>
          <cell r="I221">
            <v>12.1671</v>
          </cell>
          <cell r="J221" t="str">
            <v>Income Statement</v>
          </cell>
          <cell r="K221" t="str">
            <v>Operating expenses</v>
          </cell>
          <cell r="L221" t="str">
            <v>Advertising</v>
          </cell>
          <cell r="N221">
            <v>49.31331212860912</v>
          </cell>
          <cell r="O221">
            <v>40940</v>
          </cell>
        </row>
        <row r="222">
          <cell r="G222" t="str">
            <v>3428000</v>
          </cell>
          <cell r="H222">
            <v>10.9678</v>
          </cell>
          <cell r="I222">
            <v>12.1671</v>
          </cell>
          <cell r="J222" t="str">
            <v>Income Statement</v>
          </cell>
          <cell r="K222" t="str">
            <v>Operating expenses</v>
          </cell>
          <cell r="L222" t="str">
            <v>Advertising</v>
          </cell>
          <cell r="N222">
            <v>762.71256092248768</v>
          </cell>
          <cell r="O222">
            <v>40940</v>
          </cell>
        </row>
        <row r="223">
          <cell r="G223" t="str">
            <v>3428000</v>
          </cell>
          <cell r="H223">
            <v>10.9678</v>
          </cell>
          <cell r="I223">
            <v>12.1671</v>
          </cell>
          <cell r="J223" t="str">
            <v>Income Statement</v>
          </cell>
          <cell r="K223" t="str">
            <v>Operating expenses</v>
          </cell>
          <cell r="L223" t="str">
            <v>Advertising</v>
          </cell>
          <cell r="N223">
            <v>861929.30114817829</v>
          </cell>
          <cell r="O223">
            <v>40940</v>
          </cell>
        </row>
        <row r="224">
          <cell r="G224" t="str">
            <v>3429000</v>
          </cell>
          <cell r="H224">
            <v>10.9678</v>
          </cell>
          <cell r="I224">
            <v>12.1671</v>
          </cell>
          <cell r="J224" t="str">
            <v>Income Statement</v>
          </cell>
          <cell r="K224" t="str">
            <v>Operating expenses</v>
          </cell>
          <cell r="L224" t="str">
            <v>Advertising</v>
          </cell>
          <cell r="N224">
            <v>476.6953505765548</v>
          </cell>
          <cell r="O224">
            <v>40940</v>
          </cell>
        </row>
        <row r="225">
          <cell r="G225" t="str">
            <v>3429000</v>
          </cell>
          <cell r="H225">
            <v>10.9678</v>
          </cell>
          <cell r="I225">
            <v>12.1671</v>
          </cell>
          <cell r="J225" t="str">
            <v>Income Statement</v>
          </cell>
          <cell r="K225" t="str">
            <v>Operating expenses</v>
          </cell>
          <cell r="L225" t="str">
            <v>Advertising</v>
          </cell>
          <cell r="N225">
            <v>493.13312128609118</v>
          </cell>
          <cell r="O225">
            <v>40940</v>
          </cell>
        </row>
        <row r="226">
          <cell r="G226" t="str">
            <v>3429000</v>
          </cell>
          <cell r="H226">
            <v>10.9678</v>
          </cell>
          <cell r="I226">
            <v>12.1671</v>
          </cell>
          <cell r="J226" t="str">
            <v>Income Statement</v>
          </cell>
          <cell r="K226" t="str">
            <v>Operating expenses</v>
          </cell>
          <cell r="L226" t="str">
            <v>Advertising</v>
          </cell>
          <cell r="N226">
            <v>8136.6965012205046</v>
          </cell>
          <cell r="O226">
            <v>40940</v>
          </cell>
        </row>
        <row r="227">
          <cell r="G227" t="str">
            <v>3429000</v>
          </cell>
          <cell r="H227">
            <v>10.9678</v>
          </cell>
          <cell r="I227">
            <v>12.1671</v>
          </cell>
          <cell r="J227" t="str">
            <v>Income Statement</v>
          </cell>
          <cell r="K227" t="str">
            <v>Operating expenses</v>
          </cell>
          <cell r="L227" t="str">
            <v>Advertising</v>
          </cell>
          <cell r="N227">
            <v>493.13312128609118</v>
          </cell>
          <cell r="O227">
            <v>40940</v>
          </cell>
        </row>
        <row r="228">
          <cell r="G228" t="str">
            <v>3429000</v>
          </cell>
          <cell r="H228">
            <v>10.9678</v>
          </cell>
          <cell r="I228">
            <v>12.1671</v>
          </cell>
          <cell r="J228" t="str">
            <v>Income Statement</v>
          </cell>
          <cell r="K228" t="str">
            <v>Operating expenses</v>
          </cell>
          <cell r="L228" t="str">
            <v>Advertising</v>
          </cell>
          <cell r="N228">
            <v>2568.4016733650583</v>
          </cell>
          <cell r="O228">
            <v>40940</v>
          </cell>
        </row>
        <row r="229">
          <cell r="G229" t="str">
            <v>3429000</v>
          </cell>
          <cell r="H229">
            <v>10.9678</v>
          </cell>
          <cell r="I229">
            <v>12.1671</v>
          </cell>
          <cell r="J229" t="str">
            <v>Income Statement</v>
          </cell>
          <cell r="K229" t="str">
            <v>Operating expenses</v>
          </cell>
          <cell r="L229" t="str">
            <v>Advertising</v>
          </cell>
          <cell r="N229">
            <v>246.56656064304559</v>
          </cell>
          <cell r="O229">
            <v>40940</v>
          </cell>
        </row>
        <row r="230">
          <cell r="G230" t="str">
            <v>3429000</v>
          </cell>
          <cell r="H230">
            <v>10.9678</v>
          </cell>
          <cell r="I230">
            <v>12.1671</v>
          </cell>
          <cell r="J230" t="str">
            <v>Income Statement</v>
          </cell>
          <cell r="K230" t="str">
            <v>Operating expenses</v>
          </cell>
          <cell r="L230" t="str">
            <v>Advertising</v>
          </cell>
          <cell r="N230">
            <v>86360.036491850973</v>
          </cell>
          <cell r="O230">
            <v>40940</v>
          </cell>
        </row>
        <row r="231">
          <cell r="G231" t="str">
            <v>3430000</v>
          </cell>
          <cell r="H231">
            <v>10.9678</v>
          </cell>
          <cell r="I231">
            <v>12.1671</v>
          </cell>
          <cell r="J231" t="str">
            <v>Income Statement</v>
          </cell>
          <cell r="K231" t="str">
            <v>Operating expenses</v>
          </cell>
          <cell r="L231" t="str">
            <v>Office Expenses</v>
          </cell>
          <cell r="M231" t="str">
            <v>Office expenses</v>
          </cell>
          <cell r="N231">
            <v>14070.731727363136</v>
          </cell>
          <cell r="O231">
            <v>40940</v>
          </cell>
        </row>
        <row r="232">
          <cell r="G232" t="str">
            <v>3430000</v>
          </cell>
          <cell r="H232">
            <v>10.9678</v>
          </cell>
          <cell r="I232">
            <v>12.1671</v>
          </cell>
          <cell r="J232" t="str">
            <v>Income Statement</v>
          </cell>
          <cell r="K232" t="str">
            <v>Operating expenses</v>
          </cell>
          <cell r="L232" t="str">
            <v>Office Expenses</v>
          </cell>
          <cell r="M232" t="str">
            <v>Office expenses</v>
          </cell>
          <cell r="N232">
            <v>21578.765687797422</v>
          </cell>
          <cell r="O232">
            <v>40940</v>
          </cell>
        </row>
        <row r="233">
          <cell r="G233" t="str">
            <v>3431000</v>
          </cell>
          <cell r="H233">
            <v>10.9678</v>
          </cell>
          <cell r="I233">
            <v>12.1671</v>
          </cell>
          <cell r="J233" t="str">
            <v>Income Statement</v>
          </cell>
          <cell r="K233" t="str">
            <v>Operating expenses</v>
          </cell>
          <cell r="L233" t="str">
            <v>Office Expenses</v>
          </cell>
          <cell r="M233" t="str">
            <v>Parking costs</v>
          </cell>
          <cell r="N233">
            <v>314.78330908762155</v>
          </cell>
          <cell r="O233">
            <v>40940</v>
          </cell>
        </row>
        <row r="234">
          <cell r="G234" t="str">
            <v>3433000</v>
          </cell>
          <cell r="H234">
            <v>10.9678</v>
          </cell>
          <cell r="I234">
            <v>12.1671</v>
          </cell>
          <cell r="J234" t="str">
            <v>Income Statement</v>
          </cell>
          <cell r="K234" t="str">
            <v>Operating expenses</v>
          </cell>
          <cell r="L234" t="str">
            <v>Motor Vehicle Expenses</v>
          </cell>
          <cell r="M234" t="str">
            <v>Petrol and oil- vehicles</v>
          </cell>
          <cell r="N234">
            <v>48500.546555876092</v>
          </cell>
          <cell r="O234">
            <v>40940</v>
          </cell>
        </row>
        <row r="235">
          <cell r="G235" t="str">
            <v>3435000</v>
          </cell>
          <cell r="H235">
            <v>10.9678</v>
          </cell>
          <cell r="I235">
            <v>12.1671</v>
          </cell>
          <cell r="J235" t="str">
            <v>Income Statement</v>
          </cell>
          <cell r="K235" t="str">
            <v>Operating expenses</v>
          </cell>
          <cell r="L235" t="str">
            <v>Printing, Postage and Stationary</v>
          </cell>
          <cell r="N235">
            <v>1408.5525721001718</v>
          </cell>
          <cell r="O235">
            <v>40940</v>
          </cell>
        </row>
        <row r="236">
          <cell r="G236" t="str">
            <v>3435000</v>
          </cell>
          <cell r="H236">
            <v>10.9678</v>
          </cell>
          <cell r="I236">
            <v>12.1671</v>
          </cell>
          <cell r="J236" t="str">
            <v>Income Statement</v>
          </cell>
          <cell r="K236" t="str">
            <v>Operating expenses</v>
          </cell>
          <cell r="L236" t="str">
            <v>Printing, Postage and Stationary</v>
          </cell>
          <cell r="N236">
            <v>2517.2802064584002</v>
          </cell>
          <cell r="O236">
            <v>40940</v>
          </cell>
        </row>
        <row r="237">
          <cell r="G237" t="str">
            <v>3435000</v>
          </cell>
          <cell r="H237">
            <v>10.9678</v>
          </cell>
          <cell r="I237">
            <v>12.1671</v>
          </cell>
          <cell r="J237" t="str">
            <v>Income Statement</v>
          </cell>
          <cell r="K237" t="str">
            <v>Operating expenses</v>
          </cell>
          <cell r="L237" t="str">
            <v>Printing, Postage and Stationary</v>
          </cell>
          <cell r="N237">
            <v>4575.8644212671879</v>
          </cell>
          <cell r="O237">
            <v>40940</v>
          </cell>
        </row>
        <row r="238">
          <cell r="G238" t="str">
            <v>3435000</v>
          </cell>
          <cell r="H238">
            <v>10.9678</v>
          </cell>
          <cell r="I238">
            <v>12.1671</v>
          </cell>
          <cell r="J238" t="str">
            <v>Income Statement</v>
          </cell>
          <cell r="K238" t="str">
            <v>Operating expenses</v>
          </cell>
          <cell r="L238" t="str">
            <v>Printing, Postage and Stationary</v>
          </cell>
          <cell r="N238">
            <v>5593.1158616268467</v>
          </cell>
          <cell r="O238">
            <v>40940</v>
          </cell>
        </row>
        <row r="239">
          <cell r="G239" t="str">
            <v>3435000</v>
          </cell>
          <cell r="H239">
            <v>10.9678</v>
          </cell>
          <cell r="I239">
            <v>12.1671</v>
          </cell>
          <cell r="J239" t="str">
            <v>Income Statement</v>
          </cell>
          <cell r="K239" t="str">
            <v>Operating expenses</v>
          </cell>
          <cell r="L239" t="str">
            <v>Printing, Postage and Stationary</v>
          </cell>
          <cell r="N239">
            <v>2698.0134954097525</v>
          </cell>
          <cell r="O239">
            <v>40940</v>
          </cell>
        </row>
        <row r="240">
          <cell r="G240" t="str">
            <v>3435000</v>
          </cell>
          <cell r="H240">
            <v>10.9678</v>
          </cell>
          <cell r="I240">
            <v>12.1671</v>
          </cell>
          <cell r="J240" t="str">
            <v>Income Statement</v>
          </cell>
          <cell r="K240" t="str">
            <v>Operating expenses</v>
          </cell>
          <cell r="L240" t="str">
            <v>Printing, Postage and Stationary</v>
          </cell>
          <cell r="N240">
            <v>2262.8235158747771</v>
          </cell>
          <cell r="O240">
            <v>40940</v>
          </cell>
        </row>
        <row r="241">
          <cell r="G241" t="str">
            <v>3435000</v>
          </cell>
          <cell r="H241">
            <v>10.9678</v>
          </cell>
          <cell r="I241">
            <v>12.1671</v>
          </cell>
          <cell r="J241" t="str">
            <v>Income Statement</v>
          </cell>
          <cell r="K241" t="str">
            <v>Operating expenses</v>
          </cell>
          <cell r="L241" t="str">
            <v>Printing, Postage and Stationary</v>
          </cell>
          <cell r="N241">
            <v>1939.4103771646489</v>
          </cell>
          <cell r="O241">
            <v>40940</v>
          </cell>
        </row>
        <row r="242">
          <cell r="G242" t="str">
            <v>3435000</v>
          </cell>
          <cell r="H242">
            <v>10.9678</v>
          </cell>
          <cell r="I242">
            <v>12.1671</v>
          </cell>
          <cell r="J242" t="str">
            <v>Income Statement</v>
          </cell>
          <cell r="K242" t="str">
            <v>Operating expenses</v>
          </cell>
          <cell r="L242" t="str">
            <v>Printing, Postage and Stationary</v>
          </cell>
          <cell r="N242">
            <v>4418.0618224556383</v>
          </cell>
          <cell r="O242">
            <v>40940</v>
          </cell>
        </row>
        <row r="243">
          <cell r="G243" t="str">
            <v>3435000</v>
          </cell>
          <cell r="H243">
            <v>10.9678</v>
          </cell>
          <cell r="I243">
            <v>12.1671</v>
          </cell>
          <cell r="J243" t="str">
            <v>Income Statement</v>
          </cell>
          <cell r="K243" t="str">
            <v>Operating expenses</v>
          </cell>
          <cell r="L243" t="str">
            <v>Printing, Postage and Stationary</v>
          </cell>
          <cell r="N243">
            <v>109097.77103829179</v>
          </cell>
          <cell r="O243">
            <v>40940</v>
          </cell>
        </row>
        <row r="244">
          <cell r="G244" t="str">
            <v>3435000</v>
          </cell>
          <cell r="H244">
            <v>10.9678</v>
          </cell>
          <cell r="I244">
            <v>12.1671</v>
          </cell>
          <cell r="J244" t="str">
            <v>Income Statement</v>
          </cell>
          <cell r="K244" t="str">
            <v>Operating expenses</v>
          </cell>
          <cell r="L244" t="str">
            <v>Printing, Postage and Stationary</v>
          </cell>
          <cell r="N244">
            <v>-6903.863698005277</v>
          </cell>
          <cell r="O244">
            <v>40940</v>
          </cell>
        </row>
        <row r="245">
          <cell r="G245" t="str">
            <v>3438000</v>
          </cell>
          <cell r="H245">
            <v>10.9678</v>
          </cell>
          <cell r="I245">
            <v>12.1671</v>
          </cell>
          <cell r="J245" t="str">
            <v>Income Statement</v>
          </cell>
          <cell r="K245" t="str">
            <v>Operating expenses</v>
          </cell>
          <cell r="L245" t="str">
            <v>Entertainment</v>
          </cell>
          <cell r="N245">
            <v>10888.625884557538</v>
          </cell>
          <cell r="O245">
            <v>40940</v>
          </cell>
        </row>
        <row r="246">
          <cell r="G246" t="str">
            <v>3438000</v>
          </cell>
          <cell r="H246">
            <v>10.9678</v>
          </cell>
          <cell r="I246">
            <v>12.1671</v>
          </cell>
          <cell r="J246" t="str">
            <v>Income Statement</v>
          </cell>
          <cell r="K246" t="str">
            <v>Operating expenses</v>
          </cell>
          <cell r="L246" t="str">
            <v>Entertainment</v>
          </cell>
          <cell r="N246">
            <v>9106.689350790246</v>
          </cell>
          <cell r="O246">
            <v>40940</v>
          </cell>
        </row>
        <row r="247">
          <cell r="G247" t="str">
            <v>3438000</v>
          </cell>
          <cell r="H247">
            <v>10.9678</v>
          </cell>
          <cell r="I247">
            <v>12.1671</v>
          </cell>
          <cell r="J247" t="str">
            <v>Income Statement</v>
          </cell>
          <cell r="K247" t="str">
            <v>Operating expenses</v>
          </cell>
          <cell r="L247" t="str">
            <v>Entertainment</v>
          </cell>
          <cell r="N247">
            <v>10398.780317413353</v>
          </cell>
          <cell r="O247">
            <v>40940</v>
          </cell>
        </row>
        <row r="248">
          <cell r="G248" t="str">
            <v>3438000</v>
          </cell>
          <cell r="H248">
            <v>10.9678</v>
          </cell>
          <cell r="I248">
            <v>12.1671</v>
          </cell>
          <cell r="J248" t="str">
            <v>Income Statement</v>
          </cell>
          <cell r="K248" t="str">
            <v>Operating expenses</v>
          </cell>
          <cell r="L248" t="str">
            <v>Entertainment</v>
          </cell>
          <cell r="N248">
            <v>12556.689761734515</v>
          </cell>
          <cell r="O248">
            <v>40940</v>
          </cell>
        </row>
        <row r="249">
          <cell r="G249" t="str">
            <v>3438000</v>
          </cell>
          <cell r="H249">
            <v>10.9678</v>
          </cell>
          <cell r="I249">
            <v>12.1671</v>
          </cell>
          <cell r="J249" t="str">
            <v>Income Statement</v>
          </cell>
          <cell r="K249" t="str">
            <v>Operating expenses</v>
          </cell>
          <cell r="L249" t="str">
            <v>Entertainment</v>
          </cell>
          <cell r="N249">
            <v>9159.2902170607631</v>
          </cell>
          <cell r="O249">
            <v>40940</v>
          </cell>
        </row>
        <row r="250">
          <cell r="G250" t="str">
            <v>3438000</v>
          </cell>
          <cell r="H250">
            <v>10.9678</v>
          </cell>
          <cell r="I250">
            <v>12.1671</v>
          </cell>
          <cell r="J250" t="str">
            <v>Income Statement</v>
          </cell>
          <cell r="K250" t="str">
            <v>Operating expenses</v>
          </cell>
          <cell r="L250" t="str">
            <v>Entertainment</v>
          </cell>
          <cell r="N250">
            <v>12582.045023053974</v>
          </cell>
          <cell r="O250">
            <v>40940</v>
          </cell>
        </row>
        <row r="251">
          <cell r="G251" t="str">
            <v>3438000</v>
          </cell>
          <cell r="H251">
            <v>10.9678</v>
          </cell>
          <cell r="I251">
            <v>12.1671</v>
          </cell>
          <cell r="J251" t="str">
            <v>Income Statement</v>
          </cell>
          <cell r="K251" t="str">
            <v>Operating expenses</v>
          </cell>
          <cell r="L251" t="str">
            <v>Entertainment</v>
          </cell>
          <cell r="N251">
            <v>8517.6418374140103</v>
          </cell>
          <cell r="O251">
            <v>40940</v>
          </cell>
        </row>
        <row r="252">
          <cell r="G252" t="str">
            <v>3438000</v>
          </cell>
          <cell r="H252">
            <v>10.9678</v>
          </cell>
          <cell r="I252">
            <v>12.1671</v>
          </cell>
          <cell r="J252" t="str">
            <v>Income Statement</v>
          </cell>
          <cell r="K252" t="str">
            <v>Operating expenses</v>
          </cell>
          <cell r="L252" t="str">
            <v>Entertainment</v>
          </cell>
          <cell r="N252">
            <v>13873.889423116438</v>
          </cell>
          <cell r="O252">
            <v>40940</v>
          </cell>
        </row>
        <row r="253">
          <cell r="G253" t="str">
            <v>3438000</v>
          </cell>
          <cell r="H253">
            <v>10.9678</v>
          </cell>
          <cell r="I253">
            <v>12.1671</v>
          </cell>
          <cell r="J253" t="str">
            <v>Income Statement</v>
          </cell>
          <cell r="K253" t="str">
            <v>Operating expenses</v>
          </cell>
          <cell r="L253" t="str">
            <v>Entertainment</v>
          </cell>
          <cell r="N253">
            <v>107130.37617838269</v>
          </cell>
          <cell r="O253">
            <v>40940</v>
          </cell>
        </row>
        <row r="254">
          <cell r="G254" t="str">
            <v>3438000</v>
          </cell>
          <cell r="H254">
            <v>10.9678</v>
          </cell>
          <cell r="I254">
            <v>12.1671</v>
          </cell>
          <cell r="J254" t="str">
            <v>Income Statement</v>
          </cell>
          <cell r="K254" t="str">
            <v>Operating expenses</v>
          </cell>
          <cell r="L254" t="str">
            <v>Entertainment</v>
          </cell>
          <cell r="N254">
            <v>4080.5122009353095</v>
          </cell>
          <cell r="O254">
            <v>40940</v>
          </cell>
        </row>
        <row r="255">
          <cell r="G255" t="str">
            <v>3439000</v>
          </cell>
          <cell r="H255">
            <v>10.9678</v>
          </cell>
          <cell r="I255">
            <v>12.1671</v>
          </cell>
          <cell r="J255" t="str">
            <v>Income Statement</v>
          </cell>
          <cell r="K255" t="str">
            <v>Operating expenses</v>
          </cell>
          <cell r="L255" t="str">
            <v>Repairs and Maintenance</v>
          </cell>
          <cell r="M255" t="str">
            <v>Computers</v>
          </cell>
          <cell r="N255">
            <v>472.58590789917071</v>
          </cell>
          <cell r="O255">
            <v>40940</v>
          </cell>
        </row>
        <row r="256">
          <cell r="G256" t="str">
            <v>3440000</v>
          </cell>
          <cell r="H256">
            <v>10.9678</v>
          </cell>
          <cell r="I256">
            <v>12.1671</v>
          </cell>
          <cell r="J256" t="str">
            <v>Income Statement</v>
          </cell>
          <cell r="K256" t="str">
            <v>Operating expenses</v>
          </cell>
          <cell r="L256" t="str">
            <v>Repairs and Maintenance</v>
          </cell>
          <cell r="M256" t="str">
            <v>Office Equipment</v>
          </cell>
          <cell r="N256">
            <v>382.17816899672067</v>
          </cell>
          <cell r="O256">
            <v>40940</v>
          </cell>
        </row>
        <row r="257">
          <cell r="G257" t="str">
            <v>3440000</v>
          </cell>
          <cell r="H257">
            <v>10.9678</v>
          </cell>
          <cell r="I257">
            <v>12.1671</v>
          </cell>
          <cell r="J257" t="str">
            <v>Income Statement</v>
          </cell>
          <cell r="K257" t="str">
            <v>Operating expenses</v>
          </cell>
          <cell r="L257" t="str">
            <v>Repairs and Maintenance</v>
          </cell>
          <cell r="M257" t="str">
            <v>Office Equipment</v>
          </cell>
          <cell r="N257">
            <v>6229.9150989142854</v>
          </cell>
          <cell r="O257">
            <v>40940</v>
          </cell>
        </row>
        <row r="258">
          <cell r="G258" t="str">
            <v>3440000</v>
          </cell>
          <cell r="H258">
            <v>10.9678</v>
          </cell>
          <cell r="I258">
            <v>12.1671</v>
          </cell>
          <cell r="J258" t="str">
            <v>Income Statement</v>
          </cell>
          <cell r="K258" t="str">
            <v>Operating expenses</v>
          </cell>
          <cell r="L258" t="str">
            <v>Repairs and Maintenance</v>
          </cell>
          <cell r="M258" t="str">
            <v>Office Equipment</v>
          </cell>
          <cell r="N258">
            <v>41.094426773840937</v>
          </cell>
          <cell r="O258">
            <v>40940</v>
          </cell>
        </row>
        <row r="259">
          <cell r="G259" t="str">
            <v>3440000</v>
          </cell>
          <cell r="H259">
            <v>10.9678</v>
          </cell>
          <cell r="I259">
            <v>12.1671</v>
          </cell>
          <cell r="J259" t="str">
            <v>Income Statement</v>
          </cell>
          <cell r="K259" t="str">
            <v>Operating expenses</v>
          </cell>
          <cell r="L259" t="str">
            <v>Repairs and Maintenance</v>
          </cell>
          <cell r="M259" t="str">
            <v>Office Equipment</v>
          </cell>
          <cell r="N259">
            <v>61.641640160761398</v>
          </cell>
          <cell r="O259">
            <v>40940</v>
          </cell>
        </row>
        <row r="260">
          <cell r="G260" t="str">
            <v>3440000</v>
          </cell>
          <cell r="H260">
            <v>10.9678</v>
          </cell>
          <cell r="I260">
            <v>12.1671</v>
          </cell>
          <cell r="J260" t="str">
            <v>Income Statement</v>
          </cell>
          <cell r="K260" t="str">
            <v>Operating expenses</v>
          </cell>
          <cell r="L260" t="str">
            <v>Repairs and Maintenance</v>
          </cell>
          <cell r="M260" t="str">
            <v>Office Equipment</v>
          </cell>
          <cell r="N260">
            <v>-117.11911630544665</v>
          </cell>
          <cell r="O260">
            <v>40940</v>
          </cell>
        </row>
        <row r="261">
          <cell r="G261" t="str">
            <v>3440000</v>
          </cell>
          <cell r="H261">
            <v>10.9678</v>
          </cell>
          <cell r="I261">
            <v>12.1671</v>
          </cell>
          <cell r="J261" t="str">
            <v>Income Statement</v>
          </cell>
          <cell r="K261" t="str">
            <v>Operating expenses</v>
          </cell>
          <cell r="L261" t="str">
            <v>Repairs and Maintenance</v>
          </cell>
          <cell r="M261" t="str">
            <v>Office Equipment</v>
          </cell>
          <cell r="N261">
            <v>10543.597077364368</v>
          </cell>
          <cell r="O261">
            <v>40940</v>
          </cell>
        </row>
        <row r="262">
          <cell r="G262" t="str">
            <v>3441000</v>
          </cell>
          <cell r="H262">
            <v>10.9678</v>
          </cell>
          <cell r="I262">
            <v>12.1671</v>
          </cell>
          <cell r="J262" t="str">
            <v>Income Statement</v>
          </cell>
          <cell r="K262" t="str">
            <v>Operating expenses</v>
          </cell>
          <cell r="L262" t="str">
            <v>Repairs and Maintenance</v>
          </cell>
          <cell r="M262" t="str">
            <v>Premisis</v>
          </cell>
          <cell r="N262">
            <v>41.094426773840937</v>
          </cell>
          <cell r="O262">
            <v>40940</v>
          </cell>
        </row>
        <row r="263">
          <cell r="G263" t="str">
            <v>3441000</v>
          </cell>
          <cell r="H263">
            <v>10.9678</v>
          </cell>
          <cell r="I263">
            <v>12.1671</v>
          </cell>
          <cell r="J263" t="str">
            <v>Income Statement</v>
          </cell>
          <cell r="K263" t="str">
            <v>Operating expenses</v>
          </cell>
          <cell r="L263" t="str">
            <v>Repairs and Maintenance</v>
          </cell>
          <cell r="M263" t="str">
            <v>Premisis</v>
          </cell>
          <cell r="N263">
            <v>1619.1204148893328</v>
          </cell>
          <cell r="O263">
            <v>40940</v>
          </cell>
        </row>
        <row r="264">
          <cell r="G264" t="str">
            <v>3441000</v>
          </cell>
          <cell r="H264">
            <v>10.9678</v>
          </cell>
          <cell r="I264">
            <v>12.1671</v>
          </cell>
          <cell r="J264" t="str">
            <v>Income Statement</v>
          </cell>
          <cell r="K264" t="str">
            <v>Operating expenses</v>
          </cell>
          <cell r="L264" t="str">
            <v>Repairs and Maintenance</v>
          </cell>
          <cell r="M264" t="str">
            <v>Premisis</v>
          </cell>
          <cell r="N264">
            <v>534.22754805993213</v>
          </cell>
          <cell r="O264">
            <v>40940</v>
          </cell>
        </row>
        <row r="265">
          <cell r="G265" t="str">
            <v>3441000</v>
          </cell>
          <cell r="H265">
            <v>10.9678</v>
          </cell>
          <cell r="I265">
            <v>12.1671</v>
          </cell>
          <cell r="J265" t="str">
            <v>Income Statement</v>
          </cell>
          <cell r="K265" t="str">
            <v>Operating expenses</v>
          </cell>
          <cell r="L265" t="str">
            <v>Repairs and Maintenance</v>
          </cell>
          <cell r="M265" t="str">
            <v>Premisis</v>
          </cell>
          <cell r="N265">
            <v>949.28125847572551</v>
          </cell>
          <cell r="O265">
            <v>40940</v>
          </cell>
        </row>
        <row r="266">
          <cell r="G266" t="str">
            <v>3441000</v>
          </cell>
          <cell r="H266">
            <v>10.9678</v>
          </cell>
          <cell r="I266">
            <v>12.1671</v>
          </cell>
          <cell r="J266" t="str">
            <v>Income Statement</v>
          </cell>
          <cell r="K266" t="str">
            <v>Operating expenses</v>
          </cell>
          <cell r="L266" t="str">
            <v>Repairs and Maintenance</v>
          </cell>
          <cell r="M266" t="str">
            <v>Premisis</v>
          </cell>
          <cell r="N266">
            <v>2948.1141767553486</v>
          </cell>
          <cell r="O266">
            <v>40940</v>
          </cell>
        </row>
        <row r="267">
          <cell r="G267" t="str">
            <v>3442000</v>
          </cell>
          <cell r="H267">
            <v>10.9678</v>
          </cell>
          <cell r="I267">
            <v>12.1671</v>
          </cell>
          <cell r="J267" t="str">
            <v>Income Statement</v>
          </cell>
          <cell r="K267" t="str">
            <v>Operating expenses</v>
          </cell>
          <cell r="L267" t="str">
            <v>Repairs and Maintenance</v>
          </cell>
          <cell r="M267" t="str">
            <v>Vehicles</v>
          </cell>
          <cell r="N267">
            <v>27059.942796557934</v>
          </cell>
          <cell r="O267">
            <v>40940</v>
          </cell>
        </row>
        <row r="268">
          <cell r="G268" t="str">
            <v>3443000</v>
          </cell>
          <cell r="H268">
            <v>10.9678</v>
          </cell>
          <cell r="I268">
            <v>12.1671</v>
          </cell>
          <cell r="J268" t="str">
            <v>Income Statement</v>
          </cell>
          <cell r="K268" t="str">
            <v>Operating expenses</v>
          </cell>
          <cell r="L268" t="str">
            <v>Security</v>
          </cell>
          <cell r="N268">
            <v>8586.2037790434861</v>
          </cell>
          <cell r="O268">
            <v>40940</v>
          </cell>
        </row>
        <row r="269">
          <cell r="G269" t="str">
            <v>3443000</v>
          </cell>
          <cell r="H269">
            <v>10.9678</v>
          </cell>
          <cell r="I269">
            <v>12.1671</v>
          </cell>
          <cell r="J269" t="str">
            <v>Income Statement</v>
          </cell>
          <cell r="K269" t="str">
            <v>Operating expenses</v>
          </cell>
          <cell r="L269" t="str">
            <v>Security</v>
          </cell>
          <cell r="N269">
            <v>20442.232742395478</v>
          </cell>
          <cell r="O269">
            <v>40940</v>
          </cell>
        </row>
        <row r="270">
          <cell r="G270" t="str">
            <v>3443000</v>
          </cell>
          <cell r="H270">
            <v>10.9678</v>
          </cell>
          <cell r="I270">
            <v>12.1671</v>
          </cell>
          <cell r="J270" t="str">
            <v>Income Statement</v>
          </cell>
          <cell r="K270" t="str">
            <v>Operating expenses</v>
          </cell>
          <cell r="L270" t="str">
            <v>Security</v>
          </cell>
          <cell r="N270">
            <v>3292.007133992488</v>
          </cell>
          <cell r="O270">
            <v>40940</v>
          </cell>
        </row>
        <row r="271">
          <cell r="G271" t="str">
            <v>3443000</v>
          </cell>
          <cell r="H271">
            <v>10.9678</v>
          </cell>
          <cell r="I271">
            <v>12.1671</v>
          </cell>
          <cell r="J271" t="str">
            <v>Income Statement</v>
          </cell>
          <cell r="K271" t="str">
            <v>Operating expenses</v>
          </cell>
          <cell r="L271" t="str">
            <v>Security</v>
          </cell>
          <cell r="N271">
            <v>-1536.5526707267961</v>
          </cell>
          <cell r="O271">
            <v>40940</v>
          </cell>
        </row>
        <row r="272">
          <cell r="G272" t="str">
            <v>3443000</v>
          </cell>
          <cell r="H272">
            <v>10.9678</v>
          </cell>
          <cell r="I272">
            <v>12.1671</v>
          </cell>
          <cell r="J272" t="str">
            <v>Income Statement</v>
          </cell>
          <cell r="K272" t="str">
            <v>Operating expenses</v>
          </cell>
          <cell r="L272" t="str">
            <v>Security</v>
          </cell>
          <cell r="N272">
            <v>14001.109549522893</v>
          </cell>
          <cell r="O272">
            <v>40940</v>
          </cell>
        </row>
        <row r="273">
          <cell r="G273" t="str">
            <v>3443000</v>
          </cell>
          <cell r="H273">
            <v>10.9678</v>
          </cell>
          <cell r="I273">
            <v>12.1671</v>
          </cell>
          <cell r="J273" t="str">
            <v>Income Statement</v>
          </cell>
          <cell r="K273" t="str">
            <v>Operating expenses</v>
          </cell>
          <cell r="L273" t="str">
            <v>Security</v>
          </cell>
          <cell r="N273">
            <v>6789.2858610515241</v>
          </cell>
          <cell r="O273">
            <v>40940</v>
          </cell>
        </row>
        <row r="274">
          <cell r="G274" t="str">
            <v>3443000</v>
          </cell>
          <cell r="H274">
            <v>10.9678</v>
          </cell>
          <cell r="I274">
            <v>12.1671</v>
          </cell>
          <cell r="J274" t="str">
            <v>Income Statement</v>
          </cell>
          <cell r="K274" t="str">
            <v>Operating expenses</v>
          </cell>
          <cell r="L274" t="str">
            <v>Security</v>
          </cell>
          <cell r="N274">
            <v>1052.194853333991</v>
          </cell>
          <cell r="O274">
            <v>40940</v>
          </cell>
        </row>
        <row r="275">
          <cell r="G275" t="str">
            <v>3443000</v>
          </cell>
          <cell r="H275">
            <v>10.9678</v>
          </cell>
          <cell r="I275">
            <v>12.1671</v>
          </cell>
          <cell r="J275" t="str">
            <v>Income Statement</v>
          </cell>
          <cell r="K275" t="str">
            <v>Operating expenses</v>
          </cell>
          <cell r="L275" t="str">
            <v>Security</v>
          </cell>
          <cell r="N275">
            <v>83096.844769912306</v>
          </cell>
          <cell r="O275">
            <v>40940</v>
          </cell>
        </row>
        <row r="276">
          <cell r="G276" t="str">
            <v>3443000</v>
          </cell>
          <cell r="H276">
            <v>10.9678</v>
          </cell>
          <cell r="I276">
            <v>12.1671</v>
          </cell>
          <cell r="J276" t="str">
            <v>Income Statement</v>
          </cell>
          <cell r="K276" t="str">
            <v>Operating expenses</v>
          </cell>
          <cell r="L276" t="str">
            <v>Security</v>
          </cell>
          <cell r="N276">
            <v>7102.3695046477806</v>
          </cell>
          <cell r="O276">
            <v>40940</v>
          </cell>
        </row>
        <row r="277">
          <cell r="G277" t="str">
            <v>3447000</v>
          </cell>
          <cell r="H277">
            <v>10.9678</v>
          </cell>
          <cell r="I277">
            <v>12.1671</v>
          </cell>
          <cell r="J277" t="str">
            <v>Income Statement</v>
          </cell>
          <cell r="K277" t="str">
            <v>Operating expenses</v>
          </cell>
          <cell r="L277" t="str">
            <v>Telephone and Fax</v>
          </cell>
          <cell r="M277" t="str">
            <v>Data</v>
          </cell>
          <cell r="N277">
            <v>14181.686679652506</v>
          </cell>
          <cell r="O277">
            <v>40940</v>
          </cell>
        </row>
        <row r="278">
          <cell r="G278" t="str">
            <v>3447000</v>
          </cell>
          <cell r="H278">
            <v>10.9678</v>
          </cell>
          <cell r="I278">
            <v>12.1671</v>
          </cell>
          <cell r="J278" t="str">
            <v>Income Statement</v>
          </cell>
          <cell r="K278" t="str">
            <v>Operating expenses</v>
          </cell>
          <cell r="L278" t="str">
            <v>Telephone and Fax</v>
          </cell>
          <cell r="M278" t="str">
            <v>Data</v>
          </cell>
          <cell r="N278">
            <v>14181.686679652506</v>
          </cell>
          <cell r="O278">
            <v>40940</v>
          </cell>
        </row>
        <row r="279">
          <cell r="G279" t="str">
            <v>3447000</v>
          </cell>
          <cell r="H279">
            <v>10.9678</v>
          </cell>
          <cell r="I279">
            <v>12.1671</v>
          </cell>
          <cell r="J279" t="str">
            <v>Income Statement</v>
          </cell>
          <cell r="K279" t="str">
            <v>Operating expenses</v>
          </cell>
          <cell r="L279" t="str">
            <v>Telephone and Fax</v>
          </cell>
          <cell r="M279" t="str">
            <v>Data</v>
          </cell>
          <cell r="N279">
            <v>446307.40521570464</v>
          </cell>
          <cell r="O279">
            <v>40940</v>
          </cell>
        </row>
        <row r="280">
          <cell r="G280" t="str">
            <v>3447000</v>
          </cell>
          <cell r="H280">
            <v>10.9678</v>
          </cell>
          <cell r="I280">
            <v>12.1671</v>
          </cell>
          <cell r="J280" t="str">
            <v>Income Statement</v>
          </cell>
          <cell r="K280" t="str">
            <v>Operating expenses</v>
          </cell>
          <cell r="L280" t="str">
            <v>Telephone and Fax</v>
          </cell>
          <cell r="M280" t="str">
            <v>Data</v>
          </cell>
          <cell r="N280">
            <v>36826.236325829494</v>
          </cell>
          <cell r="O280">
            <v>40940</v>
          </cell>
        </row>
        <row r="281">
          <cell r="G281" t="str">
            <v>3448000</v>
          </cell>
          <cell r="H281">
            <v>10.9678</v>
          </cell>
          <cell r="I281">
            <v>12.1671</v>
          </cell>
          <cell r="J281" t="str">
            <v>Income Statement</v>
          </cell>
          <cell r="K281" t="str">
            <v>Operating expenses</v>
          </cell>
          <cell r="L281" t="str">
            <v>Telephone and Fax</v>
          </cell>
          <cell r="M281" t="str">
            <v>Landline</v>
          </cell>
          <cell r="N281">
            <v>216.52242522869051</v>
          </cell>
          <cell r="O281">
            <v>40940</v>
          </cell>
        </row>
        <row r="282">
          <cell r="G282" t="str">
            <v>3448000</v>
          </cell>
          <cell r="H282">
            <v>10.9678</v>
          </cell>
          <cell r="I282">
            <v>12.1671</v>
          </cell>
          <cell r="J282" t="str">
            <v>Income Statement</v>
          </cell>
          <cell r="K282" t="str">
            <v>Operating expenses</v>
          </cell>
          <cell r="L282" t="str">
            <v>Telephone and Fax</v>
          </cell>
          <cell r="M282" t="str">
            <v>Landline</v>
          </cell>
          <cell r="N282">
            <v>200.28683909888142</v>
          </cell>
          <cell r="O282">
            <v>40940</v>
          </cell>
        </row>
        <row r="283">
          <cell r="G283" t="str">
            <v>3448000</v>
          </cell>
          <cell r="H283">
            <v>10.9678</v>
          </cell>
          <cell r="I283">
            <v>12.1671</v>
          </cell>
          <cell r="J283" t="str">
            <v>Income Statement</v>
          </cell>
          <cell r="K283" t="str">
            <v>Operating expenses</v>
          </cell>
          <cell r="L283" t="str">
            <v>Telephone and Fax</v>
          </cell>
          <cell r="M283" t="str">
            <v>Landline</v>
          </cell>
          <cell r="N283">
            <v>-1264.2568894806486</v>
          </cell>
          <cell r="O283">
            <v>40940</v>
          </cell>
        </row>
        <row r="284">
          <cell r="G284" t="str">
            <v>3448000</v>
          </cell>
          <cell r="H284">
            <v>10.9678</v>
          </cell>
          <cell r="I284">
            <v>12.1671</v>
          </cell>
          <cell r="J284" t="str">
            <v>Income Statement</v>
          </cell>
          <cell r="K284" t="str">
            <v>Operating expenses</v>
          </cell>
          <cell r="L284" t="str">
            <v>Telephone and Fax</v>
          </cell>
          <cell r="M284" t="str">
            <v>Landline</v>
          </cell>
          <cell r="N284">
            <v>133.29881401484332</v>
          </cell>
          <cell r="O284">
            <v>40940</v>
          </cell>
        </row>
        <row r="285">
          <cell r="G285" t="str">
            <v>3448000</v>
          </cell>
          <cell r="H285">
            <v>10.9678</v>
          </cell>
          <cell r="I285">
            <v>12.1671</v>
          </cell>
          <cell r="J285" t="str">
            <v>Income Statement</v>
          </cell>
          <cell r="K285" t="str">
            <v>Operating expenses</v>
          </cell>
          <cell r="L285" t="str">
            <v>Telephone and Fax</v>
          </cell>
          <cell r="M285" t="str">
            <v>Landline</v>
          </cell>
          <cell r="N285">
            <v>251.19954631752842</v>
          </cell>
          <cell r="O285">
            <v>40940</v>
          </cell>
        </row>
        <row r="286">
          <cell r="G286" t="str">
            <v>3448000</v>
          </cell>
          <cell r="H286">
            <v>10.9678</v>
          </cell>
          <cell r="I286">
            <v>12.1671</v>
          </cell>
          <cell r="J286" t="str">
            <v>Income Statement</v>
          </cell>
          <cell r="K286" t="str">
            <v>Operating expenses</v>
          </cell>
          <cell r="L286" t="str">
            <v>Telephone and Fax</v>
          </cell>
          <cell r="M286" t="str">
            <v>Landline</v>
          </cell>
          <cell r="N286">
            <v>102.26430291523864</v>
          </cell>
          <cell r="O286">
            <v>40940</v>
          </cell>
        </row>
        <row r="287">
          <cell r="G287" t="str">
            <v>3448000</v>
          </cell>
          <cell r="H287">
            <v>10.9678</v>
          </cell>
          <cell r="I287">
            <v>12.1671</v>
          </cell>
          <cell r="J287" t="str">
            <v>Income Statement</v>
          </cell>
          <cell r="K287" t="str">
            <v>Operating expenses</v>
          </cell>
          <cell r="L287" t="str">
            <v>Telephone and Fax</v>
          </cell>
          <cell r="M287" t="str">
            <v>Landline</v>
          </cell>
          <cell r="N287">
            <v>334.49794938810396</v>
          </cell>
          <cell r="O287">
            <v>40940</v>
          </cell>
        </row>
        <row r="288">
          <cell r="G288" t="str">
            <v>3448000</v>
          </cell>
          <cell r="H288">
            <v>10.9678</v>
          </cell>
          <cell r="I288">
            <v>12.1671</v>
          </cell>
          <cell r="J288" t="str">
            <v>Income Statement</v>
          </cell>
          <cell r="K288" t="str">
            <v>Operating expenses</v>
          </cell>
          <cell r="L288" t="str">
            <v>Telephone and Fax</v>
          </cell>
          <cell r="M288" t="str">
            <v>Landline</v>
          </cell>
          <cell r="N288">
            <v>64.512496815181933</v>
          </cell>
          <cell r="O288">
            <v>40940</v>
          </cell>
        </row>
        <row r="289">
          <cell r="G289" t="str">
            <v>3448000</v>
          </cell>
          <cell r="H289">
            <v>10.9678</v>
          </cell>
          <cell r="I289">
            <v>12.1671</v>
          </cell>
          <cell r="J289" t="str">
            <v>Income Statement</v>
          </cell>
          <cell r="K289" t="str">
            <v>Operating expenses</v>
          </cell>
          <cell r="L289" t="str">
            <v>Telephone and Fax</v>
          </cell>
          <cell r="M289" t="str">
            <v>Landline</v>
          </cell>
          <cell r="N289">
            <v>75710.248128148873</v>
          </cell>
          <cell r="O289">
            <v>40940</v>
          </cell>
        </row>
        <row r="290">
          <cell r="G290" t="str">
            <v>3448000</v>
          </cell>
          <cell r="H290">
            <v>10.9678</v>
          </cell>
          <cell r="I290">
            <v>12.1671</v>
          </cell>
          <cell r="J290" t="str">
            <v>Income Statement</v>
          </cell>
          <cell r="K290" t="str">
            <v>Operating expenses</v>
          </cell>
          <cell r="L290" t="str">
            <v>Telephone and Fax</v>
          </cell>
          <cell r="M290" t="str">
            <v>Landline</v>
          </cell>
          <cell r="N290">
            <v>4168.1041497152155</v>
          </cell>
          <cell r="O290">
            <v>40940</v>
          </cell>
        </row>
        <row r="291">
          <cell r="G291" t="str">
            <v>3449000</v>
          </cell>
          <cell r="H291">
            <v>10.9678</v>
          </cell>
          <cell r="I291">
            <v>12.1671</v>
          </cell>
          <cell r="J291" t="str">
            <v>Income Statement</v>
          </cell>
          <cell r="K291" t="str">
            <v>Operating expenses</v>
          </cell>
          <cell r="L291" t="str">
            <v>Telephone and Fax</v>
          </cell>
          <cell r="M291" t="str">
            <v>Mobile</v>
          </cell>
          <cell r="N291">
            <v>-3827.8118861520006</v>
          </cell>
          <cell r="O291">
            <v>40940</v>
          </cell>
        </row>
        <row r="292">
          <cell r="G292" t="str">
            <v>3449000</v>
          </cell>
          <cell r="H292">
            <v>10.9678</v>
          </cell>
          <cell r="I292">
            <v>12.1671</v>
          </cell>
          <cell r="J292" t="str">
            <v>Income Statement</v>
          </cell>
          <cell r="K292" t="str">
            <v>Operating expenses</v>
          </cell>
          <cell r="L292" t="str">
            <v>Telephone and Fax</v>
          </cell>
          <cell r="M292" t="str">
            <v>Mobile</v>
          </cell>
          <cell r="N292">
            <v>82.188853547681873</v>
          </cell>
          <cell r="O292">
            <v>40940</v>
          </cell>
        </row>
        <row r="293">
          <cell r="G293" t="str">
            <v>3449000</v>
          </cell>
          <cell r="H293">
            <v>10.9678</v>
          </cell>
          <cell r="I293">
            <v>12.1671</v>
          </cell>
          <cell r="J293" t="str">
            <v>Income Statement</v>
          </cell>
          <cell r="K293" t="str">
            <v>Operating expenses</v>
          </cell>
          <cell r="L293" t="str">
            <v>Telephone and Fax</v>
          </cell>
          <cell r="M293" t="str">
            <v>Mobile</v>
          </cell>
          <cell r="N293">
            <v>-1049.164550303688</v>
          </cell>
          <cell r="O293">
            <v>40940</v>
          </cell>
        </row>
        <row r="294">
          <cell r="G294" t="str">
            <v>3449000</v>
          </cell>
          <cell r="H294">
            <v>10.9678</v>
          </cell>
          <cell r="I294">
            <v>12.1671</v>
          </cell>
          <cell r="J294" t="str">
            <v>Income Statement</v>
          </cell>
          <cell r="K294" t="str">
            <v>Operating expenses</v>
          </cell>
          <cell r="L294" t="str">
            <v>Telephone and Fax</v>
          </cell>
          <cell r="M294" t="str">
            <v>Mobile</v>
          </cell>
          <cell r="N294">
            <v>1153.9315038094535</v>
          </cell>
          <cell r="O294">
            <v>40940</v>
          </cell>
        </row>
        <row r="295">
          <cell r="G295" t="str">
            <v>3449000</v>
          </cell>
          <cell r="H295">
            <v>10.9678</v>
          </cell>
          <cell r="I295">
            <v>12.1671</v>
          </cell>
          <cell r="J295" t="str">
            <v>Income Statement</v>
          </cell>
          <cell r="K295" t="str">
            <v>Operating expenses</v>
          </cell>
          <cell r="L295" t="str">
            <v>Telephone and Fax</v>
          </cell>
          <cell r="M295" t="str">
            <v>Mobile</v>
          </cell>
          <cell r="N295">
            <v>1820.4831060811534</v>
          </cell>
          <cell r="O295">
            <v>40940</v>
          </cell>
        </row>
        <row r="296">
          <cell r="G296" t="str">
            <v>3449000</v>
          </cell>
          <cell r="H296">
            <v>10.9678</v>
          </cell>
          <cell r="I296">
            <v>12.1671</v>
          </cell>
          <cell r="J296" t="str">
            <v>Income Statement</v>
          </cell>
          <cell r="K296" t="str">
            <v>Operating expenses</v>
          </cell>
          <cell r="L296" t="str">
            <v>Telephone and Fax</v>
          </cell>
          <cell r="M296" t="str">
            <v>Mobile</v>
          </cell>
          <cell r="N296">
            <v>94709.13200351769</v>
          </cell>
          <cell r="O296">
            <v>40940</v>
          </cell>
        </row>
        <row r="297">
          <cell r="G297" t="str">
            <v>3450000</v>
          </cell>
          <cell r="H297">
            <v>10.9678</v>
          </cell>
          <cell r="I297">
            <v>12.1671</v>
          </cell>
          <cell r="J297" t="str">
            <v>Income Statement</v>
          </cell>
          <cell r="K297" t="str">
            <v>Operating expenses</v>
          </cell>
          <cell r="L297" t="str">
            <v>Travel</v>
          </cell>
          <cell r="M297" t="str">
            <v>Local</v>
          </cell>
          <cell r="N297">
            <v>5626.5667250207525</v>
          </cell>
          <cell r="O297">
            <v>40940</v>
          </cell>
        </row>
        <row r="298">
          <cell r="G298" t="str">
            <v>3450000</v>
          </cell>
          <cell r="H298">
            <v>10.9678</v>
          </cell>
          <cell r="I298">
            <v>12.1671</v>
          </cell>
          <cell r="J298" t="str">
            <v>Income Statement</v>
          </cell>
          <cell r="K298" t="str">
            <v>Operating expenses</v>
          </cell>
          <cell r="L298" t="str">
            <v>Travel</v>
          </cell>
          <cell r="M298" t="str">
            <v>Local</v>
          </cell>
          <cell r="N298">
            <v>7000.517789777351</v>
          </cell>
          <cell r="O298">
            <v>40940</v>
          </cell>
        </row>
        <row r="299">
          <cell r="G299" t="str">
            <v>3450000</v>
          </cell>
          <cell r="H299">
            <v>10.9678</v>
          </cell>
          <cell r="I299">
            <v>12.1671</v>
          </cell>
          <cell r="J299" t="str">
            <v>Income Statement</v>
          </cell>
          <cell r="K299" t="str">
            <v>Operating expenses</v>
          </cell>
          <cell r="L299" t="str">
            <v>Travel</v>
          </cell>
          <cell r="M299" t="str">
            <v>Local</v>
          </cell>
          <cell r="N299">
            <v>9565.7140978540501</v>
          </cell>
          <cell r="O299">
            <v>40940</v>
          </cell>
        </row>
        <row r="300">
          <cell r="G300" t="str">
            <v>3450000</v>
          </cell>
          <cell r="H300">
            <v>10.9678</v>
          </cell>
          <cell r="I300">
            <v>12.1671</v>
          </cell>
          <cell r="J300" t="str">
            <v>Income Statement</v>
          </cell>
          <cell r="K300" t="str">
            <v>Operating expenses</v>
          </cell>
          <cell r="L300" t="str">
            <v>Travel</v>
          </cell>
          <cell r="M300" t="str">
            <v>Local</v>
          </cell>
          <cell r="N300">
            <v>8573.9412020941727</v>
          </cell>
          <cell r="O300">
            <v>40940</v>
          </cell>
        </row>
        <row r="301">
          <cell r="G301" t="str">
            <v>3450000</v>
          </cell>
          <cell r="H301">
            <v>10.9678</v>
          </cell>
          <cell r="I301">
            <v>12.1671</v>
          </cell>
          <cell r="J301" t="str">
            <v>Income Statement</v>
          </cell>
          <cell r="K301" t="str">
            <v>Operating expenses</v>
          </cell>
          <cell r="L301" t="str">
            <v>Travel</v>
          </cell>
          <cell r="M301" t="str">
            <v>Local</v>
          </cell>
          <cell r="N301">
            <v>6653.187694684847</v>
          </cell>
          <cell r="O301">
            <v>40940</v>
          </cell>
        </row>
        <row r="302">
          <cell r="G302" t="str">
            <v>3450000</v>
          </cell>
          <cell r="H302">
            <v>10.9678</v>
          </cell>
          <cell r="I302">
            <v>12.1671</v>
          </cell>
          <cell r="J302" t="str">
            <v>Income Statement</v>
          </cell>
          <cell r="K302" t="str">
            <v>Operating expenses</v>
          </cell>
          <cell r="L302" t="str">
            <v>Travel</v>
          </cell>
          <cell r="M302" t="str">
            <v>Local</v>
          </cell>
          <cell r="N302">
            <v>6296.0771260201691</v>
          </cell>
          <cell r="O302">
            <v>40940</v>
          </cell>
        </row>
        <row r="303">
          <cell r="G303" t="str">
            <v>3450000</v>
          </cell>
          <cell r="H303">
            <v>10.9678</v>
          </cell>
          <cell r="I303">
            <v>12.1671</v>
          </cell>
          <cell r="J303" t="str">
            <v>Income Statement</v>
          </cell>
          <cell r="K303" t="str">
            <v>Operating expenses</v>
          </cell>
          <cell r="L303" t="str">
            <v>Travel</v>
          </cell>
          <cell r="M303" t="str">
            <v>Local</v>
          </cell>
          <cell r="N303">
            <v>5308.98899491251</v>
          </cell>
          <cell r="O303">
            <v>40940</v>
          </cell>
        </row>
        <row r="304">
          <cell r="G304" t="str">
            <v>3450000</v>
          </cell>
          <cell r="H304">
            <v>10.9678</v>
          </cell>
          <cell r="I304">
            <v>12.1671</v>
          </cell>
          <cell r="J304" t="str">
            <v>Income Statement</v>
          </cell>
          <cell r="K304" t="str">
            <v>Operating expenses</v>
          </cell>
          <cell r="L304" t="str">
            <v>Travel</v>
          </cell>
          <cell r="M304" t="str">
            <v>Local</v>
          </cell>
          <cell r="N304">
            <v>9540.4821198149111</v>
          </cell>
          <cell r="O304">
            <v>40940</v>
          </cell>
        </row>
        <row r="305">
          <cell r="G305" t="str">
            <v>3450000</v>
          </cell>
          <cell r="H305">
            <v>10.9678</v>
          </cell>
          <cell r="I305">
            <v>12.1671</v>
          </cell>
          <cell r="J305" t="str">
            <v>Income Statement</v>
          </cell>
          <cell r="K305" t="str">
            <v>Operating expenses</v>
          </cell>
          <cell r="L305" t="str">
            <v>Travel</v>
          </cell>
          <cell r="M305" t="str">
            <v>Local</v>
          </cell>
          <cell r="N305">
            <v>215326.79356625653</v>
          </cell>
          <cell r="O305">
            <v>40940</v>
          </cell>
        </row>
        <row r="306">
          <cell r="G306" t="str">
            <v>3451000</v>
          </cell>
          <cell r="H306">
            <v>10.9678</v>
          </cell>
          <cell r="I306">
            <v>12.1671</v>
          </cell>
          <cell r="J306" t="str">
            <v>Income Statement</v>
          </cell>
          <cell r="K306" t="str">
            <v>Operating expenses</v>
          </cell>
          <cell r="L306" t="str">
            <v>Travel</v>
          </cell>
          <cell r="M306" t="str">
            <v>Local</v>
          </cell>
          <cell r="N306">
            <v>38954.064649752203</v>
          </cell>
          <cell r="O306">
            <v>40940</v>
          </cell>
        </row>
        <row r="307">
          <cell r="G307" t="str">
            <v>3451000</v>
          </cell>
          <cell r="H307">
            <v>10.9678</v>
          </cell>
          <cell r="I307">
            <v>12.1671</v>
          </cell>
          <cell r="J307" t="str">
            <v>Income Statement</v>
          </cell>
          <cell r="K307" t="str">
            <v>Operating expenses</v>
          </cell>
          <cell r="L307" t="str">
            <v>Travel</v>
          </cell>
          <cell r="M307" t="str">
            <v>Local</v>
          </cell>
          <cell r="N307">
            <v>29485.251210230868</v>
          </cell>
          <cell r="O307">
            <v>40940</v>
          </cell>
        </row>
        <row r="308">
          <cell r="G308" t="str">
            <v>3451000</v>
          </cell>
          <cell r="H308">
            <v>10.9678</v>
          </cell>
          <cell r="I308">
            <v>12.1671</v>
          </cell>
          <cell r="J308" t="str">
            <v>Income Statement</v>
          </cell>
          <cell r="K308" t="str">
            <v>Operating expenses</v>
          </cell>
          <cell r="L308" t="str">
            <v>Travel</v>
          </cell>
          <cell r="M308" t="str">
            <v>Local</v>
          </cell>
          <cell r="N308">
            <v>38999.104141496333</v>
          </cell>
          <cell r="O308">
            <v>40940</v>
          </cell>
        </row>
        <row r="309">
          <cell r="G309" t="str">
            <v>3451000</v>
          </cell>
          <cell r="H309">
            <v>10.9678</v>
          </cell>
          <cell r="I309">
            <v>12.1671</v>
          </cell>
          <cell r="J309" t="str">
            <v>Income Statement</v>
          </cell>
          <cell r="K309" t="str">
            <v>Operating expenses</v>
          </cell>
          <cell r="L309" t="str">
            <v>Travel</v>
          </cell>
          <cell r="M309" t="str">
            <v>Local</v>
          </cell>
          <cell r="N309">
            <v>66830.715618347836</v>
          </cell>
          <cell r="O309">
            <v>40940</v>
          </cell>
        </row>
        <row r="310">
          <cell r="G310" t="str">
            <v>3451000</v>
          </cell>
          <cell r="H310">
            <v>10.9678</v>
          </cell>
          <cell r="I310">
            <v>12.1671</v>
          </cell>
          <cell r="J310" t="str">
            <v>Income Statement</v>
          </cell>
          <cell r="K310" t="str">
            <v>Operating expenses</v>
          </cell>
          <cell r="L310" t="str">
            <v>Travel</v>
          </cell>
          <cell r="M310" t="str">
            <v>Local</v>
          </cell>
          <cell r="N310">
            <v>46321.6378594735</v>
          </cell>
          <cell r="O310">
            <v>40940</v>
          </cell>
        </row>
        <row r="311">
          <cell r="G311" t="str">
            <v>3451000</v>
          </cell>
          <cell r="H311">
            <v>10.9678</v>
          </cell>
          <cell r="I311">
            <v>12.1671</v>
          </cell>
          <cell r="J311" t="str">
            <v>Income Statement</v>
          </cell>
          <cell r="K311" t="str">
            <v>Operating expenses</v>
          </cell>
          <cell r="L311" t="str">
            <v>Travel</v>
          </cell>
          <cell r="M311" t="str">
            <v>Local</v>
          </cell>
          <cell r="N311">
            <v>29131.839139975837</v>
          </cell>
          <cell r="O311">
            <v>40940</v>
          </cell>
        </row>
        <row r="312">
          <cell r="G312" t="str">
            <v>3451000</v>
          </cell>
          <cell r="H312">
            <v>10.9678</v>
          </cell>
          <cell r="I312">
            <v>12.1671</v>
          </cell>
          <cell r="J312" t="str">
            <v>Income Statement</v>
          </cell>
          <cell r="K312" t="str">
            <v>Operating expenses</v>
          </cell>
          <cell r="L312" t="str">
            <v>Travel</v>
          </cell>
          <cell r="M312" t="str">
            <v>Local</v>
          </cell>
          <cell r="N312">
            <v>32122.855898283076</v>
          </cell>
          <cell r="O312">
            <v>40940</v>
          </cell>
        </row>
        <row r="313">
          <cell r="G313" t="str">
            <v>3451000</v>
          </cell>
          <cell r="H313">
            <v>10.9678</v>
          </cell>
          <cell r="I313">
            <v>12.1671</v>
          </cell>
          <cell r="J313" t="str">
            <v>Income Statement</v>
          </cell>
          <cell r="K313" t="str">
            <v>Operating expenses</v>
          </cell>
          <cell r="L313" t="str">
            <v>Travel</v>
          </cell>
          <cell r="M313" t="str">
            <v>Local</v>
          </cell>
          <cell r="N313">
            <v>31956.998791823855</v>
          </cell>
          <cell r="O313">
            <v>40940</v>
          </cell>
        </row>
        <row r="314">
          <cell r="G314" t="str">
            <v>3451000</v>
          </cell>
          <cell r="H314">
            <v>10.9678</v>
          </cell>
          <cell r="I314">
            <v>12.1671</v>
          </cell>
          <cell r="J314" t="str">
            <v>Income Statement</v>
          </cell>
          <cell r="K314" t="str">
            <v>Operating expenses</v>
          </cell>
          <cell r="L314" t="str">
            <v>Travel</v>
          </cell>
          <cell r="M314" t="str">
            <v>Local</v>
          </cell>
          <cell r="N314">
            <v>591394.95278250368</v>
          </cell>
          <cell r="O314">
            <v>40940</v>
          </cell>
        </row>
        <row r="315">
          <cell r="G315" t="str">
            <v>3451000</v>
          </cell>
          <cell r="H315">
            <v>10.9678</v>
          </cell>
          <cell r="I315">
            <v>12.1671</v>
          </cell>
          <cell r="J315" t="str">
            <v>Income Statement</v>
          </cell>
          <cell r="K315" t="str">
            <v>Operating expenses</v>
          </cell>
          <cell r="L315" t="str">
            <v>Travel</v>
          </cell>
          <cell r="M315" t="str">
            <v>Local</v>
          </cell>
          <cell r="N315">
            <v>4254.6958601474471</v>
          </cell>
          <cell r="O315">
            <v>40940</v>
          </cell>
        </row>
        <row r="316">
          <cell r="G316" t="str">
            <v>3453000</v>
          </cell>
          <cell r="H316">
            <v>10.9678</v>
          </cell>
          <cell r="I316">
            <v>12.1671</v>
          </cell>
          <cell r="J316" t="str">
            <v>Income Statement</v>
          </cell>
          <cell r="K316" t="str">
            <v>Operating expenses</v>
          </cell>
          <cell r="L316" t="str">
            <v>Travel</v>
          </cell>
          <cell r="M316" t="str">
            <v>Overseas</v>
          </cell>
          <cell r="N316">
            <v>5704.7685972828367</v>
          </cell>
          <cell r="O316">
            <v>40940</v>
          </cell>
        </row>
        <row r="317">
          <cell r="G317" t="str">
            <v>3456000</v>
          </cell>
          <cell r="H317">
            <v>10.9678</v>
          </cell>
          <cell r="I317">
            <v>12.1671</v>
          </cell>
          <cell r="J317" t="str">
            <v>Income Statement</v>
          </cell>
          <cell r="K317" t="str">
            <v>Operating expenses</v>
          </cell>
          <cell r="L317" t="str">
            <v>Subscriptions</v>
          </cell>
          <cell r="N317">
            <v>46058.140394999631</v>
          </cell>
          <cell r="O317">
            <v>40940</v>
          </cell>
        </row>
        <row r="318">
          <cell r="G318" t="str">
            <v>3508000</v>
          </cell>
          <cell r="H318">
            <v>10.9678</v>
          </cell>
          <cell r="I318">
            <v>12.1671</v>
          </cell>
          <cell r="J318" t="str">
            <v>Income Statement</v>
          </cell>
          <cell r="K318" t="str">
            <v>Operating expenses</v>
          </cell>
          <cell r="L318" t="str">
            <v>Other Expenses</v>
          </cell>
          <cell r="M318" t="str">
            <v>PO variance account</v>
          </cell>
          <cell r="N318">
            <v>0.16437770709536373</v>
          </cell>
          <cell r="O318">
            <v>40940</v>
          </cell>
        </row>
        <row r="319">
          <cell r="G319" t="str">
            <v>3801000</v>
          </cell>
          <cell r="H319">
            <v>10.9678</v>
          </cell>
          <cell r="I319">
            <v>12.1671</v>
          </cell>
          <cell r="J319" t="str">
            <v>Income Statement</v>
          </cell>
          <cell r="K319" t="str">
            <v>Forex (gain) / loss</v>
          </cell>
          <cell r="L319" t="str">
            <v>Profit on exchange differences - Intergroup</v>
          </cell>
          <cell r="N319">
            <v>10711.500686276928</v>
          </cell>
          <cell r="O319">
            <v>40940</v>
          </cell>
        </row>
        <row r="320">
          <cell r="G320" t="str">
            <v>3820000</v>
          </cell>
          <cell r="H320">
            <v>10.9678</v>
          </cell>
          <cell r="I320">
            <v>12.1671</v>
          </cell>
          <cell r="J320" t="str">
            <v>Income Statement</v>
          </cell>
          <cell r="K320" t="str">
            <v>Forex (gain) / loss</v>
          </cell>
          <cell r="L320" t="str">
            <v>Profit on exchange differences - External</v>
          </cell>
          <cell r="N320">
            <v>2217740.2076090439</v>
          </cell>
          <cell r="O320">
            <v>40940</v>
          </cell>
        </row>
        <row r="321">
          <cell r="G321" t="str">
            <v>4812000</v>
          </cell>
          <cell r="H321">
            <v>10.9678</v>
          </cell>
          <cell r="I321">
            <v>12.1671</v>
          </cell>
          <cell r="J321" t="str">
            <v>Income Statement</v>
          </cell>
          <cell r="K321" t="str">
            <v>Taxation</v>
          </cell>
          <cell r="L321" t="str">
            <v>Income Tax</v>
          </cell>
          <cell r="M321" t="str">
            <v>Witholding tax</v>
          </cell>
          <cell r="N321">
            <v>-848021.4677285467</v>
          </cell>
          <cell r="O321">
            <v>40940</v>
          </cell>
        </row>
        <row r="322">
          <cell r="G322" t="str">
            <v>4814000</v>
          </cell>
          <cell r="H322">
            <v>10.9678</v>
          </cell>
          <cell r="I322">
            <v>12.1671</v>
          </cell>
          <cell r="J322" t="str">
            <v>Income Statement</v>
          </cell>
          <cell r="K322" t="str">
            <v>Operating expenses</v>
          </cell>
          <cell r="L322" t="str">
            <v>Penalties and Interest</v>
          </cell>
          <cell r="M322" t="str">
            <v>Witholding tax</v>
          </cell>
          <cell r="N322">
            <v>971248.36649653572</v>
          </cell>
          <cell r="O322">
            <v>40940</v>
          </cell>
        </row>
        <row r="323">
          <cell r="G323" t="str">
            <v>4831000</v>
          </cell>
          <cell r="H323">
            <v>10.9678</v>
          </cell>
          <cell r="I323">
            <v>12.1671</v>
          </cell>
          <cell r="J323" t="str">
            <v>Income Statement</v>
          </cell>
          <cell r="K323" t="str">
            <v>Operating expenses</v>
          </cell>
          <cell r="L323" t="str">
            <v>Vat on imported services</v>
          </cell>
          <cell r="N323">
            <v>577305.35624758573</v>
          </cell>
          <cell r="O323">
            <v>40940</v>
          </cell>
        </row>
        <row r="324">
          <cell r="G324" t="str">
            <v>4832000</v>
          </cell>
          <cell r="H324">
            <v>10.9678</v>
          </cell>
          <cell r="I324">
            <v>12.1671</v>
          </cell>
          <cell r="J324" t="str">
            <v>Income Statement</v>
          </cell>
          <cell r="K324" t="str">
            <v>Operating expenses</v>
          </cell>
          <cell r="L324" t="str">
            <v>Vat on imported services</v>
          </cell>
          <cell r="N324">
            <v>-454188.8371099112</v>
          </cell>
          <cell r="O324">
            <v>40940</v>
          </cell>
        </row>
        <row r="325">
          <cell r="G325" t="str">
            <v>4834000</v>
          </cell>
          <cell r="H325">
            <v>10.9678</v>
          </cell>
          <cell r="I325">
            <v>12.1671</v>
          </cell>
          <cell r="J325" t="str">
            <v>Income Statement</v>
          </cell>
          <cell r="K325" t="str">
            <v>Operating expenses</v>
          </cell>
          <cell r="L325" t="str">
            <v>Vat on imported services</v>
          </cell>
          <cell r="N325">
            <v>324595.50755726511</v>
          </cell>
          <cell r="O325">
            <v>40940</v>
          </cell>
        </row>
        <row r="326">
          <cell r="G326" t="str">
            <v>5101001</v>
          </cell>
          <cell r="H326">
            <v>10.9678</v>
          </cell>
          <cell r="I326">
            <v>12.1671</v>
          </cell>
          <cell r="J326" t="str">
            <v>Equity</v>
          </cell>
          <cell r="K326" t="str">
            <v>Share capital</v>
          </cell>
          <cell r="L326" t="str">
            <v>Share Capital</v>
          </cell>
          <cell r="M326" t="str">
            <v>Ordinary shares</v>
          </cell>
          <cell r="N326">
            <v>-5470559.2735097287</v>
          </cell>
          <cell r="O326">
            <v>40940</v>
          </cell>
        </row>
        <row r="327">
          <cell r="G327" t="str">
            <v>5155001</v>
          </cell>
          <cell r="H327">
            <v>10.9678</v>
          </cell>
          <cell r="I327">
            <v>12.1671</v>
          </cell>
          <cell r="J327" t="str">
            <v>Equity</v>
          </cell>
          <cell r="K327" t="str">
            <v>Equity loan</v>
          </cell>
          <cell r="L327" t="str">
            <v>Equity loan</v>
          </cell>
          <cell r="M327" t="str">
            <v>Equity loan</v>
          </cell>
          <cell r="N327">
            <v>-82058389.102645919</v>
          </cell>
          <cell r="O327">
            <v>40940</v>
          </cell>
        </row>
        <row r="328">
          <cell r="G328" t="str">
            <v>5201001</v>
          </cell>
          <cell r="H328">
            <v>10.9678</v>
          </cell>
          <cell r="I328">
            <v>12.1671</v>
          </cell>
          <cell r="J328" t="str">
            <v>Equity</v>
          </cell>
          <cell r="K328" t="str">
            <v>Retained earnings/ (Accumulated loss)</v>
          </cell>
          <cell r="L328" t="str">
            <v>Retained earnings/ (Accumulated loss)</v>
          </cell>
          <cell r="M328" t="str">
            <v>Retained earnings</v>
          </cell>
          <cell r="N328">
            <v>53361069.686719306</v>
          </cell>
          <cell r="O328">
            <v>40940</v>
          </cell>
        </row>
        <row r="329">
          <cell r="G329" t="str">
            <v>5201002</v>
          </cell>
          <cell r="H329">
            <v>10.9678</v>
          </cell>
          <cell r="I329">
            <v>12.1671</v>
          </cell>
          <cell r="J329" t="str">
            <v>Equity</v>
          </cell>
          <cell r="K329" t="str">
            <v>Retained earnings/ (Accumulated loss)</v>
          </cell>
          <cell r="L329" t="str">
            <v>Retained earnings/ (Accumulated loss)</v>
          </cell>
          <cell r="M329" t="str">
            <v>Retained earnings</v>
          </cell>
          <cell r="N329">
            <v>-4784981.0080417218</v>
          </cell>
          <cell r="O329">
            <v>40940</v>
          </cell>
        </row>
        <row r="330">
          <cell r="G330" t="str">
            <v>6103001</v>
          </cell>
          <cell r="H330">
            <v>10.9678</v>
          </cell>
          <cell r="I330">
            <v>12.1671</v>
          </cell>
          <cell r="J330" t="str">
            <v>Assets</v>
          </cell>
          <cell r="K330" t="str">
            <v>Property, plant and equipment</v>
          </cell>
          <cell r="L330" t="str">
            <v>F&amp;F</v>
          </cell>
          <cell r="M330" t="str">
            <v>Cost</v>
          </cell>
          <cell r="N330">
            <v>1495728.7177009061</v>
          </cell>
          <cell r="O330">
            <v>40940</v>
          </cell>
        </row>
        <row r="331">
          <cell r="G331" t="str">
            <v>6103101</v>
          </cell>
          <cell r="H331">
            <v>10.9678</v>
          </cell>
          <cell r="I331">
            <v>12.1671</v>
          </cell>
          <cell r="J331" t="str">
            <v>Assets</v>
          </cell>
          <cell r="K331" t="str">
            <v>Property, plant and equipment</v>
          </cell>
          <cell r="L331" t="str">
            <v>F&amp;F</v>
          </cell>
          <cell r="M331" t="str">
            <v>Acc Dep</v>
          </cell>
          <cell r="N331">
            <v>-921181.95627199626</v>
          </cell>
          <cell r="O331">
            <v>40940</v>
          </cell>
        </row>
        <row r="332">
          <cell r="G332" t="str">
            <v>6103102</v>
          </cell>
          <cell r="H332">
            <v>10.9678</v>
          </cell>
          <cell r="I332">
            <v>12.1671</v>
          </cell>
          <cell r="J332" t="str">
            <v>Assets</v>
          </cell>
          <cell r="K332" t="str">
            <v>Property, plant and equipment</v>
          </cell>
          <cell r="L332" t="str">
            <v>F&amp;F</v>
          </cell>
          <cell r="M332" t="str">
            <v>Acc Dep</v>
          </cell>
          <cell r="N332">
            <v>-299965.32030124549</v>
          </cell>
          <cell r="O332">
            <v>40940</v>
          </cell>
        </row>
        <row r="333">
          <cell r="G333" t="str">
            <v>6104001</v>
          </cell>
          <cell r="H333">
            <v>10.9678</v>
          </cell>
          <cell r="I333">
            <v>12.1671</v>
          </cell>
          <cell r="J333" t="str">
            <v>Assets</v>
          </cell>
          <cell r="K333" t="str">
            <v>Property, plant and equipment</v>
          </cell>
          <cell r="L333" t="str">
            <v>Vehicles</v>
          </cell>
          <cell r="M333" t="str">
            <v>Cost</v>
          </cell>
          <cell r="N333">
            <v>564715.4415653093</v>
          </cell>
          <cell r="O333">
            <v>40940</v>
          </cell>
        </row>
        <row r="334">
          <cell r="G334" t="str">
            <v>6104101</v>
          </cell>
          <cell r="H334">
            <v>10.9678</v>
          </cell>
          <cell r="I334">
            <v>12.1671</v>
          </cell>
          <cell r="J334" t="str">
            <v>Assets</v>
          </cell>
          <cell r="K334" t="str">
            <v>Property, plant and equipment</v>
          </cell>
          <cell r="L334" t="str">
            <v>Vehicles</v>
          </cell>
          <cell r="M334" t="str">
            <v>Acc Dep</v>
          </cell>
          <cell r="N334">
            <v>-373126.54041831545</v>
          </cell>
          <cell r="O334">
            <v>40940</v>
          </cell>
        </row>
        <row r="335">
          <cell r="G335" t="str">
            <v>6104102</v>
          </cell>
          <cell r="H335">
            <v>10.9678</v>
          </cell>
          <cell r="I335">
            <v>12.1671</v>
          </cell>
          <cell r="J335" t="str">
            <v>Assets</v>
          </cell>
          <cell r="K335" t="str">
            <v>Property, plant and equipment</v>
          </cell>
          <cell r="L335" t="str">
            <v>Vehicles</v>
          </cell>
          <cell r="M335" t="str">
            <v>Acc Dep</v>
          </cell>
          <cell r="N335">
            <v>-113252.52192782509</v>
          </cell>
          <cell r="O335">
            <v>40940</v>
          </cell>
        </row>
        <row r="336">
          <cell r="G336" t="str">
            <v>6105001</v>
          </cell>
          <cell r="H336">
            <v>10.9678</v>
          </cell>
          <cell r="I336">
            <v>12.1671</v>
          </cell>
          <cell r="J336" t="str">
            <v>Assets</v>
          </cell>
          <cell r="K336" t="str">
            <v>Property, plant and equipment</v>
          </cell>
          <cell r="L336" t="str">
            <v>IT Equip</v>
          </cell>
          <cell r="M336" t="str">
            <v>Cost</v>
          </cell>
          <cell r="N336">
            <v>1488074.7305749557</v>
          </cell>
          <cell r="O336">
            <v>40940</v>
          </cell>
        </row>
        <row r="337">
          <cell r="G337" t="str">
            <v>6105002</v>
          </cell>
          <cell r="H337">
            <v>10.9678</v>
          </cell>
          <cell r="I337">
            <v>12.1671</v>
          </cell>
          <cell r="J337" t="str">
            <v>Assets</v>
          </cell>
          <cell r="K337" t="str">
            <v>Property, plant and equipment</v>
          </cell>
          <cell r="L337" t="str">
            <v>IT Equip</v>
          </cell>
          <cell r="M337" t="str">
            <v>Cost</v>
          </cell>
          <cell r="N337">
            <v>10941.118547019456</v>
          </cell>
          <cell r="O337">
            <v>40940</v>
          </cell>
        </row>
        <row r="338">
          <cell r="G338" t="str">
            <v>6105101</v>
          </cell>
          <cell r="H338">
            <v>10.9678</v>
          </cell>
          <cell r="I338">
            <v>12.1671</v>
          </cell>
          <cell r="J338" t="str">
            <v>Assets</v>
          </cell>
          <cell r="K338" t="str">
            <v>Property, plant and equipment</v>
          </cell>
          <cell r="L338" t="str">
            <v>IT Equip</v>
          </cell>
          <cell r="M338" t="str">
            <v>Acc Dep</v>
          </cell>
          <cell r="N338">
            <v>-951791.61727967311</v>
          </cell>
          <cell r="O338">
            <v>40940</v>
          </cell>
        </row>
        <row r="339">
          <cell r="G339" t="str">
            <v>6105102</v>
          </cell>
          <cell r="H339">
            <v>10.9678</v>
          </cell>
          <cell r="I339">
            <v>12.1671</v>
          </cell>
          <cell r="J339" t="str">
            <v>Assets</v>
          </cell>
          <cell r="K339" t="str">
            <v>Property, plant and equipment</v>
          </cell>
          <cell r="L339" t="str">
            <v>IT Equip</v>
          </cell>
          <cell r="M339" t="str">
            <v>Acc Dep</v>
          </cell>
          <cell r="N339">
            <v>-507962.2950819672</v>
          </cell>
          <cell r="O339">
            <v>40940</v>
          </cell>
        </row>
        <row r="340">
          <cell r="G340" t="str">
            <v>6106002</v>
          </cell>
          <cell r="H340">
            <v>10.9678</v>
          </cell>
          <cell r="I340">
            <v>12.1671</v>
          </cell>
          <cell r="J340" t="str">
            <v>Assets</v>
          </cell>
          <cell r="K340" t="str">
            <v>Property, plant and equipment</v>
          </cell>
          <cell r="L340" t="str">
            <v>Computer Soft</v>
          </cell>
          <cell r="M340" t="str">
            <v>Cost</v>
          </cell>
          <cell r="N340">
            <v>3414403.5203048922</v>
          </cell>
          <cell r="O340">
            <v>40940</v>
          </cell>
        </row>
        <row r="341">
          <cell r="G341" t="str">
            <v>6106102</v>
          </cell>
          <cell r="H341">
            <v>10.9678</v>
          </cell>
          <cell r="I341">
            <v>12.1671</v>
          </cell>
          <cell r="J341" t="str">
            <v>Assets</v>
          </cell>
          <cell r="K341" t="str">
            <v>Property, plant and equipment</v>
          </cell>
          <cell r="L341" t="str">
            <v>Computer Soft</v>
          </cell>
          <cell r="M341" t="str">
            <v>Acc Dep</v>
          </cell>
          <cell r="N341">
            <v>-445082.11127117561</v>
          </cell>
          <cell r="O341">
            <v>40940</v>
          </cell>
        </row>
        <row r="342">
          <cell r="G342" t="str">
            <v>6401001</v>
          </cell>
          <cell r="H342">
            <v>10.9678</v>
          </cell>
          <cell r="I342">
            <v>12.1671</v>
          </cell>
          <cell r="J342" t="str">
            <v>Assets</v>
          </cell>
          <cell r="K342" t="str">
            <v>Deferred tax asset</v>
          </cell>
          <cell r="L342" t="str">
            <v>Deferred tax asset</v>
          </cell>
          <cell r="N342">
            <v>167.30793778150584</v>
          </cell>
          <cell r="O342">
            <v>40940</v>
          </cell>
        </row>
        <row r="343">
          <cell r="G343" t="str">
            <v>7100002</v>
          </cell>
          <cell r="H343">
            <v>10.9678</v>
          </cell>
          <cell r="I343">
            <v>12.1671</v>
          </cell>
          <cell r="J343" t="str">
            <v>Assets</v>
          </cell>
          <cell r="K343" t="str">
            <v>Cash and cash equivalents</v>
          </cell>
          <cell r="L343" t="str">
            <v>Cash on hand</v>
          </cell>
          <cell r="N343">
            <v>9.1175987891828805E-2</v>
          </cell>
          <cell r="O343">
            <v>40940</v>
          </cell>
        </row>
        <row r="344">
          <cell r="G344" t="str">
            <v>7100009</v>
          </cell>
          <cell r="H344">
            <v>10.9678</v>
          </cell>
          <cell r="I344">
            <v>12.1671</v>
          </cell>
          <cell r="J344" t="str">
            <v>Assets</v>
          </cell>
          <cell r="K344" t="str">
            <v>Cash and cash equivalents</v>
          </cell>
          <cell r="L344" t="str">
            <v>Cash on hand</v>
          </cell>
          <cell r="N344">
            <v>9.1175987891828805E-2</v>
          </cell>
          <cell r="O344">
            <v>40940</v>
          </cell>
        </row>
        <row r="345">
          <cell r="G345" t="str">
            <v>7100010</v>
          </cell>
          <cell r="H345">
            <v>10.9678</v>
          </cell>
          <cell r="I345">
            <v>12.1671</v>
          </cell>
          <cell r="J345" t="str">
            <v>Assets</v>
          </cell>
          <cell r="K345" t="str">
            <v>Cash and cash equivalents</v>
          </cell>
          <cell r="L345" t="str">
            <v>Cash on hand</v>
          </cell>
          <cell r="N345">
            <v>5.744087237185215</v>
          </cell>
          <cell r="O345">
            <v>40940</v>
          </cell>
        </row>
        <row r="346">
          <cell r="G346" t="str">
            <v>7100011</v>
          </cell>
          <cell r="H346">
            <v>10.9678</v>
          </cell>
          <cell r="I346">
            <v>12.1671</v>
          </cell>
          <cell r="J346" t="str">
            <v>Assets</v>
          </cell>
          <cell r="K346" t="str">
            <v>Cash and cash equivalents</v>
          </cell>
          <cell r="L346" t="str">
            <v>Cash on hand</v>
          </cell>
          <cell r="N346">
            <v>43.764474188077827</v>
          </cell>
          <cell r="O346">
            <v>40940</v>
          </cell>
        </row>
        <row r="347">
          <cell r="G347" t="str">
            <v>7100018</v>
          </cell>
          <cell r="H347">
            <v>10.9678</v>
          </cell>
          <cell r="I347">
            <v>12.1671</v>
          </cell>
          <cell r="J347" t="str">
            <v>Assets</v>
          </cell>
          <cell r="K347" t="str">
            <v>Cash and cash equivalents</v>
          </cell>
          <cell r="L347" t="str">
            <v>Cash on hand</v>
          </cell>
          <cell r="N347">
            <v>2.7352796367548642</v>
          </cell>
          <cell r="O347">
            <v>40940</v>
          </cell>
        </row>
        <row r="348">
          <cell r="G348" t="str">
            <v>7100099</v>
          </cell>
          <cell r="H348">
            <v>10.9678</v>
          </cell>
          <cell r="I348">
            <v>12.1671</v>
          </cell>
          <cell r="J348" t="str">
            <v>Assets</v>
          </cell>
          <cell r="K348" t="str">
            <v>Cash and cash equivalents</v>
          </cell>
          <cell r="L348" t="str">
            <v>Bank balances</v>
          </cell>
          <cell r="N348">
            <v>1107070.4535093638</v>
          </cell>
          <cell r="O348">
            <v>40940</v>
          </cell>
        </row>
        <row r="349">
          <cell r="G349" t="str">
            <v>7107061</v>
          </cell>
          <cell r="H349">
            <v>10.9678</v>
          </cell>
          <cell r="I349">
            <v>12.1671</v>
          </cell>
          <cell r="J349" t="str">
            <v>Assets</v>
          </cell>
          <cell r="K349" t="str">
            <v>Cash and cash equivalents</v>
          </cell>
          <cell r="L349" t="str">
            <v>Bank balances</v>
          </cell>
          <cell r="N349">
            <v>85610.72867849523</v>
          </cell>
          <cell r="O349">
            <v>40940</v>
          </cell>
        </row>
        <row r="350">
          <cell r="G350" t="str">
            <v>7107071</v>
          </cell>
          <cell r="H350">
            <v>10.9678</v>
          </cell>
          <cell r="I350">
            <v>12.1671</v>
          </cell>
          <cell r="J350" t="str">
            <v>Assets</v>
          </cell>
          <cell r="K350" t="str">
            <v>Cash and cash equivalents</v>
          </cell>
          <cell r="L350" t="str">
            <v>Bank balances</v>
          </cell>
          <cell r="N350">
            <v>9906.7725523806039</v>
          </cell>
          <cell r="O350">
            <v>40940</v>
          </cell>
        </row>
        <row r="351">
          <cell r="G351" t="str">
            <v>7107081</v>
          </cell>
          <cell r="H351">
            <v>10.9678</v>
          </cell>
          <cell r="I351">
            <v>12.1671</v>
          </cell>
          <cell r="J351" t="str">
            <v>Assets</v>
          </cell>
          <cell r="K351" t="str">
            <v>Cash and cash equivalents</v>
          </cell>
          <cell r="L351" t="str">
            <v>Bank balances</v>
          </cell>
          <cell r="N351">
            <v>84643.044183883729</v>
          </cell>
          <cell r="O351">
            <v>40940</v>
          </cell>
        </row>
        <row r="352">
          <cell r="G352" t="str">
            <v>7107082</v>
          </cell>
          <cell r="H352">
            <v>10.9678</v>
          </cell>
          <cell r="I352">
            <v>12.1671</v>
          </cell>
          <cell r="J352" t="str">
            <v>Assets</v>
          </cell>
          <cell r="K352" t="str">
            <v>Cash and cash equivalents</v>
          </cell>
          <cell r="L352" t="str">
            <v>Bank balances</v>
          </cell>
          <cell r="N352">
            <v>220.46353872244205</v>
          </cell>
          <cell r="O352">
            <v>40940</v>
          </cell>
        </row>
        <row r="353">
          <cell r="G353" t="str">
            <v>7107091</v>
          </cell>
          <cell r="H353">
            <v>10.9678</v>
          </cell>
          <cell r="I353">
            <v>12.1671</v>
          </cell>
          <cell r="J353" t="str">
            <v>Assets</v>
          </cell>
          <cell r="K353" t="str">
            <v>Cash and cash equivalents</v>
          </cell>
          <cell r="L353" t="str">
            <v>Bank balances</v>
          </cell>
          <cell r="N353">
            <v>89907.000492350329</v>
          </cell>
          <cell r="O353">
            <v>40940</v>
          </cell>
        </row>
        <row r="354">
          <cell r="G354" t="str">
            <v>7107201</v>
          </cell>
          <cell r="H354">
            <v>10.9678</v>
          </cell>
          <cell r="I354">
            <v>12.1671</v>
          </cell>
          <cell r="J354" t="str">
            <v>Assets</v>
          </cell>
          <cell r="K354" t="str">
            <v>Cash and cash equivalents</v>
          </cell>
          <cell r="L354" t="str">
            <v>Bank balances</v>
          </cell>
          <cell r="N354">
            <v>26768.895311730703</v>
          </cell>
          <cell r="O354">
            <v>40940</v>
          </cell>
        </row>
        <row r="355">
          <cell r="G355" t="str">
            <v>7107202</v>
          </cell>
          <cell r="H355">
            <v>10.9678</v>
          </cell>
          <cell r="I355">
            <v>12.1671</v>
          </cell>
          <cell r="J355" t="str">
            <v>Assets</v>
          </cell>
          <cell r="K355" t="str">
            <v>Cash and cash equivalents</v>
          </cell>
          <cell r="L355" t="str">
            <v>Bank balances</v>
          </cell>
          <cell r="N355">
            <v>135349.2952096136</v>
          </cell>
          <cell r="O355">
            <v>40940</v>
          </cell>
        </row>
        <row r="356">
          <cell r="G356" t="str">
            <v>7107203</v>
          </cell>
          <cell r="H356">
            <v>10.9678</v>
          </cell>
          <cell r="I356">
            <v>12.1671</v>
          </cell>
          <cell r="J356" t="str">
            <v>Assets</v>
          </cell>
          <cell r="K356" t="str">
            <v>Cash and cash equivalents</v>
          </cell>
          <cell r="L356" t="str">
            <v>Bank balances</v>
          </cell>
          <cell r="N356">
            <v>81673.061142617487</v>
          </cell>
          <cell r="O356">
            <v>40940</v>
          </cell>
        </row>
        <row r="357">
          <cell r="G357" t="str">
            <v>7107204</v>
          </cell>
          <cell r="H357">
            <v>10.9678</v>
          </cell>
          <cell r="I357">
            <v>12.1671</v>
          </cell>
          <cell r="J357" t="str">
            <v>Liabilities</v>
          </cell>
          <cell r="K357" t="str">
            <v>Cash and cash equivalents</v>
          </cell>
          <cell r="L357" t="str">
            <v>Bank overdraft</v>
          </cell>
          <cell r="N357">
            <v>-462692.8919199839</v>
          </cell>
          <cell r="O357">
            <v>40940</v>
          </cell>
        </row>
        <row r="358">
          <cell r="G358" t="str">
            <v>7107205</v>
          </cell>
          <cell r="H358">
            <v>10.9678</v>
          </cell>
          <cell r="I358">
            <v>12.1671</v>
          </cell>
          <cell r="J358" t="str">
            <v>Assets</v>
          </cell>
          <cell r="K358" t="str">
            <v>Cash and cash equivalents</v>
          </cell>
          <cell r="L358" t="str">
            <v>Bank balances</v>
          </cell>
          <cell r="N358">
            <v>34724.165283830851</v>
          </cell>
          <cell r="O358">
            <v>40940</v>
          </cell>
        </row>
        <row r="359">
          <cell r="G359" t="str">
            <v>7201002</v>
          </cell>
          <cell r="H359">
            <v>10.9678</v>
          </cell>
          <cell r="I359">
            <v>12.1671</v>
          </cell>
          <cell r="J359" t="str">
            <v>Assets</v>
          </cell>
          <cell r="K359" t="str">
            <v>Loans and advances to customers</v>
          </cell>
          <cell r="L359" t="str">
            <v>Term Loans</v>
          </cell>
          <cell r="M359" t="str">
            <v>Gross loan advances to customers</v>
          </cell>
          <cell r="N359">
            <v>32418834.03508452</v>
          </cell>
          <cell r="O359">
            <v>40940</v>
          </cell>
        </row>
        <row r="360">
          <cell r="G360" t="str">
            <v>7201004</v>
          </cell>
          <cell r="H360">
            <v>10.9678</v>
          </cell>
          <cell r="I360">
            <v>12.1671</v>
          </cell>
          <cell r="J360" t="str">
            <v>Assets</v>
          </cell>
          <cell r="K360" t="str">
            <v>Loans and advances to customers</v>
          </cell>
          <cell r="L360" t="str">
            <v>Term Loans</v>
          </cell>
          <cell r="M360" t="str">
            <v>Gross loan advances to customers</v>
          </cell>
          <cell r="N360">
            <v>19137050.301792521</v>
          </cell>
          <cell r="O360">
            <v>40940</v>
          </cell>
        </row>
        <row r="361">
          <cell r="G361" t="str">
            <v>7201005</v>
          </cell>
          <cell r="H361">
            <v>10.9678</v>
          </cell>
          <cell r="I361">
            <v>12.1671</v>
          </cell>
          <cell r="J361" t="str">
            <v>Assets</v>
          </cell>
          <cell r="K361" t="str">
            <v>Loans and advances to customers</v>
          </cell>
          <cell r="L361" t="str">
            <v>Term Loans</v>
          </cell>
          <cell r="M361" t="str">
            <v>Gross loan advances to customers</v>
          </cell>
          <cell r="N361">
            <v>1994928.4742610184</v>
          </cell>
          <cell r="O361">
            <v>40940</v>
          </cell>
        </row>
        <row r="362">
          <cell r="G362" t="str">
            <v>7201007</v>
          </cell>
          <cell r="H362">
            <v>10.9678</v>
          </cell>
          <cell r="I362">
            <v>12.1671</v>
          </cell>
          <cell r="J362" t="str">
            <v>Assets</v>
          </cell>
          <cell r="K362" t="str">
            <v>Loans and advances to customers</v>
          </cell>
          <cell r="L362" t="str">
            <v>Term Loans</v>
          </cell>
          <cell r="M362" t="str">
            <v>Gross loan advances to customers</v>
          </cell>
          <cell r="N362">
            <v>1389921.7099144768</v>
          </cell>
          <cell r="O362">
            <v>40940</v>
          </cell>
        </row>
        <row r="363">
          <cell r="G363" t="str">
            <v>7201010</v>
          </cell>
          <cell r="H363">
            <v>10.9678</v>
          </cell>
          <cell r="I363">
            <v>12.1671</v>
          </cell>
          <cell r="J363" t="str">
            <v>Assets</v>
          </cell>
          <cell r="K363" t="str">
            <v>Loans and advances to customers</v>
          </cell>
          <cell r="L363" t="str">
            <v>Term Loans</v>
          </cell>
          <cell r="M363" t="str">
            <v>Gross loan advances to customers</v>
          </cell>
          <cell r="N363">
            <v>-19574884.897609364</v>
          </cell>
          <cell r="O363">
            <v>40940</v>
          </cell>
        </row>
        <row r="364">
          <cell r="G364" t="str">
            <v>7201015</v>
          </cell>
          <cell r="H364">
            <v>10.9678</v>
          </cell>
          <cell r="I364">
            <v>12.1671</v>
          </cell>
          <cell r="J364" t="str">
            <v>Assets</v>
          </cell>
          <cell r="K364" t="str">
            <v>Loans and advances to customers</v>
          </cell>
          <cell r="L364" t="str">
            <v>Term Loans</v>
          </cell>
          <cell r="M364" t="str">
            <v>Gross loan advances to customers</v>
          </cell>
          <cell r="N364">
            <v>-5176372.1420886591</v>
          </cell>
          <cell r="O364">
            <v>40940</v>
          </cell>
        </row>
        <row r="365">
          <cell r="G365" t="str">
            <v>7201019</v>
          </cell>
          <cell r="H365">
            <v>10.9678</v>
          </cell>
          <cell r="I365">
            <v>12.1671</v>
          </cell>
          <cell r="J365" t="str">
            <v>Assets</v>
          </cell>
          <cell r="K365" t="str">
            <v>Loans and advances to customers</v>
          </cell>
          <cell r="L365" t="str">
            <v>Term Loans</v>
          </cell>
          <cell r="M365" t="str">
            <v>Gross loan advances to customers</v>
          </cell>
          <cell r="N365">
            <v>2007561.9139663377</v>
          </cell>
          <cell r="O365">
            <v>40940</v>
          </cell>
        </row>
        <row r="366">
          <cell r="G366" t="str">
            <v>7203002</v>
          </cell>
          <cell r="H366">
            <v>10.9678</v>
          </cell>
          <cell r="I366">
            <v>12.1671</v>
          </cell>
          <cell r="J366" t="str">
            <v>Assets</v>
          </cell>
          <cell r="K366" t="str">
            <v>Loans and advances to customers</v>
          </cell>
          <cell r="L366" t="str">
            <v>Cash Express</v>
          </cell>
          <cell r="M366" t="str">
            <v>Gross loan advances to customers</v>
          </cell>
          <cell r="N366">
            <v>19508034.576669887</v>
          </cell>
          <cell r="O366">
            <v>40940</v>
          </cell>
        </row>
        <row r="367">
          <cell r="G367" t="str">
            <v>7203004</v>
          </cell>
          <cell r="H367">
            <v>10.9678</v>
          </cell>
          <cell r="I367">
            <v>12.1671</v>
          </cell>
          <cell r="J367" t="str">
            <v>Assets</v>
          </cell>
          <cell r="K367" t="str">
            <v>Loans and advances to customers</v>
          </cell>
          <cell r="L367" t="str">
            <v>Cash Express</v>
          </cell>
          <cell r="M367" t="str">
            <v>Gross loan advances to customers</v>
          </cell>
          <cell r="N367">
            <v>4697426.4592716862</v>
          </cell>
          <cell r="O367">
            <v>40940</v>
          </cell>
        </row>
        <row r="368">
          <cell r="G368" t="str">
            <v>7203005</v>
          </cell>
          <cell r="H368">
            <v>10.9678</v>
          </cell>
          <cell r="I368">
            <v>12.1671</v>
          </cell>
          <cell r="J368" t="str">
            <v>Assets</v>
          </cell>
          <cell r="K368" t="str">
            <v>Loans and advances to customers</v>
          </cell>
          <cell r="L368" t="str">
            <v>Cash Express</v>
          </cell>
          <cell r="M368" t="str">
            <v>Gross loan advances to customers</v>
          </cell>
          <cell r="N368">
            <v>15904.739327850617</v>
          </cell>
          <cell r="O368">
            <v>40940</v>
          </cell>
        </row>
        <row r="369">
          <cell r="G369" t="str">
            <v>7203010</v>
          </cell>
          <cell r="H369">
            <v>10.9678</v>
          </cell>
          <cell r="I369">
            <v>12.1671</v>
          </cell>
          <cell r="J369" t="str">
            <v>Assets</v>
          </cell>
          <cell r="K369" t="str">
            <v>Loans and advances to customers</v>
          </cell>
          <cell r="L369" t="str">
            <v>Cash Express</v>
          </cell>
          <cell r="M369" t="str">
            <v>Gross loan advances to customers</v>
          </cell>
          <cell r="N369">
            <v>-23251663.734750815</v>
          </cell>
          <cell r="O369">
            <v>40940</v>
          </cell>
        </row>
        <row r="370">
          <cell r="G370" t="str">
            <v>7207002</v>
          </cell>
          <cell r="H370">
            <v>10.9678</v>
          </cell>
          <cell r="I370">
            <v>12.1671</v>
          </cell>
          <cell r="J370" t="str">
            <v>Assets</v>
          </cell>
          <cell r="K370" t="str">
            <v>Loans and advances to customers</v>
          </cell>
          <cell r="L370" t="str">
            <v>Term Loans</v>
          </cell>
          <cell r="M370" t="str">
            <v>Gross loan advances to customers</v>
          </cell>
          <cell r="N370">
            <v>1352777.5852951366</v>
          </cell>
          <cell r="O370">
            <v>40940</v>
          </cell>
        </row>
        <row r="371">
          <cell r="G371" t="str">
            <v>7207004</v>
          </cell>
          <cell r="H371">
            <v>10.9678</v>
          </cell>
          <cell r="I371">
            <v>12.1671</v>
          </cell>
          <cell r="J371" t="str">
            <v>Assets</v>
          </cell>
          <cell r="K371" t="str">
            <v>Loans and advances to customers</v>
          </cell>
          <cell r="L371" t="str">
            <v>Term Loans</v>
          </cell>
          <cell r="M371" t="str">
            <v>Gross loan advances to customers</v>
          </cell>
          <cell r="N371">
            <v>151660.45515053155</v>
          </cell>
          <cell r="O371">
            <v>40940</v>
          </cell>
        </row>
        <row r="372">
          <cell r="G372" t="str">
            <v>7207005</v>
          </cell>
          <cell r="H372">
            <v>10.9678</v>
          </cell>
          <cell r="I372">
            <v>12.1671</v>
          </cell>
          <cell r="J372" t="str">
            <v>Assets</v>
          </cell>
          <cell r="K372" t="str">
            <v>Loans and advances to customers</v>
          </cell>
          <cell r="L372" t="str">
            <v>Term Loans</v>
          </cell>
          <cell r="M372" t="str">
            <v>Gross loan advances to customers</v>
          </cell>
          <cell r="N372">
            <v>93678.951111435294</v>
          </cell>
          <cell r="O372">
            <v>40940</v>
          </cell>
        </row>
        <row r="373">
          <cell r="G373" t="str">
            <v>7207007</v>
          </cell>
          <cell r="H373">
            <v>10.9678</v>
          </cell>
          <cell r="I373">
            <v>12.1671</v>
          </cell>
          <cell r="J373" t="str">
            <v>Assets</v>
          </cell>
          <cell r="K373" t="str">
            <v>Loans and advances to customers</v>
          </cell>
          <cell r="L373" t="str">
            <v>Term Loans</v>
          </cell>
          <cell r="M373" t="str">
            <v>Gross loan advances to customers</v>
          </cell>
          <cell r="N373">
            <v>64068.454931709181</v>
          </cell>
          <cell r="O373">
            <v>40940</v>
          </cell>
        </row>
        <row r="374">
          <cell r="G374" t="str">
            <v>7207010</v>
          </cell>
          <cell r="H374">
            <v>10.9678</v>
          </cell>
          <cell r="I374">
            <v>12.1671</v>
          </cell>
          <cell r="J374" t="str">
            <v>Assets</v>
          </cell>
          <cell r="K374" t="str">
            <v>Loans and advances to customers</v>
          </cell>
          <cell r="L374" t="str">
            <v>Term Loans</v>
          </cell>
          <cell r="M374" t="str">
            <v>Gross loan advances to customers</v>
          </cell>
          <cell r="N374">
            <v>-348307.77366472763</v>
          </cell>
          <cell r="O374">
            <v>40940</v>
          </cell>
        </row>
        <row r="375">
          <cell r="G375" t="str">
            <v>7299992</v>
          </cell>
          <cell r="H375">
            <v>10.9678</v>
          </cell>
          <cell r="I375">
            <v>12.1671</v>
          </cell>
          <cell r="J375" t="str">
            <v>Liabilities</v>
          </cell>
          <cell r="K375" t="str">
            <v>Trade and other payables</v>
          </cell>
          <cell r="L375" t="str">
            <v>Overpayments</v>
          </cell>
          <cell r="N375">
            <v>13187.952004959974</v>
          </cell>
          <cell r="O375">
            <v>40940</v>
          </cell>
        </row>
        <row r="376">
          <cell r="G376" t="str">
            <v>7299995</v>
          </cell>
          <cell r="H376">
            <v>1</v>
          </cell>
          <cell r="I376">
            <v>1</v>
          </cell>
          <cell r="J376" t="str">
            <v>Assets</v>
          </cell>
          <cell r="K376" t="str">
            <v>Loans and advances to customers</v>
          </cell>
          <cell r="L376" t="str">
            <v>Term Loans</v>
          </cell>
          <cell r="M376" t="str">
            <v>Gross loan advances to customers</v>
          </cell>
          <cell r="N376">
            <v>924253.81571509305</v>
          </cell>
          <cell r="O376">
            <v>40940</v>
          </cell>
        </row>
        <row r="377">
          <cell r="G377" t="str">
            <v>7299995</v>
          </cell>
          <cell r="H377">
            <v>10.9678</v>
          </cell>
          <cell r="I377">
            <v>12.1671</v>
          </cell>
          <cell r="J377" t="str">
            <v>Assets</v>
          </cell>
          <cell r="K377" t="str">
            <v>Loans and advances to customers</v>
          </cell>
          <cell r="L377" t="str">
            <v>Term Loans</v>
          </cell>
          <cell r="M377" t="str">
            <v>Gross loan advances to customers</v>
          </cell>
          <cell r="N377">
            <v>-290848.05339265853</v>
          </cell>
          <cell r="O377">
            <v>40940</v>
          </cell>
        </row>
        <row r="378">
          <cell r="G378" t="str">
            <v>7299999</v>
          </cell>
          <cell r="H378">
            <v>10.9678</v>
          </cell>
          <cell r="I378">
            <v>12.1671</v>
          </cell>
          <cell r="J378" t="str">
            <v>Assets</v>
          </cell>
          <cell r="K378" t="str">
            <v>Loans and advances to customers</v>
          </cell>
          <cell r="L378" t="str">
            <v>Unallocated Deposits</v>
          </cell>
          <cell r="M378" t="str">
            <v>Gross loan advances to customers</v>
          </cell>
          <cell r="N378">
            <v>-853989.23849814909</v>
          </cell>
          <cell r="O378">
            <v>40940</v>
          </cell>
        </row>
        <row r="379">
          <cell r="G379" t="str">
            <v>7301001</v>
          </cell>
          <cell r="H379">
            <v>10.9678</v>
          </cell>
          <cell r="I379">
            <v>12.1671</v>
          </cell>
          <cell r="J379" t="str">
            <v>Assets</v>
          </cell>
          <cell r="K379" t="str">
            <v>Loans and advances to customers</v>
          </cell>
          <cell r="L379" t="str">
            <v>Term Loans</v>
          </cell>
          <cell r="M379" t="str">
            <v>Allowance for impairment</v>
          </cell>
          <cell r="N379">
            <v>-9457663.731103776</v>
          </cell>
          <cell r="O379">
            <v>40940</v>
          </cell>
        </row>
        <row r="380">
          <cell r="G380" t="str">
            <v>7301002</v>
          </cell>
          <cell r="H380">
            <v>1</v>
          </cell>
          <cell r="I380">
            <v>1</v>
          </cell>
          <cell r="J380" t="str">
            <v>Assets</v>
          </cell>
          <cell r="K380" t="str">
            <v>Loans and advances to customers</v>
          </cell>
          <cell r="L380" t="str">
            <v>Term Loans</v>
          </cell>
          <cell r="M380" t="str">
            <v>Allowance for impairment</v>
          </cell>
          <cell r="N380">
            <v>-924253.81571509305</v>
          </cell>
          <cell r="O380">
            <v>40940</v>
          </cell>
        </row>
        <row r="381">
          <cell r="G381" t="str">
            <v>7301002</v>
          </cell>
          <cell r="H381">
            <v>10.9678</v>
          </cell>
          <cell r="I381">
            <v>12.1671</v>
          </cell>
          <cell r="J381" t="str">
            <v>Assets</v>
          </cell>
          <cell r="K381" t="str">
            <v>Loans and advances to customers</v>
          </cell>
          <cell r="L381" t="str">
            <v>Term Loans</v>
          </cell>
          <cell r="M381" t="str">
            <v>Allowance for impairment</v>
          </cell>
          <cell r="N381">
            <v>-2245586.2843961413</v>
          </cell>
          <cell r="O381">
            <v>40940</v>
          </cell>
        </row>
        <row r="382">
          <cell r="G382" t="str">
            <v>7303001</v>
          </cell>
          <cell r="H382">
            <v>10.9678</v>
          </cell>
          <cell r="I382">
            <v>12.1671</v>
          </cell>
          <cell r="J382" t="str">
            <v>Assets</v>
          </cell>
          <cell r="K382" t="str">
            <v>Loans and advances to customers</v>
          </cell>
          <cell r="L382" t="str">
            <v>Cash Express</v>
          </cell>
          <cell r="M382" t="str">
            <v>Allowance for impairment</v>
          </cell>
          <cell r="N382">
            <v>-538194.52032312774</v>
          </cell>
          <cell r="O382">
            <v>40940</v>
          </cell>
        </row>
        <row r="383">
          <cell r="G383" t="str">
            <v>7303002</v>
          </cell>
          <cell r="H383">
            <v>10.9678</v>
          </cell>
          <cell r="I383">
            <v>12.1671</v>
          </cell>
          <cell r="J383" t="str">
            <v>Assets</v>
          </cell>
          <cell r="K383" t="str">
            <v>Loans and advances to customers</v>
          </cell>
          <cell r="L383" t="str">
            <v>Cash Express</v>
          </cell>
          <cell r="M383" t="str">
            <v>Allowance for impairment</v>
          </cell>
          <cell r="N383">
            <v>338318.15040390962</v>
          </cell>
          <cell r="O383">
            <v>40940</v>
          </cell>
        </row>
        <row r="384">
          <cell r="G384" t="str">
            <v>7501000</v>
          </cell>
          <cell r="H384">
            <v>10.9678</v>
          </cell>
          <cell r="I384">
            <v>12.1671</v>
          </cell>
          <cell r="J384" t="str">
            <v>Assets</v>
          </cell>
          <cell r="K384" t="str">
            <v>Trade and other receivables</v>
          </cell>
          <cell r="L384" t="str">
            <v>Deposits</v>
          </cell>
          <cell r="N384">
            <v>164269.49798501065</v>
          </cell>
          <cell r="O384">
            <v>40940</v>
          </cell>
        </row>
        <row r="385">
          <cell r="G385" t="str">
            <v>7502000</v>
          </cell>
          <cell r="H385">
            <v>10.9678</v>
          </cell>
          <cell r="I385">
            <v>12.1671</v>
          </cell>
          <cell r="J385" t="str">
            <v>Assets</v>
          </cell>
          <cell r="K385" t="str">
            <v>Trade and other receivables</v>
          </cell>
          <cell r="L385" t="str">
            <v>Prepaid Expenses</v>
          </cell>
          <cell r="N385">
            <v>11233.800762231258</v>
          </cell>
          <cell r="O385">
            <v>40940</v>
          </cell>
        </row>
        <row r="386">
          <cell r="G386" t="str">
            <v>8101001</v>
          </cell>
          <cell r="H386">
            <v>10.9678</v>
          </cell>
          <cell r="I386">
            <v>12.1671</v>
          </cell>
          <cell r="J386" t="str">
            <v>Liabilities</v>
          </cell>
          <cell r="K386" t="str">
            <v>Trade and other payables</v>
          </cell>
          <cell r="L386" t="str">
            <v>Payroll Liabilities</v>
          </cell>
          <cell r="M386" t="str">
            <v>Leave Provision</v>
          </cell>
          <cell r="N386">
            <v>-96819.549955323761</v>
          </cell>
          <cell r="O386">
            <v>40940</v>
          </cell>
        </row>
        <row r="387">
          <cell r="G387" t="str">
            <v>8101002</v>
          </cell>
          <cell r="H387">
            <v>10.9678</v>
          </cell>
          <cell r="I387">
            <v>12.1671</v>
          </cell>
          <cell r="J387" t="str">
            <v>Liabilities</v>
          </cell>
          <cell r="K387" t="str">
            <v>Trade and other payables</v>
          </cell>
          <cell r="L387" t="str">
            <v>Payroll Liabilities</v>
          </cell>
          <cell r="M387" t="str">
            <v>Leave Provision</v>
          </cell>
          <cell r="N387">
            <v>-36312.838490855051</v>
          </cell>
          <cell r="O387">
            <v>40940</v>
          </cell>
        </row>
        <row r="388">
          <cell r="G388" t="str">
            <v>8202001</v>
          </cell>
          <cell r="H388">
            <v>10.9678</v>
          </cell>
          <cell r="I388">
            <v>12.1671</v>
          </cell>
          <cell r="J388" t="str">
            <v>Liabilities</v>
          </cell>
          <cell r="K388" t="str">
            <v>Operating Lease liability</v>
          </cell>
          <cell r="L388" t="str">
            <v>Premisis</v>
          </cell>
          <cell r="N388">
            <v>-368209.79868341872</v>
          </cell>
          <cell r="O388">
            <v>40940</v>
          </cell>
        </row>
        <row r="389">
          <cell r="G389" t="str">
            <v>8202002</v>
          </cell>
          <cell r="H389">
            <v>10.9678</v>
          </cell>
          <cell r="I389">
            <v>12.1671</v>
          </cell>
          <cell r="J389" t="str">
            <v>Liabilities</v>
          </cell>
          <cell r="K389" t="str">
            <v>Operating Lease liability</v>
          </cell>
          <cell r="L389" t="str">
            <v>Premisis</v>
          </cell>
          <cell r="N389">
            <v>-28422.246029285729</v>
          </cell>
          <cell r="O389">
            <v>40940</v>
          </cell>
        </row>
        <row r="390">
          <cell r="G390" t="str">
            <v>8301001</v>
          </cell>
          <cell r="H390">
            <v>10.9678</v>
          </cell>
          <cell r="I390">
            <v>12.1671</v>
          </cell>
          <cell r="J390" t="str">
            <v>Assets</v>
          </cell>
          <cell r="K390" t="str">
            <v>Loans and advances to customers</v>
          </cell>
          <cell r="L390" t="str">
            <v>Deferred Initiation Fees</v>
          </cell>
          <cell r="M390" t="str">
            <v>Deferred Initiation Fees</v>
          </cell>
          <cell r="N390">
            <v>-628827.93267565046</v>
          </cell>
          <cell r="O390">
            <v>40940</v>
          </cell>
        </row>
        <row r="391">
          <cell r="G391" t="str">
            <v>8301002</v>
          </cell>
          <cell r="H391">
            <v>10.9678</v>
          </cell>
          <cell r="I391">
            <v>12.1671</v>
          </cell>
          <cell r="J391" t="str">
            <v>Assets</v>
          </cell>
          <cell r="K391" t="str">
            <v>Loans and advances to customers</v>
          </cell>
          <cell r="L391" t="str">
            <v>Deferred Initiation Fees</v>
          </cell>
          <cell r="M391" t="str">
            <v>Deferred Initiation Fees</v>
          </cell>
          <cell r="N391">
            <v>-119501.83628439614</v>
          </cell>
          <cell r="O391">
            <v>40940</v>
          </cell>
        </row>
        <row r="392">
          <cell r="G392" t="str">
            <v>9301000</v>
          </cell>
          <cell r="H392">
            <v>10.9678</v>
          </cell>
          <cell r="I392">
            <v>12.1671</v>
          </cell>
          <cell r="J392" t="str">
            <v>Liabilities</v>
          </cell>
          <cell r="K392" t="str">
            <v>Trade and other payables</v>
          </cell>
          <cell r="L392" t="str">
            <v>Trade payables</v>
          </cell>
          <cell r="M392" t="str">
            <v>Trade creditors</v>
          </cell>
          <cell r="N392">
            <v>-1656664.60821678</v>
          </cell>
          <cell r="O392">
            <v>40940</v>
          </cell>
        </row>
        <row r="393">
          <cell r="G393" t="str">
            <v>9311000</v>
          </cell>
          <cell r="H393">
            <v>10.9678</v>
          </cell>
          <cell r="I393">
            <v>12.1671</v>
          </cell>
          <cell r="J393" t="str">
            <v>Liabilities</v>
          </cell>
          <cell r="K393" t="str">
            <v>Trade and other payables</v>
          </cell>
          <cell r="L393" t="str">
            <v>Accruals</v>
          </cell>
          <cell r="N393">
            <v>-2365885.6333995876</v>
          </cell>
          <cell r="O393">
            <v>40940</v>
          </cell>
        </row>
        <row r="394">
          <cell r="G394" t="str">
            <v>9323000</v>
          </cell>
          <cell r="H394">
            <v>10.9678</v>
          </cell>
          <cell r="I394">
            <v>12.1671</v>
          </cell>
          <cell r="J394" t="str">
            <v>Liabilities</v>
          </cell>
          <cell r="K394" t="str">
            <v>Trade and other payables</v>
          </cell>
          <cell r="L394" t="str">
            <v>Trade payables</v>
          </cell>
          <cell r="N394">
            <v>-4561.0523532522475</v>
          </cell>
          <cell r="O394">
            <v>40940</v>
          </cell>
        </row>
        <row r="395">
          <cell r="G395" t="str">
            <v>9331000</v>
          </cell>
          <cell r="H395">
            <v>10.9678</v>
          </cell>
          <cell r="I395">
            <v>12.1671</v>
          </cell>
          <cell r="J395" t="str">
            <v>Liabilities</v>
          </cell>
          <cell r="K395" t="str">
            <v>Trade and other payables</v>
          </cell>
          <cell r="L395" t="str">
            <v>Trade payables</v>
          </cell>
          <cell r="M395" t="str">
            <v>Payroll control</v>
          </cell>
          <cell r="N395">
            <v>725.86571600503294</v>
          </cell>
          <cell r="O395">
            <v>40940</v>
          </cell>
        </row>
        <row r="396">
          <cell r="G396" t="str">
            <v>9337000</v>
          </cell>
          <cell r="H396">
            <v>10.9678</v>
          </cell>
          <cell r="I396">
            <v>12.1671</v>
          </cell>
          <cell r="J396" t="str">
            <v>Liabilities</v>
          </cell>
          <cell r="K396" t="str">
            <v>Trade and other payables</v>
          </cell>
          <cell r="L396" t="str">
            <v>Trade payables</v>
          </cell>
          <cell r="M396" t="str">
            <v>Payroll control</v>
          </cell>
          <cell r="N396">
            <v>-24832.491475045132</v>
          </cell>
          <cell r="O396">
            <v>40940</v>
          </cell>
        </row>
        <row r="397">
          <cell r="G397" t="str">
            <v>9338000</v>
          </cell>
          <cell r="H397">
            <v>10.9678</v>
          </cell>
          <cell r="I397">
            <v>12.1671</v>
          </cell>
          <cell r="J397" t="str">
            <v>Liabilities</v>
          </cell>
          <cell r="K397" t="str">
            <v>Trade and other payables</v>
          </cell>
          <cell r="L397" t="str">
            <v>Trade payables</v>
          </cell>
          <cell r="M397" t="str">
            <v>Payroll control</v>
          </cell>
          <cell r="N397">
            <v>-3579.569284633199</v>
          </cell>
          <cell r="O397">
            <v>40940</v>
          </cell>
        </row>
        <row r="398">
          <cell r="G398" t="str">
            <v>9342000</v>
          </cell>
          <cell r="H398">
            <v>10.9678</v>
          </cell>
          <cell r="I398">
            <v>12.1671</v>
          </cell>
          <cell r="J398" t="str">
            <v>Liabilities</v>
          </cell>
          <cell r="K398" t="str">
            <v>Trade and other payables</v>
          </cell>
          <cell r="L398" t="str">
            <v>Trade payables</v>
          </cell>
          <cell r="N398">
            <v>-384889.10173416731</v>
          </cell>
          <cell r="O398">
            <v>40940</v>
          </cell>
        </row>
        <row r="399">
          <cell r="G399" t="str">
            <v>9347000</v>
          </cell>
          <cell r="H399">
            <v>10.9678</v>
          </cell>
          <cell r="I399">
            <v>12.1671</v>
          </cell>
          <cell r="J399" t="str">
            <v>Liabilities</v>
          </cell>
          <cell r="K399" t="str">
            <v>Trade and other payables</v>
          </cell>
          <cell r="L399" t="str">
            <v>Trade payables</v>
          </cell>
          <cell r="N399">
            <v>-683.819909188716</v>
          </cell>
          <cell r="O399">
            <v>40940</v>
          </cell>
        </row>
        <row r="400">
          <cell r="G400" t="str">
            <v>9411001</v>
          </cell>
          <cell r="H400">
            <v>10.9678</v>
          </cell>
          <cell r="I400">
            <v>12.1671</v>
          </cell>
          <cell r="J400" t="str">
            <v>Liabilities</v>
          </cell>
          <cell r="K400" t="str">
            <v>Trade and other payables</v>
          </cell>
          <cell r="L400" t="str">
            <v>Penalties &amp; interest</v>
          </cell>
          <cell r="M400" t="str">
            <v>Withholding Taxation</v>
          </cell>
          <cell r="N400">
            <v>-1614559.8023304581</v>
          </cell>
          <cell r="O400">
            <v>40940</v>
          </cell>
        </row>
        <row r="401">
          <cell r="G401" t="str">
            <v>9411004</v>
          </cell>
          <cell r="H401">
            <v>10.9678</v>
          </cell>
          <cell r="I401">
            <v>12.1671</v>
          </cell>
          <cell r="J401" t="str">
            <v>Liabilities</v>
          </cell>
          <cell r="K401" t="str">
            <v>Trade and other payables</v>
          </cell>
          <cell r="L401" t="str">
            <v>Penalties &amp; interest</v>
          </cell>
          <cell r="M401" t="str">
            <v>Withholding tax</v>
          </cell>
          <cell r="N401">
            <v>-569457.95875198301</v>
          </cell>
          <cell r="O401">
            <v>40940</v>
          </cell>
        </row>
        <row r="402">
          <cell r="G402" t="str">
            <v>9501001</v>
          </cell>
          <cell r="H402">
            <v>10.9678</v>
          </cell>
          <cell r="I402">
            <v>12.1671</v>
          </cell>
          <cell r="J402" t="str">
            <v>Liabilities</v>
          </cell>
          <cell r="K402" t="str">
            <v>Trade and other payables</v>
          </cell>
          <cell r="L402" t="str">
            <v>Value Added Taxation</v>
          </cell>
          <cell r="N402">
            <v>-1040654.4603293276</v>
          </cell>
          <cell r="O402">
            <v>40940</v>
          </cell>
        </row>
        <row r="403">
          <cell r="G403" t="str">
            <v>9501002</v>
          </cell>
          <cell r="H403">
            <v>10.9678</v>
          </cell>
          <cell r="I403">
            <v>12.1671</v>
          </cell>
          <cell r="J403" t="str">
            <v>Liabilities</v>
          </cell>
          <cell r="K403" t="str">
            <v>Trade and other payables</v>
          </cell>
          <cell r="L403" t="str">
            <v>Value Added Taxation</v>
          </cell>
          <cell r="N403">
            <v>-1021322.8733200823</v>
          </cell>
          <cell r="O403">
            <v>40940</v>
          </cell>
        </row>
        <row r="404">
          <cell r="G404" t="str">
            <v>9706000</v>
          </cell>
          <cell r="H404">
            <v>10.9678</v>
          </cell>
          <cell r="I404">
            <v>12.1671</v>
          </cell>
          <cell r="J404" t="str">
            <v>Inter-group loans</v>
          </cell>
          <cell r="K404" t="str">
            <v>Loans (from)/ to group companies</v>
          </cell>
          <cell r="L404" t="str">
            <v>Mauritius</v>
          </cell>
          <cell r="N404">
            <v>2493846.2791079339</v>
          </cell>
          <cell r="O404">
            <v>40940</v>
          </cell>
        </row>
        <row r="405">
          <cell r="G405" t="str">
            <v>9803000</v>
          </cell>
          <cell r="H405">
            <v>10.9678</v>
          </cell>
          <cell r="I405">
            <v>12.1671</v>
          </cell>
          <cell r="J405" t="str">
            <v>Inter-group loans</v>
          </cell>
          <cell r="K405" t="str">
            <v>Loans (from)/ to group companies</v>
          </cell>
          <cell r="L405" t="str">
            <v>Shared Services</v>
          </cell>
          <cell r="N405">
            <v>-2716144.3397946716</v>
          </cell>
          <cell r="O405">
            <v>40940</v>
          </cell>
        </row>
        <row r="406">
          <cell r="G406" t="str">
            <v>9806000</v>
          </cell>
          <cell r="H406">
            <v>10.9678</v>
          </cell>
          <cell r="I406">
            <v>12.1671</v>
          </cell>
          <cell r="J406" t="str">
            <v>Inter-group loans</v>
          </cell>
          <cell r="K406" t="str">
            <v>Loans (from)/ to group companies</v>
          </cell>
          <cell r="L406" t="str">
            <v>Mauritius</v>
          </cell>
          <cell r="N406">
            <v>-7058630.9879830051</v>
          </cell>
          <cell r="O406">
            <v>40940</v>
          </cell>
        </row>
        <row r="407">
          <cell r="G407" t="str">
            <v>Net Pro</v>
          </cell>
          <cell r="H407">
            <v>10.9678</v>
          </cell>
          <cell r="I407">
            <v>12.1671</v>
          </cell>
          <cell r="J407" t="str">
            <v>Equity</v>
          </cell>
          <cell r="K407" t="str">
            <v>Retained earnings/ (Accumulated loss)</v>
          </cell>
          <cell r="L407" t="str">
            <v>Retained earnings/ (Accumulated loss)</v>
          </cell>
          <cell r="M407" t="str">
            <v>Retained earnings</v>
          </cell>
          <cell r="N407">
            <v>21475054.381917976</v>
          </cell>
          <cell r="O407">
            <v>40940</v>
          </cell>
        </row>
        <row r="408">
          <cell r="G408" t="str">
            <v>Net Pro</v>
          </cell>
          <cell r="H408">
            <v>10.9678</v>
          </cell>
          <cell r="I408">
            <v>12.1671</v>
          </cell>
          <cell r="J408" t="str">
            <v>Equity</v>
          </cell>
          <cell r="K408" t="str">
            <v>Retained earnings/ (Accumulated loss)</v>
          </cell>
          <cell r="L408" t="str">
            <v>Retained earnings/ (Accumulated loss)</v>
          </cell>
          <cell r="M408" t="str">
            <v>Retained earnings</v>
          </cell>
          <cell r="N408">
            <v>8546945.5013767574</v>
          </cell>
          <cell r="O408">
            <v>40940</v>
          </cell>
        </row>
        <row r="409">
          <cell r="G409" t="str">
            <v>Net Pro</v>
          </cell>
          <cell r="H409">
            <v>10.9678</v>
          </cell>
          <cell r="I409">
            <v>12.1671</v>
          </cell>
          <cell r="J409" t="str">
            <v>Equity</v>
          </cell>
          <cell r="K409" t="str">
            <v>Retained earnings/ (Accumulated loss)</v>
          </cell>
          <cell r="L409" t="str">
            <v>Retained earnings/ (Accumulated loss)</v>
          </cell>
          <cell r="M409" t="str">
            <v>Retained earnings</v>
          </cell>
          <cell r="N409">
            <v>-8546945.5013767574</v>
          </cell>
          <cell r="O409">
            <v>40940</v>
          </cell>
        </row>
        <row r="410">
          <cell r="G410" t="str">
            <v>1101000</v>
          </cell>
          <cell r="H410">
            <v>214.4838</v>
          </cell>
          <cell r="I410">
            <v>220.3819</v>
          </cell>
          <cell r="J410" t="str">
            <v>Income Statement</v>
          </cell>
          <cell r="K410" t="str">
            <v>Interest income</v>
          </cell>
          <cell r="L410" t="str">
            <v>External interest income</v>
          </cell>
          <cell r="M410" t="str">
            <v>Loans and advances</v>
          </cell>
          <cell r="N410">
            <v>-20049103.670083612</v>
          </cell>
          <cell r="O410">
            <v>40940</v>
          </cell>
        </row>
        <row r="411">
          <cell r="G411" t="str">
            <v>1103000</v>
          </cell>
          <cell r="H411">
            <v>214.4838</v>
          </cell>
          <cell r="I411">
            <v>220.3819</v>
          </cell>
          <cell r="J411" t="str">
            <v>Income Statement</v>
          </cell>
          <cell r="K411" t="str">
            <v>Interest income</v>
          </cell>
          <cell r="L411" t="str">
            <v>External interest income</v>
          </cell>
          <cell r="M411" t="str">
            <v>Loans and advances</v>
          </cell>
          <cell r="N411">
            <v>-1258010.2993939158</v>
          </cell>
          <cell r="O411">
            <v>40940</v>
          </cell>
        </row>
        <row r="412">
          <cell r="G412" t="str">
            <v>1108000</v>
          </cell>
          <cell r="H412">
            <v>214.4838</v>
          </cell>
          <cell r="I412">
            <v>220.3819</v>
          </cell>
          <cell r="J412" t="str">
            <v>Income Statement</v>
          </cell>
          <cell r="K412" t="str">
            <v>Interest income</v>
          </cell>
          <cell r="L412" t="str">
            <v>External interest income</v>
          </cell>
          <cell r="M412" t="str">
            <v>Written of loans</v>
          </cell>
          <cell r="N412">
            <v>-6934311.366677572</v>
          </cell>
          <cell r="O412">
            <v>40940</v>
          </cell>
        </row>
        <row r="413">
          <cell r="G413" t="str">
            <v>1199000</v>
          </cell>
          <cell r="H413">
            <v>214.4838</v>
          </cell>
          <cell r="I413">
            <v>220.3819</v>
          </cell>
          <cell r="J413" t="str">
            <v>Income Statement</v>
          </cell>
          <cell r="K413" t="str">
            <v>Interest income</v>
          </cell>
          <cell r="L413" t="str">
            <v>External interest income</v>
          </cell>
          <cell r="M413" t="str">
            <v>Interest -Bank balances</v>
          </cell>
          <cell r="N413">
            <v>-18725.21141709006</v>
          </cell>
          <cell r="O413">
            <v>40940</v>
          </cell>
        </row>
        <row r="414">
          <cell r="G414" t="str">
            <v>1201000</v>
          </cell>
          <cell r="H414">
            <v>214.4838</v>
          </cell>
          <cell r="I414">
            <v>220.3819</v>
          </cell>
          <cell r="J414" t="str">
            <v>Income Statement</v>
          </cell>
          <cell r="K414" t="str">
            <v>Administration and commission income</v>
          </cell>
          <cell r="L414" t="str">
            <v>Initiation fee income</v>
          </cell>
          <cell r="N414">
            <v>4189.3186327915309</v>
          </cell>
          <cell r="O414">
            <v>40940</v>
          </cell>
        </row>
        <row r="415">
          <cell r="G415" t="str">
            <v>1201000</v>
          </cell>
          <cell r="H415">
            <v>214.4838</v>
          </cell>
          <cell r="I415">
            <v>220.3819</v>
          </cell>
          <cell r="J415" t="str">
            <v>Income Statement</v>
          </cell>
          <cell r="K415" t="str">
            <v>Administration and commission income</v>
          </cell>
          <cell r="L415" t="str">
            <v>Initiation fee income</v>
          </cell>
          <cell r="N415">
            <v>1095.8250201128133</v>
          </cell>
          <cell r="O415">
            <v>40940</v>
          </cell>
        </row>
        <row r="416">
          <cell r="G416" t="str">
            <v>1201000</v>
          </cell>
          <cell r="H416">
            <v>214.4838</v>
          </cell>
          <cell r="I416">
            <v>220.3819</v>
          </cell>
          <cell r="J416" t="str">
            <v>Income Statement</v>
          </cell>
          <cell r="K416" t="str">
            <v>Administration and commission income</v>
          </cell>
          <cell r="L416" t="str">
            <v>Initiation fee income</v>
          </cell>
          <cell r="N416">
            <v>3639.1373338736075</v>
          </cell>
          <cell r="O416">
            <v>40940</v>
          </cell>
        </row>
        <row r="417">
          <cell r="G417" t="str">
            <v>1201000</v>
          </cell>
          <cell r="H417">
            <v>214.4838</v>
          </cell>
          <cell r="I417">
            <v>220.3819</v>
          </cell>
          <cell r="J417" t="str">
            <v>Income Statement</v>
          </cell>
          <cell r="K417" t="str">
            <v>Administration and commission income</v>
          </cell>
          <cell r="L417" t="str">
            <v>Initiation fee income</v>
          </cell>
          <cell r="N417">
            <v>4529.6369620191135</v>
          </cell>
          <cell r="O417">
            <v>40940</v>
          </cell>
        </row>
        <row r="418">
          <cell r="G418" t="str">
            <v>1201000</v>
          </cell>
          <cell r="H418">
            <v>214.4838</v>
          </cell>
          <cell r="I418">
            <v>220.3819</v>
          </cell>
          <cell r="J418" t="str">
            <v>Income Statement</v>
          </cell>
          <cell r="K418" t="str">
            <v>Administration and commission income</v>
          </cell>
          <cell r="L418" t="str">
            <v>Initiation fee income</v>
          </cell>
          <cell r="N418">
            <v>4145.0772499919458</v>
          </cell>
          <cell r="O418">
            <v>40940</v>
          </cell>
        </row>
        <row r="419">
          <cell r="G419" t="str">
            <v>1201000</v>
          </cell>
          <cell r="H419">
            <v>214.4838</v>
          </cell>
          <cell r="I419">
            <v>220.3819</v>
          </cell>
          <cell r="J419" t="str">
            <v>Income Statement</v>
          </cell>
          <cell r="K419" t="str">
            <v>Administration and commission income</v>
          </cell>
          <cell r="L419" t="str">
            <v>Initiation fee income</v>
          </cell>
          <cell r="N419">
            <v>6885.7741947047371</v>
          </cell>
          <cell r="O419">
            <v>40940</v>
          </cell>
        </row>
        <row r="420">
          <cell r="G420" t="str">
            <v>1201000</v>
          </cell>
          <cell r="H420">
            <v>214.4838</v>
          </cell>
          <cell r="I420">
            <v>220.3819</v>
          </cell>
          <cell r="J420" t="str">
            <v>Income Statement</v>
          </cell>
          <cell r="K420" t="str">
            <v>Administration and commission income</v>
          </cell>
          <cell r="L420" t="str">
            <v>Initiation fee income</v>
          </cell>
          <cell r="N420">
            <v>5603.9084879475131</v>
          </cell>
          <cell r="O420">
            <v>40940</v>
          </cell>
        </row>
        <row r="421">
          <cell r="G421" t="str">
            <v>1201000</v>
          </cell>
          <cell r="H421">
            <v>214.4838</v>
          </cell>
          <cell r="I421">
            <v>220.3819</v>
          </cell>
          <cell r="J421" t="str">
            <v>Income Statement</v>
          </cell>
          <cell r="K421" t="str">
            <v>Administration and commission income</v>
          </cell>
          <cell r="L421" t="str">
            <v>Initiation fee income</v>
          </cell>
          <cell r="N421">
            <v>10532.852289593655</v>
          </cell>
          <cell r="O421">
            <v>40940</v>
          </cell>
        </row>
        <row r="422">
          <cell r="G422" t="str">
            <v>1201000</v>
          </cell>
          <cell r="H422">
            <v>214.4838</v>
          </cell>
          <cell r="I422">
            <v>220.3819</v>
          </cell>
          <cell r="J422" t="str">
            <v>Income Statement</v>
          </cell>
          <cell r="K422" t="str">
            <v>Administration and commission income</v>
          </cell>
          <cell r="L422" t="str">
            <v>Initiation fee income</v>
          </cell>
          <cell r="N422">
            <v>4395.778419189598</v>
          </cell>
          <cell r="O422">
            <v>40940</v>
          </cell>
        </row>
        <row r="423">
          <cell r="G423" t="str">
            <v>1201000</v>
          </cell>
          <cell r="H423">
            <v>214.4838</v>
          </cell>
          <cell r="I423">
            <v>220.3819</v>
          </cell>
          <cell r="J423" t="str">
            <v>Income Statement</v>
          </cell>
          <cell r="K423" t="str">
            <v>Administration and commission income</v>
          </cell>
          <cell r="L423" t="str">
            <v>Initiation fee income</v>
          </cell>
          <cell r="N423">
            <v>4844.9986137700052</v>
          </cell>
          <cell r="O423">
            <v>40940</v>
          </cell>
        </row>
        <row r="424">
          <cell r="G424" t="str">
            <v>1201000</v>
          </cell>
          <cell r="H424">
            <v>214.4838</v>
          </cell>
          <cell r="I424">
            <v>220.3819</v>
          </cell>
          <cell r="J424" t="str">
            <v>Income Statement</v>
          </cell>
          <cell r="K424" t="str">
            <v>Administration and commission income</v>
          </cell>
          <cell r="L424" t="str">
            <v>Initiation fee income</v>
          </cell>
          <cell r="N424">
            <v>-1149085.7563620242</v>
          </cell>
          <cell r="O424">
            <v>40940</v>
          </cell>
        </row>
        <row r="425">
          <cell r="G425" t="str">
            <v>1203000</v>
          </cell>
          <cell r="H425">
            <v>214.4838</v>
          </cell>
          <cell r="I425">
            <v>220.3819</v>
          </cell>
          <cell r="J425" t="str">
            <v>Income Statement</v>
          </cell>
          <cell r="K425" t="str">
            <v>Administration and commission income</v>
          </cell>
          <cell r="L425" t="str">
            <v>Initiation fee income</v>
          </cell>
          <cell r="N425">
            <v>-1417.5700454529162</v>
          </cell>
          <cell r="O425">
            <v>40940</v>
          </cell>
        </row>
        <row r="426">
          <cell r="G426" t="str">
            <v>1221000</v>
          </cell>
          <cell r="H426">
            <v>214.4838</v>
          </cell>
          <cell r="I426">
            <v>220.3819</v>
          </cell>
          <cell r="J426" t="str">
            <v>Income Statement</v>
          </cell>
          <cell r="K426" t="str">
            <v>Interest income</v>
          </cell>
          <cell r="L426" t="str">
            <v>External interest income</v>
          </cell>
          <cell r="M426" t="str">
            <v>Loans and advances</v>
          </cell>
          <cell r="N426">
            <v>7830357.4156952091</v>
          </cell>
          <cell r="O426">
            <v>40940</v>
          </cell>
        </row>
        <row r="427">
          <cell r="G427" t="str">
            <v>1221000</v>
          </cell>
          <cell r="H427">
            <v>214.4838</v>
          </cell>
          <cell r="I427">
            <v>220.3819</v>
          </cell>
          <cell r="J427" t="str">
            <v>Income Statement</v>
          </cell>
          <cell r="K427" t="str">
            <v>Interest income</v>
          </cell>
          <cell r="L427" t="str">
            <v>External interest income</v>
          </cell>
          <cell r="M427" t="str">
            <v>Loans and advances</v>
          </cell>
          <cell r="N427">
            <v>-7830357.4156952091</v>
          </cell>
          <cell r="O427">
            <v>40940</v>
          </cell>
        </row>
        <row r="428">
          <cell r="G428" t="str">
            <v>1299000</v>
          </cell>
          <cell r="H428">
            <v>214.4838</v>
          </cell>
          <cell r="I428">
            <v>220.3819</v>
          </cell>
          <cell r="J428" t="str">
            <v>Income Statement</v>
          </cell>
          <cell r="K428" t="str">
            <v>Administration and commission income</v>
          </cell>
          <cell r="L428" t="str">
            <v>Initiation fee income</v>
          </cell>
          <cell r="N428">
            <v>156442.85438141698</v>
          </cell>
          <cell r="O428">
            <v>40940</v>
          </cell>
        </row>
        <row r="429">
          <cell r="G429" t="str">
            <v>1404000</v>
          </cell>
          <cell r="H429">
            <v>214.4838</v>
          </cell>
          <cell r="I429">
            <v>220.3819</v>
          </cell>
          <cell r="J429" t="str">
            <v>Income Statement</v>
          </cell>
          <cell r="K429" t="str">
            <v>Administration and commission income</v>
          </cell>
          <cell r="L429" t="str">
            <v>Insurance gross premium income</v>
          </cell>
          <cell r="N429">
            <v>-1105867.948093741</v>
          </cell>
          <cell r="O429">
            <v>40940</v>
          </cell>
        </row>
        <row r="430">
          <cell r="G430" t="str">
            <v>1601000</v>
          </cell>
          <cell r="H430">
            <v>214.4838</v>
          </cell>
          <cell r="I430">
            <v>220.3819</v>
          </cell>
          <cell r="J430" t="str">
            <v>Income Statement</v>
          </cell>
          <cell r="K430" t="str">
            <v>Operating expenses</v>
          </cell>
          <cell r="L430" t="str">
            <v>Gains on disposal of assets</v>
          </cell>
          <cell r="N430">
            <v>-4712.690924254669</v>
          </cell>
          <cell r="O430">
            <v>40940</v>
          </cell>
        </row>
        <row r="431">
          <cell r="G431" t="str">
            <v>1604000</v>
          </cell>
          <cell r="H431">
            <v>214.4838</v>
          </cell>
          <cell r="I431">
            <v>220.3819</v>
          </cell>
          <cell r="J431" t="str">
            <v>Income Statement</v>
          </cell>
          <cell r="K431" t="str">
            <v>Other income</v>
          </cell>
          <cell r="L431" t="str">
            <v>Sundry income</v>
          </cell>
          <cell r="N431">
            <v>-79527.396487642574</v>
          </cell>
          <cell r="O431">
            <v>40940</v>
          </cell>
        </row>
        <row r="432">
          <cell r="G432" t="str">
            <v>1604000</v>
          </cell>
          <cell r="H432">
            <v>214.4838</v>
          </cell>
          <cell r="I432">
            <v>220.3819</v>
          </cell>
          <cell r="J432" t="str">
            <v>Income Statement</v>
          </cell>
          <cell r="K432" t="str">
            <v>Other income</v>
          </cell>
          <cell r="L432" t="str">
            <v>Sundry income</v>
          </cell>
          <cell r="N432">
            <v>1137.9704957621293</v>
          </cell>
          <cell r="O432">
            <v>40940</v>
          </cell>
        </row>
        <row r="433">
          <cell r="G433" t="str">
            <v>1616000</v>
          </cell>
          <cell r="H433">
            <v>214.4838</v>
          </cell>
          <cell r="I433">
            <v>220.3819</v>
          </cell>
          <cell r="J433" t="str">
            <v>Income Statement</v>
          </cell>
          <cell r="K433" t="str">
            <v>Other income</v>
          </cell>
          <cell r="L433" t="str">
            <v>Commission received</v>
          </cell>
          <cell r="N433">
            <v>-39843.182584413691</v>
          </cell>
          <cell r="O433">
            <v>40940</v>
          </cell>
        </row>
        <row r="434">
          <cell r="G434" t="str">
            <v>1820000</v>
          </cell>
          <cell r="H434">
            <v>214.4838</v>
          </cell>
          <cell r="I434">
            <v>220.3819</v>
          </cell>
          <cell r="J434" t="str">
            <v>Income Statement</v>
          </cell>
          <cell r="K434" t="str">
            <v>Forex (gain) / loss</v>
          </cell>
          <cell r="L434" t="str">
            <v>Profit on exchange differences - External</v>
          </cell>
          <cell r="N434">
            <v>-185643.44789658318</v>
          </cell>
          <cell r="O434">
            <v>40940</v>
          </cell>
        </row>
        <row r="435">
          <cell r="G435" t="str">
            <v>2199000</v>
          </cell>
          <cell r="H435">
            <v>214.4838</v>
          </cell>
          <cell r="I435">
            <v>220.3819</v>
          </cell>
          <cell r="J435" t="str">
            <v>Income Statement</v>
          </cell>
          <cell r="K435" t="str">
            <v>Interest expense</v>
          </cell>
          <cell r="L435" t="str">
            <v>External interest expense</v>
          </cell>
          <cell r="M435" t="str">
            <v>Interest- bank balances</v>
          </cell>
          <cell r="N435">
            <v>47.375124726667664</v>
          </cell>
          <cell r="O435">
            <v>40940</v>
          </cell>
        </row>
        <row r="436">
          <cell r="G436" t="str">
            <v>2301000</v>
          </cell>
          <cell r="H436">
            <v>1</v>
          </cell>
          <cell r="I436">
            <v>1</v>
          </cell>
          <cell r="J436" t="str">
            <v>Income Statement</v>
          </cell>
          <cell r="K436" t="str">
            <v>Impairment of loan advances and bad debts</v>
          </cell>
          <cell r="L436" t="str">
            <v>Provision movement - Loans and Advances</v>
          </cell>
          <cell r="M436" t="str">
            <v>Term</v>
          </cell>
          <cell r="N436">
            <v>1383506.7481363637</v>
          </cell>
          <cell r="O436">
            <v>40940</v>
          </cell>
        </row>
        <row r="437">
          <cell r="G437" t="str">
            <v>2301000</v>
          </cell>
          <cell r="H437">
            <v>214.4838</v>
          </cell>
          <cell r="I437">
            <v>220.3819</v>
          </cell>
          <cell r="J437" t="str">
            <v>Income Statement</v>
          </cell>
          <cell r="K437" t="str">
            <v>Impairment of loan advances and bad debts</v>
          </cell>
          <cell r="L437" t="str">
            <v>Provision movement - Loans and Advances</v>
          </cell>
          <cell r="M437" t="str">
            <v>Term</v>
          </cell>
          <cell r="N437">
            <v>13763009.963930795</v>
          </cell>
          <cell r="O437">
            <v>40940</v>
          </cell>
        </row>
        <row r="438">
          <cell r="G438" t="str">
            <v>2303000</v>
          </cell>
          <cell r="H438">
            <v>214.4838</v>
          </cell>
          <cell r="I438">
            <v>220.3819</v>
          </cell>
          <cell r="J438" t="str">
            <v>Income Statement</v>
          </cell>
          <cell r="K438" t="str">
            <v>Impairment of loan advances and bad debts</v>
          </cell>
          <cell r="L438" t="str">
            <v>Provision movement - Loans and Advances</v>
          </cell>
          <cell r="M438" t="str">
            <v>Cash Express</v>
          </cell>
          <cell r="N438">
            <v>49442.05917092102</v>
          </cell>
          <cell r="O438">
            <v>40940</v>
          </cell>
        </row>
        <row r="439">
          <cell r="G439" t="str">
            <v>2311000</v>
          </cell>
          <cell r="H439">
            <v>214.4838</v>
          </cell>
          <cell r="I439">
            <v>220.3819</v>
          </cell>
          <cell r="J439" t="str">
            <v>Income Statement</v>
          </cell>
          <cell r="K439" t="str">
            <v>Impairment of loan advances and bad debts</v>
          </cell>
          <cell r="L439" t="str">
            <v>Write offs - Loans and Advances</v>
          </cell>
          <cell r="M439" t="str">
            <v>Term</v>
          </cell>
          <cell r="N439">
            <v>40719.792959403654</v>
          </cell>
          <cell r="O439">
            <v>40940</v>
          </cell>
        </row>
        <row r="440">
          <cell r="G440" t="str">
            <v>2404000</v>
          </cell>
          <cell r="H440">
            <v>214.4838</v>
          </cell>
          <cell r="I440">
            <v>220.3819</v>
          </cell>
          <cell r="J440" t="str">
            <v>Income Statement</v>
          </cell>
          <cell r="K440" t="str">
            <v>Administration and commission income</v>
          </cell>
          <cell r="L440" t="str">
            <v>Insurance gross premium expense</v>
          </cell>
          <cell r="N440">
            <v>199215.90244026395</v>
          </cell>
          <cell r="O440">
            <v>40940</v>
          </cell>
        </row>
        <row r="441">
          <cell r="G441" t="str">
            <v>2701001</v>
          </cell>
          <cell r="H441">
            <v>214.4838</v>
          </cell>
          <cell r="I441">
            <v>220.3819</v>
          </cell>
          <cell r="J441" t="str">
            <v>Income Statement</v>
          </cell>
          <cell r="K441" t="str">
            <v>Intergroup management fee expense</v>
          </cell>
          <cell r="L441" t="str">
            <v>Intergroup management fee expense</v>
          </cell>
          <cell r="M441" t="str">
            <v>Interco</v>
          </cell>
          <cell r="N441">
            <v>1696731.0364871162</v>
          </cell>
          <cell r="O441">
            <v>40940</v>
          </cell>
        </row>
        <row r="442">
          <cell r="G442" t="str">
            <v>2701006</v>
          </cell>
          <cell r="H442">
            <v>214.4838</v>
          </cell>
          <cell r="I442">
            <v>220.3819</v>
          </cell>
          <cell r="J442" t="str">
            <v>Income Statement</v>
          </cell>
          <cell r="K442" t="str">
            <v>Intergroup management fee expense</v>
          </cell>
          <cell r="L442" t="str">
            <v>Intergroup management fee expense</v>
          </cell>
          <cell r="M442" t="str">
            <v>Interco</v>
          </cell>
          <cell r="N442">
            <v>228202.80998575655</v>
          </cell>
          <cell r="O442">
            <v>40940</v>
          </cell>
        </row>
        <row r="443">
          <cell r="G443" t="str">
            <v>2701099</v>
          </cell>
          <cell r="H443">
            <v>214.4838</v>
          </cell>
          <cell r="I443">
            <v>220.3819</v>
          </cell>
          <cell r="J443" t="str">
            <v>Income Statement</v>
          </cell>
          <cell r="K443" t="str">
            <v>Intergroup management fee expense</v>
          </cell>
          <cell r="L443" t="str">
            <v>Intergroup management fee expense</v>
          </cell>
          <cell r="M443" t="str">
            <v>Interco</v>
          </cell>
          <cell r="N443">
            <v>1049440.6340992614</v>
          </cell>
          <cell r="O443">
            <v>40940</v>
          </cell>
        </row>
        <row r="444">
          <cell r="G444" t="str">
            <v>2702006</v>
          </cell>
          <cell r="H444">
            <v>214.4838</v>
          </cell>
          <cell r="I444">
            <v>220.3819</v>
          </cell>
          <cell r="J444" t="str">
            <v>Income Statement</v>
          </cell>
          <cell r="K444" t="str">
            <v>Interest expense</v>
          </cell>
          <cell r="L444" t="str">
            <v>Intergroup interest expense</v>
          </cell>
          <cell r="N444">
            <v>735946.23691873066</v>
          </cell>
          <cell r="O444">
            <v>40940</v>
          </cell>
        </row>
        <row r="445">
          <cell r="G445" t="str">
            <v>3101000</v>
          </cell>
          <cell r="H445">
            <v>214.4838</v>
          </cell>
          <cell r="I445">
            <v>220.3819</v>
          </cell>
          <cell r="J445" t="str">
            <v>Income Statement</v>
          </cell>
          <cell r="K445" t="str">
            <v>Operating expenses</v>
          </cell>
          <cell r="L445" t="str">
            <v>Employee cost</v>
          </cell>
          <cell r="N445">
            <v>114393.64634754487</v>
          </cell>
          <cell r="O445">
            <v>40940</v>
          </cell>
        </row>
        <row r="446">
          <cell r="G446" t="str">
            <v>3101000</v>
          </cell>
          <cell r="H446">
            <v>214.4838</v>
          </cell>
          <cell r="I446">
            <v>220.3819</v>
          </cell>
          <cell r="J446" t="str">
            <v>Income Statement</v>
          </cell>
          <cell r="K446" t="str">
            <v>Operating expenses</v>
          </cell>
          <cell r="L446" t="str">
            <v>Employee cost</v>
          </cell>
          <cell r="N446">
            <v>5545.2557582995696</v>
          </cell>
          <cell r="O446">
            <v>40940</v>
          </cell>
        </row>
        <row r="447">
          <cell r="G447" t="str">
            <v>3101000</v>
          </cell>
          <cell r="H447">
            <v>214.4838</v>
          </cell>
          <cell r="I447">
            <v>220.3819</v>
          </cell>
          <cell r="J447" t="str">
            <v>Income Statement</v>
          </cell>
          <cell r="K447" t="str">
            <v>Operating expenses</v>
          </cell>
          <cell r="L447" t="str">
            <v>Employee cost</v>
          </cell>
          <cell r="N447">
            <v>76964.45919560545</v>
          </cell>
          <cell r="O447">
            <v>40940</v>
          </cell>
        </row>
        <row r="448">
          <cell r="G448" t="str">
            <v>3101000</v>
          </cell>
          <cell r="H448">
            <v>214.4838</v>
          </cell>
          <cell r="I448">
            <v>220.3819</v>
          </cell>
          <cell r="J448" t="str">
            <v>Income Statement</v>
          </cell>
          <cell r="K448" t="str">
            <v>Operating expenses</v>
          </cell>
          <cell r="L448" t="str">
            <v>Employee cost</v>
          </cell>
          <cell r="N448">
            <v>83066.519981904145</v>
          </cell>
          <cell r="O448">
            <v>40940</v>
          </cell>
        </row>
        <row r="449">
          <cell r="G449" t="str">
            <v>3101000</v>
          </cell>
          <cell r="H449">
            <v>214.4838</v>
          </cell>
          <cell r="I449">
            <v>220.3819</v>
          </cell>
          <cell r="J449" t="str">
            <v>Income Statement</v>
          </cell>
          <cell r="K449" t="str">
            <v>Operating expenses</v>
          </cell>
          <cell r="L449" t="str">
            <v>Employee cost</v>
          </cell>
          <cell r="N449">
            <v>100025.92930726163</v>
          </cell>
          <cell r="O449">
            <v>40940</v>
          </cell>
        </row>
        <row r="450">
          <cell r="G450" t="str">
            <v>3101000</v>
          </cell>
          <cell r="H450">
            <v>214.4838</v>
          </cell>
          <cell r="I450">
            <v>220.3819</v>
          </cell>
          <cell r="J450" t="str">
            <v>Income Statement</v>
          </cell>
          <cell r="K450" t="str">
            <v>Operating expenses</v>
          </cell>
          <cell r="L450" t="str">
            <v>Employee cost</v>
          </cell>
          <cell r="N450">
            <v>129198.72049383365</v>
          </cell>
          <cell r="O450">
            <v>40940</v>
          </cell>
        </row>
        <row r="451">
          <cell r="G451" t="str">
            <v>3101000</v>
          </cell>
          <cell r="H451">
            <v>214.4838</v>
          </cell>
          <cell r="I451">
            <v>220.3819</v>
          </cell>
          <cell r="J451" t="str">
            <v>Income Statement</v>
          </cell>
          <cell r="K451" t="str">
            <v>Operating expenses</v>
          </cell>
          <cell r="L451" t="str">
            <v>Employee cost</v>
          </cell>
          <cell r="N451">
            <v>105803.08165053482</v>
          </cell>
          <cell r="O451">
            <v>40940</v>
          </cell>
        </row>
        <row r="452">
          <cell r="G452" t="str">
            <v>3101000</v>
          </cell>
          <cell r="H452">
            <v>214.4838</v>
          </cell>
          <cell r="I452">
            <v>220.3819</v>
          </cell>
          <cell r="J452" t="str">
            <v>Income Statement</v>
          </cell>
          <cell r="K452" t="str">
            <v>Operating expenses</v>
          </cell>
          <cell r="L452" t="str">
            <v>Employee cost</v>
          </cell>
          <cell r="N452">
            <v>121819.58681724769</v>
          </cell>
          <cell r="O452">
            <v>40940</v>
          </cell>
        </row>
        <row r="453">
          <cell r="G453" t="str">
            <v>3101000</v>
          </cell>
          <cell r="H453">
            <v>214.4838</v>
          </cell>
          <cell r="I453">
            <v>220.3819</v>
          </cell>
          <cell r="J453" t="str">
            <v>Income Statement</v>
          </cell>
          <cell r="K453" t="str">
            <v>Operating expenses</v>
          </cell>
          <cell r="L453" t="str">
            <v>Employee cost</v>
          </cell>
          <cell r="N453">
            <v>128113.11977072527</v>
          </cell>
          <cell r="O453">
            <v>40940</v>
          </cell>
        </row>
        <row r="454">
          <cell r="G454" t="str">
            <v>3101000</v>
          </cell>
          <cell r="H454">
            <v>214.4838</v>
          </cell>
          <cell r="I454">
            <v>220.3819</v>
          </cell>
          <cell r="J454" t="str">
            <v>Income Statement</v>
          </cell>
          <cell r="K454" t="str">
            <v>Operating expenses</v>
          </cell>
          <cell r="L454" t="str">
            <v>Employee cost</v>
          </cell>
          <cell r="N454">
            <v>668940.46162593202</v>
          </cell>
          <cell r="O454">
            <v>40940</v>
          </cell>
        </row>
        <row r="455">
          <cell r="G455" t="str">
            <v>3101000</v>
          </cell>
          <cell r="H455">
            <v>214.4838</v>
          </cell>
          <cell r="I455">
            <v>220.3819</v>
          </cell>
          <cell r="J455" t="str">
            <v>Income Statement</v>
          </cell>
          <cell r="K455" t="str">
            <v>Operating expenses</v>
          </cell>
          <cell r="L455" t="str">
            <v>Employee cost</v>
          </cell>
          <cell r="N455">
            <v>307002.38944305317</v>
          </cell>
          <cell r="O455">
            <v>40940</v>
          </cell>
        </row>
        <row r="456">
          <cell r="G456" t="str">
            <v>3106000</v>
          </cell>
          <cell r="H456">
            <v>214.4838</v>
          </cell>
          <cell r="I456">
            <v>220.3819</v>
          </cell>
          <cell r="J456" t="str">
            <v>Income Statement</v>
          </cell>
          <cell r="K456" t="str">
            <v>Operating expenses</v>
          </cell>
          <cell r="L456" t="str">
            <v>Employee cost</v>
          </cell>
          <cell r="N456">
            <v>476.44566091861446</v>
          </cell>
          <cell r="O456">
            <v>40940</v>
          </cell>
        </row>
        <row r="457">
          <cell r="G457" t="str">
            <v>3106000</v>
          </cell>
          <cell r="H457">
            <v>214.4838</v>
          </cell>
          <cell r="I457">
            <v>220.3819</v>
          </cell>
          <cell r="J457" t="str">
            <v>Income Statement</v>
          </cell>
          <cell r="K457" t="str">
            <v>Operating expenses</v>
          </cell>
          <cell r="L457" t="str">
            <v>Employee cost</v>
          </cell>
          <cell r="N457">
            <v>3448.5590695061619</v>
          </cell>
          <cell r="O457">
            <v>40940</v>
          </cell>
        </row>
        <row r="458">
          <cell r="G458" t="str">
            <v>3109000</v>
          </cell>
          <cell r="H458">
            <v>214.4838</v>
          </cell>
          <cell r="I458">
            <v>220.3819</v>
          </cell>
          <cell r="J458" t="str">
            <v>Income Statement</v>
          </cell>
          <cell r="K458" t="str">
            <v>Operating expenses</v>
          </cell>
          <cell r="L458" t="str">
            <v>Employee cost</v>
          </cell>
          <cell r="N458">
            <v>13561.685419719133</v>
          </cell>
          <cell r="O458">
            <v>40940</v>
          </cell>
        </row>
        <row r="459">
          <cell r="G459" t="str">
            <v>3109000</v>
          </cell>
          <cell r="H459">
            <v>214.4838</v>
          </cell>
          <cell r="I459">
            <v>220.3819</v>
          </cell>
          <cell r="J459" t="str">
            <v>Income Statement</v>
          </cell>
          <cell r="K459" t="str">
            <v>Operating expenses</v>
          </cell>
          <cell r="L459" t="str">
            <v>Employee cost</v>
          </cell>
          <cell r="N459">
            <v>5391.32297162335</v>
          </cell>
          <cell r="O459">
            <v>40940</v>
          </cell>
        </row>
        <row r="460">
          <cell r="G460" t="str">
            <v>3109000</v>
          </cell>
          <cell r="H460">
            <v>214.4838</v>
          </cell>
          <cell r="I460">
            <v>220.3819</v>
          </cell>
          <cell r="J460" t="str">
            <v>Income Statement</v>
          </cell>
          <cell r="K460" t="str">
            <v>Operating expenses</v>
          </cell>
          <cell r="L460" t="str">
            <v>Employee cost</v>
          </cell>
          <cell r="N460">
            <v>8232.3003840152032</v>
          </cell>
          <cell r="O460">
            <v>40940</v>
          </cell>
        </row>
        <row r="461">
          <cell r="G461" t="str">
            <v>3109000</v>
          </cell>
          <cell r="H461">
            <v>214.4838</v>
          </cell>
          <cell r="I461">
            <v>220.3819</v>
          </cell>
          <cell r="J461" t="str">
            <v>Income Statement</v>
          </cell>
          <cell r="K461" t="str">
            <v>Operating expenses</v>
          </cell>
          <cell r="L461" t="str">
            <v>Employee cost</v>
          </cell>
          <cell r="N461">
            <v>11087.571166234613</v>
          </cell>
          <cell r="O461">
            <v>40940</v>
          </cell>
        </row>
        <row r="462">
          <cell r="G462" t="str">
            <v>3109000</v>
          </cell>
          <cell r="H462">
            <v>214.4838</v>
          </cell>
          <cell r="I462">
            <v>220.3819</v>
          </cell>
          <cell r="J462" t="str">
            <v>Income Statement</v>
          </cell>
          <cell r="K462" t="str">
            <v>Operating expenses</v>
          </cell>
          <cell r="L462" t="str">
            <v>Employee cost</v>
          </cell>
          <cell r="N462">
            <v>12501.253505845989</v>
          </cell>
          <cell r="O462">
            <v>40940</v>
          </cell>
        </row>
        <row r="463">
          <cell r="G463" t="str">
            <v>3109000</v>
          </cell>
          <cell r="H463">
            <v>214.4838</v>
          </cell>
          <cell r="I463">
            <v>220.3819</v>
          </cell>
          <cell r="J463" t="str">
            <v>Income Statement</v>
          </cell>
          <cell r="K463" t="str">
            <v>Operating expenses</v>
          </cell>
          <cell r="L463" t="str">
            <v>Employee cost</v>
          </cell>
          <cell r="N463">
            <v>13960.538501573859</v>
          </cell>
          <cell r="O463">
            <v>40940</v>
          </cell>
        </row>
        <row r="464">
          <cell r="G464" t="str">
            <v>3109000</v>
          </cell>
          <cell r="H464">
            <v>214.4838</v>
          </cell>
          <cell r="I464">
            <v>220.3819</v>
          </cell>
          <cell r="J464" t="str">
            <v>Income Statement</v>
          </cell>
          <cell r="K464" t="str">
            <v>Operating expenses</v>
          </cell>
          <cell r="L464" t="str">
            <v>Employee cost</v>
          </cell>
          <cell r="N464">
            <v>14072.162913560505</v>
          </cell>
          <cell r="O464">
            <v>40940</v>
          </cell>
        </row>
        <row r="465">
          <cell r="G465" t="str">
            <v>3109000</v>
          </cell>
          <cell r="H465">
            <v>214.4838</v>
          </cell>
          <cell r="I465">
            <v>220.3819</v>
          </cell>
          <cell r="J465" t="str">
            <v>Income Statement</v>
          </cell>
          <cell r="K465" t="str">
            <v>Operating expenses</v>
          </cell>
          <cell r="L465" t="str">
            <v>Employee cost</v>
          </cell>
          <cell r="N465">
            <v>31326.302205398901</v>
          </cell>
          <cell r="O465">
            <v>40940</v>
          </cell>
        </row>
        <row r="466">
          <cell r="G466" t="str">
            <v>3109000</v>
          </cell>
          <cell r="H466">
            <v>214.4838</v>
          </cell>
          <cell r="I466">
            <v>220.3819</v>
          </cell>
          <cell r="J466" t="str">
            <v>Income Statement</v>
          </cell>
          <cell r="K466" t="str">
            <v>Operating expenses</v>
          </cell>
          <cell r="L466" t="str">
            <v>Employee cost</v>
          </cell>
          <cell r="N466">
            <v>2223.6399631730192</v>
          </cell>
          <cell r="O466">
            <v>40940</v>
          </cell>
        </row>
        <row r="467">
          <cell r="G467" t="str">
            <v>3109000</v>
          </cell>
          <cell r="H467">
            <v>214.4838</v>
          </cell>
          <cell r="I467">
            <v>220.3819</v>
          </cell>
          <cell r="J467" t="str">
            <v>Income Statement</v>
          </cell>
          <cell r="K467" t="str">
            <v>Operating expenses</v>
          </cell>
          <cell r="L467" t="str">
            <v>Employee cost</v>
          </cell>
          <cell r="N467">
            <v>17913.449334995297</v>
          </cell>
          <cell r="O467">
            <v>40940</v>
          </cell>
        </row>
        <row r="468">
          <cell r="G468" t="str">
            <v>3109000</v>
          </cell>
          <cell r="H468">
            <v>214.4838</v>
          </cell>
          <cell r="I468">
            <v>220.3819</v>
          </cell>
          <cell r="J468" t="str">
            <v>Income Statement</v>
          </cell>
          <cell r="K468" t="str">
            <v>Operating expenses</v>
          </cell>
          <cell r="L468" t="str">
            <v>Employee cost</v>
          </cell>
          <cell r="N468">
            <v>347.12469581213338</v>
          </cell>
          <cell r="O468">
            <v>40940</v>
          </cell>
        </row>
        <row r="469">
          <cell r="G469" t="str">
            <v>3110000</v>
          </cell>
          <cell r="H469">
            <v>214.4838</v>
          </cell>
          <cell r="I469">
            <v>220.3819</v>
          </cell>
          <cell r="J469" t="str">
            <v>Income Statement</v>
          </cell>
          <cell r="K469" t="str">
            <v>Operating expenses</v>
          </cell>
          <cell r="L469" t="str">
            <v>Employee cost</v>
          </cell>
          <cell r="N469">
            <v>457.55735838560247</v>
          </cell>
          <cell r="O469">
            <v>40940</v>
          </cell>
        </row>
        <row r="470">
          <cell r="G470" t="str">
            <v>3110000</v>
          </cell>
          <cell r="H470">
            <v>214.4838</v>
          </cell>
          <cell r="I470">
            <v>220.3819</v>
          </cell>
          <cell r="J470" t="str">
            <v>Income Statement</v>
          </cell>
          <cell r="K470" t="str">
            <v>Operating expenses</v>
          </cell>
          <cell r="L470" t="str">
            <v>Employee cost</v>
          </cell>
          <cell r="N470">
            <v>228.77867919280123</v>
          </cell>
          <cell r="O470">
            <v>40940</v>
          </cell>
        </row>
        <row r="471">
          <cell r="G471" t="str">
            <v>3110000</v>
          </cell>
          <cell r="H471">
            <v>214.4838</v>
          </cell>
          <cell r="I471">
            <v>220.3819</v>
          </cell>
          <cell r="J471" t="str">
            <v>Income Statement</v>
          </cell>
          <cell r="K471" t="str">
            <v>Operating expenses</v>
          </cell>
          <cell r="L471" t="str">
            <v>Employee cost</v>
          </cell>
          <cell r="N471">
            <v>457.55735838560247</v>
          </cell>
          <cell r="O471">
            <v>40940</v>
          </cell>
        </row>
        <row r="472">
          <cell r="G472" t="str">
            <v>3110000</v>
          </cell>
          <cell r="H472">
            <v>214.4838</v>
          </cell>
          <cell r="I472">
            <v>220.3819</v>
          </cell>
          <cell r="J472" t="str">
            <v>Income Statement</v>
          </cell>
          <cell r="K472" t="str">
            <v>Operating expenses</v>
          </cell>
          <cell r="L472" t="str">
            <v>Employee cost</v>
          </cell>
          <cell r="N472">
            <v>457.55735838560247</v>
          </cell>
          <cell r="O472">
            <v>40940</v>
          </cell>
        </row>
        <row r="473">
          <cell r="G473" t="str">
            <v>3110000</v>
          </cell>
          <cell r="H473">
            <v>214.4838</v>
          </cell>
          <cell r="I473">
            <v>220.3819</v>
          </cell>
          <cell r="J473" t="str">
            <v>Income Statement</v>
          </cell>
          <cell r="K473" t="str">
            <v>Operating expenses</v>
          </cell>
          <cell r="L473" t="str">
            <v>Employee cost</v>
          </cell>
          <cell r="N473">
            <v>457.55735838560247</v>
          </cell>
          <cell r="O473">
            <v>40940</v>
          </cell>
        </row>
        <row r="474">
          <cell r="G474" t="str">
            <v>3110000</v>
          </cell>
          <cell r="H474">
            <v>214.4838</v>
          </cell>
          <cell r="I474">
            <v>220.3819</v>
          </cell>
          <cell r="J474" t="str">
            <v>Income Statement</v>
          </cell>
          <cell r="K474" t="str">
            <v>Operating expenses</v>
          </cell>
          <cell r="L474" t="str">
            <v>Employee cost</v>
          </cell>
          <cell r="N474">
            <v>915.11471677120494</v>
          </cell>
          <cell r="O474">
            <v>40940</v>
          </cell>
        </row>
        <row r="475">
          <cell r="G475" t="str">
            <v>3110000</v>
          </cell>
          <cell r="H475">
            <v>214.4838</v>
          </cell>
          <cell r="I475">
            <v>220.3819</v>
          </cell>
          <cell r="J475" t="str">
            <v>Income Statement</v>
          </cell>
          <cell r="K475" t="str">
            <v>Operating expenses</v>
          </cell>
          <cell r="L475" t="str">
            <v>Employee cost</v>
          </cell>
          <cell r="N475">
            <v>228.77867919280123</v>
          </cell>
          <cell r="O475">
            <v>40940</v>
          </cell>
        </row>
        <row r="476">
          <cell r="G476" t="str">
            <v>3110000</v>
          </cell>
          <cell r="H476">
            <v>214.4838</v>
          </cell>
          <cell r="I476">
            <v>220.3819</v>
          </cell>
          <cell r="J476" t="str">
            <v>Income Statement</v>
          </cell>
          <cell r="K476" t="str">
            <v>Operating expenses</v>
          </cell>
          <cell r="L476" t="str">
            <v>Employee cost</v>
          </cell>
          <cell r="N476">
            <v>686.33603757840365</v>
          </cell>
          <cell r="O476">
            <v>40940</v>
          </cell>
        </row>
        <row r="477">
          <cell r="G477" t="str">
            <v>3110000</v>
          </cell>
          <cell r="H477">
            <v>214.4838</v>
          </cell>
          <cell r="I477">
            <v>220.3819</v>
          </cell>
          <cell r="J477" t="str">
            <v>Income Statement</v>
          </cell>
          <cell r="K477" t="str">
            <v>Operating expenses</v>
          </cell>
          <cell r="L477" t="str">
            <v>Employee cost</v>
          </cell>
          <cell r="N477">
            <v>1601.4507543496086</v>
          </cell>
          <cell r="O477">
            <v>40940</v>
          </cell>
        </row>
        <row r="478">
          <cell r="G478" t="str">
            <v>3110000</v>
          </cell>
          <cell r="H478">
            <v>214.4838</v>
          </cell>
          <cell r="I478">
            <v>220.3819</v>
          </cell>
          <cell r="J478" t="str">
            <v>Income Statement</v>
          </cell>
          <cell r="K478" t="str">
            <v>Operating expenses</v>
          </cell>
          <cell r="L478" t="str">
            <v>Employee cost</v>
          </cell>
          <cell r="N478">
            <v>1601.4507543496086</v>
          </cell>
          <cell r="O478">
            <v>40940</v>
          </cell>
        </row>
        <row r="479">
          <cell r="G479" t="str">
            <v>3112000</v>
          </cell>
          <cell r="H479">
            <v>214.4838</v>
          </cell>
          <cell r="I479">
            <v>220.3819</v>
          </cell>
          <cell r="J479" t="str">
            <v>Income Statement</v>
          </cell>
          <cell r="K479" t="str">
            <v>Operating expenses</v>
          </cell>
          <cell r="L479" t="str">
            <v>Employee cost</v>
          </cell>
          <cell r="N479">
            <v>2019.5866357445871</v>
          </cell>
          <cell r="O479">
            <v>40940</v>
          </cell>
        </row>
        <row r="480">
          <cell r="G480" t="str">
            <v>3112000</v>
          </cell>
          <cell r="H480">
            <v>214.4838</v>
          </cell>
          <cell r="I480">
            <v>220.3819</v>
          </cell>
          <cell r="J480" t="str">
            <v>Income Statement</v>
          </cell>
          <cell r="K480" t="str">
            <v>Operating expenses</v>
          </cell>
          <cell r="L480" t="str">
            <v>Employee cost</v>
          </cell>
          <cell r="N480">
            <v>9607.9258777603791</v>
          </cell>
          <cell r="O480">
            <v>40940</v>
          </cell>
        </row>
        <row r="481">
          <cell r="G481" t="str">
            <v>3112000</v>
          </cell>
          <cell r="H481">
            <v>214.4838</v>
          </cell>
          <cell r="I481">
            <v>220.3819</v>
          </cell>
          <cell r="J481" t="str">
            <v>Income Statement</v>
          </cell>
          <cell r="K481" t="str">
            <v>Operating expenses</v>
          </cell>
          <cell r="L481" t="str">
            <v>Employee cost</v>
          </cell>
          <cell r="N481">
            <v>20195.866629700533</v>
          </cell>
          <cell r="O481">
            <v>40940</v>
          </cell>
        </row>
        <row r="482">
          <cell r="G482" t="str">
            <v>3121000</v>
          </cell>
          <cell r="H482">
            <v>214.4838</v>
          </cell>
          <cell r="I482">
            <v>220.3819</v>
          </cell>
          <cell r="J482" t="str">
            <v>Income Statement</v>
          </cell>
          <cell r="K482" t="str">
            <v>Operating expenses</v>
          </cell>
          <cell r="L482" t="str">
            <v>Employee cost</v>
          </cell>
          <cell r="N482">
            <v>-77130.040352678683</v>
          </cell>
          <cell r="O482">
            <v>40940</v>
          </cell>
        </row>
        <row r="483">
          <cell r="G483" t="str">
            <v>3141000</v>
          </cell>
          <cell r="H483">
            <v>214.4838</v>
          </cell>
          <cell r="I483">
            <v>220.3819</v>
          </cell>
          <cell r="J483" t="str">
            <v>Income Statement</v>
          </cell>
          <cell r="K483" t="str">
            <v>Operating expenses</v>
          </cell>
          <cell r="L483" t="str">
            <v>Employee cost</v>
          </cell>
          <cell r="N483">
            <v>12979.613389302842</v>
          </cell>
          <cell r="O483">
            <v>40940</v>
          </cell>
        </row>
        <row r="484">
          <cell r="G484" t="str">
            <v>3141000</v>
          </cell>
          <cell r="H484">
            <v>214.4838</v>
          </cell>
          <cell r="I484">
            <v>220.3819</v>
          </cell>
          <cell r="J484" t="str">
            <v>Income Statement</v>
          </cell>
          <cell r="K484" t="str">
            <v>Operating expenses</v>
          </cell>
          <cell r="L484" t="str">
            <v>Employee cost</v>
          </cell>
          <cell r="N484">
            <v>1028.9973904390515</v>
          </cell>
          <cell r="O484">
            <v>40940</v>
          </cell>
        </row>
        <row r="485">
          <cell r="G485" t="str">
            <v>3141000</v>
          </cell>
          <cell r="H485">
            <v>214.4838</v>
          </cell>
          <cell r="I485">
            <v>220.3819</v>
          </cell>
          <cell r="J485" t="str">
            <v>Income Statement</v>
          </cell>
          <cell r="K485" t="str">
            <v>Operating expenses</v>
          </cell>
          <cell r="L485" t="str">
            <v>Employee cost</v>
          </cell>
          <cell r="N485">
            <v>8040.8750900141986</v>
          </cell>
          <cell r="O485">
            <v>40940</v>
          </cell>
        </row>
        <row r="486">
          <cell r="G486" t="str">
            <v>3141000</v>
          </cell>
          <cell r="H486">
            <v>214.4838</v>
          </cell>
          <cell r="I486">
            <v>220.3819</v>
          </cell>
          <cell r="J486" t="str">
            <v>Income Statement</v>
          </cell>
          <cell r="K486" t="str">
            <v>Operating expenses</v>
          </cell>
          <cell r="L486" t="str">
            <v>Employee cost</v>
          </cell>
          <cell r="N486">
            <v>8989.824481956095</v>
          </cell>
          <cell r="O486">
            <v>40940</v>
          </cell>
        </row>
        <row r="487">
          <cell r="G487" t="str">
            <v>3141000</v>
          </cell>
          <cell r="H487">
            <v>214.4838</v>
          </cell>
          <cell r="I487">
            <v>220.3819</v>
          </cell>
          <cell r="J487" t="str">
            <v>Income Statement</v>
          </cell>
          <cell r="K487" t="str">
            <v>Operating expenses</v>
          </cell>
          <cell r="L487" t="str">
            <v>Employee cost</v>
          </cell>
          <cell r="N487">
            <v>11215.35448237809</v>
          </cell>
          <cell r="O487">
            <v>40940</v>
          </cell>
        </row>
        <row r="488">
          <cell r="G488" t="str">
            <v>3141000</v>
          </cell>
          <cell r="H488">
            <v>214.4838</v>
          </cell>
          <cell r="I488">
            <v>220.3819</v>
          </cell>
          <cell r="J488" t="str">
            <v>Income Statement</v>
          </cell>
          <cell r="K488" t="str">
            <v>Operating expenses</v>
          </cell>
          <cell r="L488" t="str">
            <v>Employee cost</v>
          </cell>
          <cell r="N488">
            <v>14105.490106038653</v>
          </cell>
          <cell r="O488">
            <v>40940</v>
          </cell>
        </row>
        <row r="489">
          <cell r="G489" t="str">
            <v>3141000</v>
          </cell>
          <cell r="H489">
            <v>214.4838</v>
          </cell>
          <cell r="I489">
            <v>220.3819</v>
          </cell>
          <cell r="J489" t="str">
            <v>Income Statement</v>
          </cell>
          <cell r="K489" t="str">
            <v>Operating expenses</v>
          </cell>
          <cell r="L489" t="str">
            <v>Employee cost</v>
          </cell>
          <cell r="N489">
            <v>11253.848296979018</v>
          </cell>
          <cell r="O489">
            <v>40940</v>
          </cell>
        </row>
        <row r="490">
          <cell r="G490" t="str">
            <v>3141000</v>
          </cell>
          <cell r="H490">
            <v>214.4838</v>
          </cell>
          <cell r="I490">
            <v>220.3819</v>
          </cell>
          <cell r="J490" t="str">
            <v>Income Statement</v>
          </cell>
          <cell r="K490" t="str">
            <v>Operating expenses</v>
          </cell>
          <cell r="L490" t="str">
            <v>Employee cost</v>
          </cell>
          <cell r="N490">
            <v>15212.569952432574</v>
          </cell>
          <cell r="O490">
            <v>40940</v>
          </cell>
        </row>
        <row r="491">
          <cell r="G491" t="str">
            <v>3141000</v>
          </cell>
          <cell r="H491">
            <v>214.4838</v>
          </cell>
          <cell r="I491">
            <v>220.3819</v>
          </cell>
          <cell r="J491" t="str">
            <v>Income Statement</v>
          </cell>
          <cell r="K491" t="str">
            <v>Operating expenses</v>
          </cell>
          <cell r="L491" t="str">
            <v>Employee cost</v>
          </cell>
          <cell r="N491">
            <v>12989.664350838249</v>
          </cell>
          <cell r="O491">
            <v>40940</v>
          </cell>
        </row>
        <row r="492">
          <cell r="G492" t="str">
            <v>3141000</v>
          </cell>
          <cell r="H492">
            <v>214.4838</v>
          </cell>
          <cell r="I492">
            <v>220.3819</v>
          </cell>
          <cell r="J492" t="str">
            <v>Income Statement</v>
          </cell>
          <cell r="K492" t="str">
            <v>Operating expenses</v>
          </cell>
          <cell r="L492" t="str">
            <v>Employee cost</v>
          </cell>
          <cell r="N492">
            <v>54498.504777388705</v>
          </cell>
          <cell r="O492">
            <v>40940</v>
          </cell>
        </row>
        <row r="493">
          <cell r="G493" t="str">
            <v>3141000</v>
          </cell>
          <cell r="H493">
            <v>214.4838</v>
          </cell>
          <cell r="I493">
            <v>220.3819</v>
          </cell>
          <cell r="J493" t="str">
            <v>Income Statement</v>
          </cell>
          <cell r="K493" t="str">
            <v>Operating expenses</v>
          </cell>
          <cell r="L493" t="str">
            <v>Employee cost</v>
          </cell>
          <cell r="N493">
            <v>29710.418369203642</v>
          </cell>
          <cell r="O493">
            <v>40940</v>
          </cell>
        </row>
        <row r="494">
          <cell r="G494" t="str">
            <v>3144000</v>
          </cell>
          <cell r="H494">
            <v>214.4838</v>
          </cell>
          <cell r="I494">
            <v>220.3819</v>
          </cell>
          <cell r="J494" t="str">
            <v>Income Statement</v>
          </cell>
          <cell r="K494" t="str">
            <v>Operating expenses</v>
          </cell>
          <cell r="L494" t="str">
            <v>Employee cost</v>
          </cell>
          <cell r="N494">
            <v>458.14252440876498</v>
          </cell>
          <cell r="O494">
            <v>40940</v>
          </cell>
        </row>
        <row r="495">
          <cell r="G495" t="str">
            <v>3144000</v>
          </cell>
          <cell r="H495">
            <v>214.4838</v>
          </cell>
          <cell r="I495">
            <v>220.3819</v>
          </cell>
          <cell r="J495" t="str">
            <v>Income Statement</v>
          </cell>
          <cell r="K495" t="str">
            <v>Operating expenses</v>
          </cell>
          <cell r="L495" t="str">
            <v>Employee cost</v>
          </cell>
          <cell r="N495">
            <v>32.724466029197501</v>
          </cell>
          <cell r="O495">
            <v>40940</v>
          </cell>
        </row>
        <row r="496">
          <cell r="G496" t="str">
            <v>3144000</v>
          </cell>
          <cell r="H496">
            <v>214.4838</v>
          </cell>
          <cell r="I496">
            <v>220.3819</v>
          </cell>
          <cell r="J496" t="str">
            <v>Income Statement</v>
          </cell>
          <cell r="K496" t="str">
            <v>Operating expenses</v>
          </cell>
          <cell r="L496" t="str">
            <v>Employee cost</v>
          </cell>
          <cell r="N496">
            <v>458.14252440876498</v>
          </cell>
          <cell r="O496">
            <v>40940</v>
          </cell>
        </row>
        <row r="497">
          <cell r="G497" t="str">
            <v>3144000</v>
          </cell>
          <cell r="H497">
            <v>214.4838</v>
          </cell>
          <cell r="I497">
            <v>220.3819</v>
          </cell>
          <cell r="J497" t="str">
            <v>Income Statement</v>
          </cell>
          <cell r="K497" t="str">
            <v>Operating expenses</v>
          </cell>
          <cell r="L497" t="str">
            <v>Employee cost</v>
          </cell>
          <cell r="N497">
            <v>447.23436906569913</v>
          </cell>
          <cell r="O497">
            <v>40940</v>
          </cell>
        </row>
        <row r="498">
          <cell r="G498" t="str">
            <v>3144000</v>
          </cell>
          <cell r="H498">
            <v>214.4838</v>
          </cell>
          <cell r="I498">
            <v>220.3819</v>
          </cell>
          <cell r="J498" t="str">
            <v>Income Statement</v>
          </cell>
          <cell r="K498" t="str">
            <v>Operating expenses</v>
          </cell>
          <cell r="L498" t="str">
            <v>Employee cost</v>
          </cell>
          <cell r="N498">
            <v>610.85669921168665</v>
          </cell>
          <cell r="O498">
            <v>40940</v>
          </cell>
        </row>
        <row r="499">
          <cell r="G499" t="str">
            <v>3144000</v>
          </cell>
          <cell r="H499">
            <v>214.4838</v>
          </cell>
          <cell r="I499">
            <v>220.3819</v>
          </cell>
          <cell r="J499" t="str">
            <v>Income Statement</v>
          </cell>
          <cell r="K499" t="str">
            <v>Operating expenses</v>
          </cell>
          <cell r="L499" t="str">
            <v>Employee cost</v>
          </cell>
          <cell r="N499">
            <v>763.57087401460831</v>
          </cell>
          <cell r="O499">
            <v>40940</v>
          </cell>
        </row>
        <row r="500">
          <cell r="G500" t="str">
            <v>3144000</v>
          </cell>
          <cell r="H500">
            <v>214.4838</v>
          </cell>
          <cell r="I500">
            <v>220.3819</v>
          </cell>
          <cell r="J500" t="str">
            <v>Income Statement</v>
          </cell>
          <cell r="K500" t="str">
            <v>Operating expenses</v>
          </cell>
          <cell r="L500" t="str">
            <v>Employee cost</v>
          </cell>
          <cell r="N500">
            <v>687.21378661314748</v>
          </cell>
          <cell r="O500">
            <v>40940</v>
          </cell>
        </row>
        <row r="501">
          <cell r="G501" t="str">
            <v>3144000</v>
          </cell>
          <cell r="H501">
            <v>214.4838</v>
          </cell>
          <cell r="I501">
            <v>220.3819</v>
          </cell>
          <cell r="J501" t="str">
            <v>Income Statement</v>
          </cell>
          <cell r="K501" t="str">
            <v>Operating expenses</v>
          </cell>
          <cell r="L501" t="str">
            <v>Employee cost</v>
          </cell>
          <cell r="N501">
            <v>523.59145646716001</v>
          </cell>
          <cell r="O501">
            <v>40940</v>
          </cell>
        </row>
        <row r="502">
          <cell r="G502" t="str">
            <v>3144000</v>
          </cell>
          <cell r="H502">
            <v>214.4838</v>
          </cell>
          <cell r="I502">
            <v>220.3819</v>
          </cell>
          <cell r="J502" t="str">
            <v>Income Statement</v>
          </cell>
          <cell r="K502" t="str">
            <v>Operating expenses</v>
          </cell>
          <cell r="L502" t="str">
            <v>Employee cost</v>
          </cell>
          <cell r="N502">
            <v>719.93825264234488</v>
          </cell>
          <cell r="O502">
            <v>40940</v>
          </cell>
        </row>
        <row r="503">
          <cell r="G503" t="str">
            <v>3144000</v>
          </cell>
          <cell r="H503">
            <v>214.4838</v>
          </cell>
          <cell r="I503">
            <v>220.3819</v>
          </cell>
          <cell r="J503" t="str">
            <v>Income Statement</v>
          </cell>
          <cell r="K503" t="str">
            <v>Operating expenses</v>
          </cell>
          <cell r="L503" t="str">
            <v>Employee cost</v>
          </cell>
          <cell r="N503">
            <v>1712.8508284936286</v>
          </cell>
          <cell r="O503">
            <v>40940</v>
          </cell>
        </row>
        <row r="504">
          <cell r="G504" t="str">
            <v>3144000</v>
          </cell>
          <cell r="H504">
            <v>214.4838</v>
          </cell>
          <cell r="I504">
            <v>220.3819</v>
          </cell>
          <cell r="J504" t="str">
            <v>Income Statement</v>
          </cell>
          <cell r="K504" t="str">
            <v>Operating expenses</v>
          </cell>
          <cell r="L504" t="str">
            <v>Employee cost</v>
          </cell>
          <cell r="N504">
            <v>883.56058278833245</v>
          </cell>
          <cell r="O504">
            <v>40940</v>
          </cell>
        </row>
        <row r="505">
          <cell r="G505" t="str">
            <v>3145000</v>
          </cell>
          <cell r="H505">
            <v>214.4838</v>
          </cell>
          <cell r="I505">
            <v>220.3819</v>
          </cell>
          <cell r="J505" t="str">
            <v>Income Statement</v>
          </cell>
          <cell r="K505" t="str">
            <v>Operating expenses</v>
          </cell>
          <cell r="L505" t="str">
            <v>Employee cost</v>
          </cell>
          <cell r="N505">
            <v>3595.4971801223242</v>
          </cell>
          <cell r="O505">
            <v>40940</v>
          </cell>
        </row>
        <row r="506">
          <cell r="G506" t="str">
            <v>3145000</v>
          </cell>
          <cell r="H506">
            <v>214.4838</v>
          </cell>
          <cell r="I506">
            <v>220.3819</v>
          </cell>
          <cell r="J506" t="str">
            <v>Income Statement</v>
          </cell>
          <cell r="K506" t="str">
            <v>Operating expenses</v>
          </cell>
          <cell r="L506" t="str">
            <v>Employee cost</v>
          </cell>
          <cell r="N506">
            <v>172.09217272380354</v>
          </cell>
          <cell r="O506">
            <v>40940</v>
          </cell>
        </row>
        <row r="507">
          <cell r="G507" t="str">
            <v>3145000</v>
          </cell>
          <cell r="H507">
            <v>214.4838</v>
          </cell>
          <cell r="I507">
            <v>220.3819</v>
          </cell>
          <cell r="J507" t="str">
            <v>Income Statement</v>
          </cell>
          <cell r="K507" t="str">
            <v>Operating expenses</v>
          </cell>
          <cell r="L507" t="str">
            <v>Employee cost</v>
          </cell>
          <cell r="N507">
            <v>752.90325566664046</v>
          </cell>
          <cell r="O507">
            <v>40940</v>
          </cell>
        </row>
        <row r="508">
          <cell r="G508" t="str">
            <v>3145000</v>
          </cell>
          <cell r="H508">
            <v>214.4838</v>
          </cell>
          <cell r="I508">
            <v>220.3819</v>
          </cell>
          <cell r="J508" t="str">
            <v>Income Statement</v>
          </cell>
          <cell r="K508" t="str">
            <v>Operating expenses</v>
          </cell>
          <cell r="L508" t="str">
            <v>Employee cost</v>
          </cell>
          <cell r="N508">
            <v>1218.9862234602751</v>
          </cell>
          <cell r="O508">
            <v>40940</v>
          </cell>
        </row>
        <row r="509">
          <cell r="G509" t="str">
            <v>3145000</v>
          </cell>
          <cell r="H509">
            <v>214.4838</v>
          </cell>
          <cell r="I509">
            <v>220.3819</v>
          </cell>
          <cell r="J509" t="str">
            <v>Income Statement</v>
          </cell>
          <cell r="K509" t="str">
            <v>Operating expenses</v>
          </cell>
          <cell r="L509" t="str">
            <v>Employee cost</v>
          </cell>
          <cell r="N509">
            <v>2152.5179699421778</v>
          </cell>
          <cell r="O509">
            <v>40940</v>
          </cell>
        </row>
        <row r="510">
          <cell r="G510" t="str">
            <v>3145000</v>
          </cell>
          <cell r="H510">
            <v>214.4838</v>
          </cell>
          <cell r="I510">
            <v>220.3819</v>
          </cell>
          <cell r="J510" t="str">
            <v>Income Statement</v>
          </cell>
          <cell r="K510" t="str">
            <v>Operating expenses</v>
          </cell>
          <cell r="L510" t="str">
            <v>Employee cost</v>
          </cell>
          <cell r="N510">
            <v>1079.6735122076723</v>
          </cell>
          <cell r="O510">
            <v>40940</v>
          </cell>
        </row>
        <row r="511">
          <cell r="G511" t="str">
            <v>3145000</v>
          </cell>
          <cell r="H511">
            <v>214.4838</v>
          </cell>
          <cell r="I511">
            <v>220.3819</v>
          </cell>
          <cell r="J511" t="str">
            <v>Income Statement</v>
          </cell>
          <cell r="K511" t="str">
            <v>Operating expenses</v>
          </cell>
          <cell r="L511" t="str">
            <v>Employee cost</v>
          </cell>
          <cell r="N511">
            <v>1102.8922974164393</v>
          </cell>
          <cell r="O511">
            <v>40940</v>
          </cell>
        </row>
        <row r="512">
          <cell r="G512" t="str">
            <v>3145000</v>
          </cell>
          <cell r="H512">
            <v>214.4838</v>
          </cell>
          <cell r="I512">
            <v>220.3819</v>
          </cell>
          <cell r="J512" t="str">
            <v>Income Statement</v>
          </cell>
          <cell r="K512" t="str">
            <v>Operating expenses</v>
          </cell>
          <cell r="L512" t="str">
            <v>Employee cost</v>
          </cell>
          <cell r="N512">
            <v>3780.5645563451444</v>
          </cell>
          <cell r="O512">
            <v>40940</v>
          </cell>
        </row>
        <row r="513">
          <cell r="G513" t="str">
            <v>3145000</v>
          </cell>
          <cell r="H513">
            <v>214.4838</v>
          </cell>
          <cell r="I513">
            <v>220.3819</v>
          </cell>
          <cell r="J513" t="str">
            <v>Income Statement</v>
          </cell>
          <cell r="K513" t="str">
            <v>Operating expenses</v>
          </cell>
          <cell r="L513" t="str">
            <v>Employee cost</v>
          </cell>
          <cell r="N513">
            <v>3431.2584200426622</v>
          </cell>
          <cell r="O513">
            <v>40940</v>
          </cell>
        </row>
        <row r="514">
          <cell r="G514" t="str">
            <v>3145000</v>
          </cell>
          <cell r="H514">
            <v>214.4838</v>
          </cell>
          <cell r="I514">
            <v>220.3819</v>
          </cell>
          <cell r="J514" t="str">
            <v>Income Statement</v>
          </cell>
          <cell r="K514" t="str">
            <v>Operating expenses</v>
          </cell>
          <cell r="L514" t="str">
            <v>Employee cost</v>
          </cell>
          <cell r="N514">
            <v>11017.081393707922</v>
          </cell>
          <cell r="O514">
            <v>40940</v>
          </cell>
        </row>
        <row r="515">
          <cell r="G515" t="str">
            <v>3145000</v>
          </cell>
          <cell r="H515">
            <v>214.4838</v>
          </cell>
          <cell r="I515">
            <v>220.3819</v>
          </cell>
          <cell r="J515" t="str">
            <v>Income Statement</v>
          </cell>
          <cell r="K515" t="str">
            <v>Operating expenses</v>
          </cell>
          <cell r="L515" t="str">
            <v>Employee cost</v>
          </cell>
          <cell r="N515">
            <v>4393.5644442669754</v>
          </cell>
          <cell r="O515">
            <v>40940</v>
          </cell>
        </row>
        <row r="516">
          <cell r="G516" t="str">
            <v>3148000</v>
          </cell>
          <cell r="H516">
            <v>214.4838</v>
          </cell>
          <cell r="I516">
            <v>220.3819</v>
          </cell>
          <cell r="J516" t="str">
            <v>Income Statement</v>
          </cell>
          <cell r="K516" t="str">
            <v>Operating expenses</v>
          </cell>
          <cell r="L516" t="str">
            <v>Employee cost</v>
          </cell>
          <cell r="N516">
            <v>7242.7822339311897</v>
          </cell>
          <cell r="O516">
            <v>40940</v>
          </cell>
        </row>
        <row r="517">
          <cell r="G517" t="str">
            <v>3148000</v>
          </cell>
          <cell r="H517">
            <v>214.4838</v>
          </cell>
          <cell r="I517">
            <v>220.3819</v>
          </cell>
          <cell r="J517" t="str">
            <v>Income Statement</v>
          </cell>
          <cell r="K517" t="str">
            <v>Operating expenses</v>
          </cell>
          <cell r="L517" t="str">
            <v>Employee cost</v>
          </cell>
          <cell r="N517">
            <v>587.09649022900703</v>
          </cell>
          <cell r="O517">
            <v>40940</v>
          </cell>
        </row>
        <row r="518">
          <cell r="G518" t="str">
            <v>3148000</v>
          </cell>
          <cell r="H518">
            <v>214.4838</v>
          </cell>
          <cell r="I518">
            <v>220.3819</v>
          </cell>
          <cell r="J518" t="str">
            <v>Income Statement</v>
          </cell>
          <cell r="K518" t="str">
            <v>Operating expenses</v>
          </cell>
          <cell r="L518" t="str">
            <v>Employee cost</v>
          </cell>
          <cell r="N518">
            <v>4957.0940263243037</v>
          </cell>
          <cell r="O518">
            <v>40940</v>
          </cell>
        </row>
        <row r="519">
          <cell r="G519" t="str">
            <v>3148000</v>
          </cell>
          <cell r="H519">
            <v>214.4838</v>
          </cell>
          <cell r="I519">
            <v>220.3819</v>
          </cell>
          <cell r="J519" t="str">
            <v>Income Statement</v>
          </cell>
          <cell r="K519" t="str">
            <v>Operating expenses</v>
          </cell>
          <cell r="L519" t="str">
            <v>Employee cost</v>
          </cell>
          <cell r="N519">
            <v>5316.7106736079504</v>
          </cell>
          <cell r="O519">
            <v>40940</v>
          </cell>
        </row>
        <row r="520">
          <cell r="G520" t="str">
            <v>3148000</v>
          </cell>
          <cell r="H520">
            <v>214.4838</v>
          </cell>
          <cell r="I520">
            <v>220.3819</v>
          </cell>
          <cell r="J520" t="str">
            <v>Income Statement</v>
          </cell>
          <cell r="K520" t="str">
            <v>Operating expenses</v>
          </cell>
          <cell r="L520" t="str">
            <v>Employee cost</v>
          </cell>
          <cell r="N520">
            <v>6480.4673614303165</v>
          </cell>
          <cell r="O520">
            <v>40940</v>
          </cell>
        </row>
        <row r="521">
          <cell r="G521" t="str">
            <v>3148000</v>
          </cell>
          <cell r="H521">
            <v>214.4838</v>
          </cell>
          <cell r="I521">
            <v>220.3819</v>
          </cell>
          <cell r="J521" t="str">
            <v>Income Statement</v>
          </cell>
          <cell r="K521" t="str">
            <v>Operating expenses</v>
          </cell>
          <cell r="L521" t="str">
            <v>Employee cost</v>
          </cell>
          <cell r="N521">
            <v>8059.3634958224793</v>
          </cell>
          <cell r="O521">
            <v>40940</v>
          </cell>
        </row>
        <row r="522">
          <cell r="G522" t="str">
            <v>3148000</v>
          </cell>
          <cell r="H522">
            <v>214.4838</v>
          </cell>
          <cell r="I522">
            <v>220.3819</v>
          </cell>
          <cell r="J522" t="str">
            <v>Income Statement</v>
          </cell>
          <cell r="K522" t="str">
            <v>Operating expenses</v>
          </cell>
          <cell r="L522" t="str">
            <v>Employee cost</v>
          </cell>
          <cell r="N522">
            <v>6644.496077037179</v>
          </cell>
          <cell r="O522">
            <v>40940</v>
          </cell>
        </row>
        <row r="523">
          <cell r="G523" t="str">
            <v>3148000</v>
          </cell>
          <cell r="H523">
            <v>214.4838</v>
          </cell>
          <cell r="I523">
            <v>220.3819</v>
          </cell>
          <cell r="J523" t="str">
            <v>Income Statement</v>
          </cell>
          <cell r="K523" t="str">
            <v>Operating expenses</v>
          </cell>
          <cell r="L523" t="str">
            <v>Employee cost</v>
          </cell>
          <cell r="N523">
            <v>8186.6298457359699</v>
          </cell>
          <cell r="O523">
            <v>40940</v>
          </cell>
        </row>
        <row r="524">
          <cell r="G524" t="str">
            <v>3148000</v>
          </cell>
          <cell r="H524">
            <v>214.4838</v>
          </cell>
          <cell r="I524">
            <v>220.3819</v>
          </cell>
          <cell r="J524" t="str">
            <v>Income Statement</v>
          </cell>
          <cell r="K524" t="str">
            <v>Operating expenses</v>
          </cell>
          <cell r="L524" t="str">
            <v>Employee cost</v>
          </cell>
          <cell r="N524">
            <v>7733.4806533567416</v>
          </cell>
          <cell r="O524">
            <v>40940</v>
          </cell>
        </row>
        <row r="525">
          <cell r="G525" t="str">
            <v>3148000</v>
          </cell>
          <cell r="H525">
            <v>214.4838</v>
          </cell>
          <cell r="I525">
            <v>220.3819</v>
          </cell>
          <cell r="J525" t="str">
            <v>Income Statement</v>
          </cell>
          <cell r="K525" t="str">
            <v>Operating expenses</v>
          </cell>
          <cell r="L525" t="str">
            <v>Employee cost</v>
          </cell>
          <cell r="N525">
            <v>45822.769338135302</v>
          </cell>
          <cell r="O525">
            <v>40940</v>
          </cell>
        </row>
        <row r="526">
          <cell r="G526" t="str">
            <v>3148000</v>
          </cell>
          <cell r="H526">
            <v>214.4838</v>
          </cell>
          <cell r="I526">
            <v>220.3819</v>
          </cell>
          <cell r="J526" t="str">
            <v>Income Statement</v>
          </cell>
          <cell r="K526" t="str">
            <v>Operating expenses</v>
          </cell>
          <cell r="L526" t="str">
            <v>Employee cost</v>
          </cell>
          <cell r="N526">
            <v>3880.2207440810703</v>
          </cell>
          <cell r="O526">
            <v>40940</v>
          </cell>
        </row>
        <row r="527">
          <cell r="G527" t="str">
            <v>3153000</v>
          </cell>
          <cell r="H527">
            <v>214.4838</v>
          </cell>
          <cell r="I527">
            <v>220.3819</v>
          </cell>
          <cell r="J527" t="str">
            <v>Income Statement</v>
          </cell>
          <cell r="K527" t="str">
            <v>Operating expenses</v>
          </cell>
          <cell r="L527" t="str">
            <v>Employee cost</v>
          </cell>
          <cell r="N527">
            <v>1333.0314331621607</v>
          </cell>
          <cell r="O527">
            <v>40940</v>
          </cell>
        </row>
        <row r="528">
          <cell r="G528" t="str">
            <v>3153000</v>
          </cell>
          <cell r="H528">
            <v>214.4838</v>
          </cell>
          <cell r="I528">
            <v>220.3819</v>
          </cell>
          <cell r="J528" t="str">
            <v>Income Statement</v>
          </cell>
          <cell r="K528" t="str">
            <v>Operating expenses</v>
          </cell>
          <cell r="L528" t="str">
            <v>Employee cost</v>
          </cell>
          <cell r="N528">
            <v>1958.5728229042404</v>
          </cell>
          <cell r="O528">
            <v>40940</v>
          </cell>
        </row>
        <row r="529">
          <cell r="G529" t="str">
            <v>3153000</v>
          </cell>
          <cell r="H529">
            <v>214.4838</v>
          </cell>
          <cell r="I529">
            <v>220.3819</v>
          </cell>
          <cell r="J529" t="str">
            <v>Income Statement</v>
          </cell>
          <cell r="K529" t="str">
            <v>Operating expenses</v>
          </cell>
          <cell r="L529" t="str">
            <v>Employee cost</v>
          </cell>
          <cell r="N529">
            <v>1847.2592349916213</v>
          </cell>
          <cell r="O529">
            <v>40940</v>
          </cell>
        </row>
        <row r="530">
          <cell r="G530" t="str">
            <v>3153000</v>
          </cell>
          <cell r="H530">
            <v>214.4838</v>
          </cell>
          <cell r="I530">
            <v>220.3819</v>
          </cell>
          <cell r="J530" t="str">
            <v>Income Statement</v>
          </cell>
          <cell r="K530" t="str">
            <v>Operating expenses</v>
          </cell>
          <cell r="L530" t="str">
            <v>Employee cost</v>
          </cell>
          <cell r="N530">
            <v>1616.0957410749249</v>
          </cell>
          <cell r="O530">
            <v>40940</v>
          </cell>
        </row>
        <row r="531">
          <cell r="G531" t="str">
            <v>3153000</v>
          </cell>
          <cell r="H531">
            <v>214.4838</v>
          </cell>
          <cell r="I531">
            <v>220.3819</v>
          </cell>
          <cell r="J531" t="str">
            <v>Income Statement</v>
          </cell>
          <cell r="K531" t="str">
            <v>Operating expenses</v>
          </cell>
          <cell r="L531" t="str">
            <v>Employee cost</v>
          </cell>
          <cell r="N531">
            <v>3315.6425278119482</v>
          </cell>
          <cell r="O531">
            <v>40940</v>
          </cell>
        </row>
        <row r="532">
          <cell r="G532" t="str">
            <v>3153000</v>
          </cell>
          <cell r="H532">
            <v>214.4838</v>
          </cell>
          <cell r="I532">
            <v>220.3819</v>
          </cell>
          <cell r="J532" t="str">
            <v>Income Statement</v>
          </cell>
          <cell r="K532" t="str">
            <v>Operating expenses</v>
          </cell>
          <cell r="L532" t="str">
            <v>Employee cost</v>
          </cell>
          <cell r="N532">
            <v>2555.0907311353608</v>
          </cell>
          <cell r="O532">
            <v>40940</v>
          </cell>
        </row>
        <row r="533">
          <cell r="G533" t="str">
            <v>3153000</v>
          </cell>
          <cell r="H533">
            <v>214.4838</v>
          </cell>
          <cell r="I533">
            <v>220.3819</v>
          </cell>
          <cell r="J533" t="str">
            <v>Income Statement</v>
          </cell>
          <cell r="K533" t="str">
            <v>Operating expenses</v>
          </cell>
          <cell r="L533" t="str">
            <v>Employee cost</v>
          </cell>
          <cell r="N533">
            <v>1272.9357537982928</v>
          </cell>
          <cell r="O533">
            <v>40940</v>
          </cell>
        </row>
        <row r="534">
          <cell r="G534" t="str">
            <v>3153000</v>
          </cell>
          <cell r="H534">
            <v>214.4838</v>
          </cell>
          <cell r="I534">
            <v>220.3819</v>
          </cell>
          <cell r="J534" t="str">
            <v>Income Statement</v>
          </cell>
          <cell r="K534" t="str">
            <v>Operating expenses</v>
          </cell>
          <cell r="L534" t="str">
            <v>Employee cost</v>
          </cell>
          <cell r="N534">
            <v>1826.0891661248043</v>
          </cell>
          <cell r="O534">
            <v>40940</v>
          </cell>
        </row>
        <row r="535">
          <cell r="G535" t="str">
            <v>3153000</v>
          </cell>
          <cell r="H535">
            <v>214.4838</v>
          </cell>
          <cell r="I535">
            <v>220.3819</v>
          </cell>
          <cell r="J535" t="str">
            <v>Income Statement</v>
          </cell>
          <cell r="K535" t="str">
            <v>Operating expenses</v>
          </cell>
          <cell r="L535" t="str">
            <v>Employee cost</v>
          </cell>
          <cell r="N535">
            <v>8872.2460419843919</v>
          </cell>
          <cell r="O535">
            <v>40940</v>
          </cell>
        </row>
        <row r="536">
          <cell r="G536" t="str">
            <v>3153000</v>
          </cell>
          <cell r="H536">
            <v>214.4838</v>
          </cell>
          <cell r="I536">
            <v>220.3819</v>
          </cell>
          <cell r="J536" t="str">
            <v>Income Statement</v>
          </cell>
          <cell r="K536" t="str">
            <v>Operating expenses</v>
          </cell>
          <cell r="L536" t="str">
            <v>Employee cost</v>
          </cell>
          <cell r="N536">
            <v>4359.679311232002</v>
          </cell>
          <cell r="O536">
            <v>40940</v>
          </cell>
        </row>
        <row r="537">
          <cell r="G537" t="str">
            <v>3195000</v>
          </cell>
          <cell r="H537">
            <v>214.4838</v>
          </cell>
          <cell r="I537">
            <v>220.3819</v>
          </cell>
          <cell r="J537" t="str">
            <v>Income Statement</v>
          </cell>
          <cell r="K537" t="str">
            <v>Operating expenses</v>
          </cell>
          <cell r="L537" t="str">
            <v>Employee cost</v>
          </cell>
          <cell r="N537">
            <v>447011.64732675412</v>
          </cell>
          <cell r="O537">
            <v>40940</v>
          </cell>
        </row>
        <row r="538">
          <cell r="G538" t="str">
            <v>3197000</v>
          </cell>
          <cell r="H538">
            <v>214.4838</v>
          </cell>
          <cell r="I538">
            <v>220.3819</v>
          </cell>
          <cell r="J538" t="str">
            <v>Income Statement</v>
          </cell>
          <cell r="K538" t="str">
            <v>Operating expenses</v>
          </cell>
          <cell r="L538" t="str">
            <v>Employee cost</v>
          </cell>
          <cell r="N538">
            <v>37165.404010038932</v>
          </cell>
          <cell r="O538">
            <v>40940</v>
          </cell>
        </row>
        <row r="539">
          <cell r="G539" t="str">
            <v>3199000</v>
          </cell>
          <cell r="H539">
            <v>214.4838</v>
          </cell>
          <cell r="I539">
            <v>220.3819</v>
          </cell>
          <cell r="J539" t="str">
            <v>Income Statement</v>
          </cell>
          <cell r="K539" t="str">
            <v>Operating expenses</v>
          </cell>
          <cell r="L539" t="str">
            <v>Employee cost</v>
          </cell>
          <cell r="N539">
            <v>1406.1953363683679</v>
          </cell>
          <cell r="O539">
            <v>40940</v>
          </cell>
        </row>
        <row r="540">
          <cell r="G540" t="str">
            <v>3203000</v>
          </cell>
          <cell r="H540">
            <v>214.4838</v>
          </cell>
          <cell r="I540">
            <v>220.3819</v>
          </cell>
          <cell r="J540" t="str">
            <v>Income Statement</v>
          </cell>
          <cell r="K540" t="str">
            <v>Operating expenses</v>
          </cell>
          <cell r="L540" t="str">
            <v>Depreciation</v>
          </cell>
          <cell r="M540" t="str">
            <v>Furniture &amp; Fittings</v>
          </cell>
          <cell r="N540">
            <v>274563.0926133226</v>
          </cell>
          <cell r="O540">
            <v>40940</v>
          </cell>
        </row>
        <row r="541">
          <cell r="G541" t="str">
            <v>3204000</v>
          </cell>
          <cell r="H541">
            <v>214.4838</v>
          </cell>
          <cell r="I541">
            <v>220.3819</v>
          </cell>
          <cell r="J541" t="str">
            <v>Income Statement</v>
          </cell>
          <cell r="K541" t="str">
            <v>Operating expenses</v>
          </cell>
          <cell r="L541" t="str">
            <v>Depreciation</v>
          </cell>
          <cell r="M541" t="str">
            <v>Vehicles</v>
          </cell>
          <cell r="N541">
            <v>70766.311026449999</v>
          </cell>
          <cell r="O541">
            <v>40940</v>
          </cell>
        </row>
        <row r="542">
          <cell r="G542" t="str">
            <v>3205000</v>
          </cell>
          <cell r="H542">
            <v>214.4838</v>
          </cell>
          <cell r="I542">
            <v>220.3819</v>
          </cell>
          <cell r="J542" t="str">
            <v>Income Statement</v>
          </cell>
          <cell r="K542" t="str">
            <v>Operating expenses</v>
          </cell>
          <cell r="L542" t="str">
            <v>Depreciation</v>
          </cell>
          <cell r="M542" t="str">
            <v>IT Equipment</v>
          </cell>
          <cell r="N542">
            <v>64684.157591889358</v>
          </cell>
          <cell r="O542">
            <v>40940</v>
          </cell>
        </row>
        <row r="543">
          <cell r="G543" t="str">
            <v>3302000</v>
          </cell>
          <cell r="H543">
            <v>214.4838</v>
          </cell>
          <cell r="I543">
            <v>220.3819</v>
          </cell>
          <cell r="J543" t="str">
            <v>Income Statement</v>
          </cell>
          <cell r="K543" t="str">
            <v>Operating expenses</v>
          </cell>
          <cell r="L543" t="str">
            <v>Lease rentals on operating lease</v>
          </cell>
          <cell r="M543" t="str">
            <v>Premisis</v>
          </cell>
          <cell r="N543">
            <v>190422.16307237573</v>
          </cell>
          <cell r="O543">
            <v>40940</v>
          </cell>
        </row>
        <row r="544">
          <cell r="G544" t="str">
            <v>3302000</v>
          </cell>
          <cell r="H544">
            <v>214.4838</v>
          </cell>
          <cell r="I544">
            <v>220.3819</v>
          </cell>
          <cell r="J544" t="str">
            <v>Income Statement</v>
          </cell>
          <cell r="K544" t="str">
            <v>Operating expenses</v>
          </cell>
          <cell r="L544" t="str">
            <v>Lease rentals on operating lease</v>
          </cell>
          <cell r="M544" t="str">
            <v>Premisis</v>
          </cell>
          <cell r="N544">
            <v>27767.706876109154</v>
          </cell>
          <cell r="O544">
            <v>40940</v>
          </cell>
        </row>
        <row r="545">
          <cell r="G545" t="str">
            <v>3302000</v>
          </cell>
          <cell r="H545">
            <v>214.4838</v>
          </cell>
          <cell r="I545">
            <v>220.3819</v>
          </cell>
          <cell r="J545" t="str">
            <v>Income Statement</v>
          </cell>
          <cell r="K545" t="str">
            <v>Operating expenses</v>
          </cell>
          <cell r="L545" t="str">
            <v>Lease rentals on operating lease</v>
          </cell>
          <cell r="M545" t="str">
            <v>Premisis</v>
          </cell>
          <cell r="N545">
            <v>7955.8862138859868</v>
          </cell>
          <cell r="O545">
            <v>40940</v>
          </cell>
        </row>
        <row r="546">
          <cell r="G546" t="str">
            <v>3302000</v>
          </cell>
          <cell r="H546">
            <v>214.4838</v>
          </cell>
          <cell r="I546">
            <v>220.3819</v>
          </cell>
          <cell r="J546" t="str">
            <v>Income Statement</v>
          </cell>
          <cell r="K546" t="str">
            <v>Operating expenses</v>
          </cell>
          <cell r="L546" t="str">
            <v>Lease rentals on operating lease</v>
          </cell>
          <cell r="M546" t="str">
            <v>Premisis</v>
          </cell>
          <cell r="N546">
            <v>22526.891682120902</v>
          </cell>
          <cell r="O546">
            <v>40940</v>
          </cell>
        </row>
        <row r="547">
          <cell r="G547" t="str">
            <v>3302000</v>
          </cell>
          <cell r="H547">
            <v>214.4838</v>
          </cell>
          <cell r="I547">
            <v>220.3819</v>
          </cell>
          <cell r="J547" t="str">
            <v>Income Statement</v>
          </cell>
          <cell r="K547" t="str">
            <v>Operating expenses</v>
          </cell>
          <cell r="L547" t="str">
            <v>Lease rentals on operating lease</v>
          </cell>
          <cell r="M547" t="str">
            <v>Premisis</v>
          </cell>
          <cell r="N547">
            <v>95782.129703029146</v>
          </cell>
          <cell r="O547">
            <v>40940</v>
          </cell>
        </row>
        <row r="548">
          <cell r="G548" t="str">
            <v>3302000</v>
          </cell>
          <cell r="H548">
            <v>214.4838</v>
          </cell>
          <cell r="I548">
            <v>220.3819</v>
          </cell>
          <cell r="J548" t="str">
            <v>Income Statement</v>
          </cell>
          <cell r="K548" t="str">
            <v>Operating expenses</v>
          </cell>
          <cell r="L548" t="str">
            <v>Lease rentals on operating lease</v>
          </cell>
          <cell r="M548" t="str">
            <v>Premisis</v>
          </cell>
          <cell r="N548">
            <v>79719.932489918647</v>
          </cell>
          <cell r="O548">
            <v>40940</v>
          </cell>
        </row>
        <row r="549">
          <cell r="G549" t="str">
            <v>3302000</v>
          </cell>
          <cell r="H549">
            <v>214.4838</v>
          </cell>
          <cell r="I549">
            <v>220.3819</v>
          </cell>
          <cell r="J549" t="str">
            <v>Income Statement</v>
          </cell>
          <cell r="K549" t="str">
            <v>Operating expenses</v>
          </cell>
          <cell r="L549" t="str">
            <v>Lease rentals on operating lease</v>
          </cell>
          <cell r="M549" t="str">
            <v>Premisis</v>
          </cell>
          <cell r="N549">
            <v>44180.19492526383</v>
          </cell>
          <cell r="O549">
            <v>40940</v>
          </cell>
        </row>
        <row r="550">
          <cell r="G550" t="str">
            <v>3302000</v>
          </cell>
          <cell r="H550">
            <v>214.4838</v>
          </cell>
          <cell r="I550">
            <v>220.3819</v>
          </cell>
          <cell r="J550" t="str">
            <v>Income Statement</v>
          </cell>
          <cell r="K550" t="str">
            <v>Operating expenses</v>
          </cell>
          <cell r="L550" t="str">
            <v>Lease rentals on operating lease</v>
          </cell>
          <cell r="M550" t="str">
            <v>Premisis</v>
          </cell>
          <cell r="N550">
            <v>106662.63586074901</v>
          </cell>
          <cell r="O550">
            <v>40940</v>
          </cell>
        </row>
        <row r="551">
          <cell r="G551" t="str">
            <v>3302000</v>
          </cell>
          <cell r="H551">
            <v>214.4838</v>
          </cell>
          <cell r="I551">
            <v>220.3819</v>
          </cell>
          <cell r="J551" t="str">
            <v>Income Statement</v>
          </cell>
          <cell r="K551" t="str">
            <v>Operating expenses</v>
          </cell>
          <cell r="L551" t="str">
            <v>Lease rentals on operating lease</v>
          </cell>
          <cell r="M551" t="str">
            <v>Premisis</v>
          </cell>
          <cell r="N551">
            <v>220751.09330666446</v>
          </cell>
          <cell r="O551">
            <v>40940</v>
          </cell>
        </row>
        <row r="552">
          <cell r="G552" t="str">
            <v>3302000</v>
          </cell>
          <cell r="H552">
            <v>214.4838</v>
          </cell>
          <cell r="I552">
            <v>220.3819</v>
          </cell>
          <cell r="J552" t="str">
            <v>Income Statement</v>
          </cell>
          <cell r="K552" t="str">
            <v>Operating expenses</v>
          </cell>
          <cell r="L552" t="str">
            <v>Lease rentals on operating lease</v>
          </cell>
          <cell r="M552" t="str">
            <v>Premisis</v>
          </cell>
          <cell r="N552">
            <v>483565.08519982809</v>
          </cell>
          <cell r="O552">
            <v>40940</v>
          </cell>
        </row>
        <row r="553">
          <cell r="G553" t="str">
            <v>3302000</v>
          </cell>
          <cell r="H553">
            <v>214.4838</v>
          </cell>
          <cell r="I553">
            <v>220.3819</v>
          </cell>
          <cell r="J553" t="str">
            <v>Income Statement</v>
          </cell>
          <cell r="K553" t="str">
            <v>Operating expenses</v>
          </cell>
          <cell r="L553" t="str">
            <v>Lease rentals on operating lease</v>
          </cell>
          <cell r="M553" t="str">
            <v>Premisis</v>
          </cell>
          <cell r="N553">
            <v>334988.83792180754</v>
          </cell>
          <cell r="O553">
            <v>40940</v>
          </cell>
        </row>
        <row r="554">
          <cell r="G554" t="str">
            <v>3305000</v>
          </cell>
          <cell r="H554">
            <v>214.4838</v>
          </cell>
          <cell r="I554">
            <v>220.3819</v>
          </cell>
          <cell r="J554" t="str">
            <v>Income Statement</v>
          </cell>
          <cell r="K554" t="str">
            <v>Operating expenses</v>
          </cell>
          <cell r="L554" t="str">
            <v>Lease rentals on operating lease</v>
          </cell>
          <cell r="M554" t="str">
            <v>IT Equipment</v>
          </cell>
          <cell r="N554">
            <v>32763.126191397751</v>
          </cell>
          <cell r="O554">
            <v>40940</v>
          </cell>
        </row>
        <row r="555">
          <cell r="G555" t="str">
            <v>3305000</v>
          </cell>
          <cell r="H555">
            <v>214.4838</v>
          </cell>
          <cell r="I555">
            <v>220.3819</v>
          </cell>
          <cell r="J555" t="str">
            <v>Income Statement</v>
          </cell>
          <cell r="K555" t="str">
            <v>Operating expenses</v>
          </cell>
          <cell r="L555" t="str">
            <v>Lease rentals on operating lease</v>
          </cell>
          <cell r="M555" t="str">
            <v>IT Equipment</v>
          </cell>
          <cell r="N555">
            <v>1497.4006486013598</v>
          </cell>
          <cell r="O555">
            <v>40940</v>
          </cell>
        </row>
        <row r="556">
          <cell r="G556" t="str">
            <v>3305000</v>
          </cell>
          <cell r="H556">
            <v>214.4838</v>
          </cell>
          <cell r="I556">
            <v>220.3819</v>
          </cell>
          <cell r="J556" t="str">
            <v>Income Statement</v>
          </cell>
          <cell r="K556" t="str">
            <v>Operating expenses</v>
          </cell>
          <cell r="L556" t="str">
            <v>Lease rentals on operating lease</v>
          </cell>
          <cell r="M556" t="str">
            <v>IT Equipment</v>
          </cell>
          <cell r="N556">
            <v>33895.705591067141</v>
          </cell>
          <cell r="O556">
            <v>40940</v>
          </cell>
        </row>
        <row r="557">
          <cell r="G557" t="str">
            <v>3305000</v>
          </cell>
          <cell r="H557">
            <v>214.4838</v>
          </cell>
          <cell r="I557">
            <v>220.3819</v>
          </cell>
          <cell r="J557" t="str">
            <v>Income Statement</v>
          </cell>
          <cell r="K557" t="str">
            <v>Operating expenses</v>
          </cell>
          <cell r="L557" t="str">
            <v>Lease rentals on operating lease</v>
          </cell>
          <cell r="M557" t="str">
            <v>IT Equipment</v>
          </cell>
          <cell r="N557">
            <v>2994.8012972027195</v>
          </cell>
          <cell r="O557">
            <v>40940</v>
          </cell>
        </row>
        <row r="558">
          <cell r="G558" t="str">
            <v>3305000</v>
          </cell>
          <cell r="H558">
            <v>214.4838</v>
          </cell>
          <cell r="I558">
            <v>220.3819</v>
          </cell>
          <cell r="J558" t="str">
            <v>Income Statement</v>
          </cell>
          <cell r="K558" t="str">
            <v>Operating expenses</v>
          </cell>
          <cell r="L558" t="str">
            <v>Lease rentals on operating lease</v>
          </cell>
          <cell r="M558" t="str">
            <v>IT Equipment</v>
          </cell>
          <cell r="N558">
            <v>4492.2019458040795</v>
          </cell>
          <cell r="O558">
            <v>40940</v>
          </cell>
        </row>
        <row r="559">
          <cell r="G559" t="str">
            <v>3305000</v>
          </cell>
          <cell r="H559">
            <v>214.4838</v>
          </cell>
          <cell r="I559">
            <v>220.3819</v>
          </cell>
          <cell r="J559" t="str">
            <v>Income Statement</v>
          </cell>
          <cell r="K559" t="str">
            <v>Operating expenses</v>
          </cell>
          <cell r="L559" t="str">
            <v>Lease rentals on operating lease</v>
          </cell>
          <cell r="M559" t="str">
            <v>IT Equipment</v>
          </cell>
          <cell r="N559">
            <v>13982.83615850485</v>
          </cell>
          <cell r="O559">
            <v>40940</v>
          </cell>
        </row>
        <row r="560">
          <cell r="G560" t="str">
            <v>3305000</v>
          </cell>
          <cell r="H560">
            <v>214.4838</v>
          </cell>
          <cell r="I560">
            <v>220.3819</v>
          </cell>
          <cell r="J560" t="str">
            <v>Income Statement</v>
          </cell>
          <cell r="K560" t="str">
            <v>Operating expenses</v>
          </cell>
          <cell r="L560" t="str">
            <v>Lease rentals on operating lease</v>
          </cell>
          <cell r="M560" t="str">
            <v>IT Equipment</v>
          </cell>
          <cell r="N560">
            <v>27372.483856432857</v>
          </cell>
          <cell r="O560">
            <v>40940</v>
          </cell>
        </row>
        <row r="561">
          <cell r="G561" t="str">
            <v>3305000</v>
          </cell>
          <cell r="H561">
            <v>214.4838</v>
          </cell>
          <cell r="I561">
            <v>220.3819</v>
          </cell>
          <cell r="J561" t="str">
            <v>Income Statement</v>
          </cell>
          <cell r="K561" t="str">
            <v>Operating expenses</v>
          </cell>
          <cell r="L561" t="str">
            <v>Lease rentals on operating lease</v>
          </cell>
          <cell r="M561" t="str">
            <v>IT Equipment</v>
          </cell>
          <cell r="N561">
            <v>16471.407134614958</v>
          </cell>
          <cell r="O561">
            <v>40940</v>
          </cell>
        </row>
        <row r="562">
          <cell r="G562" t="str">
            <v>3305000</v>
          </cell>
          <cell r="H562">
            <v>214.4838</v>
          </cell>
          <cell r="I562">
            <v>220.3819</v>
          </cell>
          <cell r="J562" t="str">
            <v>Income Statement</v>
          </cell>
          <cell r="K562" t="str">
            <v>Operating expenses</v>
          </cell>
          <cell r="L562" t="str">
            <v>Lease rentals on operating lease</v>
          </cell>
          <cell r="M562" t="str">
            <v>IT Equipment</v>
          </cell>
          <cell r="N562">
            <v>27462.327895348939</v>
          </cell>
          <cell r="O562">
            <v>40940</v>
          </cell>
        </row>
        <row r="563">
          <cell r="G563" t="str">
            <v>3305000</v>
          </cell>
          <cell r="H563">
            <v>214.4838</v>
          </cell>
          <cell r="I563">
            <v>220.3819</v>
          </cell>
          <cell r="J563" t="str">
            <v>Income Statement</v>
          </cell>
          <cell r="K563" t="str">
            <v>Operating expenses</v>
          </cell>
          <cell r="L563" t="str">
            <v>Lease rentals on operating lease</v>
          </cell>
          <cell r="M563" t="str">
            <v>IT Equipment</v>
          </cell>
          <cell r="N563">
            <v>124013.48413821644</v>
          </cell>
          <cell r="O563">
            <v>40940</v>
          </cell>
        </row>
        <row r="564">
          <cell r="G564" t="str">
            <v>3401000</v>
          </cell>
          <cell r="H564">
            <v>214.4838</v>
          </cell>
          <cell r="I564">
            <v>220.3819</v>
          </cell>
          <cell r="J564" t="str">
            <v>Income Statement</v>
          </cell>
          <cell r="K564" t="str">
            <v>Operating expenses</v>
          </cell>
          <cell r="L564" t="str">
            <v>Accounting fees</v>
          </cell>
          <cell r="N564">
            <v>19970.964040150302</v>
          </cell>
          <cell r="O564">
            <v>40940</v>
          </cell>
        </row>
        <row r="565">
          <cell r="G565" t="str">
            <v>3401000</v>
          </cell>
          <cell r="H565">
            <v>214.4838</v>
          </cell>
          <cell r="I565">
            <v>220.3819</v>
          </cell>
          <cell r="J565" t="str">
            <v>Income Statement</v>
          </cell>
          <cell r="K565" t="str">
            <v>Operating expenses</v>
          </cell>
          <cell r="L565" t="str">
            <v>Accounting fees</v>
          </cell>
          <cell r="N565">
            <v>0.41223893613767743</v>
          </cell>
          <cell r="O565">
            <v>40940</v>
          </cell>
        </row>
        <row r="566">
          <cell r="G566" t="str">
            <v>3404000</v>
          </cell>
          <cell r="H566">
            <v>214.4838</v>
          </cell>
          <cell r="I566">
            <v>220.3819</v>
          </cell>
          <cell r="J566" t="str">
            <v>Income Statement</v>
          </cell>
          <cell r="K566" t="str">
            <v>Operating expenses</v>
          </cell>
          <cell r="L566" t="str">
            <v>Bank Charges</v>
          </cell>
          <cell r="N566">
            <v>581.26361556915515</v>
          </cell>
          <cell r="O566">
            <v>40940</v>
          </cell>
        </row>
        <row r="567">
          <cell r="G567" t="str">
            <v>3404000</v>
          </cell>
          <cell r="H567">
            <v>214.4838</v>
          </cell>
          <cell r="I567">
            <v>220.3819</v>
          </cell>
          <cell r="J567" t="str">
            <v>Income Statement</v>
          </cell>
          <cell r="K567" t="str">
            <v>Operating expenses</v>
          </cell>
          <cell r="L567" t="str">
            <v>Bank Charges</v>
          </cell>
          <cell r="N567">
            <v>1743.3373158140482</v>
          </cell>
          <cell r="O567">
            <v>40940</v>
          </cell>
        </row>
        <row r="568">
          <cell r="G568" t="str">
            <v>3404000</v>
          </cell>
          <cell r="H568">
            <v>214.4838</v>
          </cell>
          <cell r="I568">
            <v>220.3819</v>
          </cell>
          <cell r="J568" t="str">
            <v>Income Statement</v>
          </cell>
          <cell r="K568" t="str">
            <v>Operating expenses</v>
          </cell>
          <cell r="L568" t="str">
            <v>Bank Charges</v>
          </cell>
          <cell r="N568">
            <v>1550.4902625850852</v>
          </cell>
          <cell r="O568">
            <v>40940</v>
          </cell>
        </row>
        <row r="569">
          <cell r="G569" t="str">
            <v>3404000</v>
          </cell>
          <cell r="H569">
            <v>214.4838</v>
          </cell>
          <cell r="I569">
            <v>220.3819</v>
          </cell>
          <cell r="J569" t="str">
            <v>Income Statement</v>
          </cell>
          <cell r="K569" t="str">
            <v>Operating expenses</v>
          </cell>
          <cell r="L569" t="str">
            <v>Bank Charges</v>
          </cell>
          <cell r="N569">
            <v>1549.1289438923975</v>
          </cell>
          <cell r="O569">
            <v>40940</v>
          </cell>
        </row>
        <row r="570">
          <cell r="G570" t="str">
            <v>3404000</v>
          </cell>
          <cell r="H570">
            <v>214.4838</v>
          </cell>
          <cell r="I570">
            <v>220.3819</v>
          </cell>
          <cell r="J570" t="str">
            <v>Income Statement</v>
          </cell>
          <cell r="K570" t="str">
            <v>Operating expenses</v>
          </cell>
          <cell r="L570" t="str">
            <v>Bank Charges</v>
          </cell>
          <cell r="N570">
            <v>2456.6445338750596</v>
          </cell>
          <cell r="O570">
            <v>40940</v>
          </cell>
        </row>
        <row r="571">
          <cell r="G571" t="str">
            <v>3404000</v>
          </cell>
          <cell r="H571">
            <v>214.4838</v>
          </cell>
          <cell r="I571">
            <v>220.3819</v>
          </cell>
          <cell r="J571" t="str">
            <v>Income Statement</v>
          </cell>
          <cell r="K571" t="str">
            <v>Operating expenses</v>
          </cell>
          <cell r="L571" t="str">
            <v>Bank Charges</v>
          </cell>
          <cell r="N571">
            <v>2271.5113173994778</v>
          </cell>
          <cell r="O571">
            <v>40940</v>
          </cell>
        </row>
        <row r="572">
          <cell r="G572" t="str">
            <v>3404000</v>
          </cell>
          <cell r="H572">
            <v>214.4838</v>
          </cell>
          <cell r="I572">
            <v>220.3819</v>
          </cell>
          <cell r="J572" t="str">
            <v>Income Statement</v>
          </cell>
          <cell r="K572" t="str">
            <v>Operating expenses</v>
          </cell>
          <cell r="L572" t="str">
            <v>Bank Charges</v>
          </cell>
          <cell r="N572">
            <v>3451.88030414476</v>
          </cell>
          <cell r="O572">
            <v>40940</v>
          </cell>
        </row>
        <row r="573">
          <cell r="G573" t="str">
            <v>3404000</v>
          </cell>
          <cell r="H573">
            <v>214.4838</v>
          </cell>
          <cell r="I573">
            <v>220.3819</v>
          </cell>
          <cell r="J573" t="str">
            <v>Income Statement</v>
          </cell>
          <cell r="K573" t="str">
            <v>Operating expenses</v>
          </cell>
          <cell r="L573" t="str">
            <v>Bank Charges</v>
          </cell>
          <cell r="N573">
            <v>1717.9522456245272</v>
          </cell>
          <cell r="O573">
            <v>40940</v>
          </cell>
        </row>
        <row r="574">
          <cell r="G574" t="str">
            <v>3404000</v>
          </cell>
          <cell r="H574">
            <v>214.4838</v>
          </cell>
          <cell r="I574">
            <v>220.3819</v>
          </cell>
          <cell r="J574" t="str">
            <v>Income Statement</v>
          </cell>
          <cell r="K574" t="str">
            <v>Operating expenses</v>
          </cell>
          <cell r="L574" t="str">
            <v>Bank Charges</v>
          </cell>
          <cell r="N574">
            <v>125061.01481110744</v>
          </cell>
          <cell r="O574">
            <v>40940</v>
          </cell>
        </row>
        <row r="575">
          <cell r="G575" t="str">
            <v>3405000</v>
          </cell>
          <cell r="H575">
            <v>214.4838</v>
          </cell>
          <cell r="I575">
            <v>220.3819</v>
          </cell>
          <cell r="J575" t="str">
            <v>Income Statement</v>
          </cell>
          <cell r="K575" t="str">
            <v>Operating expenses</v>
          </cell>
          <cell r="L575" t="str">
            <v>Cleaning</v>
          </cell>
          <cell r="N575">
            <v>1274.6055824003695</v>
          </cell>
          <cell r="O575">
            <v>40940</v>
          </cell>
        </row>
        <row r="576">
          <cell r="G576" t="str">
            <v>3405000</v>
          </cell>
          <cell r="H576">
            <v>214.4838</v>
          </cell>
          <cell r="I576">
            <v>220.3819</v>
          </cell>
          <cell r="J576" t="str">
            <v>Income Statement</v>
          </cell>
          <cell r="K576" t="str">
            <v>Operating expenses</v>
          </cell>
          <cell r="L576" t="str">
            <v>Cleaning</v>
          </cell>
          <cell r="N576">
            <v>1234.2211406653632</v>
          </cell>
          <cell r="O576">
            <v>40940</v>
          </cell>
        </row>
        <row r="577">
          <cell r="G577" t="str">
            <v>3405000</v>
          </cell>
          <cell r="H577">
            <v>214.4838</v>
          </cell>
          <cell r="I577">
            <v>220.3819</v>
          </cell>
          <cell r="J577" t="str">
            <v>Income Statement</v>
          </cell>
          <cell r="K577" t="str">
            <v>Operating expenses</v>
          </cell>
          <cell r="L577" t="str">
            <v>Cleaning</v>
          </cell>
          <cell r="N577">
            <v>6090.3368198568032</v>
          </cell>
          <cell r="O577">
            <v>40940</v>
          </cell>
        </row>
        <row r="578">
          <cell r="G578" t="str">
            <v>3405000</v>
          </cell>
          <cell r="H578">
            <v>214.4838</v>
          </cell>
          <cell r="I578">
            <v>220.3819</v>
          </cell>
          <cell r="J578" t="str">
            <v>Income Statement</v>
          </cell>
          <cell r="K578" t="str">
            <v>Operating expenses</v>
          </cell>
          <cell r="L578" t="str">
            <v>Cleaning</v>
          </cell>
          <cell r="N578">
            <v>1534.1550281579387</v>
          </cell>
          <cell r="O578">
            <v>40940</v>
          </cell>
        </row>
        <row r="579">
          <cell r="G579" t="str">
            <v>3405000</v>
          </cell>
          <cell r="H579">
            <v>214.4838</v>
          </cell>
          <cell r="I579">
            <v>220.3819</v>
          </cell>
          <cell r="J579" t="str">
            <v>Income Statement</v>
          </cell>
          <cell r="K579" t="str">
            <v>Operating expenses</v>
          </cell>
          <cell r="L579" t="str">
            <v>Cleaning</v>
          </cell>
          <cell r="N579">
            <v>5215.0380770834627</v>
          </cell>
          <cell r="O579">
            <v>40940</v>
          </cell>
        </row>
        <row r="580">
          <cell r="G580" t="str">
            <v>3405000</v>
          </cell>
          <cell r="H580">
            <v>214.4838</v>
          </cell>
          <cell r="I580">
            <v>220.3819</v>
          </cell>
          <cell r="J580" t="str">
            <v>Income Statement</v>
          </cell>
          <cell r="K580" t="str">
            <v>Operating expenses</v>
          </cell>
          <cell r="L580" t="str">
            <v>Cleaning</v>
          </cell>
          <cell r="N580">
            <v>2173.4997293334886</v>
          </cell>
          <cell r="O580">
            <v>40940</v>
          </cell>
        </row>
        <row r="581">
          <cell r="G581" t="str">
            <v>3405000</v>
          </cell>
          <cell r="H581">
            <v>214.4838</v>
          </cell>
          <cell r="I581">
            <v>220.3819</v>
          </cell>
          <cell r="J581" t="str">
            <v>Income Statement</v>
          </cell>
          <cell r="K581" t="str">
            <v>Operating expenses</v>
          </cell>
          <cell r="L581" t="str">
            <v>Cleaning</v>
          </cell>
          <cell r="N581">
            <v>2674.9020677287926</v>
          </cell>
          <cell r="O581">
            <v>40940</v>
          </cell>
        </row>
        <row r="582">
          <cell r="G582" t="str">
            <v>3405000</v>
          </cell>
          <cell r="H582">
            <v>214.4838</v>
          </cell>
          <cell r="I582">
            <v>220.3819</v>
          </cell>
          <cell r="J582" t="str">
            <v>Income Statement</v>
          </cell>
          <cell r="K582" t="str">
            <v>Operating expenses</v>
          </cell>
          <cell r="L582" t="str">
            <v>Cleaning</v>
          </cell>
          <cell r="N582">
            <v>1445.6722625587672</v>
          </cell>
          <cell r="O582">
            <v>40940</v>
          </cell>
        </row>
        <row r="583">
          <cell r="G583" t="str">
            <v>3405000</v>
          </cell>
          <cell r="H583">
            <v>214.4838</v>
          </cell>
          <cell r="I583">
            <v>220.3819</v>
          </cell>
          <cell r="J583" t="str">
            <v>Income Statement</v>
          </cell>
          <cell r="K583" t="str">
            <v>Operating expenses</v>
          </cell>
          <cell r="L583" t="str">
            <v>Cleaning</v>
          </cell>
          <cell r="N583">
            <v>3453.0966472291962</v>
          </cell>
          <cell r="O583">
            <v>40940</v>
          </cell>
        </row>
        <row r="584">
          <cell r="G584" t="str">
            <v>3405000</v>
          </cell>
          <cell r="H584">
            <v>214.4838</v>
          </cell>
          <cell r="I584">
            <v>220.3819</v>
          </cell>
          <cell r="J584" t="str">
            <v>Income Statement</v>
          </cell>
          <cell r="K584" t="str">
            <v>Operating expenses</v>
          </cell>
          <cell r="L584" t="str">
            <v>Cleaning</v>
          </cell>
          <cell r="N584">
            <v>26248.072096664924</v>
          </cell>
          <cell r="O584">
            <v>40940</v>
          </cell>
        </row>
        <row r="585">
          <cell r="G585" t="str">
            <v>3406000</v>
          </cell>
          <cell r="H585">
            <v>214.4838</v>
          </cell>
          <cell r="I585">
            <v>220.3819</v>
          </cell>
          <cell r="J585" t="str">
            <v>Income Statement</v>
          </cell>
          <cell r="K585" t="str">
            <v>Operating expenses</v>
          </cell>
          <cell r="L585" t="str">
            <v>Processing and collection costs</v>
          </cell>
          <cell r="N585">
            <v>8718.0480792660383</v>
          </cell>
          <cell r="O585">
            <v>40940</v>
          </cell>
        </row>
        <row r="586">
          <cell r="G586" t="str">
            <v>3406000</v>
          </cell>
          <cell r="H586">
            <v>214.4838</v>
          </cell>
          <cell r="I586">
            <v>220.3819</v>
          </cell>
          <cell r="J586" t="str">
            <v>Income Statement</v>
          </cell>
          <cell r="K586" t="str">
            <v>Operating expenses</v>
          </cell>
          <cell r="L586" t="str">
            <v>Processing and collection costs</v>
          </cell>
          <cell r="N586">
            <v>569.4660042408201</v>
          </cell>
          <cell r="O586">
            <v>40940</v>
          </cell>
        </row>
        <row r="587">
          <cell r="G587" t="str">
            <v>3406000</v>
          </cell>
          <cell r="H587">
            <v>214.4838</v>
          </cell>
          <cell r="I587">
            <v>220.3819</v>
          </cell>
          <cell r="J587" t="str">
            <v>Income Statement</v>
          </cell>
          <cell r="K587" t="str">
            <v>Operating expenses</v>
          </cell>
          <cell r="L587" t="str">
            <v>Processing and collection costs</v>
          </cell>
          <cell r="N587">
            <v>6867.6238838126001</v>
          </cell>
          <cell r="O587">
            <v>40940</v>
          </cell>
        </row>
        <row r="588">
          <cell r="G588" t="str">
            <v>3406000</v>
          </cell>
          <cell r="H588">
            <v>214.4838</v>
          </cell>
          <cell r="I588">
            <v>220.3819</v>
          </cell>
          <cell r="J588" t="str">
            <v>Income Statement</v>
          </cell>
          <cell r="K588" t="str">
            <v>Operating expenses</v>
          </cell>
          <cell r="L588" t="str">
            <v>Processing and collection costs</v>
          </cell>
          <cell r="N588">
            <v>2894.974587295962</v>
          </cell>
          <cell r="O588">
            <v>40940</v>
          </cell>
        </row>
        <row r="589">
          <cell r="G589" t="str">
            <v>3406000</v>
          </cell>
          <cell r="H589">
            <v>214.4838</v>
          </cell>
          <cell r="I589">
            <v>220.3819</v>
          </cell>
          <cell r="J589" t="str">
            <v>Income Statement</v>
          </cell>
          <cell r="K589" t="str">
            <v>Operating expenses</v>
          </cell>
          <cell r="L589" t="str">
            <v>Processing and collection costs</v>
          </cell>
          <cell r="N589">
            <v>4496.7395235271133</v>
          </cell>
          <cell r="O589">
            <v>40940</v>
          </cell>
        </row>
        <row r="590">
          <cell r="G590" t="str">
            <v>3406000</v>
          </cell>
          <cell r="H590">
            <v>214.4838</v>
          </cell>
          <cell r="I590">
            <v>220.3819</v>
          </cell>
          <cell r="J590" t="str">
            <v>Income Statement</v>
          </cell>
          <cell r="K590" t="str">
            <v>Operating expenses</v>
          </cell>
          <cell r="L590" t="str">
            <v>Processing and collection costs</v>
          </cell>
          <cell r="N590">
            <v>4641.9420106642156</v>
          </cell>
          <cell r="O590">
            <v>40940</v>
          </cell>
        </row>
        <row r="591">
          <cell r="G591" t="str">
            <v>3406000</v>
          </cell>
          <cell r="H591">
            <v>214.4838</v>
          </cell>
          <cell r="I591">
            <v>220.3819</v>
          </cell>
          <cell r="J591" t="str">
            <v>Income Statement</v>
          </cell>
          <cell r="K591" t="str">
            <v>Operating expenses</v>
          </cell>
          <cell r="L591" t="str">
            <v>Processing and collection costs</v>
          </cell>
          <cell r="N591">
            <v>7253.317990270526</v>
          </cell>
          <cell r="O591">
            <v>40940</v>
          </cell>
        </row>
        <row r="592">
          <cell r="G592" t="str">
            <v>3406000</v>
          </cell>
          <cell r="H592">
            <v>214.4838</v>
          </cell>
          <cell r="I592">
            <v>220.3819</v>
          </cell>
          <cell r="J592" t="str">
            <v>Income Statement</v>
          </cell>
          <cell r="K592" t="str">
            <v>Operating expenses</v>
          </cell>
          <cell r="L592" t="str">
            <v>Processing and collection costs</v>
          </cell>
          <cell r="N592">
            <v>5748.4711766256669</v>
          </cell>
          <cell r="O592">
            <v>40940</v>
          </cell>
        </row>
        <row r="593">
          <cell r="G593" t="str">
            <v>3406000</v>
          </cell>
          <cell r="H593">
            <v>214.4838</v>
          </cell>
          <cell r="I593">
            <v>220.3819</v>
          </cell>
          <cell r="J593" t="str">
            <v>Income Statement</v>
          </cell>
          <cell r="K593" t="str">
            <v>Operating expenses</v>
          </cell>
          <cell r="L593" t="str">
            <v>Processing and collection costs</v>
          </cell>
          <cell r="N593">
            <v>12445.214420966513</v>
          </cell>
          <cell r="O593">
            <v>40940</v>
          </cell>
        </row>
        <row r="594">
          <cell r="G594" t="str">
            <v>3406000</v>
          </cell>
          <cell r="H594">
            <v>214.4838</v>
          </cell>
          <cell r="I594">
            <v>220.3819</v>
          </cell>
          <cell r="J594" t="str">
            <v>Income Statement</v>
          </cell>
          <cell r="K594" t="str">
            <v>Operating expenses</v>
          </cell>
          <cell r="L594" t="str">
            <v>Processing and collection costs</v>
          </cell>
          <cell r="N594">
            <v>4274.9603756025335</v>
          </cell>
          <cell r="O594">
            <v>40940</v>
          </cell>
        </row>
        <row r="595">
          <cell r="G595" t="str">
            <v>3406000</v>
          </cell>
          <cell r="H595">
            <v>214.4838</v>
          </cell>
          <cell r="I595">
            <v>220.3819</v>
          </cell>
          <cell r="J595" t="str">
            <v>Income Statement</v>
          </cell>
          <cell r="K595" t="str">
            <v>Operating expenses</v>
          </cell>
          <cell r="L595" t="str">
            <v>Processing and collection costs</v>
          </cell>
          <cell r="N595">
            <v>864975.72346004809</v>
          </cell>
          <cell r="O595">
            <v>40940</v>
          </cell>
        </row>
        <row r="596">
          <cell r="G596" t="str">
            <v>3407000</v>
          </cell>
          <cell r="H596">
            <v>214.4838</v>
          </cell>
          <cell r="I596">
            <v>220.3819</v>
          </cell>
          <cell r="J596" t="str">
            <v>Income Statement</v>
          </cell>
          <cell r="K596" t="str">
            <v>Operating expenses</v>
          </cell>
          <cell r="L596" t="str">
            <v>Commission expense</v>
          </cell>
          <cell r="N596">
            <v>-122.51459852192943</v>
          </cell>
          <cell r="O596">
            <v>40940</v>
          </cell>
        </row>
        <row r="597">
          <cell r="G597" t="str">
            <v>3407000</v>
          </cell>
          <cell r="H597">
            <v>214.4838</v>
          </cell>
          <cell r="I597">
            <v>220.3819</v>
          </cell>
          <cell r="J597" t="str">
            <v>Income Statement</v>
          </cell>
          <cell r="K597" t="str">
            <v>Operating expenses</v>
          </cell>
          <cell r="L597" t="str">
            <v>Commission expense</v>
          </cell>
          <cell r="N597">
            <v>19100.905519010408</v>
          </cell>
          <cell r="O597">
            <v>40940</v>
          </cell>
        </row>
        <row r="598">
          <cell r="G598" t="str">
            <v>3408000</v>
          </cell>
          <cell r="H598">
            <v>214.4838</v>
          </cell>
          <cell r="I598">
            <v>220.3819</v>
          </cell>
          <cell r="J598" t="str">
            <v>Income Statement</v>
          </cell>
          <cell r="K598" t="str">
            <v>Operating expenses</v>
          </cell>
          <cell r="L598" t="str">
            <v>Compliance Fees</v>
          </cell>
          <cell r="N598">
            <v>3378.2107332770975</v>
          </cell>
          <cell r="O598">
            <v>40940</v>
          </cell>
        </row>
        <row r="599">
          <cell r="G599" t="str">
            <v>3408000</v>
          </cell>
          <cell r="H599">
            <v>214.4838</v>
          </cell>
          <cell r="I599">
            <v>220.3819</v>
          </cell>
          <cell r="J599" t="str">
            <v>Income Statement</v>
          </cell>
          <cell r="K599" t="str">
            <v>Operating expenses</v>
          </cell>
          <cell r="L599" t="str">
            <v>Compliance Fees</v>
          </cell>
          <cell r="N599">
            <v>0.25746216000497318</v>
          </cell>
          <cell r="O599">
            <v>40940</v>
          </cell>
        </row>
        <row r="600">
          <cell r="G600" t="str">
            <v>3408000</v>
          </cell>
          <cell r="H600">
            <v>214.4838</v>
          </cell>
          <cell r="I600">
            <v>220.3819</v>
          </cell>
          <cell r="J600" t="str">
            <v>Income Statement</v>
          </cell>
          <cell r="K600" t="str">
            <v>Operating expenses</v>
          </cell>
          <cell r="L600" t="str">
            <v>Compliance Fees</v>
          </cell>
          <cell r="N600">
            <v>749.15244854500304</v>
          </cell>
          <cell r="O600">
            <v>40940</v>
          </cell>
        </row>
        <row r="601">
          <cell r="G601" t="str">
            <v>3408000</v>
          </cell>
          <cell r="H601">
            <v>214.4838</v>
          </cell>
          <cell r="I601">
            <v>220.3819</v>
          </cell>
          <cell r="J601" t="str">
            <v>Income Statement</v>
          </cell>
          <cell r="K601" t="str">
            <v>Operating expenses</v>
          </cell>
          <cell r="L601" t="str">
            <v>Compliance Fees</v>
          </cell>
          <cell r="N601">
            <v>2389.8281120182737</v>
          </cell>
          <cell r="O601">
            <v>40940</v>
          </cell>
        </row>
        <row r="602">
          <cell r="G602" t="str">
            <v>3408000</v>
          </cell>
          <cell r="H602">
            <v>214.4838</v>
          </cell>
          <cell r="I602">
            <v>220.3819</v>
          </cell>
          <cell r="J602" t="str">
            <v>Income Statement</v>
          </cell>
          <cell r="K602" t="str">
            <v>Operating expenses</v>
          </cell>
          <cell r="L602" t="str">
            <v>Compliance Fees</v>
          </cell>
          <cell r="N602">
            <v>7355.9600856513171</v>
          </cell>
          <cell r="O602">
            <v>40940</v>
          </cell>
        </row>
        <row r="603">
          <cell r="G603" t="str">
            <v>3408000</v>
          </cell>
          <cell r="H603">
            <v>214.4838</v>
          </cell>
          <cell r="I603">
            <v>220.3819</v>
          </cell>
          <cell r="J603" t="str">
            <v>Income Statement</v>
          </cell>
          <cell r="K603" t="str">
            <v>Operating expenses</v>
          </cell>
          <cell r="L603" t="str">
            <v>Compliance Fees</v>
          </cell>
          <cell r="N603">
            <v>4383.4588502957822</v>
          </cell>
          <cell r="O603">
            <v>40940</v>
          </cell>
        </row>
        <row r="604">
          <cell r="G604" t="str">
            <v>3408000</v>
          </cell>
          <cell r="H604">
            <v>214.4838</v>
          </cell>
          <cell r="I604">
            <v>220.3819</v>
          </cell>
          <cell r="J604" t="str">
            <v>Income Statement</v>
          </cell>
          <cell r="K604" t="str">
            <v>Operating expenses</v>
          </cell>
          <cell r="L604" t="str">
            <v>Compliance Fees</v>
          </cell>
          <cell r="N604">
            <v>5035.9976930954854</v>
          </cell>
          <cell r="O604">
            <v>40940</v>
          </cell>
        </row>
        <row r="605">
          <cell r="G605" t="str">
            <v>3408000</v>
          </cell>
          <cell r="H605">
            <v>214.4838</v>
          </cell>
          <cell r="I605">
            <v>220.3819</v>
          </cell>
          <cell r="J605" t="str">
            <v>Income Statement</v>
          </cell>
          <cell r="K605" t="str">
            <v>Operating expenses</v>
          </cell>
          <cell r="L605" t="str">
            <v>Compliance Fees</v>
          </cell>
          <cell r="N605">
            <v>3270.4602328957139</v>
          </cell>
          <cell r="O605">
            <v>40940</v>
          </cell>
        </row>
        <row r="606">
          <cell r="G606" t="str">
            <v>3408000</v>
          </cell>
          <cell r="H606">
            <v>214.4838</v>
          </cell>
          <cell r="I606">
            <v>220.3819</v>
          </cell>
          <cell r="J606" t="str">
            <v>Income Statement</v>
          </cell>
          <cell r="K606" t="str">
            <v>Operating expenses</v>
          </cell>
          <cell r="L606" t="str">
            <v>Compliance Fees</v>
          </cell>
          <cell r="N606">
            <v>9256.2003957675297</v>
          </cell>
          <cell r="O606">
            <v>40940</v>
          </cell>
        </row>
        <row r="607">
          <cell r="G607" t="str">
            <v>3408000</v>
          </cell>
          <cell r="H607">
            <v>214.4838</v>
          </cell>
          <cell r="I607">
            <v>220.3819</v>
          </cell>
          <cell r="J607" t="str">
            <v>Income Statement</v>
          </cell>
          <cell r="K607" t="str">
            <v>Operating expenses</v>
          </cell>
          <cell r="L607" t="str">
            <v>Compliance Fees</v>
          </cell>
          <cell r="N607">
            <v>1041.4465525526371</v>
          </cell>
          <cell r="O607">
            <v>40940</v>
          </cell>
        </row>
        <row r="608">
          <cell r="G608" t="str">
            <v>3408000</v>
          </cell>
          <cell r="H608">
            <v>214.4838</v>
          </cell>
          <cell r="I608">
            <v>220.3819</v>
          </cell>
          <cell r="J608" t="str">
            <v>Income Statement</v>
          </cell>
          <cell r="K608" t="str">
            <v>Operating expenses</v>
          </cell>
          <cell r="L608" t="str">
            <v>Compliance Fees</v>
          </cell>
          <cell r="N608">
            <v>304212.6672834747</v>
          </cell>
          <cell r="O608">
            <v>40940</v>
          </cell>
        </row>
        <row r="609">
          <cell r="G609" t="str">
            <v>3408000</v>
          </cell>
          <cell r="H609">
            <v>214.4838</v>
          </cell>
          <cell r="I609">
            <v>220.3819</v>
          </cell>
          <cell r="J609" t="str">
            <v>Income Statement</v>
          </cell>
          <cell r="K609" t="str">
            <v>Operating expenses</v>
          </cell>
          <cell r="L609" t="str">
            <v>Compliance Fees</v>
          </cell>
          <cell r="N609">
            <v>496575.62481310853</v>
          </cell>
          <cell r="O609">
            <v>40940</v>
          </cell>
        </row>
        <row r="610">
          <cell r="G610" t="str">
            <v>3409000</v>
          </cell>
          <cell r="H610">
            <v>214.4838</v>
          </cell>
          <cell r="I610">
            <v>220.3819</v>
          </cell>
          <cell r="J610" t="str">
            <v>Income Statement</v>
          </cell>
          <cell r="K610" t="str">
            <v>Operating expenses</v>
          </cell>
          <cell r="L610" t="str">
            <v>Computer Expenses</v>
          </cell>
          <cell r="N610">
            <v>816.76399014619619</v>
          </cell>
          <cell r="O610">
            <v>40940</v>
          </cell>
        </row>
        <row r="611">
          <cell r="G611" t="str">
            <v>3409000</v>
          </cell>
          <cell r="H611">
            <v>214.4838</v>
          </cell>
          <cell r="I611">
            <v>220.3819</v>
          </cell>
          <cell r="J611" t="str">
            <v>Income Statement</v>
          </cell>
          <cell r="K611" t="str">
            <v>Operating expenses</v>
          </cell>
          <cell r="L611" t="str">
            <v>Computer Expenses</v>
          </cell>
          <cell r="N611">
            <v>2427.6040818234164</v>
          </cell>
          <cell r="O611">
            <v>40940</v>
          </cell>
        </row>
        <row r="612">
          <cell r="G612" t="str">
            <v>3409000</v>
          </cell>
          <cell r="H612">
            <v>214.4838</v>
          </cell>
          <cell r="I612">
            <v>220.3819</v>
          </cell>
          <cell r="J612" t="str">
            <v>Income Statement</v>
          </cell>
          <cell r="K612" t="str">
            <v>Operating expenses</v>
          </cell>
          <cell r="L612" t="str">
            <v>Computer Expenses</v>
          </cell>
          <cell r="N612">
            <v>45.375777230344234</v>
          </cell>
          <cell r="O612">
            <v>40940</v>
          </cell>
        </row>
        <row r="613">
          <cell r="G613" t="str">
            <v>3409000</v>
          </cell>
          <cell r="H613">
            <v>214.4838</v>
          </cell>
          <cell r="I613">
            <v>220.3819</v>
          </cell>
          <cell r="J613" t="str">
            <v>Income Statement</v>
          </cell>
          <cell r="K613" t="str">
            <v>Operating expenses</v>
          </cell>
          <cell r="L613" t="str">
            <v>Computer Expenses</v>
          </cell>
          <cell r="N613">
            <v>2987.879585392448</v>
          </cell>
          <cell r="O613">
            <v>40940</v>
          </cell>
        </row>
        <row r="614">
          <cell r="G614" t="str">
            <v>3409000</v>
          </cell>
          <cell r="H614">
            <v>214.4838</v>
          </cell>
          <cell r="I614">
            <v>220.3819</v>
          </cell>
          <cell r="J614" t="str">
            <v>Income Statement</v>
          </cell>
          <cell r="K614" t="str">
            <v>Operating expenses</v>
          </cell>
          <cell r="L614" t="str">
            <v>Computer Expenses</v>
          </cell>
          <cell r="N614">
            <v>28321.405024641314</v>
          </cell>
          <cell r="O614">
            <v>40940</v>
          </cell>
        </row>
        <row r="615">
          <cell r="G615" t="str">
            <v>3409000</v>
          </cell>
          <cell r="H615">
            <v>214.4838</v>
          </cell>
          <cell r="I615">
            <v>220.3819</v>
          </cell>
          <cell r="J615" t="str">
            <v>Income Statement</v>
          </cell>
          <cell r="K615" t="str">
            <v>Operating expenses</v>
          </cell>
          <cell r="L615" t="str">
            <v>Computer Expenses</v>
          </cell>
          <cell r="N615">
            <v>7432.5523103303858</v>
          </cell>
          <cell r="O615">
            <v>40940</v>
          </cell>
        </row>
        <row r="616">
          <cell r="G616" t="str">
            <v>3410000</v>
          </cell>
          <cell r="H616">
            <v>214.4838</v>
          </cell>
          <cell r="I616">
            <v>220.3819</v>
          </cell>
          <cell r="J616" t="str">
            <v>Income Statement</v>
          </cell>
          <cell r="K616" t="str">
            <v>Operating expenses</v>
          </cell>
          <cell r="L616" t="str">
            <v>Training</v>
          </cell>
          <cell r="N616">
            <v>1275.2515973407978</v>
          </cell>
          <cell r="O616">
            <v>40940</v>
          </cell>
        </row>
        <row r="617">
          <cell r="G617" t="str">
            <v>3411000</v>
          </cell>
          <cell r="H617">
            <v>214.4838</v>
          </cell>
          <cell r="I617">
            <v>220.3819</v>
          </cell>
          <cell r="J617" t="str">
            <v>Income Statement</v>
          </cell>
          <cell r="K617" t="str">
            <v>Operating expenses</v>
          </cell>
          <cell r="L617" t="str">
            <v>Consulting and professional fees</v>
          </cell>
          <cell r="N617">
            <v>66096.591870748001</v>
          </cell>
          <cell r="O617">
            <v>40940</v>
          </cell>
        </row>
        <row r="618">
          <cell r="G618" t="str">
            <v>3411000</v>
          </cell>
          <cell r="H618">
            <v>214.4838</v>
          </cell>
          <cell r="I618">
            <v>220.3819</v>
          </cell>
          <cell r="J618" t="str">
            <v>Income Statement</v>
          </cell>
          <cell r="K618" t="str">
            <v>Operating expenses</v>
          </cell>
          <cell r="L618" t="str">
            <v>Consulting and professional fees</v>
          </cell>
          <cell r="N618">
            <v>51893.848814262878</v>
          </cell>
          <cell r="O618">
            <v>40940</v>
          </cell>
        </row>
        <row r="619">
          <cell r="G619" t="str">
            <v>3412000</v>
          </cell>
          <cell r="H619">
            <v>214.4838</v>
          </cell>
          <cell r="I619">
            <v>220.3819</v>
          </cell>
          <cell r="J619" t="str">
            <v>Income Statement</v>
          </cell>
          <cell r="K619" t="str">
            <v>Operating expenses</v>
          </cell>
          <cell r="L619" t="str">
            <v>Corporate Social Investment</v>
          </cell>
          <cell r="N619">
            <v>29623.10325847994</v>
          </cell>
          <cell r="O619">
            <v>40940</v>
          </cell>
        </row>
        <row r="620">
          <cell r="G620" t="str">
            <v>3412000</v>
          </cell>
          <cell r="H620">
            <v>214.4838</v>
          </cell>
          <cell r="I620">
            <v>220.3819</v>
          </cell>
          <cell r="J620" t="str">
            <v>Income Statement</v>
          </cell>
          <cell r="K620" t="str">
            <v>Operating expenses</v>
          </cell>
          <cell r="L620" t="str">
            <v>Corporate Social Investment</v>
          </cell>
          <cell r="N620">
            <v>15518.515812777729</v>
          </cell>
          <cell r="O620">
            <v>40940</v>
          </cell>
        </row>
        <row r="621">
          <cell r="G621" t="str">
            <v>3413000</v>
          </cell>
          <cell r="H621">
            <v>214.4838</v>
          </cell>
          <cell r="I621">
            <v>220.3819</v>
          </cell>
          <cell r="J621" t="str">
            <v>Income Statement</v>
          </cell>
          <cell r="K621" t="str">
            <v>Operating expenses</v>
          </cell>
          <cell r="L621" t="str">
            <v>Processing and collection costs</v>
          </cell>
          <cell r="N621">
            <v>574.33831907248282</v>
          </cell>
          <cell r="O621">
            <v>40940</v>
          </cell>
        </row>
        <row r="622">
          <cell r="G622" t="str">
            <v>3413000</v>
          </cell>
          <cell r="H622">
            <v>214.4838</v>
          </cell>
          <cell r="I622">
            <v>220.3819</v>
          </cell>
          <cell r="J622" t="str">
            <v>Income Statement</v>
          </cell>
          <cell r="K622" t="str">
            <v>Operating expenses</v>
          </cell>
          <cell r="L622" t="str">
            <v>Processing and collection costs</v>
          </cell>
          <cell r="N622">
            <v>-294.9425519972375</v>
          </cell>
          <cell r="O622">
            <v>40940</v>
          </cell>
        </row>
        <row r="623">
          <cell r="G623" t="str">
            <v>3413000</v>
          </cell>
          <cell r="H623">
            <v>214.4838</v>
          </cell>
          <cell r="I623">
            <v>220.3819</v>
          </cell>
          <cell r="J623" t="str">
            <v>Income Statement</v>
          </cell>
          <cell r="K623" t="str">
            <v>Operating expenses</v>
          </cell>
          <cell r="L623" t="str">
            <v>Processing and collection costs</v>
          </cell>
          <cell r="N623">
            <v>215.53494184413512</v>
          </cell>
          <cell r="O623">
            <v>40940</v>
          </cell>
        </row>
        <row r="624">
          <cell r="G624" t="str">
            <v>3413000</v>
          </cell>
          <cell r="H624">
            <v>214.4838</v>
          </cell>
          <cell r="I624">
            <v>220.3819</v>
          </cell>
          <cell r="J624" t="str">
            <v>Income Statement</v>
          </cell>
          <cell r="K624" t="str">
            <v>Operating expenses</v>
          </cell>
          <cell r="L624" t="str">
            <v>Processing and collection costs</v>
          </cell>
          <cell r="N624">
            <v>2845.0612323425835</v>
          </cell>
          <cell r="O624">
            <v>40940</v>
          </cell>
        </row>
        <row r="625">
          <cell r="G625" t="str">
            <v>3413000</v>
          </cell>
          <cell r="H625">
            <v>214.4838</v>
          </cell>
          <cell r="I625">
            <v>220.3819</v>
          </cell>
          <cell r="J625" t="str">
            <v>Income Statement</v>
          </cell>
          <cell r="K625" t="str">
            <v>Operating expenses</v>
          </cell>
          <cell r="L625" t="str">
            <v>Processing and collection costs</v>
          </cell>
          <cell r="N625">
            <v>664.61356399958424</v>
          </cell>
          <cell r="O625">
            <v>40940</v>
          </cell>
        </row>
        <row r="626">
          <cell r="G626" t="str">
            <v>3413000</v>
          </cell>
          <cell r="H626">
            <v>214.4838</v>
          </cell>
          <cell r="I626">
            <v>220.3819</v>
          </cell>
          <cell r="J626" t="str">
            <v>Income Statement</v>
          </cell>
          <cell r="K626" t="str">
            <v>Operating expenses</v>
          </cell>
          <cell r="L626" t="str">
            <v>Processing and collection costs</v>
          </cell>
          <cell r="N626">
            <v>-192.84705322896301</v>
          </cell>
          <cell r="O626">
            <v>40940</v>
          </cell>
        </row>
        <row r="627">
          <cell r="G627" t="str">
            <v>3413000</v>
          </cell>
          <cell r="H627">
            <v>214.4838</v>
          </cell>
          <cell r="I627">
            <v>220.3819</v>
          </cell>
          <cell r="J627" t="str">
            <v>Income Statement</v>
          </cell>
          <cell r="K627" t="str">
            <v>Operating expenses</v>
          </cell>
          <cell r="L627" t="str">
            <v>Processing and collection costs</v>
          </cell>
          <cell r="N627">
            <v>158.81522030620482</v>
          </cell>
          <cell r="O627">
            <v>40940</v>
          </cell>
        </row>
        <row r="628">
          <cell r="G628" t="str">
            <v>3413000</v>
          </cell>
          <cell r="H628">
            <v>214.4838</v>
          </cell>
          <cell r="I628">
            <v>220.3819</v>
          </cell>
          <cell r="J628" t="str">
            <v>Income Statement</v>
          </cell>
          <cell r="K628" t="str">
            <v>Operating expenses</v>
          </cell>
          <cell r="L628" t="str">
            <v>Processing and collection costs</v>
          </cell>
          <cell r="N628">
            <v>294.9425519972375</v>
          </cell>
          <cell r="O628">
            <v>40940</v>
          </cell>
        </row>
        <row r="629">
          <cell r="G629" t="str">
            <v>3413000</v>
          </cell>
          <cell r="H629">
            <v>214.4838</v>
          </cell>
          <cell r="I629">
            <v>220.3819</v>
          </cell>
          <cell r="J629" t="str">
            <v>Income Statement</v>
          </cell>
          <cell r="K629" t="str">
            <v>Operating expenses</v>
          </cell>
          <cell r="L629" t="str">
            <v>Processing and collection costs</v>
          </cell>
          <cell r="N629">
            <v>27458.084035031916</v>
          </cell>
          <cell r="O629">
            <v>40940</v>
          </cell>
        </row>
        <row r="630">
          <cell r="G630" t="str">
            <v>3413000</v>
          </cell>
          <cell r="H630">
            <v>214.4838</v>
          </cell>
          <cell r="I630">
            <v>220.3819</v>
          </cell>
          <cell r="J630" t="str">
            <v>Income Statement</v>
          </cell>
          <cell r="K630" t="str">
            <v>Operating expenses</v>
          </cell>
          <cell r="L630" t="str">
            <v>Processing and collection costs</v>
          </cell>
          <cell r="N630">
            <v>38182.794322038244</v>
          </cell>
          <cell r="O630">
            <v>40940</v>
          </cell>
        </row>
        <row r="631">
          <cell r="G631" t="str">
            <v>3416000</v>
          </cell>
          <cell r="H631">
            <v>214.4838</v>
          </cell>
          <cell r="I631">
            <v>220.3819</v>
          </cell>
          <cell r="J631" t="str">
            <v>Income Statement</v>
          </cell>
          <cell r="K631" t="str">
            <v>Operating expenses</v>
          </cell>
          <cell r="L631" t="str">
            <v>Office Expenses</v>
          </cell>
          <cell r="M631" t="str">
            <v>Electricity and water</v>
          </cell>
          <cell r="N631">
            <v>6432.0164224012951</v>
          </cell>
          <cell r="O631">
            <v>40940</v>
          </cell>
        </row>
        <row r="632">
          <cell r="G632" t="str">
            <v>3416000</v>
          </cell>
          <cell r="H632">
            <v>214.4838</v>
          </cell>
          <cell r="I632">
            <v>220.3819</v>
          </cell>
          <cell r="J632" t="str">
            <v>Income Statement</v>
          </cell>
          <cell r="K632" t="str">
            <v>Operating expenses</v>
          </cell>
          <cell r="L632" t="str">
            <v>Office Expenses</v>
          </cell>
          <cell r="M632" t="str">
            <v>Electricity and water</v>
          </cell>
          <cell r="N632">
            <v>2885.3229326001815</v>
          </cell>
          <cell r="O632">
            <v>40940</v>
          </cell>
        </row>
        <row r="633">
          <cell r="G633" t="str">
            <v>3416000</v>
          </cell>
          <cell r="H633">
            <v>214.4838</v>
          </cell>
          <cell r="I633">
            <v>220.3819</v>
          </cell>
          <cell r="J633" t="str">
            <v>Income Statement</v>
          </cell>
          <cell r="K633" t="str">
            <v>Operating expenses</v>
          </cell>
          <cell r="L633" t="str">
            <v>Office Expenses</v>
          </cell>
          <cell r="M633" t="str">
            <v>Electricity and water</v>
          </cell>
          <cell r="N633">
            <v>1023.3353555804719</v>
          </cell>
          <cell r="O633">
            <v>40940</v>
          </cell>
        </row>
        <row r="634">
          <cell r="G634" t="str">
            <v>3416000</v>
          </cell>
          <cell r="H634">
            <v>214.4838</v>
          </cell>
          <cell r="I634">
            <v>220.3819</v>
          </cell>
          <cell r="J634" t="str">
            <v>Income Statement</v>
          </cell>
          <cell r="K634" t="str">
            <v>Operating expenses</v>
          </cell>
          <cell r="L634" t="str">
            <v>Office Expenses</v>
          </cell>
          <cell r="M634" t="str">
            <v>Electricity and water</v>
          </cell>
          <cell r="N634">
            <v>-629.81578795717792</v>
          </cell>
          <cell r="O634">
            <v>40940</v>
          </cell>
        </row>
        <row r="635">
          <cell r="G635" t="str">
            <v>3416000</v>
          </cell>
          <cell r="H635">
            <v>214.4838</v>
          </cell>
          <cell r="I635">
            <v>220.3819</v>
          </cell>
          <cell r="J635" t="str">
            <v>Income Statement</v>
          </cell>
          <cell r="K635" t="str">
            <v>Operating expenses</v>
          </cell>
          <cell r="L635" t="str">
            <v>Office Expenses</v>
          </cell>
          <cell r="M635" t="str">
            <v>Electricity and water</v>
          </cell>
          <cell r="N635">
            <v>11039.050893017982</v>
          </cell>
          <cell r="O635">
            <v>40940</v>
          </cell>
        </row>
        <row r="636">
          <cell r="G636" t="str">
            <v>3416000</v>
          </cell>
          <cell r="H636">
            <v>214.4838</v>
          </cell>
          <cell r="I636">
            <v>220.3819</v>
          </cell>
          <cell r="J636" t="str">
            <v>Income Statement</v>
          </cell>
          <cell r="K636" t="str">
            <v>Operating expenses</v>
          </cell>
          <cell r="L636" t="str">
            <v>Office Expenses</v>
          </cell>
          <cell r="M636" t="str">
            <v>Electricity and water</v>
          </cell>
          <cell r="N636">
            <v>1881.960360628527</v>
          </cell>
          <cell r="O636">
            <v>40940</v>
          </cell>
        </row>
        <row r="637">
          <cell r="G637" t="str">
            <v>3416000</v>
          </cell>
          <cell r="H637">
            <v>214.4838</v>
          </cell>
          <cell r="I637">
            <v>220.3819</v>
          </cell>
          <cell r="J637" t="str">
            <v>Income Statement</v>
          </cell>
          <cell r="K637" t="str">
            <v>Operating expenses</v>
          </cell>
          <cell r="L637" t="str">
            <v>Office Expenses</v>
          </cell>
          <cell r="M637" t="str">
            <v>Electricity and water</v>
          </cell>
          <cell r="N637">
            <v>621.42126916956431</v>
          </cell>
          <cell r="O637">
            <v>40940</v>
          </cell>
        </row>
        <row r="638">
          <cell r="G638" t="str">
            <v>3416000</v>
          </cell>
          <cell r="H638">
            <v>214.4838</v>
          </cell>
          <cell r="I638">
            <v>220.3819</v>
          </cell>
          <cell r="J638" t="str">
            <v>Income Statement</v>
          </cell>
          <cell r="K638" t="str">
            <v>Operating expenses</v>
          </cell>
          <cell r="L638" t="str">
            <v>Office Expenses</v>
          </cell>
          <cell r="M638" t="str">
            <v>Electricity and water</v>
          </cell>
          <cell r="N638">
            <v>2044.8742387646173</v>
          </cell>
          <cell r="O638">
            <v>40940</v>
          </cell>
        </row>
        <row r="639">
          <cell r="G639" t="str">
            <v>3416000</v>
          </cell>
          <cell r="H639">
            <v>214.4838</v>
          </cell>
          <cell r="I639">
            <v>220.3819</v>
          </cell>
          <cell r="J639" t="str">
            <v>Income Statement</v>
          </cell>
          <cell r="K639" t="str">
            <v>Operating expenses</v>
          </cell>
          <cell r="L639" t="str">
            <v>Office Expenses</v>
          </cell>
          <cell r="M639" t="str">
            <v>Electricity and water</v>
          </cell>
          <cell r="N639">
            <v>1261.5364964182629</v>
          </cell>
          <cell r="O639">
            <v>40940</v>
          </cell>
        </row>
        <row r="640">
          <cell r="G640" t="str">
            <v>3416000</v>
          </cell>
          <cell r="H640">
            <v>214.4838</v>
          </cell>
          <cell r="I640">
            <v>220.3819</v>
          </cell>
          <cell r="J640" t="str">
            <v>Income Statement</v>
          </cell>
          <cell r="K640" t="str">
            <v>Operating expenses</v>
          </cell>
          <cell r="L640" t="str">
            <v>Office Expenses</v>
          </cell>
          <cell r="M640" t="str">
            <v>Electricity and water</v>
          </cell>
          <cell r="N640">
            <v>-1678.9037575227367</v>
          </cell>
          <cell r="O640">
            <v>40940</v>
          </cell>
        </row>
        <row r="641">
          <cell r="G641" t="str">
            <v>3416000</v>
          </cell>
          <cell r="H641">
            <v>214.4838</v>
          </cell>
          <cell r="I641">
            <v>220.3819</v>
          </cell>
          <cell r="J641" t="str">
            <v>Income Statement</v>
          </cell>
          <cell r="K641" t="str">
            <v>Operating expenses</v>
          </cell>
          <cell r="L641" t="str">
            <v>Office Expenses</v>
          </cell>
          <cell r="M641" t="str">
            <v>Electricity and water</v>
          </cell>
          <cell r="N641">
            <v>151913.78656777169</v>
          </cell>
          <cell r="O641">
            <v>40940</v>
          </cell>
        </row>
        <row r="642">
          <cell r="G642" t="str">
            <v>3420000</v>
          </cell>
          <cell r="H642">
            <v>214.4838</v>
          </cell>
          <cell r="I642">
            <v>220.3819</v>
          </cell>
          <cell r="J642" t="str">
            <v>Income Statement</v>
          </cell>
          <cell r="K642" t="str">
            <v>Operating expenses</v>
          </cell>
          <cell r="L642" t="str">
            <v>Insurance &amp; licence fees</v>
          </cell>
          <cell r="N642">
            <v>80212.234897693503</v>
          </cell>
          <cell r="O642">
            <v>40940</v>
          </cell>
        </row>
        <row r="643">
          <cell r="G643" t="str">
            <v>3420000</v>
          </cell>
          <cell r="H643">
            <v>214.4838</v>
          </cell>
          <cell r="I643">
            <v>220.3819</v>
          </cell>
          <cell r="J643" t="str">
            <v>Income Statement</v>
          </cell>
          <cell r="K643" t="str">
            <v>Operating expenses</v>
          </cell>
          <cell r="L643" t="str">
            <v>Insurance &amp; licence fees</v>
          </cell>
          <cell r="N643">
            <v>7747.1525565393522</v>
          </cell>
          <cell r="O643">
            <v>40940</v>
          </cell>
        </row>
        <row r="644">
          <cell r="G644" t="str">
            <v>3422000</v>
          </cell>
          <cell r="H644">
            <v>214.4838</v>
          </cell>
          <cell r="I644">
            <v>220.3819</v>
          </cell>
          <cell r="J644" t="str">
            <v>Income Statement</v>
          </cell>
          <cell r="K644" t="str">
            <v>Operating expenses</v>
          </cell>
          <cell r="L644" t="str">
            <v>Legal expenses</v>
          </cell>
          <cell r="M644" t="str">
            <v>Expense nature</v>
          </cell>
          <cell r="N644">
            <v>23584.060215471414</v>
          </cell>
          <cell r="O644">
            <v>40940</v>
          </cell>
        </row>
        <row r="645">
          <cell r="G645" t="str">
            <v>3424000</v>
          </cell>
          <cell r="H645">
            <v>214.4838</v>
          </cell>
          <cell r="I645">
            <v>220.3819</v>
          </cell>
          <cell r="J645" t="str">
            <v>Income Statement</v>
          </cell>
          <cell r="K645" t="str">
            <v>Operating expenses</v>
          </cell>
          <cell r="L645" t="str">
            <v>Insurance &amp; licence fees</v>
          </cell>
          <cell r="M645" t="str">
            <v>Vehicles</v>
          </cell>
          <cell r="N645">
            <v>2098.6296969034206</v>
          </cell>
          <cell r="O645">
            <v>40940</v>
          </cell>
        </row>
        <row r="646">
          <cell r="G646" t="str">
            <v>3425000</v>
          </cell>
          <cell r="H646">
            <v>214.4838</v>
          </cell>
          <cell r="I646">
            <v>220.3819</v>
          </cell>
          <cell r="J646" t="str">
            <v>Income Statement</v>
          </cell>
          <cell r="K646" t="str">
            <v>Operating expenses</v>
          </cell>
          <cell r="L646" t="str">
            <v>Advertising</v>
          </cell>
          <cell r="N646">
            <v>65655.335669580847</v>
          </cell>
          <cell r="O646">
            <v>40940</v>
          </cell>
        </row>
        <row r="647">
          <cell r="G647" t="str">
            <v>3425000</v>
          </cell>
          <cell r="H647">
            <v>214.4838</v>
          </cell>
          <cell r="I647">
            <v>220.3819</v>
          </cell>
          <cell r="J647" t="str">
            <v>Income Statement</v>
          </cell>
          <cell r="K647" t="str">
            <v>Operating expenses</v>
          </cell>
          <cell r="L647" t="str">
            <v>Advertising</v>
          </cell>
          <cell r="N647">
            <v>57619.523200408017</v>
          </cell>
          <cell r="O647">
            <v>40940</v>
          </cell>
        </row>
        <row r="648">
          <cell r="G648" t="str">
            <v>3426000</v>
          </cell>
          <cell r="H648">
            <v>214.4838</v>
          </cell>
          <cell r="I648">
            <v>220.3819</v>
          </cell>
          <cell r="J648" t="str">
            <v>Income Statement</v>
          </cell>
          <cell r="K648" t="str">
            <v>Operating expenses</v>
          </cell>
          <cell r="L648" t="str">
            <v>Advertising</v>
          </cell>
          <cell r="N648">
            <v>12251.459852192944</v>
          </cell>
          <cell r="O648">
            <v>40940</v>
          </cell>
        </row>
        <row r="649">
          <cell r="G649" t="str">
            <v>3428000</v>
          </cell>
          <cell r="H649">
            <v>214.4838</v>
          </cell>
          <cell r="I649">
            <v>220.3819</v>
          </cell>
          <cell r="J649" t="str">
            <v>Income Statement</v>
          </cell>
          <cell r="K649" t="str">
            <v>Operating expenses</v>
          </cell>
          <cell r="L649" t="str">
            <v>Advertising</v>
          </cell>
          <cell r="N649">
            <v>19423.387310845399</v>
          </cell>
          <cell r="O649">
            <v>40940</v>
          </cell>
        </row>
        <row r="650">
          <cell r="G650" t="str">
            <v>3428000</v>
          </cell>
          <cell r="H650">
            <v>214.4838</v>
          </cell>
          <cell r="I650">
            <v>220.3819</v>
          </cell>
          <cell r="J650" t="str">
            <v>Income Statement</v>
          </cell>
          <cell r="K650" t="str">
            <v>Operating expenses</v>
          </cell>
          <cell r="L650" t="str">
            <v>Advertising</v>
          </cell>
          <cell r="N650">
            <v>17929.444296468992</v>
          </cell>
          <cell r="O650">
            <v>40940</v>
          </cell>
        </row>
        <row r="651">
          <cell r="G651" t="str">
            <v>3428000</v>
          </cell>
          <cell r="H651">
            <v>214.4838</v>
          </cell>
          <cell r="I651">
            <v>220.3819</v>
          </cell>
          <cell r="J651" t="str">
            <v>Income Statement</v>
          </cell>
          <cell r="K651" t="str">
            <v>Operating expenses</v>
          </cell>
          <cell r="L651" t="str">
            <v>Advertising</v>
          </cell>
          <cell r="N651">
            <v>9691.0711360597215</v>
          </cell>
          <cell r="O651">
            <v>40940</v>
          </cell>
        </row>
        <row r="652">
          <cell r="G652" t="str">
            <v>3428000</v>
          </cell>
          <cell r="H652">
            <v>214.4838</v>
          </cell>
          <cell r="I652">
            <v>220.3819</v>
          </cell>
          <cell r="J652" t="str">
            <v>Income Statement</v>
          </cell>
          <cell r="K652" t="str">
            <v>Operating expenses</v>
          </cell>
          <cell r="L652" t="str">
            <v>Advertising</v>
          </cell>
          <cell r="N652">
            <v>61077.14381262708</v>
          </cell>
          <cell r="O652">
            <v>40940</v>
          </cell>
        </row>
        <row r="653">
          <cell r="G653" t="str">
            <v>3428000</v>
          </cell>
          <cell r="H653">
            <v>214.4838</v>
          </cell>
          <cell r="I653">
            <v>220.3819</v>
          </cell>
          <cell r="J653" t="str">
            <v>Income Statement</v>
          </cell>
          <cell r="K653" t="str">
            <v>Operating expenses</v>
          </cell>
          <cell r="L653" t="str">
            <v>Advertising</v>
          </cell>
          <cell r="N653">
            <v>-3017.9429435901948</v>
          </cell>
          <cell r="O653">
            <v>40940</v>
          </cell>
        </row>
        <row r="654">
          <cell r="G654" t="str">
            <v>3430000</v>
          </cell>
          <cell r="H654">
            <v>214.4838</v>
          </cell>
          <cell r="I654">
            <v>220.3819</v>
          </cell>
          <cell r="J654" t="str">
            <v>Income Statement</v>
          </cell>
          <cell r="K654" t="str">
            <v>Operating expenses</v>
          </cell>
          <cell r="L654" t="str">
            <v>Office Expenses</v>
          </cell>
          <cell r="M654" t="str">
            <v>Office expenses</v>
          </cell>
          <cell r="N654">
            <v>29.494255199723753</v>
          </cell>
          <cell r="O654">
            <v>40940</v>
          </cell>
        </row>
        <row r="655">
          <cell r="G655" t="str">
            <v>3430000</v>
          </cell>
          <cell r="H655">
            <v>214.4838</v>
          </cell>
          <cell r="I655">
            <v>220.3819</v>
          </cell>
          <cell r="J655" t="str">
            <v>Income Statement</v>
          </cell>
          <cell r="K655" t="str">
            <v>Operating expenses</v>
          </cell>
          <cell r="L655" t="str">
            <v>Office Expenses</v>
          </cell>
          <cell r="M655" t="str">
            <v>Office expenses</v>
          </cell>
          <cell r="N655">
            <v>1501.9382263243942</v>
          </cell>
          <cell r="O655">
            <v>40940</v>
          </cell>
        </row>
        <row r="656">
          <cell r="G656" t="str">
            <v>3430000</v>
          </cell>
          <cell r="H656">
            <v>214.4838</v>
          </cell>
          <cell r="I656">
            <v>220.3819</v>
          </cell>
          <cell r="J656" t="str">
            <v>Income Statement</v>
          </cell>
          <cell r="K656" t="str">
            <v>Operating expenses</v>
          </cell>
          <cell r="L656" t="str">
            <v>Office Expenses</v>
          </cell>
          <cell r="M656" t="str">
            <v>Office expenses</v>
          </cell>
          <cell r="N656">
            <v>340.31832922758173</v>
          </cell>
          <cell r="O656">
            <v>40940</v>
          </cell>
        </row>
        <row r="657">
          <cell r="G657" t="str">
            <v>3430000</v>
          </cell>
          <cell r="H657">
            <v>214.4838</v>
          </cell>
          <cell r="I657">
            <v>220.3819</v>
          </cell>
          <cell r="J657" t="str">
            <v>Income Statement</v>
          </cell>
          <cell r="K657" t="str">
            <v>Operating expenses</v>
          </cell>
          <cell r="L657" t="str">
            <v>Office Expenses</v>
          </cell>
          <cell r="M657" t="str">
            <v>Office expenses</v>
          </cell>
          <cell r="N657">
            <v>136.12733169103271</v>
          </cell>
          <cell r="O657">
            <v>40940</v>
          </cell>
        </row>
        <row r="658">
          <cell r="G658" t="str">
            <v>3430000</v>
          </cell>
          <cell r="H658">
            <v>214.4838</v>
          </cell>
          <cell r="I658">
            <v>220.3819</v>
          </cell>
          <cell r="J658" t="str">
            <v>Income Statement</v>
          </cell>
          <cell r="K658" t="str">
            <v>Operating expenses</v>
          </cell>
          <cell r="L658" t="str">
            <v>Office Expenses</v>
          </cell>
          <cell r="M658" t="str">
            <v>Office expenses</v>
          </cell>
          <cell r="N658">
            <v>21838.907823192378</v>
          </cell>
          <cell r="O658">
            <v>40940</v>
          </cell>
        </row>
        <row r="659">
          <cell r="G659" t="str">
            <v>3430000</v>
          </cell>
          <cell r="H659">
            <v>214.4838</v>
          </cell>
          <cell r="I659">
            <v>220.3819</v>
          </cell>
          <cell r="J659" t="str">
            <v>Income Statement</v>
          </cell>
          <cell r="K659" t="str">
            <v>Operating expenses</v>
          </cell>
          <cell r="L659" t="str">
            <v>Office Expenses</v>
          </cell>
          <cell r="M659" t="str">
            <v>Office expenses</v>
          </cell>
          <cell r="N659">
            <v>9311.1094876666375</v>
          </cell>
          <cell r="O659">
            <v>40940</v>
          </cell>
        </row>
        <row r="660">
          <cell r="G660" t="str">
            <v>3431000</v>
          </cell>
          <cell r="H660">
            <v>214.4838</v>
          </cell>
          <cell r="I660">
            <v>220.3819</v>
          </cell>
          <cell r="J660" t="str">
            <v>Income Statement</v>
          </cell>
          <cell r="K660" t="str">
            <v>Operating expenses</v>
          </cell>
          <cell r="L660" t="str">
            <v>Office Expenses</v>
          </cell>
          <cell r="M660" t="str">
            <v>Parking costs</v>
          </cell>
          <cell r="N660">
            <v>1068.5995537746066</v>
          </cell>
          <cell r="O660">
            <v>40940</v>
          </cell>
        </row>
        <row r="661">
          <cell r="G661" t="str">
            <v>3433000</v>
          </cell>
          <cell r="H661">
            <v>214.4838</v>
          </cell>
          <cell r="I661">
            <v>220.3819</v>
          </cell>
          <cell r="J661" t="str">
            <v>Income Statement</v>
          </cell>
          <cell r="K661" t="str">
            <v>Operating expenses</v>
          </cell>
          <cell r="L661" t="str">
            <v>Motor Vehicle Expenses</v>
          </cell>
          <cell r="M661" t="str">
            <v>Petrol and oil- vehicles</v>
          </cell>
          <cell r="N661">
            <v>680.63665845516346</v>
          </cell>
          <cell r="O661">
            <v>40940</v>
          </cell>
        </row>
        <row r="662">
          <cell r="G662" t="str">
            <v>3433000</v>
          </cell>
          <cell r="H662">
            <v>214.4838</v>
          </cell>
          <cell r="I662">
            <v>220.3819</v>
          </cell>
          <cell r="J662" t="str">
            <v>Income Statement</v>
          </cell>
          <cell r="K662" t="str">
            <v>Operating expenses</v>
          </cell>
          <cell r="L662" t="str">
            <v>Motor Vehicle Expenses</v>
          </cell>
          <cell r="M662" t="str">
            <v>Petrol and oil- vehicles</v>
          </cell>
          <cell r="N662">
            <v>53591.588056913926</v>
          </cell>
          <cell r="O662">
            <v>40940</v>
          </cell>
        </row>
        <row r="663">
          <cell r="G663" t="str">
            <v>3434000</v>
          </cell>
          <cell r="H663">
            <v>214.4838</v>
          </cell>
          <cell r="I663">
            <v>220.3819</v>
          </cell>
          <cell r="J663" t="str">
            <v>Income Statement</v>
          </cell>
          <cell r="K663" t="str">
            <v>Operating expenses</v>
          </cell>
          <cell r="L663" t="str">
            <v>Printing, Postage and Stationary</v>
          </cell>
          <cell r="N663">
            <v>1385.0955999562577</v>
          </cell>
          <cell r="O663">
            <v>40940</v>
          </cell>
        </row>
        <row r="664">
          <cell r="G664" t="str">
            <v>3435000</v>
          </cell>
          <cell r="H664">
            <v>214.4838</v>
          </cell>
          <cell r="I664">
            <v>220.3819</v>
          </cell>
          <cell r="J664" t="str">
            <v>Income Statement</v>
          </cell>
          <cell r="K664" t="str">
            <v>Operating expenses</v>
          </cell>
          <cell r="L664" t="str">
            <v>Printing, Postage and Stationary</v>
          </cell>
          <cell r="N664">
            <v>2689.8299270493626</v>
          </cell>
          <cell r="O664">
            <v>40940</v>
          </cell>
        </row>
        <row r="665">
          <cell r="G665" t="str">
            <v>3435000</v>
          </cell>
          <cell r="H665">
            <v>214.4838</v>
          </cell>
          <cell r="I665">
            <v>220.3819</v>
          </cell>
          <cell r="J665" t="str">
            <v>Income Statement</v>
          </cell>
          <cell r="K665" t="str">
            <v>Operating expenses</v>
          </cell>
          <cell r="L665" t="str">
            <v>Printing, Postage and Stationary</v>
          </cell>
          <cell r="N665">
            <v>1179.77020798895</v>
          </cell>
          <cell r="O665">
            <v>40940</v>
          </cell>
        </row>
        <row r="666">
          <cell r="G666" t="str">
            <v>3435000</v>
          </cell>
          <cell r="H666">
            <v>214.4838</v>
          </cell>
          <cell r="I666">
            <v>220.3819</v>
          </cell>
          <cell r="J666" t="str">
            <v>Income Statement</v>
          </cell>
          <cell r="K666" t="str">
            <v>Operating expenses</v>
          </cell>
          <cell r="L666" t="str">
            <v>Printing, Postage and Stationary</v>
          </cell>
          <cell r="N666">
            <v>8881.8546350675806</v>
          </cell>
          <cell r="O666">
            <v>40940</v>
          </cell>
        </row>
        <row r="667">
          <cell r="G667" t="str">
            <v>3435000</v>
          </cell>
          <cell r="H667">
            <v>214.4838</v>
          </cell>
          <cell r="I667">
            <v>220.3819</v>
          </cell>
          <cell r="J667" t="str">
            <v>Income Statement</v>
          </cell>
          <cell r="K667" t="str">
            <v>Operating expenses</v>
          </cell>
          <cell r="L667" t="str">
            <v>Printing, Postage and Stationary</v>
          </cell>
          <cell r="N667">
            <v>5067.1130433125409</v>
          </cell>
          <cell r="O667">
            <v>40940</v>
          </cell>
        </row>
        <row r="668">
          <cell r="G668" t="str">
            <v>3435000</v>
          </cell>
          <cell r="H668">
            <v>214.4838</v>
          </cell>
          <cell r="I668">
            <v>220.3819</v>
          </cell>
          <cell r="J668" t="str">
            <v>Income Statement</v>
          </cell>
          <cell r="K668" t="str">
            <v>Operating expenses</v>
          </cell>
          <cell r="L668" t="str">
            <v>Printing, Postage and Stationary</v>
          </cell>
          <cell r="N668">
            <v>7006.9275199097565</v>
          </cell>
          <cell r="O668">
            <v>40940</v>
          </cell>
        </row>
        <row r="669">
          <cell r="G669" t="str">
            <v>3435000</v>
          </cell>
          <cell r="H669">
            <v>214.4838</v>
          </cell>
          <cell r="I669">
            <v>220.3819</v>
          </cell>
          <cell r="J669" t="str">
            <v>Income Statement</v>
          </cell>
          <cell r="K669" t="str">
            <v>Operating expenses</v>
          </cell>
          <cell r="L669" t="str">
            <v>Printing, Postage and Stationary</v>
          </cell>
          <cell r="N669">
            <v>15025.742177556323</v>
          </cell>
          <cell r="O669">
            <v>40940</v>
          </cell>
        </row>
        <row r="670">
          <cell r="G670" t="str">
            <v>3435000</v>
          </cell>
          <cell r="H670">
            <v>214.4838</v>
          </cell>
          <cell r="I670">
            <v>220.3819</v>
          </cell>
          <cell r="J670" t="str">
            <v>Income Statement</v>
          </cell>
          <cell r="K670" t="str">
            <v>Operating expenses</v>
          </cell>
          <cell r="L670" t="str">
            <v>Printing, Postage and Stationary</v>
          </cell>
          <cell r="N670">
            <v>7716.1130746218278</v>
          </cell>
          <cell r="O670">
            <v>40940</v>
          </cell>
        </row>
        <row r="671">
          <cell r="G671" t="str">
            <v>3435000</v>
          </cell>
          <cell r="H671">
            <v>214.4838</v>
          </cell>
          <cell r="I671">
            <v>220.3819</v>
          </cell>
          <cell r="J671" t="str">
            <v>Income Statement</v>
          </cell>
          <cell r="K671" t="str">
            <v>Operating expenses</v>
          </cell>
          <cell r="L671" t="str">
            <v>Printing, Postage and Stationary</v>
          </cell>
          <cell r="N671">
            <v>3084.7179373623694</v>
          </cell>
          <cell r="O671">
            <v>40940</v>
          </cell>
        </row>
        <row r="672">
          <cell r="G672" t="str">
            <v>3435000</v>
          </cell>
          <cell r="H672">
            <v>214.4838</v>
          </cell>
          <cell r="I672">
            <v>220.3819</v>
          </cell>
          <cell r="J672" t="str">
            <v>Income Statement</v>
          </cell>
          <cell r="K672" t="str">
            <v>Operating expenses</v>
          </cell>
          <cell r="L672" t="str">
            <v>Printing, Postage and Stationary</v>
          </cell>
          <cell r="N672">
            <v>2437.3281108838792</v>
          </cell>
          <cell r="O672">
            <v>40940</v>
          </cell>
        </row>
        <row r="673">
          <cell r="G673" t="str">
            <v>3435000</v>
          </cell>
          <cell r="H673">
            <v>214.4838</v>
          </cell>
          <cell r="I673">
            <v>220.3819</v>
          </cell>
          <cell r="J673" t="str">
            <v>Income Statement</v>
          </cell>
          <cell r="K673" t="str">
            <v>Operating expenses</v>
          </cell>
          <cell r="L673" t="str">
            <v>Printing, Postage and Stationary</v>
          </cell>
          <cell r="N673">
            <v>370559.37601953698</v>
          </cell>
          <cell r="O673">
            <v>40940</v>
          </cell>
        </row>
        <row r="674">
          <cell r="G674" t="str">
            <v>3435000</v>
          </cell>
          <cell r="H674">
            <v>214.4838</v>
          </cell>
          <cell r="I674">
            <v>220.3819</v>
          </cell>
          <cell r="J674" t="str">
            <v>Income Statement</v>
          </cell>
          <cell r="K674" t="str">
            <v>Operating expenses</v>
          </cell>
          <cell r="L674" t="str">
            <v>Printing, Postage and Stationary</v>
          </cell>
          <cell r="N674">
            <v>899888.06022636162</v>
          </cell>
          <cell r="O674">
            <v>40940</v>
          </cell>
        </row>
        <row r="675">
          <cell r="G675" t="str">
            <v>3437000</v>
          </cell>
          <cell r="H675">
            <v>214.4838</v>
          </cell>
          <cell r="I675">
            <v>220.3819</v>
          </cell>
          <cell r="J675" t="str">
            <v>Income Statement</v>
          </cell>
          <cell r="K675" t="str">
            <v>Operating expenses</v>
          </cell>
          <cell r="L675" t="str">
            <v>Placement fees</v>
          </cell>
          <cell r="N675">
            <v>82360.329954501707</v>
          </cell>
          <cell r="O675">
            <v>40940</v>
          </cell>
        </row>
        <row r="676">
          <cell r="G676" t="str">
            <v>3438000</v>
          </cell>
          <cell r="H676">
            <v>214.4838</v>
          </cell>
          <cell r="I676">
            <v>220.3819</v>
          </cell>
          <cell r="J676" t="str">
            <v>Income Statement</v>
          </cell>
          <cell r="K676" t="str">
            <v>Operating expenses</v>
          </cell>
          <cell r="L676" t="str">
            <v>Entertainment</v>
          </cell>
          <cell r="N676">
            <v>4155.0599209826214</v>
          </cell>
          <cell r="O676">
            <v>40940</v>
          </cell>
        </row>
        <row r="677">
          <cell r="G677" t="str">
            <v>3438000</v>
          </cell>
          <cell r="H677">
            <v>214.4838</v>
          </cell>
          <cell r="I677">
            <v>220.3819</v>
          </cell>
          <cell r="J677" t="str">
            <v>Income Statement</v>
          </cell>
          <cell r="K677" t="str">
            <v>Operating expenses</v>
          </cell>
          <cell r="L677" t="str">
            <v>Entertainment</v>
          </cell>
          <cell r="N677">
            <v>901.1629357946365</v>
          </cell>
          <cell r="O677">
            <v>40940</v>
          </cell>
        </row>
        <row r="678">
          <cell r="G678" t="str">
            <v>3438000</v>
          </cell>
          <cell r="H678">
            <v>214.4838</v>
          </cell>
          <cell r="I678">
            <v>220.3819</v>
          </cell>
          <cell r="J678" t="str">
            <v>Income Statement</v>
          </cell>
          <cell r="K678" t="str">
            <v>Operating expenses</v>
          </cell>
          <cell r="L678" t="str">
            <v>Entertainment</v>
          </cell>
          <cell r="N678">
            <v>2051.1004760372789</v>
          </cell>
          <cell r="O678">
            <v>40940</v>
          </cell>
        </row>
        <row r="679">
          <cell r="G679" t="str">
            <v>3438000</v>
          </cell>
          <cell r="H679">
            <v>214.4838</v>
          </cell>
          <cell r="I679">
            <v>220.3819</v>
          </cell>
          <cell r="J679" t="str">
            <v>Income Statement</v>
          </cell>
          <cell r="K679" t="str">
            <v>Operating expenses</v>
          </cell>
          <cell r="L679" t="str">
            <v>Entertainment</v>
          </cell>
          <cell r="N679">
            <v>3906.8544195326385</v>
          </cell>
          <cell r="O679">
            <v>40940</v>
          </cell>
        </row>
        <row r="680">
          <cell r="G680" t="str">
            <v>3438000</v>
          </cell>
          <cell r="H680">
            <v>214.4838</v>
          </cell>
          <cell r="I680">
            <v>220.3819</v>
          </cell>
          <cell r="J680" t="str">
            <v>Income Statement</v>
          </cell>
          <cell r="K680" t="str">
            <v>Operating expenses</v>
          </cell>
          <cell r="L680" t="str">
            <v>Entertainment</v>
          </cell>
          <cell r="N680">
            <v>2525.1620028686566</v>
          </cell>
          <cell r="O680">
            <v>40940</v>
          </cell>
        </row>
        <row r="681">
          <cell r="G681" t="str">
            <v>3438000</v>
          </cell>
          <cell r="H681">
            <v>214.4838</v>
          </cell>
          <cell r="I681">
            <v>220.3819</v>
          </cell>
          <cell r="J681" t="str">
            <v>Income Statement</v>
          </cell>
          <cell r="K681" t="str">
            <v>Operating expenses</v>
          </cell>
          <cell r="L681" t="str">
            <v>Entertainment</v>
          </cell>
          <cell r="N681">
            <v>222.34130842868674</v>
          </cell>
          <cell r="O681">
            <v>40940</v>
          </cell>
        </row>
        <row r="682">
          <cell r="G682" t="str">
            <v>3438000</v>
          </cell>
          <cell r="H682">
            <v>214.4838</v>
          </cell>
          <cell r="I682">
            <v>220.3819</v>
          </cell>
          <cell r="J682" t="str">
            <v>Income Statement</v>
          </cell>
          <cell r="K682" t="str">
            <v>Operating expenses</v>
          </cell>
          <cell r="L682" t="str">
            <v>Entertainment</v>
          </cell>
          <cell r="N682">
            <v>1100.3625978358477</v>
          </cell>
          <cell r="O682">
            <v>40940</v>
          </cell>
        </row>
        <row r="683">
          <cell r="G683" t="str">
            <v>3438000</v>
          </cell>
          <cell r="H683">
            <v>214.4838</v>
          </cell>
          <cell r="I683">
            <v>220.3819</v>
          </cell>
          <cell r="J683" t="str">
            <v>Income Statement</v>
          </cell>
          <cell r="K683" t="str">
            <v>Operating expenses</v>
          </cell>
          <cell r="L683" t="str">
            <v>Entertainment</v>
          </cell>
          <cell r="N683">
            <v>1031.845174218028</v>
          </cell>
          <cell r="O683">
            <v>40940</v>
          </cell>
        </row>
        <row r="684">
          <cell r="G684" t="str">
            <v>3438000</v>
          </cell>
          <cell r="H684">
            <v>214.4838</v>
          </cell>
          <cell r="I684">
            <v>220.3819</v>
          </cell>
          <cell r="J684" t="str">
            <v>Income Statement</v>
          </cell>
          <cell r="K684" t="str">
            <v>Operating expenses</v>
          </cell>
          <cell r="L684" t="str">
            <v>Entertainment</v>
          </cell>
          <cell r="N684">
            <v>3659.1026758549592</v>
          </cell>
          <cell r="O684">
            <v>40940</v>
          </cell>
        </row>
        <row r="685">
          <cell r="G685" t="str">
            <v>3438000</v>
          </cell>
          <cell r="H685">
            <v>214.4838</v>
          </cell>
          <cell r="I685">
            <v>220.3819</v>
          </cell>
          <cell r="J685" t="str">
            <v>Income Statement</v>
          </cell>
          <cell r="K685" t="str">
            <v>Operating expenses</v>
          </cell>
          <cell r="L685" t="str">
            <v>Entertainment</v>
          </cell>
          <cell r="N685">
            <v>52795.743207586464</v>
          </cell>
          <cell r="O685">
            <v>40940</v>
          </cell>
        </row>
        <row r="686">
          <cell r="G686" t="str">
            <v>3439000</v>
          </cell>
          <cell r="H686">
            <v>214.4838</v>
          </cell>
          <cell r="I686">
            <v>220.3819</v>
          </cell>
          <cell r="J686" t="str">
            <v>Income Statement</v>
          </cell>
          <cell r="K686" t="str">
            <v>Operating expenses</v>
          </cell>
          <cell r="L686" t="str">
            <v>Repairs and Maintenance</v>
          </cell>
          <cell r="M686" t="str">
            <v>Computers</v>
          </cell>
          <cell r="N686">
            <v>1746.9674233682531</v>
          </cell>
          <cell r="O686">
            <v>40940</v>
          </cell>
        </row>
        <row r="687">
          <cell r="G687" t="str">
            <v>3439000</v>
          </cell>
          <cell r="H687">
            <v>214.4838</v>
          </cell>
          <cell r="I687">
            <v>220.3819</v>
          </cell>
          <cell r="J687" t="str">
            <v>Income Statement</v>
          </cell>
          <cell r="K687" t="str">
            <v>Operating expenses</v>
          </cell>
          <cell r="L687" t="str">
            <v>Repairs and Maintenance</v>
          </cell>
          <cell r="M687" t="str">
            <v>Computers</v>
          </cell>
          <cell r="N687">
            <v>136.12733169103271</v>
          </cell>
          <cell r="O687">
            <v>40940</v>
          </cell>
        </row>
        <row r="688">
          <cell r="G688" t="str">
            <v>3439000</v>
          </cell>
          <cell r="H688">
            <v>214.4838</v>
          </cell>
          <cell r="I688">
            <v>220.3819</v>
          </cell>
          <cell r="J688" t="str">
            <v>Income Statement</v>
          </cell>
          <cell r="K688" t="str">
            <v>Operating expenses</v>
          </cell>
          <cell r="L688" t="str">
            <v>Repairs and Maintenance</v>
          </cell>
          <cell r="M688" t="str">
            <v>Computers</v>
          </cell>
          <cell r="N688">
            <v>11.343944307586058</v>
          </cell>
          <cell r="O688">
            <v>40940</v>
          </cell>
        </row>
        <row r="689">
          <cell r="G689" t="str">
            <v>3439000</v>
          </cell>
          <cell r="H689">
            <v>214.4838</v>
          </cell>
          <cell r="I689">
            <v>220.3819</v>
          </cell>
          <cell r="J689" t="str">
            <v>Income Statement</v>
          </cell>
          <cell r="K689" t="str">
            <v>Operating expenses</v>
          </cell>
          <cell r="L689" t="str">
            <v>Repairs and Maintenance</v>
          </cell>
          <cell r="M689" t="str">
            <v>Computers</v>
          </cell>
          <cell r="N689">
            <v>7147.592429323824</v>
          </cell>
          <cell r="O689">
            <v>40940</v>
          </cell>
        </row>
        <row r="690">
          <cell r="G690" t="str">
            <v>3440000</v>
          </cell>
          <cell r="H690">
            <v>214.4838</v>
          </cell>
          <cell r="I690">
            <v>220.3819</v>
          </cell>
          <cell r="J690" t="str">
            <v>Income Statement</v>
          </cell>
          <cell r="K690" t="str">
            <v>Operating expenses</v>
          </cell>
          <cell r="L690" t="str">
            <v>Repairs and Maintenance</v>
          </cell>
          <cell r="M690" t="str">
            <v>Office Equipment</v>
          </cell>
          <cell r="N690">
            <v>117.97702079889501</v>
          </cell>
          <cell r="O690">
            <v>40940</v>
          </cell>
        </row>
        <row r="691">
          <cell r="G691" t="str">
            <v>3440000</v>
          </cell>
          <cell r="H691">
            <v>214.4838</v>
          </cell>
          <cell r="I691">
            <v>220.3819</v>
          </cell>
          <cell r="J691" t="str">
            <v>Income Statement</v>
          </cell>
          <cell r="K691" t="str">
            <v>Operating expenses</v>
          </cell>
          <cell r="L691" t="str">
            <v>Repairs and Maintenance</v>
          </cell>
          <cell r="M691" t="str">
            <v>Office Equipment</v>
          </cell>
          <cell r="N691">
            <v>272.25466338206542</v>
          </cell>
          <cell r="O691">
            <v>40940</v>
          </cell>
        </row>
        <row r="692">
          <cell r="G692" t="str">
            <v>3440000</v>
          </cell>
          <cell r="H692">
            <v>214.4838</v>
          </cell>
          <cell r="I692">
            <v>220.3819</v>
          </cell>
          <cell r="J692" t="str">
            <v>Income Statement</v>
          </cell>
          <cell r="K692" t="str">
            <v>Operating expenses</v>
          </cell>
          <cell r="L692" t="str">
            <v>Repairs and Maintenance</v>
          </cell>
          <cell r="M692" t="str">
            <v>Office Equipment</v>
          </cell>
          <cell r="N692">
            <v>13.61273316910327</v>
          </cell>
          <cell r="O692">
            <v>40940</v>
          </cell>
        </row>
        <row r="693">
          <cell r="G693" t="str">
            <v>3440000</v>
          </cell>
          <cell r="H693">
            <v>214.4838</v>
          </cell>
          <cell r="I693">
            <v>220.3819</v>
          </cell>
          <cell r="J693" t="str">
            <v>Income Statement</v>
          </cell>
          <cell r="K693" t="str">
            <v>Operating expenses</v>
          </cell>
          <cell r="L693" t="str">
            <v>Repairs and Maintenance</v>
          </cell>
          <cell r="M693" t="str">
            <v>Office Equipment</v>
          </cell>
          <cell r="N693">
            <v>738.71765331000415</v>
          </cell>
          <cell r="O693">
            <v>40940</v>
          </cell>
        </row>
        <row r="694">
          <cell r="G694" t="str">
            <v>3440000</v>
          </cell>
          <cell r="H694">
            <v>214.4838</v>
          </cell>
          <cell r="I694">
            <v>220.3819</v>
          </cell>
          <cell r="J694" t="str">
            <v>Income Statement</v>
          </cell>
          <cell r="K694" t="str">
            <v>Operating expenses</v>
          </cell>
          <cell r="L694" t="str">
            <v>Repairs and Maintenance</v>
          </cell>
          <cell r="M694" t="str">
            <v>Office Equipment</v>
          </cell>
          <cell r="N694">
            <v>499.13354953378655</v>
          </cell>
          <cell r="O694">
            <v>40940</v>
          </cell>
        </row>
        <row r="695">
          <cell r="G695" t="str">
            <v>3440000</v>
          </cell>
          <cell r="H695">
            <v>214.4838</v>
          </cell>
          <cell r="I695">
            <v>220.3819</v>
          </cell>
          <cell r="J695" t="str">
            <v>Income Statement</v>
          </cell>
          <cell r="K695" t="str">
            <v>Operating expenses</v>
          </cell>
          <cell r="L695" t="str">
            <v>Repairs and Maintenance</v>
          </cell>
          <cell r="M695" t="str">
            <v>Office Equipment</v>
          </cell>
          <cell r="N695">
            <v>3579.2720727065152</v>
          </cell>
          <cell r="O695">
            <v>40940</v>
          </cell>
        </row>
        <row r="696">
          <cell r="G696" t="str">
            <v>3440000</v>
          </cell>
          <cell r="H696">
            <v>214.4838</v>
          </cell>
          <cell r="I696">
            <v>220.3819</v>
          </cell>
          <cell r="J696" t="str">
            <v>Income Statement</v>
          </cell>
          <cell r="K696" t="str">
            <v>Operating expenses</v>
          </cell>
          <cell r="L696" t="str">
            <v>Repairs and Maintenance</v>
          </cell>
          <cell r="M696" t="str">
            <v>Office Equipment</v>
          </cell>
          <cell r="N696">
            <v>5261.0944909722621</v>
          </cell>
          <cell r="O696">
            <v>40940</v>
          </cell>
        </row>
        <row r="697">
          <cell r="G697" t="str">
            <v>3441000</v>
          </cell>
          <cell r="H697">
            <v>214.4838</v>
          </cell>
          <cell r="I697">
            <v>220.3819</v>
          </cell>
          <cell r="J697" t="str">
            <v>Income Statement</v>
          </cell>
          <cell r="K697" t="str">
            <v>Operating expenses</v>
          </cell>
          <cell r="L697" t="str">
            <v>Repairs and Maintenance</v>
          </cell>
          <cell r="M697" t="str">
            <v>Premisis</v>
          </cell>
          <cell r="N697">
            <v>136.12733169103271</v>
          </cell>
          <cell r="O697">
            <v>40940</v>
          </cell>
        </row>
        <row r="698">
          <cell r="G698" t="str">
            <v>3441000</v>
          </cell>
          <cell r="H698">
            <v>214.4838</v>
          </cell>
          <cell r="I698">
            <v>220.3819</v>
          </cell>
          <cell r="J698" t="str">
            <v>Income Statement</v>
          </cell>
          <cell r="K698" t="str">
            <v>Operating expenses</v>
          </cell>
          <cell r="L698" t="str">
            <v>Repairs and Maintenance</v>
          </cell>
          <cell r="M698" t="str">
            <v>Premisis</v>
          </cell>
          <cell r="N698">
            <v>351.6622735351678</v>
          </cell>
          <cell r="O698">
            <v>40940</v>
          </cell>
        </row>
        <row r="699">
          <cell r="G699" t="str">
            <v>3441000</v>
          </cell>
          <cell r="H699">
            <v>214.4838</v>
          </cell>
          <cell r="I699">
            <v>220.3819</v>
          </cell>
          <cell r="J699" t="str">
            <v>Income Statement</v>
          </cell>
          <cell r="K699" t="str">
            <v>Operating expenses</v>
          </cell>
          <cell r="L699" t="str">
            <v>Repairs and Maintenance</v>
          </cell>
          <cell r="M699" t="str">
            <v>Premisis</v>
          </cell>
          <cell r="N699">
            <v>4537.5777230344238</v>
          </cell>
          <cell r="O699">
            <v>40940</v>
          </cell>
        </row>
        <row r="700">
          <cell r="G700" t="str">
            <v>3441000</v>
          </cell>
          <cell r="H700">
            <v>214.4838</v>
          </cell>
          <cell r="I700">
            <v>220.3819</v>
          </cell>
          <cell r="J700" t="str">
            <v>Income Statement</v>
          </cell>
          <cell r="K700" t="str">
            <v>Operating expenses</v>
          </cell>
          <cell r="L700" t="str">
            <v>Repairs and Maintenance</v>
          </cell>
          <cell r="M700" t="str">
            <v>Premisis</v>
          </cell>
          <cell r="N700">
            <v>644.33603667088812</v>
          </cell>
          <cell r="O700">
            <v>40940</v>
          </cell>
        </row>
        <row r="701">
          <cell r="G701" t="str">
            <v>3441000</v>
          </cell>
          <cell r="H701">
            <v>214.4838</v>
          </cell>
          <cell r="I701">
            <v>220.3819</v>
          </cell>
          <cell r="J701" t="str">
            <v>Income Statement</v>
          </cell>
          <cell r="K701" t="str">
            <v>Operating expenses</v>
          </cell>
          <cell r="L701" t="str">
            <v>Repairs and Maintenance</v>
          </cell>
          <cell r="M701" t="str">
            <v>Premisis</v>
          </cell>
          <cell r="N701">
            <v>5677.4326294491511</v>
          </cell>
          <cell r="O701">
            <v>40940</v>
          </cell>
        </row>
        <row r="702">
          <cell r="G702" t="str">
            <v>3442000</v>
          </cell>
          <cell r="H702">
            <v>214.4838</v>
          </cell>
          <cell r="I702">
            <v>220.3819</v>
          </cell>
          <cell r="J702" t="str">
            <v>Income Statement</v>
          </cell>
          <cell r="K702" t="str">
            <v>Operating expenses</v>
          </cell>
          <cell r="L702" t="str">
            <v>Repairs and Maintenance</v>
          </cell>
          <cell r="M702" t="str">
            <v>Vehicles</v>
          </cell>
          <cell r="N702">
            <v>29021.369132401524</v>
          </cell>
          <cell r="O702">
            <v>40940</v>
          </cell>
        </row>
        <row r="703">
          <cell r="G703" t="str">
            <v>3442000</v>
          </cell>
          <cell r="H703">
            <v>214.4838</v>
          </cell>
          <cell r="I703">
            <v>220.3819</v>
          </cell>
          <cell r="J703" t="str">
            <v>Income Statement</v>
          </cell>
          <cell r="K703" t="str">
            <v>Operating expenses</v>
          </cell>
          <cell r="L703" t="str">
            <v>Repairs and Maintenance</v>
          </cell>
          <cell r="M703" t="str">
            <v>Vehicles</v>
          </cell>
          <cell r="N703">
            <v>23845.647714263287</v>
          </cell>
          <cell r="O703">
            <v>40940</v>
          </cell>
        </row>
        <row r="704">
          <cell r="G704" t="str">
            <v>3443000</v>
          </cell>
          <cell r="H704">
            <v>214.4838</v>
          </cell>
          <cell r="I704">
            <v>220.3819</v>
          </cell>
          <cell r="J704" t="str">
            <v>Income Statement</v>
          </cell>
          <cell r="K704" t="str">
            <v>Operating expenses</v>
          </cell>
          <cell r="L704" t="str">
            <v>Security</v>
          </cell>
          <cell r="N704">
            <v>12418.400830558227</v>
          </cell>
          <cell r="O704">
            <v>40940</v>
          </cell>
        </row>
        <row r="705">
          <cell r="G705" t="str">
            <v>3443000</v>
          </cell>
          <cell r="H705">
            <v>214.4838</v>
          </cell>
          <cell r="I705">
            <v>220.3819</v>
          </cell>
          <cell r="J705" t="str">
            <v>Income Statement</v>
          </cell>
          <cell r="K705" t="str">
            <v>Operating expenses</v>
          </cell>
          <cell r="L705" t="str">
            <v>Security</v>
          </cell>
          <cell r="N705">
            <v>-2041.9099753654905</v>
          </cell>
          <cell r="O705">
            <v>40940</v>
          </cell>
        </row>
        <row r="706">
          <cell r="G706" t="str">
            <v>3443000</v>
          </cell>
          <cell r="H706">
            <v>214.4838</v>
          </cell>
          <cell r="I706">
            <v>220.3819</v>
          </cell>
          <cell r="J706" t="str">
            <v>Income Statement</v>
          </cell>
          <cell r="K706" t="str">
            <v>Operating expenses</v>
          </cell>
          <cell r="L706" t="str">
            <v>Security</v>
          </cell>
          <cell r="N706">
            <v>-3948.6001345845552</v>
          </cell>
          <cell r="O706">
            <v>40940</v>
          </cell>
        </row>
        <row r="707">
          <cell r="G707" t="str">
            <v>3443000</v>
          </cell>
          <cell r="H707">
            <v>214.4838</v>
          </cell>
          <cell r="I707">
            <v>220.3819</v>
          </cell>
          <cell r="J707" t="str">
            <v>Income Statement</v>
          </cell>
          <cell r="K707" t="str">
            <v>Operating expenses</v>
          </cell>
          <cell r="L707" t="str">
            <v>Security</v>
          </cell>
          <cell r="N707">
            <v>-6230.6197559781458</v>
          </cell>
          <cell r="O707">
            <v>40940</v>
          </cell>
        </row>
        <row r="708">
          <cell r="G708" t="str">
            <v>3445000</v>
          </cell>
          <cell r="H708">
            <v>214.4838</v>
          </cell>
          <cell r="I708">
            <v>220.3819</v>
          </cell>
          <cell r="J708" t="str">
            <v>Income Statement</v>
          </cell>
          <cell r="K708" t="str">
            <v>Operating expenses</v>
          </cell>
          <cell r="L708" t="str">
            <v>Telephone and Fax</v>
          </cell>
          <cell r="M708" t="str">
            <v>Data</v>
          </cell>
          <cell r="N708">
            <v>884.82765599171262</v>
          </cell>
          <cell r="O708">
            <v>40940</v>
          </cell>
        </row>
        <row r="709">
          <cell r="G709" t="str">
            <v>3447000</v>
          </cell>
          <cell r="H709">
            <v>214.4838</v>
          </cell>
          <cell r="I709">
            <v>220.3819</v>
          </cell>
          <cell r="J709" t="str">
            <v>Income Statement</v>
          </cell>
          <cell r="K709" t="str">
            <v>Operating expenses</v>
          </cell>
          <cell r="L709" t="str">
            <v>Telephone and Fax</v>
          </cell>
          <cell r="M709" t="str">
            <v>Data</v>
          </cell>
          <cell r="N709">
            <v>22587.148717748598</v>
          </cell>
          <cell r="O709">
            <v>40940</v>
          </cell>
        </row>
        <row r="710">
          <cell r="G710" t="str">
            <v>3447000</v>
          </cell>
          <cell r="H710">
            <v>214.4838</v>
          </cell>
          <cell r="I710">
            <v>220.3819</v>
          </cell>
          <cell r="J710" t="str">
            <v>Income Statement</v>
          </cell>
          <cell r="K710" t="str">
            <v>Operating expenses</v>
          </cell>
          <cell r="L710" t="str">
            <v>Telephone and Fax</v>
          </cell>
          <cell r="M710" t="str">
            <v>Data</v>
          </cell>
          <cell r="N710">
            <v>15709.094077145173</v>
          </cell>
          <cell r="O710">
            <v>40940</v>
          </cell>
        </row>
        <row r="711">
          <cell r="G711" t="str">
            <v>3447000</v>
          </cell>
          <cell r="H711">
            <v>214.4838</v>
          </cell>
          <cell r="I711">
            <v>220.3819</v>
          </cell>
          <cell r="J711" t="str">
            <v>Income Statement</v>
          </cell>
          <cell r="K711" t="str">
            <v>Operating expenses</v>
          </cell>
          <cell r="L711" t="str">
            <v>Telephone and Fax</v>
          </cell>
          <cell r="M711" t="str">
            <v>Data</v>
          </cell>
          <cell r="N711">
            <v>29913.981139104435</v>
          </cell>
          <cell r="O711">
            <v>40940</v>
          </cell>
        </row>
        <row r="712">
          <cell r="G712" t="str">
            <v>3447000</v>
          </cell>
          <cell r="H712">
            <v>214.4838</v>
          </cell>
          <cell r="I712">
            <v>220.3819</v>
          </cell>
          <cell r="J712" t="str">
            <v>Income Statement</v>
          </cell>
          <cell r="K712" t="str">
            <v>Operating expenses</v>
          </cell>
          <cell r="L712" t="str">
            <v>Telephone and Fax</v>
          </cell>
          <cell r="M712" t="str">
            <v>Data</v>
          </cell>
          <cell r="N712">
            <v>111917.2476505557</v>
          </cell>
          <cell r="O712">
            <v>40940</v>
          </cell>
        </row>
        <row r="713">
          <cell r="G713" t="str">
            <v>3447000</v>
          </cell>
          <cell r="H713">
            <v>214.4838</v>
          </cell>
          <cell r="I713">
            <v>220.3819</v>
          </cell>
          <cell r="J713" t="str">
            <v>Income Statement</v>
          </cell>
          <cell r="K713" t="str">
            <v>Operating expenses</v>
          </cell>
          <cell r="L713" t="str">
            <v>Telephone and Fax</v>
          </cell>
          <cell r="M713" t="str">
            <v>Data</v>
          </cell>
          <cell r="N713">
            <v>32229.501288445197</v>
          </cell>
          <cell r="O713">
            <v>40940</v>
          </cell>
        </row>
        <row r="714">
          <cell r="G714" t="str">
            <v>3447000</v>
          </cell>
          <cell r="H714">
            <v>214.4838</v>
          </cell>
          <cell r="I714">
            <v>220.3819</v>
          </cell>
          <cell r="J714" t="str">
            <v>Income Statement</v>
          </cell>
          <cell r="K714" t="str">
            <v>Operating expenses</v>
          </cell>
          <cell r="L714" t="str">
            <v>Telephone and Fax</v>
          </cell>
          <cell r="M714" t="str">
            <v>Data</v>
          </cell>
          <cell r="N714">
            <v>26713.627571048259</v>
          </cell>
          <cell r="O714">
            <v>40940</v>
          </cell>
        </row>
        <row r="715">
          <cell r="G715" t="str">
            <v>3447000</v>
          </cell>
          <cell r="H715">
            <v>214.4838</v>
          </cell>
          <cell r="I715">
            <v>220.3819</v>
          </cell>
          <cell r="J715" t="str">
            <v>Income Statement</v>
          </cell>
          <cell r="K715" t="str">
            <v>Operating expenses</v>
          </cell>
          <cell r="L715" t="str">
            <v>Telephone and Fax</v>
          </cell>
          <cell r="M715" t="str">
            <v>Data</v>
          </cell>
          <cell r="N715">
            <v>42498.039766423652</v>
          </cell>
          <cell r="O715">
            <v>40940</v>
          </cell>
        </row>
        <row r="716">
          <cell r="G716" t="str">
            <v>3447000</v>
          </cell>
          <cell r="H716">
            <v>214.4838</v>
          </cell>
          <cell r="I716">
            <v>220.3819</v>
          </cell>
          <cell r="J716" t="str">
            <v>Income Statement</v>
          </cell>
          <cell r="K716" t="str">
            <v>Operating expenses</v>
          </cell>
          <cell r="L716" t="str">
            <v>Telephone and Fax</v>
          </cell>
          <cell r="M716" t="str">
            <v>Data</v>
          </cell>
          <cell r="N716">
            <v>32229.50137919675</v>
          </cell>
          <cell r="O716">
            <v>40940</v>
          </cell>
        </row>
        <row r="717">
          <cell r="G717" t="str">
            <v>3447000</v>
          </cell>
          <cell r="H717">
            <v>214.4838</v>
          </cell>
          <cell r="I717">
            <v>220.3819</v>
          </cell>
          <cell r="J717" t="str">
            <v>Income Statement</v>
          </cell>
          <cell r="K717" t="str">
            <v>Operating expenses</v>
          </cell>
          <cell r="L717" t="str">
            <v>Telephone and Fax</v>
          </cell>
          <cell r="M717" t="str">
            <v>Data</v>
          </cell>
          <cell r="N717">
            <v>24050.517533427199</v>
          </cell>
          <cell r="O717">
            <v>40940</v>
          </cell>
        </row>
        <row r="718">
          <cell r="G718" t="str">
            <v>3447000</v>
          </cell>
          <cell r="H718">
            <v>214.4838</v>
          </cell>
          <cell r="I718">
            <v>220.3819</v>
          </cell>
          <cell r="J718" t="str">
            <v>Income Statement</v>
          </cell>
          <cell r="K718" t="str">
            <v>Operating expenses</v>
          </cell>
          <cell r="L718" t="str">
            <v>Telephone and Fax</v>
          </cell>
          <cell r="M718" t="str">
            <v>Data</v>
          </cell>
          <cell r="N718">
            <v>128277.01716883283</v>
          </cell>
          <cell r="O718">
            <v>40940</v>
          </cell>
        </row>
        <row r="719">
          <cell r="G719" t="str">
            <v>3447000</v>
          </cell>
          <cell r="H719">
            <v>214.4838</v>
          </cell>
          <cell r="I719">
            <v>220.3819</v>
          </cell>
          <cell r="J719" t="str">
            <v>Income Statement</v>
          </cell>
          <cell r="K719" t="str">
            <v>Operating expenses</v>
          </cell>
          <cell r="L719" t="str">
            <v>Telephone and Fax</v>
          </cell>
          <cell r="M719" t="str">
            <v>Data</v>
          </cell>
          <cell r="N719">
            <v>510691.70190473896</v>
          </cell>
          <cell r="O719">
            <v>40940</v>
          </cell>
        </row>
        <row r="720">
          <cell r="G720" t="str">
            <v>3448000</v>
          </cell>
          <cell r="H720">
            <v>214.4838</v>
          </cell>
          <cell r="I720">
            <v>220.3819</v>
          </cell>
          <cell r="J720" t="str">
            <v>Income Statement</v>
          </cell>
          <cell r="K720" t="str">
            <v>Operating expenses</v>
          </cell>
          <cell r="L720" t="str">
            <v>Telephone and Fax</v>
          </cell>
          <cell r="M720" t="str">
            <v>Landline</v>
          </cell>
          <cell r="N720">
            <v>16513.182616176739</v>
          </cell>
          <cell r="O720">
            <v>40940</v>
          </cell>
        </row>
        <row r="721">
          <cell r="G721" t="str">
            <v>3448000</v>
          </cell>
          <cell r="H721">
            <v>214.4838</v>
          </cell>
          <cell r="I721">
            <v>220.3819</v>
          </cell>
          <cell r="J721" t="str">
            <v>Income Statement</v>
          </cell>
          <cell r="K721" t="str">
            <v>Operating expenses</v>
          </cell>
          <cell r="L721" t="str">
            <v>Telephone and Fax</v>
          </cell>
          <cell r="M721" t="str">
            <v>Landline</v>
          </cell>
          <cell r="N721">
            <v>9228.9717531249171</v>
          </cell>
          <cell r="O721">
            <v>40940</v>
          </cell>
        </row>
        <row r="722">
          <cell r="G722" t="str">
            <v>3448000</v>
          </cell>
          <cell r="H722">
            <v>214.4838</v>
          </cell>
          <cell r="I722">
            <v>220.3819</v>
          </cell>
          <cell r="J722" t="str">
            <v>Income Statement</v>
          </cell>
          <cell r="K722" t="str">
            <v>Operating expenses</v>
          </cell>
          <cell r="L722" t="str">
            <v>Telephone and Fax</v>
          </cell>
          <cell r="M722" t="str">
            <v>Landline</v>
          </cell>
          <cell r="N722">
            <v>12651.381851231883</v>
          </cell>
          <cell r="O722">
            <v>40940</v>
          </cell>
        </row>
        <row r="723">
          <cell r="G723" t="str">
            <v>3448000</v>
          </cell>
          <cell r="H723">
            <v>214.4838</v>
          </cell>
          <cell r="I723">
            <v>220.3819</v>
          </cell>
          <cell r="J723" t="str">
            <v>Income Statement</v>
          </cell>
          <cell r="K723" t="str">
            <v>Operating expenses</v>
          </cell>
          <cell r="L723" t="str">
            <v>Telephone and Fax</v>
          </cell>
          <cell r="M723" t="str">
            <v>Landline</v>
          </cell>
          <cell r="N723">
            <v>10767.133598539625</v>
          </cell>
          <cell r="O723">
            <v>40940</v>
          </cell>
        </row>
        <row r="724">
          <cell r="G724" t="str">
            <v>3448000</v>
          </cell>
          <cell r="H724">
            <v>214.4838</v>
          </cell>
          <cell r="I724">
            <v>220.3819</v>
          </cell>
          <cell r="J724" t="str">
            <v>Income Statement</v>
          </cell>
          <cell r="K724" t="str">
            <v>Operating expenses</v>
          </cell>
          <cell r="L724" t="str">
            <v>Telephone and Fax</v>
          </cell>
          <cell r="M724" t="str">
            <v>Landline</v>
          </cell>
          <cell r="N724">
            <v>13843.457380120599</v>
          </cell>
          <cell r="O724">
            <v>40940</v>
          </cell>
        </row>
        <row r="725">
          <cell r="G725" t="str">
            <v>3448000</v>
          </cell>
          <cell r="H725">
            <v>214.4838</v>
          </cell>
          <cell r="I725">
            <v>220.3819</v>
          </cell>
          <cell r="J725" t="str">
            <v>Income Statement</v>
          </cell>
          <cell r="K725" t="str">
            <v>Operating expenses</v>
          </cell>
          <cell r="L725" t="str">
            <v>Telephone and Fax</v>
          </cell>
          <cell r="M725" t="str">
            <v>Landline</v>
          </cell>
          <cell r="N725">
            <v>15885.367355486091</v>
          </cell>
          <cell r="O725">
            <v>40940</v>
          </cell>
        </row>
        <row r="726">
          <cell r="G726" t="str">
            <v>3448000</v>
          </cell>
          <cell r="H726">
            <v>214.4838</v>
          </cell>
          <cell r="I726">
            <v>220.3819</v>
          </cell>
          <cell r="J726" t="str">
            <v>Income Statement</v>
          </cell>
          <cell r="K726" t="str">
            <v>Operating expenses</v>
          </cell>
          <cell r="L726" t="str">
            <v>Telephone and Fax</v>
          </cell>
          <cell r="M726" t="str">
            <v>Landline</v>
          </cell>
          <cell r="N726">
            <v>11130.13981638238</v>
          </cell>
          <cell r="O726">
            <v>40940</v>
          </cell>
        </row>
        <row r="727">
          <cell r="G727" t="str">
            <v>3448000</v>
          </cell>
          <cell r="H727">
            <v>214.4838</v>
          </cell>
          <cell r="I727">
            <v>220.3819</v>
          </cell>
          <cell r="J727" t="str">
            <v>Income Statement</v>
          </cell>
          <cell r="K727" t="str">
            <v>Operating expenses</v>
          </cell>
          <cell r="L727" t="str">
            <v>Telephone and Fax</v>
          </cell>
          <cell r="M727" t="str">
            <v>Landline</v>
          </cell>
          <cell r="N727">
            <v>10767.133598539625</v>
          </cell>
          <cell r="O727">
            <v>40940</v>
          </cell>
        </row>
        <row r="728">
          <cell r="G728" t="str">
            <v>3448000</v>
          </cell>
          <cell r="H728">
            <v>214.4838</v>
          </cell>
          <cell r="I728">
            <v>220.3819</v>
          </cell>
          <cell r="J728" t="str">
            <v>Income Statement</v>
          </cell>
          <cell r="K728" t="str">
            <v>Operating expenses</v>
          </cell>
          <cell r="L728" t="str">
            <v>Telephone and Fax</v>
          </cell>
          <cell r="M728" t="str">
            <v>Landline</v>
          </cell>
          <cell r="N728">
            <v>13843.457380120599</v>
          </cell>
          <cell r="O728">
            <v>40940</v>
          </cell>
        </row>
        <row r="729">
          <cell r="G729" t="str">
            <v>3448000</v>
          </cell>
          <cell r="H729">
            <v>214.4838</v>
          </cell>
          <cell r="I729">
            <v>220.3819</v>
          </cell>
          <cell r="J729" t="str">
            <v>Income Statement</v>
          </cell>
          <cell r="K729" t="str">
            <v>Operating expenses</v>
          </cell>
          <cell r="L729" t="str">
            <v>Telephone and Fax</v>
          </cell>
          <cell r="M729" t="str">
            <v>Landline</v>
          </cell>
          <cell r="N729">
            <v>21699.306612748143</v>
          </cell>
          <cell r="O729">
            <v>40940</v>
          </cell>
        </row>
        <row r="730">
          <cell r="G730" t="str">
            <v>3448000</v>
          </cell>
          <cell r="H730">
            <v>214.4838</v>
          </cell>
          <cell r="I730">
            <v>220.3819</v>
          </cell>
          <cell r="J730" t="str">
            <v>Income Statement</v>
          </cell>
          <cell r="K730" t="str">
            <v>Operating expenses</v>
          </cell>
          <cell r="L730" t="str">
            <v>Telephone and Fax</v>
          </cell>
          <cell r="M730" t="str">
            <v>Landline</v>
          </cell>
          <cell r="N730">
            <v>115164.47035804664</v>
          </cell>
          <cell r="O730">
            <v>40940</v>
          </cell>
        </row>
        <row r="731">
          <cell r="G731" t="str">
            <v>3449000</v>
          </cell>
          <cell r="H731">
            <v>214.4838</v>
          </cell>
          <cell r="I731">
            <v>220.3819</v>
          </cell>
          <cell r="J731" t="str">
            <v>Income Statement</v>
          </cell>
          <cell r="K731" t="str">
            <v>Operating expenses</v>
          </cell>
          <cell r="L731" t="str">
            <v>Telephone and Fax</v>
          </cell>
          <cell r="M731" t="str">
            <v>Mobile</v>
          </cell>
          <cell r="N731">
            <v>183658.45833981829</v>
          </cell>
          <cell r="O731">
            <v>40940</v>
          </cell>
        </row>
        <row r="732">
          <cell r="G732" t="str">
            <v>3449000</v>
          </cell>
          <cell r="H732">
            <v>214.4838</v>
          </cell>
          <cell r="I732">
            <v>220.3819</v>
          </cell>
          <cell r="J732" t="str">
            <v>Income Statement</v>
          </cell>
          <cell r="K732" t="str">
            <v>Operating expenses</v>
          </cell>
          <cell r="L732" t="str">
            <v>Telephone and Fax</v>
          </cell>
          <cell r="M732" t="str">
            <v>Mobile</v>
          </cell>
          <cell r="N732">
            <v>45.375777230344234</v>
          </cell>
          <cell r="O732">
            <v>40940</v>
          </cell>
        </row>
        <row r="733">
          <cell r="G733" t="str">
            <v>3449000</v>
          </cell>
          <cell r="H733">
            <v>214.4838</v>
          </cell>
          <cell r="I733">
            <v>220.3819</v>
          </cell>
          <cell r="J733" t="str">
            <v>Income Statement</v>
          </cell>
          <cell r="K733" t="str">
            <v>Operating expenses</v>
          </cell>
          <cell r="L733" t="str">
            <v>Telephone and Fax</v>
          </cell>
          <cell r="M733" t="str">
            <v>Mobile</v>
          </cell>
          <cell r="N733">
            <v>1111.7065421434338</v>
          </cell>
          <cell r="O733">
            <v>40940</v>
          </cell>
        </row>
        <row r="734">
          <cell r="G734" t="str">
            <v>3449000</v>
          </cell>
          <cell r="H734">
            <v>214.4838</v>
          </cell>
          <cell r="I734">
            <v>220.3819</v>
          </cell>
          <cell r="J734" t="str">
            <v>Income Statement</v>
          </cell>
          <cell r="K734" t="str">
            <v>Operating expenses</v>
          </cell>
          <cell r="L734" t="str">
            <v>Telephone and Fax</v>
          </cell>
          <cell r="M734" t="str">
            <v>Mobile</v>
          </cell>
          <cell r="N734">
            <v>136.12733169103271</v>
          </cell>
          <cell r="O734">
            <v>40940</v>
          </cell>
        </row>
        <row r="735">
          <cell r="G735" t="str">
            <v>3449000</v>
          </cell>
          <cell r="H735">
            <v>214.4838</v>
          </cell>
          <cell r="I735">
            <v>220.3819</v>
          </cell>
          <cell r="J735" t="str">
            <v>Income Statement</v>
          </cell>
          <cell r="K735" t="str">
            <v>Operating expenses</v>
          </cell>
          <cell r="L735" t="str">
            <v>Telephone and Fax</v>
          </cell>
          <cell r="M735" t="str">
            <v>Mobile</v>
          </cell>
          <cell r="N735">
            <v>-151352.96564736034</v>
          </cell>
          <cell r="O735">
            <v>40940</v>
          </cell>
        </row>
        <row r="736">
          <cell r="G736" t="str">
            <v>3449000</v>
          </cell>
          <cell r="H736">
            <v>214.4838</v>
          </cell>
          <cell r="I736">
            <v>220.3819</v>
          </cell>
          <cell r="J736" t="str">
            <v>Income Statement</v>
          </cell>
          <cell r="K736" t="str">
            <v>Operating expenses</v>
          </cell>
          <cell r="L736" t="str">
            <v>Telephone and Fax</v>
          </cell>
          <cell r="M736" t="str">
            <v>Mobile</v>
          </cell>
          <cell r="N736">
            <v>-31118.562912834492</v>
          </cell>
          <cell r="O736">
            <v>40940</v>
          </cell>
        </row>
        <row r="737">
          <cell r="G737" t="str">
            <v>3450000</v>
          </cell>
          <cell r="H737">
            <v>214.4838</v>
          </cell>
          <cell r="I737">
            <v>220.3819</v>
          </cell>
          <cell r="J737" t="str">
            <v>Income Statement</v>
          </cell>
          <cell r="K737" t="str">
            <v>Operating expenses</v>
          </cell>
          <cell r="L737" t="str">
            <v>Travel</v>
          </cell>
          <cell r="M737" t="str">
            <v>Local</v>
          </cell>
          <cell r="N737">
            <v>12005.069381832174</v>
          </cell>
          <cell r="O737">
            <v>40940</v>
          </cell>
        </row>
        <row r="738">
          <cell r="G738" t="str">
            <v>3450000</v>
          </cell>
          <cell r="H738">
            <v>214.4838</v>
          </cell>
          <cell r="I738">
            <v>220.3819</v>
          </cell>
          <cell r="J738" t="str">
            <v>Income Statement</v>
          </cell>
          <cell r="K738" t="str">
            <v>Operating expenses</v>
          </cell>
          <cell r="L738" t="str">
            <v>Travel</v>
          </cell>
          <cell r="M738" t="str">
            <v>Local</v>
          </cell>
          <cell r="N738">
            <v>7247.4191392305811</v>
          </cell>
          <cell r="O738">
            <v>40940</v>
          </cell>
        </row>
        <row r="739">
          <cell r="G739" t="str">
            <v>3450000</v>
          </cell>
          <cell r="H739">
            <v>214.4838</v>
          </cell>
          <cell r="I739">
            <v>220.3819</v>
          </cell>
          <cell r="J739" t="str">
            <v>Income Statement</v>
          </cell>
          <cell r="K739" t="str">
            <v>Operating expenses</v>
          </cell>
          <cell r="L739" t="str">
            <v>Travel</v>
          </cell>
          <cell r="M739" t="str">
            <v>Local</v>
          </cell>
          <cell r="N739">
            <v>19780.208810251657</v>
          </cell>
          <cell r="O739">
            <v>40940</v>
          </cell>
        </row>
        <row r="740">
          <cell r="G740" t="str">
            <v>3450000</v>
          </cell>
          <cell r="H740">
            <v>214.4838</v>
          </cell>
          <cell r="I740">
            <v>220.3819</v>
          </cell>
          <cell r="J740" t="str">
            <v>Income Statement</v>
          </cell>
          <cell r="K740" t="str">
            <v>Operating expenses</v>
          </cell>
          <cell r="L740" t="str">
            <v>Travel</v>
          </cell>
          <cell r="M740" t="str">
            <v>Local</v>
          </cell>
          <cell r="N740">
            <v>23622.629626117206</v>
          </cell>
          <cell r="O740">
            <v>40940</v>
          </cell>
        </row>
        <row r="741">
          <cell r="G741" t="str">
            <v>3450000</v>
          </cell>
          <cell r="H741">
            <v>214.4838</v>
          </cell>
          <cell r="I741">
            <v>220.3819</v>
          </cell>
          <cell r="J741" t="str">
            <v>Income Statement</v>
          </cell>
          <cell r="K741" t="str">
            <v>Operating expenses</v>
          </cell>
          <cell r="L741" t="str">
            <v>Travel</v>
          </cell>
          <cell r="M741" t="str">
            <v>Local</v>
          </cell>
          <cell r="N741">
            <v>18985.225193176029</v>
          </cell>
          <cell r="O741">
            <v>40940</v>
          </cell>
        </row>
        <row r="742">
          <cell r="G742" t="str">
            <v>3450000</v>
          </cell>
          <cell r="H742">
            <v>214.4838</v>
          </cell>
          <cell r="I742">
            <v>220.3819</v>
          </cell>
          <cell r="J742" t="str">
            <v>Income Statement</v>
          </cell>
          <cell r="K742" t="str">
            <v>Operating expenses</v>
          </cell>
          <cell r="L742" t="str">
            <v>Travel</v>
          </cell>
          <cell r="M742" t="str">
            <v>Local</v>
          </cell>
          <cell r="N742">
            <v>21440.054741337652</v>
          </cell>
          <cell r="O742">
            <v>40940</v>
          </cell>
        </row>
        <row r="743">
          <cell r="G743" t="str">
            <v>3450000</v>
          </cell>
          <cell r="H743">
            <v>214.4838</v>
          </cell>
          <cell r="I743">
            <v>220.3819</v>
          </cell>
          <cell r="J743" t="str">
            <v>Income Statement</v>
          </cell>
          <cell r="K743" t="str">
            <v>Operating expenses</v>
          </cell>
          <cell r="L743" t="str">
            <v>Travel</v>
          </cell>
          <cell r="M743" t="str">
            <v>Local</v>
          </cell>
          <cell r="N743">
            <v>29692.547346220355</v>
          </cell>
          <cell r="O743">
            <v>40940</v>
          </cell>
        </row>
        <row r="744">
          <cell r="G744" t="str">
            <v>3450000</v>
          </cell>
          <cell r="H744">
            <v>214.4838</v>
          </cell>
          <cell r="I744">
            <v>220.3819</v>
          </cell>
          <cell r="J744" t="str">
            <v>Income Statement</v>
          </cell>
          <cell r="K744" t="str">
            <v>Operating expenses</v>
          </cell>
          <cell r="L744" t="str">
            <v>Travel</v>
          </cell>
          <cell r="M744" t="str">
            <v>Local</v>
          </cell>
          <cell r="N744">
            <v>18507.072722396893</v>
          </cell>
          <cell r="O744">
            <v>40940</v>
          </cell>
        </row>
        <row r="745">
          <cell r="G745" t="str">
            <v>3450000</v>
          </cell>
          <cell r="H745">
            <v>214.4838</v>
          </cell>
          <cell r="I745">
            <v>220.3819</v>
          </cell>
          <cell r="J745" t="str">
            <v>Income Statement</v>
          </cell>
          <cell r="K745" t="str">
            <v>Operating expenses</v>
          </cell>
          <cell r="L745" t="str">
            <v>Travel</v>
          </cell>
          <cell r="M745" t="str">
            <v>Local</v>
          </cell>
          <cell r="N745">
            <v>22083.029504691629</v>
          </cell>
          <cell r="O745">
            <v>40940</v>
          </cell>
        </row>
        <row r="746">
          <cell r="G746" t="str">
            <v>3450000</v>
          </cell>
          <cell r="H746">
            <v>214.4838</v>
          </cell>
          <cell r="I746">
            <v>220.3819</v>
          </cell>
          <cell r="J746" t="str">
            <v>Income Statement</v>
          </cell>
          <cell r="K746" t="str">
            <v>Operating expenses</v>
          </cell>
          <cell r="L746" t="str">
            <v>Travel</v>
          </cell>
          <cell r="M746" t="str">
            <v>Local</v>
          </cell>
          <cell r="N746">
            <v>30507.496305277338</v>
          </cell>
          <cell r="O746">
            <v>40940</v>
          </cell>
        </row>
        <row r="747">
          <cell r="G747" t="str">
            <v>3450000</v>
          </cell>
          <cell r="H747">
            <v>214.4838</v>
          </cell>
          <cell r="I747">
            <v>220.3819</v>
          </cell>
          <cell r="J747" t="str">
            <v>Income Statement</v>
          </cell>
          <cell r="K747" t="str">
            <v>Operating expenses</v>
          </cell>
          <cell r="L747" t="str">
            <v>Travel</v>
          </cell>
          <cell r="M747" t="str">
            <v>Local</v>
          </cell>
          <cell r="N747">
            <v>109088.52873126151</v>
          </cell>
          <cell r="O747">
            <v>40940</v>
          </cell>
        </row>
        <row r="748">
          <cell r="G748" t="str">
            <v>3451000</v>
          </cell>
          <cell r="H748">
            <v>214.4838</v>
          </cell>
          <cell r="I748">
            <v>220.3819</v>
          </cell>
          <cell r="J748" t="str">
            <v>Income Statement</v>
          </cell>
          <cell r="K748" t="str">
            <v>Operating expenses</v>
          </cell>
          <cell r="L748" t="str">
            <v>Travel</v>
          </cell>
          <cell r="M748" t="str">
            <v>Local</v>
          </cell>
          <cell r="N748">
            <v>1498.1992622806138</v>
          </cell>
          <cell r="O748">
            <v>40940</v>
          </cell>
        </row>
        <row r="749">
          <cell r="G749" t="str">
            <v>3455000</v>
          </cell>
          <cell r="H749">
            <v>214.4838</v>
          </cell>
          <cell r="I749">
            <v>220.3819</v>
          </cell>
          <cell r="J749" t="str">
            <v>Income Statement</v>
          </cell>
          <cell r="K749" t="str">
            <v>Operating expenses</v>
          </cell>
          <cell r="L749" t="str">
            <v>Penalties and Interest</v>
          </cell>
          <cell r="M749" t="str">
            <v>Penalties</v>
          </cell>
          <cell r="N749">
            <v>-6548.1466490669154</v>
          </cell>
          <cell r="O749">
            <v>40940</v>
          </cell>
        </row>
        <row r="750">
          <cell r="G750" t="str">
            <v>3455000</v>
          </cell>
          <cell r="H750">
            <v>214.4838</v>
          </cell>
          <cell r="I750">
            <v>220.3819</v>
          </cell>
          <cell r="J750" t="str">
            <v>Income Statement</v>
          </cell>
          <cell r="K750" t="str">
            <v>Operating expenses</v>
          </cell>
          <cell r="L750" t="str">
            <v>Penalties and Interest</v>
          </cell>
          <cell r="M750" t="str">
            <v>Penalties</v>
          </cell>
          <cell r="N750">
            <v>6548.1466490669154</v>
          </cell>
          <cell r="O750">
            <v>40940</v>
          </cell>
        </row>
        <row r="751">
          <cell r="G751" t="str">
            <v>3469000</v>
          </cell>
          <cell r="H751">
            <v>214.4838</v>
          </cell>
          <cell r="I751">
            <v>220.3819</v>
          </cell>
          <cell r="J751" t="str">
            <v>Income Statement</v>
          </cell>
          <cell r="K751" t="str">
            <v>Administration and commission income</v>
          </cell>
          <cell r="L751" t="str">
            <v>Initiation fee income</v>
          </cell>
          <cell r="M751" t="str">
            <v>Stamp duties</v>
          </cell>
          <cell r="N751">
            <v>4189.3186327915309</v>
          </cell>
          <cell r="O751">
            <v>40940</v>
          </cell>
        </row>
        <row r="752">
          <cell r="G752" t="str">
            <v>3469000</v>
          </cell>
          <cell r="H752">
            <v>214.4838</v>
          </cell>
          <cell r="I752">
            <v>220.3819</v>
          </cell>
          <cell r="J752" t="str">
            <v>Income Statement</v>
          </cell>
          <cell r="K752" t="str">
            <v>Administration and commission income</v>
          </cell>
          <cell r="L752" t="str">
            <v>Initiation fee income</v>
          </cell>
          <cell r="M752" t="str">
            <v>Stamp duties</v>
          </cell>
          <cell r="N752">
            <v>1095.8250201128133</v>
          </cell>
          <cell r="O752">
            <v>40940</v>
          </cell>
        </row>
        <row r="753">
          <cell r="G753" t="str">
            <v>3469000</v>
          </cell>
          <cell r="H753">
            <v>214.4838</v>
          </cell>
          <cell r="I753">
            <v>220.3819</v>
          </cell>
          <cell r="J753" t="str">
            <v>Income Statement</v>
          </cell>
          <cell r="K753" t="str">
            <v>Administration and commission income</v>
          </cell>
          <cell r="L753" t="str">
            <v>Initiation fee income</v>
          </cell>
          <cell r="M753" t="str">
            <v>Stamp duties</v>
          </cell>
          <cell r="N753">
            <v>3548.385779412919</v>
          </cell>
          <cell r="O753">
            <v>40940</v>
          </cell>
        </row>
        <row r="754">
          <cell r="G754" t="str">
            <v>3469000</v>
          </cell>
          <cell r="H754">
            <v>214.4838</v>
          </cell>
          <cell r="I754">
            <v>220.3819</v>
          </cell>
          <cell r="J754" t="str">
            <v>Income Statement</v>
          </cell>
          <cell r="K754" t="str">
            <v>Administration and commission income</v>
          </cell>
          <cell r="L754" t="str">
            <v>Initiation fee income</v>
          </cell>
          <cell r="M754" t="str">
            <v>Stamp duties</v>
          </cell>
          <cell r="N754">
            <v>4529.6369620191135</v>
          </cell>
          <cell r="O754">
            <v>40940</v>
          </cell>
        </row>
        <row r="755">
          <cell r="G755" t="str">
            <v>3469000</v>
          </cell>
          <cell r="H755">
            <v>214.4838</v>
          </cell>
          <cell r="I755">
            <v>220.3819</v>
          </cell>
          <cell r="J755" t="str">
            <v>Income Statement</v>
          </cell>
          <cell r="K755" t="str">
            <v>Administration and commission income</v>
          </cell>
          <cell r="L755" t="str">
            <v>Initiation fee income</v>
          </cell>
          <cell r="M755" t="str">
            <v>Stamp duties</v>
          </cell>
          <cell r="N755">
            <v>7436.5453787266561</v>
          </cell>
          <cell r="O755">
            <v>40940</v>
          </cell>
        </row>
        <row r="756">
          <cell r="G756" t="str">
            <v>3469000</v>
          </cell>
          <cell r="H756">
            <v>214.4838</v>
          </cell>
          <cell r="I756">
            <v>220.3819</v>
          </cell>
          <cell r="J756" t="str">
            <v>Income Statement</v>
          </cell>
          <cell r="K756" t="str">
            <v>Administration and commission income</v>
          </cell>
          <cell r="L756" t="str">
            <v>Initiation fee income</v>
          </cell>
          <cell r="M756" t="str">
            <v>Stamp duties</v>
          </cell>
          <cell r="N756">
            <v>15944.839390167705</v>
          </cell>
          <cell r="O756">
            <v>40940</v>
          </cell>
        </row>
        <row r="757">
          <cell r="G757" t="str">
            <v>3469000</v>
          </cell>
          <cell r="H757">
            <v>214.4838</v>
          </cell>
          <cell r="I757">
            <v>220.3819</v>
          </cell>
          <cell r="J757" t="str">
            <v>Income Statement</v>
          </cell>
          <cell r="K757" t="str">
            <v>Administration and commission income</v>
          </cell>
          <cell r="L757" t="str">
            <v>Initiation fee income</v>
          </cell>
          <cell r="M757" t="str">
            <v>Stamp duties</v>
          </cell>
          <cell r="N757">
            <v>5715.079142161856</v>
          </cell>
          <cell r="O757">
            <v>40940</v>
          </cell>
        </row>
        <row r="758">
          <cell r="G758" t="str">
            <v>3469000</v>
          </cell>
          <cell r="H758">
            <v>214.4838</v>
          </cell>
          <cell r="I758">
            <v>220.3819</v>
          </cell>
          <cell r="J758" t="str">
            <v>Income Statement</v>
          </cell>
          <cell r="K758" t="str">
            <v>Administration and commission income</v>
          </cell>
          <cell r="L758" t="str">
            <v>Initiation fee income</v>
          </cell>
          <cell r="M758" t="str">
            <v>Stamp duties</v>
          </cell>
          <cell r="N758">
            <v>10532.852289593655</v>
          </cell>
          <cell r="O758">
            <v>40940</v>
          </cell>
        </row>
        <row r="759">
          <cell r="G759" t="str">
            <v>3469000</v>
          </cell>
          <cell r="H759">
            <v>214.4838</v>
          </cell>
          <cell r="I759">
            <v>220.3819</v>
          </cell>
          <cell r="J759" t="str">
            <v>Income Statement</v>
          </cell>
          <cell r="K759" t="str">
            <v>Administration and commission income</v>
          </cell>
          <cell r="L759" t="str">
            <v>Initiation fee income</v>
          </cell>
          <cell r="M759" t="str">
            <v>Stamp duties</v>
          </cell>
          <cell r="N759">
            <v>9510.6812310811365</v>
          </cell>
          <cell r="O759">
            <v>40940</v>
          </cell>
        </row>
        <row r="760">
          <cell r="G760" t="str">
            <v>3469000</v>
          </cell>
          <cell r="H760">
            <v>214.4838</v>
          </cell>
          <cell r="I760">
            <v>220.3819</v>
          </cell>
          <cell r="J760" t="str">
            <v>Income Statement</v>
          </cell>
          <cell r="K760" t="str">
            <v>Administration and commission income</v>
          </cell>
          <cell r="L760" t="str">
            <v>Initiation fee income</v>
          </cell>
          <cell r="M760" t="str">
            <v>Stamp duties</v>
          </cell>
          <cell r="N760">
            <v>15780.606302060196</v>
          </cell>
          <cell r="O760">
            <v>40940</v>
          </cell>
        </row>
        <row r="761">
          <cell r="G761" t="str">
            <v>3469000</v>
          </cell>
          <cell r="H761">
            <v>214.4838</v>
          </cell>
          <cell r="I761">
            <v>220.3819</v>
          </cell>
          <cell r="J761" t="str">
            <v>Income Statement</v>
          </cell>
          <cell r="K761" t="str">
            <v>Administration and commission income</v>
          </cell>
          <cell r="L761" t="str">
            <v>Initiation fee income</v>
          </cell>
          <cell r="M761" t="str">
            <v>Stamp duties</v>
          </cell>
          <cell r="N761">
            <v>64136.087128752406</v>
          </cell>
          <cell r="O761">
            <v>40940</v>
          </cell>
        </row>
        <row r="762">
          <cell r="G762" t="str">
            <v>3499000</v>
          </cell>
          <cell r="H762">
            <v>214.4838</v>
          </cell>
          <cell r="I762">
            <v>220.3819</v>
          </cell>
          <cell r="J762" t="str">
            <v>Income Statement</v>
          </cell>
          <cell r="K762" t="str">
            <v>Operating expenses</v>
          </cell>
          <cell r="L762" t="str">
            <v>Unapportioned VAT</v>
          </cell>
          <cell r="N762">
            <v>356836.3803016491</v>
          </cell>
          <cell r="O762">
            <v>40940</v>
          </cell>
        </row>
        <row r="763">
          <cell r="G763" t="str">
            <v>3508000</v>
          </cell>
          <cell r="H763">
            <v>214.4838</v>
          </cell>
          <cell r="I763">
            <v>220.3819</v>
          </cell>
          <cell r="J763" t="str">
            <v>Income Statement</v>
          </cell>
          <cell r="K763" t="str">
            <v>Operating expenses</v>
          </cell>
          <cell r="L763" t="str">
            <v>Other Expenses</v>
          </cell>
          <cell r="M763" t="str">
            <v>PO variance account</v>
          </cell>
          <cell r="N763">
            <v>409.59361907670279</v>
          </cell>
          <cell r="O763">
            <v>40940</v>
          </cell>
        </row>
        <row r="764">
          <cell r="G764" t="str">
            <v>3801000</v>
          </cell>
          <cell r="H764">
            <v>214.4838</v>
          </cell>
          <cell r="I764">
            <v>220.3819</v>
          </cell>
          <cell r="J764" t="str">
            <v>Income Statement</v>
          </cell>
          <cell r="K764" t="str">
            <v>Forex (gain) / loss</v>
          </cell>
          <cell r="L764" t="str">
            <v>Profit on exchange differences - Intergroup</v>
          </cell>
          <cell r="N764">
            <v>1590113.1819809158</v>
          </cell>
          <cell r="O764">
            <v>40940</v>
          </cell>
        </row>
        <row r="765">
          <cell r="G765" t="str">
            <v>4803000</v>
          </cell>
          <cell r="H765">
            <v>214.4838</v>
          </cell>
          <cell r="I765">
            <v>220.3819</v>
          </cell>
          <cell r="J765" t="str">
            <v>Income Statement</v>
          </cell>
          <cell r="K765" t="str">
            <v>Taxation</v>
          </cell>
          <cell r="L765" t="str">
            <v>Income Tax</v>
          </cell>
          <cell r="M765" t="str">
            <v>Income tax</v>
          </cell>
          <cell r="N765">
            <v>-620368.71902819606</v>
          </cell>
          <cell r="O765">
            <v>40940</v>
          </cell>
        </row>
        <row r="766">
          <cell r="G766" t="str">
            <v>4804000</v>
          </cell>
          <cell r="H766">
            <v>214.4838</v>
          </cell>
          <cell r="I766">
            <v>220.3819</v>
          </cell>
          <cell r="J766" t="str">
            <v>Income Statement</v>
          </cell>
          <cell r="K766" t="str">
            <v>Operating expenses</v>
          </cell>
          <cell r="L766" t="str">
            <v>Penalties and Interest</v>
          </cell>
          <cell r="M766" t="str">
            <v>Income tax</v>
          </cell>
          <cell r="N766">
            <v>37473.789408295328</v>
          </cell>
          <cell r="O766">
            <v>40940</v>
          </cell>
        </row>
        <row r="767">
          <cell r="G767" t="str">
            <v>4813000</v>
          </cell>
          <cell r="H767">
            <v>214.4838</v>
          </cell>
          <cell r="I767">
            <v>220.3819</v>
          </cell>
          <cell r="J767" t="str">
            <v>Income Statement</v>
          </cell>
          <cell r="K767" t="str">
            <v>Taxation</v>
          </cell>
          <cell r="L767" t="str">
            <v>Income Tax</v>
          </cell>
          <cell r="M767" t="str">
            <v>Witholding tax</v>
          </cell>
          <cell r="N767">
            <v>-514719.04453133402</v>
          </cell>
          <cell r="O767">
            <v>40940</v>
          </cell>
        </row>
        <row r="768">
          <cell r="G768" t="str">
            <v>4814000</v>
          </cell>
          <cell r="H768">
            <v>214.4838</v>
          </cell>
          <cell r="I768">
            <v>220.3819</v>
          </cell>
          <cell r="J768" t="str">
            <v>Income Statement</v>
          </cell>
          <cell r="K768" t="str">
            <v>Operating expenses</v>
          </cell>
          <cell r="L768" t="str">
            <v>Penalties and Interest</v>
          </cell>
          <cell r="M768" t="str">
            <v>Witholding tax</v>
          </cell>
          <cell r="N768">
            <v>234982.42823026754</v>
          </cell>
          <cell r="O768">
            <v>40940</v>
          </cell>
        </row>
        <row r="769">
          <cell r="G769" t="str">
            <v>4831000</v>
          </cell>
          <cell r="H769">
            <v>214.4838</v>
          </cell>
          <cell r="I769">
            <v>220.3819</v>
          </cell>
          <cell r="J769" t="str">
            <v>Income Statement</v>
          </cell>
          <cell r="K769" t="str">
            <v>Operating expenses</v>
          </cell>
          <cell r="L769" t="str">
            <v>Vat on imported services</v>
          </cell>
          <cell r="N769">
            <v>708306.04509716993</v>
          </cell>
          <cell r="O769">
            <v>40940</v>
          </cell>
        </row>
        <row r="770">
          <cell r="G770" t="str">
            <v>4832000</v>
          </cell>
          <cell r="H770">
            <v>214.4838</v>
          </cell>
          <cell r="I770">
            <v>220.3819</v>
          </cell>
          <cell r="J770" t="str">
            <v>Income Statement</v>
          </cell>
          <cell r="K770" t="str">
            <v>Operating expenses</v>
          </cell>
          <cell r="L770" t="str">
            <v>Vat on imported services</v>
          </cell>
          <cell r="N770">
            <v>283530.02002433053</v>
          </cell>
          <cell r="O770">
            <v>40940</v>
          </cell>
        </row>
        <row r="771">
          <cell r="G771" t="str">
            <v>4834000</v>
          </cell>
          <cell r="H771">
            <v>214.4838</v>
          </cell>
          <cell r="I771">
            <v>220.3819</v>
          </cell>
          <cell r="J771" t="str">
            <v>Income Statement</v>
          </cell>
          <cell r="K771" t="str">
            <v>Operating expenses</v>
          </cell>
          <cell r="L771" t="str">
            <v>Vat on imported services</v>
          </cell>
          <cell r="N771">
            <v>990266.65075489413</v>
          </cell>
          <cell r="O771">
            <v>40940</v>
          </cell>
        </row>
        <row r="772">
          <cell r="G772" t="str">
            <v>5101001</v>
          </cell>
          <cell r="H772">
            <v>214.4838</v>
          </cell>
          <cell r="I772">
            <v>220.3819</v>
          </cell>
          <cell r="J772" t="str">
            <v>Equity</v>
          </cell>
          <cell r="K772" t="str">
            <v>Share capital</v>
          </cell>
          <cell r="L772" t="str">
            <v>Share Capital</v>
          </cell>
          <cell r="M772" t="str">
            <v>Ordinary shares</v>
          </cell>
          <cell r="N772">
            <v>-466235.67840554856</v>
          </cell>
          <cell r="O772">
            <v>40940</v>
          </cell>
        </row>
        <row r="773">
          <cell r="G773" t="str">
            <v>5155001</v>
          </cell>
          <cell r="H773">
            <v>214.4838</v>
          </cell>
          <cell r="I773">
            <v>220.3819</v>
          </cell>
          <cell r="J773" t="str">
            <v>Equity</v>
          </cell>
          <cell r="K773" t="str">
            <v>Equity loan</v>
          </cell>
          <cell r="L773" t="str">
            <v>Equity loan</v>
          </cell>
          <cell r="M773" t="str">
            <v>Equity loan</v>
          </cell>
          <cell r="N773">
            <v>-55948281.408665828</v>
          </cell>
          <cell r="O773">
            <v>40940</v>
          </cell>
        </row>
        <row r="774">
          <cell r="G774" t="str">
            <v>5201001</v>
          </cell>
          <cell r="H774">
            <v>214.4838</v>
          </cell>
          <cell r="I774">
            <v>220.3819</v>
          </cell>
          <cell r="J774" t="str">
            <v>Equity</v>
          </cell>
          <cell r="K774" t="str">
            <v>Retained earnings/ (Accumulated loss)</v>
          </cell>
          <cell r="L774" t="str">
            <v>Retained earnings/ (Accumulated loss)</v>
          </cell>
          <cell r="M774" t="str">
            <v>Retained earnings</v>
          </cell>
          <cell r="N774">
            <v>38360734.647045605</v>
          </cell>
          <cell r="O774">
            <v>40940</v>
          </cell>
        </row>
        <row r="775">
          <cell r="G775" t="str">
            <v>5201002</v>
          </cell>
          <cell r="H775">
            <v>214.4838</v>
          </cell>
          <cell r="I775">
            <v>220.3819</v>
          </cell>
          <cell r="J775" t="str">
            <v>Equity</v>
          </cell>
          <cell r="K775" t="str">
            <v>Retained earnings/ (Accumulated loss)</v>
          </cell>
          <cell r="L775" t="str">
            <v>Retained earnings/ (Accumulated loss)</v>
          </cell>
          <cell r="M775" t="str">
            <v>Retained earnings</v>
          </cell>
          <cell r="N775">
            <v>-4138373.8185821022</v>
          </cell>
          <cell r="O775">
            <v>40940</v>
          </cell>
        </row>
        <row r="776">
          <cell r="G776" t="str">
            <v>6103001</v>
          </cell>
          <cell r="H776">
            <v>214.4838</v>
          </cell>
          <cell r="I776">
            <v>220.3819</v>
          </cell>
          <cell r="J776" t="str">
            <v>Assets</v>
          </cell>
          <cell r="K776" t="str">
            <v>Property, plant and equipment</v>
          </cell>
          <cell r="L776" t="str">
            <v>F&amp;F</v>
          </cell>
          <cell r="M776" t="str">
            <v>Cost</v>
          </cell>
          <cell r="N776">
            <v>803525.42257270718</v>
          </cell>
          <cell r="O776">
            <v>40940</v>
          </cell>
        </row>
        <row r="777">
          <cell r="G777" t="str">
            <v>6103003</v>
          </cell>
          <cell r="H777">
            <v>214.4838</v>
          </cell>
          <cell r="I777">
            <v>220.3819</v>
          </cell>
          <cell r="J777" t="str">
            <v>Assets</v>
          </cell>
          <cell r="K777" t="str">
            <v>Property, plant and equipment</v>
          </cell>
          <cell r="L777" t="str">
            <v>F&amp;F</v>
          </cell>
          <cell r="M777" t="str">
            <v>Cost</v>
          </cell>
          <cell r="N777">
            <v>-7832.7593972132163</v>
          </cell>
          <cell r="O777">
            <v>40940</v>
          </cell>
        </row>
        <row r="778">
          <cell r="G778" t="str">
            <v>6103101</v>
          </cell>
          <cell r="H778">
            <v>214.4838</v>
          </cell>
          <cell r="I778">
            <v>220.3819</v>
          </cell>
          <cell r="J778" t="str">
            <v>Assets</v>
          </cell>
          <cell r="K778" t="str">
            <v>Property, plant and equipment</v>
          </cell>
          <cell r="L778" t="str">
            <v>F&amp;F</v>
          </cell>
          <cell r="M778" t="str">
            <v>Acc Dep</v>
          </cell>
          <cell r="N778">
            <v>-560433.52155267668</v>
          </cell>
          <cell r="O778">
            <v>40940</v>
          </cell>
        </row>
        <row r="779">
          <cell r="G779" t="str">
            <v>6103102</v>
          </cell>
          <cell r="H779">
            <v>214.4838</v>
          </cell>
          <cell r="I779">
            <v>220.3819</v>
          </cell>
          <cell r="J779" t="str">
            <v>Assets</v>
          </cell>
          <cell r="K779" t="str">
            <v>Property, plant and equipment</v>
          </cell>
          <cell r="L779" t="str">
            <v>F&amp;F</v>
          </cell>
          <cell r="M779" t="str">
            <v>Acc Dep</v>
          </cell>
          <cell r="N779">
            <v>-145553.30449199426</v>
          </cell>
          <cell r="O779">
            <v>40940</v>
          </cell>
        </row>
        <row r="780">
          <cell r="G780" t="str">
            <v>6103103</v>
          </cell>
          <cell r="H780">
            <v>214.4838</v>
          </cell>
          <cell r="I780">
            <v>220.3819</v>
          </cell>
          <cell r="J780" t="str">
            <v>Assets</v>
          </cell>
          <cell r="K780" t="str">
            <v>Property, plant and equipment</v>
          </cell>
          <cell r="L780" t="str">
            <v>F&amp;F</v>
          </cell>
          <cell r="M780" t="str">
            <v>Acc Dep</v>
          </cell>
          <cell r="N780">
            <v>5261.8975419122562</v>
          </cell>
          <cell r="O780">
            <v>40940</v>
          </cell>
        </row>
        <row r="781">
          <cell r="G781" t="str">
            <v>6104001</v>
          </cell>
          <cell r="H781">
            <v>214.4838</v>
          </cell>
          <cell r="I781">
            <v>220.3819</v>
          </cell>
          <cell r="J781" t="str">
            <v>Assets</v>
          </cell>
          <cell r="K781" t="str">
            <v>Property, plant and equipment</v>
          </cell>
          <cell r="L781" t="str">
            <v>Vehicles</v>
          </cell>
          <cell r="M781" t="str">
            <v>Cost</v>
          </cell>
          <cell r="N781">
            <v>382809.91370910063</v>
          </cell>
          <cell r="O781">
            <v>40940</v>
          </cell>
        </row>
        <row r="782">
          <cell r="G782" t="str">
            <v>6104101</v>
          </cell>
          <cell r="H782">
            <v>214.4838</v>
          </cell>
          <cell r="I782">
            <v>220.3819</v>
          </cell>
          <cell r="J782" t="str">
            <v>Assets</v>
          </cell>
          <cell r="K782" t="str">
            <v>Property, plant and equipment</v>
          </cell>
          <cell r="L782" t="str">
            <v>Vehicles</v>
          </cell>
          <cell r="M782" t="str">
            <v>Acc Dep</v>
          </cell>
          <cell r="N782">
            <v>-290793.20372913947</v>
          </cell>
          <cell r="O782">
            <v>40940</v>
          </cell>
        </row>
        <row r="783">
          <cell r="G783" t="str">
            <v>6104102</v>
          </cell>
          <cell r="H783">
            <v>214.4838</v>
          </cell>
          <cell r="I783">
            <v>220.3819</v>
          </cell>
          <cell r="J783" t="str">
            <v>Assets</v>
          </cell>
          <cell r="K783" t="str">
            <v>Property, plant and equipment</v>
          </cell>
          <cell r="L783" t="str">
            <v>Vehicles</v>
          </cell>
          <cell r="M783" t="str">
            <v>Acc Dep</v>
          </cell>
          <cell r="N783">
            <v>-72712.317107399256</v>
          </cell>
          <cell r="O783">
            <v>40940</v>
          </cell>
        </row>
        <row r="784">
          <cell r="G784" t="str">
            <v>6105001</v>
          </cell>
          <cell r="H784">
            <v>214.4838</v>
          </cell>
          <cell r="I784">
            <v>220.3819</v>
          </cell>
          <cell r="J784" t="str">
            <v>Assets</v>
          </cell>
          <cell r="K784" t="str">
            <v>Property, plant and equipment</v>
          </cell>
          <cell r="L784" t="str">
            <v>IT Equip</v>
          </cell>
          <cell r="M784" t="str">
            <v>Cost</v>
          </cell>
          <cell r="N784">
            <v>1055415.4173881665</v>
          </cell>
          <cell r="O784">
            <v>40940</v>
          </cell>
        </row>
        <row r="785">
          <cell r="G785" t="str">
            <v>6105002</v>
          </cell>
          <cell r="H785">
            <v>214.4838</v>
          </cell>
          <cell r="I785">
            <v>220.3819</v>
          </cell>
          <cell r="J785" t="str">
            <v>Assets</v>
          </cell>
          <cell r="K785" t="str">
            <v>Property, plant and equipment</v>
          </cell>
          <cell r="L785" t="str">
            <v>IT Equip</v>
          </cell>
          <cell r="M785" t="str">
            <v>Cost</v>
          </cell>
          <cell r="N785">
            <v>101912.71000420544</v>
          </cell>
          <cell r="O785">
            <v>40940</v>
          </cell>
        </row>
        <row r="786">
          <cell r="G786" t="str">
            <v>6105101</v>
          </cell>
          <cell r="H786">
            <v>214.4838</v>
          </cell>
          <cell r="I786">
            <v>220.3819</v>
          </cell>
          <cell r="J786" t="str">
            <v>Assets</v>
          </cell>
          <cell r="K786" t="str">
            <v>Property, plant and equipment</v>
          </cell>
          <cell r="L786" t="str">
            <v>IT Equip</v>
          </cell>
          <cell r="M786" t="str">
            <v>Acc Dep</v>
          </cell>
          <cell r="N786">
            <v>-912914.6977533967</v>
          </cell>
          <cell r="O786">
            <v>40940</v>
          </cell>
        </row>
        <row r="787">
          <cell r="G787" t="str">
            <v>6105102</v>
          </cell>
          <cell r="H787">
            <v>214.4838</v>
          </cell>
          <cell r="I787">
            <v>220.3819</v>
          </cell>
          <cell r="J787" t="str">
            <v>Assets</v>
          </cell>
          <cell r="K787" t="str">
            <v>Property, plant and equipment</v>
          </cell>
          <cell r="L787" t="str">
            <v>IT Equip</v>
          </cell>
          <cell r="M787" t="str">
            <v>Acc Dep</v>
          </cell>
          <cell r="N787">
            <v>-66462.910252429327</v>
          </cell>
          <cell r="O787">
            <v>40940</v>
          </cell>
        </row>
        <row r="788">
          <cell r="G788" t="str">
            <v>6107001</v>
          </cell>
          <cell r="H788">
            <v>214.4838</v>
          </cell>
          <cell r="I788">
            <v>220.3819</v>
          </cell>
          <cell r="J788" t="str">
            <v>Assets</v>
          </cell>
          <cell r="K788" t="str">
            <v>Property, plant and equipment</v>
          </cell>
          <cell r="L788" t="str">
            <v>Leasehold Imp</v>
          </cell>
          <cell r="M788" t="str">
            <v>Cost</v>
          </cell>
          <cell r="N788">
            <v>843615.08897175454</v>
          </cell>
          <cell r="O788">
            <v>40940</v>
          </cell>
        </row>
        <row r="789">
          <cell r="G789" t="str">
            <v>6107101</v>
          </cell>
          <cell r="H789">
            <v>214.4838</v>
          </cell>
          <cell r="I789">
            <v>220.3819</v>
          </cell>
          <cell r="J789" t="str">
            <v>Assets</v>
          </cell>
          <cell r="K789" t="str">
            <v>Property, plant and equipment</v>
          </cell>
          <cell r="L789" t="str">
            <v>Leasehold Imp</v>
          </cell>
          <cell r="M789" t="str">
            <v>Acc Dep</v>
          </cell>
          <cell r="N789">
            <v>-680517.46486214816</v>
          </cell>
          <cell r="O789">
            <v>40940</v>
          </cell>
        </row>
        <row r="790">
          <cell r="G790" t="str">
            <v>6107102</v>
          </cell>
          <cell r="H790">
            <v>214.4838</v>
          </cell>
          <cell r="I790">
            <v>220.3819</v>
          </cell>
          <cell r="J790" t="str">
            <v>Assets</v>
          </cell>
          <cell r="K790" t="str">
            <v>Property, plant and equipment</v>
          </cell>
          <cell r="L790" t="str">
            <v>Leasehold Imp</v>
          </cell>
          <cell r="M790" t="str">
            <v>Acc Dep</v>
          </cell>
          <cell r="N790">
            <v>-136560.01138547529</v>
          </cell>
          <cell r="O790">
            <v>40940</v>
          </cell>
        </row>
        <row r="791">
          <cell r="G791" t="str">
            <v>6626001</v>
          </cell>
          <cell r="H791">
            <v>214.4838</v>
          </cell>
          <cell r="I791">
            <v>220.3819</v>
          </cell>
          <cell r="J791" t="str">
            <v>Assets</v>
          </cell>
          <cell r="K791" t="str">
            <v>Investments in subsidiaries</v>
          </cell>
          <cell r="L791" t="str">
            <v>BIS Tanzania</v>
          </cell>
          <cell r="N791">
            <v>31083.932679297923</v>
          </cell>
          <cell r="O791">
            <v>40940</v>
          </cell>
        </row>
        <row r="792">
          <cell r="G792" t="str">
            <v>7100099</v>
          </cell>
          <cell r="H792">
            <v>214.4838</v>
          </cell>
          <cell r="I792">
            <v>220.3819</v>
          </cell>
          <cell r="J792" t="str">
            <v>Assets</v>
          </cell>
          <cell r="K792" t="str">
            <v>Cash and cash equivalents</v>
          </cell>
          <cell r="L792" t="str">
            <v>Bank balances</v>
          </cell>
          <cell r="N792">
            <v>955876.97066165367</v>
          </cell>
          <cell r="O792">
            <v>40940</v>
          </cell>
        </row>
        <row r="793">
          <cell r="G793" t="str">
            <v>7104121</v>
          </cell>
          <cell r="H793">
            <v>214.4838</v>
          </cell>
          <cell r="I793">
            <v>220.3819</v>
          </cell>
          <cell r="J793" t="str">
            <v>Assets</v>
          </cell>
          <cell r="K793" t="str">
            <v>Cash and cash equivalents</v>
          </cell>
          <cell r="L793" t="str">
            <v>Bank balances</v>
          </cell>
          <cell r="N793">
            <v>40313.022475357109</v>
          </cell>
          <cell r="O793">
            <v>40940</v>
          </cell>
        </row>
        <row r="794">
          <cell r="G794" t="str">
            <v>7104122</v>
          </cell>
          <cell r="H794">
            <v>214.4838</v>
          </cell>
          <cell r="I794">
            <v>220.3819</v>
          </cell>
          <cell r="J794" t="str">
            <v>Assets</v>
          </cell>
          <cell r="K794" t="str">
            <v>Cash and cash equivalents</v>
          </cell>
          <cell r="L794" t="str">
            <v>Bank balances</v>
          </cell>
          <cell r="N794">
            <v>16942.186123147763</v>
          </cell>
          <cell r="O794">
            <v>40940</v>
          </cell>
        </row>
        <row r="795">
          <cell r="G795" t="str">
            <v>7104141</v>
          </cell>
          <cell r="H795">
            <v>214.4838</v>
          </cell>
          <cell r="I795">
            <v>220.3819</v>
          </cell>
          <cell r="J795" t="str">
            <v>Assets</v>
          </cell>
          <cell r="K795" t="str">
            <v>Cash and cash equivalents</v>
          </cell>
          <cell r="L795" t="str">
            <v>Bank balances</v>
          </cell>
          <cell r="N795">
            <v>100577.52767341868</v>
          </cell>
          <cell r="O795">
            <v>40940</v>
          </cell>
        </row>
        <row r="796">
          <cell r="G796" t="str">
            <v>7104201</v>
          </cell>
          <cell r="H796">
            <v>214.4838</v>
          </cell>
          <cell r="I796">
            <v>220.3819</v>
          </cell>
          <cell r="J796" t="str">
            <v>Assets</v>
          </cell>
          <cell r="K796" t="str">
            <v>Cash and cash equivalents</v>
          </cell>
          <cell r="L796" t="str">
            <v>Bank balances</v>
          </cell>
          <cell r="N796">
            <v>196616.52810142306</v>
          </cell>
          <cell r="O796">
            <v>40940</v>
          </cell>
        </row>
        <row r="797">
          <cell r="G797" t="str">
            <v>7104251</v>
          </cell>
          <cell r="H797">
            <v>214.4838</v>
          </cell>
          <cell r="I797">
            <v>220.3819</v>
          </cell>
          <cell r="J797" t="str">
            <v>Assets</v>
          </cell>
          <cell r="K797" t="str">
            <v>Cash and cash equivalents</v>
          </cell>
          <cell r="L797" t="str">
            <v>Bank balances</v>
          </cell>
          <cell r="N797">
            <v>209.17584451599609</v>
          </cell>
          <cell r="O797">
            <v>40940</v>
          </cell>
        </row>
        <row r="798">
          <cell r="G798" t="str">
            <v>7106121</v>
          </cell>
          <cell r="H798">
            <v>214.4838</v>
          </cell>
          <cell r="I798">
            <v>220.3819</v>
          </cell>
          <cell r="J798" t="str">
            <v>Assets</v>
          </cell>
          <cell r="K798" t="str">
            <v>Cash and cash equivalents</v>
          </cell>
          <cell r="L798" t="str">
            <v>Bank balances</v>
          </cell>
          <cell r="N798">
            <v>111743.84000096977</v>
          </cell>
          <cell r="O798">
            <v>40940</v>
          </cell>
        </row>
        <row r="799">
          <cell r="G799" t="str">
            <v>7106126</v>
          </cell>
          <cell r="H799">
            <v>214.4838</v>
          </cell>
          <cell r="I799">
            <v>220.3819</v>
          </cell>
          <cell r="J799" t="str">
            <v>Assets</v>
          </cell>
          <cell r="K799" t="str">
            <v>Cash and cash equivalents</v>
          </cell>
          <cell r="L799" t="str">
            <v>Bank balances</v>
          </cell>
          <cell r="N799">
            <v>108526.12556286302</v>
          </cell>
          <cell r="O799">
            <v>40940</v>
          </cell>
        </row>
        <row r="800">
          <cell r="G800" t="str">
            <v>7106130</v>
          </cell>
          <cell r="H800">
            <v>214.4838</v>
          </cell>
          <cell r="I800">
            <v>220.3819</v>
          </cell>
          <cell r="J800" t="str">
            <v>Assets</v>
          </cell>
          <cell r="K800" t="str">
            <v>Cash and cash equivalents</v>
          </cell>
          <cell r="L800" t="str">
            <v>Bank balances</v>
          </cell>
          <cell r="N800">
            <v>1088.6603557005237</v>
          </cell>
          <cell r="O800">
            <v>40940</v>
          </cell>
        </row>
        <row r="801">
          <cell r="G801" t="str">
            <v>7106131</v>
          </cell>
          <cell r="H801">
            <v>214.4838</v>
          </cell>
          <cell r="I801">
            <v>220.3819</v>
          </cell>
          <cell r="J801" t="str">
            <v>Assets</v>
          </cell>
          <cell r="K801" t="str">
            <v>Cash and cash equivalents</v>
          </cell>
          <cell r="L801" t="str">
            <v>Bank balances</v>
          </cell>
          <cell r="N801">
            <v>155833.69070298082</v>
          </cell>
          <cell r="O801">
            <v>40940</v>
          </cell>
        </row>
        <row r="802">
          <cell r="G802" t="str">
            <v>7106132</v>
          </cell>
          <cell r="H802">
            <v>214.4838</v>
          </cell>
          <cell r="I802">
            <v>220.3819</v>
          </cell>
          <cell r="J802" t="str">
            <v>Assets</v>
          </cell>
          <cell r="K802" t="str">
            <v>Cash and cash equivalents</v>
          </cell>
          <cell r="L802" t="str">
            <v>Bank balances</v>
          </cell>
          <cell r="N802">
            <v>3916.551133465558</v>
          </cell>
          <cell r="O802">
            <v>40940</v>
          </cell>
        </row>
        <row r="803">
          <cell r="G803" t="str">
            <v>7106133</v>
          </cell>
          <cell r="H803">
            <v>214.4838</v>
          </cell>
          <cell r="I803">
            <v>220.3819</v>
          </cell>
          <cell r="J803" t="str">
            <v>Assets</v>
          </cell>
          <cell r="K803" t="str">
            <v>Cash and cash equivalents</v>
          </cell>
          <cell r="L803" t="str">
            <v>Bank balances</v>
          </cell>
          <cell r="N803">
            <v>1058.3550366041632</v>
          </cell>
          <cell r="O803">
            <v>40940</v>
          </cell>
        </row>
        <row r="804">
          <cell r="G804" t="str">
            <v>7106134</v>
          </cell>
          <cell r="H804">
            <v>214.4838</v>
          </cell>
          <cell r="I804">
            <v>220.3819</v>
          </cell>
          <cell r="J804" t="str">
            <v>Assets</v>
          </cell>
          <cell r="K804" t="str">
            <v>Cash and cash equivalents</v>
          </cell>
          <cell r="L804" t="str">
            <v>Bank balances</v>
          </cell>
          <cell r="N804">
            <v>979.09501789878777</v>
          </cell>
          <cell r="O804">
            <v>40940</v>
          </cell>
        </row>
        <row r="805">
          <cell r="G805" t="str">
            <v>7106135</v>
          </cell>
          <cell r="H805">
            <v>214.4838</v>
          </cell>
          <cell r="I805">
            <v>220.3819</v>
          </cell>
          <cell r="J805" t="str">
            <v>Assets</v>
          </cell>
          <cell r="K805" t="str">
            <v>Cash and cash equivalents</v>
          </cell>
          <cell r="L805" t="str">
            <v>Bank balances</v>
          </cell>
          <cell r="N805">
            <v>19691.930159760315</v>
          </cell>
          <cell r="O805">
            <v>40940</v>
          </cell>
        </row>
        <row r="806">
          <cell r="G806" t="str">
            <v>7106136</v>
          </cell>
          <cell r="H806">
            <v>214.4838</v>
          </cell>
          <cell r="I806">
            <v>220.3819</v>
          </cell>
          <cell r="J806" t="str">
            <v>Assets</v>
          </cell>
          <cell r="K806" t="str">
            <v>Cash and cash equivalents</v>
          </cell>
          <cell r="L806" t="str">
            <v>Bank balances</v>
          </cell>
          <cell r="N806">
            <v>739.79717815518006</v>
          </cell>
          <cell r="O806">
            <v>40940</v>
          </cell>
        </row>
        <row r="807">
          <cell r="G807" t="str">
            <v>7106137</v>
          </cell>
          <cell r="H807">
            <v>214.4838</v>
          </cell>
          <cell r="I807">
            <v>220.3819</v>
          </cell>
          <cell r="J807" t="str">
            <v>Assets</v>
          </cell>
          <cell r="K807" t="str">
            <v>Cash and cash equivalents</v>
          </cell>
          <cell r="L807" t="str">
            <v>Bank balances</v>
          </cell>
          <cell r="N807">
            <v>3880.4796446165165</v>
          </cell>
          <cell r="O807">
            <v>40940</v>
          </cell>
        </row>
        <row r="808">
          <cell r="G808" t="str">
            <v>7106138</v>
          </cell>
          <cell r="H808">
            <v>214.4838</v>
          </cell>
          <cell r="I808">
            <v>220.3819</v>
          </cell>
          <cell r="J808" t="str">
            <v>Assets</v>
          </cell>
          <cell r="K808" t="str">
            <v>Cash and cash equivalents</v>
          </cell>
          <cell r="L808" t="str">
            <v>Bank balances</v>
          </cell>
          <cell r="N808">
            <v>1065.814807458652</v>
          </cell>
          <cell r="O808">
            <v>40940</v>
          </cell>
        </row>
        <row r="809">
          <cell r="G809" t="str">
            <v>7106139</v>
          </cell>
          <cell r="H809">
            <v>214.4838</v>
          </cell>
          <cell r="I809">
            <v>220.3819</v>
          </cell>
          <cell r="J809" t="str">
            <v>Assets</v>
          </cell>
          <cell r="K809" t="str">
            <v>Cash and cash equivalents</v>
          </cell>
          <cell r="L809" t="str">
            <v>Bank balances</v>
          </cell>
          <cell r="N809">
            <v>778.46466726158337</v>
          </cell>
          <cell r="O809">
            <v>40940</v>
          </cell>
        </row>
        <row r="810">
          <cell r="G810" t="str">
            <v>7106141</v>
          </cell>
          <cell r="H810">
            <v>214.4838</v>
          </cell>
          <cell r="I810">
            <v>220.3819</v>
          </cell>
          <cell r="J810" t="str">
            <v>Assets</v>
          </cell>
          <cell r="K810" t="str">
            <v>Cash and cash equivalents</v>
          </cell>
          <cell r="L810" t="str">
            <v>Bank balances</v>
          </cell>
          <cell r="N810">
            <v>1648690.4439402882</v>
          </cell>
          <cell r="O810">
            <v>40940</v>
          </cell>
        </row>
        <row r="811">
          <cell r="G811" t="str">
            <v>7106142</v>
          </cell>
          <cell r="H811">
            <v>214.4838</v>
          </cell>
          <cell r="I811">
            <v>220.3819</v>
          </cell>
          <cell r="J811" t="str">
            <v>Assets</v>
          </cell>
          <cell r="K811" t="str">
            <v>Cash and cash equivalents</v>
          </cell>
          <cell r="L811" t="str">
            <v>Bank balances</v>
          </cell>
          <cell r="N811">
            <v>19389.628307592462</v>
          </cell>
          <cell r="O811">
            <v>40940</v>
          </cell>
        </row>
        <row r="812">
          <cell r="G812" t="str">
            <v>7106251</v>
          </cell>
          <cell r="H812">
            <v>214.4838</v>
          </cell>
          <cell r="I812">
            <v>220.3819</v>
          </cell>
          <cell r="J812" t="str">
            <v>Assets</v>
          </cell>
          <cell r="K812" t="str">
            <v>Cash and cash equivalents</v>
          </cell>
          <cell r="L812" t="str">
            <v>Bank balances</v>
          </cell>
          <cell r="N812">
            <v>161.37106858420077</v>
          </cell>
          <cell r="O812">
            <v>40940</v>
          </cell>
        </row>
        <row r="813">
          <cell r="G813" t="str">
            <v>7201002</v>
          </cell>
          <cell r="H813">
            <v>214.4838</v>
          </cell>
          <cell r="I813">
            <v>220.3819</v>
          </cell>
          <cell r="J813" t="str">
            <v>Assets</v>
          </cell>
          <cell r="K813" t="str">
            <v>Loans and advances to customers</v>
          </cell>
          <cell r="L813" t="str">
            <v>Term Loans</v>
          </cell>
          <cell r="M813" t="str">
            <v>Gross loan advances to customers</v>
          </cell>
          <cell r="N813">
            <v>94056606.109179348</v>
          </cell>
          <cell r="O813">
            <v>40940</v>
          </cell>
        </row>
        <row r="814">
          <cell r="G814" t="str">
            <v>7201004</v>
          </cell>
          <cell r="H814">
            <v>214.4838</v>
          </cell>
          <cell r="I814">
            <v>220.3819</v>
          </cell>
          <cell r="J814" t="str">
            <v>Assets</v>
          </cell>
          <cell r="K814" t="str">
            <v>Loans and advances to customers</v>
          </cell>
          <cell r="L814" t="str">
            <v>Term Loans</v>
          </cell>
          <cell r="M814" t="str">
            <v>Gross loan advances to customers</v>
          </cell>
          <cell r="N814">
            <v>40467056.258281514</v>
          </cell>
          <cell r="O814">
            <v>40940</v>
          </cell>
        </row>
        <row r="815">
          <cell r="G815" t="str">
            <v>7201005</v>
          </cell>
          <cell r="H815">
            <v>214.4838</v>
          </cell>
          <cell r="I815">
            <v>220.3819</v>
          </cell>
          <cell r="J815" t="str">
            <v>Assets</v>
          </cell>
          <cell r="K815" t="str">
            <v>Loans and advances to customers</v>
          </cell>
          <cell r="L815" t="str">
            <v>Term Loans</v>
          </cell>
          <cell r="M815" t="str">
            <v>Gross loan advances to customers</v>
          </cell>
          <cell r="N815">
            <v>2390374.7429409586</v>
          </cell>
          <cell r="O815">
            <v>40940</v>
          </cell>
        </row>
        <row r="816">
          <cell r="G816" t="str">
            <v>7201007</v>
          </cell>
          <cell r="H816">
            <v>214.4838</v>
          </cell>
          <cell r="I816">
            <v>220.3819</v>
          </cell>
          <cell r="J816" t="str">
            <v>Assets</v>
          </cell>
          <cell r="K816" t="str">
            <v>Loans and advances to customers</v>
          </cell>
          <cell r="L816" t="str">
            <v>Term Loans</v>
          </cell>
          <cell r="M816" t="str">
            <v>Gross loan advances to customers</v>
          </cell>
          <cell r="N816">
            <v>1136278.2622743535</v>
          </cell>
          <cell r="O816">
            <v>40940</v>
          </cell>
        </row>
        <row r="817">
          <cell r="G817" t="str">
            <v>7201010</v>
          </cell>
          <cell r="H817">
            <v>214.4838</v>
          </cell>
          <cell r="I817">
            <v>220.3819</v>
          </cell>
          <cell r="J817" t="str">
            <v>Assets</v>
          </cell>
          <cell r="K817" t="str">
            <v>Loans and advances to customers</v>
          </cell>
          <cell r="L817" t="str">
            <v>Term Loans</v>
          </cell>
          <cell r="M817" t="str">
            <v>Gross loan advances to customers</v>
          </cell>
          <cell r="N817">
            <v>-79912279.736931175</v>
          </cell>
          <cell r="O817">
            <v>40940</v>
          </cell>
        </row>
        <row r="818">
          <cell r="G818" t="str">
            <v>7201011</v>
          </cell>
          <cell r="H818">
            <v>214.4838</v>
          </cell>
          <cell r="I818">
            <v>220.3819</v>
          </cell>
          <cell r="J818" t="str">
            <v>Assets</v>
          </cell>
          <cell r="K818" t="str">
            <v>Loans and advances to customers</v>
          </cell>
          <cell r="L818" t="str">
            <v>Term Loans</v>
          </cell>
          <cell r="M818" t="str">
            <v>Gross loan advances to customers</v>
          </cell>
          <cell r="N818">
            <v>-41839.548441420753</v>
          </cell>
          <cell r="O818">
            <v>40940</v>
          </cell>
        </row>
        <row r="819">
          <cell r="G819" t="str">
            <v>7201015</v>
          </cell>
          <cell r="H819">
            <v>214.4838</v>
          </cell>
          <cell r="I819">
            <v>220.3819</v>
          </cell>
          <cell r="J819" t="str">
            <v>Assets</v>
          </cell>
          <cell r="K819" t="str">
            <v>Loans and advances to customers</v>
          </cell>
          <cell r="L819" t="str">
            <v>Term Loans</v>
          </cell>
          <cell r="M819" t="str">
            <v>Gross loan advances to customers</v>
          </cell>
          <cell r="N819">
            <v>-8941471.5770608317</v>
          </cell>
          <cell r="O819">
            <v>40940</v>
          </cell>
        </row>
        <row r="820">
          <cell r="G820" t="str">
            <v>7201019</v>
          </cell>
          <cell r="H820">
            <v>214.4838</v>
          </cell>
          <cell r="I820">
            <v>220.3819</v>
          </cell>
          <cell r="J820" t="str">
            <v>Assets</v>
          </cell>
          <cell r="K820" t="str">
            <v>Loans and advances to customers</v>
          </cell>
          <cell r="L820" t="str">
            <v>Term Loans</v>
          </cell>
          <cell r="M820" t="str">
            <v>Gross loan advances to customers</v>
          </cell>
          <cell r="N820">
            <v>7124998.3223907826</v>
          </cell>
          <cell r="O820">
            <v>40940</v>
          </cell>
        </row>
        <row r="821">
          <cell r="G821" t="str">
            <v>7203002</v>
          </cell>
          <cell r="H821">
            <v>214.4838</v>
          </cell>
          <cell r="I821">
            <v>220.3819</v>
          </cell>
          <cell r="J821" t="str">
            <v>Assets</v>
          </cell>
          <cell r="K821" t="str">
            <v>Loans and advances to customers</v>
          </cell>
          <cell r="L821" t="str">
            <v>Cash Express</v>
          </cell>
          <cell r="M821" t="str">
            <v>Gross loan advances to customers</v>
          </cell>
          <cell r="N821">
            <v>12331222.684417192</v>
          </cell>
          <cell r="O821">
            <v>40940</v>
          </cell>
        </row>
        <row r="822">
          <cell r="G822" t="str">
            <v>7203004</v>
          </cell>
          <cell r="H822">
            <v>214.4838</v>
          </cell>
          <cell r="I822">
            <v>220.3819</v>
          </cell>
          <cell r="J822" t="str">
            <v>Assets</v>
          </cell>
          <cell r="K822" t="str">
            <v>Loans and advances to customers</v>
          </cell>
          <cell r="L822" t="str">
            <v>Cash Express</v>
          </cell>
          <cell r="M822" t="str">
            <v>Gross loan advances to customers</v>
          </cell>
          <cell r="N822">
            <v>2785841.2849828284</v>
          </cell>
          <cell r="O822">
            <v>40940</v>
          </cell>
        </row>
        <row r="823">
          <cell r="G823" t="str">
            <v>7203005</v>
          </cell>
          <cell r="H823">
            <v>214.4838</v>
          </cell>
          <cell r="I823">
            <v>220.3819</v>
          </cell>
          <cell r="J823" t="str">
            <v>Assets</v>
          </cell>
          <cell r="K823" t="str">
            <v>Loans and advances to customers</v>
          </cell>
          <cell r="L823" t="str">
            <v>Cash Express</v>
          </cell>
          <cell r="M823" t="str">
            <v>Gross loan advances to customers</v>
          </cell>
          <cell r="N823">
            <v>9548.506693745634</v>
          </cell>
          <cell r="O823">
            <v>40940</v>
          </cell>
        </row>
        <row r="824">
          <cell r="G824" t="str">
            <v>7203010</v>
          </cell>
          <cell r="H824">
            <v>214.4838</v>
          </cell>
          <cell r="I824">
            <v>220.3819</v>
          </cell>
          <cell r="J824" t="str">
            <v>Assets</v>
          </cell>
          <cell r="K824" t="str">
            <v>Loans and advances to customers</v>
          </cell>
          <cell r="L824" t="str">
            <v>Cash Express</v>
          </cell>
          <cell r="M824" t="str">
            <v>Gross loan advances to customers</v>
          </cell>
          <cell r="N824">
            <v>-13357047.828320833</v>
          </cell>
          <cell r="O824">
            <v>40940</v>
          </cell>
        </row>
        <row r="825">
          <cell r="G825" t="str">
            <v>7299992</v>
          </cell>
          <cell r="H825">
            <v>214.4838</v>
          </cell>
          <cell r="I825">
            <v>220.3819</v>
          </cell>
          <cell r="J825" t="str">
            <v>Liabilities</v>
          </cell>
          <cell r="K825" t="str">
            <v>Trade and other payables</v>
          </cell>
          <cell r="L825" t="str">
            <v>Overpayments</v>
          </cell>
          <cell r="N825">
            <v>-537514.80578020343</v>
          </cell>
          <cell r="O825">
            <v>40940</v>
          </cell>
        </row>
        <row r="826">
          <cell r="G826" t="str">
            <v>7299995</v>
          </cell>
          <cell r="H826">
            <v>214.4838</v>
          </cell>
          <cell r="I826">
            <v>220.3819</v>
          </cell>
          <cell r="J826" t="str">
            <v>Assets</v>
          </cell>
          <cell r="K826" t="str">
            <v>Loans and advances to customers</v>
          </cell>
          <cell r="L826" t="str">
            <v>Term Loans</v>
          </cell>
          <cell r="M826" t="str">
            <v>Gross loan advances to customers</v>
          </cell>
          <cell r="N826">
            <v>-161887.60675631446</v>
          </cell>
          <cell r="O826">
            <v>40940</v>
          </cell>
        </row>
        <row r="827">
          <cell r="G827" t="str">
            <v>7299999</v>
          </cell>
          <cell r="H827">
            <v>214.4838</v>
          </cell>
          <cell r="I827">
            <v>220.3819</v>
          </cell>
          <cell r="J827" t="str">
            <v>Assets</v>
          </cell>
          <cell r="K827" t="str">
            <v>Loans and advances to customers</v>
          </cell>
          <cell r="L827" t="str">
            <v>Unallocated Deposits</v>
          </cell>
          <cell r="M827" t="str">
            <v>Gross loan advances to customers</v>
          </cell>
          <cell r="N827">
            <v>-599675.79043265735</v>
          </cell>
          <cell r="O827">
            <v>40940</v>
          </cell>
        </row>
        <row r="828">
          <cell r="G828" t="str">
            <v>7301001</v>
          </cell>
          <cell r="H828">
            <v>214.4838</v>
          </cell>
          <cell r="I828">
            <v>220.3819</v>
          </cell>
          <cell r="J828" t="str">
            <v>Assets</v>
          </cell>
          <cell r="K828" t="str">
            <v>Loans and advances to customers</v>
          </cell>
          <cell r="L828" t="str">
            <v>Term Loans</v>
          </cell>
          <cell r="M828" t="str">
            <v>Allowance for impairment</v>
          </cell>
          <cell r="N828">
            <v>-10207437.328973098</v>
          </cell>
          <cell r="O828">
            <v>40940</v>
          </cell>
        </row>
        <row r="829">
          <cell r="G829" t="str">
            <v>7301002</v>
          </cell>
          <cell r="H829">
            <v>1</v>
          </cell>
          <cell r="I829">
            <v>1</v>
          </cell>
          <cell r="J829" t="str">
            <v>Assets</v>
          </cell>
          <cell r="K829" t="str">
            <v>Loans and advances to customers</v>
          </cell>
          <cell r="L829" t="str">
            <v>Term Loans</v>
          </cell>
          <cell r="M829" t="str">
            <v>Allowance for impairment</v>
          </cell>
          <cell r="N829">
            <v>-1383506.7481363637</v>
          </cell>
          <cell r="O829">
            <v>40940</v>
          </cell>
        </row>
        <row r="830">
          <cell r="G830" t="str">
            <v>7301002</v>
          </cell>
          <cell r="H830">
            <v>214.4838</v>
          </cell>
          <cell r="I830">
            <v>220.3819</v>
          </cell>
          <cell r="J830" t="str">
            <v>Assets</v>
          </cell>
          <cell r="K830" t="str">
            <v>Loans and advances to customers</v>
          </cell>
          <cell r="L830" t="str">
            <v>Term Loans</v>
          </cell>
          <cell r="M830" t="str">
            <v>Allowance for impairment</v>
          </cell>
          <cell r="N830">
            <v>-14115839.242917182</v>
          </cell>
          <cell r="O830">
            <v>40940</v>
          </cell>
        </row>
        <row r="831">
          <cell r="G831" t="str">
            <v>7303001</v>
          </cell>
          <cell r="H831">
            <v>214.4838</v>
          </cell>
          <cell r="I831">
            <v>220.3819</v>
          </cell>
          <cell r="J831" t="str">
            <v>Assets</v>
          </cell>
          <cell r="K831" t="str">
            <v>Loans and advances to customers</v>
          </cell>
          <cell r="L831" t="str">
            <v>Cash Express</v>
          </cell>
          <cell r="M831" t="str">
            <v>Allowance for impairment</v>
          </cell>
          <cell r="N831">
            <v>-31835.622177525762</v>
          </cell>
          <cell r="O831">
            <v>40940</v>
          </cell>
        </row>
        <row r="832">
          <cell r="G832" t="str">
            <v>7303002</v>
          </cell>
          <cell r="H832">
            <v>214.4838</v>
          </cell>
          <cell r="I832">
            <v>220.3819</v>
          </cell>
          <cell r="J832" t="str">
            <v>Assets</v>
          </cell>
          <cell r="K832" t="str">
            <v>Loans and advances to customers</v>
          </cell>
          <cell r="L832" t="str">
            <v>Cash Express</v>
          </cell>
          <cell r="M832" t="str">
            <v>Allowance for impairment</v>
          </cell>
          <cell r="N832">
            <v>808.35139996587156</v>
          </cell>
          <cell r="O832">
            <v>40940</v>
          </cell>
        </row>
        <row r="833">
          <cell r="G833" t="str">
            <v>7502000</v>
          </cell>
          <cell r="H833">
            <v>214.4838</v>
          </cell>
          <cell r="I833">
            <v>220.3819</v>
          </cell>
          <cell r="J833" t="str">
            <v>Assets</v>
          </cell>
          <cell r="K833" t="str">
            <v>Trade and other receivables</v>
          </cell>
          <cell r="L833" t="str">
            <v>Prepaid Expenses</v>
          </cell>
          <cell r="N833">
            <v>906516.03846071358</v>
          </cell>
          <cell r="O833">
            <v>40940</v>
          </cell>
        </row>
        <row r="834">
          <cell r="G834" t="str">
            <v>8101001</v>
          </cell>
          <cell r="H834">
            <v>214.4838</v>
          </cell>
          <cell r="I834">
            <v>220.3819</v>
          </cell>
          <cell r="J834" t="str">
            <v>Liabilities</v>
          </cell>
          <cell r="K834" t="str">
            <v>Trade and other payables</v>
          </cell>
          <cell r="L834" t="str">
            <v>Payroll Liabilities</v>
          </cell>
          <cell r="M834" t="str">
            <v>Leave Provision</v>
          </cell>
          <cell r="N834">
            <v>-279999.94549704919</v>
          </cell>
          <cell r="O834">
            <v>40940</v>
          </cell>
        </row>
        <row r="835">
          <cell r="G835" t="str">
            <v>8101002</v>
          </cell>
          <cell r="H835">
            <v>214.4838</v>
          </cell>
          <cell r="I835">
            <v>220.3819</v>
          </cell>
          <cell r="J835" t="str">
            <v>Liabilities</v>
          </cell>
          <cell r="K835" t="str">
            <v>Trade and other payables</v>
          </cell>
          <cell r="L835" t="str">
            <v>Payroll Liabilities</v>
          </cell>
          <cell r="M835" t="str">
            <v>Leave Provision</v>
          </cell>
          <cell r="N835">
            <v>72537.379140056262</v>
          </cell>
          <cell r="O835">
            <v>40940</v>
          </cell>
        </row>
        <row r="836">
          <cell r="G836" t="str">
            <v>8202001</v>
          </cell>
          <cell r="H836">
            <v>214.4838</v>
          </cell>
          <cell r="I836">
            <v>220.3819</v>
          </cell>
          <cell r="J836" t="str">
            <v>Liabilities</v>
          </cell>
          <cell r="K836" t="str">
            <v>Operating Lease liability</v>
          </cell>
          <cell r="L836" t="str">
            <v>Premisis</v>
          </cell>
          <cell r="N836">
            <v>-165138.87193345139</v>
          </cell>
          <cell r="O836">
            <v>40940</v>
          </cell>
        </row>
        <row r="837">
          <cell r="G837" t="str">
            <v>8202002</v>
          </cell>
          <cell r="H837">
            <v>214.4838</v>
          </cell>
          <cell r="I837">
            <v>220.3819</v>
          </cell>
          <cell r="J837" t="str">
            <v>Liabilities</v>
          </cell>
          <cell r="K837" t="str">
            <v>Operating Lease liability</v>
          </cell>
          <cell r="L837" t="str">
            <v>Premisis</v>
          </cell>
          <cell r="N837">
            <v>-93346.036064262196</v>
          </cell>
          <cell r="O837">
            <v>40940</v>
          </cell>
        </row>
        <row r="838">
          <cell r="G838" t="str">
            <v>8301001</v>
          </cell>
          <cell r="H838">
            <v>214.4838</v>
          </cell>
          <cell r="I838">
            <v>220.3819</v>
          </cell>
          <cell r="J838" t="str">
            <v>Assets</v>
          </cell>
          <cell r="K838" t="str">
            <v>Loans and advances to customers</v>
          </cell>
          <cell r="L838" t="str">
            <v>Deferred Initiation Fees</v>
          </cell>
          <cell r="M838" t="str">
            <v>Deferred Initiation Fees</v>
          </cell>
          <cell r="N838">
            <v>-601737.39928143751</v>
          </cell>
          <cell r="O838">
            <v>40940</v>
          </cell>
        </row>
        <row r="839">
          <cell r="G839" t="str">
            <v>8301002</v>
          </cell>
          <cell r="H839">
            <v>214.4838</v>
          </cell>
          <cell r="I839">
            <v>220.3819</v>
          </cell>
          <cell r="J839" t="str">
            <v>Assets</v>
          </cell>
          <cell r="K839" t="str">
            <v>Loans and advances to customers</v>
          </cell>
          <cell r="L839" t="str">
            <v>Deferred Initiation Fees</v>
          </cell>
          <cell r="M839" t="str">
            <v>Deferred Initiation Fees</v>
          </cell>
          <cell r="N839">
            <v>-160744.88371615947</v>
          </cell>
          <cell r="O839">
            <v>40940</v>
          </cell>
        </row>
        <row r="840">
          <cell r="G840" t="str">
            <v>9301000</v>
          </cell>
          <cell r="H840">
            <v>214.4838</v>
          </cell>
          <cell r="I840">
            <v>220.3819</v>
          </cell>
          <cell r="J840" t="str">
            <v>Liabilities</v>
          </cell>
          <cell r="K840" t="str">
            <v>Trade and other payables</v>
          </cell>
          <cell r="L840" t="str">
            <v>Trade payables</v>
          </cell>
          <cell r="M840" t="str">
            <v>Trade creditors</v>
          </cell>
          <cell r="N840">
            <v>-153104.83038812256</v>
          </cell>
          <cell r="O840">
            <v>40940</v>
          </cell>
        </row>
        <row r="841">
          <cell r="G841" t="str">
            <v>9311000</v>
          </cell>
          <cell r="H841">
            <v>214.4838</v>
          </cell>
          <cell r="I841">
            <v>220.3819</v>
          </cell>
          <cell r="J841" t="str">
            <v>Liabilities</v>
          </cell>
          <cell r="K841" t="str">
            <v>Trade and other payables</v>
          </cell>
          <cell r="L841" t="str">
            <v>Accruals</v>
          </cell>
          <cell r="N841">
            <v>-1374610.8111661579</v>
          </cell>
          <cell r="O841">
            <v>40940</v>
          </cell>
        </row>
        <row r="842">
          <cell r="G842" t="str">
            <v>9321007</v>
          </cell>
          <cell r="H842">
            <v>214.4838</v>
          </cell>
          <cell r="I842">
            <v>220.3819</v>
          </cell>
          <cell r="J842" t="str">
            <v>Liabilities</v>
          </cell>
          <cell r="K842" t="str">
            <v>Trade and other payables</v>
          </cell>
          <cell r="L842" t="str">
            <v>Trade payables</v>
          </cell>
          <cell r="N842">
            <v>10117.314221400404</v>
          </cell>
          <cell r="O842">
            <v>40940</v>
          </cell>
        </row>
        <row r="843">
          <cell r="G843" t="str">
            <v>9326000</v>
          </cell>
          <cell r="H843">
            <v>214.4838</v>
          </cell>
          <cell r="I843">
            <v>220.3819</v>
          </cell>
          <cell r="J843" t="str">
            <v>Liabilities</v>
          </cell>
          <cell r="K843" t="str">
            <v>Trade and other payables</v>
          </cell>
          <cell r="L843" t="str">
            <v>Trade payables</v>
          </cell>
          <cell r="N843">
            <v>-27736.402422933574</v>
          </cell>
          <cell r="O843">
            <v>40940</v>
          </cell>
        </row>
        <row r="844">
          <cell r="G844" t="str">
            <v>9331000</v>
          </cell>
          <cell r="H844">
            <v>214.4838</v>
          </cell>
          <cell r="I844">
            <v>220.3819</v>
          </cell>
          <cell r="J844" t="str">
            <v>Liabilities</v>
          </cell>
          <cell r="K844" t="str">
            <v>Trade and other payables</v>
          </cell>
          <cell r="L844" t="str">
            <v>Trade payables</v>
          </cell>
          <cell r="M844" t="str">
            <v>Payroll control</v>
          </cell>
          <cell r="N844">
            <v>-39072.094116198983</v>
          </cell>
          <cell r="O844">
            <v>40940</v>
          </cell>
        </row>
        <row r="845">
          <cell r="G845" t="str">
            <v>9337000</v>
          </cell>
          <cell r="H845">
            <v>214.4838</v>
          </cell>
          <cell r="I845">
            <v>220.3819</v>
          </cell>
          <cell r="J845" t="str">
            <v>Liabilities</v>
          </cell>
          <cell r="K845" t="str">
            <v>Trade and other payables</v>
          </cell>
          <cell r="L845" t="str">
            <v>Trade payables</v>
          </cell>
          <cell r="M845" t="str">
            <v>Payroll control</v>
          </cell>
          <cell r="N845">
            <v>75690.301412041372</v>
          </cell>
          <cell r="O845">
            <v>40940</v>
          </cell>
        </row>
        <row r="846">
          <cell r="G846" t="str">
            <v>9338000</v>
          </cell>
          <cell r="H846">
            <v>214.4838</v>
          </cell>
          <cell r="I846">
            <v>220.3819</v>
          </cell>
          <cell r="J846" t="str">
            <v>Liabilities</v>
          </cell>
          <cell r="K846" t="str">
            <v>Trade and other payables</v>
          </cell>
          <cell r="L846" t="str">
            <v>Trade payables</v>
          </cell>
          <cell r="M846" t="str">
            <v>Payroll control</v>
          </cell>
          <cell r="N846">
            <v>-21080.441133549481</v>
          </cell>
          <cell r="O846">
            <v>40940</v>
          </cell>
        </row>
        <row r="847">
          <cell r="G847" t="str">
            <v>9339000</v>
          </cell>
          <cell r="H847">
            <v>214.4838</v>
          </cell>
          <cell r="I847">
            <v>220.3819</v>
          </cell>
          <cell r="J847" t="str">
            <v>Liabilities</v>
          </cell>
          <cell r="K847" t="str">
            <v>Trade and other payables</v>
          </cell>
          <cell r="L847" t="str">
            <v>Trade payables</v>
          </cell>
          <cell r="M847" t="str">
            <v>Payroll control</v>
          </cell>
          <cell r="N847">
            <v>-11282.400628858684</v>
          </cell>
          <cell r="O847">
            <v>40940</v>
          </cell>
        </row>
        <row r="848">
          <cell r="G848" t="str">
            <v>9411001</v>
          </cell>
          <cell r="H848">
            <v>214.4838</v>
          </cell>
          <cell r="I848">
            <v>220.3819</v>
          </cell>
          <cell r="J848" t="str">
            <v>Liabilities</v>
          </cell>
          <cell r="K848" t="str">
            <v>Trade and other payables</v>
          </cell>
          <cell r="L848" t="str">
            <v>Penalties &amp; interest</v>
          </cell>
          <cell r="M848" t="str">
            <v>Withholding Taxation</v>
          </cell>
          <cell r="N848">
            <v>-796139.20025661611</v>
          </cell>
          <cell r="O848">
            <v>40940</v>
          </cell>
        </row>
        <row r="849">
          <cell r="G849" t="str">
            <v>9411004</v>
          </cell>
          <cell r="H849">
            <v>214.4838</v>
          </cell>
          <cell r="I849">
            <v>220.3819</v>
          </cell>
          <cell r="J849" t="str">
            <v>Liabilities</v>
          </cell>
          <cell r="K849" t="str">
            <v>Trade and other payables</v>
          </cell>
          <cell r="L849" t="str">
            <v>Penalties &amp; interest</v>
          </cell>
          <cell r="M849" t="str">
            <v>Withholding tax</v>
          </cell>
          <cell r="N849">
            <v>295089.79232930409</v>
          </cell>
          <cell r="O849">
            <v>40940</v>
          </cell>
        </row>
        <row r="850">
          <cell r="G850" t="str">
            <v>9501001</v>
          </cell>
          <cell r="H850">
            <v>214.4838</v>
          </cell>
          <cell r="I850">
            <v>220.3819</v>
          </cell>
          <cell r="J850" t="str">
            <v>Liabilities</v>
          </cell>
          <cell r="K850" t="str">
            <v>Trade and other payables</v>
          </cell>
          <cell r="L850" t="str">
            <v>Value Added Taxation</v>
          </cell>
          <cell r="N850">
            <v>-9836.9321132878104</v>
          </cell>
          <cell r="O850">
            <v>40940</v>
          </cell>
        </row>
        <row r="851">
          <cell r="G851" t="str">
            <v>9501002</v>
          </cell>
          <cell r="H851">
            <v>214.4838</v>
          </cell>
          <cell r="I851">
            <v>220.3819</v>
          </cell>
          <cell r="J851" t="str">
            <v>Liabilities</v>
          </cell>
          <cell r="K851" t="str">
            <v>Trade and other payables</v>
          </cell>
          <cell r="L851" t="str">
            <v>Value Added Taxation</v>
          </cell>
          <cell r="N851">
            <v>-292256.81100390799</v>
          </cell>
          <cell r="O851">
            <v>40940</v>
          </cell>
        </row>
        <row r="852">
          <cell r="G852" t="str">
            <v>9501003</v>
          </cell>
          <cell r="H852">
            <v>214.4838</v>
          </cell>
          <cell r="I852">
            <v>220.3819</v>
          </cell>
          <cell r="J852" t="str">
            <v>Liabilities</v>
          </cell>
          <cell r="K852" t="str">
            <v>Trade and other payables</v>
          </cell>
          <cell r="L852" t="str">
            <v>Value Added Taxation</v>
          </cell>
          <cell r="N852">
            <v>304281.87522787269</v>
          </cell>
          <cell r="O852">
            <v>40940</v>
          </cell>
        </row>
        <row r="853">
          <cell r="G853" t="str">
            <v>9501004</v>
          </cell>
          <cell r="H853">
            <v>214.4838</v>
          </cell>
          <cell r="I853">
            <v>220.3819</v>
          </cell>
          <cell r="J853" t="str">
            <v>Liabilities</v>
          </cell>
          <cell r="K853" t="str">
            <v>Trade and other payables</v>
          </cell>
          <cell r="L853" t="str">
            <v>Value Added Taxation</v>
          </cell>
          <cell r="N853">
            <v>-6043090.4186703144</v>
          </cell>
          <cell r="O853">
            <v>40940</v>
          </cell>
        </row>
        <row r="854">
          <cell r="G854" t="str">
            <v>9803000</v>
          </cell>
          <cell r="H854">
            <v>214.4838</v>
          </cell>
          <cell r="I854">
            <v>220.3819</v>
          </cell>
          <cell r="J854" t="str">
            <v>Inter-group loans</v>
          </cell>
          <cell r="K854" t="str">
            <v>Loans (from)/ to group companies</v>
          </cell>
          <cell r="L854" t="str">
            <v>Shared Services</v>
          </cell>
          <cell r="N854">
            <v>-2422934.8600220624</v>
          </cell>
          <cell r="O854">
            <v>40940</v>
          </cell>
        </row>
        <row r="855">
          <cell r="G855" t="str">
            <v>9806000</v>
          </cell>
          <cell r="H855">
            <v>214.4838</v>
          </cell>
          <cell r="I855">
            <v>220.3819</v>
          </cell>
          <cell r="J855" t="str">
            <v>Inter-group loans</v>
          </cell>
          <cell r="K855" t="str">
            <v>Loans (from)/ to group companies</v>
          </cell>
          <cell r="L855" t="str">
            <v>Mauritius</v>
          </cell>
          <cell r="N855">
            <v>-21129157.243670616</v>
          </cell>
          <cell r="O855">
            <v>40940</v>
          </cell>
        </row>
        <row r="856">
          <cell r="G856" t="str">
            <v>9826000</v>
          </cell>
          <cell r="H856">
            <v>214.4838</v>
          </cell>
          <cell r="I856">
            <v>220.3819</v>
          </cell>
          <cell r="J856" t="str">
            <v>Inter-group loans</v>
          </cell>
          <cell r="K856" t="str">
            <v>Loans (from)/ to group companies</v>
          </cell>
          <cell r="L856" t="str">
            <v>BIS Tanzania</v>
          </cell>
          <cell r="N856">
            <v>470610.50648114213</v>
          </cell>
          <cell r="O856">
            <v>40940</v>
          </cell>
        </row>
        <row r="857">
          <cell r="G857" t="str">
            <v>9997000</v>
          </cell>
          <cell r="H857">
            <v>214.4838</v>
          </cell>
          <cell r="I857">
            <v>220.3819</v>
          </cell>
          <cell r="J857" t="str">
            <v>Inter-group loans</v>
          </cell>
          <cell r="K857" t="str">
            <v>Loans (from)/ to group companies</v>
          </cell>
          <cell r="L857" t="str">
            <v>Impairment</v>
          </cell>
          <cell r="N857">
            <v>-31083.932679297923</v>
          </cell>
          <cell r="O857">
            <v>40940</v>
          </cell>
        </row>
        <row r="858">
          <cell r="G858" t="str">
            <v>9998000</v>
          </cell>
          <cell r="H858">
            <v>214.4838</v>
          </cell>
          <cell r="I858">
            <v>220.3819</v>
          </cell>
          <cell r="J858" t="str">
            <v>Inter-group loans</v>
          </cell>
          <cell r="K858" t="str">
            <v>Loans (from)/ to group companies</v>
          </cell>
          <cell r="L858" t="str">
            <v>Impairment</v>
          </cell>
          <cell r="N858">
            <v>-258696.85645256191</v>
          </cell>
          <cell r="O858">
            <v>40940</v>
          </cell>
        </row>
        <row r="859">
          <cell r="G859" t="str">
            <v>Net Pro</v>
          </cell>
          <cell r="H859">
            <v>214.4838</v>
          </cell>
          <cell r="I859">
            <v>220.3819</v>
          </cell>
          <cell r="J859" t="str">
            <v>Equity</v>
          </cell>
          <cell r="K859" t="str">
            <v>Retained earnings/ (Accumulated loss)</v>
          </cell>
          <cell r="L859" t="str">
            <v>Retained earnings/ (Accumulated loss)</v>
          </cell>
          <cell r="M859" t="str">
            <v>Retained earnings</v>
          </cell>
          <cell r="N859">
            <v>16359068.862683335</v>
          </cell>
          <cell r="O859">
            <v>40940</v>
          </cell>
        </row>
        <row r="860">
          <cell r="G860" t="str">
            <v>Net Pro</v>
          </cell>
          <cell r="H860">
            <v>214.4838</v>
          </cell>
          <cell r="I860">
            <v>220.3819</v>
          </cell>
          <cell r="J860" t="str">
            <v>Equity</v>
          </cell>
          <cell r="K860" t="str">
            <v>Retained earnings/ (Accumulated loss)</v>
          </cell>
          <cell r="L860" t="str">
            <v>Retained earnings/ (Accumulated loss)</v>
          </cell>
          <cell r="M860" t="str">
            <v>Retained earnings</v>
          </cell>
          <cell r="N860">
            <v>1475465.2742538131</v>
          </cell>
          <cell r="O860">
            <v>40940</v>
          </cell>
        </row>
        <row r="861">
          <cell r="G861" t="str">
            <v>Net Pro</v>
          </cell>
          <cell r="H861">
            <v>214.4838</v>
          </cell>
          <cell r="I861">
            <v>220.3819</v>
          </cell>
          <cell r="J861" t="str">
            <v>Equity</v>
          </cell>
          <cell r="K861" t="str">
            <v>Retained earnings/ (Accumulated loss)</v>
          </cell>
          <cell r="L861" t="str">
            <v>Retained earnings/ (Accumulated loss)</v>
          </cell>
          <cell r="M861" t="str">
            <v>Retained earnings</v>
          </cell>
          <cell r="N861">
            <v>-1475465.2742538131</v>
          </cell>
          <cell r="O861">
            <v>40940</v>
          </cell>
        </row>
        <row r="862">
          <cell r="G862" t="str">
            <v>1101000</v>
          </cell>
          <cell r="H862">
            <v>320.55470000000003</v>
          </cell>
          <cell r="I862">
            <v>339.43270000000001</v>
          </cell>
          <cell r="J862" t="str">
            <v>Income Statement</v>
          </cell>
          <cell r="K862" t="str">
            <v>Interest income</v>
          </cell>
          <cell r="L862" t="str">
            <v>External interest income</v>
          </cell>
          <cell r="M862" t="str">
            <v>Loans and advances</v>
          </cell>
          <cell r="N862">
            <v>-9101937.9865581598</v>
          </cell>
          <cell r="O862">
            <v>40940</v>
          </cell>
        </row>
        <row r="863">
          <cell r="G863" t="str">
            <v>1103000</v>
          </cell>
          <cell r="H863">
            <v>320.55470000000003</v>
          </cell>
          <cell r="I863">
            <v>339.43270000000001</v>
          </cell>
          <cell r="J863" t="str">
            <v>Income Statement</v>
          </cell>
          <cell r="K863" t="str">
            <v>Interest income</v>
          </cell>
          <cell r="L863" t="str">
            <v>External interest income</v>
          </cell>
          <cell r="M863" t="str">
            <v>Loans and advances</v>
          </cell>
          <cell r="N863">
            <v>-203981.37834097893</v>
          </cell>
          <cell r="O863">
            <v>40940</v>
          </cell>
        </row>
        <row r="864">
          <cell r="G864" t="str">
            <v>1108000</v>
          </cell>
          <cell r="H864">
            <v>320.55470000000003</v>
          </cell>
          <cell r="I864">
            <v>339.43270000000001</v>
          </cell>
          <cell r="J864" t="str">
            <v>Income Statement</v>
          </cell>
          <cell r="K864" t="str">
            <v>Interest income</v>
          </cell>
          <cell r="L864" t="str">
            <v>External interest income</v>
          </cell>
          <cell r="M864" t="str">
            <v>Written of loans</v>
          </cell>
          <cell r="N864">
            <v>-4142146.0395536432</v>
          </cell>
          <cell r="O864">
            <v>40940</v>
          </cell>
        </row>
        <row r="865">
          <cell r="G865" t="str">
            <v>1113000</v>
          </cell>
          <cell r="H865">
            <v>320.55470000000003</v>
          </cell>
          <cell r="I865">
            <v>339.43270000000001</v>
          </cell>
          <cell r="J865" t="str">
            <v>Income Statement</v>
          </cell>
          <cell r="K865" t="str">
            <v>Interest income</v>
          </cell>
          <cell r="L865" t="str">
            <v>External interest income</v>
          </cell>
          <cell r="M865" t="str">
            <v>Loans and advances</v>
          </cell>
          <cell r="N865">
            <v>-5.8921842238535058</v>
          </cell>
          <cell r="O865">
            <v>40940</v>
          </cell>
        </row>
        <row r="866">
          <cell r="G866" t="str">
            <v>1201000</v>
          </cell>
          <cell r="H866">
            <v>320.55470000000003</v>
          </cell>
          <cell r="I866">
            <v>339.43270000000001</v>
          </cell>
          <cell r="J866" t="str">
            <v>Income Statement</v>
          </cell>
          <cell r="K866" t="str">
            <v>Administration and commission income</v>
          </cell>
          <cell r="L866" t="str">
            <v>Initiation fee income</v>
          </cell>
          <cell r="N866">
            <v>-2463784.5426795944</v>
          </cell>
          <cell r="O866">
            <v>40940</v>
          </cell>
        </row>
        <row r="867">
          <cell r="G867" t="str">
            <v>1299000</v>
          </cell>
          <cell r="H867">
            <v>320.55470000000003</v>
          </cell>
          <cell r="I867">
            <v>339.43270000000001</v>
          </cell>
          <cell r="J867" t="str">
            <v>Income Statement</v>
          </cell>
          <cell r="K867" t="str">
            <v>Administration and commission income</v>
          </cell>
          <cell r="L867" t="str">
            <v>Initiation fee income</v>
          </cell>
          <cell r="N867">
            <v>670085.36891112733</v>
          </cell>
          <cell r="O867">
            <v>40940</v>
          </cell>
        </row>
        <row r="868">
          <cell r="G868" t="str">
            <v>1404000</v>
          </cell>
          <cell r="H868">
            <v>320.55470000000003</v>
          </cell>
          <cell r="I868">
            <v>339.43270000000001</v>
          </cell>
          <cell r="J868" t="str">
            <v>Income Statement</v>
          </cell>
          <cell r="K868" t="str">
            <v>Administration and commission income</v>
          </cell>
          <cell r="L868" t="str">
            <v>Insurance gross premium income</v>
          </cell>
          <cell r="N868">
            <v>-2787083.7956390176</v>
          </cell>
          <cell r="O868">
            <v>40940</v>
          </cell>
        </row>
        <row r="869">
          <cell r="G869" t="str">
            <v>1616000</v>
          </cell>
          <cell r="H869">
            <v>320.55470000000003</v>
          </cell>
          <cell r="I869">
            <v>339.43270000000001</v>
          </cell>
          <cell r="J869" t="str">
            <v>Income Statement</v>
          </cell>
          <cell r="K869" t="str">
            <v>Other income</v>
          </cell>
          <cell r="L869" t="str">
            <v>Commission received</v>
          </cell>
          <cell r="N869">
            <v>-49418.800162742125</v>
          </cell>
          <cell r="O869">
            <v>40940</v>
          </cell>
        </row>
        <row r="870">
          <cell r="G870" t="str">
            <v>2199000</v>
          </cell>
          <cell r="H870">
            <v>320.55470000000003</v>
          </cell>
          <cell r="I870">
            <v>339.43270000000001</v>
          </cell>
          <cell r="J870" t="str">
            <v>Income Statement</v>
          </cell>
          <cell r="K870" t="str">
            <v>Interest expense</v>
          </cell>
          <cell r="L870" t="str">
            <v>External interest expense</v>
          </cell>
          <cell r="M870" t="str">
            <v>Interest- bank balances</v>
          </cell>
          <cell r="N870">
            <v>128.52153018845857</v>
          </cell>
          <cell r="O870">
            <v>40940</v>
          </cell>
        </row>
        <row r="871">
          <cell r="G871" t="str">
            <v>2301000</v>
          </cell>
          <cell r="H871">
            <v>1</v>
          </cell>
          <cell r="I871">
            <v>1</v>
          </cell>
          <cell r="J871" t="str">
            <v>Income Statement</v>
          </cell>
          <cell r="K871" t="str">
            <v>Impairment of loan advances and bad debts</v>
          </cell>
          <cell r="L871" t="str">
            <v>Provision movement - Loans and Advances</v>
          </cell>
          <cell r="M871" t="str">
            <v>Term</v>
          </cell>
          <cell r="N871">
            <v>-1703888.2013696798</v>
          </cell>
          <cell r="O871">
            <v>40940</v>
          </cell>
        </row>
        <row r="872">
          <cell r="G872" t="str">
            <v>2301000</v>
          </cell>
          <cell r="H872">
            <v>1</v>
          </cell>
          <cell r="I872">
            <v>1</v>
          </cell>
          <cell r="J872" t="str">
            <v>Income Statement</v>
          </cell>
          <cell r="K872" t="str">
            <v>Impairment of loan advances and bad debts</v>
          </cell>
          <cell r="L872" t="str">
            <v>Provision movement - Loans and Advances</v>
          </cell>
          <cell r="M872" t="str">
            <v>Term</v>
          </cell>
          <cell r="N872">
            <v>1703888.2013696798</v>
          </cell>
          <cell r="O872">
            <v>40940</v>
          </cell>
        </row>
        <row r="873">
          <cell r="G873" t="str">
            <v>2301000</v>
          </cell>
          <cell r="H873">
            <v>320.55470000000003</v>
          </cell>
          <cell r="I873">
            <v>339.43270000000001</v>
          </cell>
          <cell r="J873" t="str">
            <v>Income Statement</v>
          </cell>
          <cell r="K873" t="str">
            <v>Impairment of loan advances and bad debts</v>
          </cell>
          <cell r="L873" t="str">
            <v>Provision movement - Loans and Advances</v>
          </cell>
          <cell r="M873" t="str">
            <v>Term</v>
          </cell>
          <cell r="N873">
            <v>7764134.429711692</v>
          </cell>
          <cell r="O873">
            <v>40940</v>
          </cell>
        </row>
        <row r="874">
          <cell r="G874" t="str">
            <v>2303000</v>
          </cell>
          <cell r="H874">
            <v>320.55470000000003</v>
          </cell>
          <cell r="I874">
            <v>339.43270000000001</v>
          </cell>
          <cell r="J874" t="str">
            <v>Income Statement</v>
          </cell>
          <cell r="K874" t="str">
            <v>Impairment of loan advances and bad debts</v>
          </cell>
          <cell r="L874" t="str">
            <v>Provision movement - Loans and Advances</v>
          </cell>
          <cell r="M874" t="str">
            <v>Cash Express</v>
          </cell>
          <cell r="N874">
            <v>-40883.014453233292</v>
          </cell>
          <cell r="O874">
            <v>40940</v>
          </cell>
        </row>
        <row r="875">
          <cell r="G875" t="str">
            <v>2404000</v>
          </cell>
          <cell r="H875">
            <v>320.55470000000003</v>
          </cell>
          <cell r="I875">
            <v>339.43270000000001</v>
          </cell>
          <cell r="J875" t="str">
            <v>Income Statement</v>
          </cell>
          <cell r="K875" t="str">
            <v>Administration and commission income</v>
          </cell>
          <cell r="L875" t="str">
            <v>Insurance gross premium expense</v>
          </cell>
          <cell r="N875">
            <v>258673.11505344062</v>
          </cell>
          <cell r="O875">
            <v>40940</v>
          </cell>
        </row>
        <row r="876">
          <cell r="G876" t="str">
            <v>2701001</v>
          </cell>
          <cell r="H876">
            <v>320.55470000000003</v>
          </cell>
          <cell r="I876">
            <v>339.43270000000001</v>
          </cell>
          <cell r="J876" t="str">
            <v>Income Statement</v>
          </cell>
          <cell r="K876" t="str">
            <v>Intergroup management fee expense</v>
          </cell>
          <cell r="L876" t="str">
            <v>Intergroup management fee expense</v>
          </cell>
          <cell r="M876" t="str">
            <v>Interco</v>
          </cell>
          <cell r="N876">
            <v>3654027.1366901305</v>
          </cell>
          <cell r="O876">
            <v>40940</v>
          </cell>
        </row>
        <row r="877">
          <cell r="G877" t="str">
            <v>2702006</v>
          </cell>
          <cell r="H877">
            <v>320.55470000000003</v>
          </cell>
          <cell r="I877">
            <v>339.43270000000001</v>
          </cell>
          <cell r="J877" t="str">
            <v>Income Statement</v>
          </cell>
          <cell r="K877" t="str">
            <v>Interest expense</v>
          </cell>
          <cell r="L877" t="str">
            <v>Intergroup interest expense</v>
          </cell>
          <cell r="N877">
            <v>-894063.91850284301</v>
          </cell>
          <cell r="O877">
            <v>40940</v>
          </cell>
        </row>
        <row r="878">
          <cell r="G878" t="str">
            <v>3101000</v>
          </cell>
          <cell r="H878">
            <v>320.55470000000003</v>
          </cell>
          <cell r="I878">
            <v>339.43270000000001</v>
          </cell>
          <cell r="J878" t="str">
            <v>Income Statement</v>
          </cell>
          <cell r="K878" t="str">
            <v>Operating expenses</v>
          </cell>
          <cell r="L878" t="str">
            <v>Employee cost</v>
          </cell>
          <cell r="N878">
            <v>2533.6392162570078</v>
          </cell>
          <cell r="O878">
            <v>40940</v>
          </cell>
        </row>
        <row r="879">
          <cell r="G879" t="str">
            <v>3101000</v>
          </cell>
          <cell r="H879">
            <v>320.55470000000003</v>
          </cell>
          <cell r="I879">
            <v>339.43270000000001</v>
          </cell>
          <cell r="J879" t="str">
            <v>Income Statement</v>
          </cell>
          <cell r="K879" t="str">
            <v>Operating expenses</v>
          </cell>
          <cell r="L879" t="str">
            <v>Employee cost</v>
          </cell>
          <cell r="N879">
            <v>90214.643432998651</v>
          </cell>
          <cell r="O879">
            <v>40940</v>
          </cell>
        </row>
        <row r="880">
          <cell r="G880" t="str">
            <v>3101000</v>
          </cell>
          <cell r="H880">
            <v>320.55470000000003</v>
          </cell>
          <cell r="I880">
            <v>339.43270000000001</v>
          </cell>
          <cell r="J880" t="str">
            <v>Income Statement</v>
          </cell>
          <cell r="K880" t="str">
            <v>Operating expenses</v>
          </cell>
          <cell r="L880" t="str">
            <v>Employee cost</v>
          </cell>
          <cell r="N880">
            <v>70640.6601367517</v>
          </cell>
          <cell r="O880">
            <v>40940</v>
          </cell>
        </row>
        <row r="881">
          <cell r="G881" t="str">
            <v>3101000</v>
          </cell>
          <cell r="H881">
            <v>320.55470000000003</v>
          </cell>
          <cell r="I881">
            <v>339.43270000000001</v>
          </cell>
          <cell r="J881" t="str">
            <v>Income Statement</v>
          </cell>
          <cell r="K881" t="str">
            <v>Operating expenses</v>
          </cell>
          <cell r="L881" t="str">
            <v>Employee cost</v>
          </cell>
          <cell r="N881">
            <v>56554.362617390718</v>
          </cell>
          <cell r="O881">
            <v>40940</v>
          </cell>
        </row>
        <row r="882">
          <cell r="G882" t="str">
            <v>3101000</v>
          </cell>
          <cell r="H882">
            <v>320.55470000000003</v>
          </cell>
          <cell r="I882">
            <v>339.43270000000001</v>
          </cell>
          <cell r="J882" t="str">
            <v>Income Statement</v>
          </cell>
          <cell r="K882" t="str">
            <v>Operating expenses</v>
          </cell>
          <cell r="L882" t="str">
            <v>Employee cost</v>
          </cell>
          <cell r="N882">
            <v>89657.684719238896</v>
          </cell>
          <cell r="O882">
            <v>40940</v>
          </cell>
        </row>
        <row r="883">
          <cell r="G883" t="str">
            <v>3101000</v>
          </cell>
          <cell r="H883">
            <v>320.55470000000003</v>
          </cell>
          <cell r="I883">
            <v>339.43270000000001</v>
          </cell>
          <cell r="J883" t="str">
            <v>Income Statement</v>
          </cell>
          <cell r="K883" t="str">
            <v>Operating expenses</v>
          </cell>
          <cell r="L883" t="str">
            <v>Employee cost</v>
          </cell>
          <cell r="N883">
            <v>107535.84857911451</v>
          </cell>
          <cell r="O883">
            <v>40940</v>
          </cell>
        </row>
        <row r="884">
          <cell r="G884" t="str">
            <v>3101000</v>
          </cell>
          <cell r="H884">
            <v>320.55470000000003</v>
          </cell>
          <cell r="I884">
            <v>339.43270000000001</v>
          </cell>
          <cell r="J884" t="str">
            <v>Income Statement</v>
          </cell>
          <cell r="K884" t="str">
            <v>Operating expenses</v>
          </cell>
          <cell r="L884" t="str">
            <v>Employee cost</v>
          </cell>
          <cell r="N884">
            <v>134872.09703131134</v>
          </cell>
          <cell r="O884">
            <v>40940</v>
          </cell>
        </row>
        <row r="885">
          <cell r="G885" t="str">
            <v>3101000</v>
          </cell>
          <cell r="H885">
            <v>320.55470000000003</v>
          </cell>
          <cell r="I885">
            <v>339.43270000000001</v>
          </cell>
          <cell r="J885" t="str">
            <v>Income Statement</v>
          </cell>
          <cell r="K885" t="str">
            <v>Operating expenses</v>
          </cell>
          <cell r="L885" t="str">
            <v>Employee cost</v>
          </cell>
          <cell r="N885">
            <v>165132.93094625237</v>
          </cell>
          <cell r="O885">
            <v>40940</v>
          </cell>
        </row>
        <row r="886">
          <cell r="G886" t="str">
            <v>3101000</v>
          </cell>
          <cell r="H886">
            <v>320.55470000000003</v>
          </cell>
          <cell r="I886">
            <v>339.43270000000001</v>
          </cell>
          <cell r="J886" t="str">
            <v>Income Statement</v>
          </cell>
          <cell r="K886" t="str">
            <v>Operating expenses</v>
          </cell>
          <cell r="L886" t="str">
            <v>Employee cost</v>
          </cell>
          <cell r="N886">
            <v>97053.298047006072</v>
          </cell>
          <cell r="O886">
            <v>40940</v>
          </cell>
        </row>
        <row r="887">
          <cell r="G887" t="str">
            <v>3101000</v>
          </cell>
          <cell r="H887">
            <v>320.55470000000003</v>
          </cell>
          <cell r="I887">
            <v>339.43270000000001</v>
          </cell>
          <cell r="J887" t="str">
            <v>Income Statement</v>
          </cell>
          <cell r="K887" t="str">
            <v>Operating expenses</v>
          </cell>
          <cell r="L887" t="str">
            <v>Employee cost</v>
          </cell>
          <cell r="N887">
            <v>77282.906626261989</v>
          </cell>
          <cell r="O887">
            <v>40940</v>
          </cell>
        </row>
        <row r="888">
          <cell r="G888" t="str">
            <v>3101000</v>
          </cell>
          <cell r="H888">
            <v>320.55470000000003</v>
          </cell>
          <cell r="I888">
            <v>339.43270000000001</v>
          </cell>
          <cell r="J888" t="str">
            <v>Income Statement</v>
          </cell>
          <cell r="K888" t="str">
            <v>Operating expenses</v>
          </cell>
          <cell r="L888" t="str">
            <v>Employee cost</v>
          </cell>
          <cell r="N888">
            <v>638177.08700428682</v>
          </cell>
          <cell r="O888">
            <v>40940</v>
          </cell>
        </row>
        <row r="889">
          <cell r="G889" t="str">
            <v>3103000</v>
          </cell>
          <cell r="H889">
            <v>320.55470000000003</v>
          </cell>
          <cell r="I889">
            <v>339.43270000000001</v>
          </cell>
          <cell r="J889" t="str">
            <v>Income Statement</v>
          </cell>
          <cell r="K889" t="str">
            <v>Operating expenses</v>
          </cell>
          <cell r="L889" t="str">
            <v>Employee cost</v>
          </cell>
          <cell r="N889">
            <v>294.60921119267528</v>
          </cell>
          <cell r="O889">
            <v>40940</v>
          </cell>
        </row>
        <row r="890">
          <cell r="G890" t="str">
            <v>3103000</v>
          </cell>
          <cell r="H890">
            <v>320.55470000000003</v>
          </cell>
          <cell r="I890">
            <v>339.43270000000001</v>
          </cell>
          <cell r="J890" t="str">
            <v>Income Statement</v>
          </cell>
          <cell r="K890" t="str">
            <v>Operating expenses</v>
          </cell>
          <cell r="L890" t="str">
            <v>Employee cost</v>
          </cell>
          <cell r="N890">
            <v>4539.9279444791264</v>
          </cell>
          <cell r="O890">
            <v>40940</v>
          </cell>
        </row>
        <row r="891">
          <cell r="G891" t="str">
            <v>3103000</v>
          </cell>
          <cell r="H891">
            <v>320.55470000000003</v>
          </cell>
          <cell r="I891">
            <v>339.43270000000001</v>
          </cell>
          <cell r="J891" t="str">
            <v>Income Statement</v>
          </cell>
          <cell r="K891" t="str">
            <v>Operating expenses</v>
          </cell>
          <cell r="L891" t="str">
            <v>Employee cost</v>
          </cell>
          <cell r="N891">
            <v>3240.7013231194283</v>
          </cell>
          <cell r="O891">
            <v>40940</v>
          </cell>
        </row>
        <row r="892">
          <cell r="G892" t="str">
            <v>3103000</v>
          </cell>
          <cell r="H892">
            <v>320.55470000000003</v>
          </cell>
          <cell r="I892">
            <v>339.43270000000001</v>
          </cell>
          <cell r="J892" t="str">
            <v>Income Statement</v>
          </cell>
          <cell r="K892" t="str">
            <v>Operating expenses</v>
          </cell>
          <cell r="L892" t="str">
            <v>Employee cost</v>
          </cell>
          <cell r="N892">
            <v>3535.3105343121038</v>
          </cell>
          <cell r="O892">
            <v>40940</v>
          </cell>
        </row>
        <row r="893">
          <cell r="G893" t="str">
            <v>3103000</v>
          </cell>
          <cell r="H893">
            <v>320.55470000000003</v>
          </cell>
          <cell r="I893">
            <v>339.43270000000001</v>
          </cell>
          <cell r="J893" t="str">
            <v>Income Statement</v>
          </cell>
          <cell r="K893" t="str">
            <v>Operating expenses</v>
          </cell>
          <cell r="L893" t="str">
            <v>Employee cost</v>
          </cell>
          <cell r="N893">
            <v>4713.7473790828044</v>
          </cell>
          <cell r="O893">
            <v>40940</v>
          </cell>
        </row>
        <row r="894">
          <cell r="G894" t="str">
            <v>3103000</v>
          </cell>
          <cell r="H894">
            <v>320.55470000000003</v>
          </cell>
          <cell r="I894">
            <v>339.43270000000001</v>
          </cell>
          <cell r="J894" t="str">
            <v>Income Statement</v>
          </cell>
          <cell r="K894" t="str">
            <v>Operating expenses</v>
          </cell>
          <cell r="L894" t="str">
            <v>Employee cost</v>
          </cell>
          <cell r="N894">
            <v>3535.3105343121038</v>
          </cell>
          <cell r="O894">
            <v>40940</v>
          </cell>
        </row>
        <row r="895">
          <cell r="G895" t="str">
            <v>3103000</v>
          </cell>
          <cell r="H895">
            <v>320.55470000000003</v>
          </cell>
          <cell r="I895">
            <v>339.43270000000001</v>
          </cell>
          <cell r="J895" t="str">
            <v>Income Statement</v>
          </cell>
          <cell r="K895" t="str">
            <v>Operating expenses</v>
          </cell>
          <cell r="L895" t="str">
            <v>Employee cost</v>
          </cell>
          <cell r="N895">
            <v>3535.3105343121038</v>
          </cell>
          <cell r="O895">
            <v>40940</v>
          </cell>
        </row>
        <row r="896">
          <cell r="G896" t="str">
            <v>3103000</v>
          </cell>
          <cell r="H896">
            <v>320.55470000000003</v>
          </cell>
          <cell r="I896">
            <v>339.43270000000001</v>
          </cell>
          <cell r="J896" t="str">
            <v>Income Statement</v>
          </cell>
          <cell r="K896" t="str">
            <v>Operating expenses</v>
          </cell>
          <cell r="L896" t="str">
            <v>Employee cost</v>
          </cell>
          <cell r="N896">
            <v>2989.9888843944618</v>
          </cell>
          <cell r="O896">
            <v>40940</v>
          </cell>
        </row>
        <row r="897">
          <cell r="G897" t="str">
            <v>3103000</v>
          </cell>
          <cell r="H897">
            <v>320.55470000000003</v>
          </cell>
          <cell r="I897">
            <v>339.43270000000001</v>
          </cell>
          <cell r="J897" t="str">
            <v>Income Statement</v>
          </cell>
          <cell r="K897" t="str">
            <v>Operating expenses</v>
          </cell>
          <cell r="L897" t="str">
            <v>Employee cost</v>
          </cell>
          <cell r="N897">
            <v>3535.3105343121038</v>
          </cell>
          <cell r="O897">
            <v>40940</v>
          </cell>
        </row>
        <row r="898">
          <cell r="G898" t="str">
            <v>3109000</v>
          </cell>
          <cell r="H898">
            <v>320.55470000000003</v>
          </cell>
          <cell r="I898">
            <v>339.43270000000001</v>
          </cell>
          <cell r="J898" t="str">
            <v>Income Statement</v>
          </cell>
          <cell r="K898" t="str">
            <v>Operating expenses</v>
          </cell>
          <cell r="L898" t="str">
            <v>Employee cost</v>
          </cell>
          <cell r="N898">
            <v>12556.981104059803</v>
          </cell>
          <cell r="O898">
            <v>40940</v>
          </cell>
        </row>
        <row r="899">
          <cell r="G899" t="str">
            <v>3109000</v>
          </cell>
          <cell r="H899">
            <v>320.55470000000003</v>
          </cell>
          <cell r="I899">
            <v>339.43270000000001</v>
          </cell>
          <cell r="J899" t="str">
            <v>Income Statement</v>
          </cell>
          <cell r="K899" t="str">
            <v>Operating expenses</v>
          </cell>
          <cell r="L899" t="str">
            <v>Employee cost</v>
          </cell>
          <cell r="N899">
            <v>59216.274684201016</v>
          </cell>
          <cell r="O899">
            <v>40940</v>
          </cell>
        </row>
        <row r="900">
          <cell r="G900" t="str">
            <v>3109000</v>
          </cell>
          <cell r="H900">
            <v>320.55470000000003</v>
          </cell>
          <cell r="I900">
            <v>339.43270000000001</v>
          </cell>
          <cell r="J900" t="str">
            <v>Income Statement</v>
          </cell>
          <cell r="K900" t="str">
            <v>Operating expenses</v>
          </cell>
          <cell r="L900" t="str">
            <v>Employee cost</v>
          </cell>
          <cell r="N900">
            <v>28991.667567679837</v>
          </cell>
          <cell r="O900">
            <v>40940</v>
          </cell>
        </row>
        <row r="901">
          <cell r="G901" t="str">
            <v>3109000</v>
          </cell>
          <cell r="H901">
            <v>320.55470000000003</v>
          </cell>
          <cell r="I901">
            <v>339.43270000000001</v>
          </cell>
          <cell r="J901" t="str">
            <v>Income Statement</v>
          </cell>
          <cell r="K901" t="str">
            <v>Operating expenses</v>
          </cell>
          <cell r="L901" t="str">
            <v>Employee cost</v>
          </cell>
          <cell r="N901">
            <v>66256.138551176715</v>
          </cell>
          <cell r="O901">
            <v>40940</v>
          </cell>
        </row>
        <row r="902">
          <cell r="G902" t="str">
            <v>3109000</v>
          </cell>
          <cell r="H902">
            <v>320.55470000000003</v>
          </cell>
          <cell r="I902">
            <v>339.43270000000001</v>
          </cell>
          <cell r="J902" t="str">
            <v>Income Statement</v>
          </cell>
          <cell r="K902" t="str">
            <v>Operating expenses</v>
          </cell>
          <cell r="L902" t="str">
            <v>Employee cost</v>
          </cell>
          <cell r="N902">
            <v>30638.115243463577</v>
          </cell>
          <cell r="O902">
            <v>40940</v>
          </cell>
        </row>
        <row r="903">
          <cell r="G903" t="str">
            <v>3109000</v>
          </cell>
          <cell r="H903">
            <v>320.55470000000003</v>
          </cell>
          <cell r="I903">
            <v>339.43270000000001</v>
          </cell>
          <cell r="J903" t="str">
            <v>Income Statement</v>
          </cell>
          <cell r="K903" t="str">
            <v>Operating expenses</v>
          </cell>
          <cell r="L903" t="str">
            <v>Employee cost</v>
          </cell>
          <cell r="N903">
            <v>27882.552270302771</v>
          </cell>
          <cell r="O903">
            <v>40940</v>
          </cell>
        </row>
        <row r="904">
          <cell r="G904" t="str">
            <v>3109000</v>
          </cell>
          <cell r="H904">
            <v>320.55470000000003</v>
          </cell>
          <cell r="I904">
            <v>339.43270000000001</v>
          </cell>
          <cell r="J904" t="str">
            <v>Income Statement</v>
          </cell>
          <cell r="K904" t="str">
            <v>Operating expenses</v>
          </cell>
          <cell r="L904" t="str">
            <v>Employee cost</v>
          </cell>
          <cell r="N904">
            <v>26405.145998013744</v>
          </cell>
          <cell r="O904">
            <v>40940</v>
          </cell>
        </row>
        <row r="905">
          <cell r="G905" t="str">
            <v>3109000</v>
          </cell>
          <cell r="H905">
            <v>320.55470000000003</v>
          </cell>
          <cell r="I905">
            <v>339.43270000000001</v>
          </cell>
          <cell r="J905" t="str">
            <v>Income Statement</v>
          </cell>
          <cell r="K905" t="str">
            <v>Operating expenses</v>
          </cell>
          <cell r="L905" t="str">
            <v>Employee cost</v>
          </cell>
          <cell r="N905">
            <v>55034.474433370735</v>
          </cell>
          <cell r="O905">
            <v>40940</v>
          </cell>
        </row>
        <row r="906">
          <cell r="G906" t="str">
            <v>3109000</v>
          </cell>
          <cell r="H906">
            <v>320.55470000000003</v>
          </cell>
          <cell r="I906">
            <v>339.43270000000001</v>
          </cell>
          <cell r="J906" t="str">
            <v>Income Statement</v>
          </cell>
          <cell r="K906" t="str">
            <v>Operating expenses</v>
          </cell>
          <cell r="L906" t="str">
            <v>Employee cost</v>
          </cell>
          <cell r="N906">
            <v>35874.559227793907</v>
          </cell>
          <cell r="O906">
            <v>40940</v>
          </cell>
        </row>
        <row r="907">
          <cell r="G907" t="str">
            <v>3109000</v>
          </cell>
          <cell r="H907">
            <v>320.55470000000003</v>
          </cell>
          <cell r="I907">
            <v>339.43270000000001</v>
          </cell>
          <cell r="J907" t="str">
            <v>Income Statement</v>
          </cell>
          <cell r="K907" t="str">
            <v>Operating expenses</v>
          </cell>
          <cell r="L907" t="str">
            <v>Employee cost</v>
          </cell>
          <cell r="N907">
            <v>65848.052530000801</v>
          </cell>
          <cell r="O907">
            <v>40940</v>
          </cell>
        </row>
        <row r="908">
          <cell r="G908" t="str">
            <v>3109000</v>
          </cell>
          <cell r="H908">
            <v>320.55470000000003</v>
          </cell>
          <cell r="I908">
            <v>339.43270000000001</v>
          </cell>
          <cell r="J908" t="str">
            <v>Income Statement</v>
          </cell>
          <cell r="K908" t="str">
            <v>Operating expenses</v>
          </cell>
          <cell r="L908" t="str">
            <v>Employee cost</v>
          </cell>
          <cell r="N908">
            <v>-1927.8932171237479</v>
          </cell>
          <cell r="O908">
            <v>40940</v>
          </cell>
        </row>
        <row r="909">
          <cell r="G909" t="str">
            <v>3110000</v>
          </cell>
          <cell r="H909">
            <v>320.55470000000003</v>
          </cell>
          <cell r="I909">
            <v>339.43270000000001</v>
          </cell>
          <cell r="J909" t="str">
            <v>Income Statement</v>
          </cell>
          <cell r="K909" t="str">
            <v>Operating expenses</v>
          </cell>
          <cell r="L909" t="str">
            <v>Employee cost</v>
          </cell>
          <cell r="N909">
            <v>869.20888883127634</v>
          </cell>
          <cell r="O909">
            <v>40940</v>
          </cell>
        </row>
        <row r="910">
          <cell r="G910" t="str">
            <v>3110000</v>
          </cell>
          <cell r="H910">
            <v>320.55470000000003</v>
          </cell>
          <cell r="I910">
            <v>339.43270000000001</v>
          </cell>
          <cell r="J910" t="str">
            <v>Income Statement</v>
          </cell>
          <cell r="K910" t="str">
            <v>Operating expenses</v>
          </cell>
          <cell r="L910" t="str">
            <v>Employee cost</v>
          </cell>
          <cell r="N910">
            <v>434.60444441563817</v>
          </cell>
          <cell r="O910">
            <v>40940</v>
          </cell>
        </row>
        <row r="911">
          <cell r="G911" t="str">
            <v>3110000</v>
          </cell>
          <cell r="H911">
            <v>320.55470000000003</v>
          </cell>
          <cell r="I911">
            <v>339.43270000000001</v>
          </cell>
          <cell r="J911" t="str">
            <v>Income Statement</v>
          </cell>
          <cell r="K911" t="str">
            <v>Operating expenses</v>
          </cell>
          <cell r="L911" t="str">
            <v>Employee cost</v>
          </cell>
          <cell r="N911">
            <v>434.60444441563817</v>
          </cell>
          <cell r="O911">
            <v>40940</v>
          </cell>
        </row>
        <row r="912">
          <cell r="G912" t="str">
            <v>3110000</v>
          </cell>
          <cell r="H912">
            <v>320.55470000000003</v>
          </cell>
          <cell r="I912">
            <v>339.43270000000001</v>
          </cell>
          <cell r="J912" t="str">
            <v>Income Statement</v>
          </cell>
          <cell r="K912" t="str">
            <v>Operating expenses</v>
          </cell>
          <cell r="L912" t="str">
            <v>Employee cost</v>
          </cell>
          <cell r="N912">
            <v>217.30222220781909</v>
          </cell>
          <cell r="O912">
            <v>40940</v>
          </cell>
        </row>
        <row r="913">
          <cell r="G913" t="str">
            <v>3110000</v>
          </cell>
          <cell r="H913">
            <v>320.55470000000003</v>
          </cell>
          <cell r="I913">
            <v>339.43270000000001</v>
          </cell>
          <cell r="J913" t="str">
            <v>Income Statement</v>
          </cell>
          <cell r="K913" t="str">
            <v>Operating expenses</v>
          </cell>
          <cell r="L913" t="str">
            <v>Employee cost</v>
          </cell>
          <cell r="N913">
            <v>651.90666662345734</v>
          </cell>
          <cell r="O913">
            <v>40940</v>
          </cell>
        </row>
        <row r="914">
          <cell r="G914" t="str">
            <v>3110000</v>
          </cell>
          <cell r="H914">
            <v>320.55470000000003</v>
          </cell>
          <cell r="I914">
            <v>339.43270000000001</v>
          </cell>
          <cell r="J914" t="str">
            <v>Income Statement</v>
          </cell>
          <cell r="K914" t="str">
            <v>Operating expenses</v>
          </cell>
          <cell r="L914" t="str">
            <v>Employee cost</v>
          </cell>
          <cell r="N914">
            <v>1086.5111110390956</v>
          </cell>
          <cell r="O914">
            <v>40940</v>
          </cell>
        </row>
        <row r="915">
          <cell r="G915" t="str">
            <v>3110000</v>
          </cell>
          <cell r="H915">
            <v>320.55470000000003</v>
          </cell>
          <cell r="I915">
            <v>339.43270000000001</v>
          </cell>
          <cell r="J915" t="str">
            <v>Income Statement</v>
          </cell>
          <cell r="K915" t="str">
            <v>Operating expenses</v>
          </cell>
          <cell r="L915" t="str">
            <v>Employee cost</v>
          </cell>
          <cell r="N915">
            <v>1303.8133332469147</v>
          </cell>
          <cell r="O915">
            <v>40940</v>
          </cell>
        </row>
        <row r="916">
          <cell r="G916" t="str">
            <v>3110000</v>
          </cell>
          <cell r="H916">
            <v>320.55470000000003</v>
          </cell>
          <cell r="I916">
            <v>339.43270000000001</v>
          </cell>
          <cell r="J916" t="str">
            <v>Income Statement</v>
          </cell>
          <cell r="K916" t="str">
            <v>Operating expenses</v>
          </cell>
          <cell r="L916" t="str">
            <v>Employee cost</v>
          </cell>
          <cell r="N916">
            <v>434.60447387655933</v>
          </cell>
          <cell r="O916">
            <v>40940</v>
          </cell>
        </row>
        <row r="917">
          <cell r="G917" t="str">
            <v>3110000</v>
          </cell>
          <cell r="H917">
            <v>320.55470000000003</v>
          </cell>
          <cell r="I917">
            <v>339.43270000000001</v>
          </cell>
          <cell r="J917" t="str">
            <v>Income Statement</v>
          </cell>
          <cell r="K917" t="str">
            <v>Operating expenses</v>
          </cell>
          <cell r="L917" t="str">
            <v>Employee cost</v>
          </cell>
          <cell r="N917">
            <v>1738.4177776625527</v>
          </cell>
          <cell r="O917">
            <v>40940</v>
          </cell>
        </row>
        <row r="918">
          <cell r="G918" t="str">
            <v>3112000</v>
          </cell>
          <cell r="H918">
            <v>320.55470000000003</v>
          </cell>
          <cell r="I918">
            <v>339.43270000000001</v>
          </cell>
          <cell r="J918" t="str">
            <v>Income Statement</v>
          </cell>
          <cell r="K918" t="str">
            <v>Operating expenses</v>
          </cell>
          <cell r="L918" t="str">
            <v>Employee cost</v>
          </cell>
          <cell r="N918">
            <v>989.73466610612354</v>
          </cell>
          <cell r="O918">
            <v>40940</v>
          </cell>
        </row>
        <row r="919">
          <cell r="G919" t="str">
            <v>3112000</v>
          </cell>
          <cell r="H919">
            <v>320.55470000000003</v>
          </cell>
          <cell r="I919">
            <v>339.43270000000001</v>
          </cell>
          <cell r="J919" t="str">
            <v>Income Statement</v>
          </cell>
          <cell r="K919" t="str">
            <v>Operating expenses</v>
          </cell>
          <cell r="L919" t="str">
            <v>Employee cost</v>
          </cell>
          <cell r="N919">
            <v>2998.2633081609401</v>
          </cell>
          <cell r="O919">
            <v>40940</v>
          </cell>
        </row>
        <row r="920">
          <cell r="G920" t="str">
            <v>3121000</v>
          </cell>
          <cell r="H920">
            <v>320.55470000000003</v>
          </cell>
          <cell r="I920">
            <v>339.43270000000001</v>
          </cell>
          <cell r="J920" t="str">
            <v>Income Statement</v>
          </cell>
          <cell r="K920" t="str">
            <v>Operating expenses</v>
          </cell>
          <cell r="L920" t="str">
            <v>Employee cost</v>
          </cell>
          <cell r="N920">
            <v>1944.536604752577</v>
          </cell>
          <cell r="O920">
            <v>40940</v>
          </cell>
        </row>
        <row r="921">
          <cell r="G921" t="str">
            <v>3121000</v>
          </cell>
          <cell r="H921">
            <v>320.55470000000003</v>
          </cell>
          <cell r="I921">
            <v>339.43270000000001</v>
          </cell>
          <cell r="J921" t="str">
            <v>Income Statement</v>
          </cell>
          <cell r="K921" t="str">
            <v>Operating expenses</v>
          </cell>
          <cell r="L921" t="str">
            <v>Employee cost</v>
          </cell>
          <cell r="N921">
            <v>-1104.5699486230997</v>
          </cell>
          <cell r="O921">
            <v>40940</v>
          </cell>
        </row>
        <row r="922">
          <cell r="G922" t="str">
            <v>3121000</v>
          </cell>
          <cell r="H922">
            <v>320.55470000000003</v>
          </cell>
          <cell r="I922">
            <v>339.43270000000001</v>
          </cell>
          <cell r="J922" t="str">
            <v>Income Statement</v>
          </cell>
          <cell r="K922" t="str">
            <v>Operating expenses</v>
          </cell>
          <cell r="L922" t="str">
            <v>Employee cost</v>
          </cell>
          <cell r="N922">
            <v>2090.9897602676465</v>
          </cell>
          <cell r="O922">
            <v>40940</v>
          </cell>
        </row>
        <row r="923">
          <cell r="G923" t="str">
            <v>3121000</v>
          </cell>
          <cell r="H923">
            <v>320.55470000000003</v>
          </cell>
          <cell r="I923">
            <v>339.43270000000001</v>
          </cell>
          <cell r="J923" t="str">
            <v>Income Statement</v>
          </cell>
          <cell r="K923" t="str">
            <v>Operating expenses</v>
          </cell>
          <cell r="L923" t="str">
            <v>Employee cost</v>
          </cell>
          <cell r="N923">
            <v>-191.08049990469391</v>
          </cell>
          <cell r="O923">
            <v>40940</v>
          </cell>
        </row>
        <row r="924">
          <cell r="G924" t="str">
            <v>3121000</v>
          </cell>
          <cell r="H924">
            <v>320.55470000000003</v>
          </cell>
          <cell r="I924">
            <v>339.43270000000001</v>
          </cell>
          <cell r="J924" t="str">
            <v>Income Statement</v>
          </cell>
          <cell r="K924" t="str">
            <v>Operating expenses</v>
          </cell>
          <cell r="L924" t="str">
            <v>Employee cost</v>
          </cell>
          <cell r="N924">
            <v>-2509.5685831094056</v>
          </cell>
          <cell r="O924">
            <v>40940</v>
          </cell>
        </row>
        <row r="925">
          <cell r="G925" t="str">
            <v>3121000</v>
          </cell>
          <cell r="H925">
            <v>320.55470000000003</v>
          </cell>
          <cell r="I925">
            <v>339.43270000000001</v>
          </cell>
          <cell r="J925" t="str">
            <v>Income Statement</v>
          </cell>
          <cell r="K925" t="str">
            <v>Operating expenses</v>
          </cell>
          <cell r="L925" t="str">
            <v>Employee cost</v>
          </cell>
          <cell r="N925">
            <v>-1530.9019431539741</v>
          </cell>
          <cell r="O925">
            <v>40940</v>
          </cell>
        </row>
        <row r="926">
          <cell r="G926" t="str">
            <v>3121000</v>
          </cell>
          <cell r="H926">
            <v>320.55470000000003</v>
          </cell>
          <cell r="I926">
            <v>339.43270000000001</v>
          </cell>
          <cell r="J926" t="str">
            <v>Income Statement</v>
          </cell>
          <cell r="K926" t="str">
            <v>Operating expenses</v>
          </cell>
          <cell r="L926" t="str">
            <v>Employee cost</v>
          </cell>
          <cell r="N926">
            <v>-3865.4230426237659</v>
          </cell>
          <cell r="O926">
            <v>40940</v>
          </cell>
        </row>
        <row r="927">
          <cell r="G927" t="str">
            <v>3121000</v>
          </cell>
          <cell r="H927">
            <v>320.55470000000003</v>
          </cell>
          <cell r="I927">
            <v>339.43270000000001</v>
          </cell>
          <cell r="J927" t="str">
            <v>Income Statement</v>
          </cell>
          <cell r="K927" t="str">
            <v>Operating expenses</v>
          </cell>
          <cell r="L927" t="str">
            <v>Employee cost</v>
          </cell>
          <cell r="N927">
            <v>-3535.9081490970084</v>
          </cell>
          <cell r="O927">
            <v>40940</v>
          </cell>
        </row>
        <row r="928">
          <cell r="G928" t="str">
            <v>3121000</v>
          </cell>
          <cell r="H928">
            <v>320.55470000000003</v>
          </cell>
          <cell r="I928">
            <v>339.43270000000001</v>
          </cell>
          <cell r="J928" t="str">
            <v>Income Statement</v>
          </cell>
          <cell r="K928" t="str">
            <v>Operating expenses</v>
          </cell>
          <cell r="L928" t="str">
            <v>Employee cost</v>
          </cell>
          <cell r="N928">
            <v>-303.72450856974001</v>
          </cell>
          <cell r="O928">
            <v>40940</v>
          </cell>
        </row>
        <row r="929">
          <cell r="G929" t="str">
            <v>3121000</v>
          </cell>
          <cell r="H929">
            <v>320.55470000000003</v>
          </cell>
          <cell r="I929">
            <v>339.43270000000001</v>
          </cell>
          <cell r="J929" t="str">
            <v>Income Statement</v>
          </cell>
          <cell r="K929" t="str">
            <v>Operating expenses</v>
          </cell>
          <cell r="L929" t="str">
            <v>Employee cost</v>
          </cell>
          <cell r="N929">
            <v>15938.251146692703</v>
          </cell>
          <cell r="O929">
            <v>40940</v>
          </cell>
        </row>
        <row r="930">
          <cell r="G930" t="str">
            <v>3121000</v>
          </cell>
          <cell r="H930">
            <v>320.55470000000003</v>
          </cell>
          <cell r="I930">
            <v>339.43270000000001</v>
          </cell>
          <cell r="J930" t="str">
            <v>Income Statement</v>
          </cell>
          <cell r="K930" t="str">
            <v>Operating expenses</v>
          </cell>
          <cell r="L930" t="str">
            <v>Employee cost</v>
          </cell>
          <cell r="N930">
            <v>19820.853795170588</v>
          </cell>
          <cell r="O930">
            <v>40940</v>
          </cell>
        </row>
        <row r="931">
          <cell r="G931" t="str">
            <v>3136000</v>
          </cell>
          <cell r="H931">
            <v>320.55470000000003</v>
          </cell>
          <cell r="I931">
            <v>339.43270000000001</v>
          </cell>
          <cell r="J931" t="str">
            <v>Income Statement</v>
          </cell>
          <cell r="K931" t="str">
            <v>Operating expenses</v>
          </cell>
          <cell r="L931" t="str">
            <v>Employee cost</v>
          </cell>
          <cell r="N931">
            <v>3535.3105343121038</v>
          </cell>
          <cell r="O931">
            <v>40940</v>
          </cell>
        </row>
        <row r="932">
          <cell r="G932" t="str">
            <v>3141000</v>
          </cell>
          <cell r="H932">
            <v>320.55470000000003</v>
          </cell>
          <cell r="I932">
            <v>339.43270000000001</v>
          </cell>
          <cell r="J932" t="str">
            <v>Income Statement</v>
          </cell>
          <cell r="K932" t="str">
            <v>Operating expenses</v>
          </cell>
          <cell r="L932" t="str">
            <v>Employee cost</v>
          </cell>
          <cell r="N932">
            <v>282.82484274496829</v>
          </cell>
          <cell r="O932">
            <v>40940</v>
          </cell>
        </row>
        <row r="933">
          <cell r="G933" t="str">
            <v>3141000</v>
          </cell>
          <cell r="H933">
            <v>320.55470000000003</v>
          </cell>
          <cell r="I933">
            <v>339.43270000000001</v>
          </cell>
          <cell r="J933" t="str">
            <v>Income Statement</v>
          </cell>
          <cell r="K933" t="str">
            <v>Operating expenses</v>
          </cell>
          <cell r="L933" t="str">
            <v>Employee cost</v>
          </cell>
          <cell r="N933">
            <v>9108.3852557517293</v>
          </cell>
          <cell r="O933">
            <v>40940</v>
          </cell>
        </row>
        <row r="934">
          <cell r="G934" t="str">
            <v>3141000</v>
          </cell>
          <cell r="H934">
            <v>320.55470000000003</v>
          </cell>
          <cell r="I934">
            <v>339.43270000000001</v>
          </cell>
          <cell r="J934" t="str">
            <v>Income Statement</v>
          </cell>
          <cell r="K934" t="str">
            <v>Operating expenses</v>
          </cell>
          <cell r="L934" t="str">
            <v>Employee cost</v>
          </cell>
          <cell r="N934">
            <v>7519.9793655708472</v>
          </cell>
          <cell r="O934">
            <v>40940</v>
          </cell>
        </row>
        <row r="935">
          <cell r="G935" t="str">
            <v>3141000</v>
          </cell>
          <cell r="H935">
            <v>320.55470000000003</v>
          </cell>
          <cell r="I935">
            <v>339.43270000000001</v>
          </cell>
          <cell r="J935" t="str">
            <v>Income Statement</v>
          </cell>
          <cell r="K935" t="str">
            <v>Operating expenses</v>
          </cell>
          <cell r="L935" t="str">
            <v>Employee cost</v>
          </cell>
          <cell r="N935">
            <v>5698.8967179650044</v>
          </cell>
          <cell r="O935">
            <v>40940</v>
          </cell>
        </row>
        <row r="936">
          <cell r="G936" t="str">
            <v>3141000</v>
          </cell>
          <cell r="H936">
            <v>320.55470000000003</v>
          </cell>
          <cell r="I936">
            <v>339.43270000000001</v>
          </cell>
          <cell r="J936" t="str">
            <v>Income Statement</v>
          </cell>
          <cell r="K936" t="str">
            <v>Operating expenses</v>
          </cell>
          <cell r="L936" t="str">
            <v>Employee cost</v>
          </cell>
          <cell r="N936">
            <v>9311.5688323487993</v>
          </cell>
          <cell r="O936">
            <v>40940</v>
          </cell>
        </row>
        <row r="937">
          <cell r="G937" t="str">
            <v>3141000</v>
          </cell>
          <cell r="H937">
            <v>320.55470000000003</v>
          </cell>
          <cell r="I937">
            <v>339.43270000000001</v>
          </cell>
          <cell r="J937" t="str">
            <v>Income Statement</v>
          </cell>
          <cell r="K937" t="str">
            <v>Operating expenses</v>
          </cell>
          <cell r="L937" t="str">
            <v>Employee cost</v>
          </cell>
          <cell r="N937">
            <v>11172.306557382362</v>
          </cell>
          <cell r="O937">
            <v>40940</v>
          </cell>
        </row>
        <row r="938">
          <cell r="G938" t="str">
            <v>3141000</v>
          </cell>
          <cell r="H938">
            <v>320.55470000000003</v>
          </cell>
          <cell r="I938">
            <v>339.43270000000001</v>
          </cell>
          <cell r="J938" t="str">
            <v>Income Statement</v>
          </cell>
          <cell r="K938" t="str">
            <v>Operating expenses</v>
          </cell>
          <cell r="L938" t="str">
            <v>Employee cost</v>
          </cell>
          <cell r="N938">
            <v>14420.766649765917</v>
          </cell>
          <cell r="O938">
            <v>40940</v>
          </cell>
        </row>
        <row r="939">
          <cell r="G939" t="str">
            <v>3141000</v>
          </cell>
          <cell r="H939">
            <v>320.55470000000003</v>
          </cell>
          <cell r="I939">
            <v>339.43270000000001</v>
          </cell>
          <cell r="J939" t="str">
            <v>Income Statement</v>
          </cell>
          <cell r="K939" t="str">
            <v>Operating expenses</v>
          </cell>
          <cell r="L939" t="str">
            <v>Employee cost</v>
          </cell>
          <cell r="N939">
            <v>17096.179301522803</v>
          </cell>
          <cell r="O939">
            <v>40940</v>
          </cell>
        </row>
        <row r="940">
          <cell r="G940" t="str">
            <v>3141000</v>
          </cell>
          <cell r="H940">
            <v>320.55470000000003</v>
          </cell>
          <cell r="I940">
            <v>339.43270000000001</v>
          </cell>
          <cell r="J940" t="str">
            <v>Income Statement</v>
          </cell>
          <cell r="K940" t="str">
            <v>Operating expenses</v>
          </cell>
          <cell r="L940" t="str">
            <v>Employee cost</v>
          </cell>
          <cell r="N940">
            <v>10102.32131435775</v>
          </cell>
          <cell r="O940">
            <v>40940</v>
          </cell>
        </row>
        <row r="941">
          <cell r="G941" t="str">
            <v>3141000</v>
          </cell>
          <cell r="H941">
            <v>320.55470000000003</v>
          </cell>
          <cell r="I941">
            <v>339.43270000000001</v>
          </cell>
          <cell r="J941" t="str">
            <v>Income Statement</v>
          </cell>
          <cell r="K941" t="str">
            <v>Operating expenses</v>
          </cell>
          <cell r="L941" t="str">
            <v>Employee cost</v>
          </cell>
          <cell r="N941">
            <v>8293.2652923539772</v>
          </cell>
          <cell r="O941">
            <v>40940</v>
          </cell>
        </row>
        <row r="942">
          <cell r="G942" t="str">
            <v>3141000</v>
          </cell>
          <cell r="H942">
            <v>320.55470000000003</v>
          </cell>
          <cell r="I942">
            <v>339.43270000000001</v>
          </cell>
          <cell r="J942" t="str">
            <v>Income Statement</v>
          </cell>
          <cell r="K942" t="str">
            <v>Operating expenses</v>
          </cell>
          <cell r="L942" t="str">
            <v>Employee cost</v>
          </cell>
          <cell r="N942">
            <v>65163.340126039715</v>
          </cell>
          <cell r="O942">
            <v>40940</v>
          </cell>
        </row>
        <row r="943">
          <cell r="G943" t="str">
            <v>3143000</v>
          </cell>
          <cell r="H943">
            <v>320.55470000000003</v>
          </cell>
          <cell r="I943">
            <v>339.43270000000001</v>
          </cell>
          <cell r="J943" t="str">
            <v>Income Statement</v>
          </cell>
          <cell r="K943" t="str">
            <v>Operating expenses</v>
          </cell>
          <cell r="L943" t="str">
            <v>Employee cost</v>
          </cell>
          <cell r="N943">
            <v>5376.0565791097915</v>
          </cell>
          <cell r="O943">
            <v>40940</v>
          </cell>
        </row>
        <row r="944">
          <cell r="G944" t="str">
            <v>3144000</v>
          </cell>
          <cell r="H944">
            <v>320.55470000000003</v>
          </cell>
          <cell r="I944">
            <v>339.43270000000001</v>
          </cell>
          <cell r="J944" t="str">
            <v>Income Statement</v>
          </cell>
          <cell r="K944" t="str">
            <v>Operating expenses</v>
          </cell>
          <cell r="L944" t="str">
            <v>Employee cost</v>
          </cell>
          <cell r="N944">
            <v>10.3609640438296</v>
          </cell>
          <cell r="O944">
            <v>40940</v>
          </cell>
        </row>
        <row r="945">
          <cell r="G945" t="str">
            <v>3144000</v>
          </cell>
          <cell r="H945">
            <v>320.55470000000003</v>
          </cell>
          <cell r="I945">
            <v>339.43270000000001</v>
          </cell>
          <cell r="J945" t="str">
            <v>Income Statement</v>
          </cell>
          <cell r="K945" t="str">
            <v>Operating expenses</v>
          </cell>
          <cell r="L945" t="str">
            <v>Employee cost</v>
          </cell>
          <cell r="N945">
            <v>621.65784262977604</v>
          </cell>
          <cell r="O945">
            <v>40940</v>
          </cell>
        </row>
        <row r="946">
          <cell r="G946" t="str">
            <v>3144000</v>
          </cell>
          <cell r="H946">
            <v>320.55470000000003</v>
          </cell>
          <cell r="I946">
            <v>339.43270000000001</v>
          </cell>
          <cell r="J946" t="str">
            <v>Income Statement</v>
          </cell>
          <cell r="K946" t="str">
            <v>Operating expenses</v>
          </cell>
          <cell r="L946" t="str">
            <v>Employee cost</v>
          </cell>
          <cell r="N946">
            <v>424.79952579701364</v>
          </cell>
          <cell r="O946">
            <v>40940</v>
          </cell>
        </row>
        <row r="947">
          <cell r="G947" t="str">
            <v>3144000</v>
          </cell>
          <cell r="H947">
            <v>320.55470000000003</v>
          </cell>
          <cell r="I947">
            <v>339.43270000000001</v>
          </cell>
          <cell r="J947" t="str">
            <v>Income Statement</v>
          </cell>
          <cell r="K947" t="str">
            <v>Operating expenses</v>
          </cell>
          <cell r="L947" t="str">
            <v>Employee cost</v>
          </cell>
          <cell r="N947">
            <v>476.60434601616168</v>
          </cell>
          <cell r="O947">
            <v>40940</v>
          </cell>
        </row>
        <row r="948">
          <cell r="G948" t="str">
            <v>3144000</v>
          </cell>
          <cell r="H948">
            <v>320.55470000000003</v>
          </cell>
          <cell r="I948">
            <v>339.43270000000001</v>
          </cell>
          <cell r="J948" t="str">
            <v>Income Statement</v>
          </cell>
          <cell r="K948" t="str">
            <v>Operating expenses</v>
          </cell>
          <cell r="L948" t="str">
            <v>Employee cost</v>
          </cell>
          <cell r="N948">
            <v>538.77013027913927</v>
          </cell>
          <cell r="O948">
            <v>40940</v>
          </cell>
        </row>
        <row r="949">
          <cell r="G949" t="str">
            <v>3144000</v>
          </cell>
          <cell r="H949">
            <v>320.55470000000003</v>
          </cell>
          <cell r="I949">
            <v>339.43270000000001</v>
          </cell>
          <cell r="J949" t="str">
            <v>Income Statement</v>
          </cell>
          <cell r="K949" t="str">
            <v>Operating expenses</v>
          </cell>
          <cell r="L949" t="str">
            <v>Employee cost</v>
          </cell>
          <cell r="N949">
            <v>870.32097968168659</v>
          </cell>
          <cell r="O949">
            <v>40940</v>
          </cell>
        </row>
        <row r="950">
          <cell r="G950" t="str">
            <v>3144000</v>
          </cell>
          <cell r="H950">
            <v>320.55470000000003</v>
          </cell>
          <cell r="I950">
            <v>339.43270000000001</v>
          </cell>
          <cell r="J950" t="str">
            <v>Income Statement</v>
          </cell>
          <cell r="K950" t="str">
            <v>Operating expenses</v>
          </cell>
          <cell r="L950" t="str">
            <v>Employee cost</v>
          </cell>
          <cell r="N950">
            <v>911.76483585700487</v>
          </cell>
          <cell r="O950">
            <v>40940</v>
          </cell>
        </row>
        <row r="951">
          <cell r="G951" t="str">
            <v>3144000</v>
          </cell>
          <cell r="H951">
            <v>320.55470000000003</v>
          </cell>
          <cell r="I951">
            <v>339.43270000000001</v>
          </cell>
          <cell r="J951" t="str">
            <v>Income Statement</v>
          </cell>
          <cell r="K951" t="str">
            <v>Operating expenses</v>
          </cell>
          <cell r="L951" t="str">
            <v>Employee cost</v>
          </cell>
          <cell r="N951">
            <v>1502.3397863552923</v>
          </cell>
          <cell r="O951">
            <v>40940</v>
          </cell>
        </row>
        <row r="952">
          <cell r="G952" t="str">
            <v>3144000</v>
          </cell>
          <cell r="H952">
            <v>320.55470000000003</v>
          </cell>
          <cell r="I952">
            <v>339.43270000000001</v>
          </cell>
          <cell r="J952" t="str">
            <v>Income Statement</v>
          </cell>
          <cell r="K952" t="str">
            <v>Operating expenses</v>
          </cell>
          <cell r="L952" t="str">
            <v>Employee cost</v>
          </cell>
          <cell r="N952">
            <v>621.65784262977604</v>
          </cell>
          <cell r="O952">
            <v>40940</v>
          </cell>
        </row>
        <row r="953">
          <cell r="G953" t="str">
            <v>3144000</v>
          </cell>
          <cell r="H953">
            <v>320.55470000000003</v>
          </cell>
          <cell r="I953">
            <v>339.43270000000001</v>
          </cell>
          <cell r="J953" t="str">
            <v>Income Statement</v>
          </cell>
          <cell r="K953" t="str">
            <v>Operating expenses</v>
          </cell>
          <cell r="L953" t="str">
            <v>Employee cost</v>
          </cell>
          <cell r="N953">
            <v>466.24338197233203</v>
          </cell>
          <cell r="O953">
            <v>40940</v>
          </cell>
        </row>
        <row r="954">
          <cell r="G954" t="str">
            <v>3144000</v>
          </cell>
          <cell r="H954">
            <v>320.55470000000003</v>
          </cell>
          <cell r="I954">
            <v>339.43270000000001</v>
          </cell>
          <cell r="J954" t="str">
            <v>Income Statement</v>
          </cell>
          <cell r="K954" t="str">
            <v>Operating expenses</v>
          </cell>
          <cell r="L954" t="str">
            <v>Employee cost</v>
          </cell>
          <cell r="N954">
            <v>1678.4761751003953</v>
          </cell>
          <cell r="O954">
            <v>40940</v>
          </cell>
        </row>
        <row r="955">
          <cell r="G955" t="str">
            <v>3145000</v>
          </cell>
          <cell r="H955">
            <v>320.55470000000003</v>
          </cell>
          <cell r="I955">
            <v>339.43270000000001</v>
          </cell>
          <cell r="J955" t="str">
            <v>Income Statement</v>
          </cell>
          <cell r="K955" t="str">
            <v>Operating expenses</v>
          </cell>
          <cell r="L955" t="str">
            <v>Employee cost</v>
          </cell>
          <cell r="N955">
            <v>221.69343142248817</v>
          </cell>
          <cell r="O955">
            <v>40940</v>
          </cell>
        </row>
        <row r="956">
          <cell r="G956" t="str">
            <v>3145000</v>
          </cell>
          <cell r="H956">
            <v>320.55470000000003</v>
          </cell>
          <cell r="I956">
            <v>339.43270000000001</v>
          </cell>
          <cell r="J956" t="str">
            <v>Income Statement</v>
          </cell>
          <cell r="K956" t="str">
            <v>Operating expenses</v>
          </cell>
          <cell r="L956" t="str">
            <v>Employee cost</v>
          </cell>
          <cell r="N956">
            <v>443.38686284497635</v>
          </cell>
          <cell r="O956">
            <v>40940</v>
          </cell>
        </row>
        <row r="957">
          <cell r="G957" t="str">
            <v>3145000</v>
          </cell>
          <cell r="H957">
            <v>320.55470000000003</v>
          </cell>
          <cell r="I957">
            <v>339.43270000000001</v>
          </cell>
          <cell r="J957" t="str">
            <v>Income Statement</v>
          </cell>
          <cell r="K957" t="str">
            <v>Operating expenses</v>
          </cell>
          <cell r="L957" t="str">
            <v>Employee cost</v>
          </cell>
          <cell r="N957">
            <v>221.69343142248817</v>
          </cell>
          <cell r="O957">
            <v>40940</v>
          </cell>
        </row>
        <row r="958">
          <cell r="G958" t="str">
            <v>3145000</v>
          </cell>
          <cell r="H958">
            <v>320.55470000000003</v>
          </cell>
          <cell r="I958">
            <v>339.43270000000001</v>
          </cell>
          <cell r="J958" t="str">
            <v>Income Statement</v>
          </cell>
          <cell r="K958" t="str">
            <v>Operating expenses</v>
          </cell>
          <cell r="L958" t="str">
            <v>Employee cost</v>
          </cell>
          <cell r="N958">
            <v>2282.3338764945156</v>
          </cell>
          <cell r="O958">
            <v>40940</v>
          </cell>
        </row>
        <row r="959">
          <cell r="G959" t="str">
            <v>3145000</v>
          </cell>
          <cell r="H959">
            <v>320.55470000000003</v>
          </cell>
          <cell r="I959">
            <v>339.43270000000001</v>
          </cell>
          <cell r="J959" t="str">
            <v>Income Statement</v>
          </cell>
          <cell r="K959" t="str">
            <v>Operating expenses</v>
          </cell>
          <cell r="L959" t="str">
            <v>Employee cost</v>
          </cell>
          <cell r="N959">
            <v>354.70949027598107</v>
          </cell>
          <cell r="O959">
            <v>40940</v>
          </cell>
        </row>
        <row r="960">
          <cell r="G960" t="str">
            <v>3145000</v>
          </cell>
          <cell r="H960">
            <v>320.55470000000003</v>
          </cell>
          <cell r="I960">
            <v>339.43270000000001</v>
          </cell>
          <cell r="J960" t="str">
            <v>Income Statement</v>
          </cell>
          <cell r="K960" t="str">
            <v>Operating expenses</v>
          </cell>
          <cell r="L960" t="str">
            <v>Employee cost</v>
          </cell>
          <cell r="N960">
            <v>1343.5293653204301</v>
          </cell>
          <cell r="O960">
            <v>40940</v>
          </cell>
        </row>
        <row r="961">
          <cell r="G961" t="str">
            <v>3153000</v>
          </cell>
          <cell r="H961">
            <v>320.55470000000003</v>
          </cell>
          <cell r="I961">
            <v>339.43270000000001</v>
          </cell>
          <cell r="J961" t="str">
            <v>Income Statement</v>
          </cell>
          <cell r="K961" t="str">
            <v>Operating expenses</v>
          </cell>
          <cell r="L961" t="str">
            <v>Employee cost</v>
          </cell>
          <cell r="N961">
            <v>85.130277666235457</v>
          </cell>
          <cell r="O961">
            <v>40940</v>
          </cell>
        </row>
        <row r="962">
          <cell r="G962" t="str">
            <v>3153000</v>
          </cell>
          <cell r="H962">
            <v>320.55470000000003</v>
          </cell>
          <cell r="I962">
            <v>339.43270000000001</v>
          </cell>
          <cell r="J962" t="str">
            <v>Income Statement</v>
          </cell>
          <cell r="K962" t="str">
            <v>Operating expenses</v>
          </cell>
          <cell r="L962" t="str">
            <v>Employee cost</v>
          </cell>
          <cell r="N962">
            <v>2715.4607673332594</v>
          </cell>
          <cell r="O962">
            <v>40940</v>
          </cell>
        </row>
        <row r="963">
          <cell r="G963" t="str">
            <v>3153000</v>
          </cell>
          <cell r="H963">
            <v>320.55470000000003</v>
          </cell>
          <cell r="I963">
            <v>339.43270000000001</v>
          </cell>
          <cell r="J963" t="str">
            <v>Income Statement</v>
          </cell>
          <cell r="K963" t="str">
            <v>Operating expenses</v>
          </cell>
          <cell r="L963" t="str">
            <v>Employee cost</v>
          </cell>
          <cell r="N963">
            <v>2159.5600541727417</v>
          </cell>
          <cell r="O963">
            <v>40940</v>
          </cell>
        </row>
        <row r="964">
          <cell r="G964" t="str">
            <v>3153000</v>
          </cell>
          <cell r="H964">
            <v>320.55470000000003</v>
          </cell>
          <cell r="I964">
            <v>339.43270000000001</v>
          </cell>
          <cell r="J964" t="str">
            <v>Income Statement</v>
          </cell>
          <cell r="K964" t="str">
            <v>Operating expenses</v>
          </cell>
          <cell r="L964" t="str">
            <v>Employee cost</v>
          </cell>
          <cell r="N964">
            <v>1859.2896029168667</v>
          </cell>
          <cell r="O964">
            <v>40940</v>
          </cell>
        </row>
        <row r="965">
          <cell r="G965" t="str">
            <v>3153000</v>
          </cell>
          <cell r="H965">
            <v>320.55470000000003</v>
          </cell>
          <cell r="I965">
            <v>339.43270000000001</v>
          </cell>
          <cell r="J965" t="str">
            <v>Income Statement</v>
          </cell>
          <cell r="K965" t="str">
            <v>Operating expenses</v>
          </cell>
          <cell r="L965" t="str">
            <v>Employee cost</v>
          </cell>
          <cell r="N965">
            <v>2802.9143921608024</v>
          </cell>
          <cell r="O965">
            <v>40940</v>
          </cell>
        </row>
        <row r="966">
          <cell r="G966" t="str">
            <v>3153000</v>
          </cell>
          <cell r="H966">
            <v>320.55470000000003</v>
          </cell>
          <cell r="I966">
            <v>339.43270000000001</v>
          </cell>
          <cell r="J966" t="str">
            <v>Income Statement</v>
          </cell>
          <cell r="K966" t="str">
            <v>Operating expenses</v>
          </cell>
          <cell r="L966" t="str">
            <v>Employee cost</v>
          </cell>
          <cell r="N966">
            <v>3060.7992394368603</v>
          </cell>
          <cell r="O966">
            <v>40940</v>
          </cell>
        </row>
        <row r="967">
          <cell r="G967" t="str">
            <v>3153000</v>
          </cell>
          <cell r="H967">
            <v>320.55470000000003</v>
          </cell>
          <cell r="I967">
            <v>339.43270000000001</v>
          </cell>
          <cell r="J967" t="str">
            <v>Income Statement</v>
          </cell>
          <cell r="K967" t="str">
            <v>Operating expenses</v>
          </cell>
          <cell r="L967" t="str">
            <v>Employee cost</v>
          </cell>
          <cell r="N967">
            <v>4377.5588209385842</v>
          </cell>
          <cell r="O967">
            <v>40940</v>
          </cell>
        </row>
        <row r="968">
          <cell r="G968" t="str">
            <v>3153000</v>
          </cell>
          <cell r="H968">
            <v>320.55470000000003</v>
          </cell>
          <cell r="I968">
            <v>339.43270000000001</v>
          </cell>
          <cell r="J968" t="str">
            <v>Income Statement</v>
          </cell>
          <cell r="K968" t="str">
            <v>Operating expenses</v>
          </cell>
          <cell r="L968" t="str">
            <v>Employee cost</v>
          </cell>
          <cell r="N968">
            <v>2984.7161454980619</v>
          </cell>
          <cell r="O968">
            <v>40940</v>
          </cell>
        </row>
        <row r="969">
          <cell r="G969" t="str">
            <v>3153000</v>
          </cell>
          <cell r="H969">
            <v>320.55470000000003</v>
          </cell>
          <cell r="I969">
            <v>339.43270000000001</v>
          </cell>
          <cell r="J969" t="str">
            <v>Income Statement</v>
          </cell>
          <cell r="K969" t="str">
            <v>Operating expenses</v>
          </cell>
          <cell r="L969" t="str">
            <v>Employee cost</v>
          </cell>
          <cell r="N969">
            <v>3027.717070276376</v>
          </cell>
          <cell r="O969">
            <v>40940</v>
          </cell>
        </row>
        <row r="970">
          <cell r="G970" t="str">
            <v>3153000</v>
          </cell>
          <cell r="H970">
            <v>320.55470000000003</v>
          </cell>
          <cell r="I970">
            <v>339.43270000000001</v>
          </cell>
          <cell r="J970" t="str">
            <v>Income Statement</v>
          </cell>
          <cell r="K970" t="str">
            <v>Operating expenses</v>
          </cell>
          <cell r="L970" t="str">
            <v>Employee cost</v>
          </cell>
          <cell r="N970">
            <v>2534.8426948847296</v>
          </cell>
          <cell r="O970">
            <v>40940</v>
          </cell>
        </row>
        <row r="971">
          <cell r="G971" t="str">
            <v>3153000</v>
          </cell>
          <cell r="H971">
            <v>320.55470000000003</v>
          </cell>
          <cell r="I971">
            <v>339.43270000000001</v>
          </cell>
          <cell r="J971" t="str">
            <v>Income Statement</v>
          </cell>
          <cell r="K971" t="str">
            <v>Operating expenses</v>
          </cell>
          <cell r="L971" t="str">
            <v>Employee cost</v>
          </cell>
          <cell r="N971">
            <v>19358.560592423772</v>
          </cell>
          <cell r="O971">
            <v>40940</v>
          </cell>
        </row>
        <row r="972">
          <cell r="G972" t="str">
            <v>3195000</v>
          </cell>
          <cell r="H972">
            <v>320.55470000000003</v>
          </cell>
          <cell r="I972">
            <v>339.43270000000001</v>
          </cell>
          <cell r="J972" t="str">
            <v>Income Statement</v>
          </cell>
          <cell r="K972" t="str">
            <v>Operating expenses</v>
          </cell>
          <cell r="L972" t="str">
            <v>Employee cost</v>
          </cell>
          <cell r="N972">
            <v>21211.863205872622</v>
          </cell>
          <cell r="O972">
            <v>40940</v>
          </cell>
        </row>
        <row r="973">
          <cell r="G973" t="str">
            <v>3197000</v>
          </cell>
          <cell r="H973">
            <v>320.55470000000003</v>
          </cell>
          <cell r="I973">
            <v>339.43270000000001</v>
          </cell>
          <cell r="J973" t="str">
            <v>Income Statement</v>
          </cell>
          <cell r="K973" t="str">
            <v>Operating expenses</v>
          </cell>
          <cell r="L973" t="str">
            <v>Employee cost</v>
          </cell>
          <cell r="N973">
            <v>22317.113819617261</v>
          </cell>
          <cell r="O973">
            <v>40940</v>
          </cell>
        </row>
        <row r="974">
          <cell r="G974" t="str">
            <v>3198000</v>
          </cell>
          <cell r="H974">
            <v>320.55470000000003</v>
          </cell>
          <cell r="I974">
            <v>339.43270000000001</v>
          </cell>
          <cell r="J974" t="str">
            <v>Income Statement</v>
          </cell>
          <cell r="K974" t="str">
            <v>Operating expenses</v>
          </cell>
          <cell r="L974" t="str">
            <v>Employee cost</v>
          </cell>
          <cell r="N974">
            <v>294.60921119267528</v>
          </cell>
          <cell r="O974">
            <v>40940</v>
          </cell>
        </row>
        <row r="975">
          <cell r="G975" t="str">
            <v>3198000</v>
          </cell>
          <cell r="H975">
            <v>320.55470000000003</v>
          </cell>
          <cell r="I975">
            <v>339.43270000000001</v>
          </cell>
          <cell r="J975" t="str">
            <v>Income Statement</v>
          </cell>
          <cell r="K975" t="str">
            <v>Operating expenses</v>
          </cell>
          <cell r="L975" t="str">
            <v>Employee cost</v>
          </cell>
          <cell r="N975">
            <v>1060.5931602936312</v>
          </cell>
          <cell r="O975">
            <v>40940</v>
          </cell>
        </row>
        <row r="976">
          <cell r="G976" t="str">
            <v>3198000</v>
          </cell>
          <cell r="H976">
            <v>320.55470000000003</v>
          </cell>
          <cell r="I976">
            <v>339.43270000000001</v>
          </cell>
          <cell r="J976" t="str">
            <v>Income Statement</v>
          </cell>
          <cell r="K976" t="str">
            <v>Operating expenses</v>
          </cell>
          <cell r="L976" t="str">
            <v>Employee cost</v>
          </cell>
          <cell r="N976">
            <v>1950.3129780955105</v>
          </cell>
          <cell r="O976">
            <v>40940</v>
          </cell>
        </row>
        <row r="977">
          <cell r="G977" t="str">
            <v>3198000</v>
          </cell>
          <cell r="H977">
            <v>320.55470000000003</v>
          </cell>
          <cell r="I977">
            <v>339.43270000000001</v>
          </cell>
          <cell r="J977" t="str">
            <v>Income Statement</v>
          </cell>
          <cell r="K977" t="str">
            <v>Operating expenses</v>
          </cell>
          <cell r="L977" t="str">
            <v>Employee cost</v>
          </cell>
          <cell r="N977">
            <v>1160.7602920991408</v>
          </cell>
          <cell r="O977">
            <v>40940</v>
          </cell>
        </row>
        <row r="978">
          <cell r="G978" t="str">
            <v>3198000</v>
          </cell>
          <cell r="H978">
            <v>320.55470000000003</v>
          </cell>
          <cell r="I978">
            <v>339.43270000000001</v>
          </cell>
          <cell r="J978" t="str">
            <v>Income Statement</v>
          </cell>
          <cell r="K978" t="str">
            <v>Operating expenses</v>
          </cell>
          <cell r="L978" t="str">
            <v>Employee cost</v>
          </cell>
          <cell r="N978">
            <v>379.36975429886394</v>
          </cell>
          <cell r="O978">
            <v>40940</v>
          </cell>
        </row>
        <row r="979">
          <cell r="G979" t="str">
            <v>3199000</v>
          </cell>
          <cell r="H979">
            <v>320.55470000000003</v>
          </cell>
          <cell r="I979">
            <v>339.43270000000001</v>
          </cell>
          <cell r="J979" t="str">
            <v>Income Statement</v>
          </cell>
          <cell r="K979" t="str">
            <v>Operating expenses</v>
          </cell>
          <cell r="L979" t="str">
            <v>Employee cost</v>
          </cell>
          <cell r="N979">
            <v>1944.420793871657</v>
          </cell>
          <cell r="O979">
            <v>40940</v>
          </cell>
        </row>
        <row r="980">
          <cell r="G980" t="str">
            <v>3199000</v>
          </cell>
          <cell r="H980">
            <v>320.55470000000003</v>
          </cell>
          <cell r="I980">
            <v>339.43270000000001</v>
          </cell>
          <cell r="J980" t="str">
            <v>Income Statement</v>
          </cell>
          <cell r="K980" t="str">
            <v>Operating expenses</v>
          </cell>
          <cell r="L980" t="str">
            <v>Employee cost</v>
          </cell>
          <cell r="N980">
            <v>220.95690839450648</v>
          </cell>
          <cell r="O980">
            <v>40940</v>
          </cell>
        </row>
        <row r="981">
          <cell r="G981" t="str">
            <v>3199000</v>
          </cell>
          <cell r="H981">
            <v>320.55470000000003</v>
          </cell>
          <cell r="I981">
            <v>339.43270000000001</v>
          </cell>
          <cell r="J981" t="str">
            <v>Income Statement</v>
          </cell>
          <cell r="K981" t="str">
            <v>Operating expenses</v>
          </cell>
          <cell r="L981" t="str">
            <v>Employee cost</v>
          </cell>
          <cell r="N981">
            <v>1219.6821343376757</v>
          </cell>
          <cell r="O981">
            <v>40940</v>
          </cell>
        </row>
        <row r="982">
          <cell r="G982" t="str">
            <v>3199000</v>
          </cell>
          <cell r="H982">
            <v>320.55470000000003</v>
          </cell>
          <cell r="I982">
            <v>339.43270000000001</v>
          </cell>
          <cell r="J982" t="str">
            <v>Income Statement</v>
          </cell>
          <cell r="K982" t="str">
            <v>Operating expenses</v>
          </cell>
          <cell r="L982" t="str">
            <v>Employee cost</v>
          </cell>
          <cell r="N982">
            <v>13228.536938250203</v>
          </cell>
          <cell r="O982">
            <v>40940</v>
          </cell>
        </row>
        <row r="983">
          <cell r="G983" t="str">
            <v>3203000</v>
          </cell>
          <cell r="H983">
            <v>320.55470000000003</v>
          </cell>
          <cell r="I983">
            <v>339.43270000000001</v>
          </cell>
          <cell r="J983" t="str">
            <v>Income Statement</v>
          </cell>
          <cell r="K983" t="str">
            <v>Operating expenses</v>
          </cell>
          <cell r="L983" t="str">
            <v>Depreciation</v>
          </cell>
          <cell r="M983" t="str">
            <v>Furniture &amp; Fittings</v>
          </cell>
          <cell r="N983">
            <v>185832.69561241448</v>
          </cell>
          <cell r="O983">
            <v>40940</v>
          </cell>
        </row>
        <row r="984">
          <cell r="G984" t="str">
            <v>3204000</v>
          </cell>
          <cell r="H984">
            <v>320.55470000000003</v>
          </cell>
          <cell r="I984">
            <v>339.43270000000001</v>
          </cell>
          <cell r="J984" t="str">
            <v>Income Statement</v>
          </cell>
          <cell r="K984" t="str">
            <v>Operating expenses</v>
          </cell>
          <cell r="L984" t="str">
            <v>Depreciation</v>
          </cell>
          <cell r="M984" t="str">
            <v>Vehicles</v>
          </cell>
          <cell r="N984">
            <v>83711.239370867916</v>
          </cell>
          <cell r="O984">
            <v>40940</v>
          </cell>
        </row>
        <row r="985">
          <cell r="G985" t="str">
            <v>3205000</v>
          </cell>
          <cell r="H985">
            <v>320.55470000000003</v>
          </cell>
          <cell r="I985">
            <v>339.43270000000001</v>
          </cell>
          <cell r="J985" t="str">
            <v>Income Statement</v>
          </cell>
          <cell r="K985" t="str">
            <v>Operating expenses</v>
          </cell>
          <cell r="L985" t="str">
            <v>Depreciation</v>
          </cell>
          <cell r="M985" t="str">
            <v>IT Equipment</v>
          </cell>
          <cell r="N985">
            <v>55184.863597408264</v>
          </cell>
          <cell r="O985">
            <v>40940</v>
          </cell>
        </row>
        <row r="986">
          <cell r="G986" t="str">
            <v>3302000</v>
          </cell>
          <cell r="H986">
            <v>320.55470000000003</v>
          </cell>
          <cell r="I986">
            <v>339.43270000000001</v>
          </cell>
          <cell r="J986" t="str">
            <v>Income Statement</v>
          </cell>
          <cell r="K986" t="str">
            <v>Operating expenses</v>
          </cell>
          <cell r="L986" t="str">
            <v>Lease rentals on operating lease</v>
          </cell>
          <cell r="M986" t="str">
            <v>Premisis</v>
          </cell>
          <cell r="N986">
            <v>8249.0579133949086</v>
          </cell>
          <cell r="O986">
            <v>40940</v>
          </cell>
        </row>
        <row r="987">
          <cell r="G987" t="str">
            <v>3302000</v>
          </cell>
          <cell r="H987">
            <v>320.55470000000003</v>
          </cell>
          <cell r="I987">
            <v>339.43270000000001</v>
          </cell>
          <cell r="J987" t="str">
            <v>Income Statement</v>
          </cell>
          <cell r="K987" t="str">
            <v>Operating expenses</v>
          </cell>
          <cell r="L987" t="str">
            <v>Lease rentals on operating lease</v>
          </cell>
          <cell r="M987" t="str">
            <v>Premisis</v>
          </cell>
          <cell r="N987">
            <v>74241.521220554176</v>
          </cell>
          <cell r="O987">
            <v>40940</v>
          </cell>
        </row>
        <row r="988">
          <cell r="G988" t="str">
            <v>3302000</v>
          </cell>
          <cell r="H988">
            <v>320.55470000000003</v>
          </cell>
          <cell r="I988">
            <v>339.43270000000001</v>
          </cell>
          <cell r="J988" t="str">
            <v>Income Statement</v>
          </cell>
          <cell r="K988" t="str">
            <v>Operating expenses</v>
          </cell>
          <cell r="L988" t="str">
            <v>Lease rentals on operating lease</v>
          </cell>
          <cell r="M988" t="str">
            <v>Premisis</v>
          </cell>
          <cell r="N988">
            <v>40361.461933396517</v>
          </cell>
          <cell r="O988">
            <v>40940</v>
          </cell>
        </row>
        <row r="989">
          <cell r="G989" t="str">
            <v>3302000</v>
          </cell>
          <cell r="H989">
            <v>320.55470000000003</v>
          </cell>
          <cell r="I989">
            <v>339.43270000000001</v>
          </cell>
          <cell r="J989" t="str">
            <v>Income Statement</v>
          </cell>
          <cell r="K989" t="str">
            <v>Operating expenses</v>
          </cell>
          <cell r="L989" t="str">
            <v>Lease rentals on operating lease</v>
          </cell>
          <cell r="M989" t="str">
            <v>Premisis</v>
          </cell>
          <cell r="N989">
            <v>33880.059287157659</v>
          </cell>
          <cell r="O989">
            <v>40940</v>
          </cell>
        </row>
        <row r="990">
          <cell r="G990" t="str">
            <v>3302000</v>
          </cell>
          <cell r="H990">
            <v>320.55470000000003</v>
          </cell>
          <cell r="I990">
            <v>339.43270000000001</v>
          </cell>
          <cell r="J990" t="str">
            <v>Income Statement</v>
          </cell>
          <cell r="K990" t="str">
            <v>Operating expenses</v>
          </cell>
          <cell r="L990" t="str">
            <v>Lease rentals on operating lease</v>
          </cell>
          <cell r="M990" t="str">
            <v>Premisis</v>
          </cell>
          <cell r="N990">
            <v>26809.438218533451</v>
          </cell>
          <cell r="O990">
            <v>40940</v>
          </cell>
        </row>
        <row r="991">
          <cell r="G991" t="str">
            <v>3302000</v>
          </cell>
          <cell r="H991">
            <v>320.55470000000003</v>
          </cell>
          <cell r="I991">
            <v>339.43270000000001</v>
          </cell>
          <cell r="J991" t="str">
            <v>Income Statement</v>
          </cell>
          <cell r="K991" t="str">
            <v>Operating expenses</v>
          </cell>
          <cell r="L991" t="str">
            <v>Lease rentals on operating lease</v>
          </cell>
          <cell r="M991" t="str">
            <v>Premisis</v>
          </cell>
          <cell r="N991">
            <v>36236.932976699063</v>
          </cell>
          <cell r="O991">
            <v>40940</v>
          </cell>
        </row>
        <row r="992">
          <cell r="G992" t="str">
            <v>3302000</v>
          </cell>
          <cell r="H992">
            <v>320.55470000000003</v>
          </cell>
          <cell r="I992">
            <v>339.43270000000001</v>
          </cell>
          <cell r="J992" t="str">
            <v>Income Statement</v>
          </cell>
          <cell r="K992" t="str">
            <v>Operating expenses</v>
          </cell>
          <cell r="L992" t="str">
            <v>Lease rentals on operating lease</v>
          </cell>
          <cell r="M992" t="str">
            <v>Premisis</v>
          </cell>
          <cell r="N992">
            <v>88650.504208934493</v>
          </cell>
          <cell r="O992">
            <v>40940</v>
          </cell>
        </row>
        <row r="993">
          <cell r="G993" t="str">
            <v>3302000</v>
          </cell>
          <cell r="H993">
            <v>320.55470000000003</v>
          </cell>
          <cell r="I993">
            <v>339.43270000000001</v>
          </cell>
          <cell r="J993" t="str">
            <v>Income Statement</v>
          </cell>
          <cell r="K993" t="str">
            <v>Operating expenses</v>
          </cell>
          <cell r="L993" t="str">
            <v>Lease rentals on operating lease</v>
          </cell>
          <cell r="M993" t="str">
            <v>Premisis</v>
          </cell>
          <cell r="N993">
            <v>91545.593574219572</v>
          </cell>
          <cell r="O993">
            <v>40940</v>
          </cell>
        </row>
        <row r="994">
          <cell r="G994" t="str">
            <v>3302000</v>
          </cell>
          <cell r="H994">
            <v>320.55470000000003</v>
          </cell>
          <cell r="I994">
            <v>339.43270000000001</v>
          </cell>
          <cell r="J994" t="str">
            <v>Income Statement</v>
          </cell>
          <cell r="K994" t="str">
            <v>Operating expenses</v>
          </cell>
          <cell r="L994" t="str">
            <v>Lease rentals on operating lease</v>
          </cell>
          <cell r="M994" t="str">
            <v>Premisis</v>
          </cell>
          <cell r="N994">
            <v>91116.736837670614</v>
          </cell>
          <cell r="O994">
            <v>40940</v>
          </cell>
        </row>
        <row r="995">
          <cell r="G995" t="str">
            <v>3302000</v>
          </cell>
          <cell r="H995">
            <v>320.55470000000003</v>
          </cell>
          <cell r="I995">
            <v>339.43270000000001</v>
          </cell>
          <cell r="J995" t="str">
            <v>Income Statement</v>
          </cell>
          <cell r="K995" t="str">
            <v>Operating expenses</v>
          </cell>
          <cell r="L995" t="str">
            <v>Lease rentals on operating lease</v>
          </cell>
          <cell r="M995" t="str">
            <v>Premisis</v>
          </cell>
          <cell r="N995">
            <v>627076.05619611789</v>
          </cell>
          <cell r="O995">
            <v>40940</v>
          </cell>
        </row>
        <row r="996">
          <cell r="G996" t="str">
            <v>3303000</v>
          </cell>
          <cell r="H996">
            <v>320.55470000000003</v>
          </cell>
          <cell r="I996">
            <v>339.43270000000001</v>
          </cell>
          <cell r="J996" t="str">
            <v>Income Statement</v>
          </cell>
          <cell r="K996" t="str">
            <v>Operating expenses</v>
          </cell>
          <cell r="L996" t="str">
            <v>Lease rentals on operating lease</v>
          </cell>
          <cell r="M996" t="str">
            <v>F&amp;F</v>
          </cell>
          <cell r="N996">
            <v>986.9408574954623</v>
          </cell>
          <cell r="O996">
            <v>40940</v>
          </cell>
        </row>
        <row r="997">
          <cell r="G997" t="str">
            <v>3303000</v>
          </cell>
          <cell r="H997">
            <v>320.55470000000003</v>
          </cell>
          <cell r="I997">
            <v>339.43270000000001</v>
          </cell>
          <cell r="J997" t="str">
            <v>Income Statement</v>
          </cell>
          <cell r="K997" t="str">
            <v>Operating expenses</v>
          </cell>
          <cell r="L997" t="str">
            <v>Lease rentals on operating lease</v>
          </cell>
          <cell r="M997" t="str">
            <v>F&amp;F</v>
          </cell>
          <cell r="N997">
            <v>928.01901525692722</v>
          </cell>
          <cell r="O997">
            <v>40940</v>
          </cell>
        </row>
        <row r="998">
          <cell r="G998" t="str">
            <v>3303000</v>
          </cell>
          <cell r="H998">
            <v>320.55470000000003</v>
          </cell>
          <cell r="I998">
            <v>339.43270000000001</v>
          </cell>
          <cell r="J998" t="str">
            <v>Income Statement</v>
          </cell>
          <cell r="K998" t="str">
            <v>Operating expenses</v>
          </cell>
          <cell r="L998" t="str">
            <v>Lease rentals on operating lease</v>
          </cell>
          <cell r="M998" t="str">
            <v>F&amp;F</v>
          </cell>
          <cell r="N998">
            <v>135886.12425968386</v>
          </cell>
          <cell r="O998">
            <v>40940</v>
          </cell>
        </row>
        <row r="999">
          <cell r="G999" t="str">
            <v>3403000</v>
          </cell>
          <cell r="H999">
            <v>320.55470000000003</v>
          </cell>
          <cell r="I999">
            <v>339.43270000000001</v>
          </cell>
          <cell r="J999" t="str">
            <v>Income Statement</v>
          </cell>
          <cell r="K999" t="str">
            <v>Operating expenses</v>
          </cell>
          <cell r="L999" t="str">
            <v>Audit Fees</v>
          </cell>
          <cell r="N999">
            <v>48529.343224739394</v>
          </cell>
          <cell r="O999">
            <v>40940</v>
          </cell>
        </row>
        <row r="1000">
          <cell r="G1000" t="str">
            <v>3404000</v>
          </cell>
          <cell r="H1000">
            <v>320.55470000000003</v>
          </cell>
          <cell r="I1000">
            <v>339.43270000000001</v>
          </cell>
          <cell r="J1000" t="str">
            <v>Income Statement</v>
          </cell>
          <cell r="K1000" t="str">
            <v>Operating expenses</v>
          </cell>
          <cell r="L1000" t="str">
            <v>Bank Charges</v>
          </cell>
          <cell r="N1000">
            <v>448.10061022405915</v>
          </cell>
          <cell r="O1000">
            <v>40940</v>
          </cell>
        </row>
        <row r="1001">
          <cell r="G1001" t="str">
            <v>3404000</v>
          </cell>
          <cell r="H1001">
            <v>320.55470000000003</v>
          </cell>
          <cell r="I1001">
            <v>339.43270000000001</v>
          </cell>
          <cell r="J1001" t="str">
            <v>Income Statement</v>
          </cell>
          <cell r="K1001" t="str">
            <v>Operating expenses</v>
          </cell>
          <cell r="L1001" t="str">
            <v>Bank Charges</v>
          </cell>
          <cell r="N1001">
            <v>1226.7527554062999</v>
          </cell>
          <cell r="O1001">
            <v>40940</v>
          </cell>
        </row>
        <row r="1002">
          <cell r="G1002" t="str">
            <v>3404000</v>
          </cell>
          <cell r="H1002">
            <v>320.55470000000003</v>
          </cell>
          <cell r="I1002">
            <v>339.43270000000001</v>
          </cell>
          <cell r="J1002" t="str">
            <v>Income Statement</v>
          </cell>
          <cell r="K1002" t="str">
            <v>Operating expenses</v>
          </cell>
          <cell r="L1002" t="str">
            <v>Bank Charges</v>
          </cell>
          <cell r="N1002">
            <v>1573.6168023882201</v>
          </cell>
          <cell r="O1002">
            <v>40940</v>
          </cell>
        </row>
        <row r="1003">
          <cell r="G1003" t="str">
            <v>3404000</v>
          </cell>
          <cell r="H1003">
            <v>320.55470000000003</v>
          </cell>
          <cell r="I1003">
            <v>339.43270000000001</v>
          </cell>
          <cell r="J1003" t="str">
            <v>Income Statement</v>
          </cell>
          <cell r="K1003" t="str">
            <v>Operating expenses</v>
          </cell>
          <cell r="L1003" t="str">
            <v>Bank Charges</v>
          </cell>
          <cell r="N1003">
            <v>1252.08914756887</v>
          </cell>
          <cell r="O1003">
            <v>40940</v>
          </cell>
        </row>
        <row r="1004">
          <cell r="G1004" t="str">
            <v>3404000</v>
          </cell>
          <cell r="H1004">
            <v>320.55470000000003</v>
          </cell>
          <cell r="I1004">
            <v>339.43270000000001</v>
          </cell>
          <cell r="J1004" t="str">
            <v>Income Statement</v>
          </cell>
          <cell r="K1004" t="str">
            <v>Operating expenses</v>
          </cell>
          <cell r="L1004" t="str">
            <v>Bank Charges</v>
          </cell>
          <cell r="N1004">
            <v>1571.083163171963</v>
          </cell>
          <cell r="O1004">
            <v>40940</v>
          </cell>
        </row>
        <row r="1005">
          <cell r="G1005" t="str">
            <v>3404000</v>
          </cell>
          <cell r="H1005">
            <v>320.55470000000003</v>
          </cell>
          <cell r="I1005">
            <v>339.43270000000001</v>
          </cell>
          <cell r="J1005" t="str">
            <v>Income Statement</v>
          </cell>
          <cell r="K1005" t="str">
            <v>Operating expenses</v>
          </cell>
          <cell r="L1005" t="str">
            <v>Bank Charges</v>
          </cell>
          <cell r="N1005">
            <v>1142.9806262036627</v>
          </cell>
          <cell r="O1005">
            <v>40940</v>
          </cell>
        </row>
        <row r="1006">
          <cell r="G1006" t="str">
            <v>3404000</v>
          </cell>
          <cell r="H1006">
            <v>320.55470000000003</v>
          </cell>
          <cell r="I1006">
            <v>339.43270000000001</v>
          </cell>
          <cell r="J1006" t="str">
            <v>Income Statement</v>
          </cell>
          <cell r="K1006" t="str">
            <v>Operating expenses</v>
          </cell>
          <cell r="L1006" t="str">
            <v>Bank Charges</v>
          </cell>
          <cell r="N1006">
            <v>1287.4422529119911</v>
          </cell>
          <cell r="O1006">
            <v>40940</v>
          </cell>
        </row>
        <row r="1007">
          <cell r="G1007" t="str">
            <v>3404000</v>
          </cell>
          <cell r="H1007">
            <v>320.55470000000003</v>
          </cell>
          <cell r="I1007">
            <v>339.43270000000001</v>
          </cell>
          <cell r="J1007" t="str">
            <v>Income Statement</v>
          </cell>
          <cell r="K1007" t="str">
            <v>Operating expenses</v>
          </cell>
          <cell r="L1007" t="str">
            <v>Bank Charges</v>
          </cell>
          <cell r="N1007">
            <v>685.91505768301045</v>
          </cell>
          <cell r="O1007">
            <v>40940</v>
          </cell>
        </row>
        <row r="1008">
          <cell r="G1008" t="str">
            <v>3404000</v>
          </cell>
          <cell r="H1008">
            <v>320.55470000000003</v>
          </cell>
          <cell r="I1008">
            <v>339.43270000000001</v>
          </cell>
          <cell r="J1008" t="str">
            <v>Income Statement</v>
          </cell>
          <cell r="K1008" t="str">
            <v>Operating expenses</v>
          </cell>
          <cell r="L1008" t="str">
            <v>Bank Charges</v>
          </cell>
          <cell r="N1008">
            <v>705.20312273979494</v>
          </cell>
          <cell r="O1008">
            <v>40940</v>
          </cell>
        </row>
        <row r="1009">
          <cell r="G1009" t="str">
            <v>3404000</v>
          </cell>
          <cell r="H1009">
            <v>320.55470000000003</v>
          </cell>
          <cell r="I1009">
            <v>339.43270000000001</v>
          </cell>
          <cell r="J1009" t="str">
            <v>Income Statement</v>
          </cell>
          <cell r="K1009" t="str">
            <v>Operating expenses</v>
          </cell>
          <cell r="L1009" t="str">
            <v>Bank Charges</v>
          </cell>
          <cell r="N1009">
            <v>198.86121755505582</v>
          </cell>
          <cell r="O1009">
            <v>40940</v>
          </cell>
        </row>
        <row r="1010">
          <cell r="G1010" t="str">
            <v>3404000</v>
          </cell>
          <cell r="H1010">
            <v>320.55470000000003</v>
          </cell>
          <cell r="I1010">
            <v>339.43270000000001</v>
          </cell>
          <cell r="J1010" t="str">
            <v>Income Statement</v>
          </cell>
          <cell r="K1010" t="str">
            <v>Operating expenses</v>
          </cell>
          <cell r="L1010" t="str">
            <v>Bank Charges</v>
          </cell>
          <cell r="N1010">
            <v>85833.543821794417</v>
          </cell>
          <cell r="O1010">
            <v>40940</v>
          </cell>
        </row>
        <row r="1011">
          <cell r="G1011" t="str">
            <v>3405000</v>
          </cell>
          <cell r="H1011">
            <v>320.55470000000003</v>
          </cell>
          <cell r="I1011">
            <v>339.43270000000001</v>
          </cell>
          <cell r="J1011" t="str">
            <v>Income Statement</v>
          </cell>
          <cell r="K1011" t="str">
            <v>Operating expenses</v>
          </cell>
          <cell r="L1011" t="str">
            <v>Cleaning</v>
          </cell>
          <cell r="N1011">
            <v>1295.249397008597</v>
          </cell>
          <cell r="O1011">
            <v>40940</v>
          </cell>
        </row>
        <row r="1012">
          <cell r="G1012" t="str">
            <v>3405000</v>
          </cell>
          <cell r="H1012">
            <v>320.55470000000003</v>
          </cell>
          <cell r="I1012">
            <v>339.43270000000001</v>
          </cell>
          <cell r="J1012" t="str">
            <v>Income Statement</v>
          </cell>
          <cell r="K1012" t="str">
            <v>Operating expenses</v>
          </cell>
          <cell r="L1012" t="str">
            <v>Cleaning</v>
          </cell>
          <cell r="N1012">
            <v>2849.4602906555556</v>
          </cell>
          <cell r="O1012">
            <v>40940</v>
          </cell>
        </row>
        <row r="1013">
          <cell r="G1013" t="str">
            <v>3405000</v>
          </cell>
          <cell r="H1013">
            <v>320.55470000000003</v>
          </cell>
          <cell r="I1013">
            <v>339.43270000000001</v>
          </cell>
          <cell r="J1013" t="str">
            <v>Income Statement</v>
          </cell>
          <cell r="K1013" t="str">
            <v>Operating expenses</v>
          </cell>
          <cell r="L1013" t="str">
            <v>Cleaning</v>
          </cell>
          <cell r="N1013">
            <v>419.81812594956227</v>
          </cell>
          <cell r="O1013">
            <v>40940</v>
          </cell>
        </row>
        <row r="1014">
          <cell r="G1014" t="str">
            <v>3405000</v>
          </cell>
          <cell r="H1014">
            <v>320.55470000000003</v>
          </cell>
          <cell r="I1014">
            <v>339.43270000000001</v>
          </cell>
          <cell r="J1014" t="str">
            <v>Income Statement</v>
          </cell>
          <cell r="K1014" t="str">
            <v>Operating expenses</v>
          </cell>
          <cell r="L1014" t="str">
            <v>Cleaning</v>
          </cell>
          <cell r="N1014">
            <v>5078.1789733281439</v>
          </cell>
          <cell r="O1014">
            <v>40940</v>
          </cell>
        </row>
        <row r="1015">
          <cell r="G1015" t="str">
            <v>3405000</v>
          </cell>
          <cell r="H1015">
            <v>320.55470000000003</v>
          </cell>
          <cell r="I1015">
            <v>339.43270000000001</v>
          </cell>
          <cell r="J1015" t="str">
            <v>Income Statement</v>
          </cell>
          <cell r="K1015" t="str">
            <v>Operating expenses</v>
          </cell>
          <cell r="L1015" t="str">
            <v>Cleaning</v>
          </cell>
          <cell r="N1015">
            <v>2279.9806854201142</v>
          </cell>
          <cell r="O1015">
            <v>40940</v>
          </cell>
        </row>
        <row r="1016">
          <cell r="G1016" t="str">
            <v>3405000</v>
          </cell>
          <cell r="H1016">
            <v>320.55470000000003</v>
          </cell>
          <cell r="I1016">
            <v>339.43270000000001</v>
          </cell>
          <cell r="J1016" t="str">
            <v>Income Statement</v>
          </cell>
          <cell r="K1016" t="str">
            <v>Operating expenses</v>
          </cell>
          <cell r="L1016" t="str">
            <v>Cleaning</v>
          </cell>
          <cell r="N1016">
            <v>2254.3496840463513</v>
          </cell>
          <cell r="O1016">
            <v>40940</v>
          </cell>
        </row>
        <row r="1017">
          <cell r="G1017" t="str">
            <v>3405000</v>
          </cell>
          <cell r="H1017">
            <v>320.55470000000003</v>
          </cell>
          <cell r="I1017">
            <v>339.43270000000001</v>
          </cell>
          <cell r="J1017" t="str">
            <v>Income Statement</v>
          </cell>
          <cell r="K1017" t="str">
            <v>Operating expenses</v>
          </cell>
          <cell r="L1017" t="str">
            <v>Cleaning</v>
          </cell>
          <cell r="N1017">
            <v>2229.8971195173594</v>
          </cell>
          <cell r="O1017">
            <v>40940</v>
          </cell>
        </row>
        <row r="1018">
          <cell r="G1018" t="str">
            <v>3405000</v>
          </cell>
          <cell r="H1018">
            <v>320.55470000000003</v>
          </cell>
          <cell r="I1018">
            <v>339.43270000000001</v>
          </cell>
          <cell r="J1018" t="str">
            <v>Income Statement</v>
          </cell>
          <cell r="K1018" t="str">
            <v>Operating expenses</v>
          </cell>
          <cell r="L1018" t="str">
            <v>Cleaning</v>
          </cell>
          <cell r="N1018">
            <v>6569.6381049910624</v>
          </cell>
          <cell r="O1018">
            <v>40940</v>
          </cell>
        </row>
        <row r="1019">
          <cell r="G1019" t="str">
            <v>3405000</v>
          </cell>
          <cell r="H1019">
            <v>320.55470000000003</v>
          </cell>
          <cell r="I1019">
            <v>339.43270000000001</v>
          </cell>
          <cell r="J1019" t="str">
            <v>Income Statement</v>
          </cell>
          <cell r="K1019" t="str">
            <v>Operating expenses</v>
          </cell>
          <cell r="L1019" t="str">
            <v>Cleaning</v>
          </cell>
          <cell r="N1019">
            <v>583.62084737268981</v>
          </cell>
          <cell r="O1019">
            <v>40940</v>
          </cell>
        </row>
        <row r="1020">
          <cell r="G1020" t="str">
            <v>3405000</v>
          </cell>
          <cell r="H1020">
            <v>320.55470000000003</v>
          </cell>
          <cell r="I1020">
            <v>339.43270000000001</v>
          </cell>
          <cell r="J1020" t="str">
            <v>Income Statement</v>
          </cell>
          <cell r="K1020" t="str">
            <v>Operating expenses</v>
          </cell>
          <cell r="L1020" t="str">
            <v>Cleaning</v>
          </cell>
          <cell r="N1020">
            <v>3267.8053705491543</v>
          </cell>
          <cell r="O1020">
            <v>40940</v>
          </cell>
        </row>
        <row r="1021">
          <cell r="G1021" t="str">
            <v>3406000</v>
          </cell>
          <cell r="H1021">
            <v>320.55470000000003</v>
          </cell>
          <cell r="I1021">
            <v>339.43270000000001</v>
          </cell>
          <cell r="J1021" t="str">
            <v>Income Statement</v>
          </cell>
          <cell r="K1021" t="str">
            <v>Operating expenses</v>
          </cell>
          <cell r="L1021" t="str">
            <v>Processing and collection costs</v>
          </cell>
          <cell r="N1021">
            <v>117.84368447707011</v>
          </cell>
          <cell r="O1021">
            <v>40940</v>
          </cell>
        </row>
        <row r="1022">
          <cell r="G1022" t="str">
            <v>3406000</v>
          </cell>
          <cell r="H1022">
            <v>320.55470000000003</v>
          </cell>
          <cell r="I1022">
            <v>339.43270000000001</v>
          </cell>
          <cell r="J1022" t="str">
            <v>Income Statement</v>
          </cell>
          <cell r="K1022" t="str">
            <v>Operating expenses</v>
          </cell>
          <cell r="L1022" t="str">
            <v>Processing and collection costs</v>
          </cell>
          <cell r="N1022">
            <v>504099.59323306207</v>
          </cell>
          <cell r="O1022">
            <v>40940</v>
          </cell>
        </row>
        <row r="1023">
          <cell r="G1023" t="str">
            <v>3408000</v>
          </cell>
          <cell r="H1023">
            <v>320.55470000000003</v>
          </cell>
          <cell r="I1023">
            <v>339.43270000000001</v>
          </cell>
          <cell r="J1023" t="str">
            <v>Income Statement</v>
          </cell>
          <cell r="K1023" t="str">
            <v>Operating expenses</v>
          </cell>
          <cell r="L1023" t="str">
            <v>Compliance Fees</v>
          </cell>
          <cell r="N1023">
            <v>589.21842238535055</v>
          </cell>
          <cell r="O1023">
            <v>40940</v>
          </cell>
        </row>
        <row r="1024">
          <cell r="G1024" t="str">
            <v>3408000</v>
          </cell>
          <cell r="H1024">
            <v>320.55470000000003</v>
          </cell>
          <cell r="I1024">
            <v>339.43270000000001</v>
          </cell>
          <cell r="J1024" t="str">
            <v>Income Statement</v>
          </cell>
          <cell r="K1024" t="str">
            <v>Operating expenses</v>
          </cell>
          <cell r="L1024" t="str">
            <v>Compliance Fees</v>
          </cell>
          <cell r="N1024">
            <v>1473.0460559633766</v>
          </cell>
          <cell r="O1024">
            <v>40940</v>
          </cell>
        </row>
        <row r="1025">
          <cell r="G1025" t="str">
            <v>3408000</v>
          </cell>
          <cell r="H1025">
            <v>320.55470000000003</v>
          </cell>
          <cell r="I1025">
            <v>339.43270000000001</v>
          </cell>
          <cell r="J1025" t="str">
            <v>Income Statement</v>
          </cell>
          <cell r="K1025" t="str">
            <v>Operating expenses</v>
          </cell>
          <cell r="L1025" t="str">
            <v>Compliance Fees</v>
          </cell>
          <cell r="N1025">
            <v>1020.8209167826199</v>
          </cell>
          <cell r="O1025">
            <v>40940</v>
          </cell>
        </row>
        <row r="1026">
          <cell r="G1026" t="str">
            <v>3408000</v>
          </cell>
          <cell r="H1026">
            <v>320.55470000000003</v>
          </cell>
          <cell r="I1026">
            <v>339.43270000000001</v>
          </cell>
          <cell r="J1026" t="str">
            <v>Income Statement</v>
          </cell>
          <cell r="K1026" t="str">
            <v>Operating expenses</v>
          </cell>
          <cell r="L1026" t="str">
            <v>Compliance Fees</v>
          </cell>
          <cell r="N1026">
            <v>2692.7281903010521</v>
          </cell>
          <cell r="O1026">
            <v>40940</v>
          </cell>
        </row>
        <row r="1027">
          <cell r="G1027" t="str">
            <v>3408000</v>
          </cell>
          <cell r="H1027">
            <v>320.55470000000003</v>
          </cell>
          <cell r="I1027">
            <v>339.43270000000001</v>
          </cell>
          <cell r="J1027" t="str">
            <v>Income Statement</v>
          </cell>
          <cell r="K1027" t="str">
            <v>Operating expenses</v>
          </cell>
          <cell r="L1027" t="str">
            <v>Compliance Fees</v>
          </cell>
          <cell r="N1027">
            <v>1767.6552671560519</v>
          </cell>
          <cell r="O1027">
            <v>40940</v>
          </cell>
        </row>
        <row r="1028">
          <cell r="G1028" t="str">
            <v>3408000</v>
          </cell>
          <cell r="H1028">
            <v>320.55470000000003</v>
          </cell>
          <cell r="I1028">
            <v>339.43270000000001</v>
          </cell>
          <cell r="J1028" t="str">
            <v>Income Statement</v>
          </cell>
          <cell r="K1028" t="str">
            <v>Operating expenses</v>
          </cell>
          <cell r="L1028" t="str">
            <v>Compliance Fees</v>
          </cell>
          <cell r="N1028">
            <v>1473.0460559633766</v>
          </cell>
          <cell r="O1028">
            <v>40940</v>
          </cell>
        </row>
        <row r="1029">
          <cell r="G1029" t="str">
            <v>3408000</v>
          </cell>
          <cell r="H1029">
            <v>320.55470000000003</v>
          </cell>
          <cell r="I1029">
            <v>339.43270000000001</v>
          </cell>
          <cell r="J1029" t="str">
            <v>Income Statement</v>
          </cell>
          <cell r="K1029" t="str">
            <v>Operating expenses</v>
          </cell>
          <cell r="L1029" t="str">
            <v>Compliance Fees</v>
          </cell>
          <cell r="N1029">
            <v>514.09307353121835</v>
          </cell>
          <cell r="O1029">
            <v>40940</v>
          </cell>
        </row>
        <row r="1030">
          <cell r="G1030" t="str">
            <v>3408000</v>
          </cell>
          <cell r="H1030">
            <v>320.55470000000003</v>
          </cell>
          <cell r="I1030">
            <v>339.43270000000001</v>
          </cell>
          <cell r="J1030" t="str">
            <v>Income Statement</v>
          </cell>
          <cell r="K1030" t="str">
            <v>Operating expenses</v>
          </cell>
          <cell r="L1030" t="str">
            <v>Compliance Fees</v>
          </cell>
          <cell r="N1030">
            <v>589.21842238535055</v>
          </cell>
          <cell r="O1030">
            <v>40940</v>
          </cell>
        </row>
        <row r="1031">
          <cell r="G1031" t="str">
            <v>3408000</v>
          </cell>
          <cell r="H1031">
            <v>320.55470000000003</v>
          </cell>
          <cell r="I1031">
            <v>339.43270000000001</v>
          </cell>
          <cell r="J1031" t="str">
            <v>Income Statement</v>
          </cell>
          <cell r="K1031" t="str">
            <v>Operating expenses</v>
          </cell>
          <cell r="L1031" t="str">
            <v>Compliance Fees</v>
          </cell>
          <cell r="N1031">
            <v>519.98525775507187</v>
          </cell>
          <cell r="O1031">
            <v>40940</v>
          </cell>
        </row>
        <row r="1032">
          <cell r="G1032" t="str">
            <v>3408000</v>
          </cell>
          <cell r="H1032">
            <v>320.55470000000003</v>
          </cell>
          <cell r="I1032">
            <v>339.43270000000001</v>
          </cell>
          <cell r="J1032" t="str">
            <v>Income Statement</v>
          </cell>
          <cell r="K1032" t="str">
            <v>Operating expenses</v>
          </cell>
          <cell r="L1032" t="str">
            <v>Compliance Fees</v>
          </cell>
          <cell r="N1032">
            <v>9357.3497780266898</v>
          </cell>
          <cell r="O1032">
            <v>40940</v>
          </cell>
        </row>
        <row r="1033">
          <cell r="G1033" t="str">
            <v>3409000</v>
          </cell>
          <cell r="H1033">
            <v>320.55470000000003</v>
          </cell>
          <cell r="I1033">
            <v>339.43270000000001</v>
          </cell>
          <cell r="J1033" t="str">
            <v>Income Statement</v>
          </cell>
          <cell r="K1033" t="str">
            <v>Operating expenses</v>
          </cell>
          <cell r="L1033" t="str">
            <v>Computer Expenses</v>
          </cell>
          <cell r="N1033">
            <v>220.95690839450648</v>
          </cell>
          <cell r="O1033">
            <v>40940</v>
          </cell>
        </row>
        <row r="1034">
          <cell r="G1034" t="str">
            <v>3409000</v>
          </cell>
          <cell r="H1034">
            <v>320.55470000000003</v>
          </cell>
          <cell r="I1034">
            <v>339.43270000000001</v>
          </cell>
          <cell r="J1034" t="str">
            <v>Income Statement</v>
          </cell>
          <cell r="K1034" t="str">
            <v>Operating expenses</v>
          </cell>
          <cell r="L1034" t="str">
            <v>Computer Expenses</v>
          </cell>
          <cell r="N1034">
            <v>194.44207938716571</v>
          </cell>
          <cell r="O1034">
            <v>40940</v>
          </cell>
        </row>
        <row r="1035">
          <cell r="G1035" t="str">
            <v>3409000</v>
          </cell>
          <cell r="H1035">
            <v>320.55470000000003</v>
          </cell>
          <cell r="I1035">
            <v>339.43270000000001</v>
          </cell>
          <cell r="J1035" t="str">
            <v>Income Statement</v>
          </cell>
          <cell r="K1035" t="str">
            <v>Operating expenses</v>
          </cell>
          <cell r="L1035" t="str">
            <v>Computer Expenses</v>
          </cell>
          <cell r="N1035">
            <v>58.921842238535056</v>
          </cell>
          <cell r="O1035">
            <v>40940</v>
          </cell>
        </row>
        <row r="1036">
          <cell r="G1036" t="str">
            <v>3409000</v>
          </cell>
          <cell r="H1036">
            <v>320.55470000000003</v>
          </cell>
          <cell r="I1036">
            <v>339.43270000000001</v>
          </cell>
          <cell r="J1036" t="str">
            <v>Income Statement</v>
          </cell>
          <cell r="K1036" t="str">
            <v>Operating expenses</v>
          </cell>
          <cell r="L1036" t="str">
            <v>Computer Expenses</v>
          </cell>
          <cell r="N1036">
            <v>191.49598727523895</v>
          </cell>
          <cell r="O1036">
            <v>40940</v>
          </cell>
        </row>
        <row r="1037">
          <cell r="G1037" t="str">
            <v>3409000</v>
          </cell>
          <cell r="H1037">
            <v>320.55470000000003</v>
          </cell>
          <cell r="I1037">
            <v>339.43270000000001</v>
          </cell>
          <cell r="J1037" t="str">
            <v>Income Statement</v>
          </cell>
          <cell r="K1037" t="str">
            <v>Operating expenses</v>
          </cell>
          <cell r="L1037" t="str">
            <v>Computer Expenses</v>
          </cell>
          <cell r="N1037">
            <v>494.05964717011648</v>
          </cell>
          <cell r="O1037">
            <v>40940</v>
          </cell>
        </row>
        <row r="1038">
          <cell r="G1038" t="str">
            <v>3410000</v>
          </cell>
          <cell r="H1038">
            <v>320.55470000000003</v>
          </cell>
          <cell r="I1038">
            <v>339.43270000000001</v>
          </cell>
          <cell r="J1038" t="str">
            <v>Income Statement</v>
          </cell>
          <cell r="K1038" t="str">
            <v>Operating expenses</v>
          </cell>
          <cell r="L1038" t="str">
            <v>Training</v>
          </cell>
          <cell r="N1038">
            <v>17055.055390950842</v>
          </cell>
          <cell r="O1038">
            <v>40940</v>
          </cell>
        </row>
        <row r="1039">
          <cell r="G1039" t="str">
            <v>3411000</v>
          </cell>
          <cell r="H1039">
            <v>320.55470000000003</v>
          </cell>
          <cell r="I1039">
            <v>339.43270000000001</v>
          </cell>
          <cell r="J1039" t="str">
            <v>Income Statement</v>
          </cell>
          <cell r="K1039" t="str">
            <v>Operating expenses</v>
          </cell>
          <cell r="L1039" t="str">
            <v>Consulting and professional fees</v>
          </cell>
          <cell r="N1039">
            <v>14.730460559633764</v>
          </cell>
          <cell r="O1039">
            <v>40940</v>
          </cell>
        </row>
        <row r="1040">
          <cell r="G1040" t="str">
            <v>3411000</v>
          </cell>
          <cell r="H1040">
            <v>320.55470000000003</v>
          </cell>
          <cell r="I1040">
            <v>339.43270000000001</v>
          </cell>
          <cell r="J1040" t="str">
            <v>Income Statement</v>
          </cell>
          <cell r="K1040" t="str">
            <v>Operating expenses</v>
          </cell>
          <cell r="L1040" t="str">
            <v>Consulting and professional fees</v>
          </cell>
          <cell r="N1040">
            <v>8972.6181360841183</v>
          </cell>
          <cell r="O1040">
            <v>40940</v>
          </cell>
        </row>
        <row r="1041">
          <cell r="G1041" t="str">
            <v>3412000</v>
          </cell>
          <cell r="H1041">
            <v>320.55470000000003</v>
          </cell>
          <cell r="I1041">
            <v>339.43270000000001</v>
          </cell>
          <cell r="J1041" t="str">
            <v>Income Statement</v>
          </cell>
          <cell r="K1041" t="str">
            <v>Operating expenses</v>
          </cell>
          <cell r="L1041" t="str">
            <v>Corporate Social Investment</v>
          </cell>
          <cell r="N1041">
            <v>176.76552671560518</v>
          </cell>
          <cell r="O1041">
            <v>40940</v>
          </cell>
        </row>
        <row r="1042">
          <cell r="G1042" t="str">
            <v>3412000</v>
          </cell>
          <cell r="H1042">
            <v>320.55470000000003</v>
          </cell>
          <cell r="I1042">
            <v>339.43270000000001</v>
          </cell>
          <cell r="J1042" t="str">
            <v>Income Statement</v>
          </cell>
          <cell r="K1042" t="str">
            <v>Operating expenses</v>
          </cell>
          <cell r="L1042" t="str">
            <v>Corporate Social Investment</v>
          </cell>
          <cell r="N1042">
            <v>34815.4435326944</v>
          </cell>
          <cell r="O1042">
            <v>40940</v>
          </cell>
        </row>
        <row r="1043">
          <cell r="G1043" t="str">
            <v>3413000</v>
          </cell>
          <cell r="H1043">
            <v>320.55470000000003</v>
          </cell>
          <cell r="I1043">
            <v>339.43270000000001</v>
          </cell>
          <cell r="J1043" t="str">
            <v>Income Statement</v>
          </cell>
          <cell r="K1043" t="str">
            <v>Operating expenses</v>
          </cell>
          <cell r="L1043" t="str">
            <v>Processing and collection costs</v>
          </cell>
          <cell r="N1043">
            <v>297.55530330460203</v>
          </cell>
          <cell r="O1043">
            <v>40940</v>
          </cell>
        </row>
        <row r="1044">
          <cell r="G1044" t="str">
            <v>3413000</v>
          </cell>
          <cell r="H1044">
            <v>320.55470000000003</v>
          </cell>
          <cell r="I1044">
            <v>339.43270000000001</v>
          </cell>
          <cell r="J1044" t="str">
            <v>Income Statement</v>
          </cell>
          <cell r="K1044" t="str">
            <v>Operating expenses</v>
          </cell>
          <cell r="L1044" t="str">
            <v>Processing and collection costs</v>
          </cell>
          <cell r="N1044">
            <v>967.46129645140252</v>
          </cell>
          <cell r="O1044">
            <v>40940</v>
          </cell>
        </row>
        <row r="1045">
          <cell r="G1045" t="str">
            <v>3413000</v>
          </cell>
          <cell r="H1045">
            <v>320.55470000000003</v>
          </cell>
          <cell r="I1045">
            <v>339.43270000000001</v>
          </cell>
          <cell r="J1045" t="str">
            <v>Income Statement</v>
          </cell>
          <cell r="K1045" t="str">
            <v>Operating expenses</v>
          </cell>
          <cell r="L1045" t="str">
            <v>Processing and collection costs</v>
          </cell>
          <cell r="N1045">
            <v>513.76605730679455</v>
          </cell>
          <cell r="O1045">
            <v>40940</v>
          </cell>
        </row>
        <row r="1046">
          <cell r="G1046" t="str">
            <v>3413000</v>
          </cell>
          <cell r="H1046">
            <v>320.55470000000003</v>
          </cell>
          <cell r="I1046">
            <v>339.43270000000001</v>
          </cell>
          <cell r="J1046" t="str">
            <v>Income Statement</v>
          </cell>
          <cell r="K1046" t="str">
            <v>Operating expenses</v>
          </cell>
          <cell r="L1046" t="str">
            <v>Processing and collection costs</v>
          </cell>
          <cell r="N1046">
            <v>963.37212060004822</v>
          </cell>
          <cell r="O1046">
            <v>40940</v>
          </cell>
        </row>
        <row r="1047">
          <cell r="G1047" t="str">
            <v>3413000</v>
          </cell>
          <cell r="H1047">
            <v>320.55470000000003</v>
          </cell>
          <cell r="I1047">
            <v>339.43270000000001</v>
          </cell>
          <cell r="J1047" t="str">
            <v>Income Statement</v>
          </cell>
          <cell r="K1047" t="str">
            <v>Operating expenses</v>
          </cell>
          <cell r="L1047" t="str">
            <v>Processing and collection costs</v>
          </cell>
          <cell r="N1047">
            <v>1543.7198596363874</v>
          </cell>
          <cell r="O1047">
            <v>40940</v>
          </cell>
        </row>
        <row r="1048">
          <cell r="G1048" t="str">
            <v>3413000</v>
          </cell>
          <cell r="H1048">
            <v>320.55470000000003</v>
          </cell>
          <cell r="I1048">
            <v>339.43270000000001</v>
          </cell>
          <cell r="J1048" t="str">
            <v>Income Statement</v>
          </cell>
          <cell r="K1048" t="str">
            <v>Operating expenses</v>
          </cell>
          <cell r="L1048" t="str">
            <v>Processing and collection costs</v>
          </cell>
          <cell r="N1048">
            <v>1083.2456625422358</v>
          </cell>
          <cell r="O1048">
            <v>40940</v>
          </cell>
        </row>
        <row r="1049">
          <cell r="G1049" t="str">
            <v>3413000</v>
          </cell>
          <cell r="H1049">
            <v>320.55470000000003</v>
          </cell>
          <cell r="I1049">
            <v>339.43270000000001</v>
          </cell>
          <cell r="J1049" t="str">
            <v>Income Statement</v>
          </cell>
          <cell r="K1049" t="str">
            <v>Operating expenses</v>
          </cell>
          <cell r="L1049" t="str">
            <v>Processing and collection costs</v>
          </cell>
          <cell r="N1049">
            <v>749.45342626093475</v>
          </cell>
          <cell r="O1049">
            <v>40940</v>
          </cell>
        </row>
        <row r="1050">
          <cell r="G1050" t="str">
            <v>3413000</v>
          </cell>
          <cell r="H1050">
            <v>320.55470000000003</v>
          </cell>
          <cell r="I1050">
            <v>339.43270000000001</v>
          </cell>
          <cell r="J1050" t="str">
            <v>Income Statement</v>
          </cell>
          <cell r="K1050" t="str">
            <v>Operating expenses</v>
          </cell>
          <cell r="L1050" t="str">
            <v>Processing and collection costs</v>
          </cell>
          <cell r="N1050">
            <v>2275.2021240145691</v>
          </cell>
          <cell r="O1050">
            <v>40940</v>
          </cell>
        </row>
        <row r="1051">
          <cell r="G1051" t="str">
            <v>3413000</v>
          </cell>
          <cell r="H1051">
            <v>320.55470000000003</v>
          </cell>
          <cell r="I1051">
            <v>339.43270000000001</v>
          </cell>
          <cell r="J1051" t="str">
            <v>Income Statement</v>
          </cell>
          <cell r="K1051" t="str">
            <v>Operating expenses</v>
          </cell>
          <cell r="L1051" t="str">
            <v>Processing and collection costs</v>
          </cell>
          <cell r="N1051">
            <v>1713.709374494561</v>
          </cell>
          <cell r="O1051">
            <v>40940</v>
          </cell>
        </row>
        <row r="1052">
          <cell r="G1052" t="str">
            <v>3413000</v>
          </cell>
          <cell r="H1052">
            <v>320.55470000000003</v>
          </cell>
          <cell r="I1052">
            <v>339.43270000000001</v>
          </cell>
          <cell r="J1052" t="str">
            <v>Income Statement</v>
          </cell>
          <cell r="K1052" t="str">
            <v>Operating expenses</v>
          </cell>
          <cell r="L1052" t="str">
            <v>Processing and collection costs</v>
          </cell>
          <cell r="N1052">
            <v>4900.4972119657295</v>
          </cell>
          <cell r="O1052">
            <v>40940</v>
          </cell>
        </row>
        <row r="1053">
          <cell r="G1053" t="str">
            <v>3413000</v>
          </cell>
          <cell r="H1053">
            <v>320.55470000000003</v>
          </cell>
          <cell r="I1053">
            <v>339.43270000000001</v>
          </cell>
          <cell r="J1053" t="str">
            <v>Income Statement</v>
          </cell>
          <cell r="K1053" t="str">
            <v>Operating expenses</v>
          </cell>
          <cell r="L1053" t="str">
            <v>Processing and collection costs</v>
          </cell>
          <cell r="N1053">
            <v>28734.6098357642</v>
          </cell>
          <cell r="O1053">
            <v>40940</v>
          </cell>
        </row>
        <row r="1054">
          <cell r="G1054" t="str">
            <v>3416000</v>
          </cell>
          <cell r="H1054">
            <v>320.55470000000003</v>
          </cell>
          <cell r="I1054">
            <v>339.43270000000001</v>
          </cell>
          <cell r="J1054" t="str">
            <v>Income Statement</v>
          </cell>
          <cell r="K1054" t="str">
            <v>Operating expenses</v>
          </cell>
          <cell r="L1054" t="str">
            <v>Office Expenses</v>
          </cell>
          <cell r="M1054" t="str">
            <v>Electricity and water</v>
          </cell>
          <cell r="N1054">
            <v>3087.4043661674318</v>
          </cell>
          <cell r="O1054">
            <v>40940</v>
          </cell>
        </row>
        <row r="1055">
          <cell r="G1055" t="str">
            <v>3416000</v>
          </cell>
          <cell r="H1055">
            <v>320.55470000000003</v>
          </cell>
          <cell r="I1055">
            <v>339.43270000000001</v>
          </cell>
          <cell r="J1055" t="str">
            <v>Income Statement</v>
          </cell>
          <cell r="K1055" t="str">
            <v>Operating expenses</v>
          </cell>
          <cell r="L1055" t="str">
            <v>Office Expenses</v>
          </cell>
          <cell r="M1055" t="str">
            <v>Electricity and water</v>
          </cell>
          <cell r="N1055">
            <v>864.60732863981571</v>
          </cell>
          <cell r="O1055">
            <v>40940</v>
          </cell>
        </row>
        <row r="1056">
          <cell r="G1056" t="str">
            <v>3416000</v>
          </cell>
          <cell r="H1056">
            <v>320.55470000000003</v>
          </cell>
          <cell r="I1056">
            <v>339.43270000000001</v>
          </cell>
          <cell r="J1056" t="str">
            <v>Income Statement</v>
          </cell>
          <cell r="K1056" t="str">
            <v>Operating expenses</v>
          </cell>
          <cell r="L1056" t="str">
            <v>Office Expenses</v>
          </cell>
          <cell r="M1056" t="str">
            <v>Electricity and water</v>
          </cell>
          <cell r="N1056">
            <v>2636.3242846078178</v>
          </cell>
          <cell r="O1056">
            <v>40940</v>
          </cell>
        </row>
        <row r="1057">
          <cell r="G1057" t="str">
            <v>3416000</v>
          </cell>
          <cell r="H1057">
            <v>320.55470000000003</v>
          </cell>
          <cell r="I1057">
            <v>339.43270000000001</v>
          </cell>
          <cell r="J1057" t="str">
            <v>Income Statement</v>
          </cell>
          <cell r="K1057" t="str">
            <v>Operating expenses</v>
          </cell>
          <cell r="L1057" t="str">
            <v>Office Expenses</v>
          </cell>
          <cell r="M1057" t="str">
            <v>Electricity and water</v>
          </cell>
          <cell r="N1057">
            <v>2656.5943705482705</v>
          </cell>
          <cell r="O1057">
            <v>40940</v>
          </cell>
        </row>
        <row r="1058">
          <cell r="G1058" t="str">
            <v>3416000</v>
          </cell>
          <cell r="H1058">
            <v>320.55470000000003</v>
          </cell>
          <cell r="I1058">
            <v>339.43270000000001</v>
          </cell>
          <cell r="J1058" t="str">
            <v>Income Statement</v>
          </cell>
          <cell r="K1058" t="str">
            <v>Operating expenses</v>
          </cell>
          <cell r="L1058" t="str">
            <v>Office Expenses</v>
          </cell>
          <cell r="M1058" t="str">
            <v>Electricity and water</v>
          </cell>
          <cell r="N1058">
            <v>791.07778949995088</v>
          </cell>
          <cell r="O1058">
            <v>40940</v>
          </cell>
        </row>
        <row r="1059">
          <cell r="G1059" t="str">
            <v>3416000</v>
          </cell>
          <cell r="H1059">
            <v>320.55470000000003</v>
          </cell>
          <cell r="I1059">
            <v>339.43270000000001</v>
          </cell>
          <cell r="J1059" t="str">
            <v>Income Statement</v>
          </cell>
          <cell r="K1059" t="str">
            <v>Operating expenses</v>
          </cell>
          <cell r="L1059" t="str">
            <v>Office Expenses</v>
          </cell>
          <cell r="M1059" t="str">
            <v>Electricity and water</v>
          </cell>
          <cell r="N1059">
            <v>15095.029647997968</v>
          </cell>
          <cell r="O1059">
            <v>40940</v>
          </cell>
        </row>
        <row r="1060">
          <cell r="G1060" t="str">
            <v>3416000</v>
          </cell>
          <cell r="H1060">
            <v>320.55470000000003</v>
          </cell>
          <cell r="I1060">
            <v>339.43270000000001</v>
          </cell>
          <cell r="J1060" t="str">
            <v>Income Statement</v>
          </cell>
          <cell r="K1060" t="str">
            <v>Operating expenses</v>
          </cell>
          <cell r="L1060" t="str">
            <v>Office Expenses</v>
          </cell>
          <cell r="M1060" t="str">
            <v>Electricity and water</v>
          </cell>
          <cell r="N1060">
            <v>2285.945520275448</v>
          </cell>
          <cell r="O1060">
            <v>40940</v>
          </cell>
        </row>
        <row r="1061">
          <cell r="G1061" t="str">
            <v>3416000</v>
          </cell>
          <cell r="H1061">
            <v>320.55470000000003</v>
          </cell>
          <cell r="I1061">
            <v>339.43270000000001</v>
          </cell>
          <cell r="J1061" t="str">
            <v>Income Statement</v>
          </cell>
          <cell r="K1061" t="str">
            <v>Operating expenses</v>
          </cell>
          <cell r="L1061" t="str">
            <v>Office Expenses</v>
          </cell>
          <cell r="M1061" t="str">
            <v>Electricity and water</v>
          </cell>
          <cell r="N1061">
            <v>2057.6302754566664</v>
          </cell>
          <cell r="O1061">
            <v>40940</v>
          </cell>
        </row>
        <row r="1062">
          <cell r="G1062" t="str">
            <v>3416000</v>
          </cell>
          <cell r="H1062">
            <v>320.55470000000003</v>
          </cell>
          <cell r="I1062">
            <v>339.43270000000001</v>
          </cell>
          <cell r="J1062" t="str">
            <v>Income Statement</v>
          </cell>
          <cell r="K1062" t="str">
            <v>Operating expenses</v>
          </cell>
          <cell r="L1062" t="str">
            <v>Office Expenses</v>
          </cell>
          <cell r="M1062" t="str">
            <v>Electricity and water</v>
          </cell>
          <cell r="N1062">
            <v>32983.047891378759</v>
          </cell>
          <cell r="O1062">
            <v>40940</v>
          </cell>
        </row>
        <row r="1063">
          <cell r="G1063" t="str">
            <v>3417000</v>
          </cell>
          <cell r="H1063">
            <v>320.55470000000003</v>
          </cell>
          <cell r="I1063">
            <v>339.43270000000001</v>
          </cell>
          <cell r="J1063" t="str">
            <v>Income Statement</v>
          </cell>
          <cell r="K1063" t="str">
            <v>Operating expenses</v>
          </cell>
          <cell r="L1063" t="str">
            <v>Entertainment</v>
          </cell>
          <cell r="N1063">
            <v>1437.6929506202555</v>
          </cell>
          <cell r="O1063">
            <v>40940</v>
          </cell>
        </row>
        <row r="1064">
          <cell r="G1064" t="str">
            <v>3417000</v>
          </cell>
          <cell r="H1064">
            <v>320.55470000000003</v>
          </cell>
          <cell r="I1064">
            <v>339.43270000000001</v>
          </cell>
          <cell r="J1064" t="str">
            <v>Income Statement</v>
          </cell>
          <cell r="K1064" t="str">
            <v>Operating expenses</v>
          </cell>
          <cell r="L1064" t="str">
            <v>Entertainment</v>
          </cell>
          <cell r="N1064">
            <v>391.83025088625817</v>
          </cell>
          <cell r="O1064">
            <v>40940</v>
          </cell>
        </row>
        <row r="1065">
          <cell r="G1065" t="str">
            <v>3417000</v>
          </cell>
          <cell r="H1065">
            <v>320.55470000000003</v>
          </cell>
          <cell r="I1065">
            <v>339.43270000000001</v>
          </cell>
          <cell r="J1065" t="str">
            <v>Income Statement</v>
          </cell>
          <cell r="K1065" t="str">
            <v>Operating expenses</v>
          </cell>
          <cell r="L1065" t="str">
            <v>Entertainment</v>
          </cell>
          <cell r="N1065">
            <v>577.43405393764363</v>
          </cell>
          <cell r="O1065">
            <v>40940</v>
          </cell>
        </row>
        <row r="1066">
          <cell r="G1066" t="str">
            <v>3417000</v>
          </cell>
          <cell r="H1066">
            <v>320.55470000000003</v>
          </cell>
          <cell r="I1066">
            <v>339.43270000000001</v>
          </cell>
          <cell r="J1066" t="str">
            <v>Income Statement</v>
          </cell>
          <cell r="K1066" t="str">
            <v>Operating expenses</v>
          </cell>
          <cell r="L1066" t="str">
            <v>Entertainment</v>
          </cell>
          <cell r="N1066">
            <v>238.92807027725968</v>
          </cell>
          <cell r="O1066">
            <v>40940</v>
          </cell>
        </row>
        <row r="1067">
          <cell r="G1067" t="str">
            <v>3417000</v>
          </cell>
          <cell r="H1067">
            <v>320.55470000000003</v>
          </cell>
          <cell r="I1067">
            <v>339.43270000000001</v>
          </cell>
          <cell r="J1067" t="str">
            <v>Income Statement</v>
          </cell>
          <cell r="K1067" t="str">
            <v>Operating expenses</v>
          </cell>
          <cell r="L1067" t="str">
            <v>Entertainment</v>
          </cell>
          <cell r="N1067">
            <v>2626.5884223882967</v>
          </cell>
          <cell r="O1067">
            <v>40940</v>
          </cell>
        </row>
        <row r="1068">
          <cell r="G1068" t="str">
            <v>3417000</v>
          </cell>
          <cell r="H1068">
            <v>320.55470000000003</v>
          </cell>
          <cell r="I1068">
            <v>339.43270000000001</v>
          </cell>
          <cell r="J1068" t="str">
            <v>Income Statement</v>
          </cell>
          <cell r="K1068" t="str">
            <v>Operating expenses</v>
          </cell>
          <cell r="L1068" t="str">
            <v>Entertainment</v>
          </cell>
          <cell r="N1068">
            <v>202.6911373005606</v>
          </cell>
          <cell r="O1068">
            <v>40940</v>
          </cell>
        </row>
        <row r="1069">
          <cell r="G1069" t="str">
            <v>3417000</v>
          </cell>
          <cell r="H1069">
            <v>320.55470000000003</v>
          </cell>
          <cell r="I1069">
            <v>339.43270000000001</v>
          </cell>
          <cell r="J1069" t="str">
            <v>Income Statement</v>
          </cell>
          <cell r="K1069" t="str">
            <v>Operating expenses</v>
          </cell>
          <cell r="L1069" t="str">
            <v>Entertainment</v>
          </cell>
          <cell r="N1069">
            <v>28789.21211774823</v>
          </cell>
          <cell r="O1069">
            <v>40940</v>
          </cell>
        </row>
        <row r="1070">
          <cell r="G1070" t="str">
            <v>3419000</v>
          </cell>
          <cell r="H1070">
            <v>320.55470000000003</v>
          </cell>
          <cell r="I1070">
            <v>339.43270000000001</v>
          </cell>
          <cell r="J1070" t="str">
            <v>Income Statement</v>
          </cell>
          <cell r="K1070" t="str">
            <v>Operating expenses</v>
          </cell>
          <cell r="L1070" t="str">
            <v>Gifts</v>
          </cell>
          <cell r="N1070">
            <v>73.652302798168819</v>
          </cell>
          <cell r="O1070">
            <v>40940</v>
          </cell>
        </row>
        <row r="1071">
          <cell r="G1071" t="str">
            <v>3419000</v>
          </cell>
          <cell r="H1071">
            <v>320.55470000000003</v>
          </cell>
          <cell r="I1071">
            <v>339.43270000000001</v>
          </cell>
          <cell r="J1071" t="str">
            <v>Income Statement</v>
          </cell>
          <cell r="K1071" t="str">
            <v>Operating expenses</v>
          </cell>
          <cell r="L1071" t="str">
            <v>Gifts</v>
          </cell>
          <cell r="N1071">
            <v>369.73456004680747</v>
          </cell>
          <cell r="O1071">
            <v>40940</v>
          </cell>
        </row>
        <row r="1072">
          <cell r="G1072" t="str">
            <v>3420000</v>
          </cell>
          <cell r="H1072">
            <v>320.55470000000003</v>
          </cell>
          <cell r="I1072">
            <v>339.43270000000001</v>
          </cell>
          <cell r="J1072" t="str">
            <v>Income Statement</v>
          </cell>
          <cell r="K1072" t="str">
            <v>Operating expenses</v>
          </cell>
          <cell r="L1072" t="str">
            <v>Insurance &amp; licence fees</v>
          </cell>
          <cell r="N1072">
            <v>57146.684364824017</v>
          </cell>
          <cell r="O1072">
            <v>40940</v>
          </cell>
        </row>
        <row r="1073">
          <cell r="G1073" t="str">
            <v>3422000</v>
          </cell>
          <cell r="H1073">
            <v>320.55470000000003</v>
          </cell>
          <cell r="I1073">
            <v>339.43270000000001</v>
          </cell>
          <cell r="J1073" t="str">
            <v>Income Statement</v>
          </cell>
          <cell r="K1073" t="str">
            <v>Operating expenses</v>
          </cell>
          <cell r="L1073" t="str">
            <v>Legal expenses</v>
          </cell>
          <cell r="M1073" t="str">
            <v>Expense nature</v>
          </cell>
          <cell r="N1073">
            <v>7954.4487022022331</v>
          </cell>
          <cell r="O1073">
            <v>40940</v>
          </cell>
        </row>
        <row r="1074">
          <cell r="G1074" t="str">
            <v>3422000</v>
          </cell>
          <cell r="H1074">
            <v>320.55470000000003</v>
          </cell>
          <cell r="I1074">
            <v>339.43270000000001</v>
          </cell>
          <cell r="J1074" t="str">
            <v>Income Statement</v>
          </cell>
          <cell r="K1074" t="str">
            <v>Operating expenses</v>
          </cell>
          <cell r="L1074" t="str">
            <v>Legal expenses</v>
          </cell>
          <cell r="M1074" t="str">
            <v>Expense nature</v>
          </cell>
          <cell r="N1074">
            <v>7365.2302798168821</v>
          </cell>
          <cell r="O1074">
            <v>40940</v>
          </cell>
        </row>
        <row r="1075">
          <cell r="G1075" t="str">
            <v>3422000</v>
          </cell>
          <cell r="H1075">
            <v>320.55470000000003</v>
          </cell>
          <cell r="I1075">
            <v>339.43270000000001</v>
          </cell>
          <cell r="J1075" t="str">
            <v>Income Statement</v>
          </cell>
          <cell r="K1075" t="str">
            <v>Operating expenses</v>
          </cell>
          <cell r="L1075" t="str">
            <v>Legal expenses</v>
          </cell>
          <cell r="M1075" t="str">
            <v>Expense nature</v>
          </cell>
          <cell r="N1075">
            <v>207800.00276932659</v>
          </cell>
          <cell r="O1075">
            <v>40940</v>
          </cell>
        </row>
        <row r="1076">
          <cell r="G1076" t="str">
            <v>3424000</v>
          </cell>
          <cell r="H1076">
            <v>320.55470000000003</v>
          </cell>
          <cell r="I1076">
            <v>339.43270000000001</v>
          </cell>
          <cell r="J1076" t="str">
            <v>Income Statement</v>
          </cell>
          <cell r="K1076" t="str">
            <v>Operating expenses</v>
          </cell>
          <cell r="L1076" t="str">
            <v>Insurance &amp; licence fees</v>
          </cell>
          <cell r="M1076" t="str">
            <v>Vehicles</v>
          </cell>
          <cell r="N1076">
            <v>109870.10974487726</v>
          </cell>
          <cell r="O1076">
            <v>40940</v>
          </cell>
        </row>
        <row r="1077">
          <cell r="G1077" t="str">
            <v>3425000</v>
          </cell>
          <cell r="H1077">
            <v>320.55470000000003</v>
          </cell>
          <cell r="I1077">
            <v>339.43270000000001</v>
          </cell>
          <cell r="J1077" t="str">
            <v>Income Statement</v>
          </cell>
          <cell r="K1077" t="str">
            <v>Operating expenses</v>
          </cell>
          <cell r="L1077" t="str">
            <v>Advertising</v>
          </cell>
          <cell r="N1077">
            <v>2356.8736895414022</v>
          </cell>
          <cell r="O1077">
            <v>40940</v>
          </cell>
        </row>
        <row r="1078">
          <cell r="G1078" t="str">
            <v>3425000</v>
          </cell>
          <cell r="H1078">
            <v>320.55470000000003</v>
          </cell>
          <cell r="I1078">
            <v>339.43270000000001</v>
          </cell>
          <cell r="J1078" t="str">
            <v>Income Statement</v>
          </cell>
          <cell r="K1078" t="str">
            <v>Operating expenses</v>
          </cell>
          <cell r="L1078" t="str">
            <v>Advertising</v>
          </cell>
          <cell r="N1078">
            <v>2062.2644783487272</v>
          </cell>
          <cell r="O1078">
            <v>40940</v>
          </cell>
        </row>
        <row r="1079">
          <cell r="G1079" t="str">
            <v>3425000</v>
          </cell>
          <cell r="H1079">
            <v>320.55470000000003</v>
          </cell>
          <cell r="I1079">
            <v>339.43270000000001</v>
          </cell>
          <cell r="J1079" t="str">
            <v>Income Statement</v>
          </cell>
          <cell r="K1079" t="str">
            <v>Operating expenses</v>
          </cell>
          <cell r="L1079" t="str">
            <v>Advertising</v>
          </cell>
          <cell r="N1079">
            <v>3717.9682452515622</v>
          </cell>
          <cell r="O1079">
            <v>40940</v>
          </cell>
        </row>
        <row r="1080">
          <cell r="G1080" t="str">
            <v>3425000</v>
          </cell>
          <cell r="H1080">
            <v>320.55470000000003</v>
          </cell>
          <cell r="I1080">
            <v>339.43270000000001</v>
          </cell>
          <cell r="J1080" t="str">
            <v>Income Statement</v>
          </cell>
          <cell r="K1080" t="str">
            <v>Operating expenses</v>
          </cell>
          <cell r="L1080" t="str">
            <v>Advertising</v>
          </cell>
          <cell r="N1080">
            <v>109807.85587246013</v>
          </cell>
          <cell r="O1080">
            <v>40940</v>
          </cell>
        </row>
        <row r="1081">
          <cell r="G1081" t="str">
            <v>3428000</v>
          </cell>
          <cell r="H1081">
            <v>320.55470000000003</v>
          </cell>
          <cell r="I1081">
            <v>339.43270000000001</v>
          </cell>
          <cell r="J1081" t="str">
            <v>Income Statement</v>
          </cell>
          <cell r="K1081" t="str">
            <v>Operating expenses</v>
          </cell>
          <cell r="L1081" t="str">
            <v>Advertising</v>
          </cell>
          <cell r="N1081">
            <v>1178.4368447707011</v>
          </cell>
          <cell r="O1081">
            <v>40940</v>
          </cell>
        </row>
        <row r="1082">
          <cell r="G1082" t="str">
            <v>3428000</v>
          </cell>
          <cell r="H1082">
            <v>320.55470000000003</v>
          </cell>
          <cell r="I1082">
            <v>339.43270000000001</v>
          </cell>
          <cell r="J1082" t="str">
            <v>Income Statement</v>
          </cell>
          <cell r="K1082" t="str">
            <v>Operating expenses</v>
          </cell>
          <cell r="L1082" t="str">
            <v>Advertising</v>
          </cell>
          <cell r="N1082">
            <v>235.68736895414023</v>
          </cell>
          <cell r="O1082">
            <v>40940</v>
          </cell>
        </row>
        <row r="1083">
          <cell r="G1083" t="str">
            <v>3428000</v>
          </cell>
          <cell r="H1083">
            <v>320.55470000000003</v>
          </cell>
          <cell r="I1083">
            <v>339.43270000000001</v>
          </cell>
          <cell r="J1083" t="str">
            <v>Income Statement</v>
          </cell>
          <cell r="K1083" t="str">
            <v>Operating expenses</v>
          </cell>
          <cell r="L1083" t="str">
            <v>Advertising</v>
          </cell>
          <cell r="N1083">
            <v>1340.4719109266725</v>
          </cell>
          <cell r="O1083">
            <v>40940</v>
          </cell>
        </row>
        <row r="1084">
          <cell r="G1084" t="str">
            <v>3428000</v>
          </cell>
          <cell r="H1084">
            <v>320.55470000000003</v>
          </cell>
          <cell r="I1084">
            <v>339.43270000000001</v>
          </cell>
          <cell r="J1084" t="str">
            <v>Income Statement</v>
          </cell>
          <cell r="K1084" t="str">
            <v>Operating expenses</v>
          </cell>
          <cell r="L1084" t="str">
            <v>Advertising</v>
          </cell>
          <cell r="N1084">
            <v>1134.2454630917998</v>
          </cell>
          <cell r="O1084">
            <v>40940</v>
          </cell>
        </row>
        <row r="1085">
          <cell r="G1085" t="str">
            <v>3428000</v>
          </cell>
          <cell r="H1085">
            <v>320.55470000000003</v>
          </cell>
          <cell r="I1085">
            <v>339.43270000000001</v>
          </cell>
          <cell r="J1085" t="str">
            <v>Income Statement</v>
          </cell>
          <cell r="K1085" t="str">
            <v>Operating expenses</v>
          </cell>
          <cell r="L1085" t="str">
            <v>Advertising</v>
          </cell>
          <cell r="N1085">
            <v>1252.08914756887</v>
          </cell>
          <cell r="O1085">
            <v>40940</v>
          </cell>
        </row>
        <row r="1086">
          <cell r="G1086" t="str">
            <v>3428000</v>
          </cell>
          <cell r="H1086">
            <v>320.55470000000003</v>
          </cell>
          <cell r="I1086">
            <v>339.43270000000001</v>
          </cell>
          <cell r="J1086" t="str">
            <v>Income Statement</v>
          </cell>
          <cell r="K1086" t="str">
            <v>Operating expenses</v>
          </cell>
          <cell r="L1086" t="str">
            <v>Advertising</v>
          </cell>
          <cell r="N1086">
            <v>351518.35085423413</v>
          </cell>
          <cell r="O1086">
            <v>40940</v>
          </cell>
        </row>
        <row r="1087">
          <cell r="G1087" t="str">
            <v>3429000</v>
          </cell>
          <cell r="H1087">
            <v>320.55470000000003</v>
          </cell>
          <cell r="I1087">
            <v>339.43270000000001</v>
          </cell>
          <cell r="J1087" t="str">
            <v>Income Statement</v>
          </cell>
          <cell r="K1087" t="str">
            <v>Operating expenses</v>
          </cell>
          <cell r="L1087" t="str">
            <v>Advertising</v>
          </cell>
          <cell r="N1087">
            <v>5170.3916564314513</v>
          </cell>
          <cell r="O1087">
            <v>40940</v>
          </cell>
        </row>
        <row r="1088">
          <cell r="G1088" t="str">
            <v>3429000</v>
          </cell>
          <cell r="H1088">
            <v>320.55470000000003</v>
          </cell>
          <cell r="I1088">
            <v>339.43270000000001</v>
          </cell>
          <cell r="J1088" t="str">
            <v>Income Statement</v>
          </cell>
          <cell r="K1088" t="str">
            <v>Operating expenses</v>
          </cell>
          <cell r="L1088" t="str">
            <v>Advertising</v>
          </cell>
          <cell r="N1088">
            <v>12388.317330651997</v>
          </cell>
          <cell r="O1088">
            <v>40940</v>
          </cell>
        </row>
        <row r="1089">
          <cell r="G1089" t="str">
            <v>3429000</v>
          </cell>
          <cell r="H1089">
            <v>320.55470000000003</v>
          </cell>
          <cell r="I1089">
            <v>339.43270000000001</v>
          </cell>
          <cell r="J1089" t="str">
            <v>Income Statement</v>
          </cell>
          <cell r="K1089" t="str">
            <v>Operating expenses</v>
          </cell>
          <cell r="L1089" t="str">
            <v>Advertising</v>
          </cell>
          <cell r="N1089">
            <v>253.36392162570075</v>
          </cell>
          <cell r="O1089">
            <v>40940</v>
          </cell>
        </row>
        <row r="1090">
          <cell r="G1090" t="str">
            <v>3429000</v>
          </cell>
          <cell r="H1090">
            <v>320.55470000000003</v>
          </cell>
          <cell r="I1090">
            <v>339.43270000000001</v>
          </cell>
          <cell r="J1090" t="str">
            <v>Income Statement</v>
          </cell>
          <cell r="K1090" t="str">
            <v>Operating expenses</v>
          </cell>
          <cell r="L1090" t="str">
            <v>Advertising</v>
          </cell>
          <cell r="N1090">
            <v>1826.5771093945868</v>
          </cell>
          <cell r="O1090">
            <v>40940</v>
          </cell>
        </row>
        <row r="1091">
          <cell r="G1091" t="str">
            <v>3429000</v>
          </cell>
          <cell r="H1091">
            <v>320.55470000000003</v>
          </cell>
          <cell r="I1091">
            <v>339.43270000000001</v>
          </cell>
          <cell r="J1091" t="str">
            <v>Income Statement</v>
          </cell>
          <cell r="K1091" t="str">
            <v>Operating expenses</v>
          </cell>
          <cell r="L1091" t="str">
            <v>Advertising</v>
          </cell>
          <cell r="N1091">
            <v>4460.3834574571038</v>
          </cell>
          <cell r="O1091">
            <v>40940</v>
          </cell>
        </row>
        <row r="1092">
          <cell r="G1092" t="str">
            <v>3429000</v>
          </cell>
          <cell r="H1092">
            <v>320.55470000000003</v>
          </cell>
          <cell r="I1092">
            <v>339.43270000000001</v>
          </cell>
          <cell r="J1092" t="str">
            <v>Income Statement</v>
          </cell>
          <cell r="K1092" t="str">
            <v>Operating expenses</v>
          </cell>
          <cell r="L1092" t="str">
            <v>Advertising</v>
          </cell>
          <cell r="N1092">
            <v>26313.876064386252</v>
          </cell>
          <cell r="O1092">
            <v>40940</v>
          </cell>
        </row>
        <row r="1093">
          <cell r="G1093" t="str">
            <v>3430000</v>
          </cell>
          <cell r="H1093">
            <v>320.55470000000003</v>
          </cell>
          <cell r="I1093">
            <v>339.43270000000001</v>
          </cell>
          <cell r="J1093" t="str">
            <v>Income Statement</v>
          </cell>
          <cell r="K1093" t="str">
            <v>Operating expenses</v>
          </cell>
          <cell r="L1093" t="str">
            <v>Office Expenses</v>
          </cell>
          <cell r="M1093" t="str">
            <v>Office expenses</v>
          </cell>
          <cell r="N1093">
            <v>70.706210686242073</v>
          </cell>
          <cell r="O1093">
            <v>40940</v>
          </cell>
        </row>
        <row r="1094">
          <cell r="G1094" t="str">
            <v>3430000</v>
          </cell>
          <cell r="H1094">
            <v>320.55470000000003</v>
          </cell>
          <cell r="I1094">
            <v>339.43270000000001</v>
          </cell>
          <cell r="J1094" t="str">
            <v>Income Statement</v>
          </cell>
          <cell r="K1094" t="str">
            <v>Operating expenses</v>
          </cell>
          <cell r="L1094" t="str">
            <v>Office Expenses</v>
          </cell>
          <cell r="M1094" t="str">
            <v>Office expenses</v>
          </cell>
          <cell r="N1094">
            <v>1464.2077796275962</v>
          </cell>
          <cell r="O1094">
            <v>40940</v>
          </cell>
        </row>
        <row r="1095">
          <cell r="G1095" t="str">
            <v>3430000</v>
          </cell>
          <cell r="H1095">
            <v>320.55470000000003</v>
          </cell>
          <cell r="I1095">
            <v>339.43270000000001</v>
          </cell>
          <cell r="J1095" t="str">
            <v>Income Statement</v>
          </cell>
          <cell r="K1095" t="str">
            <v>Operating expenses</v>
          </cell>
          <cell r="L1095" t="str">
            <v>Office Expenses</v>
          </cell>
          <cell r="M1095" t="str">
            <v>Office expenses</v>
          </cell>
          <cell r="N1095">
            <v>1473.0460559633766</v>
          </cell>
          <cell r="O1095">
            <v>40940</v>
          </cell>
        </row>
        <row r="1096">
          <cell r="G1096" t="str">
            <v>3431000</v>
          </cell>
          <cell r="H1096">
            <v>320.55470000000003</v>
          </cell>
          <cell r="I1096">
            <v>339.43270000000001</v>
          </cell>
          <cell r="J1096" t="str">
            <v>Income Statement</v>
          </cell>
          <cell r="K1096" t="str">
            <v>Operating expenses</v>
          </cell>
          <cell r="L1096" t="str">
            <v>Office Expenses</v>
          </cell>
          <cell r="M1096" t="str">
            <v>Parking costs</v>
          </cell>
          <cell r="N1096">
            <v>-1060.5931602936312</v>
          </cell>
          <cell r="O1096">
            <v>40940</v>
          </cell>
        </row>
        <row r="1097">
          <cell r="G1097" t="str">
            <v>3431000</v>
          </cell>
          <cell r="H1097">
            <v>320.55470000000003</v>
          </cell>
          <cell r="I1097">
            <v>339.43270000000001</v>
          </cell>
          <cell r="J1097" t="str">
            <v>Income Statement</v>
          </cell>
          <cell r="K1097" t="str">
            <v>Operating expenses</v>
          </cell>
          <cell r="L1097" t="str">
            <v>Office Expenses</v>
          </cell>
          <cell r="M1097" t="str">
            <v>Parking costs</v>
          </cell>
          <cell r="N1097">
            <v>608.66263032406721</v>
          </cell>
          <cell r="O1097">
            <v>40940</v>
          </cell>
        </row>
        <row r="1098">
          <cell r="G1098" t="str">
            <v>3433000</v>
          </cell>
          <cell r="H1098">
            <v>320.55470000000003</v>
          </cell>
          <cell r="I1098">
            <v>339.43270000000001</v>
          </cell>
          <cell r="J1098" t="str">
            <v>Income Statement</v>
          </cell>
          <cell r="K1098" t="str">
            <v>Operating expenses</v>
          </cell>
          <cell r="L1098" t="str">
            <v>Motor Vehicle Expenses</v>
          </cell>
          <cell r="M1098" t="str">
            <v>Petrol and oil- vehicles</v>
          </cell>
          <cell r="N1098">
            <v>1756.4601171307302</v>
          </cell>
          <cell r="O1098">
            <v>40940</v>
          </cell>
        </row>
        <row r="1099">
          <cell r="G1099" t="str">
            <v>3433000</v>
          </cell>
          <cell r="H1099">
            <v>320.55470000000003</v>
          </cell>
          <cell r="I1099">
            <v>339.43270000000001</v>
          </cell>
          <cell r="J1099" t="str">
            <v>Income Statement</v>
          </cell>
          <cell r="K1099" t="str">
            <v>Operating expenses</v>
          </cell>
          <cell r="L1099" t="str">
            <v>Motor Vehicle Expenses</v>
          </cell>
          <cell r="M1099" t="str">
            <v>Petrol and oil- vehicles</v>
          </cell>
          <cell r="N1099">
            <v>851.42062034683158</v>
          </cell>
          <cell r="O1099">
            <v>40940</v>
          </cell>
        </row>
        <row r="1100">
          <cell r="G1100" t="str">
            <v>3433000</v>
          </cell>
          <cell r="H1100">
            <v>320.55470000000003</v>
          </cell>
          <cell r="I1100">
            <v>339.43270000000001</v>
          </cell>
          <cell r="J1100" t="str">
            <v>Income Statement</v>
          </cell>
          <cell r="K1100" t="str">
            <v>Operating expenses</v>
          </cell>
          <cell r="L1100" t="str">
            <v>Motor Vehicle Expenses</v>
          </cell>
          <cell r="M1100" t="str">
            <v>Petrol and oil- vehicles</v>
          </cell>
          <cell r="N1100">
            <v>646.6672185679223</v>
          </cell>
          <cell r="O1100">
            <v>40940</v>
          </cell>
        </row>
        <row r="1101">
          <cell r="G1101" t="str">
            <v>3433000</v>
          </cell>
          <cell r="H1101">
            <v>320.55470000000003</v>
          </cell>
          <cell r="I1101">
            <v>339.43270000000001</v>
          </cell>
          <cell r="J1101" t="str">
            <v>Income Statement</v>
          </cell>
          <cell r="K1101" t="str">
            <v>Operating expenses</v>
          </cell>
          <cell r="L1101" t="str">
            <v>Motor Vehicle Expenses</v>
          </cell>
          <cell r="M1101" t="str">
            <v>Petrol and oil- vehicles</v>
          </cell>
          <cell r="N1101">
            <v>3340.8684549249379</v>
          </cell>
          <cell r="O1101">
            <v>40940</v>
          </cell>
        </row>
        <row r="1102">
          <cell r="G1102" t="str">
            <v>3433000</v>
          </cell>
          <cell r="H1102">
            <v>320.55470000000003</v>
          </cell>
          <cell r="I1102">
            <v>339.43270000000001</v>
          </cell>
          <cell r="J1102" t="str">
            <v>Income Statement</v>
          </cell>
          <cell r="K1102" t="str">
            <v>Operating expenses</v>
          </cell>
          <cell r="L1102" t="str">
            <v>Motor Vehicle Expenses</v>
          </cell>
          <cell r="M1102" t="str">
            <v>Petrol and oil- vehicles</v>
          </cell>
          <cell r="N1102">
            <v>12011.217540325371</v>
          </cell>
          <cell r="O1102">
            <v>40940</v>
          </cell>
        </row>
        <row r="1103">
          <cell r="G1103" t="str">
            <v>3433000</v>
          </cell>
          <cell r="H1103">
            <v>320.55470000000003</v>
          </cell>
          <cell r="I1103">
            <v>339.43270000000001</v>
          </cell>
          <cell r="J1103" t="str">
            <v>Income Statement</v>
          </cell>
          <cell r="K1103" t="str">
            <v>Operating expenses</v>
          </cell>
          <cell r="L1103" t="str">
            <v>Motor Vehicle Expenses</v>
          </cell>
          <cell r="M1103" t="str">
            <v>Petrol and oil- vehicles</v>
          </cell>
          <cell r="N1103">
            <v>4044.542555858643</v>
          </cell>
          <cell r="O1103">
            <v>40940</v>
          </cell>
        </row>
        <row r="1104">
          <cell r="G1104" t="str">
            <v>3433000</v>
          </cell>
          <cell r="H1104">
            <v>320.55470000000003</v>
          </cell>
          <cell r="I1104">
            <v>339.43270000000001</v>
          </cell>
          <cell r="J1104" t="str">
            <v>Income Statement</v>
          </cell>
          <cell r="K1104" t="str">
            <v>Operating expenses</v>
          </cell>
          <cell r="L1104" t="str">
            <v>Motor Vehicle Expenses</v>
          </cell>
          <cell r="M1104" t="str">
            <v>Petrol and oil- vehicles</v>
          </cell>
          <cell r="N1104">
            <v>5728.8234162471672</v>
          </cell>
          <cell r="O1104">
            <v>40940</v>
          </cell>
        </row>
        <row r="1105">
          <cell r="G1105" t="str">
            <v>3433000</v>
          </cell>
          <cell r="H1105">
            <v>320.55470000000003</v>
          </cell>
          <cell r="I1105">
            <v>339.43270000000001</v>
          </cell>
          <cell r="J1105" t="str">
            <v>Income Statement</v>
          </cell>
          <cell r="K1105" t="str">
            <v>Operating expenses</v>
          </cell>
          <cell r="L1105" t="str">
            <v>Motor Vehicle Expenses</v>
          </cell>
          <cell r="M1105" t="str">
            <v>Petrol and oil- vehicles</v>
          </cell>
          <cell r="N1105">
            <v>7227.0585597675181</v>
          </cell>
          <cell r="O1105">
            <v>40940</v>
          </cell>
        </row>
        <row r="1106">
          <cell r="G1106" t="str">
            <v>3433000</v>
          </cell>
          <cell r="H1106">
            <v>320.55470000000003</v>
          </cell>
          <cell r="I1106">
            <v>339.43270000000001</v>
          </cell>
          <cell r="J1106" t="str">
            <v>Income Statement</v>
          </cell>
          <cell r="K1106" t="str">
            <v>Operating expenses</v>
          </cell>
          <cell r="L1106" t="str">
            <v>Motor Vehicle Expenses</v>
          </cell>
          <cell r="M1106" t="str">
            <v>Petrol and oil- vehicles</v>
          </cell>
          <cell r="N1106">
            <v>23452.366256992918</v>
          </cell>
          <cell r="O1106">
            <v>40940</v>
          </cell>
        </row>
        <row r="1107">
          <cell r="G1107" t="str">
            <v>3434000</v>
          </cell>
          <cell r="H1107">
            <v>320.55470000000003</v>
          </cell>
          <cell r="I1107">
            <v>339.43270000000001</v>
          </cell>
          <cell r="J1107" t="str">
            <v>Income Statement</v>
          </cell>
          <cell r="K1107" t="str">
            <v>Operating expenses</v>
          </cell>
          <cell r="L1107" t="str">
            <v>Printing, Postage and Stationary</v>
          </cell>
          <cell r="N1107">
            <v>35.353105343121037</v>
          </cell>
          <cell r="O1107">
            <v>40940</v>
          </cell>
        </row>
        <row r="1108">
          <cell r="G1108" t="str">
            <v>3434000</v>
          </cell>
          <cell r="H1108">
            <v>320.55470000000003</v>
          </cell>
          <cell r="I1108">
            <v>339.43270000000001</v>
          </cell>
          <cell r="J1108" t="str">
            <v>Income Statement</v>
          </cell>
          <cell r="K1108" t="str">
            <v>Operating expenses</v>
          </cell>
          <cell r="L1108" t="str">
            <v>Printing, Postage and Stationary</v>
          </cell>
          <cell r="N1108">
            <v>200.3342636110192</v>
          </cell>
          <cell r="O1108">
            <v>40940</v>
          </cell>
        </row>
        <row r="1109">
          <cell r="G1109" t="str">
            <v>3434000</v>
          </cell>
          <cell r="H1109">
            <v>320.55470000000003</v>
          </cell>
          <cell r="I1109">
            <v>339.43270000000001</v>
          </cell>
          <cell r="J1109" t="str">
            <v>Income Statement</v>
          </cell>
          <cell r="K1109" t="str">
            <v>Operating expenses</v>
          </cell>
          <cell r="L1109" t="str">
            <v>Printing, Postage and Stationary</v>
          </cell>
          <cell r="N1109">
            <v>6801.8962227269203</v>
          </cell>
          <cell r="O1109">
            <v>40940</v>
          </cell>
        </row>
        <row r="1110">
          <cell r="G1110" t="str">
            <v>3435000</v>
          </cell>
          <cell r="H1110">
            <v>320.55470000000003</v>
          </cell>
          <cell r="I1110">
            <v>339.43270000000001</v>
          </cell>
          <cell r="J1110" t="str">
            <v>Income Statement</v>
          </cell>
          <cell r="K1110" t="str">
            <v>Operating expenses</v>
          </cell>
          <cell r="L1110" t="str">
            <v>Printing, Postage and Stationary</v>
          </cell>
          <cell r="N1110">
            <v>1428.5335502442751</v>
          </cell>
          <cell r="O1110">
            <v>40940</v>
          </cell>
        </row>
        <row r="1111">
          <cell r="G1111" t="str">
            <v>3435000</v>
          </cell>
          <cell r="H1111">
            <v>320.55470000000003</v>
          </cell>
          <cell r="I1111">
            <v>339.43270000000001</v>
          </cell>
          <cell r="J1111" t="str">
            <v>Income Statement</v>
          </cell>
          <cell r="K1111" t="str">
            <v>Operating expenses</v>
          </cell>
          <cell r="L1111" t="str">
            <v>Printing, Postage and Stationary</v>
          </cell>
          <cell r="N1111">
            <v>2442.7257597750599</v>
          </cell>
          <cell r="O1111">
            <v>40940</v>
          </cell>
        </row>
        <row r="1112">
          <cell r="G1112" t="str">
            <v>3435000</v>
          </cell>
          <cell r="H1112">
            <v>320.55470000000003</v>
          </cell>
          <cell r="I1112">
            <v>339.43270000000001</v>
          </cell>
          <cell r="J1112" t="str">
            <v>Income Statement</v>
          </cell>
          <cell r="K1112" t="str">
            <v>Operating expenses</v>
          </cell>
          <cell r="L1112" t="str">
            <v>Printing, Postage and Stationary</v>
          </cell>
          <cell r="N1112">
            <v>2256.0967166687237</v>
          </cell>
          <cell r="O1112">
            <v>40940</v>
          </cell>
        </row>
        <row r="1113">
          <cell r="G1113" t="str">
            <v>3435000</v>
          </cell>
          <cell r="H1113">
            <v>320.55470000000003</v>
          </cell>
          <cell r="I1113">
            <v>339.43270000000001</v>
          </cell>
          <cell r="J1113" t="str">
            <v>Income Statement</v>
          </cell>
          <cell r="K1113" t="str">
            <v>Operating expenses</v>
          </cell>
          <cell r="L1113" t="str">
            <v>Printing, Postage and Stationary</v>
          </cell>
          <cell r="N1113">
            <v>2955.0570702233463</v>
          </cell>
          <cell r="O1113">
            <v>40940</v>
          </cell>
        </row>
        <row r="1114">
          <cell r="G1114" t="str">
            <v>3435000</v>
          </cell>
          <cell r="H1114">
            <v>320.55470000000003</v>
          </cell>
          <cell r="I1114">
            <v>339.43270000000001</v>
          </cell>
          <cell r="J1114" t="str">
            <v>Income Statement</v>
          </cell>
          <cell r="K1114" t="str">
            <v>Operating expenses</v>
          </cell>
          <cell r="L1114" t="str">
            <v>Printing, Postage and Stationary</v>
          </cell>
          <cell r="N1114">
            <v>3261.1619328367597</v>
          </cell>
          <cell r="O1114">
            <v>40940</v>
          </cell>
        </row>
        <row r="1115">
          <cell r="G1115" t="str">
            <v>3435000</v>
          </cell>
          <cell r="H1115">
            <v>320.55470000000003</v>
          </cell>
          <cell r="I1115">
            <v>339.43270000000001</v>
          </cell>
          <cell r="J1115" t="str">
            <v>Income Statement</v>
          </cell>
          <cell r="K1115" t="str">
            <v>Operating expenses</v>
          </cell>
          <cell r="L1115" t="str">
            <v>Printing, Postage and Stationary</v>
          </cell>
          <cell r="N1115">
            <v>3596.7159322009929</v>
          </cell>
          <cell r="O1115">
            <v>40940</v>
          </cell>
        </row>
        <row r="1116">
          <cell r="G1116" t="str">
            <v>3435000</v>
          </cell>
          <cell r="H1116">
            <v>320.55470000000003</v>
          </cell>
          <cell r="I1116">
            <v>339.43270000000001</v>
          </cell>
          <cell r="J1116" t="str">
            <v>Income Statement</v>
          </cell>
          <cell r="K1116" t="str">
            <v>Operating expenses</v>
          </cell>
          <cell r="L1116" t="str">
            <v>Printing, Postage and Stationary</v>
          </cell>
          <cell r="N1116">
            <v>1445.4794720720779</v>
          </cell>
          <cell r="O1116">
            <v>40940</v>
          </cell>
        </row>
        <row r="1117">
          <cell r="G1117" t="str">
            <v>3435000</v>
          </cell>
          <cell r="H1117">
            <v>320.55470000000003</v>
          </cell>
          <cell r="I1117">
            <v>339.43270000000001</v>
          </cell>
          <cell r="J1117" t="str">
            <v>Income Statement</v>
          </cell>
          <cell r="K1117" t="str">
            <v>Operating expenses</v>
          </cell>
          <cell r="L1117" t="str">
            <v>Printing, Postage and Stationary</v>
          </cell>
          <cell r="N1117">
            <v>4773.8270355213272</v>
          </cell>
          <cell r="O1117">
            <v>40940</v>
          </cell>
        </row>
        <row r="1118">
          <cell r="G1118" t="str">
            <v>3435000</v>
          </cell>
          <cell r="H1118">
            <v>320.55470000000003</v>
          </cell>
          <cell r="I1118">
            <v>339.43270000000001</v>
          </cell>
          <cell r="J1118" t="str">
            <v>Income Statement</v>
          </cell>
          <cell r="K1118" t="str">
            <v>Operating expenses</v>
          </cell>
          <cell r="L1118" t="str">
            <v>Printing, Postage and Stationary</v>
          </cell>
          <cell r="N1118">
            <v>2613.8996036622279</v>
          </cell>
          <cell r="O1118">
            <v>40940</v>
          </cell>
        </row>
        <row r="1119">
          <cell r="G1119" t="str">
            <v>3435000</v>
          </cell>
          <cell r="H1119">
            <v>320.55470000000003</v>
          </cell>
          <cell r="I1119">
            <v>339.43270000000001</v>
          </cell>
          <cell r="J1119" t="str">
            <v>Income Statement</v>
          </cell>
          <cell r="K1119" t="str">
            <v>Operating expenses</v>
          </cell>
          <cell r="L1119" t="str">
            <v>Printing, Postage and Stationary</v>
          </cell>
          <cell r="N1119">
            <v>99453.900581764799</v>
          </cell>
          <cell r="O1119">
            <v>40940</v>
          </cell>
        </row>
        <row r="1120">
          <cell r="G1120" t="str">
            <v>3436000</v>
          </cell>
          <cell r="H1120">
            <v>320.55470000000003</v>
          </cell>
          <cell r="I1120">
            <v>339.43270000000001</v>
          </cell>
          <cell r="J1120" t="str">
            <v>Income Statement</v>
          </cell>
          <cell r="K1120" t="str">
            <v>Operating expenses</v>
          </cell>
          <cell r="L1120" t="str">
            <v>Processing and collection costs</v>
          </cell>
          <cell r="N1120">
            <v>10164.017786147298</v>
          </cell>
          <cell r="O1120">
            <v>40940</v>
          </cell>
        </row>
        <row r="1121">
          <cell r="G1121" t="str">
            <v>3437000</v>
          </cell>
          <cell r="H1121">
            <v>320.55470000000003</v>
          </cell>
          <cell r="I1121">
            <v>339.43270000000001</v>
          </cell>
          <cell r="J1121" t="str">
            <v>Income Statement</v>
          </cell>
          <cell r="K1121" t="str">
            <v>Operating expenses</v>
          </cell>
          <cell r="L1121" t="str">
            <v>Placement fees</v>
          </cell>
          <cell r="N1121">
            <v>19.149598727523895</v>
          </cell>
          <cell r="O1121">
            <v>40940</v>
          </cell>
        </row>
        <row r="1122">
          <cell r="G1122" t="str">
            <v>3437000</v>
          </cell>
          <cell r="H1122">
            <v>320.55470000000003</v>
          </cell>
          <cell r="I1122">
            <v>339.43270000000001</v>
          </cell>
          <cell r="J1122" t="str">
            <v>Income Statement</v>
          </cell>
          <cell r="K1122" t="str">
            <v>Operating expenses</v>
          </cell>
          <cell r="L1122" t="str">
            <v>Placement fees</v>
          </cell>
          <cell r="N1122">
            <v>565.64968548993659</v>
          </cell>
          <cell r="O1122">
            <v>40940</v>
          </cell>
        </row>
        <row r="1123">
          <cell r="G1123" t="str">
            <v>3437000</v>
          </cell>
          <cell r="H1123">
            <v>320.55470000000003</v>
          </cell>
          <cell r="I1123">
            <v>339.43270000000001</v>
          </cell>
          <cell r="J1123" t="str">
            <v>Income Statement</v>
          </cell>
          <cell r="K1123" t="str">
            <v>Operating expenses</v>
          </cell>
          <cell r="L1123" t="str">
            <v>Placement fees</v>
          </cell>
          <cell r="N1123">
            <v>17523.945100162713</v>
          </cell>
          <cell r="O1123">
            <v>40940</v>
          </cell>
        </row>
        <row r="1124">
          <cell r="G1124" t="str">
            <v>3438000</v>
          </cell>
          <cell r="H1124">
            <v>320.55470000000003</v>
          </cell>
          <cell r="I1124">
            <v>339.43270000000001</v>
          </cell>
          <cell r="J1124" t="str">
            <v>Income Statement</v>
          </cell>
          <cell r="K1124" t="str">
            <v>Operating expenses</v>
          </cell>
          <cell r="L1124" t="str">
            <v>Entertainment</v>
          </cell>
          <cell r="N1124">
            <v>456.64427734864671</v>
          </cell>
          <cell r="O1124">
            <v>40940</v>
          </cell>
        </row>
        <row r="1125">
          <cell r="G1125" t="str">
            <v>3438000</v>
          </cell>
          <cell r="H1125">
            <v>320.55470000000003</v>
          </cell>
          <cell r="I1125">
            <v>339.43270000000001</v>
          </cell>
          <cell r="J1125" t="str">
            <v>Income Statement</v>
          </cell>
          <cell r="K1125" t="str">
            <v>Operating expenses</v>
          </cell>
          <cell r="L1125" t="str">
            <v>Entertainment</v>
          </cell>
          <cell r="N1125">
            <v>2003.0480268989993</v>
          </cell>
          <cell r="O1125">
            <v>40940</v>
          </cell>
        </row>
        <row r="1126">
          <cell r="G1126" t="str">
            <v>3438000</v>
          </cell>
          <cell r="H1126">
            <v>320.55470000000003</v>
          </cell>
          <cell r="I1126">
            <v>339.43270000000001</v>
          </cell>
          <cell r="J1126" t="str">
            <v>Income Statement</v>
          </cell>
          <cell r="K1126" t="str">
            <v>Operating expenses</v>
          </cell>
          <cell r="L1126" t="str">
            <v>Entertainment</v>
          </cell>
          <cell r="N1126">
            <v>2244.6275800769931</v>
          </cell>
          <cell r="O1126">
            <v>40940</v>
          </cell>
        </row>
        <row r="1127">
          <cell r="G1127" t="str">
            <v>3438000</v>
          </cell>
          <cell r="H1127">
            <v>320.55470000000003</v>
          </cell>
          <cell r="I1127">
            <v>339.43270000000001</v>
          </cell>
          <cell r="J1127" t="str">
            <v>Income Statement</v>
          </cell>
          <cell r="K1127" t="str">
            <v>Operating expenses</v>
          </cell>
          <cell r="L1127" t="str">
            <v>Entertainment</v>
          </cell>
          <cell r="N1127">
            <v>1481.5897230879641</v>
          </cell>
          <cell r="O1127">
            <v>40940</v>
          </cell>
        </row>
        <row r="1128">
          <cell r="G1128" t="str">
            <v>3438000</v>
          </cell>
          <cell r="H1128">
            <v>320.55470000000003</v>
          </cell>
          <cell r="I1128">
            <v>339.43270000000001</v>
          </cell>
          <cell r="J1128" t="str">
            <v>Income Statement</v>
          </cell>
          <cell r="K1128" t="str">
            <v>Operating expenses</v>
          </cell>
          <cell r="L1128" t="str">
            <v>Entertainment</v>
          </cell>
          <cell r="N1128">
            <v>2098.7960205366189</v>
          </cell>
          <cell r="O1128">
            <v>40940</v>
          </cell>
        </row>
        <row r="1129">
          <cell r="G1129" t="str">
            <v>3438000</v>
          </cell>
          <cell r="H1129">
            <v>320.55470000000003</v>
          </cell>
          <cell r="I1129">
            <v>339.43270000000001</v>
          </cell>
          <cell r="J1129" t="str">
            <v>Income Statement</v>
          </cell>
          <cell r="K1129" t="str">
            <v>Operating expenses</v>
          </cell>
          <cell r="L1129" t="str">
            <v>Entertainment</v>
          </cell>
          <cell r="N1129">
            <v>1994.5043597744118</v>
          </cell>
          <cell r="O1129">
            <v>40940</v>
          </cell>
        </row>
        <row r="1130">
          <cell r="G1130" t="str">
            <v>3438000</v>
          </cell>
          <cell r="H1130">
            <v>320.55470000000003</v>
          </cell>
          <cell r="I1130">
            <v>339.43270000000001</v>
          </cell>
          <cell r="J1130" t="str">
            <v>Income Statement</v>
          </cell>
          <cell r="K1130" t="str">
            <v>Operating expenses</v>
          </cell>
          <cell r="L1130" t="str">
            <v>Entertainment</v>
          </cell>
          <cell r="N1130">
            <v>287.68589472964743</v>
          </cell>
          <cell r="O1130">
            <v>40940</v>
          </cell>
        </row>
        <row r="1131">
          <cell r="G1131" t="str">
            <v>3438000</v>
          </cell>
          <cell r="H1131">
            <v>320.55470000000003</v>
          </cell>
          <cell r="I1131">
            <v>339.43270000000001</v>
          </cell>
          <cell r="J1131" t="str">
            <v>Income Statement</v>
          </cell>
          <cell r="K1131" t="str">
            <v>Operating expenses</v>
          </cell>
          <cell r="L1131" t="str">
            <v>Entertainment</v>
          </cell>
          <cell r="N1131">
            <v>9849.5224531991171</v>
          </cell>
          <cell r="O1131">
            <v>40940</v>
          </cell>
        </row>
        <row r="1132">
          <cell r="G1132" t="str">
            <v>3438000</v>
          </cell>
          <cell r="H1132">
            <v>320.55470000000003</v>
          </cell>
          <cell r="I1132">
            <v>339.43270000000001</v>
          </cell>
          <cell r="J1132" t="str">
            <v>Income Statement</v>
          </cell>
          <cell r="K1132" t="str">
            <v>Operating expenses</v>
          </cell>
          <cell r="L1132" t="str">
            <v>Entertainment</v>
          </cell>
          <cell r="N1132">
            <v>928.01901525692722</v>
          </cell>
          <cell r="O1132">
            <v>40940</v>
          </cell>
        </row>
        <row r="1133">
          <cell r="G1133" t="str">
            <v>3438000</v>
          </cell>
          <cell r="H1133">
            <v>320.55470000000003</v>
          </cell>
          <cell r="I1133">
            <v>339.43270000000001</v>
          </cell>
          <cell r="J1133" t="str">
            <v>Income Statement</v>
          </cell>
          <cell r="K1133" t="str">
            <v>Operating expenses</v>
          </cell>
          <cell r="L1133" t="str">
            <v>Entertainment</v>
          </cell>
          <cell r="N1133">
            <v>18061.312301378151</v>
          </cell>
          <cell r="O1133">
            <v>40940</v>
          </cell>
        </row>
        <row r="1134">
          <cell r="G1134" t="str">
            <v>3439000</v>
          </cell>
          <cell r="H1134">
            <v>320.55470000000003</v>
          </cell>
          <cell r="I1134">
            <v>339.43270000000001</v>
          </cell>
          <cell r="J1134" t="str">
            <v>Income Statement</v>
          </cell>
          <cell r="K1134" t="str">
            <v>Operating expenses</v>
          </cell>
          <cell r="L1134" t="str">
            <v>Repairs and Maintenance</v>
          </cell>
          <cell r="M1134" t="str">
            <v>Computers</v>
          </cell>
          <cell r="N1134">
            <v>117.84368447707011</v>
          </cell>
          <cell r="O1134">
            <v>40940</v>
          </cell>
        </row>
        <row r="1135">
          <cell r="G1135" t="str">
            <v>3439000</v>
          </cell>
          <cell r="H1135">
            <v>320.55470000000003</v>
          </cell>
          <cell r="I1135">
            <v>339.43270000000001</v>
          </cell>
          <cell r="J1135" t="str">
            <v>Income Statement</v>
          </cell>
          <cell r="K1135" t="str">
            <v>Operating expenses</v>
          </cell>
          <cell r="L1135" t="str">
            <v>Repairs and Maintenance</v>
          </cell>
          <cell r="M1135" t="str">
            <v>Computers</v>
          </cell>
          <cell r="N1135">
            <v>92.801901525692713</v>
          </cell>
          <cell r="O1135">
            <v>40940</v>
          </cell>
        </row>
        <row r="1136">
          <cell r="G1136" t="str">
            <v>3439000</v>
          </cell>
          <cell r="H1136">
            <v>320.55470000000003</v>
          </cell>
          <cell r="I1136">
            <v>339.43270000000001</v>
          </cell>
          <cell r="J1136" t="str">
            <v>Income Statement</v>
          </cell>
          <cell r="K1136" t="str">
            <v>Operating expenses</v>
          </cell>
          <cell r="L1136" t="str">
            <v>Repairs and Maintenance</v>
          </cell>
          <cell r="M1136" t="str">
            <v>Computers</v>
          </cell>
          <cell r="N1136">
            <v>172.34638854771504</v>
          </cell>
          <cell r="O1136">
            <v>40940</v>
          </cell>
        </row>
        <row r="1137">
          <cell r="G1137" t="str">
            <v>3439000</v>
          </cell>
          <cell r="H1137">
            <v>320.55470000000003</v>
          </cell>
          <cell r="I1137">
            <v>339.43270000000001</v>
          </cell>
          <cell r="J1137" t="str">
            <v>Income Statement</v>
          </cell>
          <cell r="K1137" t="str">
            <v>Operating expenses</v>
          </cell>
          <cell r="L1137" t="str">
            <v>Repairs and Maintenance</v>
          </cell>
          <cell r="M1137" t="str">
            <v>Computers</v>
          </cell>
          <cell r="N1137">
            <v>132.5741450367039</v>
          </cell>
          <cell r="O1137">
            <v>40940</v>
          </cell>
        </row>
        <row r="1138">
          <cell r="G1138" t="str">
            <v>3439000</v>
          </cell>
          <cell r="H1138">
            <v>320.55470000000003</v>
          </cell>
          <cell r="I1138">
            <v>339.43270000000001</v>
          </cell>
          <cell r="J1138" t="str">
            <v>Income Statement</v>
          </cell>
          <cell r="K1138" t="str">
            <v>Operating expenses</v>
          </cell>
          <cell r="L1138" t="str">
            <v>Repairs and Maintenance</v>
          </cell>
          <cell r="M1138" t="str">
            <v>Computers</v>
          </cell>
          <cell r="N1138">
            <v>58.921842238535056</v>
          </cell>
          <cell r="O1138">
            <v>40940</v>
          </cell>
        </row>
        <row r="1139">
          <cell r="G1139" t="str">
            <v>3439000</v>
          </cell>
          <cell r="H1139">
            <v>320.55470000000003</v>
          </cell>
          <cell r="I1139">
            <v>339.43270000000001</v>
          </cell>
          <cell r="J1139" t="str">
            <v>Income Statement</v>
          </cell>
          <cell r="K1139" t="str">
            <v>Operating expenses</v>
          </cell>
          <cell r="L1139" t="str">
            <v>Repairs and Maintenance</v>
          </cell>
          <cell r="M1139" t="str">
            <v>Computers</v>
          </cell>
          <cell r="N1139">
            <v>2798.7875063304155</v>
          </cell>
          <cell r="O1139">
            <v>40940</v>
          </cell>
        </row>
        <row r="1140">
          <cell r="G1140" t="str">
            <v>3440000</v>
          </cell>
          <cell r="H1140">
            <v>320.55470000000003</v>
          </cell>
          <cell r="I1140">
            <v>339.43270000000001</v>
          </cell>
          <cell r="J1140" t="str">
            <v>Income Statement</v>
          </cell>
          <cell r="K1140" t="str">
            <v>Operating expenses</v>
          </cell>
          <cell r="L1140" t="str">
            <v>Repairs and Maintenance</v>
          </cell>
          <cell r="M1140" t="str">
            <v>Office Equipment</v>
          </cell>
          <cell r="N1140">
            <v>179.71161882753194</v>
          </cell>
          <cell r="O1140">
            <v>40940</v>
          </cell>
        </row>
        <row r="1141">
          <cell r="G1141" t="str">
            <v>3440000</v>
          </cell>
          <cell r="H1141">
            <v>320.55470000000003</v>
          </cell>
          <cell r="I1141">
            <v>339.43270000000001</v>
          </cell>
          <cell r="J1141" t="str">
            <v>Income Statement</v>
          </cell>
          <cell r="K1141" t="str">
            <v>Operating expenses</v>
          </cell>
          <cell r="L1141" t="str">
            <v>Repairs and Maintenance</v>
          </cell>
          <cell r="M1141" t="str">
            <v>Office Equipment</v>
          </cell>
          <cell r="N1141">
            <v>29.460921119267528</v>
          </cell>
          <cell r="O1141">
            <v>40940</v>
          </cell>
        </row>
        <row r="1142">
          <cell r="G1142" t="str">
            <v>3440000</v>
          </cell>
          <cell r="H1142">
            <v>320.55470000000003</v>
          </cell>
          <cell r="I1142">
            <v>339.43270000000001</v>
          </cell>
          <cell r="J1142" t="str">
            <v>Income Statement</v>
          </cell>
          <cell r="K1142" t="str">
            <v>Operating expenses</v>
          </cell>
          <cell r="L1142" t="str">
            <v>Repairs and Maintenance</v>
          </cell>
          <cell r="M1142" t="str">
            <v>Office Equipment</v>
          </cell>
          <cell r="N1142">
            <v>132.5741450367039</v>
          </cell>
          <cell r="O1142">
            <v>40940</v>
          </cell>
        </row>
        <row r="1143">
          <cell r="G1143" t="str">
            <v>3440000</v>
          </cell>
          <cell r="H1143">
            <v>320.55470000000003</v>
          </cell>
          <cell r="I1143">
            <v>339.43270000000001</v>
          </cell>
          <cell r="J1143" t="str">
            <v>Income Statement</v>
          </cell>
          <cell r="K1143" t="str">
            <v>Operating expenses</v>
          </cell>
          <cell r="L1143" t="str">
            <v>Repairs and Maintenance</v>
          </cell>
          <cell r="M1143" t="str">
            <v>Office Equipment</v>
          </cell>
          <cell r="N1143">
            <v>91.328855469729348</v>
          </cell>
          <cell r="O1143">
            <v>40940</v>
          </cell>
        </row>
        <row r="1144">
          <cell r="G1144" t="str">
            <v>3440000</v>
          </cell>
          <cell r="H1144">
            <v>320.55470000000003</v>
          </cell>
          <cell r="I1144">
            <v>339.43270000000001</v>
          </cell>
          <cell r="J1144" t="str">
            <v>Income Statement</v>
          </cell>
          <cell r="K1144" t="str">
            <v>Operating expenses</v>
          </cell>
          <cell r="L1144" t="str">
            <v>Repairs and Maintenance</v>
          </cell>
          <cell r="M1144" t="str">
            <v>Office Equipment</v>
          </cell>
          <cell r="N1144">
            <v>33203.518694574799</v>
          </cell>
          <cell r="O1144">
            <v>40940</v>
          </cell>
        </row>
        <row r="1145">
          <cell r="G1145" t="str">
            <v>3441000</v>
          </cell>
          <cell r="H1145">
            <v>320.55470000000003</v>
          </cell>
          <cell r="I1145">
            <v>339.43270000000001</v>
          </cell>
          <cell r="J1145" t="str">
            <v>Income Statement</v>
          </cell>
          <cell r="K1145" t="str">
            <v>Operating expenses</v>
          </cell>
          <cell r="L1145" t="str">
            <v>Repairs and Maintenance</v>
          </cell>
          <cell r="M1145" t="str">
            <v>Premisis</v>
          </cell>
          <cell r="N1145">
            <v>5983.5130793232356</v>
          </cell>
          <cell r="O1145">
            <v>40940</v>
          </cell>
        </row>
        <row r="1146">
          <cell r="G1146" t="str">
            <v>3441000</v>
          </cell>
          <cell r="H1146">
            <v>320.55470000000003</v>
          </cell>
          <cell r="I1146">
            <v>339.43270000000001</v>
          </cell>
          <cell r="J1146" t="str">
            <v>Income Statement</v>
          </cell>
          <cell r="K1146" t="str">
            <v>Operating expenses</v>
          </cell>
          <cell r="L1146" t="str">
            <v>Repairs and Maintenance</v>
          </cell>
          <cell r="M1146" t="str">
            <v>Premisis</v>
          </cell>
          <cell r="N1146">
            <v>904.45027836151314</v>
          </cell>
          <cell r="O1146">
            <v>40940</v>
          </cell>
        </row>
        <row r="1147">
          <cell r="G1147" t="str">
            <v>3441000</v>
          </cell>
          <cell r="H1147">
            <v>320.55470000000003</v>
          </cell>
          <cell r="I1147">
            <v>339.43270000000001</v>
          </cell>
          <cell r="J1147" t="str">
            <v>Income Statement</v>
          </cell>
          <cell r="K1147" t="str">
            <v>Operating expenses</v>
          </cell>
          <cell r="L1147" t="str">
            <v>Repairs and Maintenance</v>
          </cell>
          <cell r="M1147" t="str">
            <v>Premisis</v>
          </cell>
          <cell r="N1147">
            <v>20.622644783487271</v>
          </cell>
          <cell r="O1147">
            <v>40940</v>
          </cell>
        </row>
        <row r="1148">
          <cell r="G1148" t="str">
            <v>3441000</v>
          </cell>
          <cell r="H1148">
            <v>320.55470000000003</v>
          </cell>
          <cell r="I1148">
            <v>339.43270000000001</v>
          </cell>
          <cell r="J1148" t="str">
            <v>Income Statement</v>
          </cell>
          <cell r="K1148" t="str">
            <v>Operating expenses</v>
          </cell>
          <cell r="L1148" t="str">
            <v>Repairs and Maintenance</v>
          </cell>
          <cell r="M1148" t="str">
            <v>Premisis</v>
          </cell>
          <cell r="N1148">
            <v>798.39096233215002</v>
          </cell>
          <cell r="O1148">
            <v>40940</v>
          </cell>
        </row>
        <row r="1149">
          <cell r="G1149" t="str">
            <v>3441000</v>
          </cell>
          <cell r="H1149">
            <v>320.55470000000003</v>
          </cell>
          <cell r="I1149">
            <v>339.43270000000001</v>
          </cell>
          <cell r="J1149" t="str">
            <v>Income Statement</v>
          </cell>
          <cell r="K1149" t="str">
            <v>Operating expenses</v>
          </cell>
          <cell r="L1149" t="str">
            <v>Repairs and Maintenance</v>
          </cell>
          <cell r="M1149" t="str">
            <v>Premisis</v>
          </cell>
          <cell r="N1149">
            <v>928.01901525692722</v>
          </cell>
          <cell r="O1149">
            <v>40940</v>
          </cell>
        </row>
        <row r="1150">
          <cell r="G1150" t="str">
            <v>3441000</v>
          </cell>
          <cell r="H1150">
            <v>320.55470000000003</v>
          </cell>
          <cell r="I1150">
            <v>339.43270000000001</v>
          </cell>
          <cell r="J1150" t="str">
            <v>Income Statement</v>
          </cell>
          <cell r="K1150" t="str">
            <v>Operating expenses</v>
          </cell>
          <cell r="L1150" t="str">
            <v>Repairs and Maintenance</v>
          </cell>
          <cell r="M1150" t="str">
            <v>Premisis</v>
          </cell>
          <cell r="N1150">
            <v>633.40980406425194</v>
          </cell>
          <cell r="O1150">
            <v>40940</v>
          </cell>
        </row>
        <row r="1151">
          <cell r="G1151" t="str">
            <v>3441000</v>
          </cell>
          <cell r="H1151">
            <v>320.55470000000003</v>
          </cell>
          <cell r="I1151">
            <v>339.43270000000001</v>
          </cell>
          <cell r="J1151" t="str">
            <v>Income Statement</v>
          </cell>
          <cell r="K1151" t="str">
            <v>Operating expenses</v>
          </cell>
          <cell r="L1151" t="str">
            <v>Repairs and Maintenance</v>
          </cell>
          <cell r="M1151" t="str">
            <v>Premisis</v>
          </cell>
          <cell r="N1151">
            <v>1252.08914756887</v>
          </cell>
          <cell r="O1151">
            <v>40940</v>
          </cell>
        </row>
        <row r="1152">
          <cell r="G1152" t="str">
            <v>3441000</v>
          </cell>
          <cell r="H1152">
            <v>320.55470000000003</v>
          </cell>
          <cell r="I1152">
            <v>339.43270000000001</v>
          </cell>
          <cell r="J1152" t="str">
            <v>Income Statement</v>
          </cell>
          <cell r="K1152" t="str">
            <v>Operating expenses</v>
          </cell>
          <cell r="L1152" t="str">
            <v>Repairs and Maintenance</v>
          </cell>
          <cell r="M1152" t="str">
            <v>Premisis</v>
          </cell>
          <cell r="N1152">
            <v>29.460921119267528</v>
          </cell>
          <cell r="O1152">
            <v>40940</v>
          </cell>
        </row>
        <row r="1153">
          <cell r="G1153" t="str">
            <v>3441000</v>
          </cell>
          <cell r="H1153">
            <v>320.55470000000003</v>
          </cell>
          <cell r="I1153">
            <v>339.43270000000001</v>
          </cell>
          <cell r="J1153" t="str">
            <v>Income Statement</v>
          </cell>
          <cell r="K1153" t="str">
            <v>Operating expenses</v>
          </cell>
          <cell r="L1153" t="str">
            <v>Repairs and Maintenance</v>
          </cell>
          <cell r="M1153" t="str">
            <v>Premisis</v>
          </cell>
          <cell r="N1153">
            <v>32159.246884581244</v>
          </cell>
          <cell r="O1153">
            <v>40940</v>
          </cell>
        </row>
        <row r="1154">
          <cell r="G1154" t="str">
            <v>3442000</v>
          </cell>
          <cell r="H1154">
            <v>320.55470000000003</v>
          </cell>
          <cell r="I1154">
            <v>339.43270000000001</v>
          </cell>
          <cell r="J1154" t="str">
            <v>Income Statement</v>
          </cell>
          <cell r="K1154" t="str">
            <v>Operating expenses</v>
          </cell>
          <cell r="L1154" t="str">
            <v>Repairs and Maintenance</v>
          </cell>
          <cell r="M1154" t="str">
            <v>Vehicles</v>
          </cell>
          <cell r="N1154">
            <v>1428.8546742844751</v>
          </cell>
          <cell r="O1154">
            <v>40940</v>
          </cell>
        </row>
        <row r="1155">
          <cell r="G1155" t="str">
            <v>3442000</v>
          </cell>
          <cell r="H1155">
            <v>320.55470000000003</v>
          </cell>
          <cell r="I1155">
            <v>339.43270000000001</v>
          </cell>
          <cell r="J1155" t="str">
            <v>Income Statement</v>
          </cell>
          <cell r="K1155" t="str">
            <v>Operating expenses</v>
          </cell>
          <cell r="L1155" t="str">
            <v>Repairs and Maintenance</v>
          </cell>
          <cell r="M1155" t="str">
            <v>Vehicles</v>
          </cell>
          <cell r="N1155">
            <v>26864.733421382207</v>
          </cell>
          <cell r="O1155">
            <v>40940</v>
          </cell>
        </row>
        <row r="1156">
          <cell r="G1156" t="str">
            <v>3443000</v>
          </cell>
          <cell r="H1156">
            <v>320.55470000000003</v>
          </cell>
          <cell r="I1156">
            <v>339.43270000000001</v>
          </cell>
          <cell r="J1156" t="str">
            <v>Income Statement</v>
          </cell>
          <cell r="K1156" t="str">
            <v>Operating expenses</v>
          </cell>
          <cell r="L1156" t="str">
            <v>Security</v>
          </cell>
          <cell r="N1156">
            <v>34414.038482444383</v>
          </cell>
          <cell r="O1156">
            <v>40940</v>
          </cell>
        </row>
        <row r="1157">
          <cell r="G1157" t="str">
            <v>3443000</v>
          </cell>
          <cell r="H1157">
            <v>320.55470000000003</v>
          </cell>
          <cell r="I1157">
            <v>339.43270000000001</v>
          </cell>
          <cell r="J1157" t="str">
            <v>Income Statement</v>
          </cell>
          <cell r="K1157" t="str">
            <v>Operating expenses</v>
          </cell>
          <cell r="L1157" t="str">
            <v>Security</v>
          </cell>
          <cell r="N1157">
            <v>34788.192180659084</v>
          </cell>
          <cell r="O1157">
            <v>40940</v>
          </cell>
        </row>
        <row r="1158">
          <cell r="G1158" t="str">
            <v>3443000</v>
          </cell>
          <cell r="H1158">
            <v>320.55470000000003</v>
          </cell>
          <cell r="I1158">
            <v>339.43270000000001</v>
          </cell>
          <cell r="J1158" t="str">
            <v>Income Statement</v>
          </cell>
          <cell r="K1158" t="str">
            <v>Operating expenses</v>
          </cell>
          <cell r="L1158" t="str">
            <v>Security</v>
          </cell>
          <cell r="N1158">
            <v>-6718.5466809768177</v>
          </cell>
          <cell r="O1158">
            <v>40940</v>
          </cell>
        </row>
        <row r="1159">
          <cell r="G1159" t="str">
            <v>3443000</v>
          </cell>
          <cell r="H1159">
            <v>320.55470000000003</v>
          </cell>
          <cell r="I1159">
            <v>339.43270000000001</v>
          </cell>
          <cell r="J1159" t="str">
            <v>Income Statement</v>
          </cell>
          <cell r="K1159" t="str">
            <v>Operating expenses</v>
          </cell>
          <cell r="L1159" t="str">
            <v>Security</v>
          </cell>
          <cell r="N1159">
            <v>48752.005920466705</v>
          </cell>
          <cell r="O1159">
            <v>40940</v>
          </cell>
        </row>
        <row r="1160">
          <cell r="G1160" t="str">
            <v>3443000</v>
          </cell>
          <cell r="H1160">
            <v>320.55470000000003</v>
          </cell>
          <cell r="I1160">
            <v>339.43270000000001</v>
          </cell>
          <cell r="J1160" t="str">
            <v>Income Statement</v>
          </cell>
          <cell r="K1160" t="str">
            <v>Operating expenses</v>
          </cell>
          <cell r="L1160" t="str">
            <v>Security</v>
          </cell>
          <cell r="N1160">
            <v>137969.17621666976</v>
          </cell>
          <cell r="O1160">
            <v>40940</v>
          </cell>
        </row>
        <row r="1161">
          <cell r="G1161" t="str">
            <v>3444000</v>
          </cell>
          <cell r="H1161">
            <v>320.55470000000003</v>
          </cell>
          <cell r="I1161">
            <v>339.43270000000001</v>
          </cell>
          <cell r="J1161" t="str">
            <v>Income Statement</v>
          </cell>
          <cell r="K1161" t="str">
            <v>Operating expenses</v>
          </cell>
          <cell r="L1161" t="str">
            <v>Minor Assets</v>
          </cell>
          <cell r="N1161">
            <v>88.382763357802588</v>
          </cell>
          <cell r="O1161">
            <v>40940</v>
          </cell>
        </row>
        <row r="1162">
          <cell r="G1162" t="str">
            <v>3444000</v>
          </cell>
          <cell r="H1162">
            <v>320.55470000000003</v>
          </cell>
          <cell r="I1162">
            <v>339.43270000000001</v>
          </cell>
          <cell r="J1162" t="str">
            <v>Income Statement</v>
          </cell>
          <cell r="K1162" t="str">
            <v>Operating expenses</v>
          </cell>
          <cell r="L1162" t="str">
            <v>Minor Assets</v>
          </cell>
          <cell r="N1162">
            <v>1003.1443641110594</v>
          </cell>
          <cell r="O1162">
            <v>40940</v>
          </cell>
        </row>
        <row r="1163">
          <cell r="G1163" t="str">
            <v>3444000</v>
          </cell>
          <cell r="H1163">
            <v>320.55470000000003</v>
          </cell>
          <cell r="I1163">
            <v>339.43270000000001</v>
          </cell>
          <cell r="J1163" t="str">
            <v>Income Statement</v>
          </cell>
          <cell r="K1163" t="str">
            <v>Operating expenses</v>
          </cell>
          <cell r="L1163" t="str">
            <v>Minor Assets</v>
          </cell>
          <cell r="N1163">
            <v>37094.868968134178</v>
          </cell>
          <cell r="O1163">
            <v>40940</v>
          </cell>
        </row>
        <row r="1164">
          <cell r="G1164" t="str">
            <v>3446000</v>
          </cell>
          <cell r="H1164">
            <v>320.55470000000003</v>
          </cell>
          <cell r="I1164">
            <v>339.43270000000001</v>
          </cell>
          <cell r="J1164" t="str">
            <v>Income Statement</v>
          </cell>
          <cell r="K1164" t="str">
            <v>Operating expenses</v>
          </cell>
          <cell r="L1164" t="str">
            <v>Storage costs</v>
          </cell>
          <cell r="N1164">
            <v>10632.446431943652</v>
          </cell>
          <cell r="O1164">
            <v>40940</v>
          </cell>
        </row>
        <row r="1165">
          <cell r="G1165" t="str">
            <v>3447000</v>
          </cell>
          <cell r="H1165">
            <v>320.55470000000003</v>
          </cell>
          <cell r="I1165">
            <v>339.43270000000001</v>
          </cell>
          <cell r="J1165" t="str">
            <v>Income Statement</v>
          </cell>
          <cell r="K1165" t="str">
            <v>Operating expenses</v>
          </cell>
          <cell r="L1165" t="str">
            <v>Telephone and Fax</v>
          </cell>
          <cell r="M1165" t="str">
            <v>Data</v>
          </cell>
          <cell r="N1165">
            <v>50.083565902754799</v>
          </cell>
          <cell r="O1165">
            <v>40940</v>
          </cell>
        </row>
        <row r="1166">
          <cell r="G1166" t="str">
            <v>3447000</v>
          </cell>
          <cell r="H1166">
            <v>320.55470000000003</v>
          </cell>
          <cell r="I1166">
            <v>339.43270000000001</v>
          </cell>
          <cell r="J1166" t="str">
            <v>Income Statement</v>
          </cell>
          <cell r="K1166" t="str">
            <v>Operating expenses</v>
          </cell>
          <cell r="L1166" t="str">
            <v>Telephone and Fax</v>
          </cell>
          <cell r="M1166" t="str">
            <v>Data</v>
          </cell>
          <cell r="N1166">
            <v>142.88546742844753</v>
          </cell>
          <cell r="O1166">
            <v>40940</v>
          </cell>
        </row>
        <row r="1167">
          <cell r="G1167" t="str">
            <v>3447000</v>
          </cell>
          <cell r="H1167">
            <v>320.55470000000003</v>
          </cell>
          <cell r="I1167">
            <v>339.43270000000001</v>
          </cell>
          <cell r="J1167" t="str">
            <v>Income Statement</v>
          </cell>
          <cell r="K1167" t="str">
            <v>Operating expenses</v>
          </cell>
          <cell r="L1167" t="str">
            <v>Telephone and Fax</v>
          </cell>
          <cell r="M1167" t="str">
            <v>Data</v>
          </cell>
          <cell r="N1167">
            <v>-1050.7237517186763</v>
          </cell>
          <cell r="O1167">
            <v>40940</v>
          </cell>
        </row>
        <row r="1168">
          <cell r="G1168" t="str">
            <v>3447000</v>
          </cell>
          <cell r="H1168">
            <v>320.55470000000003</v>
          </cell>
          <cell r="I1168">
            <v>339.43270000000001</v>
          </cell>
          <cell r="J1168" t="str">
            <v>Income Statement</v>
          </cell>
          <cell r="K1168" t="str">
            <v>Operating expenses</v>
          </cell>
          <cell r="L1168" t="str">
            <v>Telephone and Fax</v>
          </cell>
          <cell r="M1168" t="str">
            <v>Data</v>
          </cell>
          <cell r="N1168">
            <v>2023.9652808936794</v>
          </cell>
          <cell r="O1168">
            <v>40940</v>
          </cell>
        </row>
        <row r="1169">
          <cell r="G1169" t="str">
            <v>3447000</v>
          </cell>
          <cell r="H1169">
            <v>320.55470000000003</v>
          </cell>
          <cell r="I1169">
            <v>339.43270000000001</v>
          </cell>
          <cell r="J1169" t="str">
            <v>Income Statement</v>
          </cell>
          <cell r="K1169" t="str">
            <v>Operating expenses</v>
          </cell>
          <cell r="L1169" t="str">
            <v>Telephone and Fax</v>
          </cell>
          <cell r="M1169" t="str">
            <v>Data</v>
          </cell>
          <cell r="N1169">
            <v>33890.126024982274</v>
          </cell>
          <cell r="O1169">
            <v>40940</v>
          </cell>
        </row>
        <row r="1170">
          <cell r="G1170" t="str">
            <v>3447000</v>
          </cell>
          <cell r="H1170">
            <v>320.55470000000003</v>
          </cell>
          <cell r="I1170">
            <v>339.43270000000001</v>
          </cell>
          <cell r="J1170" t="str">
            <v>Income Statement</v>
          </cell>
          <cell r="K1170" t="str">
            <v>Operating expenses</v>
          </cell>
          <cell r="L1170" t="str">
            <v>Telephone and Fax</v>
          </cell>
          <cell r="M1170" t="str">
            <v>Data</v>
          </cell>
          <cell r="N1170">
            <v>410127.83600401494</v>
          </cell>
          <cell r="O1170">
            <v>40940</v>
          </cell>
        </row>
        <row r="1171">
          <cell r="G1171" t="str">
            <v>3448000</v>
          </cell>
          <cell r="H1171">
            <v>320.55470000000003</v>
          </cell>
          <cell r="I1171">
            <v>339.43270000000001</v>
          </cell>
          <cell r="J1171" t="str">
            <v>Income Statement</v>
          </cell>
          <cell r="K1171" t="str">
            <v>Operating expenses</v>
          </cell>
          <cell r="L1171" t="str">
            <v>Telephone and Fax</v>
          </cell>
          <cell r="M1171" t="str">
            <v>Landline</v>
          </cell>
          <cell r="N1171">
            <v>1042.9166076220706</v>
          </cell>
          <cell r="O1171">
            <v>40940</v>
          </cell>
        </row>
        <row r="1172">
          <cell r="G1172" t="str">
            <v>3448000</v>
          </cell>
          <cell r="H1172">
            <v>320.55470000000003</v>
          </cell>
          <cell r="I1172">
            <v>339.43270000000001</v>
          </cell>
          <cell r="J1172" t="str">
            <v>Income Statement</v>
          </cell>
          <cell r="K1172" t="str">
            <v>Operating expenses</v>
          </cell>
          <cell r="L1172" t="str">
            <v>Telephone and Fax</v>
          </cell>
          <cell r="M1172" t="str">
            <v>Landline</v>
          </cell>
          <cell r="N1172">
            <v>4171.6664304882825</v>
          </cell>
          <cell r="O1172">
            <v>40940</v>
          </cell>
        </row>
        <row r="1173">
          <cell r="G1173" t="str">
            <v>3448000</v>
          </cell>
          <cell r="H1173">
            <v>320.55470000000003</v>
          </cell>
          <cell r="I1173">
            <v>339.43270000000001</v>
          </cell>
          <cell r="J1173" t="str">
            <v>Income Statement</v>
          </cell>
          <cell r="K1173" t="str">
            <v>Operating expenses</v>
          </cell>
          <cell r="L1173" t="str">
            <v>Telephone and Fax</v>
          </cell>
          <cell r="M1173" t="str">
            <v>Landline</v>
          </cell>
          <cell r="N1173">
            <v>6257.4996457324232</v>
          </cell>
          <cell r="O1173">
            <v>40940</v>
          </cell>
        </row>
        <row r="1174">
          <cell r="G1174" t="str">
            <v>3448000</v>
          </cell>
          <cell r="H1174">
            <v>320.55470000000003</v>
          </cell>
          <cell r="I1174">
            <v>339.43270000000001</v>
          </cell>
          <cell r="J1174" t="str">
            <v>Income Statement</v>
          </cell>
          <cell r="K1174" t="str">
            <v>Operating expenses</v>
          </cell>
          <cell r="L1174" t="str">
            <v>Telephone and Fax</v>
          </cell>
          <cell r="M1174" t="str">
            <v>Landline</v>
          </cell>
          <cell r="N1174">
            <v>4171.6664304882825</v>
          </cell>
          <cell r="O1174">
            <v>40940</v>
          </cell>
        </row>
        <row r="1175">
          <cell r="G1175" t="str">
            <v>3448000</v>
          </cell>
          <cell r="H1175">
            <v>320.55470000000003</v>
          </cell>
          <cell r="I1175">
            <v>339.43270000000001</v>
          </cell>
          <cell r="J1175" t="str">
            <v>Income Statement</v>
          </cell>
          <cell r="K1175" t="str">
            <v>Operating expenses</v>
          </cell>
          <cell r="L1175" t="str">
            <v>Telephone and Fax</v>
          </cell>
          <cell r="M1175" t="str">
            <v>Landline</v>
          </cell>
          <cell r="N1175">
            <v>9386.2494685986348</v>
          </cell>
          <cell r="O1175">
            <v>40940</v>
          </cell>
        </row>
        <row r="1176">
          <cell r="G1176" t="str">
            <v>3448000</v>
          </cell>
          <cell r="H1176">
            <v>320.55470000000003</v>
          </cell>
          <cell r="I1176">
            <v>339.43270000000001</v>
          </cell>
          <cell r="J1176" t="str">
            <v>Income Statement</v>
          </cell>
          <cell r="K1176" t="str">
            <v>Operating expenses</v>
          </cell>
          <cell r="L1176" t="str">
            <v>Telephone and Fax</v>
          </cell>
          <cell r="M1176" t="str">
            <v>Landline</v>
          </cell>
          <cell r="N1176">
            <v>4171.6664304882825</v>
          </cell>
          <cell r="O1176">
            <v>40940</v>
          </cell>
        </row>
        <row r="1177">
          <cell r="G1177" t="str">
            <v>3448000</v>
          </cell>
          <cell r="H1177">
            <v>320.55470000000003</v>
          </cell>
          <cell r="I1177">
            <v>339.43270000000001</v>
          </cell>
          <cell r="J1177" t="str">
            <v>Income Statement</v>
          </cell>
          <cell r="K1177" t="str">
            <v>Operating expenses</v>
          </cell>
          <cell r="L1177" t="str">
            <v>Telephone and Fax</v>
          </cell>
          <cell r="M1177" t="str">
            <v>Landline</v>
          </cell>
          <cell r="N1177">
            <v>6257.4996457324232</v>
          </cell>
          <cell r="O1177">
            <v>40940</v>
          </cell>
        </row>
        <row r="1178">
          <cell r="G1178" t="str">
            <v>3448000</v>
          </cell>
          <cell r="H1178">
            <v>320.55470000000003</v>
          </cell>
          <cell r="I1178">
            <v>339.43270000000001</v>
          </cell>
          <cell r="J1178" t="str">
            <v>Income Statement</v>
          </cell>
          <cell r="K1178" t="str">
            <v>Operating expenses</v>
          </cell>
          <cell r="L1178" t="str">
            <v>Telephone and Fax</v>
          </cell>
          <cell r="M1178" t="str">
            <v>Landline</v>
          </cell>
          <cell r="N1178">
            <v>4171.6664304882825</v>
          </cell>
          <cell r="O1178">
            <v>40940</v>
          </cell>
        </row>
        <row r="1179">
          <cell r="G1179" t="str">
            <v>3448000</v>
          </cell>
          <cell r="H1179">
            <v>320.55470000000003</v>
          </cell>
          <cell r="I1179">
            <v>339.43270000000001</v>
          </cell>
          <cell r="J1179" t="str">
            <v>Income Statement</v>
          </cell>
          <cell r="K1179" t="str">
            <v>Operating expenses</v>
          </cell>
          <cell r="L1179" t="str">
            <v>Telephone and Fax</v>
          </cell>
          <cell r="M1179" t="str">
            <v>Landline</v>
          </cell>
          <cell r="N1179">
            <v>4171.6664304882825</v>
          </cell>
          <cell r="O1179">
            <v>40940</v>
          </cell>
        </row>
        <row r="1180">
          <cell r="G1180" t="str">
            <v>3448000</v>
          </cell>
          <cell r="H1180">
            <v>320.55470000000003</v>
          </cell>
          <cell r="I1180">
            <v>339.43270000000001</v>
          </cell>
          <cell r="J1180" t="str">
            <v>Income Statement</v>
          </cell>
          <cell r="K1180" t="str">
            <v>Operating expenses</v>
          </cell>
          <cell r="L1180" t="str">
            <v>Telephone and Fax</v>
          </cell>
          <cell r="M1180" t="str">
            <v>Landline</v>
          </cell>
          <cell r="N1180">
            <v>148570.75938764887</v>
          </cell>
          <cell r="O1180">
            <v>40940</v>
          </cell>
        </row>
        <row r="1181">
          <cell r="G1181" t="str">
            <v>3449000</v>
          </cell>
          <cell r="H1181">
            <v>320.55470000000003</v>
          </cell>
          <cell r="I1181">
            <v>339.43270000000001</v>
          </cell>
          <cell r="J1181" t="str">
            <v>Income Statement</v>
          </cell>
          <cell r="K1181" t="str">
            <v>Operating expenses</v>
          </cell>
          <cell r="L1181" t="str">
            <v>Telephone and Fax</v>
          </cell>
          <cell r="M1181" t="str">
            <v>Mobile</v>
          </cell>
          <cell r="N1181">
            <v>29.460921119267528</v>
          </cell>
          <cell r="O1181">
            <v>40940</v>
          </cell>
        </row>
        <row r="1182">
          <cell r="G1182" t="str">
            <v>3449000</v>
          </cell>
          <cell r="H1182">
            <v>320.55470000000003</v>
          </cell>
          <cell r="I1182">
            <v>339.43270000000001</v>
          </cell>
          <cell r="J1182" t="str">
            <v>Income Statement</v>
          </cell>
          <cell r="K1182" t="str">
            <v>Operating expenses</v>
          </cell>
          <cell r="L1182" t="str">
            <v>Telephone and Fax</v>
          </cell>
          <cell r="M1182" t="str">
            <v>Mobile</v>
          </cell>
          <cell r="N1182">
            <v>491.99738269176777</v>
          </cell>
          <cell r="O1182">
            <v>40940</v>
          </cell>
        </row>
        <row r="1183">
          <cell r="G1183" t="str">
            <v>3449000</v>
          </cell>
          <cell r="H1183">
            <v>320.55470000000003</v>
          </cell>
          <cell r="I1183">
            <v>339.43270000000001</v>
          </cell>
          <cell r="J1183" t="str">
            <v>Income Statement</v>
          </cell>
          <cell r="K1183" t="str">
            <v>Operating expenses</v>
          </cell>
          <cell r="L1183" t="str">
            <v>Telephone and Fax</v>
          </cell>
          <cell r="M1183" t="str">
            <v>Mobile</v>
          </cell>
          <cell r="N1183">
            <v>662.87072518351943</v>
          </cell>
          <cell r="O1183">
            <v>40940</v>
          </cell>
        </row>
        <row r="1184">
          <cell r="G1184" t="str">
            <v>3449000</v>
          </cell>
          <cell r="H1184">
            <v>320.55470000000003</v>
          </cell>
          <cell r="I1184">
            <v>339.43270000000001</v>
          </cell>
          <cell r="J1184" t="str">
            <v>Income Statement</v>
          </cell>
          <cell r="K1184" t="str">
            <v>Operating expenses</v>
          </cell>
          <cell r="L1184" t="str">
            <v>Telephone and Fax</v>
          </cell>
          <cell r="M1184" t="str">
            <v>Mobile</v>
          </cell>
          <cell r="N1184">
            <v>29.460921119267528</v>
          </cell>
          <cell r="O1184">
            <v>40940</v>
          </cell>
        </row>
        <row r="1185">
          <cell r="G1185" t="str">
            <v>3449000</v>
          </cell>
          <cell r="H1185">
            <v>320.55470000000003</v>
          </cell>
          <cell r="I1185">
            <v>339.43270000000001</v>
          </cell>
          <cell r="J1185" t="str">
            <v>Income Statement</v>
          </cell>
          <cell r="K1185" t="str">
            <v>Operating expenses</v>
          </cell>
          <cell r="L1185" t="str">
            <v>Telephone and Fax</v>
          </cell>
          <cell r="M1185" t="str">
            <v>Mobile</v>
          </cell>
          <cell r="N1185">
            <v>222.42995445046984</v>
          </cell>
          <cell r="O1185">
            <v>40940</v>
          </cell>
        </row>
        <row r="1186">
          <cell r="G1186" t="str">
            <v>3449000</v>
          </cell>
          <cell r="H1186">
            <v>320.55470000000003</v>
          </cell>
          <cell r="I1186">
            <v>339.43270000000001</v>
          </cell>
          <cell r="J1186" t="str">
            <v>Income Statement</v>
          </cell>
          <cell r="K1186" t="str">
            <v>Operating expenses</v>
          </cell>
          <cell r="L1186" t="str">
            <v>Telephone and Fax</v>
          </cell>
          <cell r="M1186" t="str">
            <v>Mobile</v>
          </cell>
          <cell r="N1186">
            <v>3687.6234964987166</v>
          </cell>
          <cell r="O1186">
            <v>40940</v>
          </cell>
        </row>
        <row r="1187">
          <cell r="G1187" t="str">
            <v>3449000</v>
          </cell>
          <cell r="H1187">
            <v>320.55470000000003</v>
          </cell>
          <cell r="I1187">
            <v>339.43270000000001</v>
          </cell>
          <cell r="J1187" t="str">
            <v>Income Statement</v>
          </cell>
          <cell r="K1187" t="str">
            <v>Operating expenses</v>
          </cell>
          <cell r="L1187" t="str">
            <v>Telephone and Fax</v>
          </cell>
          <cell r="M1187" t="str">
            <v>Mobile</v>
          </cell>
          <cell r="N1187">
            <v>179.71161882753194</v>
          </cell>
          <cell r="O1187">
            <v>40940</v>
          </cell>
        </row>
        <row r="1188">
          <cell r="G1188" t="str">
            <v>3449000</v>
          </cell>
          <cell r="H1188">
            <v>320.55470000000003</v>
          </cell>
          <cell r="I1188">
            <v>339.43270000000001</v>
          </cell>
          <cell r="J1188" t="str">
            <v>Income Statement</v>
          </cell>
          <cell r="K1188" t="str">
            <v>Operating expenses</v>
          </cell>
          <cell r="L1188" t="str">
            <v>Telephone and Fax</v>
          </cell>
          <cell r="M1188" t="str">
            <v>Mobile</v>
          </cell>
          <cell r="N1188">
            <v>25686.658945941272</v>
          </cell>
          <cell r="O1188">
            <v>40940</v>
          </cell>
        </row>
        <row r="1189">
          <cell r="G1189" t="str">
            <v>3450000</v>
          </cell>
          <cell r="H1189">
            <v>320.55470000000003</v>
          </cell>
          <cell r="I1189">
            <v>339.43270000000001</v>
          </cell>
          <cell r="J1189" t="str">
            <v>Income Statement</v>
          </cell>
          <cell r="K1189" t="str">
            <v>Operating expenses</v>
          </cell>
          <cell r="L1189" t="str">
            <v>Travel</v>
          </cell>
          <cell r="M1189" t="str">
            <v>Local</v>
          </cell>
          <cell r="N1189">
            <v>550.91922493030279</v>
          </cell>
          <cell r="O1189">
            <v>40940</v>
          </cell>
        </row>
        <row r="1190">
          <cell r="G1190" t="str">
            <v>3450000</v>
          </cell>
          <cell r="H1190">
            <v>320.55470000000003</v>
          </cell>
          <cell r="I1190">
            <v>339.43270000000001</v>
          </cell>
          <cell r="J1190" t="str">
            <v>Income Statement</v>
          </cell>
          <cell r="K1190" t="str">
            <v>Operating expenses</v>
          </cell>
          <cell r="L1190" t="str">
            <v>Travel</v>
          </cell>
          <cell r="M1190" t="str">
            <v>Local</v>
          </cell>
          <cell r="N1190">
            <v>2187.1787838944215</v>
          </cell>
          <cell r="O1190">
            <v>40940</v>
          </cell>
        </row>
        <row r="1191">
          <cell r="G1191" t="str">
            <v>3450000</v>
          </cell>
          <cell r="H1191">
            <v>320.55470000000003</v>
          </cell>
          <cell r="I1191">
            <v>339.43270000000001</v>
          </cell>
          <cell r="J1191" t="str">
            <v>Income Statement</v>
          </cell>
          <cell r="K1191" t="str">
            <v>Operating expenses</v>
          </cell>
          <cell r="L1191" t="str">
            <v>Travel</v>
          </cell>
          <cell r="M1191" t="str">
            <v>Local</v>
          </cell>
          <cell r="N1191">
            <v>3564.1822370089858</v>
          </cell>
          <cell r="O1191">
            <v>40940</v>
          </cell>
        </row>
        <row r="1192">
          <cell r="G1192" t="str">
            <v>3450000</v>
          </cell>
          <cell r="H1192">
            <v>320.55470000000003</v>
          </cell>
          <cell r="I1192">
            <v>339.43270000000001</v>
          </cell>
          <cell r="J1192" t="str">
            <v>Income Statement</v>
          </cell>
          <cell r="K1192" t="str">
            <v>Operating expenses</v>
          </cell>
          <cell r="L1192" t="str">
            <v>Travel</v>
          </cell>
          <cell r="M1192" t="str">
            <v>Local</v>
          </cell>
          <cell r="N1192">
            <v>235.68736895414023</v>
          </cell>
          <cell r="O1192">
            <v>40940</v>
          </cell>
        </row>
        <row r="1193">
          <cell r="G1193" t="str">
            <v>3450000</v>
          </cell>
          <cell r="H1193">
            <v>320.55470000000003</v>
          </cell>
          <cell r="I1193">
            <v>339.43270000000001</v>
          </cell>
          <cell r="J1193" t="str">
            <v>Income Statement</v>
          </cell>
          <cell r="K1193" t="str">
            <v>Operating expenses</v>
          </cell>
          <cell r="L1193" t="str">
            <v>Travel</v>
          </cell>
          <cell r="M1193" t="str">
            <v>Local</v>
          </cell>
          <cell r="N1193">
            <v>5353.3439765821031</v>
          </cell>
          <cell r="O1193">
            <v>40940</v>
          </cell>
        </row>
        <row r="1194">
          <cell r="G1194" t="str">
            <v>3450000</v>
          </cell>
          <cell r="H1194">
            <v>320.55470000000003</v>
          </cell>
          <cell r="I1194">
            <v>339.43270000000001</v>
          </cell>
          <cell r="J1194" t="str">
            <v>Income Statement</v>
          </cell>
          <cell r="K1194" t="str">
            <v>Operating expenses</v>
          </cell>
          <cell r="L1194" t="str">
            <v>Travel</v>
          </cell>
          <cell r="M1194" t="str">
            <v>Local</v>
          </cell>
          <cell r="N1194">
            <v>5643.8286588180808</v>
          </cell>
          <cell r="O1194">
            <v>40940</v>
          </cell>
        </row>
        <row r="1195">
          <cell r="G1195" t="str">
            <v>3450000</v>
          </cell>
          <cell r="H1195">
            <v>320.55470000000003</v>
          </cell>
          <cell r="I1195">
            <v>339.43270000000001</v>
          </cell>
          <cell r="J1195" t="str">
            <v>Income Statement</v>
          </cell>
          <cell r="K1195" t="str">
            <v>Operating expenses</v>
          </cell>
          <cell r="L1195" t="str">
            <v>Travel</v>
          </cell>
          <cell r="M1195" t="str">
            <v>Local</v>
          </cell>
          <cell r="N1195">
            <v>5580.7822876228483</v>
          </cell>
          <cell r="O1195">
            <v>40940</v>
          </cell>
        </row>
        <row r="1196">
          <cell r="G1196" t="str">
            <v>3450000</v>
          </cell>
          <cell r="H1196">
            <v>320.55470000000003</v>
          </cell>
          <cell r="I1196">
            <v>339.43270000000001</v>
          </cell>
          <cell r="J1196" t="str">
            <v>Income Statement</v>
          </cell>
          <cell r="K1196" t="str">
            <v>Operating expenses</v>
          </cell>
          <cell r="L1196" t="str">
            <v>Travel</v>
          </cell>
          <cell r="M1196" t="str">
            <v>Local</v>
          </cell>
          <cell r="N1196">
            <v>2510.0704793615937</v>
          </cell>
          <cell r="O1196">
            <v>40940</v>
          </cell>
        </row>
        <row r="1197">
          <cell r="G1197" t="str">
            <v>3450000</v>
          </cell>
          <cell r="H1197">
            <v>320.55470000000003</v>
          </cell>
          <cell r="I1197">
            <v>339.43270000000001</v>
          </cell>
          <cell r="J1197" t="str">
            <v>Income Statement</v>
          </cell>
          <cell r="K1197" t="str">
            <v>Operating expenses</v>
          </cell>
          <cell r="L1197" t="str">
            <v>Travel</v>
          </cell>
          <cell r="M1197" t="str">
            <v>Local</v>
          </cell>
          <cell r="N1197">
            <v>9925.0897158700373</v>
          </cell>
          <cell r="O1197">
            <v>40940</v>
          </cell>
        </row>
        <row r="1198">
          <cell r="G1198" t="str">
            <v>3450000</v>
          </cell>
          <cell r="H1198">
            <v>320.55470000000003</v>
          </cell>
          <cell r="I1198">
            <v>339.43270000000001</v>
          </cell>
          <cell r="J1198" t="str">
            <v>Income Statement</v>
          </cell>
          <cell r="K1198" t="str">
            <v>Operating expenses</v>
          </cell>
          <cell r="L1198" t="str">
            <v>Travel</v>
          </cell>
          <cell r="M1198" t="str">
            <v>Local</v>
          </cell>
          <cell r="N1198">
            <v>18324.271645012399</v>
          </cell>
          <cell r="O1198">
            <v>40940</v>
          </cell>
        </row>
        <row r="1199">
          <cell r="G1199" t="str">
            <v>3451000</v>
          </cell>
          <cell r="H1199">
            <v>320.55470000000003</v>
          </cell>
          <cell r="I1199">
            <v>339.43270000000001</v>
          </cell>
          <cell r="J1199" t="str">
            <v>Income Statement</v>
          </cell>
          <cell r="K1199" t="str">
            <v>Operating expenses</v>
          </cell>
          <cell r="L1199" t="str">
            <v>Travel</v>
          </cell>
          <cell r="M1199" t="str">
            <v>Local</v>
          </cell>
          <cell r="N1199">
            <v>12815.500686881376</v>
          </cell>
          <cell r="O1199">
            <v>40940</v>
          </cell>
        </row>
        <row r="1200">
          <cell r="G1200" t="str">
            <v>3451000</v>
          </cell>
          <cell r="H1200">
            <v>320.55470000000003</v>
          </cell>
          <cell r="I1200">
            <v>339.43270000000001</v>
          </cell>
          <cell r="J1200" t="str">
            <v>Income Statement</v>
          </cell>
          <cell r="K1200" t="str">
            <v>Operating expenses</v>
          </cell>
          <cell r="L1200" t="str">
            <v>Travel</v>
          </cell>
          <cell r="M1200" t="str">
            <v>Local</v>
          </cell>
          <cell r="N1200">
            <v>37408.446505006737</v>
          </cell>
          <cell r="O1200">
            <v>40940</v>
          </cell>
        </row>
        <row r="1201">
          <cell r="G1201" t="str">
            <v>3451000</v>
          </cell>
          <cell r="H1201">
            <v>320.55470000000003</v>
          </cell>
          <cell r="I1201">
            <v>339.43270000000001</v>
          </cell>
          <cell r="J1201" t="str">
            <v>Income Statement</v>
          </cell>
          <cell r="K1201" t="str">
            <v>Operating expenses</v>
          </cell>
          <cell r="L1201" t="str">
            <v>Travel</v>
          </cell>
          <cell r="M1201" t="str">
            <v>Local</v>
          </cell>
          <cell r="N1201">
            <v>42759.580912504891</v>
          </cell>
          <cell r="O1201">
            <v>40940</v>
          </cell>
        </row>
        <row r="1202">
          <cell r="G1202" t="str">
            <v>3451000</v>
          </cell>
          <cell r="H1202">
            <v>320.55470000000003</v>
          </cell>
          <cell r="I1202">
            <v>339.43270000000001</v>
          </cell>
          <cell r="J1202" t="str">
            <v>Income Statement</v>
          </cell>
          <cell r="K1202" t="str">
            <v>Operating expenses</v>
          </cell>
          <cell r="L1202" t="str">
            <v>Travel</v>
          </cell>
          <cell r="M1202" t="str">
            <v>Local</v>
          </cell>
          <cell r="N1202">
            <v>99386.417395849014</v>
          </cell>
          <cell r="O1202">
            <v>40940</v>
          </cell>
        </row>
        <row r="1203">
          <cell r="G1203" t="str">
            <v>3451000</v>
          </cell>
          <cell r="H1203">
            <v>320.55470000000003</v>
          </cell>
          <cell r="I1203">
            <v>339.43270000000001</v>
          </cell>
          <cell r="J1203" t="str">
            <v>Income Statement</v>
          </cell>
          <cell r="K1203" t="str">
            <v>Operating expenses</v>
          </cell>
          <cell r="L1203" t="str">
            <v>Travel</v>
          </cell>
          <cell r="M1203" t="str">
            <v>Local</v>
          </cell>
          <cell r="N1203">
            <v>23247.612855214007</v>
          </cell>
          <cell r="O1203">
            <v>40940</v>
          </cell>
        </row>
        <row r="1204">
          <cell r="G1204" t="str">
            <v>3451000</v>
          </cell>
          <cell r="H1204">
            <v>320.55470000000003</v>
          </cell>
          <cell r="I1204">
            <v>339.43270000000001</v>
          </cell>
          <cell r="J1204" t="str">
            <v>Income Statement</v>
          </cell>
          <cell r="K1204" t="str">
            <v>Operating expenses</v>
          </cell>
          <cell r="L1204" t="str">
            <v>Travel</v>
          </cell>
          <cell r="M1204" t="str">
            <v>Local</v>
          </cell>
          <cell r="N1204">
            <v>58497.604974417605</v>
          </cell>
          <cell r="O1204">
            <v>40940</v>
          </cell>
        </row>
        <row r="1205">
          <cell r="G1205" t="str">
            <v>3451000</v>
          </cell>
          <cell r="H1205">
            <v>320.55470000000003</v>
          </cell>
          <cell r="I1205">
            <v>339.43270000000001</v>
          </cell>
          <cell r="J1205" t="str">
            <v>Income Statement</v>
          </cell>
          <cell r="K1205" t="str">
            <v>Operating expenses</v>
          </cell>
          <cell r="L1205" t="str">
            <v>Travel</v>
          </cell>
          <cell r="M1205" t="str">
            <v>Local</v>
          </cell>
          <cell r="N1205">
            <v>42037.788345082838</v>
          </cell>
          <cell r="O1205">
            <v>40940</v>
          </cell>
        </row>
        <row r="1206">
          <cell r="G1206" t="str">
            <v>3451000</v>
          </cell>
          <cell r="H1206">
            <v>320.55470000000003</v>
          </cell>
          <cell r="I1206">
            <v>339.43270000000001</v>
          </cell>
          <cell r="J1206" t="str">
            <v>Income Statement</v>
          </cell>
          <cell r="K1206" t="str">
            <v>Operating expenses</v>
          </cell>
          <cell r="L1206" t="str">
            <v>Travel</v>
          </cell>
          <cell r="M1206" t="str">
            <v>Local</v>
          </cell>
          <cell r="N1206">
            <v>67023.595546333629</v>
          </cell>
          <cell r="O1206">
            <v>40940</v>
          </cell>
        </row>
        <row r="1207">
          <cell r="G1207" t="str">
            <v>3451000</v>
          </cell>
          <cell r="H1207">
            <v>320.55470000000003</v>
          </cell>
          <cell r="I1207">
            <v>339.43270000000001</v>
          </cell>
          <cell r="J1207" t="str">
            <v>Income Statement</v>
          </cell>
          <cell r="K1207" t="str">
            <v>Operating expenses</v>
          </cell>
          <cell r="L1207" t="str">
            <v>Travel</v>
          </cell>
          <cell r="M1207" t="str">
            <v>Local</v>
          </cell>
          <cell r="N1207">
            <v>29564.034343184965</v>
          </cell>
          <cell r="O1207">
            <v>40940</v>
          </cell>
        </row>
        <row r="1208">
          <cell r="G1208" t="str">
            <v>3451000</v>
          </cell>
          <cell r="H1208">
            <v>320.55470000000003</v>
          </cell>
          <cell r="I1208">
            <v>339.43270000000001</v>
          </cell>
          <cell r="J1208" t="str">
            <v>Income Statement</v>
          </cell>
          <cell r="K1208" t="str">
            <v>Operating expenses</v>
          </cell>
          <cell r="L1208" t="str">
            <v>Travel</v>
          </cell>
          <cell r="M1208" t="str">
            <v>Local</v>
          </cell>
          <cell r="N1208">
            <v>23498.030684727782</v>
          </cell>
          <cell r="O1208">
            <v>40940</v>
          </cell>
        </row>
        <row r="1209">
          <cell r="G1209" t="str">
            <v>3451000</v>
          </cell>
          <cell r="H1209">
            <v>320.55470000000003</v>
          </cell>
          <cell r="I1209">
            <v>339.43270000000001</v>
          </cell>
          <cell r="J1209" t="str">
            <v>Income Statement</v>
          </cell>
          <cell r="K1209" t="str">
            <v>Operating expenses</v>
          </cell>
          <cell r="L1209" t="str">
            <v>Travel</v>
          </cell>
          <cell r="M1209" t="str">
            <v>Local</v>
          </cell>
          <cell r="N1209">
            <v>83804.210672690053</v>
          </cell>
          <cell r="O1209">
            <v>40940</v>
          </cell>
        </row>
        <row r="1210">
          <cell r="G1210" t="str">
            <v>3452000</v>
          </cell>
          <cell r="H1210">
            <v>320.55470000000003</v>
          </cell>
          <cell r="I1210">
            <v>339.43270000000001</v>
          </cell>
          <cell r="J1210" t="str">
            <v>Income Statement</v>
          </cell>
          <cell r="K1210" t="str">
            <v>Operating expenses</v>
          </cell>
          <cell r="L1210" t="str">
            <v>Travel</v>
          </cell>
          <cell r="M1210" t="str">
            <v>Overseas</v>
          </cell>
          <cell r="N1210">
            <v>474.32083002020721</v>
          </cell>
          <cell r="O1210">
            <v>40940</v>
          </cell>
        </row>
        <row r="1211">
          <cell r="G1211" t="str">
            <v>3456000</v>
          </cell>
          <cell r="H1211">
            <v>320.55470000000003</v>
          </cell>
          <cell r="I1211">
            <v>339.43270000000001</v>
          </cell>
          <cell r="J1211" t="str">
            <v>Income Statement</v>
          </cell>
          <cell r="K1211" t="str">
            <v>Operating expenses</v>
          </cell>
          <cell r="L1211" t="str">
            <v>Subscriptions</v>
          </cell>
          <cell r="N1211">
            <v>5641.766394339732</v>
          </cell>
          <cell r="O1211">
            <v>40940</v>
          </cell>
        </row>
        <row r="1212">
          <cell r="G1212" t="str">
            <v>3469000</v>
          </cell>
          <cell r="H1212">
            <v>320.55470000000003</v>
          </cell>
          <cell r="I1212">
            <v>339.43270000000001</v>
          </cell>
          <cell r="J1212" t="str">
            <v>Income Statement</v>
          </cell>
          <cell r="K1212" t="str">
            <v>Operating expenses</v>
          </cell>
          <cell r="L1212" t="str">
            <v>Processing and collection costs</v>
          </cell>
          <cell r="M1212" t="str">
            <v>Stamp duties</v>
          </cell>
          <cell r="N1212">
            <v>58.921842238535056</v>
          </cell>
          <cell r="O1212">
            <v>40940</v>
          </cell>
        </row>
        <row r="1213">
          <cell r="G1213" t="str">
            <v>3469000</v>
          </cell>
          <cell r="H1213">
            <v>320.55470000000003</v>
          </cell>
          <cell r="I1213">
            <v>339.43270000000001</v>
          </cell>
          <cell r="J1213" t="str">
            <v>Income Statement</v>
          </cell>
          <cell r="K1213" t="str">
            <v>Operating expenses</v>
          </cell>
          <cell r="L1213" t="str">
            <v>Processing and collection costs</v>
          </cell>
          <cell r="M1213" t="str">
            <v>Stamp duties</v>
          </cell>
          <cell r="N1213">
            <v>-3284.8927047983298</v>
          </cell>
          <cell r="O1213">
            <v>40940</v>
          </cell>
        </row>
        <row r="1214">
          <cell r="G1214" t="str">
            <v>3801000</v>
          </cell>
          <cell r="H1214">
            <v>320.55470000000003</v>
          </cell>
          <cell r="I1214">
            <v>339.43270000000001</v>
          </cell>
          <cell r="J1214" t="str">
            <v>Income Statement</v>
          </cell>
          <cell r="K1214" t="str">
            <v>Forex (gain) / loss</v>
          </cell>
          <cell r="L1214" t="str">
            <v>Profit on exchange differences - Intergroup</v>
          </cell>
          <cell r="N1214">
            <v>1346473.6046350279</v>
          </cell>
          <cell r="O1214">
            <v>40940</v>
          </cell>
        </row>
        <row r="1215">
          <cell r="G1215" t="str">
            <v>3801006</v>
          </cell>
          <cell r="H1215">
            <v>320.55470000000003</v>
          </cell>
          <cell r="I1215">
            <v>339.43270000000001</v>
          </cell>
          <cell r="J1215" t="str">
            <v>Income Statement</v>
          </cell>
          <cell r="K1215" t="str">
            <v>Forex (gain) / loss</v>
          </cell>
          <cell r="L1215" t="str">
            <v>Profit on exchange differences - Intergroup</v>
          </cell>
          <cell r="N1215">
            <v>-5191102.3402282689</v>
          </cell>
          <cell r="O1215">
            <v>40940</v>
          </cell>
        </row>
        <row r="1216">
          <cell r="G1216" t="str">
            <v>3820000</v>
          </cell>
          <cell r="H1216">
            <v>320.55470000000003</v>
          </cell>
          <cell r="I1216">
            <v>339.43270000000001</v>
          </cell>
          <cell r="J1216" t="str">
            <v>Income Statement</v>
          </cell>
          <cell r="K1216" t="str">
            <v>Forex (gain) / loss</v>
          </cell>
          <cell r="L1216" t="str">
            <v>Profit on exchange differences - External</v>
          </cell>
          <cell r="N1216">
            <v>22890.349927982777</v>
          </cell>
          <cell r="O1216">
            <v>40940</v>
          </cell>
        </row>
        <row r="1217">
          <cell r="G1217" t="str">
            <v>4812000</v>
          </cell>
          <cell r="H1217">
            <v>320.55470000000003</v>
          </cell>
          <cell r="I1217">
            <v>339.43270000000001</v>
          </cell>
          <cell r="J1217" t="str">
            <v>Income Statement</v>
          </cell>
          <cell r="K1217" t="str">
            <v>Taxation</v>
          </cell>
          <cell r="L1217" t="str">
            <v>Income Tax</v>
          </cell>
          <cell r="M1217" t="str">
            <v>Witholding tax</v>
          </cell>
          <cell r="N1217">
            <v>-266240.92198541859</v>
          </cell>
          <cell r="O1217">
            <v>40940</v>
          </cell>
        </row>
        <row r="1218">
          <cell r="G1218" t="str">
            <v>4814000</v>
          </cell>
          <cell r="H1218">
            <v>320.55470000000003</v>
          </cell>
          <cell r="I1218">
            <v>339.43270000000001</v>
          </cell>
          <cell r="J1218" t="str">
            <v>Income Statement</v>
          </cell>
          <cell r="K1218" t="str">
            <v>Operating expenses</v>
          </cell>
          <cell r="L1218" t="str">
            <v>Penalties and Interest</v>
          </cell>
          <cell r="M1218" t="str">
            <v>Witholding tax</v>
          </cell>
          <cell r="N1218">
            <v>1435860.189663518</v>
          </cell>
          <cell r="O1218">
            <v>40940</v>
          </cell>
        </row>
        <row r="1219">
          <cell r="G1219" t="str">
            <v>4831000</v>
          </cell>
          <cell r="H1219">
            <v>320.55470000000003</v>
          </cell>
          <cell r="I1219">
            <v>339.43270000000001</v>
          </cell>
          <cell r="J1219" t="str">
            <v>Income Statement</v>
          </cell>
          <cell r="K1219" t="str">
            <v>Operating expenses</v>
          </cell>
          <cell r="L1219" t="str">
            <v>Vat on imported services</v>
          </cell>
          <cell r="N1219">
            <v>646914.66968267935</v>
          </cell>
          <cell r="O1219">
            <v>40940</v>
          </cell>
        </row>
        <row r="1220">
          <cell r="G1220" t="str">
            <v>4832000</v>
          </cell>
          <cell r="H1220">
            <v>320.55470000000003</v>
          </cell>
          <cell r="I1220">
            <v>339.43270000000001</v>
          </cell>
          <cell r="J1220" t="str">
            <v>Income Statement</v>
          </cell>
          <cell r="K1220" t="str">
            <v>Operating expenses</v>
          </cell>
          <cell r="L1220" t="str">
            <v>Vat on imported services</v>
          </cell>
          <cell r="N1220">
            <v>58802.653692469823</v>
          </cell>
          <cell r="O1220">
            <v>40940</v>
          </cell>
        </row>
        <row r="1221">
          <cell r="G1221" t="str">
            <v>4833000</v>
          </cell>
          <cell r="H1221">
            <v>320.55470000000003</v>
          </cell>
          <cell r="I1221">
            <v>339.43270000000001</v>
          </cell>
          <cell r="J1221" t="str">
            <v>Income Statement</v>
          </cell>
          <cell r="K1221" t="str">
            <v>Operating expenses</v>
          </cell>
          <cell r="L1221" t="str">
            <v>Vat on imported services</v>
          </cell>
          <cell r="N1221">
            <v>-78418.409628771769</v>
          </cell>
          <cell r="O1221">
            <v>40940</v>
          </cell>
        </row>
        <row r="1222">
          <cell r="G1222" t="str">
            <v>4834000</v>
          </cell>
          <cell r="H1222">
            <v>320.55470000000003</v>
          </cell>
          <cell r="I1222">
            <v>339.43270000000001</v>
          </cell>
          <cell r="J1222" t="str">
            <v>Income Statement</v>
          </cell>
          <cell r="K1222" t="str">
            <v>Operating expenses</v>
          </cell>
          <cell r="L1222" t="str">
            <v>Vat on imported services</v>
          </cell>
          <cell r="N1222">
            <v>928669.27081568749</v>
          </cell>
          <cell r="O1222">
            <v>40940</v>
          </cell>
        </row>
        <row r="1223">
          <cell r="G1223" t="str">
            <v>5101001</v>
          </cell>
          <cell r="H1223">
            <v>320.55470000000003</v>
          </cell>
          <cell r="I1223">
            <v>339.43270000000001</v>
          </cell>
          <cell r="J1223" t="str">
            <v>Equity</v>
          </cell>
          <cell r="K1223" t="str">
            <v>Share capital</v>
          </cell>
          <cell r="L1223" t="str">
            <v>Share Capital</v>
          </cell>
          <cell r="M1223" t="str">
            <v>Ordinary shares</v>
          </cell>
          <cell r="N1223">
            <v>-187175.54289486317</v>
          </cell>
          <cell r="O1223">
            <v>40940</v>
          </cell>
        </row>
        <row r="1224">
          <cell r="G1224" t="str">
            <v>5155001</v>
          </cell>
          <cell r="H1224">
            <v>320.55470000000003</v>
          </cell>
          <cell r="I1224">
            <v>339.43270000000001</v>
          </cell>
          <cell r="J1224" t="str">
            <v>Equity</v>
          </cell>
          <cell r="K1224" t="str">
            <v>Equity loan</v>
          </cell>
          <cell r="L1224" t="str">
            <v>Equity loan</v>
          </cell>
          <cell r="M1224" t="str">
            <v>Equity loan</v>
          </cell>
          <cell r="N1224">
            <v>-102946548.59217474</v>
          </cell>
          <cell r="O1224">
            <v>40940</v>
          </cell>
        </row>
        <row r="1225">
          <cell r="G1225" t="str">
            <v>5201001</v>
          </cell>
          <cell r="H1225">
            <v>320.55470000000003</v>
          </cell>
          <cell r="I1225">
            <v>339.43270000000001</v>
          </cell>
          <cell r="J1225" t="str">
            <v>Equity</v>
          </cell>
          <cell r="K1225" t="str">
            <v>Retained earnings/ (Accumulated loss)</v>
          </cell>
          <cell r="L1225" t="str">
            <v>Retained earnings/ (Accumulated loss)</v>
          </cell>
          <cell r="M1225" t="str">
            <v>Retained earnings</v>
          </cell>
          <cell r="N1225">
            <v>59978022.00307779</v>
          </cell>
          <cell r="O1225">
            <v>40940</v>
          </cell>
        </row>
        <row r="1226">
          <cell r="G1226" t="str">
            <v>5201002</v>
          </cell>
          <cell r="H1226">
            <v>320.55470000000003</v>
          </cell>
          <cell r="I1226">
            <v>339.43270000000001</v>
          </cell>
          <cell r="J1226" t="str">
            <v>Equity</v>
          </cell>
          <cell r="K1226" t="str">
            <v>Retained earnings/ (Accumulated loss)</v>
          </cell>
          <cell r="L1226" t="str">
            <v>Retained earnings/ (Accumulated loss)</v>
          </cell>
          <cell r="M1226" t="str">
            <v>Retained earnings</v>
          </cell>
          <cell r="N1226">
            <v>-5750822.4785348643</v>
          </cell>
          <cell r="O1226">
            <v>40940</v>
          </cell>
        </row>
        <row r="1227">
          <cell r="G1227" t="str">
            <v>6103001</v>
          </cell>
          <cell r="H1227">
            <v>320.55470000000003</v>
          </cell>
          <cell r="I1227">
            <v>339.43270000000001</v>
          </cell>
          <cell r="J1227" t="str">
            <v>Assets</v>
          </cell>
          <cell r="K1227" t="str">
            <v>Property, plant and equipment</v>
          </cell>
          <cell r="L1227" t="str">
            <v>F&amp;F</v>
          </cell>
          <cell r="M1227" t="str">
            <v>Cost</v>
          </cell>
          <cell r="N1227">
            <v>1160063.2082449577</v>
          </cell>
          <cell r="O1227">
            <v>40940</v>
          </cell>
        </row>
        <row r="1228">
          <cell r="G1228" t="str">
            <v>6103101</v>
          </cell>
          <cell r="H1228">
            <v>320.55470000000003</v>
          </cell>
          <cell r="I1228">
            <v>339.43270000000001</v>
          </cell>
          <cell r="J1228" t="str">
            <v>Assets</v>
          </cell>
          <cell r="K1228" t="str">
            <v>Property, plant and equipment</v>
          </cell>
          <cell r="L1228" t="str">
            <v>F&amp;F</v>
          </cell>
          <cell r="M1228" t="str">
            <v>Acc Dep</v>
          </cell>
          <cell r="N1228">
            <v>-872534.28466342867</v>
          </cell>
          <cell r="O1228">
            <v>40940</v>
          </cell>
        </row>
        <row r="1229">
          <cell r="G1229" t="str">
            <v>6103102</v>
          </cell>
          <cell r="H1229">
            <v>320.55470000000003</v>
          </cell>
          <cell r="I1229">
            <v>339.43270000000001</v>
          </cell>
          <cell r="J1229" t="str">
            <v>Assets</v>
          </cell>
          <cell r="K1229" t="str">
            <v>Property, plant and equipment</v>
          </cell>
          <cell r="L1229" t="str">
            <v>F&amp;F</v>
          </cell>
          <cell r="M1229" t="str">
            <v>Acc Dep</v>
          </cell>
          <cell r="N1229">
            <v>-196776.69246465576</v>
          </cell>
          <cell r="O1229">
            <v>40940</v>
          </cell>
        </row>
        <row r="1230">
          <cell r="G1230" t="str">
            <v>6104001</v>
          </cell>
          <cell r="H1230">
            <v>320.55470000000003</v>
          </cell>
          <cell r="I1230">
            <v>339.43270000000001</v>
          </cell>
          <cell r="J1230" t="str">
            <v>Assets</v>
          </cell>
          <cell r="K1230" t="str">
            <v>Property, plant and equipment</v>
          </cell>
          <cell r="L1230" t="str">
            <v>Vehicles</v>
          </cell>
          <cell r="M1230" t="str">
            <v>Cost</v>
          </cell>
          <cell r="N1230">
            <v>442379.80912462051</v>
          </cell>
          <cell r="O1230">
            <v>40940</v>
          </cell>
        </row>
        <row r="1231">
          <cell r="G1231" t="str">
            <v>6104002</v>
          </cell>
          <cell r="H1231">
            <v>320.55470000000003</v>
          </cell>
          <cell r="I1231">
            <v>339.43270000000001</v>
          </cell>
          <cell r="J1231" t="str">
            <v>Assets</v>
          </cell>
          <cell r="K1231" t="str">
            <v>Property, plant and equipment</v>
          </cell>
          <cell r="L1231" t="str">
            <v>Vehicles</v>
          </cell>
          <cell r="M1231" t="str">
            <v>Cost</v>
          </cell>
          <cell r="N1231">
            <v>140192.33634696354</v>
          </cell>
          <cell r="O1231">
            <v>40940</v>
          </cell>
        </row>
        <row r="1232">
          <cell r="G1232" t="str">
            <v>6104101</v>
          </cell>
          <cell r="H1232">
            <v>320.55470000000003</v>
          </cell>
          <cell r="I1232">
            <v>339.43270000000001</v>
          </cell>
          <cell r="J1232" t="str">
            <v>Assets</v>
          </cell>
          <cell r="K1232" t="str">
            <v>Property, plant and equipment</v>
          </cell>
          <cell r="L1232" t="str">
            <v>Vehicles</v>
          </cell>
          <cell r="M1232" t="str">
            <v>Acc Dep</v>
          </cell>
          <cell r="N1232">
            <v>-356773.74887967639</v>
          </cell>
          <cell r="O1232">
            <v>40940</v>
          </cell>
        </row>
        <row r="1233">
          <cell r="G1233" t="str">
            <v>6104102</v>
          </cell>
          <cell r="H1233">
            <v>320.55470000000003</v>
          </cell>
          <cell r="I1233">
            <v>339.43270000000001</v>
          </cell>
          <cell r="J1233" t="str">
            <v>Assets</v>
          </cell>
          <cell r="K1233" t="str">
            <v>Property, plant and equipment</v>
          </cell>
          <cell r="L1233" t="str">
            <v>Vehicles</v>
          </cell>
          <cell r="M1233" t="str">
            <v>Acc Dep</v>
          </cell>
          <cell r="N1233">
            <v>-88641.133634914717</v>
          </cell>
          <cell r="O1233">
            <v>40940</v>
          </cell>
        </row>
        <row r="1234">
          <cell r="G1234" t="str">
            <v>6105001</v>
          </cell>
          <cell r="H1234">
            <v>320.55470000000003</v>
          </cell>
          <cell r="I1234">
            <v>339.43270000000001</v>
          </cell>
          <cell r="J1234" t="str">
            <v>Assets</v>
          </cell>
          <cell r="K1234" t="str">
            <v>Property, plant and equipment</v>
          </cell>
          <cell r="L1234" t="str">
            <v>IT Equip</v>
          </cell>
          <cell r="M1234" t="str">
            <v>Cost</v>
          </cell>
          <cell r="N1234">
            <v>340801.49412877113</v>
          </cell>
          <cell r="O1234">
            <v>40940</v>
          </cell>
        </row>
        <row r="1235">
          <cell r="G1235" t="str">
            <v>6105002</v>
          </cell>
          <cell r="H1235">
            <v>320.55470000000003</v>
          </cell>
          <cell r="I1235">
            <v>339.43270000000001</v>
          </cell>
          <cell r="J1235" t="str">
            <v>Assets</v>
          </cell>
          <cell r="K1235" t="str">
            <v>Property, plant and equipment</v>
          </cell>
          <cell r="L1235" t="str">
            <v>IT Equip</v>
          </cell>
          <cell r="M1235" t="str">
            <v>Cost</v>
          </cell>
          <cell r="N1235">
            <v>7508.510747151734</v>
          </cell>
          <cell r="O1235">
            <v>40940</v>
          </cell>
        </row>
        <row r="1236">
          <cell r="G1236" t="str">
            <v>6105101</v>
          </cell>
          <cell r="H1236">
            <v>320.55470000000003</v>
          </cell>
          <cell r="I1236">
            <v>339.43270000000001</v>
          </cell>
          <cell r="J1236" t="str">
            <v>Assets</v>
          </cell>
          <cell r="K1236" t="str">
            <v>Property, plant and equipment</v>
          </cell>
          <cell r="L1236" t="str">
            <v>IT Equip</v>
          </cell>
          <cell r="M1236" t="str">
            <v>Acc Dep</v>
          </cell>
          <cell r="N1236">
            <v>-188541.17827628172</v>
          </cell>
          <cell r="O1236">
            <v>40940</v>
          </cell>
        </row>
        <row r="1237">
          <cell r="G1237" t="str">
            <v>6105102</v>
          </cell>
          <cell r="H1237">
            <v>320.55470000000003</v>
          </cell>
          <cell r="I1237">
            <v>339.43270000000001</v>
          </cell>
          <cell r="J1237" t="str">
            <v>Assets</v>
          </cell>
          <cell r="K1237" t="str">
            <v>Property, plant and equipment</v>
          </cell>
          <cell r="L1237" t="str">
            <v>IT Equip</v>
          </cell>
          <cell r="M1237" t="str">
            <v>Acc Dep</v>
          </cell>
          <cell r="N1237">
            <v>-58434.792096325524</v>
          </cell>
          <cell r="O1237">
            <v>40940</v>
          </cell>
        </row>
        <row r="1238">
          <cell r="G1238" t="str">
            <v>6630001</v>
          </cell>
          <cell r="H1238">
            <v>320.55470000000003</v>
          </cell>
          <cell r="I1238">
            <v>339.43270000000001</v>
          </cell>
          <cell r="J1238" t="str">
            <v>Assets</v>
          </cell>
          <cell r="K1238" t="str">
            <v>Investments in subsidiaries</v>
          </cell>
          <cell r="L1238" t="str">
            <v>BIS Uganda</v>
          </cell>
          <cell r="N1238">
            <v>154419.8228882621</v>
          </cell>
          <cell r="O1238">
            <v>40940</v>
          </cell>
        </row>
        <row r="1239">
          <cell r="G1239" t="str">
            <v>7100099</v>
          </cell>
          <cell r="H1239">
            <v>320.55470000000003</v>
          </cell>
          <cell r="I1239">
            <v>339.43270000000001</v>
          </cell>
          <cell r="J1239" t="str">
            <v>Liabilities</v>
          </cell>
          <cell r="K1239" t="str">
            <v>Cash and cash equivalents</v>
          </cell>
          <cell r="L1239" t="str">
            <v>Bank overdraft</v>
          </cell>
          <cell r="N1239">
            <v>-4118.3454805061347</v>
          </cell>
          <cell r="O1239">
            <v>40940</v>
          </cell>
        </row>
        <row r="1240">
          <cell r="G1240" t="str">
            <v>7104231</v>
          </cell>
          <cell r="H1240">
            <v>320.55470000000003</v>
          </cell>
          <cell r="I1240">
            <v>339.43270000000001</v>
          </cell>
          <cell r="J1240" t="str">
            <v>Assets</v>
          </cell>
          <cell r="K1240" t="str">
            <v>Cash and cash equivalents</v>
          </cell>
          <cell r="L1240" t="str">
            <v>Bank balances</v>
          </cell>
          <cell r="N1240">
            <v>4648.2428739931129</v>
          </cell>
          <cell r="O1240">
            <v>40940</v>
          </cell>
        </row>
        <row r="1241">
          <cell r="G1241" t="str">
            <v>7108231</v>
          </cell>
          <cell r="H1241">
            <v>320.55470000000003</v>
          </cell>
          <cell r="I1241">
            <v>339.43270000000001</v>
          </cell>
          <cell r="J1241" t="str">
            <v>Assets</v>
          </cell>
          <cell r="K1241" t="str">
            <v>Cash and cash equivalents</v>
          </cell>
          <cell r="L1241" t="str">
            <v>Bank balances</v>
          </cell>
          <cell r="N1241">
            <v>1435618.3297265645</v>
          </cell>
          <cell r="O1241">
            <v>40940</v>
          </cell>
        </row>
        <row r="1242">
          <cell r="G1242" t="str">
            <v>7108232</v>
          </cell>
          <cell r="H1242">
            <v>320.55470000000003</v>
          </cell>
          <cell r="I1242">
            <v>339.43270000000001</v>
          </cell>
          <cell r="J1242" t="str">
            <v>Assets</v>
          </cell>
          <cell r="K1242" t="str">
            <v>Cash and cash equivalents</v>
          </cell>
          <cell r="L1242" t="str">
            <v>Bank balances</v>
          </cell>
          <cell r="N1242">
            <v>363328.64562584792</v>
          </cell>
          <cell r="O1242">
            <v>40940</v>
          </cell>
        </row>
        <row r="1243">
          <cell r="G1243" t="str">
            <v>7108240</v>
          </cell>
          <cell r="H1243">
            <v>320.55470000000003</v>
          </cell>
          <cell r="I1243">
            <v>339.43270000000001</v>
          </cell>
          <cell r="J1243" t="str">
            <v>Assets</v>
          </cell>
          <cell r="K1243" t="str">
            <v>Cash and cash equivalents</v>
          </cell>
          <cell r="L1243" t="str">
            <v>Bank balances</v>
          </cell>
          <cell r="N1243">
            <v>109.18573335533685</v>
          </cell>
          <cell r="O1243">
            <v>40940</v>
          </cell>
        </row>
        <row r="1244">
          <cell r="G1244" t="str">
            <v>7199231</v>
          </cell>
          <cell r="H1244">
            <v>320.55470000000003</v>
          </cell>
          <cell r="I1244">
            <v>339.43270000000001</v>
          </cell>
          <cell r="J1244" t="str">
            <v>Assets</v>
          </cell>
          <cell r="K1244" t="str">
            <v>Cash and cash equivalents</v>
          </cell>
          <cell r="L1244" t="str">
            <v>Bank balances</v>
          </cell>
          <cell r="N1244">
            <v>138996.424011253</v>
          </cell>
          <cell r="O1244">
            <v>40940</v>
          </cell>
        </row>
        <row r="1245">
          <cell r="G1245" t="str">
            <v>7201002</v>
          </cell>
          <cell r="H1245">
            <v>320.55470000000003</v>
          </cell>
          <cell r="I1245">
            <v>339.43270000000001</v>
          </cell>
          <cell r="J1245" t="str">
            <v>Assets</v>
          </cell>
          <cell r="K1245" t="str">
            <v>Loans and advances to customers</v>
          </cell>
          <cell r="L1245" t="str">
            <v>Term Loans</v>
          </cell>
          <cell r="M1245" t="str">
            <v>Gross loan advances to customers</v>
          </cell>
          <cell r="N1245">
            <v>77095712.962249503</v>
          </cell>
          <cell r="O1245">
            <v>40940</v>
          </cell>
        </row>
        <row r="1246">
          <cell r="G1246" t="str">
            <v>7201004</v>
          </cell>
          <cell r="H1246">
            <v>320.55470000000003</v>
          </cell>
          <cell r="I1246">
            <v>339.43270000000001</v>
          </cell>
          <cell r="J1246" t="str">
            <v>Assets</v>
          </cell>
          <cell r="K1246" t="str">
            <v>Loans and advances to customers</v>
          </cell>
          <cell r="L1246" t="str">
            <v>Term Loans</v>
          </cell>
          <cell r="M1246" t="str">
            <v>Gross loan advances to customers</v>
          </cell>
          <cell r="N1246">
            <v>19804036.923869777</v>
          </cell>
          <cell r="O1246">
            <v>40940</v>
          </cell>
        </row>
        <row r="1247">
          <cell r="G1247" t="str">
            <v>7201005</v>
          </cell>
          <cell r="H1247">
            <v>320.55470000000003</v>
          </cell>
          <cell r="I1247">
            <v>339.43270000000001</v>
          </cell>
          <cell r="J1247" t="str">
            <v>Assets</v>
          </cell>
          <cell r="K1247" t="str">
            <v>Loans and advances to customers</v>
          </cell>
          <cell r="L1247" t="str">
            <v>Term Loans</v>
          </cell>
          <cell r="M1247" t="str">
            <v>Gross loan advances to customers</v>
          </cell>
          <cell r="N1247">
            <v>6317493.2266786285</v>
          </cell>
          <cell r="O1247">
            <v>40940</v>
          </cell>
        </row>
        <row r="1248">
          <cell r="G1248" t="str">
            <v>7201007</v>
          </cell>
          <cell r="H1248">
            <v>320.55470000000003</v>
          </cell>
          <cell r="I1248">
            <v>339.43270000000001</v>
          </cell>
          <cell r="J1248" t="str">
            <v>Assets</v>
          </cell>
          <cell r="K1248" t="str">
            <v>Loans and advances to customers</v>
          </cell>
          <cell r="L1248" t="str">
            <v>Term Loans</v>
          </cell>
          <cell r="M1248" t="str">
            <v>Gross loan advances to customers</v>
          </cell>
          <cell r="N1248">
            <v>2162384.4559134524</v>
          </cell>
          <cell r="O1248">
            <v>40940</v>
          </cell>
        </row>
        <row r="1249">
          <cell r="G1249" t="str">
            <v>7201010</v>
          </cell>
          <cell r="H1249">
            <v>320.55470000000003</v>
          </cell>
          <cell r="I1249">
            <v>339.43270000000001</v>
          </cell>
          <cell r="J1249" t="str">
            <v>Assets</v>
          </cell>
          <cell r="K1249" t="str">
            <v>Loans and advances to customers</v>
          </cell>
          <cell r="L1249" t="str">
            <v>Term Loans</v>
          </cell>
          <cell r="M1249" t="str">
            <v>Gross loan advances to customers</v>
          </cell>
          <cell r="N1249">
            <v>-57868560.865899011</v>
          </cell>
          <cell r="O1249">
            <v>40940</v>
          </cell>
        </row>
        <row r="1250">
          <cell r="G1250" t="str">
            <v>7201015</v>
          </cell>
          <cell r="H1250">
            <v>320.55470000000003</v>
          </cell>
          <cell r="I1250">
            <v>339.43270000000001</v>
          </cell>
          <cell r="J1250" t="str">
            <v>Assets</v>
          </cell>
          <cell r="K1250" t="str">
            <v>Loans and advances to customers</v>
          </cell>
          <cell r="L1250" t="str">
            <v>Term Loans</v>
          </cell>
          <cell r="M1250" t="str">
            <v>Gross loan advances to customers</v>
          </cell>
          <cell r="N1250">
            <v>-4406411.2494373033</v>
          </cell>
          <cell r="O1250">
            <v>40940</v>
          </cell>
        </row>
        <row r="1251">
          <cell r="G1251" t="str">
            <v>7201019</v>
          </cell>
          <cell r="H1251">
            <v>320.55470000000003</v>
          </cell>
          <cell r="I1251">
            <v>339.43270000000001</v>
          </cell>
          <cell r="J1251" t="str">
            <v>Assets</v>
          </cell>
          <cell r="K1251" t="str">
            <v>Loans and advances to customers</v>
          </cell>
          <cell r="L1251" t="str">
            <v>Term Loans</v>
          </cell>
          <cell r="M1251" t="str">
            <v>Gross loan advances to customers</v>
          </cell>
          <cell r="N1251">
            <v>4386083.9160367949</v>
          </cell>
          <cell r="O1251">
            <v>40940</v>
          </cell>
        </row>
        <row r="1252">
          <cell r="G1252" t="str">
            <v>7203002</v>
          </cell>
          <cell r="H1252">
            <v>320.55470000000003</v>
          </cell>
          <cell r="I1252">
            <v>339.43270000000001</v>
          </cell>
          <cell r="J1252" t="str">
            <v>Assets</v>
          </cell>
          <cell r="K1252" t="str">
            <v>Loans and advances to customers</v>
          </cell>
          <cell r="L1252" t="str">
            <v>Cash Express</v>
          </cell>
          <cell r="M1252" t="str">
            <v>Gross loan advances to customers</v>
          </cell>
          <cell r="N1252">
            <v>1610863.9180458123</v>
          </cell>
          <cell r="O1252">
            <v>40940</v>
          </cell>
        </row>
        <row r="1253">
          <cell r="G1253" t="str">
            <v>7203004</v>
          </cell>
          <cell r="H1253">
            <v>320.55470000000003</v>
          </cell>
          <cell r="I1253">
            <v>339.43270000000001</v>
          </cell>
          <cell r="J1253" t="str">
            <v>Assets</v>
          </cell>
          <cell r="K1253" t="str">
            <v>Loans and advances to customers</v>
          </cell>
          <cell r="L1253" t="str">
            <v>Cash Express</v>
          </cell>
          <cell r="M1253" t="str">
            <v>Gross loan advances to customers</v>
          </cell>
          <cell r="N1253">
            <v>351190.81601361639</v>
          </cell>
          <cell r="O1253">
            <v>40940</v>
          </cell>
        </row>
        <row r="1254">
          <cell r="G1254" t="str">
            <v>7203010</v>
          </cell>
          <cell r="H1254">
            <v>320.55470000000003</v>
          </cell>
          <cell r="I1254">
            <v>339.43270000000001</v>
          </cell>
          <cell r="J1254" t="str">
            <v>Assets</v>
          </cell>
          <cell r="K1254" t="str">
            <v>Loans and advances to customers</v>
          </cell>
          <cell r="L1254" t="str">
            <v>Cash Express</v>
          </cell>
          <cell r="M1254" t="str">
            <v>Gross loan advances to customers</v>
          </cell>
          <cell r="N1254">
            <v>-1702283.6247916501</v>
          </cell>
          <cell r="O1254">
            <v>40940</v>
          </cell>
        </row>
        <row r="1255">
          <cell r="G1255" t="str">
            <v>7299992</v>
          </cell>
          <cell r="H1255">
            <v>320.55470000000003</v>
          </cell>
          <cell r="I1255">
            <v>339.43270000000001</v>
          </cell>
          <cell r="J1255" t="str">
            <v>Liabilities</v>
          </cell>
          <cell r="K1255" t="str">
            <v>Trade and other payables</v>
          </cell>
          <cell r="L1255" t="str">
            <v>Overpayments</v>
          </cell>
          <cell r="N1255">
            <v>-1290482.1431412485</v>
          </cell>
          <cell r="O1255">
            <v>40940</v>
          </cell>
        </row>
        <row r="1256">
          <cell r="G1256" t="str">
            <v>7299995</v>
          </cell>
          <cell r="H1256">
            <v>1</v>
          </cell>
          <cell r="I1256">
            <v>1</v>
          </cell>
          <cell r="J1256" t="str">
            <v>Assets</v>
          </cell>
          <cell r="K1256" t="str">
            <v>Loans and advances to customers</v>
          </cell>
          <cell r="L1256" t="str">
            <v>Term Loans</v>
          </cell>
          <cell r="M1256" t="str">
            <v>Gross loan advances to customers</v>
          </cell>
          <cell r="N1256">
            <v>-1703888.2013696798</v>
          </cell>
          <cell r="O1256">
            <v>40940</v>
          </cell>
        </row>
        <row r="1257">
          <cell r="G1257" t="str">
            <v>7299995</v>
          </cell>
          <cell r="H1257">
            <v>320.55470000000003</v>
          </cell>
          <cell r="I1257">
            <v>339.43270000000001</v>
          </cell>
          <cell r="J1257" t="str">
            <v>Assets</v>
          </cell>
          <cell r="K1257" t="str">
            <v>Loans and advances to customers</v>
          </cell>
          <cell r="L1257" t="str">
            <v>Term Loans</v>
          </cell>
          <cell r="M1257" t="str">
            <v>Gross loan advances to customers</v>
          </cell>
          <cell r="N1257">
            <v>243271.538242927</v>
          </cell>
          <cell r="O1257">
            <v>40940</v>
          </cell>
        </row>
        <row r="1258">
          <cell r="G1258" t="str">
            <v>7299999</v>
          </cell>
          <cell r="H1258">
            <v>320.55470000000003</v>
          </cell>
          <cell r="I1258">
            <v>339.43270000000001</v>
          </cell>
          <cell r="J1258" t="str">
            <v>Assets</v>
          </cell>
          <cell r="K1258" t="str">
            <v>Loans and advances to customers</v>
          </cell>
          <cell r="L1258" t="str">
            <v>Unallocated Deposits</v>
          </cell>
          <cell r="M1258" t="str">
            <v>Gross loan advances to customers</v>
          </cell>
          <cell r="N1258">
            <v>-520787.0901596513</v>
          </cell>
          <cell r="O1258">
            <v>40940</v>
          </cell>
        </row>
        <row r="1259">
          <cell r="G1259" t="str">
            <v>7301001</v>
          </cell>
          <cell r="H1259">
            <v>320.55470000000003</v>
          </cell>
          <cell r="I1259">
            <v>339.43270000000001</v>
          </cell>
          <cell r="J1259" t="str">
            <v>Assets</v>
          </cell>
          <cell r="K1259" t="str">
            <v>Loans and advances to customers</v>
          </cell>
          <cell r="L1259" t="str">
            <v>Term Loans</v>
          </cell>
          <cell r="M1259" t="str">
            <v>Allowance for impairment</v>
          </cell>
          <cell r="N1259">
            <v>-13208238.623049358</v>
          </cell>
          <cell r="O1259">
            <v>40940</v>
          </cell>
        </row>
        <row r="1260">
          <cell r="G1260" t="str">
            <v>7301002</v>
          </cell>
          <cell r="H1260">
            <v>1</v>
          </cell>
          <cell r="I1260">
            <v>1</v>
          </cell>
          <cell r="J1260" t="str">
            <v>Assets</v>
          </cell>
          <cell r="K1260" t="str">
            <v>Loans and advances to customers</v>
          </cell>
          <cell r="L1260" t="str">
            <v>Term Loans</v>
          </cell>
          <cell r="M1260" t="str">
            <v>Allowance for impairment</v>
          </cell>
          <cell r="N1260">
            <v>1703888.2013696798</v>
          </cell>
          <cell r="O1260">
            <v>40940</v>
          </cell>
        </row>
        <row r="1261">
          <cell r="G1261" t="str">
            <v>7301002</v>
          </cell>
          <cell r="H1261">
            <v>320.55470000000003</v>
          </cell>
          <cell r="I1261">
            <v>339.43270000000001</v>
          </cell>
          <cell r="J1261" t="str">
            <v>Assets</v>
          </cell>
          <cell r="K1261" t="str">
            <v>Loans and advances to customers</v>
          </cell>
          <cell r="L1261" t="str">
            <v>Term Loans</v>
          </cell>
          <cell r="M1261" t="str">
            <v>Allowance for impairment</v>
          </cell>
          <cell r="N1261">
            <v>-9925276.065582566</v>
          </cell>
          <cell r="O1261">
            <v>40940</v>
          </cell>
        </row>
        <row r="1262">
          <cell r="G1262" t="str">
            <v>7303001</v>
          </cell>
          <cell r="H1262">
            <v>320.55470000000003</v>
          </cell>
          <cell r="I1262">
            <v>339.43270000000001</v>
          </cell>
          <cell r="J1262" t="str">
            <v>Assets</v>
          </cell>
          <cell r="K1262" t="str">
            <v>Loans and advances to customers</v>
          </cell>
          <cell r="L1262" t="str">
            <v>Cash Express</v>
          </cell>
          <cell r="M1262" t="str">
            <v>Allowance for impairment</v>
          </cell>
          <cell r="N1262">
            <v>-53366.808379349917</v>
          </cell>
          <cell r="O1262">
            <v>40940</v>
          </cell>
        </row>
        <row r="1263">
          <cell r="G1263" t="str">
            <v>7303002</v>
          </cell>
          <cell r="H1263">
            <v>320.55470000000003</v>
          </cell>
          <cell r="I1263">
            <v>339.43270000000001</v>
          </cell>
          <cell r="J1263" t="str">
            <v>Assets</v>
          </cell>
          <cell r="K1263" t="str">
            <v>Loans and advances to customers</v>
          </cell>
          <cell r="L1263" t="str">
            <v>Cash Express</v>
          </cell>
          <cell r="M1263" t="str">
            <v>Allowance for impairment</v>
          </cell>
          <cell r="N1263">
            <v>43290.683243764637</v>
          </cell>
          <cell r="O1263">
            <v>40940</v>
          </cell>
        </row>
        <row r="1264">
          <cell r="G1264" t="str">
            <v>7502000</v>
          </cell>
          <cell r="H1264">
            <v>320.55470000000003</v>
          </cell>
          <cell r="I1264">
            <v>339.43270000000001</v>
          </cell>
          <cell r="J1264" t="str">
            <v>Assets</v>
          </cell>
          <cell r="K1264" t="str">
            <v>Trade and other receivables</v>
          </cell>
          <cell r="L1264" t="str">
            <v>Prepaid Expenses</v>
          </cell>
          <cell r="N1264">
            <v>250769.72541659811</v>
          </cell>
          <cell r="O1264">
            <v>40940</v>
          </cell>
        </row>
        <row r="1265">
          <cell r="G1265" t="str">
            <v>8101001</v>
          </cell>
          <cell r="H1265">
            <v>320.55470000000003</v>
          </cell>
          <cell r="I1265">
            <v>339.43270000000001</v>
          </cell>
          <cell r="J1265" t="str">
            <v>Liabilities</v>
          </cell>
          <cell r="K1265" t="str">
            <v>Trade and other payables</v>
          </cell>
          <cell r="L1265" t="str">
            <v>Payroll Liabilities</v>
          </cell>
          <cell r="M1265" t="str">
            <v>Leave Provision</v>
          </cell>
          <cell r="N1265">
            <v>-74655.34559312342</v>
          </cell>
          <cell r="O1265">
            <v>40940</v>
          </cell>
        </row>
        <row r="1266">
          <cell r="G1266" t="str">
            <v>8101002</v>
          </cell>
          <cell r="H1266">
            <v>320.55470000000003</v>
          </cell>
          <cell r="I1266">
            <v>339.43270000000001</v>
          </cell>
          <cell r="J1266" t="str">
            <v>Liabilities</v>
          </cell>
          <cell r="K1266" t="str">
            <v>Trade and other payables</v>
          </cell>
          <cell r="L1266" t="str">
            <v>Payroll Liabilities</v>
          </cell>
          <cell r="M1266" t="str">
            <v>Leave Provision</v>
          </cell>
          <cell r="N1266">
            <v>-48758.671577736961</v>
          </cell>
          <cell r="O1266">
            <v>40940</v>
          </cell>
        </row>
        <row r="1267">
          <cell r="G1267" t="str">
            <v>8202001</v>
          </cell>
          <cell r="H1267">
            <v>320.55470000000003</v>
          </cell>
          <cell r="I1267">
            <v>339.43270000000001</v>
          </cell>
          <cell r="J1267" t="str">
            <v>Liabilities</v>
          </cell>
          <cell r="K1267" t="str">
            <v>Operating Lease liability</v>
          </cell>
          <cell r="L1267" t="str">
            <v>Premisis</v>
          </cell>
          <cell r="N1267">
            <v>-8496.0788283559705</v>
          </cell>
          <cell r="O1267">
            <v>40940</v>
          </cell>
        </row>
        <row r="1268">
          <cell r="G1268" t="str">
            <v>8202002</v>
          </cell>
          <cell r="H1268">
            <v>320.55470000000003</v>
          </cell>
          <cell r="I1268">
            <v>339.43270000000001</v>
          </cell>
          <cell r="J1268" t="str">
            <v>Liabilities</v>
          </cell>
          <cell r="K1268" t="str">
            <v>Operating Lease liability</v>
          </cell>
          <cell r="L1268" t="str">
            <v>Premisis</v>
          </cell>
          <cell r="N1268">
            <v>5453.0474830036801</v>
          </cell>
          <cell r="O1268">
            <v>40940</v>
          </cell>
        </row>
        <row r="1269">
          <cell r="G1269" t="str">
            <v>8301001</v>
          </cell>
          <cell r="H1269">
            <v>320.55470000000003</v>
          </cell>
          <cell r="I1269">
            <v>339.43270000000001</v>
          </cell>
          <cell r="J1269" t="str">
            <v>Assets</v>
          </cell>
          <cell r="K1269" t="str">
            <v>Loans and advances to customers</v>
          </cell>
          <cell r="L1269" t="str">
            <v>Deferred Initiation Fees</v>
          </cell>
          <cell r="M1269" t="str">
            <v>Deferred Initiation Fees</v>
          </cell>
          <cell r="N1269">
            <v>-1269664.4379258826</v>
          </cell>
          <cell r="O1269">
            <v>40940</v>
          </cell>
        </row>
        <row r="1270">
          <cell r="G1270" t="str">
            <v>8301002</v>
          </cell>
          <cell r="H1270">
            <v>320.55470000000003</v>
          </cell>
          <cell r="I1270">
            <v>339.43270000000001</v>
          </cell>
          <cell r="J1270" t="str">
            <v>Assets</v>
          </cell>
          <cell r="K1270" t="str">
            <v>Loans and advances to customers</v>
          </cell>
          <cell r="L1270" t="str">
            <v>Deferred Initiation Fees</v>
          </cell>
          <cell r="M1270" t="str">
            <v>Deferred Initiation Fees</v>
          </cell>
          <cell r="N1270">
            <v>-709547.81196469744</v>
          </cell>
          <cell r="O1270">
            <v>40940</v>
          </cell>
        </row>
        <row r="1271">
          <cell r="G1271" t="str">
            <v>9301000</v>
          </cell>
          <cell r="H1271">
            <v>320.55470000000003</v>
          </cell>
          <cell r="I1271">
            <v>339.43270000000001</v>
          </cell>
          <cell r="J1271" t="str">
            <v>Liabilities</v>
          </cell>
          <cell r="K1271" t="str">
            <v>Trade and other payables</v>
          </cell>
          <cell r="L1271" t="str">
            <v>Trade payables</v>
          </cell>
          <cell r="M1271" t="str">
            <v>Trade creditors</v>
          </cell>
          <cell r="N1271">
            <v>-564778.18581352872</v>
          </cell>
          <cell r="O1271">
            <v>40940</v>
          </cell>
        </row>
        <row r="1272">
          <cell r="G1272" t="str">
            <v>9311000</v>
          </cell>
          <cell r="H1272">
            <v>320.55470000000003</v>
          </cell>
          <cell r="I1272">
            <v>339.43270000000001</v>
          </cell>
          <cell r="J1272" t="str">
            <v>Liabilities</v>
          </cell>
          <cell r="K1272" t="str">
            <v>Trade and other payables</v>
          </cell>
          <cell r="L1272" t="str">
            <v>Accruals</v>
          </cell>
          <cell r="N1272">
            <v>-56926.658695068261</v>
          </cell>
          <cell r="O1272">
            <v>40940</v>
          </cell>
        </row>
        <row r="1273">
          <cell r="G1273" t="str">
            <v>9327000</v>
          </cell>
          <cell r="H1273">
            <v>320.55470000000003</v>
          </cell>
          <cell r="I1273">
            <v>339.43270000000001</v>
          </cell>
          <cell r="J1273" t="str">
            <v>Liabilities</v>
          </cell>
          <cell r="K1273" t="str">
            <v>Trade and other payables</v>
          </cell>
          <cell r="L1273" t="str">
            <v>Trade payables</v>
          </cell>
          <cell r="N1273">
            <v>-129464.20704485067</v>
          </cell>
          <cell r="O1273">
            <v>40940</v>
          </cell>
        </row>
        <row r="1274">
          <cell r="G1274" t="str">
            <v>9331000</v>
          </cell>
          <cell r="H1274">
            <v>320.55470000000003</v>
          </cell>
          <cell r="I1274">
            <v>339.43270000000001</v>
          </cell>
          <cell r="J1274" t="str">
            <v>Liabilities</v>
          </cell>
          <cell r="K1274" t="str">
            <v>Trade and other payables</v>
          </cell>
          <cell r="L1274" t="str">
            <v>Trade payables</v>
          </cell>
          <cell r="M1274" t="str">
            <v>Payroll control</v>
          </cell>
          <cell r="N1274">
            <v>-182.49615432249161</v>
          </cell>
          <cell r="O1274">
            <v>40940</v>
          </cell>
        </row>
        <row r="1275">
          <cell r="G1275" t="str">
            <v>9337000</v>
          </cell>
          <cell r="H1275">
            <v>320.55470000000003</v>
          </cell>
          <cell r="I1275">
            <v>339.43270000000001</v>
          </cell>
          <cell r="J1275" t="str">
            <v>Liabilities</v>
          </cell>
          <cell r="K1275" t="str">
            <v>Trade and other payables</v>
          </cell>
          <cell r="L1275" t="str">
            <v>Trade payables</v>
          </cell>
          <cell r="M1275" t="str">
            <v>Payroll control</v>
          </cell>
          <cell r="N1275">
            <v>-7836.7050303739106</v>
          </cell>
          <cell r="O1275">
            <v>40940</v>
          </cell>
        </row>
        <row r="1276">
          <cell r="G1276" t="str">
            <v>9338000</v>
          </cell>
          <cell r="H1276">
            <v>320.55470000000003</v>
          </cell>
          <cell r="I1276">
            <v>339.43270000000001</v>
          </cell>
          <cell r="J1276" t="str">
            <v>Liabilities</v>
          </cell>
          <cell r="K1276" t="str">
            <v>Trade and other payables</v>
          </cell>
          <cell r="L1276" t="str">
            <v>Trade payables</v>
          </cell>
          <cell r="M1276" t="str">
            <v>Payroll control</v>
          </cell>
          <cell r="N1276">
            <v>-4148.5115332890146</v>
          </cell>
          <cell r="O1276">
            <v>40940</v>
          </cell>
        </row>
        <row r="1277">
          <cell r="G1277" t="str">
            <v>9341000</v>
          </cell>
          <cell r="H1277">
            <v>320.55470000000003</v>
          </cell>
          <cell r="I1277">
            <v>339.43270000000001</v>
          </cell>
          <cell r="J1277" t="str">
            <v>Liabilities</v>
          </cell>
          <cell r="K1277" t="str">
            <v>Trade and other payables</v>
          </cell>
          <cell r="L1277" t="str">
            <v>Trade payables</v>
          </cell>
          <cell r="N1277">
            <v>-93.587771447431592</v>
          </cell>
          <cell r="O1277">
            <v>40940</v>
          </cell>
        </row>
        <row r="1278">
          <cell r="G1278" t="str">
            <v>9411001</v>
          </cell>
          <cell r="H1278">
            <v>320.55470000000003</v>
          </cell>
          <cell r="I1278">
            <v>339.43270000000001</v>
          </cell>
          <cell r="J1278" t="str">
            <v>Liabilities</v>
          </cell>
          <cell r="K1278" t="str">
            <v>Trade and other payables</v>
          </cell>
          <cell r="L1278" t="str">
            <v>Penalties &amp; interest</v>
          </cell>
          <cell r="M1278" t="str">
            <v>Withholding Taxation</v>
          </cell>
          <cell r="N1278">
            <v>-2170428.5290466803</v>
          </cell>
          <cell r="O1278">
            <v>40940</v>
          </cell>
        </row>
        <row r="1279">
          <cell r="G1279" t="str">
            <v>9411004</v>
          </cell>
          <cell r="H1279">
            <v>320.55470000000003</v>
          </cell>
          <cell r="I1279">
            <v>339.43270000000001</v>
          </cell>
          <cell r="J1279" t="str">
            <v>Liabilities</v>
          </cell>
          <cell r="K1279" t="str">
            <v>Trade and other payables</v>
          </cell>
          <cell r="L1279" t="str">
            <v>Penalties &amp; interest</v>
          </cell>
          <cell r="M1279" t="str">
            <v>Withholding tax</v>
          </cell>
          <cell r="N1279">
            <v>-1238500.0937437511</v>
          </cell>
          <cell r="O1279">
            <v>40940</v>
          </cell>
        </row>
        <row r="1280">
          <cell r="G1280" t="str">
            <v>9501001</v>
          </cell>
          <cell r="H1280">
            <v>320.55470000000003</v>
          </cell>
          <cell r="I1280">
            <v>339.43270000000001</v>
          </cell>
          <cell r="J1280" t="str">
            <v>Liabilities</v>
          </cell>
          <cell r="K1280" t="str">
            <v>Trade and other payables</v>
          </cell>
          <cell r="L1280" t="str">
            <v>Value Added Taxation</v>
          </cell>
          <cell r="N1280">
            <v>-3329127.3969778009</v>
          </cell>
          <cell r="O1280">
            <v>40940</v>
          </cell>
        </row>
        <row r="1281">
          <cell r="G1281" t="str">
            <v>9501002</v>
          </cell>
          <cell r="H1281">
            <v>320.55470000000003</v>
          </cell>
          <cell r="I1281">
            <v>339.43270000000001</v>
          </cell>
          <cell r="J1281" t="str">
            <v>Liabilities</v>
          </cell>
          <cell r="K1281" t="str">
            <v>Trade and other payables</v>
          </cell>
          <cell r="L1281" t="str">
            <v>Value Added Taxation</v>
          </cell>
          <cell r="N1281">
            <v>-1730638.3419428882</v>
          </cell>
          <cell r="O1281">
            <v>40940</v>
          </cell>
        </row>
        <row r="1282">
          <cell r="G1282" t="str">
            <v>9501004</v>
          </cell>
          <cell r="H1282">
            <v>320.55470000000003</v>
          </cell>
          <cell r="I1282">
            <v>339.43270000000001</v>
          </cell>
          <cell r="J1282" t="str">
            <v>Liabilities</v>
          </cell>
          <cell r="K1282" t="str">
            <v>Trade and other payables</v>
          </cell>
          <cell r="L1282" t="str">
            <v>Value Added Taxation</v>
          </cell>
          <cell r="N1282">
            <v>83036.600336853589</v>
          </cell>
          <cell r="O1282">
            <v>40940</v>
          </cell>
        </row>
        <row r="1283">
          <cell r="G1283" t="str">
            <v>9706000</v>
          </cell>
          <cell r="H1283">
            <v>320.55470000000003</v>
          </cell>
          <cell r="I1283">
            <v>339.43270000000001</v>
          </cell>
          <cell r="J1283" t="str">
            <v>Inter-group loans</v>
          </cell>
          <cell r="K1283" t="str">
            <v>Loans (from)/ to group companies</v>
          </cell>
          <cell r="L1283" t="str">
            <v>Mauritius</v>
          </cell>
          <cell r="N1283">
            <v>1830814.1231434133</v>
          </cell>
          <cell r="O1283">
            <v>40940</v>
          </cell>
        </row>
        <row r="1284">
          <cell r="G1284" t="str">
            <v>9803000</v>
          </cell>
          <cell r="H1284">
            <v>320.55470000000003</v>
          </cell>
          <cell r="I1284">
            <v>339.43270000000001</v>
          </cell>
          <cell r="J1284" t="str">
            <v>Inter-group loans</v>
          </cell>
          <cell r="K1284" t="str">
            <v>Loans (from)/ to group companies</v>
          </cell>
          <cell r="L1284" t="str">
            <v>Shared Services</v>
          </cell>
          <cell r="N1284">
            <v>-2249569.2000148492</v>
          </cell>
          <cell r="O1284">
            <v>40940</v>
          </cell>
        </row>
        <row r="1285">
          <cell r="G1285" t="str">
            <v>9806000</v>
          </cell>
          <cell r="H1285">
            <v>320.55470000000003</v>
          </cell>
          <cell r="I1285">
            <v>339.43270000000001</v>
          </cell>
          <cell r="J1285" t="str">
            <v>Inter-group loans</v>
          </cell>
          <cell r="K1285" t="str">
            <v>Loans (from)/ to group companies</v>
          </cell>
          <cell r="L1285" t="str">
            <v>Mauritius</v>
          </cell>
          <cell r="N1285">
            <v>-4916097.8345661433</v>
          </cell>
          <cell r="O1285">
            <v>40940</v>
          </cell>
        </row>
        <row r="1286">
          <cell r="G1286" t="str">
            <v>9830000</v>
          </cell>
          <cell r="H1286">
            <v>320.55470000000003</v>
          </cell>
          <cell r="I1286">
            <v>339.43270000000001</v>
          </cell>
          <cell r="J1286" t="str">
            <v>Inter-group loans</v>
          </cell>
          <cell r="K1286" t="str">
            <v>Loans (from)/ to group companies</v>
          </cell>
          <cell r="L1286" t="str">
            <v>BIS Uganda</v>
          </cell>
          <cell r="N1286">
            <v>559555.11305870733</v>
          </cell>
          <cell r="O1286">
            <v>40940</v>
          </cell>
        </row>
        <row r="1287">
          <cell r="G1287" t="str">
            <v>9997000</v>
          </cell>
          <cell r="H1287">
            <v>320.55470000000003</v>
          </cell>
          <cell r="I1287">
            <v>339.43270000000001</v>
          </cell>
          <cell r="J1287" t="str">
            <v>Inter-group loans</v>
          </cell>
          <cell r="K1287" t="str">
            <v>Loans (from)/ to group companies</v>
          </cell>
          <cell r="L1287" t="str">
            <v>Impairment</v>
          </cell>
          <cell r="N1287">
            <v>-156029.82770179317</v>
          </cell>
          <cell r="O1287">
            <v>40940</v>
          </cell>
        </row>
        <row r="1288">
          <cell r="G1288" t="str">
            <v>9998000</v>
          </cell>
          <cell r="H1288">
            <v>320.55470000000003</v>
          </cell>
          <cell r="I1288">
            <v>339.43270000000001</v>
          </cell>
          <cell r="J1288" t="str">
            <v>Inter-group loans</v>
          </cell>
          <cell r="K1288" t="str">
            <v>Loans (from)/ to group companies</v>
          </cell>
          <cell r="L1288" t="str">
            <v>Impairment</v>
          </cell>
          <cell r="N1288">
            <v>-240497.92188353499</v>
          </cell>
          <cell r="O1288">
            <v>40940</v>
          </cell>
        </row>
        <row r="1289">
          <cell r="G1289" t="str">
            <v>Net Pro</v>
          </cell>
          <cell r="H1289">
            <v>320.55470000000003</v>
          </cell>
          <cell r="I1289">
            <v>339.43270000000001</v>
          </cell>
          <cell r="J1289" t="str">
            <v>Equity</v>
          </cell>
          <cell r="K1289" t="str">
            <v>Retained earnings/ (Accumulated loss)</v>
          </cell>
          <cell r="L1289" t="str">
            <v>Retained earnings/ (Accumulated loss)</v>
          </cell>
          <cell r="M1289" t="str">
            <v>Retained earnings</v>
          </cell>
          <cell r="N1289">
            <v>40501866.52845832</v>
          </cell>
          <cell r="O1289">
            <v>40940</v>
          </cell>
        </row>
        <row r="1290">
          <cell r="G1290" t="str">
            <v>Net Pro</v>
          </cell>
          <cell r="H1290">
            <v>320.55470000000003</v>
          </cell>
          <cell r="I1290">
            <v>339.43270000000001</v>
          </cell>
          <cell r="J1290" t="str">
            <v>Equity</v>
          </cell>
          <cell r="K1290" t="str">
            <v>Retained earnings/ (Accumulated loss)</v>
          </cell>
          <cell r="L1290" t="str">
            <v>Retained earnings/ (Accumulated loss)</v>
          </cell>
          <cell r="M1290" t="str">
            <v>Retained earnings</v>
          </cell>
          <cell r="N1290">
            <v>-880696.48737017426</v>
          </cell>
          <cell r="O1290">
            <v>40940</v>
          </cell>
        </row>
        <row r="1291">
          <cell r="G1291" t="str">
            <v>Net Pro</v>
          </cell>
          <cell r="H1291">
            <v>320.55470000000003</v>
          </cell>
          <cell r="I1291">
            <v>339.43270000000001</v>
          </cell>
          <cell r="J1291" t="str">
            <v>Equity</v>
          </cell>
          <cell r="K1291" t="str">
            <v>Retained earnings/ (Accumulated loss)</v>
          </cell>
          <cell r="L1291" t="str">
            <v>Retained earnings/ (Accumulated loss)</v>
          </cell>
          <cell r="M1291" t="str">
            <v>Retained earnings</v>
          </cell>
          <cell r="N1291">
            <v>880696.48737017426</v>
          </cell>
          <cell r="O1291">
            <v>40940</v>
          </cell>
        </row>
      </sheetData>
      <sheetData sheetId="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financial assets"/>
      <sheetName val="Fin assets"/>
      <sheetName val="[Fin assets.xlsx]__vb002639_m_5"/>
      <sheetName val="[Fin assets.xlsx]__vb002639_m_3"/>
      <sheetName val="[Fin assets.xlsx]__vb002639_m_2"/>
      <sheetName val="[Fin assets.xlsx]__vb002639_m_4"/>
    </sheetNames>
    <definedNames>
      <definedName name="jfghfnf" refersTo="#REF!"/>
    </definedNames>
    <sheetDataSet>
      <sheetData sheetId="0">
        <row r="11">
          <cell r="E11">
            <v>15254.099999999999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Planning meeting"/>
    </sheetNames>
    <sheetDataSet>
      <sheetData sheetId="0">
        <row r="113">
          <cell r="L113" t="b">
            <v>0</v>
          </cell>
        </row>
      </sheetData>
      <sheetData sheetId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Movement schedule"/>
      <sheetName val=" 9700 Z000"/>
      <sheetName val="9750 Z000"/>
      <sheetName val="Tax notes disclosure"/>
      <sheetName val="Taxcomp"/>
      <sheetName val="Deferred Tax 2017"/>
      <sheetName val="ITA202"/>
      <sheetName val="ITA202A"/>
      <sheetName val="ITA202B"/>
    </sheetNames>
    <sheetDataSet>
      <sheetData sheetId="0">
        <row r="7">
          <cell r="K7" t="b">
            <v>1</v>
          </cell>
        </row>
        <row r="8">
          <cell r="K8" t="b">
            <v>0</v>
          </cell>
        </row>
        <row r="12">
          <cell r="K12" t="b">
            <v>0</v>
          </cell>
        </row>
        <row r="17">
          <cell r="K17" t="b">
            <v>1</v>
          </cell>
        </row>
        <row r="18">
          <cell r="K18" t="b">
            <v>0</v>
          </cell>
        </row>
        <row r="19">
          <cell r="K19" t="b">
            <v>0</v>
          </cell>
        </row>
        <row r="20">
          <cell r="K20" t="b">
            <v>0</v>
          </cell>
        </row>
        <row r="28">
          <cell r="K28" t="b">
            <v>1</v>
          </cell>
        </row>
        <row r="29">
          <cell r="K29" t="b">
            <v>0</v>
          </cell>
        </row>
      </sheetData>
      <sheetData sheetId="1"/>
      <sheetData sheetId="2"/>
      <sheetData sheetId="3"/>
      <sheetData sheetId="4"/>
      <sheetData sheetId="5">
        <row r="1">
          <cell r="A1" t="str">
            <v>TU LOANS TAX COMPUTATION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Payments and receipts"/>
    </sheetNames>
    <sheetDataSet>
      <sheetData sheetId="0">
        <row r="46">
          <cell r="K46" t="b">
            <v>0</v>
          </cell>
        </row>
        <row r="47">
          <cell r="K47" t="b">
            <v>0</v>
          </cell>
        </row>
        <row r="52">
          <cell r="K52" t="b">
            <v>0</v>
          </cell>
        </row>
        <row r="53">
          <cell r="K53" t="b">
            <v>0</v>
          </cell>
        </row>
        <row r="56">
          <cell r="K56" t="b">
            <v>0</v>
          </cell>
        </row>
        <row r="57">
          <cell r="K57" t="b">
            <v>0</v>
          </cell>
        </row>
        <row r="64">
          <cell r="K64" t="b">
            <v>0</v>
          </cell>
        </row>
        <row r="65">
          <cell r="K65" t="b">
            <v>0</v>
          </cell>
        </row>
        <row r="69">
          <cell r="K69" t="b">
            <v>0</v>
          </cell>
        </row>
        <row r="73">
          <cell r="K73" t="b">
            <v>0</v>
          </cell>
        </row>
        <row r="74">
          <cell r="K74" t="b">
            <v>0</v>
          </cell>
        </row>
        <row r="84">
          <cell r="K84" t="b">
            <v>0</v>
          </cell>
        </row>
        <row r="88">
          <cell r="K88" t="b">
            <v>0</v>
          </cell>
        </row>
        <row r="89">
          <cell r="K89" t="b">
            <v>0</v>
          </cell>
        </row>
        <row r="93">
          <cell r="K93" t="b">
            <v>0</v>
          </cell>
        </row>
        <row r="101">
          <cell r="K101" t="b">
            <v>0</v>
          </cell>
        </row>
        <row r="105">
          <cell r="K105" t="b">
            <v>0</v>
          </cell>
        </row>
        <row r="106">
          <cell r="K106" t="b">
            <v>0</v>
          </cell>
        </row>
        <row r="119">
          <cell r="K119" t="b">
            <v>0</v>
          </cell>
        </row>
        <row r="120">
          <cell r="K120" t="b">
            <v>0</v>
          </cell>
        </row>
        <row r="124">
          <cell r="K124" t="b">
            <v>0</v>
          </cell>
        </row>
        <row r="125">
          <cell r="K125" t="b">
            <v>0</v>
          </cell>
        </row>
        <row r="126">
          <cell r="K126" t="b">
            <v>0</v>
          </cell>
        </row>
        <row r="139">
          <cell r="K139" t="b">
            <v>0</v>
          </cell>
        </row>
        <row r="140">
          <cell r="K140" t="b">
            <v>0</v>
          </cell>
        </row>
        <row r="151">
          <cell r="K151" t="b">
            <v>0</v>
          </cell>
        </row>
        <row r="152">
          <cell r="K152" t="b">
            <v>0</v>
          </cell>
        </row>
        <row r="156">
          <cell r="K156" t="b">
            <v>0</v>
          </cell>
        </row>
        <row r="167">
          <cell r="K167" t="b">
            <v>0</v>
          </cell>
        </row>
        <row r="168">
          <cell r="K168" t="b">
            <v>0</v>
          </cell>
        </row>
      </sheetData>
      <sheetData sheetId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PSL - Initial audit engagements"/>
    </sheetNames>
    <sheetDataSet>
      <sheetData sheetId="0">
        <row r="39">
          <cell r="L39" t="b">
            <v>0</v>
          </cell>
        </row>
      </sheetData>
      <sheetData sheetId="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 INFO"/>
      <sheetName val="CONTENTS"/>
      <sheetName val="REPORT"/>
      <sheetName val="INC ST "/>
      <sheetName val="BL SHET"/>
      <sheetName val="ST CHNG"/>
      <sheetName val="C FLO"/>
      <sheetName val="ACC POL1"/>
      <sheetName val="ACC POL2"/>
      <sheetName val="ACC POL3"/>
      <sheetName val="NOTES1"/>
      <sheetName val="SHEET"/>
      <sheetName val="NOTES2"/>
      <sheetName val="NOTES3"/>
      <sheetName val="NOTES4"/>
      <sheetName val="DET INC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VAT"/>
      <sheetName val="EXPENDITURE"/>
      <sheetName val="ANALYSIS"/>
    </sheetNames>
    <sheetDataSet>
      <sheetData sheetId="0"/>
      <sheetData sheetId="1"/>
      <sheetData sheetId="2"/>
      <sheetData sheetId="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Settings"/>
      <sheetName val="SectList"/>
      <sheetName val="AcList"/>
      <sheetName val="DepList"/>
      <sheetName val="CurList"/>
      <sheetName val="SectTB"/>
      <sheetName val="SectCDTB"/>
      <sheetName val="AcTB"/>
      <sheetName val="AcCDTB"/>
      <sheetName val="Settings"/>
      <sheetName val="TB Scheme A"/>
      <sheetName val="TB Scheme B"/>
      <sheetName val="TB Scheme C"/>
      <sheetName val="TB Scheme D"/>
      <sheetName val="TB Liege"/>
      <sheetName val="Check List"/>
      <sheetName val="Leadsch - L"/>
      <sheetName val="Leadsch K1"/>
      <sheetName val="Leadshedule - K"/>
      <sheetName val="Leadsch - U2"/>
      <sheetName val="Leadsch - U1"/>
      <sheetName val="Leadsch - T"/>
      <sheetName val="Leadsch - P2"/>
      <sheetName val="Leadsch - P1"/>
      <sheetName val="Leadsch - P"/>
      <sheetName val="H"/>
      <sheetName val="Leadsch - O"/>
      <sheetName val="Leadsch - N"/>
      <sheetName val="Leadsch - B"/>
      <sheetName val="leadshedule - I"/>
      <sheetName val="I - 1"/>
      <sheetName val="PROPERTY"/>
      <sheetName val="TB LIEGE (2)"/>
      <sheetName val="JOURNALS"/>
      <sheetName val="TB"/>
      <sheetName val="Cover"/>
      <sheetName val="Contents"/>
      <sheetName val="Information"/>
      <sheetName val="Director"/>
      <sheetName val="Responsibility"/>
      <sheetName val="Audit"/>
      <sheetName val="Accountant Final"/>
      <sheetName val="CAStatement"/>
      <sheetName val="CAAssurance"/>
      <sheetName val="ACCAReportLong"/>
      <sheetName val="CAReport"/>
      <sheetName val="CAReportLong"/>
      <sheetName val="PL"/>
      <sheetName val="SOCE"/>
      <sheetName val="BS"/>
      <sheetName val="CF"/>
      <sheetName val="Accounting policies"/>
      <sheetName val="PPP"/>
      <sheetName val="Notes"/>
      <sheetName val="Schedule 1"/>
      <sheetName val="Tax cover"/>
      <sheetName val="Tax content"/>
      <sheetName val="Tax comp"/>
      <sheetName val="Deferred tax proof"/>
      <sheetName val="Vat"/>
      <sheetName val="Data"/>
      <sheetName val="Tax recon"/>
      <sheetName val="leased assets (KN)"/>
      <sheetName val="leased assets"/>
      <sheetName val="History"/>
      <sheetName val="DetailPL1"/>
      <sheetName val="AbbCover"/>
      <sheetName val="AbbAudit"/>
      <sheetName val="AbbCAReport"/>
      <sheetName val="AbbACCAReportLong"/>
      <sheetName val="AbbACCAReportShort"/>
      <sheetName val="AbbCAReportLong"/>
      <sheetName val="AbbBS"/>
      <sheetName val="CFWorkings"/>
      <sheetName val="AbbNotes"/>
      <sheetName val="TaxCompData"/>
      <sheetName val="TaxComp"/>
      <sheetName val="CapAllow"/>
      <sheetName val="ChargeableGains"/>
      <sheetName val="Library"/>
      <sheetName val="Workings"/>
      <sheetName val="RGL"/>
      <sheetName val="Responsibilities SS"/>
      <sheetName val="Accountant SS"/>
      <sheetName val="VT_Results"/>
      <sheetName val="Sheet1"/>
      <sheetName val="ACCAReportSh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lish"/>
      <sheetName val="Mgt Accs"/>
      <sheetName val="sud (2)"/>
      <sheetName val="SUD"/>
      <sheetName val="Trial Balance"/>
      <sheetName val="SOCE"/>
      <sheetName val="Income Statement "/>
      <sheetName val="Cash flow statement"/>
      <sheetName val="PPE Lead 2009"/>
      <sheetName val="Credit risk"/>
      <sheetName val="Notes"/>
      <sheetName val="Related party"/>
      <sheetName val="Notes 2"/>
      <sheetName val="Assets"/>
      <sheetName val="Contingencies"/>
      <sheetName val="Note Liabilities"/>
      <sheetName val="N4 PPE"/>
      <sheetName val="PPE BY PWC"/>
      <sheetName val="Sheet1"/>
      <sheetName val="Tax"/>
      <sheetName val="Deferred tax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&amp; Dates"/>
      <sheetName val="Account Classification"/>
      <sheetName val="Account Mapping"/>
      <sheetName val="SSG Accounts"/>
    </sheetNames>
    <sheetDataSet>
      <sheetData sheetId="0">
        <row r="21">
          <cell r="C21">
            <v>12</v>
          </cell>
          <cell r="D21">
            <v>39873</v>
          </cell>
          <cell r="E21">
            <v>39903</v>
          </cell>
          <cell r="F21">
            <v>4</v>
          </cell>
          <cell r="G21">
            <v>31</v>
          </cell>
          <cell r="H21">
            <v>1218</v>
          </cell>
          <cell r="I21">
            <v>1218</v>
          </cell>
          <cell r="J21">
            <v>1184.5196774193548</v>
          </cell>
          <cell r="K21">
            <v>0</v>
          </cell>
          <cell r="L21">
            <v>8.1463000000000001</v>
          </cell>
          <cell r="M21">
            <v>8.1463000000000001</v>
          </cell>
          <cell r="N21">
            <v>8.1463000000000001</v>
          </cell>
          <cell r="O21">
            <v>0</v>
          </cell>
        </row>
      </sheetData>
      <sheetData sheetId="1"/>
      <sheetData sheetId="2"/>
      <sheetData sheetId="3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ovement"/>
      <sheetName val="IPE"/>
      <sheetName val="Asset Verification"/>
      <sheetName val="Additions"/>
      <sheetName val="Disposals"/>
      <sheetName val="Disposals Listing"/>
      <sheetName val="Residual value assessment"/>
      <sheetName val="Wear and Tear Calc"/>
      <sheetName val="Impairment"/>
      <sheetName val="Depreciation testing"/>
      <sheetName val="Sample table"/>
      <sheetName val="Threshold tabl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WEAR &amp; TEAR 3MTHS"/>
      <sheetName val="TAX99-NN"/>
      <sheetName val="TAX-22"/>
      <sheetName val="TR-1"/>
      <sheetName val="TR-1 (1)"/>
      <sheetName val="TR-1 (2)"/>
      <sheetName val="TR-1 (3)"/>
      <sheetName val="TR-2"/>
      <sheetName val="TR-3"/>
      <sheetName val="TR-4"/>
      <sheetName val="TR-5"/>
      <sheetName val="TR-6"/>
      <sheetName val="TR-7"/>
      <sheetName val="TR-8"/>
      <sheetName val="TR-9"/>
      <sheetName val="TR-10"/>
      <sheetName val="TR-11"/>
      <sheetName val="TR-12"/>
      <sheetName val="TR-13"/>
      <sheetName val="TR-14"/>
      <sheetName val="TR-15"/>
      <sheetName val="TR-16"/>
      <sheetName val="TR-17"/>
      <sheetName val="PRINTALL"/>
      <sheetName val="PRINTFIXED"/>
      <sheetName val="PRINTTR"/>
      <sheetName val="PRINTTR (2)"/>
      <sheetName val="WEAR_&amp;_TEAR_3MTHS"/>
      <sheetName val="TR-1_(1)"/>
      <sheetName val="TR-1_(2)"/>
      <sheetName val="TR-1_(3)"/>
      <sheetName val="PRINTTR_(2)"/>
      <sheetName val="F9"/>
      <sheetName val="Lookup"/>
      <sheetName val="Data"/>
      <sheetName val="Schedules"/>
    </sheetNames>
    <sheetDataSet>
      <sheetData sheetId="0" refreshError="1"/>
      <sheetData sheetId="1" refreshError="1"/>
      <sheetData sheetId="2" refreshError="1">
        <row r="1">
          <cell r="A1" t="str">
            <v>CORNICK TAX PACKAGE</v>
          </cell>
          <cell r="B1">
            <v>0</v>
          </cell>
          <cell r="C1">
            <v>0</v>
          </cell>
          <cell r="D1" t="str">
            <v>NAME</v>
          </cell>
        </row>
        <row r="2">
          <cell r="A2" t="str">
            <v>QUARTER ENDED 30 JUNE 1999</v>
          </cell>
        </row>
        <row r="4">
          <cell r="A4" t="str">
            <v>TAX 1</v>
          </cell>
          <cell r="B4">
            <v>0</v>
          </cell>
          <cell r="C4">
            <v>0</v>
          </cell>
          <cell r="D4" t="str">
            <v xml:space="preserve">3 MONTHS </v>
          </cell>
          <cell r="E4" t="str">
            <v xml:space="preserve">12 MONTHS </v>
          </cell>
        </row>
        <row r="5">
          <cell r="D5" t="str">
            <v>ENDED</v>
          </cell>
          <cell r="E5" t="str">
            <v>ENDED</v>
          </cell>
        </row>
        <row r="6">
          <cell r="A6" t="str">
            <v>TAX COMPUTATION</v>
          </cell>
          <cell r="B6">
            <v>0</v>
          </cell>
          <cell r="C6">
            <v>0</v>
          </cell>
          <cell r="D6" t="str">
            <v>30 JUNE 1999</v>
          </cell>
          <cell r="E6" t="str">
            <v>31 MAR 1999</v>
          </cell>
        </row>
        <row r="7">
          <cell r="C7" t="str">
            <v>REF:</v>
          </cell>
        </row>
        <row r="8">
          <cell r="A8" t="str">
            <v>PROFIT/(LOSS) PER INCOME STATEMENT</v>
          </cell>
          <cell r="B8">
            <v>0</v>
          </cell>
          <cell r="C8" t="str">
            <v>TAX 2</v>
          </cell>
          <cell r="D8">
            <v>0</v>
          </cell>
          <cell r="E8">
            <v>0</v>
          </cell>
        </row>
        <row r="10">
          <cell r="A10" t="str">
            <v>DEDUCT : EXEMPT INCOME</v>
          </cell>
          <cell r="B10">
            <v>0</v>
          </cell>
          <cell r="C10" t="str">
            <v>TAX 8</v>
          </cell>
          <cell r="D10">
            <v>0</v>
          </cell>
          <cell r="E10">
            <v>0</v>
          </cell>
        </row>
        <row r="12">
          <cell r="A12" t="str">
            <v>ADD    : DISALLOWABLE EXPENDITURE</v>
          </cell>
          <cell r="B12">
            <v>0</v>
          </cell>
          <cell r="C12" t="str">
            <v>TAX 9</v>
          </cell>
          <cell r="D12">
            <v>0</v>
          </cell>
          <cell r="E12">
            <v>0</v>
          </cell>
        </row>
        <row r="14">
          <cell r="A14" t="str">
            <v>PREPAID EXPENSES</v>
          </cell>
        </row>
        <row r="15">
          <cell r="A15" t="str">
            <v>Add      : Prepaid Expenses</v>
          </cell>
          <cell r="B15" t="str">
            <v>- 31 MARCH 1999</v>
          </cell>
          <cell r="C15" t="str">
            <v>TAX 11</v>
          </cell>
        </row>
        <row r="16">
          <cell r="A16" t="str">
            <v>Deduct : Prepaid Expenses</v>
          </cell>
          <cell r="B16" t="str">
            <v>- 30 JUNE 1999</v>
          </cell>
          <cell r="C16" t="str">
            <v>TAX 11</v>
          </cell>
          <cell r="D16">
            <v>0</v>
          </cell>
          <cell r="E16">
            <v>0</v>
          </cell>
        </row>
        <row r="18">
          <cell r="A18" t="str">
            <v>FIXED ASSETS</v>
          </cell>
        </row>
        <row r="19">
          <cell r="A19" t="str">
            <v xml:space="preserve"> - Depreciation</v>
          </cell>
          <cell r="B19">
            <v>0</v>
          </cell>
          <cell r="C19" t="str">
            <v>TAX 22</v>
          </cell>
          <cell r="D19">
            <v>0</v>
          </cell>
        </row>
        <row r="20">
          <cell r="A20" t="str">
            <v xml:space="preserve"> - Wear &amp; tear allowance</v>
          </cell>
          <cell r="B20">
            <v>0</v>
          </cell>
          <cell r="C20" t="str">
            <v>TAX 22</v>
          </cell>
          <cell r="D20">
            <v>0</v>
          </cell>
        </row>
        <row r="21">
          <cell r="A21" t="str">
            <v xml:space="preserve"> - (Profit)/loss on fixed assets</v>
          </cell>
          <cell r="B21">
            <v>0</v>
          </cell>
          <cell r="C21" t="str">
            <v>TAX 22</v>
          </cell>
          <cell r="D21">
            <v>0</v>
          </cell>
        </row>
        <row r="22">
          <cell r="A22" t="str">
            <v xml:space="preserve"> - Taxable profit/(loss) on fixed assets</v>
          </cell>
          <cell r="B22">
            <v>0</v>
          </cell>
          <cell r="C22" t="str">
            <v>TAX 22</v>
          </cell>
          <cell r="D22">
            <v>0</v>
          </cell>
        </row>
        <row r="24">
          <cell r="A24" t="str">
            <v>PROVISIONS</v>
          </cell>
        </row>
        <row r="25">
          <cell r="A25" t="str">
            <v xml:space="preserve"> - Increase/(decrease) in provisions</v>
          </cell>
          <cell r="B25">
            <v>0</v>
          </cell>
          <cell r="C25" t="str">
            <v>TAX 14</v>
          </cell>
          <cell r="D25">
            <v>0</v>
          </cell>
          <cell r="E25">
            <v>0</v>
          </cell>
        </row>
        <row r="27">
          <cell r="A27" t="str">
            <v>DOUBTFUL DEBT CLAIM</v>
          </cell>
        </row>
        <row r="28">
          <cell r="A28" t="str">
            <v>Add back last years claim</v>
          </cell>
          <cell r="B28" t="str">
            <v>- 31 MARCH 1999</v>
          </cell>
          <cell r="C28" t="str">
            <v>TAX 13</v>
          </cell>
        </row>
        <row r="29">
          <cell r="A29" t="str">
            <v>Deduct - 25% of doubtful debts</v>
          </cell>
          <cell r="B29" t="str">
            <v>- 30 JUNE 1999</v>
          </cell>
          <cell r="C29" t="str">
            <v>TAX 13</v>
          </cell>
        </row>
        <row r="31">
          <cell r="A31" t="str">
            <v>DECENTRALISED CLAIMS</v>
          </cell>
        </row>
        <row r="32">
          <cell r="A32" t="str">
            <v xml:space="preserve"> - Add Decentralisation concession accrued, not received March</v>
          </cell>
        </row>
        <row r="33">
          <cell r="B33" t="str">
            <v>- 31 MARCH 1999</v>
          </cell>
          <cell r="C33" t="str">
            <v>TAX 12</v>
          </cell>
        </row>
        <row r="34">
          <cell r="A34" t="str">
            <v xml:space="preserve"> - Deduct Decentralisation concession accrued, not received June 1999</v>
          </cell>
        </row>
        <row r="35">
          <cell r="B35" t="str">
            <v>- 30 JUNE 1999</v>
          </cell>
          <cell r="C35" t="str">
            <v>TAX 12</v>
          </cell>
        </row>
        <row r="37">
          <cell r="A37" t="str">
            <v>ADD PHASE -IN</v>
          </cell>
        </row>
        <row r="38">
          <cell r="A38" t="str">
            <v xml:space="preserve"> - Consumable stock</v>
          </cell>
          <cell r="B38" t="str">
            <v>-  15% (June &amp; March to be the same)</v>
          </cell>
        </row>
        <row r="39">
          <cell r="A39" t="str">
            <v xml:space="preserve"> - Leave pay (Final)</v>
          </cell>
          <cell r="B39" t="str">
            <v>-  25% (June &amp; March to be the same)</v>
          </cell>
          <cell r="C39">
            <v>0</v>
          </cell>
          <cell r="D39">
            <v>0</v>
          </cell>
        </row>
        <row r="41">
          <cell r="A41" t="str">
            <v>Support Group</v>
          </cell>
        </row>
        <row r="42">
          <cell r="A42" t="str">
            <v>LIFO reserve add back</v>
          </cell>
          <cell r="B42" t="str">
            <v>-  15%</v>
          </cell>
          <cell r="C42">
            <v>0</v>
          </cell>
          <cell r="D42" t="str">
            <v>Coy only</v>
          </cell>
          <cell r="E42" t="str">
            <v>Coy only</v>
          </cell>
        </row>
        <row r="43">
          <cell r="A43" t="str">
            <v>Provisions included in exceptional items</v>
          </cell>
          <cell r="B43">
            <v>0</v>
          </cell>
          <cell r="C43">
            <v>0</v>
          </cell>
          <cell r="D43" t="str">
            <v>Coy only</v>
          </cell>
          <cell r="E43" t="str">
            <v>Coy only</v>
          </cell>
        </row>
        <row r="45">
          <cell r="A45" t="str">
            <v>OTHER  : SPECIFY IN DETAIL</v>
          </cell>
        </row>
        <row r="46">
          <cell r="A46" t="str">
            <v>Specify</v>
          </cell>
        </row>
        <row r="47">
          <cell r="A47" t="str">
            <v>Specify</v>
          </cell>
        </row>
        <row r="48">
          <cell r="A48" t="str">
            <v>Specify</v>
          </cell>
        </row>
        <row r="50">
          <cell r="A50" t="str">
            <v>FOR COMPARATIVE PURPOSES ONLY</v>
          </cell>
        </row>
        <row r="51">
          <cell r="A51" t="str">
            <v>Specify</v>
          </cell>
        </row>
        <row r="52">
          <cell r="A52" t="str">
            <v>Specify</v>
          </cell>
        </row>
        <row r="53">
          <cell r="A53" t="str">
            <v>TAXABLE INCOME / (LOSS) FOR THE YEAR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6">
          <cell r="A56" t="str">
            <v>TAX 2</v>
          </cell>
        </row>
        <row r="58">
          <cell r="A58" t="str">
            <v>COMPUTATION OF PROFIT/(LOSS) BEFORE TAX</v>
          </cell>
          <cell r="B58">
            <v>0</v>
          </cell>
          <cell r="C58" t="str">
            <v>REF</v>
          </cell>
          <cell r="D58" t="str">
            <v>30 JUNE 1999</v>
          </cell>
          <cell r="E58" t="str">
            <v>31 MAR 1999</v>
          </cell>
        </row>
        <row r="60">
          <cell r="A60" t="str">
            <v>Opening Inventories</v>
          </cell>
        </row>
        <row r="61">
          <cell r="A61" t="str">
            <v>Purchases</v>
          </cell>
        </row>
        <row r="62">
          <cell r="A62" t="str">
            <v>SUB-TOTAL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A63" t="str">
            <v>Less : Closing Inventories</v>
          </cell>
        </row>
        <row r="64">
          <cell r="A64" t="str">
            <v>COST OF INVENTORIES SOLD (R.M. USAGE)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A65" t="str">
            <v>SALES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A66" t="str">
            <v>- Local</v>
          </cell>
        </row>
        <row r="67">
          <cell r="A67" t="str">
            <v>- Export</v>
          </cell>
        </row>
        <row r="68">
          <cell r="A68" t="str">
            <v>GROSS PROFIT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A69" t="str">
            <v>PLUS : SUNDRY INCOME</v>
          </cell>
          <cell r="B69">
            <v>0</v>
          </cell>
          <cell r="C69" t="str">
            <v>TAX 3</v>
          </cell>
          <cell r="D69">
            <v>0</v>
          </cell>
          <cell r="E69">
            <v>0</v>
          </cell>
        </row>
        <row r="70">
          <cell r="A70" t="str">
            <v>LESS : EXPENSES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A71" t="str">
            <v>- Manufacturing</v>
          </cell>
          <cell r="B71">
            <v>0</v>
          </cell>
          <cell r="C71" t="str">
            <v>TAX 4</v>
          </cell>
          <cell r="D71">
            <v>0</v>
          </cell>
          <cell r="E71">
            <v>0</v>
          </cell>
        </row>
        <row r="72">
          <cell r="A72" t="str">
            <v>- Selling</v>
          </cell>
          <cell r="B72">
            <v>0</v>
          </cell>
          <cell r="C72" t="str">
            <v>TAX 5</v>
          </cell>
          <cell r="D72">
            <v>0</v>
          </cell>
          <cell r="E72">
            <v>0</v>
          </cell>
        </row>
        <row r="73">
          <cell r="A73" t="str">
            <v>- Administration</v>
          </cell>
          <cell r="B73">
            <v>0</v>
          </cell>
          <cell r="C73" t="str">
            <v>TAX 6</v>
          </cell>
          <cell r="D73">
            <v>0</v>
          </cell>
          <cell r="E73">
            <v>0</v>
          </cell>
        </row>
        <row r="74">
          <cell r="A74" t="str">
            <v>- Distribution</v>
          </cell>
          <cell r="B74">
            <v>0</v>
          </cell>
          <cell r="C74" t="str">
            <v>TAX 7</v>
          </cell>
          <cell r="D74">
            <v>0</v>
          </cell>
          <cell r="E74">
            <v>0</v>
          </cell>
        </row>
        <row r="75">
          <cell r="A75" t="str">
            <v>PROFIT/(LOSS) BEFORE TAX</v>
          </cell>
          <cell r="B75">
            <v>0</v>
          </cell>
          <cell r="C75" t="str">
            <v>TAX 1</v>
          </cell>
          <cell r="D75">
            <v>0</v>
          </cell>
          <cell r="E75">
            <v>0</v>
          </cell>
        </row>
        <row r="76">
          <cell r="A76" t="str">
            <v xml:space="preserve"> *  MUST AGREE WITH STATUTORY ACCOUNTS</v>
          </cell>
        </row>
        <row r="79">
          <cell r="A79" t="str">
            <v>TAX 3</v>
          </cell>
        </row>
        <row r="81">
          <cell r="A81" t="str">
            <v>SUNDRY INCOME   (see note)</v>
          </cell>
          <cell r="B81">
            <v>0</v>
          </cell>
          <cell r="C81" t="str">
            <v>REF</v>
          </cell>
          <cell r="D81" t="str">
            <v>30 JUNE 1999</v>
          </cell>
          <cell r="E81" t="str">
            <v>31 MAR 1999</v>
          </cell>
        </row>
        <row r="83">
          <cell r="A83" t="str">
            <v>Admin fees received (Support Group)</v>
          </cell>
        </row>
        <row r="84">
          <cell r="A84" t="str">
            <v>Commision received</v>
          </cell>
        </row>
        <row r="85">
          <cell r="A85" t="str">
            <v>Decrease/(increase) in provisions</v>
          </cell>
          <cell r="B85">
            <v>0</v>
          </cell>
          <cell r="C85" t="str">
            <v>TAX 14</v>
          </cell>
          <cell r="D85">
            <v>0</v>
          </cell>
          <cell r="E85">
            <v>0</v>
          </cell>
        </row>
        <row r="86">
          <cell r="A86" t="str">
            <v>Discounts &amp; rebates received</v>
          </cell>
        </row>
        <row r="87">
          <cell r="A87" t="str">
            <v>Dividends received</v>
          </cell>
          <cell r="B87">
            <v>0</v>
          </cell>
          <cell r="C87" t="str">
            <v>TAX 8</v>
          </cell>
        </row>
        <row r="88">
          <cell r="A88" t="str">
            <v>Insurance benefits received - Per TR 11</v>
          </cell>
        </row>
        <row r="89">
          <cell r="A89" t="str">
            <v>Interest received</v>
          </cell>
        </row>
        <row r="90">
          <cell r="A90" t="str">
            <v>Profit/(loss) on sale of fixed assets</v>
          </cell>
          <cell r="B90">
            <v>0</v>
          </cell>
          <cell r="C90" t="str">
            <v>TAX 22</v>
          </cell>
          <cell r="D90">
            <v>0</v>
          </cell>
        </row>
        <row r="91">
          <cell r="A91" t="str">
            <v>Profit/(loss) on sale of leased assets</v>
          </cell>
        </row>
        <row r="92">
          <cell r="A92" t="str">
            <v>Profit/(Loss) on forex</v>
          </cell>
        </row>
        <row r="93">
          <cell r="A93" t="str">
            <v>Profit on sale of scrap and raw materials</v>
          </cell>
        </row>
        <row r="94">
          <cell r="A94" t="str">
            <v>Recovery of lease expenses</v>
          </cell>
        </row>
        <row r="95">
          <cell r="A95" t="str">
            <v>Rent received</v>
          </cell>
        </row>
        <row r="96">
          <cell r="A96" t="str">
            <v>Workmens compensation refunds received</v>
          </cell>
        </row>
        <row r="97">
          <cell r="A97" t="str">
            <v>Decentralised concessions</v>
          </cell>
          <cell r="B97" t="str">
            <v>- labour</v>
          </cell>
          <cell r="C97" t="str">
            <v>TAX 8</v>
          </cell>
        </row>
        <row r="98">
          <cell r="B98" t="str">
            <v>- transport</v>
          </cell>
        </row>
        <row r="99">
          <cell r="B99" t="str">
            <v>- interest</v>
          </cell>
        </row>
        <row r="100">
          <cell r="B100" t="str">
            <v>- rent</v>
          </cell>
        </row>
        <row r="101">
          <cell r="A101" t="str">
            <v>General Export Incentive Scheme (GEIS)</v>
          </cell>
          <cell r="B101">
            <v>0</v>
          </cell>
          <cell r="C101" t="str">
            <v>TAX 8</v>
          </cell>
          <cell r="D101" t="str">
            <v>N/A</v>
          </cell>
          <cell r="E101" t="str">
            <v>N/A</v>
          </cell>
        </row>
        <row r="102">
          <cell r="A102" t="str">
            <v>Steel Export Rebate - Iscor</v>
          </cell>
          <cell r="B102">
            <v>0</v>
          </cell>
          <cell r="C102" t="str">
            <v>TAX 8</v>
          </cell>
        </row>
        <row r="103">
          <cell r="A103" t="str">
            <v>Regional Industry Development Incentive</v>
          </cell>
          <cell r="B103">
            <v>0</v>
          </cell>
          <cell r="C103" t="str">
            <v>TAX 8</v>
          </cell>
        </row>
        <row r="104">
          <cell r="A104" t="str">
            <v>Other : (Specify)</v>
          </cell>
        </row>
        <row r="105">
          <cell r="A105" t="str">
            <v xml:space="preserve">       ?</v>
          </cell>
        </row>
        <row r="106">
          <cell r="A106" t="str">
            <v xml:space="preserve">       ?</v>
          </cell>
        </row>
        <row r="107">
          <cell r="A107" t="str">
            <v xml:space="preserve">       ?</v>
          </cell>
        </row>
        <row r="108">
          <cell r="A108" t="str">
            <v>TOTAL SUNDRY INCOME</v>
          </cell>
          <cell r="B108">
            <v>0</v>
          </cell>
          <cell r="C108" t="str">
            <v>TAX 2</v>
          </cell>
          <cell r="D108">
            <v>0</v>
          </cell>
          <cell r="E108">
            <v>0</v>
          </cell>
        </row>
        <row r="111">
          <cell r="A111" t="str">
            <v>TAX 4</v>
          </cell>
        </row>
        <row r="113">
          <cell r="A113" t="str">
            <v>MANUFACTURING EXPENSES</v>
          </cell>
          <cell r="B113">
            <v>0</v>
          </cell>
          <cell r="C113" t="str">
            <v>REF</v>
          </cell>
          <cell r="D113" t="str">
            <v>30 JUNE 1999</v>
          </cell>
          <cell r="E113" t="str">
            <v>31 MAR 1999</v>
          </cell>
        </row>
        <row r="115">
          <cell r="A115" t="str">
            <v>CAD fees</v>
          </cell>
        </row>
        <row r="116">
          <cell r="A116" t="str">
            <v>Computer fees</v>
          </cell>
        </row>
        <row r="117">
          <cell r="A117" t="str">
            <v>Conference &amp; course fees</v>
          </cell>
        </row>
        <row r="118">
          <cell r="A118" t="str">
            <v>Consulting fees</v>
          </cell>
        </row>
        <row r="119">
          <cell r="A119" t="str">
            <v>Consumables</v>
          </cell>
        </row>
        <row r="120">
          <cell r="A120" t="str">
            <v>Depreciation</v>
          </cell>
          <cell r="B120">
            <v>0</v>
          </cell>
          <cell r="C120" t="str">
            <v>TAX 16</v>
          </cell>
        </row>
        <row r="121">
          <cell r="A121" t="str">
            <v>Designer fees</v>
          </cell>
        </row>
        <row r="122">
          <cell r="A122" t="str">
            <v>Entertainment</v>
          </cell>
        </row>
        <row r="123">
          <cell r="A123" t="str">
            <v>First Aid</v>
          </cell>
        </row>
        <row r="124">
          <cell r="A124" t="str">
            <v>Housekeeping</v>
          </cell>
        </row>
        <row r="125">
          <cell r="A125" t="str">
            <v>Insurance</v>
          </cell>
          <cell r="B125">
            <v>0</v>
          </cell>
          <cell r="C125" t="str">
            <v>TAX 21</v>
          </cell>
        </row>
        <row r="126">
          <cell r="A126" t="str">
            <v>Legal fees</v>
          </cell>
          <cell r="B126">
            <v>0</v>
          </cell>
          <cell r="C126" t="str">
            <v>TAX 10</v>
          </cell>
        </row>
        <row r="127">
          <cell r="A127" t="str">
            <v>Licences</v>
          </cell>
        </row>
        <row r="128">
          <cell r="A128" t="str">
            <v>NOSA</v>
          </cell>
        </row>
        <row r="129">
          <cell r="A129" t="str">
            <v>Office equipment rental &amp; repairs</v>
          </cell>
        </row>
        <row r="130">
          <cell r="A130" t="str">
            <v>Postage</v>
          </cell>
        </row>
        <row r="131">
          <cell r="A131" t="str">
            <v>Printing &amp; stationery</v>
          </cell>
        </row>
        <row r="132">
          <cell r="A132" t="str">
            <v>Product repairs</v>
          </cell>
        </row>
        <row r="133">
          <cell r="A133" t="str">
            <v>Prototypes</v>
          </cell>
        </row>
        <row r="134">
          <cell r="A134" t="str">
            <v>Refreshments</v>
          </cell>
        </row>
        <row r="135">
          <cell r="A135" t="str">
            <v>Refuse removal</v>
          </cell>
        </row>
        <row r="136">
          <cell r="A136" t="str">
            <v>Rent</v>
          </cell>
        </row>
        <row r="137">
          <cell r="A137" t="str">
            <v>Repairs &amp; maintenance</v>
          </cell>
          <cell r="B137">
            <v>0</v>
          </cell>
          <cell r="C137" t="str">
            <v>TAX 20</v>
          </cell>
        </row>
        <row r="138">
          <cell r="A138" t="str">
            <v>S.A.B.S.</v>
          </cell>
        </row>
        <row r="139">
          <cell r="A139" t="str">
            <v>Safety &amp; protection</v>
          </cell>
        </row>
        <row r="140">
          <cell r="A140" t="str">
            <v>Salaries &amp; social contributions</v>
          </cell>
        </row>
        <row r="141">
          <cell r="A141" t="str">
            <v>Security</v>
          </cell>
        </row>
        <row r="142">
          <cell r="A142" t="str">
            <v>Staff recruitment</v>
          </cell>
        </row>
        <row r="143">
          <cell r="A143" t="str">
            <v>Staff welfare</v>
          </cell>
        </row>
        <row r="144">
          <cell r="A144" t="str">
            <v>Steam</v>
          </cell>
        </row>
        <row r="145">
          <cell r="A145" t="str">
            <v>Subscriptions</v>
          </cell>
        </row>
        <row r="146">
          <cell r="A146" t="str">
            <v>Technical fees</v>
          </cell>
        </row>
        <row r="147">
          <cell r="A147" t="str">
            <v>Telephone</v>
          </cell>
        </row>
        <row r="148">
          <cell r="A148" t="str">
            <v>Tools - small, sharpening &amp; cutter</v>
          </cell>
        </row>
        <row r="149">
          <cell r="A149" t="str">
            <v>Traffic fines</v>
          </cell>
          <cell r="B149">
            <v>0</v>
          </cell>
          <cell r="C149" t="str">
            <v>TAX 9</v>
          </cell>
        </row>
        <row r="150">
          <cell r="A150" t="str">
            <v>Training</v>
          </cell>
        </row>
        <row r="151">
          <cell r="A151" t="str">
            <v>Travelling - local</v>
          </cell>
        </row>
        <row r="152">
          <cell r="A152" t="str">
            <v xml:space="preserve">                 - overseas - Per TR 1</v>
          </cell>
          <cell r="B152">
            <v>0</v>
          </cell>
          <cell r="C152" t="str">
            <v>TAX 17</v>
          </cell>
        </row>
        <row r="153">
          <cell r="A153" t="str">
            <v>Vehicle expenses  (see note)</v>
          </cell>
        </row>
        <row r="154">
          <cell r="A154" t="str">
            <v>Wages &amp; social contributions</v>
          </cell>
        </row>
        <row r="155">
          <cell r="A155" t="str">
            <v>Warranties</v>
          </cell>
        </row>
        <row r="156">
          <cell r="A156" t="str">
            <v>Water &amp; electricity</v>
          </cell>
        </row>
        <row r="157">
          <cell r="A157" t="str">
            <v>Other : (Specify)</v>
          </cell>
        </row>
        <row r="158">
          <cell r="A158" t="str">
            <v>A B Cape O/heads charged</v>
          </cell>
        </row>
        <row r="159">
          <cell r="A159" t="str">
            <v xml:space="preserve">      ?</v>
          </cell>
        </row>
        <row r="160">
          <cell r="A160" t="str">
            <v xml:space="preserve">      ?</v>
          </cell>
        </row>
        <row r="161">
          <cell r="A161" t="str">
            <v xml:space="preserve">      ?</v>
          </cell>
        </row>
        <row r="162">
          <cell r="A162" t="str">
            <v xml:space="preserve">      ?</v>
          </cell>
        </row>
        <row r="163">
          <cell r="A163" t="str">
            <v>TOTAL MANUFACTURING EXPENSES</v>
          </cell>
          <cell r="B163">
            <v>0</v>
          </cell>
          <cell r="C163" t="str">
            <v>TAX 2</v>
          </cell>
          <cell r="D163">
            <v>0</v>
          </cell>
          <cell r="E163">
            <v>0</v>
          </cell>
        </row>
        <row r="166">
          <cell r="A166" t="str">
            <v>TAX 5</v>
          </cell>
        </row>
        <row r="168">
          <cell r="A168" t="str">
            <v>SELLING EXPENSES</v>
          </cell>
          <cell r="B168">
            <v>0</v>
          </cell>
          <cell r="C168" t="str">
            <v>REF</v>
          </cell>
          <cell r="D168" t="str">
            <v>30 JUNE 1999</v>
          </cell>
          <cell r="E168" t="str">
            <v>31 MAR 1999</v>
          </cell>
        </row>
        <row r="170">
          <cell r="A170" t="str">
            <v>Advertising &amp; promotion</v>
          </cell>
        </row>
        <row r="171">
          <cell r="A171" t="str">
            <v>Commission</v>
          </cell>
        </row>
        <row r="172">
          <cell r="A172" t="str">
            <v>Computer expenses</v>
          </cell>
        </row>
        <row r="173">
          <cell r="A173" t="str">
            <v>Conference &amp; course fees</v>
          </cell>
        </row>
        <row r="174">
          <cell r="A174" t="str">
            <v>Consulting fees</v>
          </cell>
        </row>
        <row r="175">
          <cell r="A175" t="str">
            <v>Customer service</v>
          </cell>
        </row>
        <row r="176">
          <cell r="A176" t="str">
            <v>Depreciation</v>
          </cell>
          <cell r="B176">
            <v>0</v>
          </cell>
          <cell r="C176" t="str">
            <v>TAX 16</v>
          </cell>
        </row>
        <row r="177">
          <cell r="A177" t="str">
            <v>Entertainment</v>
          </cell>
        </row>
        <row r="178">
          <cell r="A178" t="str">
            <v>Export expenses</v>
          </cell>
        </row>
        <row r="179">
          <cell r="A179" t="str">
            <v>Fabric swatches</v>
          </cell>
        </row>
        <row r="180">
          <cell r="A180" t="str">
            <v>Insurance</v>
          </cell>
          <cell r="B180">
            <v>0</v>
          </cell>
          <cell r="C180" t="str">
            <v>TAX 21</v>
          </cell>
        </row>
        <row r="181">
          <cell r="A181" t="str">
            <v>Legal fees</v>
          </cell>
          <cell r="B181">
            <v>0</v>
          </cell>
          <cell r="C181" t="str">
            <v>TAX 10</v>
          </cell>
        </row>
        <row r="182">
          <cell r="A182" t="str">
            <v>Office equipment rental &amp; repairs</v>
          </cell>
        </row>
        <row r="183">
          <cell r="A183" t="str">
            <v>Patent &amp; trademarks</v>
          </cell>
        </row>
        <row r="184">
          <cell r="A184" t="str">
            <v>Photocopying</v>
          </cell>
        </row>
        <row r="185">
          <cell r="A185" t="str">
            <v>Postage</v>
          </cell>
        </row>
        <row r="186">
          <cell r="A186" t="str">
            <v>Printing &amp; stationery</v>
          </cell>
        </row>
        <row r="187">
          <cell r="A187" t="str">
            <v>Rates &amp; taxes</v>
          </cell>
        </row>
        <row r="188">
          <cell r="A188" t="str">
            <v>Refreshments</v>
          </cell>
        </row>
        <row r="189">
          <cell r="A189" t="str">
            <v>Refuse removal</v>
          </cell>
        </row>
        <row r="190">
          <cell r="A190" t="str">
            <v>Rent</v>
          </cell>
        </row>
        <row r="191">
          <cell r="A191" t="str">
            <v>Repairs &amp; maintenance</v>
          </cell>
          <cell r="B191">
            <v>0</v>
          </cell>
          <cell r="C191" t="str">
            <v>TAX 20</v>
          </cell>
        </row>
        <row r="192">
          <cell r="A192" t="str">
            <v>Royalties</v>
          </cell>
        </row>
        <row r="193">
          <cell r="A193" t="str">
            <v>Safety &amp; protection</v>
          </cell>
        </row>
        <row r="194">
          <cell r="A194" t="str">
            <v>Salaries &amp; social contributions</v>
          </cell>
        </row>
        <row r="195">
          <cell r="A195" t="str">
            <v>Security</v>
          </cell>
        </row>
        <row r="196">
          <cell r="A196" t="str">
            <v>Showroom expenses</v>
          </cell>
        </row>
        <row r="197">
          <cell r="A197" t="str">
            <v>Staff recruitment</v>
          </cell>
        </row>
        <row r="198">
          <cell r="A198" t="str">
            <v>Staff welfare</v>
          </cell>
        </row>
        <row r="199">
          <cell r="A199" t="str">
            <v>Subscriptions</v>
          </cell>
        </row>
        <row r="200">
          <cell r="A200" t="str">
            <v>Telephone</v>
          </cell>
        </row>
        <row r="201">
          <cell r="A201" t="str">
            <v>Trade allowances</v>
          </cell>
        </row>
        <row r="202">
          <cell r="A202" t="str">
            <v>Traffic Fines</v>
          </cell>
          <cell r="B202">
            <v>0</v>
          </cell>
          <cell r="C202" t="str">
            <v>TAX 9</v>
          </cell>
        </row>
        <row r="203">
          <cell r="A203" t="str">
            <v>Training</v>
          </cell>
        </row>
        <row r="204">
          <cell r="A204" t="str">
            <v>Travelling - local</v>
          </cell>
        </row>
        <row r="205">
          <cell r="A205" t="str">
            <v xml:space="preserve">                 - overseas - Per TR 1</v>
          </cell>
          <cell r="B205">
            <v>0</v>
          </cell>
          <cell r="C205" t="str">
            <v>TAX 17</v>
          </cell>
        </row>
        <row r="206">
          <cell r="A206" t="str">
            <v>Vehicle expenses  (see note)</v>
          </cell>
        </row>
        <row r="207">
          <cell r="A207" t="str">
            <v>Wages &amp; social contributions</v>
          </cell>
        </row>
        <row r="208">
          <cell r="A208" t="str">
            <v>Water &amp; electricity</v>
          </cell>
        </row>
        <row r="209">
          <cell r="A209" t="str">
            <v>Other : (Specify)</v>
          </cell>
        </row>
        <row r="210">
          <cell r="A210" t="str">
            <v xml:space="preserve">      ?</v>
          </cell>
        </row>
        <row r="211">
          <cell r="A211" t="str">
            <v xml:space="preserve">      ?</v>
          </cell>
        </row>
        <row r="212">
          <cell r="A212" t="str">
            <v xml:space="preserve">      ?</v>
          </cell>
        </row>
        <row r="213">
          <cell r="A213" t="str">
            <v xml:space="preserve">      ?</v>
          </cell>
        </row>
        <row r="214">
          <cell r="A214" t="str">
            <v xml:space="preserve">      ?</v>
          </cell>
        </row>
        <row r="215">
          <cell r="A215" t="str">
            <v>TOTAL SELLING EXPENSES</v>
          </cell>
          <cell r="B215">
            <v>0</v>
          </cell>
          <cell r="C215" t="str">
            <v>TAX 2</v>
          </cell>
          <cell r="D215">
            <v>0</v>
          </cell>
          <cell r="E215">
            <v>0</v>
          </cell>
        </row>
        <row r="218">
          <cell r="A218" t="str">
            <v>TAX 6</v>
          </cell>
        </row>
        <row r="220">
          <cell r="A220" t="str">
            <v>ADMINISTRATION EXPENSES</v>
          </cell>
          <cell r="B220">
            <v>0</v>
          </cell>
          <cell r="C220" t="str">
            <v>REF</v>
          </cell>
          <cell r="D220" t="str">
            <v>30 JUNE 1999</v>
          </cell>
          <cell r="E220" t="str">
            <v>31 MAR 1999</v>
          </cell>
        </row>
        <row r="222">
          <cell r="A222" t="str">
            <v>Admin fees</v>
          </cell>
        </row>
        <row r="223">
          <cell r="A223" t="str">
            <v>Advertising</v>
          </cell>
        </row>
        <row r="224">
          <cell r="A224" t="str">
            <v>Audit fees</v>
          </cell>
        </row>
        <row r="225">
          <cell r="A225" t="str">
            <v>Bad debts             - Per TR 15</v>
          </cell>
          <cell r="B225">
            <v>0</v>
          </cell>
          <cell r="C225">
            <v>0</v>
          </cell>
          <cell r="D225">
            <v>0</v>
          </cell>
        </row>
        <row r="226">
          <cell r="A226" t="str">
            <v>Less : Recovered - Per TR 16</v>
          </cell>
          <cell r="B226">
            <v>0</v>
          </cell>
          <cell r="C226">
            <v>0</v>
          </cell>
          <cell r="D226">
            <v>0</v>
          </cell>
        </row>
        <row r="227">
          <cell r="A227" t="str">
            <v>Bank charges</v>
          </cell>
        </row>
        <row r="228">
          <cell r="A228" t="str">
            <v>Cash shortages</v>
          </cell>
          <cell r="B228">
            <v>0</v>
          </cell>
          <cell r="C228" t="str">
            <v>TAX 9</v>
          </cell>
        </row>
        <row r="229">
          <cell r="A229" t="str">
            <v>Commission</v>
          </cell>
        </row>
        <row r="230">
          <cell r="A230" t="str">
            <v>Compensation paid - Loss of Office</v>
          </cell>
          <cell r="B230">
            <v>0</v>
          </cell>
          <cell r="C230" t="str">
            <v>TAX 18</v>
          </cell>
        </row>
        <row r="231">
          <cell r="A231" t="str">
            <v>Computer expenses</v>
          </cell>
        </row>
        <row r="232">
          <cell r="A232" t="str">
            <v>Conference &amp; course fees</v>
          </cell>
        </row>
        <row r="233">
          <cell r="A233" t="str">
            <v>Consulting fees</v>
          </cell>
        </row>
        <row r="234">
          <cell r="A234" t="str">
            <v>Customer service</v>
          </cell>
        </row>
        <row r="235">
          <cell r="A235" t="str">
            <v>Depreciation</v>
          </cell>
          <cell r="B235">
            <v>0</v>
          </cell>
          <cell r="C235" t="str">
            <v>TAX 16</v>
          </cell>
        </row>
        <row r="236">
          <cell r="A236" t="str">
            <v>Donations</v>
          </cell>
          <cell r="B236">
            <v>0</v>
          </cell>
          <cell r="C236" t="str">
            <v>TAX 9</v>
          </cell>
        </row>
        <row r="237">
          <cell r="A237" t="str">
            <v>Entertainment</v>
          </cell>
        </row>
        <row r="238">
          <cell r="A238" t="str">
            <v>Government Penalties</v>
          </cell>
          <cell r="B238">
            <v>0</v>
          </cell>
          <cell r="C238" t="str">
            <v>TAX 9</v>
          </cell>
        </row>
        <row r="239">
          <cell r="A239" t="str">
            <v>Housekeeping</v>
          </cell>
        </row>
        <row r="240">
          <cell r="A240" t="str">
            <v>Insurance</v>
          </cell>
          <cell r="B240">
            <v>0</v>
          </cell>
          <cell r="C240" t="str">
            <v>TAX 21</v>
          </cell>
        </row>
        <row r="241">
          <cell r="A241" t="str">
            <v>Interest paid</v>
          </cell>
          <cell r="B241">
            <v>0</v>
          </cell>
          <cell r="C241" t="str">
            <v>TAX 15</v>
          </cell>
          <cell r="D241">
            <v>0</v>
          </cell>
        </row>
        <row r="242">
          <cell r="A242" t="str">
            <v>Legal fees</v>
          </cell>
          <cell r="B242">
            <v>0</v>
          </cell>
          <cell r="C242" t="str">
            <v>TAX 10</v>
          </cell>
        </row>
        <row r="243">
          <cell r="A243" t="str">
            <v>Licences</v>
          </cell>
        </row>
        <row r="244">
          <cell r="A244" t="str">
            <v>NOSA</v>
          </cell>
        </row>
        <row r="245">
          <cell r="A245" t="str">
            <v>Office equipment rental &amp; repairs</v>
          </cell>
        </row>
        <row r="246">
          <cell r="A246" t="str">
            <v>Photocopying</v>
          </cell>
        </row>
        <row r="247">
          <cell r="A247" t="str">
            <v>Postage</v>
          </cell>
        </row>
        <row r="248">
          <cell r="A248" t="str">
            <v>Printing &amp; stationery</v>
          </cell>
        </row>
        <row r="249">
          <cell r="A249" t="str">
            <v>Rates &amp; taxes</v>
          </cell>
        </row>
        <row r="250">
          <cell r="A250" t="str">
            <v>Refreshments</v>
          </cell>
        </row>
        <row r="251">
          <cell r="A251" t="str">
            <v>Refuse removal</v>
          </cell>
        </row>
        <row r="252">
          <cell r="A252" t="str">
            <v>Rent</v>
          </cell>
        </row>
        <row r="253">
          <cell r="A253" t="str">
            <v>Repairs &amp; maintenance</v>
          </cell>
          <cell r="B253">
            <v>0</v>
          </cell>
          <cell r="C253" t="str">
            <v>TAX 20</v>
          </cell>
        </row>
        <row r="254">
          <cell r="A254" t="str">
            <v>Restraint of Trade Payments</v>
          </cell>
          <cell r="B254">
            <v>0</v>
          </cell>
          <cell r="C254" t="str">
            <v>TAX 19</v>
          </cell>
        </row>
        <row r="255">
          <cell r="A255" t="str">
            <v>RSC levies</v>
          </cell>
        </row>
        <row r="256">
          <cell r="A256" t="str">
            <v>SABS</v>
          </cell>
        </row>
        <row r="257">
          <cell r="A257" t="str">
            <v>Safety &amp; protection</v>
          </cell>
        </row>
        <row r="258">
          <cell r="A258" t="str">
            <v>Salaries &amp; social contributions</v>
          </cell>
        </row>
        <row r="259">
          <cell r="A259" t="str">
            <v>Security</v>
          </cell>
        </row>
        <row r="260">
          <cell r="A260" t="str">
            <v>Settlement discounts (early payment)</v>
          </cell>
        </row>
        <row r="261">
          <cell r="A261" t="str">
            <v>Soccer League fund</v>
          </cell>
        </row>
        <row r="262">
          <cell r="A262" t="str">
            <v>Staff recruitment</v>
          </cell>
        </row>
        <row r="263">
          <cell r="A263" t="str">
            <v>Staff welfare</v>
          </cell>
        </row>
        <row r="264">
          <cell r="A264" t="str">
            <v>Subscriptions</v>
          </cell>
        </row>
        <row r="265">
          <cell r="A265" t="str">
            <v>Telephone</v>
          </cell>
        </row>
        <row r="266">
          <cell r="A266" t="str">
            <v>Traffic fines</v>
          </cell>
          <cell r="B266">
            <v>0</v>
          </cell>
          <cell r="C266" t="str">
            <v>TAX 9</v>
          </cell>
        </row>
        <row r="267">
          <cell r="A267" t="str">
            <v>Training</v>
          </cell>
        </row>
        <row r="268">
          <cell r="A268" t="str">
            <v>Travelling - local</v>
          </cell>
        </row>
        <row r="269">
          <cell r="A269" t="str">
            <v xml:space="preserve">                 - overseas - Per TR 1</v>
          </cell>
          <cell r="B269">
            <v>0</v>
          </cell>
          <cell r="C269" t="str">
            <v>TAX 17</v>
          </cell>
        </row>
        <row r="270">
          <cell r="A270" t="str">
            <v>Vehicle Expenses  (see note)</v>
          </cell>
        </row>
        <row r="271">
          <cell r="A271" t="str">
            <v>Wages &amp; social contributions</v>
          </cell>
        </row>
        <row r="272">
          <cell r="A272" t="str">
            <v>Water &amp; electricity</v>
          </cell>
        </row>
        <row r="273">
          <cell r="A273" t="str">
            <v>Other : (Specify)</v>
          </cell>
        </row>
        <row r="274">
          <cell r="A274" t="str">
            <v xml:space="preserve">      ?</v>
          </cell>
        </row>
        <row r="275">
          <cell r="A275" t="str">
            <v xml:space="preserve">      ?</v>
          </cell>
        </row>
        <row r="276">
          <cell r="A276" t="str">
            <v xml:space="preserve">      ?</v>
          </cell>
        </row>
        <row r="277">
          <cell r="A277" t="str">
            <v>TOTAL ADMINISTRATION EXPENSES</v>
          </cell>
          <cell r="B277">
            <v>0</v>
          </cell>
          <cell r="C277" t="str">
            <v>TAX 2</v>
          </cell>
          <cell r="D277">
            <v>0</v>
          </cell>
          <cell r="E277">
            <v>0</v>
          </cell>
        </row>
        <row r="280">
          <cell r="A280" t="str">
            <v>TAX 7</v>
          </cell>
        </row>
        <row r="282">
          <cell r="A282" t="str">
            <v>DISTRIBUTION EXPENSES</v>
          </cell>
          <cell r="B282">
            <v>0</v>
          </cell>
          <cell r="C282" t="str">
            <v>REF</v>
          </cell>
          <cell r="D282" t="str">
            <v>30 JUNE 1999</v>
          </cell>
          <cell r="E282" t="str">
            <v>31 MAR 1999</v>
          </cell>
        </row>
        <row r="284">
          <cell r="A284" t="str">
            <v>Cartage</v>
          </cell>
        </row>
        <row r="285">
          <cell r="A285" t="str">
            <v>Computer expenses</v>
          </cell>
        </row>
        <row r="286">
          <cell r="A286" t="str">
            <v>Conference &amp; course fees</v>
          </cell>
        </row>
        <row r="287">
          <cell r="A287" t="str">
            <v>Consulting fees</v>
          </cell>
        </row>
        <row r="288">
          <cell r="A288" t="str">
            <v>Depot expenses (Local &amp; Overseas)</v>
          </cell>
        </row>
        <row r="289">
          <cell r="A289" t="str">
            <v>Depreciation</v>
          </cell>
          <cell r="B289">
            <v>0</v>
          </cell>
          <cell r="C289" t="str">
            <v>TAX 16</v>
          </cell>
        </row>
        <row r="290">
          <cell r="A290" t="str">
            <v>Entertainment</v>
          </cell>
        </row>
        <row r="291">
          <cell r="A291" t="str">
            <v>Export costs</v>
          </cell>
        </row>
        <row r="292">
          <cell r="A292" t="str">
            <v>Insurance</v>
          </cell>
          <cell r="B292">
            <v>0</v>
          </cell>
          <cell r="C292" t="str">
            <v>TAX 21</v>
          </cell>
        </row>
        <row r="293">
          <cell r="A293" t="str">
            <v>Legal fees</v>
          </cell>
          <cell r="B293">
            <v>0</v>
          </cell>
          <cell r="C293" t="str">
            <v>TAX 10</v>
          </cell>
        </row>
        <row r="294">
          <cell r="A294" t="str">
            <v>Licenses</v>
          </cell>
        </row>
        <row r="295">
          <cell r="A295" t="str">
            <v>Office equipment rentals &amp; repairs</v>
          </cell>
        </row>
        <row r="296">
          <cell r="A296" t="str">
            <v>Packing materials</v>
          </cell>
        </row>
        <row r="297">
          <cell r="A297" t="str">
            <v>Photocopying</v>
          </cell>
        </row>
        <row r="298">
          <cell r="A298" t="str">
            <v>Postage</v>
          </cell>
        </row>
        <row r="299">
          <cell r="A299" t="str">
            <v>Printing &amp; stationery</v>
          </cell>
        </row>
        <row r="300">
          <cell r="A300" t="str">
            <v>Rates &amp; taxes</v>
          </cell>
        </row>
        <row r="301">
          <cell r="A301" t="str">
            <v>Rectification costs</v>
          </cell>
        </row>
        <row r="302">
          <cell r="A302" t="str">
            <v>Refreshments</v>
          </cell>
        </row>
        <row r="303">
          <cell r="A303" t="str">
            <v>Refuse removal</v>
          </cell>
        </row>
        <row r="304">
          <cell r="A304" t="str">
            <v>Rent</v>
          </cell>
        </row>
        <row r="305">
          <cell r="A305" t="str">
            <v>Repairs &amp; maintenance</v>
          </cell>
          <cell r="B305">
            <v>0</v>
          </cell>
          <cell r="C305" t="str">
            <v>TAX 20</v>
          </cell>
        </row>
        <row r="306">
          <cell r="A306" t="str">
            <v>Safety &amp; protection</v>
          </cell>
        </row>
        <row r="307">
          <cell r="A307" t="str">
            <v>Salaries &amp; social contributions</v>
          </cell>
        </row>
        <row r="308">
          <cell r="A308" t="str">
            <v>Security</v>
          </cell>
        </row>
        <row r="309">
          <cell r="A309" t="str">
            <v>Staff recruitment</v>
          </cell>
        </row>
        <row r="310">
          <cell r="A310" t="str">
            <v>Subscriptions</v>
          </cell>
        </row>
        <row r="311">
          <cell r="A311" t="str">
            <v>Telephone</v>
          </cell>
        </row>
        <row r="312">
          <cell r="A312" t="str">
            <v>Traffic fines</v>
          </cell>
          <cell r="B312">
            <v>0</v>
          </cell>
          <cell r="C312" t="str">
            <v>TAX 9</v>
          </cell>
        </row>
        <row r="313">
          <cell r="A313" t="str">
            <v>Training</v>
          </cell>
        </row>
        <row r="314">
          <cell r="A314" t="str">
            <v>Travelling - local</v>
          </cell>
        </row>
        <row r="315">
          <cell r="A315" t="str">
            <v xml:space="preserve">                 - overseas - Per TR 1</v>
          </cell>
          <cell r="B315">
            <v>0</v>
          </cell>
          <cell r="C315" t="str">
            <v>TAX 17</v>
          </cell>
        </row>
        <row r="316">
          <cell r="A316" t="str">
            <v>Vehicle Expenses</v>
          </cell>
        </row>
        <row r="317">
          <cell r="A317" t="str">
            <v>Wages &amp; social contributions</v>
          </cell>
        </row>
        <row r="318">
          <cell r="A318" t="str">
            <v>Water &amp; electricity</v>
          </cell>
        </row>
        <row r="319">
          <cell r="A319" t="str">
            <v>Workshop spares &amp; tools</v>
          </cell>
        </row>
        <row r="320">
          <cell r="A320" t="str">
            <v>Other : (Specify)</v>
          </cell>
        </row>
        <row r="321">
          <cell r="A321" t="str">
            <v xml:space="preserve">      ?</v>
          </cell>
        </row>
        <row r="322">
          <cell r="A322" t="str">
            <v xml:space="preserve">      ?</v>
          </cell>
        </row>
        <row r="323">
          <cell r="A323" t="str">
            <v xml:space="preserve">      ?</v>
          </cell>
        </row>
        <row r="324">
          <cell r="A324" t="str">
            <v xml:space="preserve">      ?</v>
          </cell>
        </row>
        <row r="325">
          <cell r="A325" t="str">
            <v xml:space="preserve">      ?</v>
          </cell>
        </row>
        <row r="326">
          <cell r="A326" t="str">
            <v>TOTAL DISTRIBUTION EXPENSES</v>
          </cell>
          <cell r="B326">
            <v>0</v>
          </cell>
          <cell r="C326" t="str">
            <v>TAX 2</v>
          </cell>
          <cell r="D326">
            <v>0</v>
          </cell>
          <cell r="E326">
            <v>0</v>
          </cell>
        </row>
        <row r="329">
          <cell r="A329" t="str">
            <v>TAX 8</v>
          </cell>
        </row>
        <row r="331">
          <cell r="A331" t="str">
            <v>EXEMPT INCOME</v>
          </cell>
          <cell r="B331">
            <v>0</v>
          </cell>
          <cell r="C331" t="str">
            <v>REF</v>
          </cell>
          <cell r="D331" t="str">
            <v>30 JUNE 1999</v>
          </cell>
          <cell r="E331" t="str">
            <v>31 MAR 1999</v>
          </cell>
        </row>
        <row r="333">
          <cell r="A333" t="str">
            <v>Dividends received (Support Group only)</v>
          </cell>
          <cell r="B333">
            <v>0</v>
          </cell>
          <cell r="C333" t="str">
            <v>TAX 3</v>
          </cell>
        </row>
        <row r="334">
          <cell r="D334" t="str">
            <v>N/A</v>
          </cell>
          <cell r="E334" t="str">
            <v>N/A</v>
          </cell>
        </row>
        <row r="335">
          <cell r="A335" t="str">
            <v>Labour concessions</v>
          </cell>
          <cell r="B335">
            <v>0</v>
          </cell>
          <cell r="C335" t="str">
            <v>TAX 3</v>
          </cell>
        </row>
        <row r="336">
          <cell r="A336" t="str">
            <v>Regional Industry Development Incentive</v>
          </cell>
          <cell r="B336">
            <v>0</v>
          </cell>
          <cell r="C336" t="str">
            <v>TAX 3</v>
          </cell>
        </row>
        <row r="337">
          <cell r="A337" t="str">
            <v>Steel Export Rebate - Iscor</v>
          </cell>
          <cell r="B337">
            <v>0</v>
          </cell>
          <cell r="C337" t="str">
            <v>TAX 3</v>
          </cell>
        </row>
        <row r="338">
          <cell r="A338" t="str">
            <v>Other : (Specify)</v>
          </cell>
        </row>
        <row r="339">
          <cell r="A339" t="str">
            <v>Other : (Specify)</v>
          </cell>
        </row>
        <row r="340">
          <cell r="A340" t="str">
            <v xml:space="preserve">      ?</v>
          </cell>
        </row>
        <row r="341">
          <cell r="A341" t="str">
            <v>TOTAL EXEMPT INCOME</v>
          </cell>
          <cell r="B341">
            <v>0</v>
          </cell>
          <cell r="C341" t="str">
            <v>TAX 1</v>
          </cell>
          <cell r="D341">
            <v>0</v>
          </cell>
          <cell r="E341">
            <v>0</v>
          </cell>
        </row>
        <row r="346">
          <cell r="A346" t="str">
            <v>TAX 9</v>
          </cell>
        </row>
        <row r="348">
          <cell r="A348" t="str">
            <v>DISALLOWABLE EXPENDITURE</v>
          </cell>
          <cell r="B348">
            <v>0</v>
          </cell>
          <cell r="C348" t="str">
            <v>REF</v>
          </cell>
          <cell r="D348" t="str">
            <v>30 JUNE 1999</v>
          </cell>
          <cell r="E348" t="str">
            <v>31 MAR 1999</v>
          </cell>
        </row>
        <row r="350">
          <cell r="A350" t="str">
            <v>Donations</v>
          </cell>
          <cell r="B350">
            <v>0</v>
          </cell>
          <cell r="C350" t="str">
            <v>TAX 6</v>
          </cell>
          <cell r="D350">
            <v>0</v>
          </cell>
          <cell r="E350">
            <v>0</v>
          </cell>
        </row>
        <row r="351">
          <cell r="A351" t="str">
            <v>Less : To approved institutions      *</v>
          </cell>
        </row>
        <row r="352">
          <cell r="A352" t="str">
            <v>Donations disallowed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</row>
        <row r="354">
          <cell r="A354" t="str">
            <v>Legal expenses</v>
          </cell>
          <cell r="B354">
            <v>0</v>
          </cell>
          <cell r="C354" t="str">
            <v>TAX 10</v>
          </cell>
          <cell r="D354">
            <v>0</v>
          </cell>
          <cell r="E354">
            <v>0</v>
          </cell>
        </row>
        <row r="355">
          <cell r="A355" t="str">
            <v>Less : allowed for tax</v>
          </cell>
          <cell r="B355">
            <v>0</v>
          </cell>
          <cell r="C355" t="str">
            <v>TAX 10</v>
          </cell>
          <cell r="D355">
            <v>0</v>
          </cell>
          <cell r="E355">
            <v>0</v>
          </cell>
        </row>
        <row r="356">
          <cell r="A356" t="str">
            <v>Legal expenses disallowed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</row>
        <row r="358">
          <cell r="A358" t="str">
            <v>Cash shortages</v>
          </cell>
          <cell r="B358">
            <v>0</v>
          </cell>
          <cell r="C358" t="str">
            <v>TAX 6</v>
          </cell>
          <cell r="D358">
            <v>0</v>
          </cell>
          <cell r="E358">
            <v>0</v>
          </cell>
        </row>
        <row r="359">
          <cell r="A359" t="str">
            <v>Government penalties</v>
          </cell>
          <cell r="B359">
            <v>0</v>
          </cell>
          <cell r="C359" t="str">
            <v>TAX 6</v>
          </cell>
          <cell r="D359">
            <v>0</v>
          </cell>
          <cell r="E359">
            <v>0</v>
          </cell>
        </row>
        <row r="360">
          <cell r="A360" t="str">
            <v>Traffic fines - Manufacturing</v>
          </cell>
          <cell r="B360">
            <v>0</v>
          </cell>
          <cell r="C360" t="str">
            <v>TAX 4</v>
          </cell>
          <cell r="D360">
            <v>0</v>
          </cell>
          <cell r="E360">
            <v>0</v>
          </cell>
        </row>
        <row r="361">
          <cell r="A361" t="str">
            <v>Traffic fines - Selling</v>
          </cell>
          <cell r="B361">
            <v>0</v>
          </cell>
          <cell r="C361" t="str">
            <v>TAX 5</v>
          </cell>
          <cell r="D361">
            <v>0</v>
          </cell>
          <cell r="E361">
            <v>0</v>
          </cell>
        </row>
        <row r="362">
          <cell r="A362" t="str">
            <v>Traffic fines - Admin</v>
          </cell>
          <cell r="B362">
            <v>0</v>
          </cell>
          <cell r="C362" t="str">
            <v>TAX 6</v>
          </cell>
          <cell r="D362">
            <v>0</v>
          </cell>
          <cell r="E362">
            <v>0</v>
          </cell>
        </row>
        <row r="363">
          <cell r="A363" t="str">
            <v>Traffic fines - Distribution</v>
          </cell>
          <cell r="B363">
            <v>0</v>
          </cell>
          <cell r="C363" t="str">
            <v>TAX 7</v>
          </cell>
          <cell r="D363">
            <v>0</v>
          </cell>
          <cell r="E363">
            <v>0</v>
          </cell>
        </row>
        <row r="364">
          <cell r="A364" t="str">
            <v>Payments to directors - loss of office</v>
          </cell>
          <cell r="B364">
            <v>0</v>
          </cell>
          <cell r="C364" t="str">
            <v>TAX 18</v>
          </cell>
          <cell r="D364">
            <v>0</v>
          </cell>
          <cell r="E364">
            <v>0</v>
          </cell>
        </row>
        <row r="365">
          <cell r="A365" t="str">
            <v>Restraint of trade payments and provisions</v>
          </cell>
          <cell r="B365">
            <v>0</v>
          </cell>
          <cell r="C365" t="str">
            <v>TAX 19</v>
          </cell>
          <cell r="D365">
            <v>0</v>
          </cell>
          <cell r="E365">
            <v>0</v>
          </cell>
        </row>
        <row r="366">
          <cell r="A366" t="str">
            <v>Patent searches</v>
          </cell>
        </row>
        <row r="367">
          <cell r="A367" t="str">
            <v>Other : (Specify)</v>
          </cell>
        </row>
        <row r="368">
          <cell r="A368" t="str">
            <v>Other : (Specify)</v>
          </cell>
        </row>
        <row r="369">
          <cell r="A369" t="str">
            <v>Other : (Specify)</v>
          </cell>
        </row>
        <row r="370">
          <cell r="A370" t="str">
            <v>Other : (Specify)</v>
          </cell>
        </row>
        <row r="371">
          <cell r="A371" t="str">
            <v>TOTAL DISALLOWABLE EXPENDITURE</v>
          </cell>
          <cell r="B371">
            <v>0</v>
          </cell>
          <cell r="C371" t="str">
            <v>TAX 1</v>
          </cell>
          <cell r="D371">
            <v>0</v>
          </cell>
          <cell r="E371">
            <v>0</v>
          </cell>
        </row>
        <row r="372">
          <cell r="A372" t="str">
            <v>* CERTIFICATES MUST BE ATTACHED</v>
          </cell>
        </row>
        <row r="374">
          <cell r="A374" t="str">
            <v>TAX 10</v>
          </cell>
        </row>
        <row r="376">
          <cell r="A376" t="str">
            <v>LEGAL EXPENSES</v>
          </cell>
          <cell r="B376">
            <v>0</v>
          </cell>
          <cell r="C376" t="str">
            <v>REF</v>
          </cell>
          <cell r="D376" t="str">
            <v>30 JUNE 1999</v>
          </cell>
          <cell r="E376" t="str">
            <v>31 MAR 1999</v>
          </cell>
        </row>
        <row r="377">
          <cell r="A377" t="str">
            <v>Total per Manufacturing expenses</v>
          </cell>
          <cell r="B377">
            <v>0</v>
          </cell>
          <cell r="C377" t="str">
            <v>TAX 4</v>
          </cell>
          <cell r="D377">
            <v>0</v>
          </cell>
          <cell r="E377">
            <v>0</v>
          </cell>
        </row>
        <row r="378">
          <cell r="A378" t="str">
            <v>Total per Selling expenses</v>
          </cell>
          <cell r="B378">
            <v>0</v>
          </cell>
          <cell r="C378" t="str">
            <v>TAX 5</v>
          </cell>
          <cell r="D378">
            <v>0</v>
          </cell>
          <cell r="E378">
            <v>0</v>
          </cell>
        </row>
        <row r="379">
          <cell r="A379" t="str">
            <v>Total per Administration expenses</v>
          </cell>
          <cell r="B379">
            <v>0</v>
          </cell>
          <cell r="C379" t="str">
            <v>TAX 6</v>
          </cell>
          <cell r="D379">
            <v>0</v>
          </cell>
          <cell r="E379">
            <v>0</v>
          </cell>
        </row>
        <row r="380">
          <cell r="A380" t="str">
            <v>Total per Distribution expenses</v>
          </cell>
          <cell r="B380">
            <v>0</v>
          </cell>
          <cell r="C380" t="str">
            <v>TAX 7</v>
          </cell>
          <cell r="D380">
            <v>0</v>
          </cell>
          <cell r="E380">
            <v>0</v>
          </cell>
        </row>
        <row r="381">
          <cell r="A381" t="str">
            <v>Total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</row>
        <row r="382">
          <cell r="A382" t="str">
            <v>ALLOWED FOR TAX</v>
          </cell>
        </row>
        <row r="383">
          <cell r="A383" t="str">
            <v>Debt collection</v>
          </cell>
        </row>
        <row r="384">
          <cell r="A384" t="str">
            <v>Labour disputes</v>
          </cell>
        </row>
        <row r="385">
          <cell r="A385" t="str">
            <v>Patent renewals</v>
          </cell>
        </row>
        <row r="386">
          <cell r="A386" t="str">
            <v>Disputes with customers</v>
          </cell>
        </row>
        <row r="387">
          <cell r="A387" t="str">
            <v>Design infringements</v>
          </cell>
        </row>
        <row r="388">
          <cell r="A388" t="str">
            <v>Other Allowed : (Specify)</v>
          </cell>
        </row>
        <row r="389">
          <cell r="A389" t="str">
            <v>?</v>
          </cell>
        </row>
        <row r="390">
          <cell r="A390" t="str">
            <v>?</v>
          </cell>
        </row>
        <row r="391">
          <cell r="A391" t="str">
            <v>?</v>
          </cell>
        </row>
        <row r="392">
          <cell r="A392" t="str">
            <v>?</v>
          </cell>
        </row>
        <row r="393">
          <cell r="C393" t="str">
            <v>TAX 9</v>
          </cell>
          <cell r="D393">
            <v>0</v>
          </cell>
          <cell r="E393">
            <v>0</v>
          </cell>
        </row>
        <row r="394">
          <cell r="A394" t="str">
            <v>DISALLOWED FOR TAX</v>
          </cell>
        </row>
        <row r="395">
          <cell r="A395" t="str">
            <v>Drafting of lease agreements &amp; stamp duty</v>
          </cell>
        </row>
        <row r="396">
          <cell r="A396" t="str">
            <v>Registration of new patents</v>
          </cell>
        </row>
        <row r="397">
          <cell r="A397" t="str">
            <v>Patent search fees</v>
          </cell>
        </row>
        <row r="398">
          <cell r="A398" t="str">
            <v>Other disallowed: (Specify)</v>
          </cell>
        </row>
        <row r="399">
          <cell r="A399" t="str">
            <v xml:space="preserve">          ?</v>
          </cell>
        </row>
        <row r="400">
          <cell r="A400" t="str">
            <v xml:space="preserve">          ?</v>
          </cell>
        </row>
        <row r="401">
          <cell r="A401" t="str">
            <v xml:space="preserve">          ?</v>
          </cell>
        </row>
        <row r="402">
          <cell r="D402">
            <v>0</v>
          </cell>
          <cell r="E402">
            <v>0</v>
          </cell>
        </row>
        <row r="403">
          <cell r="A403" t="str">
            <v>TOTAL LEGAL EXPENSES</v>
          </cell>
          <cell r="B403">
            <v>0</v>
          </cell>
          <cell r="C403" t="str">
            <v>TAX 9</v>
          </cell>
          <cell r="D403">
            <v>0</v>
          </cell>
          <cell r="E403">
            <v>0</v>
          </cell>
        </row>
        <row r="405">
          <cell r="A405" t="str">
            <v>TAX 11</v>
          </cell>
        </row>
        <row r="407">
          <cell r="A407" t="str">
            <v>PREPAID EXPENSES INCLUDED IN</v>
          </cell>
        </row>
        <row r="408">
          <cell r="A408" t="str">
            <v>OTHER DEBTORS      (SEE NOTE)</v>
          </cell>
          <cell r="B408">
            <v>0</v>
          </cell>
          <cell r="C408" t="str">
            <v>REF</v>
          </cell>
          <cell r="D408" t="str">
            <v>30 JUNE 1999</v>
          </cell>
          <cell r="E408" t="str">
            <v>31 MAR 1999</v>
          </cell>
        </row>
        <row r="410">
          <cell r="A410" t="str">
            <v>PREPAID EXPENSES</v>
          </cell>
        </row>
        <row r="411">
          <cell r="A411" t="str">
            <v>Licences</v>
          </cell>
        </row>
        <row r="412">
          <cell r="A412" t="str">
            <v>Insurance</v>
          </cell>
        </row>
        <row r="413">
          <cell r="A413" t="str">
            <v>Interest</v>
          </cell>
        </row>
        <row r="414">
          <cell r="A414" t="str">
            <v>Rates &amp; taxes</v>
          </cell>
        </row>
        <row r="415">
          <cell r="A415" t="str">
            <v>Rent</v>
          </cell>
        </row>
        <row r="416">
          <cell r="A416" t="str">
            <v>Other : (Specify)</v>
          </cell>
        </row>
        <row r="417">
          <cell r="A417" t="str">
            <v>Other : (Specify)</v>
          </cell>
        </row>
        <row r="418">
          <cell r="A418" t="str">
            <v>TOTAL PREPAID EXPENSES</v>
          </cell>
          <cell r="B418">
            <v>0</v>
          </cell>
          <cell r="C418" t="str">
            <v>TAX 1</v>
          </cell>
          <cell r="D418">
            <v>0</v>
          </cell>
          <cell r="E418">
            <v>0</v>
          </cell>
        </row>
        <row r="421">
          <cell r="A421" t="str">
            <v>TAX 12</v>
          </cell>
        </row>
        <row r="423">
          <cell r="A423" t="str">
            <v>DECENTRALISED CONCESSIONS CREDITED TO INCOME -</v>
          </cell>
        </row>
        <row r="424">
          <cell r="A424" t="str">
            <v>BUT NOT YET RECEIVED AT 31 MARCH 1999 AND</v>
          </cell>
        </row>
        <row r="425">
          <cell r="A425" t="str">
            <v>INCLUDED IN OTHER DEBTORS</v>
          </cell>
        </row>
        <row r="427">
          <cell r="B427" t="str">
            <v xml:space="preserve"> - Transport</v>
          </cell>
        </row>
        <row r="428">
          <cell r="B428" t="str">
            <v xml:space="preserve"> - Interest</v>
          </cell>
        </row>
        <row r="429">
          <cell r="B429" t="str">
            <v xml:space="preserve"> - Rent</v>
          </cell>
        </row>
        <row r="430">
          <cell r="C430" t="str">
            <v>TAX 1</v>
          </cell>
          <cell r="D430">
            <v>0</v>
          </cell>
          <cell r="E430">
            <v>0</v>
          </cell>
        </row>
        <row r="432">
          <cell r="A432" t="str">
            <v>TAX 13</v>
          </cell>
        </row>
        <row r="434">
          <cell r="A434" t="str">
            <v>DOUBTFUL DEBTS ALLOWANCE</v>
          </cell>
          <cell r="B434">
            <v>0</v>
          </cell>
          <cell r="C434" t="str">
            <v>REF</v>
          </cell>
        </row>
        <row r="436">
          <cell r="A436" t="str">
            <v>25% of Doubtful Debts</v>
          </cell>
          <cell r="B436">
            <v>0</v>
          </cell>
          <cell r="C436" t="str">
            <v>TAX 1</v>
          </cell>
        </row>
        <row r="439">
          <cell r="A439" t="str">
            <v>TAX 14</v>
          </cell>
        </row>
        <row r="441">
          <cell r="A441" t="str">
            <v>MOVEMENT ON PROVISIONS</v>
          </cell>
          <cell r="B441">
            <v>0</v>
          </cell>
          <cell r="C441" t="str">
            <v>REF</v>
          </cell>
          <cell r="D441" t="str">
            <v>30 JUNE 1999</v>
          </cell>
          <cell r="E441" t="str">
            <v>31 MAR 1999</v>
          </cell>
        </row>
        <row r="443">
          <cell r="A443" t="str">
            <v>INCREASE / (DECREASE) IN PROVISIONS</v>
          </cell>
        </row>
        <row r="444">
          <cell r="A444" t="str">
            <v>Doubtful debts provision</v>
          </cell>
        </row>
        <row r="445">
          <cell r="A445" t="str">
            <v>Credit notes provision</v>
          </cell>
          <cell r="B445">
            <v>0</v>
          </cell>
          <cell r="C445" t="str">
            <v>NOTE #</v>
          </cell>
        </row>
        <row r="446">
          <cell r="A446" t="str">
            <v>Bonus pay provision</v>
          </cell>
        </row>
        <row r="447">
          <cell r="A447" t="str">
            <v>General expenses provision</v>
          </cell>
        </row>
        <row r="448">
          <cell r="A448" t="str">
            <v>Leave pay provision</v>
          </cell>
        </row>
        <row r="449">
          <cell r="A449" t="str">
            <v>Closure provisions</v>
          </cell>
        </row>
        <row r="450">
          <cell r="A450" t="str">
            <v>Other : (Specify)</v>
          </cell>
        </row>
        <row r="451">
          <cell r="A451" t="str">
            <v xml:space="preserve">           : (Specify)</v>
          </cell>
        </row>
        <row r="452">
          <cell r="A452" t="str">
            <v xml:space="preserve">           : (Specify)</v>
          </cell>
        </row>
        <row r="453">
          <cell r="A453" t="str">
            <v xml:space="preserve">           : (Specify)</v>
          </cell>
        </row>
        <row r="454">
          <cell r="A454" t="str">
            <v xml:space="preserve">           : (Specify)</v>
          </cell>
        </row>
        <row r="455">
          <cell r="C455" t="str">
            <v>TAX 3</v>
          </cell>
          <cell r="D455">
            <v>0</v>
          </cell>
          <cell r="E455">
            <v>0</v>
          </cell>
        </row>
        <row r="457">
          <cell r="A457" t="str">
            <v>LEAVE PAY PROVISION AT 31 MARCH 1993</v>
          </cell>
          <cell r="B457">
            <v>0</v>
          </cell>
          <cell r="C457" t="str">
            <v>F-1993</v>
          </cell>
        </row>
        <row r="460">
          <cell r="A460" t="str">
            <v>TAX 15</v>
          </cell>
        </row>
        <row r="462">
          <cell r="A462" t="str">
            <v>INTEREST PAID</v>
          </cell>
          <cell r="B462">
            <v>0</v>
          </cell>
          <cell r="C462" t="str">
            <v>REF</v>
          </cell>
          <cell r="D462" t="str">
            <v>30 JUNE 1999</v>
          </cell>
          <cell r="E462" t="str">
            <v>31 MAR 1999</v>
          </cell>
        </row>
        <row r="464">
          <cell r="A464" t="str">
            <v>on Bank overdraft</v>
          </cell>
        </row>
        <row r="465">
          <cell r="A465" t="str">
            <v>on Long term loans</v>
          </cell>
        </row>
        <row r="466">
          <cell r="A466" t="str">
            <v>on Intercompany loans</v>
          </cell>
        </row>
        <row r="467">
          <cell r="A467" t="str">
            <v>Other : (Specify)</v>
          </cell>
        </row>
        <row r="468">
          <cell r="A468" t="str">
            <v xml:space="preserve">      ?</v>
          </cell>
        </row>
        <row r="469">
          <cell r="A469" t="str">
            <v>TOTAL INTEREST PAID</v>
          </cell>
          <cell r="B469">
            <v>0</v>
          </cell>
          <cell r="C469" t="str">
            <v>TAX 6</v>
          </cell>
          <cell r="D469">
            <v>0</v>
          </cell>
          <cell r="E469">
            <v>0</v>
          </cell>
        </row>
        <row r="472">
          <cell r="A472" t="str">
            <v>TAX 16</v>
          </cell>
        </row>
        <row r="474">
          <cell r="A474" t="str">
            <v>DEPRECIATION</v>
          </cell>
          <cell r="B474">
            <v>0</v>
          </cell>
          <cell r="C474" t="str">
            <v>REF</v>
          </cell>
        </row>
        <row r="476">
          <cell r="A476" t="str">
            <v>Total per Manufacturing expenses</v>
          </cell>
          <cell r="B476">
            <v>0</v>
          </cell>
          <cell r="C476" t="str">
            <v>TAX 4</v>
          </cell>
          <cell r="D476">
            <v>0</v>
          </cell>
          <cell r="E476">
            <v>0</v>
          </cell>
        </row>
        <row r="477">
          <cell r="A477" t="str">
            <v>Total per Selling expenses</v>
          </cell>
          <cell r="B477">
            <v>0</v>
          </cell>
          <cell r="C477" t="str">
            <v>TAX 5</v>
          </cell>
          <cell r="D477">
            <v>0</v>
          </cell>
          <cell r="E477">
            <v>0</v>
          </cell>
        </row>
        <row r="478">
          <cell r="A478" t="str">
            <v>Total per Administration expenses</v>
          </cell>
          <cell r="B478">
            <v>0</v>
          </cell>
          <cell r="C478" t="str">
            <v>TAX 6</v>
          </cell>
          <cell r="D478">
            <v>0</v>
          </cell>
          <cell r="E478">
            <v>0</v>
          </cell>
        </row>
        <row r="479">
          <cell r="A479" t="str">
            <v>Total per Distribution expenses</v>
          </cell>
          <cell r="B479">
            <v>0</v>
          </cell>
          <cell r="C479" t="str">
            <v>TAX 7</v>
          </cell>
          <cell r="D479">
            <v>0</v>
          </cell>
          <cell r="E479">
            <v>0</v>
          </cell>
        </row>
        <row r="480">
          <cell r="A480" t="str">
            <v>TOTAL DEPRECIATION CHARGE</v>
          </cell>
          <cell r="B480">
            <v>0</v>
          </cell>
          <cell r="C480" t="str">
            <v>TAX 1</v>
          </cell>
          <cell r="D480">
            <v>0</v>
          </cell>
          <cell r="E480">
            <v>0</v>
          </cell>
        </row>
        <row r="481">
          <cell r="A481" t="str">
            <v>PROOF TO TAX22 MUST BE ZERO</v>
          </cell>
          <cell r="B481">
            <v>0</v>
          </cell>
          <cell r="C481">
            <v>0</v>
          </cell>
          <cell r="D481">
            <v>0</v>
          </cell>
        </row>
        <row r="484">
          <cell r="A484" t="str">
            <v>TAX 17</v>
          </cell>
        </row>
        <row r="486">
          <cell r="A486" t="str">
            <v>OVERSEAS TRAVELLING</v>
          </cell>
        </row>
        <row r="487">
          <cell r="A487" t="str">
            <v>Manufacturing expenses</v>
          </cell>
          <cell r="B487">
            <v>0</v>
          </cell>
          <cell r="C487" t="str">
            <v>TAX 4</v>
          </cell>
          <cell r="D487">
            <v>0</v>
          </cell>
          <cell r="E487">
            <v>0</v>
          </cell>
        </row>
        <row r="488">
          <cell r="A488" t="str">
            <v>Selling expenses</v>
          </cell>
          <cell r="B488">
            <v>0</v>
          </cell>
          <cell r="C488" t="str">
            <v>TAX 5</v>
          </cell>
          <cell r="D488">
            <v>0</v>
          </cell>
          <cell r="E488">
            <v>0</v>
          </cell>
        </row>
        <row r="489">
          <cell r="A489" t="str">
            <v>Administration expenses</v>
          </cell>
          <cell r="B489">
            <v>0</v>
          </cell>
          <cell r="C489" t="str">
            <v>TAX 6</v>
          </cell>
          <cell r="D489">
            <v>0</v>
          </cell>
          <cell r="E489">
            <v>0</v>
          </cell>
        </row>
        <row r="490">
          <cell r="A490" t="str">
            <v>Distribution expenses</v>
          </cell>
          <cell r="B490">
            <v>0</v>
          </cell>
          <cell r="C490" t="str">
            <v>TAX 7</v>
          </cell>
          <cell r="D490">
            <v>0</v>
          </cell>
          <cell r="E490">
            <v>0</v>
          </cell>
        </row>
        <row r="491">
          <cell r="A491" t="str">
            <v>TOTAL OVERSEAS TRAVELLING PER TR 1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</row>
        <row r="493">
          <cell r="A493" t="str">
            <v>TAX 18</v>
          </cell>
        </row>
        <row r="495">
          <cell r="A495" t="str">
            <v>COMPENSATION PAID FOR LOSS OF OFFICE</v>
          </cell>
        </row>
        <row r="496">
          <cell r="A496" t="str">
            <v>Please list any compensation paid under</v>
          </cell>
        </row>
        <row r="497">
          <cell r="A497" t="str">
            <v xml:space="preserve"> these two headings</v>
          </cell>
        </row>
        <row r="500">
          <cell r="A500" t="str">
            <v>A)  EMPLOYEE/DIRECTOR FOR LOSS OF OFFICE ETC</v>
          </cell>
        </row>
        <row r="501">
          <cell r="A501" t="str">
            <v>DETAILS OF EXPENSE</v>
          </cell>
        </row>
        <row r="502">
          <cell r="A502" t="str">
            <v xml:space="preserve">  ?</v>
          </cell>
        </row>
        <row r="503">
          <cell r="A503" t="str">
            <v xml:space="preserve">  ?</v>
          </cell>
        </row>
        <row r="504">
          <cell r="A504" t="str">
            <v xml:space="preserve">  ?</v>
          </cell>
        </row>
        <row r="505">
          <cell r="A505" t="str">
            <v xml:space="preserve">  ?</v>
          </cell>
        </row>
        <row r="506">
          <cell r="A506" t="str">
            <v xml:space="preserve">  ?</v>
          </cell>
        </row>
        <row r="507">
          <cell r="A507" t="str">
            <v xml:space="preserve">  ?</v>
          </cell>
        </row>
        <row r="508">
          <cell r="A508" t="str">
            <v>TOTAL LOSS OF OFFICE EXPENSE</v>
          </cell>
          <cell r="B508">
            <v>0</v>
          </cell>
          <cell r="C508" t="str">
            <v>TAX 6</v>
          </cell>
          <cell r="D508">
            <v>0</v>
          </cell>
          <cell r="E508">
            <v>0</v>
          </cell>
        </row>
        <row r="509">
          <cell r="A509" t="str">
            <v>B)  IN ORDINARY COURSE OF BUSINESS</v>
          </cell>
        </row>
        <row r="510">
          <cell r="A510" t="str">
            <v>DETAILS OF EXPENSE</v>
          </cell>
        </row>
        <row r="511">
          <cell r="A511" t="str">
            <v xml:space="preserve">  ?</v>
          </cell>
        </row>
        <row r="512">
          <cell r="A512" t="str">
            <v xml:space="preserve">  ?</v>
          </cell>
        </row>
        <row r="513">
          <cell r="A513" t="str">
            <v xml:space="preserve">  ?</v>
          </cell>
        </row>
        <row r="514">
          <cell r="A514" t="str">
            <v xml:space="preserve">  ?</v>
          </cell>
        </row>
        <row r="515">
          <cell r="C515" t="str">
            <v>TAX 6</v>
          </cell>
          <cell r="D515">
            <v>0</v>
          </cell>
          <cell r="E515">
            <v>0</v>
          </cell>
        </row>
        <row r="517">
          <cell r="A517" t="str">
            <v>TAX 19</v>
          </cell>
        </row>
        <row r="519">
          <cell r="A519" t="str">
            <v>RESTRAINT OF TRADE</v>
          </cell>
          <cell r="B519">
            <v>0</v>
          </cell>
          <cell r="C519" t="str">
            <v>REF</v>
          </cell>
          <cell r="D519" t="str">
            <v>30 JUNE 1999</v>
          </cell>
          <cell r="E519" t="str">
            <v>31 MAR 1999</v>
          </cell>
        </row>
        <row r="521">
          <cell r="A521" t="str">
            <v>DETAILS OF EXPENSE</v>
          </cell>
        </row>
        <row r="522">
          <cell r="A522" t="str">
            <v xml:space="preserve">  ?</v>
          </cell>
        </row>
        <row r="523">
          <cell r="A523" t="str">
            <v xml:space="preserve">  ?</v>
          </cell>
        </row>
        <row r="524">
          <cell r="A524" t="str">
            <v xml:space="preserve">  ?</v>
          </cell>
        </row>
        <row r="525">
          <cell r="A525" t="str">
            <v xml:space="preserve">  ?</v>
          </cell>
        </row>
        <row r="526">
          <cell r="A526" t="str">
            <v xml:space="preserve">  ?</v>
          </cell>
        </row>
        <row r="527">
          <cell r="A527" t="str">
            <v xml:space="preserve">  ?</v>
          </cell>
        </row>
        <row r="528">
          <cell r="C528" t="str">
            <v>TAX 6</v>
          </cell>
          <cell r="D528">
            <v>0</v>
          </cell>
          <cell r="E528">
            <v>0</v>
          </cell>
        </row>
        <row r="531">
          <cell r="A531" t="str">
            <v>TAX 20</v>
          </cell>
        </row>
        <row r="533">
          <cell r="A533" t="str">
            <v>REPAIRS &amp; MAINTENANCE  (see note)</v>
          </cell>
          <cell r="B533">
            <v>0</v>
          </cell>
          <cell r="C533" t="str">
            <v>REF</v>
          </cell>
          <cell r="D533" t="str">
            <v>30 JUNE 1999</v>
          </cell>
          <cell r="E533" t="str">
            <v>31 MAR 1999</v>
          </cell>
        </row>
        <row r="535">
          <cell r="A535" t="str">
            <v>Total per Manufacturing expenses</v>
          </cell>
          <cell r="B535">
            <v>0</v>
          </cell>
          <cell r="C535" t="str">
            <v>TAX 4</v>
          </cell>
          <cell r="D535">
            <v>0</v>
          </cell>
          <cell r="E535">
            <v>0</v>
          </cell>
        </row>
        <row r="536">
          <cell r="A536" t="str">
            <v>Total per Selling expenses</v>
          </cell>
          <cell r="B536">
            <v>0</v>
          </cell>
          <cell r="C536" t="str">
            <v>TAX 5</v>
          </cell>
          <cell r="D536">
            <v>0</v>
          </cell>
          <cell r="E536">
            <v>0</v>
          </cell>
        </row>
        <row r="537">
          <cell r="A537" t="str">
            <v>Total per Administration expenses</v>
          </cell>
          <cell r="B537">
            <v>0</v>
          </cell>
          <cell r="C537" t="str">
            <v>TAX 6</v>
          </cell>
          <cell r="D537">
            <v>0</v>
          </cell>
          <cell r="E537">
            <v>0</v>
          </cell>
        </row>
        <row r="538">
          <cell r="A538" t="str">
            <v>Total per Distribution expenses</v>
          </cell>
          <cell r="B538">
            <v>0</v>
          </cell>
          <cell r="C538" t="str">
            <v>TAX 7</v>
          </cell>
          <cell r="D538">
            <v>0</v>
          </cell>
          <cell r="E538">
            <v>0</v>
          </cell>
        </row>
        <row r="539">
          <cell r="D539">
            <v>0</v>
          </cell>
          <cell r="E539">
            <v>0</v>
          </cell>
        </row>
        <row r="541">
          <cell r="A541" t="str">
            <v>DETAIL:</v>
          </cell>
        </row>
        <row r="543">
          <cell r="A543" t="str">
            <v>Building</v>
          </cell>
        </row>
        <row r="544">
          <cell r="A544" t="str">
            <v xml:space="preserve"> - Painting</v>
          </cell>
        </row>
        <row r="545">
          <cell r="A545" t="str">
            <v xml:space="preserve"> - Glazing</v>
          </cell>
        </row>
        <row r="546">
          <cell r="A546" t="str">
            <v xml:space="preserve"> - Garden maintenance</v>
          </cell>
        </row>
        <row r="547">
          <cell r="A547" t="str">
            <v xml:space="preserve"> - Electrical</v>
          </cell>
        </row>
        <row r="548">
          <cell r="A548" t="str">
            <v xml:space="preserve"> - Plumbing</v>
          </cell>
        </row>
        <row r="549">
          <cell r="A549" t="str">
            <v xml:space="preserve"> - Refuse removal</v>
          </cell>
        </row>
        <row r="550">
          <cell r="A550" t="str">
            <v xml:space="preserve"> - Structural repairs</v>
          </cell>
        </row>
        <row r="551">
          <cell r="A551" t="str">
            <v xml:space="preserve"> - Fire equipment service</v>
          </cell>
        </row>
        <row r="552">
          <cell r="A552" t="str">
            <v xml:space="preserve"> - Airconditioners  repairs/service</v>
          </cell>
        </row>
        <row r="553">
          <cell r="A553">
            <v>0</v>
          </cell>
        </row>
        <row r="554">
          <cell r="A554" t="str">
            <v>Plant maintenance</v>
          </cell>
        </row>
        <row r="555">
          <cell r="A555" t="str">
            <v>Computers &amp; office equipment maintenance</v>
          </cell>
        </row>
        <row r="556">
          <cell r="A556" t="str">
            <v>Other : (Specify)</v>
          </cell>
        </row>
        <row r="557">
          <cell r="A557" t="str">
            <v xml:space="preserve">      ?</v>
          </cell>
        </row>
        <row r="558">
          <cell r="A558" t="str">
            <v xml:space="preserve">      ?</v>
          </cell>
        </row>
        <row r="559">
          <cell r="A559" t="str">
            <v xml:space="preserve">      ?</v>
          </cell>
        </row>
        <row r="560">
          <cell r="A560" t="str">
            <v xml:space="preserve">      ?</v>
          </cell>
        </row>
        <row r="561">
          <cell r="A561" t="str">
            <v xml:space="preserve">      ?</v>
          </cell>
        </row>
        <row r="562">
          <cell r="A562" t="str">
            <v>TOTAL REPAIRS &amp; MAINTENANCE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</row>
        <row r="565">
          <cell r="A565" t="str">
            <v>NOTE: CAR &amp; TRUCK MAINTENANCE IS NOT TO BE INCLUDED ABOVE</v>
          </cell>
        </row>
        <row r="568">
          <cell r="A568" t="str">
            <v>TAX 21</v>
          </cell>
        </row>
        <row r="570">
          <cell r="A570" t="str">
            <v>INSURANCE</v>
          </cell>
          <cell r="B570">
            <v>0</v>
          </cell>
          <cell r="C570" t="str">
            <v>REF</v>
          </cell>
          <cell r="D570" t="str">
            <v>30 JUNE 1999</v>
          </cell>
          <cell r="E570" t="str">
            <v>31 MAR 1999</v>
          </cell>
        </row>
        <row r="572">
          <cell r="A572" t="str">
            <v>Manufacturing expenses</v>
          </cell>
          <cell r="B572">
            <v>0</v>
          </cell>
          <cell r="C572" t="str">
            <v>TAX 4</v>
          </cell>
          <cell r="D572">
            <v>0</v>
          </cell>
          <cell r="E572">
            <v>0</v>
          </cell>
        </row>
        <row r="573">
          <cell r="A573" t="str">
            <v>Selling expenses</v>
          </cell>
          <cell r="B573">
            <v>0</v>
          </cell>
          <cell r="C573" t="str">
            <v>TAX 5</v>
          </cell>
          <cell r="D573">
            <v>0</v>
          </cell>
          <cell r="E573">
            <v>0</v>
          </cell>
        </row>
        <row r="574">
          <cell r="A574" t="str">
            <v>Administration expenses</v>
          </cell>
          <cell r="B574">
            <v>0</v>
          </cell>
          <cell r="C574" t="str">
            <v>TAX 6</v>
          </cell>
          <cell r="D574">
            <v>0</v>
          </cell>
          <cell r="E574">
            <v>0</v>
          </cell>
        </row>
        <row r="575">
          <cell r="A575" t="str">
            <v>Distribution expenses</v>
          </cell>
          <cell r="B575">
            <v>0</v>
          </cell>
          <cell r="C575" t="str">
            <v>TAX 7</v>
          </cell>
          <cell r="D575">
            <v>0</v>
          </cell>
          <cell r="E575">
            <v>0</v>
          </cell>
        </row>
        <row r="576">
          <cell r="A576" t="str">
            <v>TOTAL INSURANCE EXPENSES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</row>
        <row r="577">
          <cell r="A577" t="str">
            <v>DETAILS:</v>
          </cell>
        </row>
        <row r="578">
          <cell r="A578" t="str">
            <v>Group ex Support Group (GlenrandMIB)</v>
          </cell>
        </row>
        <row r="579">
          <cell r="A579" t="str">
            <v>Customs bond</v>
          </cell>
        </row>
        <row r="580">
          <cell r="A580" t="str">
            <v>Holiday pay guarantee</v>
          </cell>
        </row>
        <row r="581">
          <cell r="A581" t="str">
            <v>Spoornet</v>
          </cell>
        </row>
        <row r="582">
          <cell r="A582" t="str">
            <v>C.O.I.D.</v>
          </cell>
        </row>
        <row r="583">
          <cell r="A583" t="str">
            <v>Other : (Specify)</v>
          </cell>
        </row>
        <row r="584">
          <cell r="A584" t="str">
            <v xml:space="preserve">      ?</v>
          </cell>
        </row>
        <row r="585">
          <cell r="A585" t="str">
            <v xml:space="preserve">      ?</v>
          </cell>
        </row>
        <row r="586">
          <cell r="A586" t="str">
            <v xml:space="preserve">      ?</v>
          </cell>
        </row>
        <row r="587">
          <cell r="A587" t="str">
            <v>TOTAL INSURANCE EXPENSES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CONTENTS"/>
      <sheetName val="INFORMATION"/>
      <sheetName val="SET_UP"/>
      <sheetName val="SCH1"/>
      <sheetName val="SCH1_A"/>
      <sheetName val="SCH1_B"/>
      <sheetName val="SCH2"/>
      <sheetName val="SCH3"/>
      <sheetName val="SCH4"/>
      <sheetName val="SCH4_A"/>
      <sheetName val="SCH4_B"/>
      <sheetName val="SCH6"/>
      <sheetName val="SCH7"/>
      <sheetName val="SCH7_A"/>
      <sheetName val="SCH8_A"/>
      <sheetName val="SCH8_B"/>
      <sheetName val="SCH8_C"/>
      <sheetName val="SCH8_D"/>
      <sheetName val="SCH9"/>
      <sheetName val="SCH9_A"/>
      <sheetName val="SCH10"/>
      <sheetName val="SCH10_A"/>
      <sheetName val="SCH11"/>
      <sheetName val="SCH12"/>
      <sheetName val="SCH13"/>
      <sheetName val="SCH14"/>
      <sheetName val="SCH15"/>
      <sheetName val="Module1"/>
      <sheetName val="Module2"/>
      <sheetName val="Module3"/>
      <sheetName val="STANBIC BANK ZKW"/>
      <sheetName val="Notes"/>
      <sheetName val="TB"/>
      <sheetName val="Cover"/>
      <sheetName val="Data"/>
      <sheetName val="PL"/>
      <sheetName val="DetailPL2"/>
      <sheetName val="TaxComp"/>
      <sheetName val="BS"/>
      <sheetName val="TAX COVER"/>
      <sheetName val="OFFICE EQUIP"/>
      <sheetName val="Additions (2)"/>
      <sheetName val="Improvements"/>
      <sheetName val="Plant and equip"/>
      <sheetName val="Computer equip (2)"/>
      <sheetName val="Furniture and fittings"/>
      <sheetName val="Motor Vehicle"/>
      <sheetName val="TB 2013"/>
      <sheetName val="Legal and prof"/>
      <sheetName val="FX"/>
      <sheetName val="Legal"/>
      <sheetName val="TB 2012"/>
      <sheetName val="DEFERRED TAX 2010 11"/>
      <sheetName val="summary FAR "/>
      <sheetName val="Loose tools"/>
      <sheetName val="JV"/>
      <sheetName val="2A(1)"/>
      <sheetName val="2A(2)"/>
      <sheetName val="2A(3)"/>
      <sheetName val="2A(4)"/>
      <sheetName val="2A(5)"/>
      <sheetName val="2A(6)"/>
      <sheetName val="2A(7)"/>
      <sheetName val="2A(8)"/>
      <sheetName val="2A(9)"/>
      <sheetName val="2A(10)"/>
      <sheetName val="2A(11)"/>
      <sheetName val="2A(12)"/>
      <sheetName val="2A(13)"/>
      <sheetName val="2A(14)"/>
      <sheetName val="dtaxkm"/>
      <sheetName val="Exchange"/>
      <sheetName val="Sheet3"/>
      <sheetName val="Sheet2"/>
      <sheetName val="Donation"/>
      <sheetName val="PLANT &amp; EQUIP"/>
      <sheetName val="LEASE HOLD IMPROV"/>
      <sheetName val="Computer equip"/>
      <sheetName val="FUNITURE AND F"/>
      <sheetName val="Sheet9"/>
      <sheetName val="Sheet8"/>
      <sheetName val="Sheet1"/>
      <sheetName val="COS"/>
      <sheetName val="Fin Cost"/>
      <sheetName val="Advert"/>
      <sheetName val="office"/>
      <sheetName val="Disposal (2)"/>
      <sheetName val="STAFF TRAINING"/>
      <sheetName val="DETAILED ADDITIONS SCHEDULE"/>
      <sheetName val="ASSETS"/>
      <sheetName val="SPAR CHOMA LTD"/>
      <sheetName val="ANALYSIS"/>
      <sheetName val="ADDITIONS"/>
      <sheetName val="disposal"/>
      <sheetName val="WRITE OFF"/>
      <sheetName val="4"/>
      <sheetName val="Summary of Stds DV"/>
    </sheetNames>
    <sheetDataSet>
      <sheetData sheetId="0"/>
      <sheetData sheetId="1"/>
      <sheetData sheetId="2"/>
      <sheetData sheetId="3" refreshError="1">
        <row r="28">
          <cell r="E28" t="str">
            <v>2000 LATEST UPDATE / 2001 PRELIMINARY BUDGET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Ended Mar 2005"/>
      <sheetName val="Exchange movements"/>
      <sheetName val="Non Cash Benefits"/>
      <sheetName val="Other Payments"/>
      <sheetName val="Genral welfare"/>
      <sheetName val="bad debts-Entertainment"/>
      <sheetName val="Licences etc"/>
      <sheetName val="Subscriptions"/>
      <sheetName val="Advert"/>
      <sheetName val="Donations"/>
      <sheetName val="P and L"/>
      <sheetName val="Summary"/>
      <sheetName val="Land &amp; Buildings"/>
      <sheetName val="Hatchery Equipment inc in PE"/>
      <sheetName val="Office Equip and Furn"/>
      <sheetName val="Profit &amp; Loss"/>
      <sheetName val="Balance Sheet"/>
      <sheetName val="Moveable Equipment"/>
      <sheetName val="Nest Boxes"/>
      <sheetName val="4AM(1)"/>
      <sheetName val="4AM(2)"/>
      <sheetName val="4BM(1)"/>
      <sheetName val="4BM(2)"/>
      <sheetName val="5G"/>
      <sheetName val="INVENTORY"/>
      <sheetName val="10A"/>
      <sheetName val="10B"/>
      <sheetName val="FADETAIL"/>
      <sheetName val="10C"/>
      <sheetName val="11A"/>
      <sheetName val="INDO"/>
      <sheetName val="STANBIC BANK ZKW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TAX 1"/>
      <sheetName val="TAX 2"/>
      <sheetName val="Tax summary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TAX 1"/>
      <sheetName val="TAX 2"/>
      <sheetName val="Tax summary"/>
      <sheetName val="Summary"/>
      <sheetName val="Directors Report etc"/>
      <sheetName val="Parameters"/>
      <sheetName val="STANBIC BANK ZKW"/>
      <sheetName val="Summary of Stds DV"/>
      <sheetName val="Home"/>
      <sheetName val="SET_UP"/>
      <sheetName val="Notes"/>
      <sheetName val="INDO"/>
      <sheetName val="Updated"/>
      <sheetName val="TAX_1"/>
      <sheetName val="TAX_2"/>
      <sheetName val="Tax_summary"/>
      <sheetName val="Directors_Report_etc"/>
      <sheetName val="STANBIC_BANK_ZKW"/>
      <sheetName val="Summary_of_Stds_D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Y IS 12month"/>
      <sheetName val="IS PY"/>
      <sheetName val="TB"/>
      <sheetName val="IS"/>
      <sheetName val="Review"/>
      <sheetName val="PYIS"/>
      <sheetName val="BS Sch"/>
      <sheetName val="Issued Shares"/>
      <sheetName val="Loan with GB SA"/>
      <sheetName val="Loan with GB Namibia"/>
      <sheetName val="Loan with Sweet Micro Finance"/>
      <sheetName val="Loan with Ecsponent Swaziland"/>
      <sheetName val="Depreciation"/>
      <sheetName val="Computer Equipment"/>
      <sheetName val="Furniture and Fittings"/>
      <sheetName val="Vehicles"/>
      <sheetName val="Leasehold improvement"/>
      <sheetName val="7000-L021 Summary"/>
      <sheetName val="Weighted Average loan term Calc"/>
      <sheetName val="Deferred Agent Commission"/>
      <sheetName val="Originating expense (2015)"/>
      <sheetName val="Originating expense (2016)"/>
      <sheetName val="Originating expense (2017)"/>
      <sheetName val="Loan for start up"/>
      <sheetName val="Prepayments"/>
      <sheetName val="Deposits"/>
      <sheetName val="7500 - Receivables"/>
      <sheetName val="8200-M009"/>
      <sheetName val="Accrued income"/>
      <sheetName val="Loan book reconciliation"/>
      <sheetName val="Loan book recon"/>
      <sheetName val="Deferred Initiation fees"/>
      <sheetName val="Deferred income Credit Life"/>
      <sheetName val="Deferred provision bad debts"/>
      <sheetName val="Bad Debts Provision"/>
      <sheetName val="Credit life Control"/>
      <sheetName val="Credit Life - Profit Share"/>
      <sheetName val="NPV Detail"/>
      <sheetName val="8400-N001"/>
      <sheetName val="8400-N002"/>
      <sheetName val="8400-N003"/>
      <sheetName val="8400-N004"/>
      <sheetName val="8400-N005"/>
      <sheetName val="8400-N006"/>
      <sheetName val="8400-N007"/>
      <sheetName val="8400-N008"/>
      <sheetName val="8400-N009"/>
      <sheetName val="8400-N010"/>
      <sheetName val="8400-N011"/>
      <sheetName val="8400-N012"/>
      <sheetName val="8400-N999"/>
      <sheetName val="Tellers &amp; Petty Cash"/>
      <sheetName val="8600-P201"/>
      <sheetName val="8600-P202"/>
      <sheetName val="8600-P203"/>
      <sheetName val="8600-P204"/>
      <sheetName val="8600-P205"/>
      <sheetName val="8600-P206"/>
      <sheetName val="8600-P207"/>
      <sheetName val="Accruals "/>
      <sheetName val="9051-Z000 - Payaway"/>
      <sheetName val="9200-Q001 PAYE Liability"/>
      <sheetName val="Salary Control"/>
      <sheetName val="9200-Q003 - Salaries Control"/>
      <sheetName val="Salaries Control (old)"/>
      <sheetName val="9200-Q005 - SNPF"/>
      <sheetName val="Suspense"/>
      <sheetName val="Vat Control"/>
      <sheetName val="WHT"/>
      <sheetName val="Prepayments "/>
      <sheetName val="Weighted Avg Term"/>
      <sheetName val="BadDebt Provision"/>
      <sheetName val="8400-N013"/>
      <sheetName val="8400-N014"/>
      <sheetName val="8400-N015"/>
      <sheetName val="8400-N016"/>
      <sheetName val="8400-N999 Recon"/>
      <sheetName val="NASSA"/>
      <sheetName val="Medical"/>
      <sheetName val="ZIMDEF"/>
      <sheetName val="Pension"/>
      <sheetName val="Std levy"/>
      <sheetName val="WCIF"/>
      <sheetName val="Agent com account "/>
      <sheetName val="WHT "/>
      <sheetName val="Income Tax"/>
      <sheetName val="BTI International"/>
      <sheetName val="Staff Loans"/>
      <sheetName val="Taxation Computation"/>
      <sheetName val="IS Sch"/>
      <sheetName val="Interest Received"/>
      <sheetName val="Rent"/>
      <sheetName val="Salaries Swaziland"/>
      <sheetName val="Salaries Zimbabwe"/>
      <sheetName val="Bonus provision"/>
      <sheetName val="GBSA"/>
      <sheetName val="5400 ADC Liability"/>
      <sheetName val="Revenue 2014"/>
      <sheetName val="NPV"/>
      <sheetName val="NPV - till June 16"/>
      <sheetName val="Revenue 2017"/>
      <sheetName val="Rental"/>
      <sheetName val="Taxation Payable"/>
      <sheetName val="Income and deferred 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2011"/>
      <sheetName val="Other Inc"/>
      <sheetName val="cfw"/>
      <sheetName val="Fin Bureau"/>
      <sheetName val="Cover"/>
      <sheetName val="Index"/>
      <sheetName val="bs (p)"/>
      <sheetName val="is (p)"/>
      <sheetName val="cf (p)"/>
      <sheetName val="Note 6- 9 (p)"/>
      <sheetName val="Note 10-12(p)"/>
      <sheetName val="Note 13-10 (p)"/>
      <sheetName val="Note 13-11 (p)"/>
      <sheetName val="Note 14-16 (p)"/>
      <sheetName val="Note 10.3-11.1 (2)"/>
      <sheetName val="corp info"/>
      <sheetName val="General Infor"/>
      <sheetName val="Directors' report"/>
      <sheetName val="directors resp"/>
      <sheetName val="auditors rep"/>
      <sheetName val="Review"/>
      <sheetName val="bs"/>
      <sheetName val="Sheet5"/>
      <sheetName val="is"/>
      <sheetName val="Financials"/>
      <sheetName val="soci"/>
      <sheetName val="cf"/>
      <sheetName val="Notes 1 to 2"/>
      <sheetName val="Notes 3.1 to 3.29"/>
      <sheetName val="Notes 4.1a to 4.1g"/>
      <sheetName val="Notes 4.2 (a) to 4.2 (b)"/>
      <sheetName val="Notes 5 to 10"/>
      <sheetName val="Note 11 to 12"/>
      <sheetName val="Notes 14 to 24"/>
      <sheetName val="Consol BS"/>
      <sheetName val="Cons IS"/>
      <sheetName val="SOCE"/>
      <sheetName val="Cashflow"/>
      <sheetName val="NOTES TO BALANCE SHEET"/>
      <sheetName val="Consolidated Income Statement"/>
      <sheetName val="Consolidated Balance Sheet"/>
      <sheetName val="Consolidated Statement of Cashf"/>
      <sheetName val="Consolidated SOCE"/>
      <sheetName val="Income statement"/>
      <sheetName val="Balance sheet"/>
      <sheetName val="Cash flow statement"/>
      <sheetName val="SOCIE"/>
      <sheetName val="IS NFB Forex B"/>
      <sheetName val="BS NFB Forex B"/>
      <sheetName val="SOCE NFB Forex B"/>
      <sheetName val="Mapping"/>
      <sheetName val="Mapping NFB Forex B"/>
      <sheetName val="Today Posting Chiya"/>
      <sheetName val="Final for Chiya"/>
      <sheetName val="Journal for Posting"/>
      <sheetName val="Final Journals"/>
      <sheetName val="Output"/>
      <sheetName val="Journal Summary"/>
      <sheetName val="JNL V Reorganised"/>
      <sheetName val="Journals"/>
      <sheetName val="Dec 2018"/>
      <sheetName val="Dec 18 F"/>
      <sheetName val="Branch Wise Nov 2018"/>
      <sheetName val="BANK AND CASH LEAD SCH"/>
      <sheetName val="RBM "/>
      <sheetName val="STANDARD BANK"/>
      <sheetName val="Reserve Bank of SA (SIRESS)"/>
      <sheetName val="Standard Bank ZAR"/>
      <sheetName val="Unapplied Funds"/>
      <sheetName val="Unapplied Funds Recon"/>
      <sheetName val="TREASURY INSTRUMENTS LEAD SCHED"/>
      <sheetName val="Amortisation TNotes"/>
      <sheetName val="Amortisation TBills"/>
      <sheetName val="LOAN BOOK LEAD SCHEDULE"/>
      <sheetName val="NFB LOAN BOOK SUMMARY"/>
      <sheetName val="Impairments NFB Loan Book"/>
      <sheetName val="NFB Write Offs"/>
      <sheetName val="GB Write Offs"/>
      <sheetName val="GB Purchased Loan Listing Dec18"/>
      <sheetName val="DEC "/>
      <sheetName val="Pride Initial Book"/>
      <sheetName val="Pride Loan Listing Dec 18"/>
      <sheetName val="PPE LEAD SCHEDULE"/>
      <sheetName val="FAR MOVEMENT SCHEDULE IAS 16"/>
      <sheetName val="IA LEAD SCHEDULE"/>
      <sheetName val="IA MOVEMENT SCHEDULE"/>
      <sheetName val="FAR"/>
      <sheetName val="FAR vs GL"/>
      <sheetName val="Capital Allowances 1"/>
      <sheetName val="Capital Allowances 2"/>
      <sheetName val="Capital Allowances 3"/>
      <sheetName val="Capital Allowances 4"/>
      <sheetName val="DEFERRED TAX LEAD SCHEDULE"/>
      <sheetName val="Income Tax Computation"/>
      <sheetName val="Deferred Tax Computation"/>
      <sheetName val="DEMAND AND SAV DEPO LEAD SCHEDU"/>
      <sheetName val="7 DAY CALL DEPOSIT"/>
      <sheetName val="DEMAND DEPOSITS"/>
      <sheetName val="SAVING DEP DEC 2018 LISTING"/>
      <sheetName val="TERM DEPOSIT LEAD SCHEDULE"/>
      <sheetName val="30 DD DEC 2018 LISTING"/>
      <sheetName val="60 DD DEC 2018 LISTING"/>
      <sheetName val="90 DD DEC 2018 LISTING"/>
      <sheetName val="180 DD DEC 2018 LISTING"/>
      <sheetName val="365 DD DEC 2018 LISTING"/>
      <sheetName val="BOND AND EXT LEADSCHEDULE "/>
      <sheetName val="BOND SUBSCRIBERS"/>
      <sheetName val="SUMMARY OF COUPONS"/>
      <sheetName val="CDH INVESTOR"/>
      <sheetName val="ALLIANCE CAPITAL INVESTOR"/>
      <sheetName val="GENERAL ALLIANCE INVESTOR"/>
      <sheetName val="EQUITY INVESTMENT"/>
      <sheetName val="FIDELITY INVESTMENT"/>
      <sheetName val="STOCK BROKERS"/>
      <sheetName val="OLD MUTUAL DEC 2018 SUMMARY"/>
      <sheetName val="Old Mutual Life Assurance Co "/>
      <sheetName val="Magetsi"/>
      <sheetName val="Cham"/>
      <sheetName val="TNM"/>
      <sheetName val="STD ITF"/>
      <sheetName val="Overnight Borrowing Dec 2018"/>
      <sheetName val="Overnight Borrowings 2018"/>
      <sheetName val="OTHER ASSETS LEAD SCHEDULE"/>
      <sheetName val="Advanced Deposits"/>
      <sheetName val="Pettycash Account-Operations"/>
      <sheetName val="Stock of Cheque book"/>
      <sheetName val="Insurance schedule"/>
      <sheetName val="SUMMARY BOND PREPAID COSTS DEC "/>
      <sheetName val="MB"/>
      <sheetName val="Prudential Holdings"/>
      <sheetName val="Wilson &amp; Morgan"/>
      <sheetName val="MSE"/>
      <sheetName val="DT 2"/>
      <sheetName val="DT 1"/>
      <sheetName val="Stock Brockers"/>
      <sheetName val="CDH"/>
      <sheetName val="Other Bond Costs"/>
      <sheetName val="PREPAID STATIONERY SUMMARY"/>
      <sheetName val="HO"/>
      <sheetName val="BT"/>
      <sheetName val="LB"/>
      <sheetName val="OLDT"/>
      <sheetName val="GATEWAY"/>
      <sheetName val="MZZ"/>
      <sheetName val="CITY C"/>
      <sheetName val="MPONELA"/>
      <sheetName val="DZALEKA"/>
      <sheetName val="Prepayment-Rent"/>
      <sheetName val="Prepayment-Miscellanous"/>
      <sheetName val="Miscellaneous Debtors"/>
      <sheetName val="GetBucks Debtors"/>
      <sheetName val="Deferred Orig Cost (Premiu18)"/>
      <sheetName val="Forex Bureau Debtors"/>
      <sheetName val="OTHER LIABILITIES LEAD SCHEDULE"/>
      <sheetName val="Withholding Tax Payable"/>
      <sheetName val="PAYE"/>
      <sheetName val="General provision"/>
      <sheetName val="Other Creditors"/>
      <sheetName val="Staff Personal Bills"/>
      <sheetName val="Bank Cheque client"/>
      <sheetName val="Prov RBM Supervisory Fees"/>
      <sheetName val="Fx Spread Prov"/>
      <sheetName val="General Res Ext Audit"/>
      <sheetName val="Tevet"/>
      <sheetName val="Medical Cont Payable"/>
      <sheetName val="Pension Cont Payable"/>
      <sheetName val="FBT"/>
      <sheetName val="VAT payable"/>
      <sheetName val="Miscellaneous Creditors"/>
      <sheetName val="CRB Fees"/>
      <sheetName val="Unclaimed Cheques"/>
      <sheetName val="Accrued Leave"/>
      <sheetName val="Accrued Electricity charges"/>
      <sheetName val="Accrued Water Charges Payable"/>
      <sheetName val="Accrued Rent"/>
      <sheetName val="Accrued Telephone"/>
      <sheetName val="Breakdown gratutity"/>
      <sheetName val="Note 1-2.3"/>
      <sheetName val="Note 3pp"/>
      <sheetName val="Note 3(replaced)"/>
      <sheetName val="Note 3g (2)"/>
      <sheetName val="Note 3-4 (3)"/>
      <sheetName val="Error note (wip)"/>
      <sheetName val="cftempl"/>
      <sheetName val="disposals"/>
      <sheetName val="adjs"/>
      <sheetName val="Sheet1"/>
      <sheetName val="defered tax"/>
      <sheetName val="Prior year error"/>
      <sheetName val="Sheet12"/>
      <sheetName val="Sheet13"/>
      <sheetName val="Sheet14"/>
      <sheetName val="Sheet15"/>
      <sheetName val="Sheet17"/>
      <sheetName val="Sheet2"/>
      <sheetName val="Sheet3"/>
      <sheetName val="State of Cop Gv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5">
          <cell r="S15">
            <v>207800</v>
          </cell>
        </row>
      </sheetData>
      <sheetData sheetId="35">
        <row r="12">
          <cell r="I12">
            <v>10554580</v>
          </cell>
        </row>
      </sheetData>
      <sheetData sheetId="36"/>
      <sheetData sheetId="37">
        <row r="10">
          <cell r="C10">
            <v>363697</v>
          </cell>
        </row>
      </sheetData>
      <sheetData sheetId="38">
        <row r="8">
          <cell r="C8">
            <v>1075302</v>
          </cell>
        </row>
      </sheetData>
      <sheetData sheetId="39"/>
      <sheetData sheetId="40">
        <row r="33">
          <cell r="AJ33">
            <v>-372148000</v>
          </cell>
        </row>
      </sheetData>
      <sheetData sheetId="41"/>
      <sheetData sheetId="42"/>
      <sheetData sheetId="43"/>
      <sheetData sheetId="44">
        <row r="21">
          <cell r="DB21">
            <v>30000000</v>
          </cell>
        </row>
      </sheetData>
      <sheetData sheetId="45"/>
      <sheetData sheetId="46"/>
      <sheetData sheetId="47">
        <row r="11">
          <cell r="F11">
            <v>0</v>
          </cell>
        </row>
      </sheetData>
      <sheetData sheetId="48">
        <row r="12">
          <cell r="I12">
            <v>27375455.34</v>
          </cell>
        </row>
      </sheetData>
      <sheetData sheetId="49"/>
      <sheetData sheetId="50"/>
      <sheetData sheetId="51">
        <row r="197">
          <cell r="I197">
            <v>-12433000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14">
          <cell r="G14">
            <v>21558000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7">
          <cell r="E7">
            <v>1150000000</v>
          </cell>
        </row>
      </sheetData>
      <sheetData sheetId="115"/>
      <sheetData sheetId="116"/>
      <sheetData sheetId="117"/>
      <sheetData sheetId="118"/>
      <sheetData sheetId="119"/>
      <sheetData sheetId="120">
        <row r="3">
          <cell r="C3">
            <v>3000000000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ixed Asset Register"/>
      <sheetName val="Movement Sched"/>
      <sheetName val=" Asset Verification &amp; Additions"/>
      <sheetName val="NBV Proof"/>
      <sheetName val="Residual Value and Useful life"/>
      <sheetName val="Impairment"/>
      <sheetName val="XREF"/>
      <sheetName val="Tickmarks"/>
      <sheetName val="Sheet1"/>
    </sheetNames>
    <sheetDataSet>
      <sheetData sheetId="0"/>
      <sheetData sheetId="1">
        <row r="154">
          <cell r="H154">
            <v>39266</v>
          </cell>
        </row>
      </sheetData>
      <sheetData sheetId="2">
        <row r="16">
          <cell r="N16">
            <v>429252.91000000003</v>
          </cell>
        </row>
        <row r="28">
          <cell r="N28">
            <v>220037.88862999118</v>
          </cell>
          <cell r="S28">
            <v>25002.654055555555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>
        <row r="7">
          <cell r="A7" t="str">
            <v>{c}</v>
          </cell>
        </row>
      </sheetData>
      <sheetData sheetId="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"/>
      <sheetName val="Proof of Tax Total"/>
      <sheetName val="INCOME STATEMENT"/>
      <sheetName val="Capital Gain"/>
      <sheetName val="FBT"/>
      <sheetName val="Gratuity"/>
      <sheetName val="Training"/>
      <sheetName val="Donations"/>
      <sheetName val="Subscp"/>
      <sheetName val="Legal Fees"/>
      <sheetName val="Exchange Differences"/>
      <sheetName val="XREF"/>
      <sheetName val="Tickmarks"/>
      <sheetName val="BALANCE SHEET"/>
      <sheetName val="Changes in equity"/>
      <sheetName val="NOTES1"/>
    </sheetNames>
    <sheetDataSet>
      <sheetData sheetId="0"/>
      <sheetData sheetId="1" refreshError="1"/>
      <sheetData sheetId="2" refreshError="1">
        <row r="22">
          <cell r="H22">
            <v>521335</v>
          </cell>
        </row>
      </sheetData>
      <sheetData sheetId="3" refreshError="1"/>
      <sheetData sheetId="4" refreshError="1">
        <row r="23">
          <cell r="E23">
            <v>6481894.7800000003</v>
          </cell>
        </row>
      </sheetData>
      <sheetData sheetId="5" refreshError="1">
        <row r="9">
          <cell r="E9">
            <v>8075056</v>
          </cell>
        </row>
      </sheetData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INFO"/>
      <sheetName val="Contents"/>
      <sheetName val="DIR RPT"/>
      <sheetName val="REPORT"/>
      <sheetName val="INCOME"/>
      <sheetName val="BALANCE SHT"/>
      <sheetName val="Equity change"/>
      <sheetName val="CASH FLOW"/>
      <sheetName val="ACC POLICIES"/>
      <sheetName val="ACCPOL"/>
      <sheetName val="Policies"/>
      <sheetName val="POL"/>
      <sheetName val="POLI"/>
      <sheetName val="POLI (2)"/>
      <sheetName val="Note 1-3"/>
      <sheetName val="Note 4-8"/>
      <sheetName val="Note 9-13"/>
      <sheetName val="note 9 -14"/>
      <sheetName val="fin inst note"/>
      <sheetName val="finnote cont"/>
      <sheetName val="fin notev"/>
      <sheetName val="Detailed"/>
      <sheetName val="sensitivity USD"/>
      <sheetName val="Sensitivity RAND"/>
      <sheetName val="Sheet1"/>
      <sheetName val="POL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"/>
      <sheetName val="COVER "/>
      <sheetName val="REPORTS"/>
      <sheetName val="ACCOUNTS"/>
      <sheetName val="TB "/>
      <sheetName val="JE"/>
      <sheetName val="PROPERTY"/>
      <sheetName val="NOTES"/>
      <sheetName val="SCHEDULE"/>
      <sheetName val="TAXCOVER"/>
      <sheetName val="TAXCOMP"/>
      <sheetName val=" CONSOLIDATED "/>
      <sheetName val="Rates"/>
      <sheetName val="Stocks"/>
      <sheetName val="bank and loans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>
        <row r="44">
          <cell r="B44">
            <v>903549434.94000006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&amp; Dates"/>
      <sheetName val="Account Classification"/>
      <sheetName val="Account Mapping"/>
      <sheetName val="SSG Accounts"/>
    </sheetNames>
    <sheetDataSet>
      <sheetData sheetId="0" refreshError="1"/>
      <sheetData sheetId="1" refreshError="1"/>
      <sheetData sheetId="2" refreshError="1">
        <row r="7">
          <cell r="B7">
            <v>100000255200</v>
          </cell>
        </row>
        <row r="8">
          <cell r="B8">
            <v>101100255200</v>
          </cell>
        </row>
        <row r="9">
          <cell r="B9">
            <v>101105255200</v>
          </cell>
        </row>
        <row r="10">
          <cell r="B10">
            <v>101270255200</v>
          </cell>
        </row>
        <row r="11">
          <cell r="B11">
            <v>101990255200</v>
          </cell>
        </row>
        <row r="12">
          <cell r="B12">
            <v>102100255200</v>
          </cell>
        </row>
        <row r="13">
          <cell r="B13">
            <v>102450255200</v>
          </cell>
        </row>
        <row r="14">
          <cell r="B14">
            <v>102975255200</v>
          </cell>
        </row>
        <row r="15">
          <cell r="B15">
            <v>102980255200</v>
          </cell>
        </row>
        <row r="16">
          <cell r="B16">
            <v>103620255200</v>
          </cell>
        </row>
        <row r="17">
          <cell r="B17">
            <v>104060255200</v>
          </cell>
        </row>
        <row r="18">
          <cell r="B18">
            <v>105080255200</v>
          </cell>
        </row>
        <row r="19">
          <cell r="B19">
            <v>105770255200</v>
          </cell>
        </row>
        <row r="20">
          <cell r="B20">
            <v>105870255200</v>
          </cell>
        </row>
        <row r="21">
          <cell r="B21">
            <v>106340255200</v>
          </cell>
        </row>
        <row r="22">
          <cell r="B22">
            <v>300000255200</v>
          </cell>
        </row>
        <row r="23">
          <cell r="B23">
            <v>301690255200</v>
          </cell>
        </row>
        <row r="24">
          <cell r="B24">
            <v>302850255200</v>
          </cell>
        </row>
        <row r="25">
          <cell r="B25">
            <v>303050255200</v>
          </cell>
        </row>
        <row r="26">
          <cell r="B26">
            <v>303700255200</v>
          </cell>
        </row>
        <row r="27">
          <cell r="B27">
            <v>303705255200</v>
          </cell>
        </row>
        <row r="28">
          <cell r="B28">
            <v>306460255200</v>
          </cell>
        </row>
        <row r="29">
          <cell r="B29">
            <v>314480255200</v>
          </cell>
        </row>
        <row r="30">
          <cell r="B30">
            <v>315310255200</v>
          </cell>
        </row>
        <row r="31">
          <cell r="B31">
            <v>316380255200</v>
          </cell>
        </row>
        <row r="32">
          <cell r="B32">
            <v>331680255200</v>
          </cell>
        </row>
        <row r="33">
          <cell r="B33">
            <v>333010255200</v>
          </cell>
        </row>
        <row r="34">
          <cell r="B34">
            <v>333560255200</v>
          </cell>
        </row>
        <row r="35">
          <cell r="B35">
            <v>333565255200</v>
          </cell>
        </row>
        <row r="36">
          <cell r="B36">
            <v>333590255200</v>
          </cell>
        </row>
        <row r="37">
          <cell r="B37">
            <v>334580255200</v>
          </cell>
        </row>
        <row r="38">
          <cell r="B38">
            <v>334620255200</v>
          </cell>
        </row>
        <row r="39">
          <cell r="B39">
            <v>334680255200</v>
          </cell>
        </row>
        <row r="40">
          <cell r="B40">
            <v>334750255200</v>
          </cell>
        </row>
        <row r="41">
          <cell r="B41">
            <v>335440255200</v>
          </cell>
        </row>
        <row r="42">
          <cell r="B42">
            <v>391680255200</v>
          </cell>
        </row>
        <row r="43">
          <cell r="B43">
            <v>392640255200</v>
          </cell>
        </row>
        <row r="44">
          <cell r="B44">
            <v>393085255200</v>
          </cell>
        </row>
        <row r="45">
          <cell r="B45">
            <v>394070255200</v>
          </cell>
        </row>
        <row r="46">
          <cell r="B46">
            <v>394100255200</v>
          </cell>
        </row>
        <row r="47">
          <cell r="B47">
            <v>394680255200</v>
          </cell>
        </row>
        <row r="48">
          <cell r="B48">
            <v>394965255200</v>
          </cell>
        </row>
        <row r="49">
          <cell r="B49">
            <v>401620255200</v>
          </cell>
        </row>
        <row r="50">
          <cell r="B50">
            <v>402590255200</v>
          </cell>
        </row>
        <row r="51">
          <cell r="B51">
            <v>404360255200</v>
          </cell>
        </row>
        <row r="52">
          <cell r="B52">
            <v>404560255200</v>
          </cell>
        </row>
        <row r="53">
          <cell r="B53">
            <v>414450255200</v>
          </cell>
        </row>
        <row r="54">
          <cell r="B54">
            <v>401620255210</v>
          </cell>
        </row>
        <row r="55">
          <cell r="B55">
            <v>402590255210</v>
          </cell>
        </row>
        <row r="56">
          <cell r="B56">
            <v>404360255210</v>
          </cell>
        </row>
        <row r="57">
          <cell r="B57">
            <v>404560255210</v>
          </cell>
        </row>
        <row r="58">
          <cell r="B58">
            <v>414450255210</v>
          </cell>
        </row>
        <row r="59">
          <cell r="B59">
            <v>100000255311</v>
          </cell>
        </row>
        <row r="60">
          <cell r="B60">
            <v>101430255311</v>
          </cell>
        </row>
        <row r="61">
          <cell r="B61">
            <v>101440255311</v>
          </cell>
        </row>
        <row r="62">
          <cell r="B62">
            <v>102210255311</v>
          </cell>
        </row>
        <row r="63">
          <cell r="B63">
            <v>102220255311</v>
          </cell>
        </row>
        <row r="64">
          <cell r="B64">
            <v>103770255311</v>
          </cell>
        </row>
        <row r="65">
          <cell r="B65">
            <v>103780255311</v>
          </cell>
        </row>
        <row r="66">
          <cell r="B66">
            <v>105660255311</v>
          </cell>
        </row>
        <row r="67">
          <cell r="B67">
            <v>105670255311</v>
          </cell>
        </row>
        <row r="68">
          <cell r="B68">
            <v>201290255311</v>
          </cell>
        </row>
        <row r="69">
          <cell r="B69">
            <v>202630255311</v>
          </cell>
        </row>
        <row r="70">
          <cell r="B70">
            <v>401620255311</v>
          </cell>
        </row>
        <row r="71">
          <cell r="B71">
            <v>402590255311</v>
          </cell>
        </row>
        <row r="72">
          <cell r="B72">
            <v>404360255311</v>
          </cell>
        </row>
        <row r="73">
          <cell r="B73">
            <v>404560255311</v>
          </cell>
        </row>
        <row r="74">
          <cell r="B74">
            <v>414450255311</v>
          </cell>
        </row>
        <row r="75">
          <cell r="B75">
            <v>100000255312</v>
          </cell>
        </row>
        <row r="76">
          <cell r="B76">
            <v>101430255312</v>
          </cell>
        </row>
        <row r="77">
          <cell r="B77">
            <v>101440255312</v>
          </cell>
        </row>
        <row r="78">
          <cell r="B78">
            <v>102210255312</v>
          </cell>
        </row>
        <row r="79">
          <cell r="B79">
            <v>102220255312</v>
          </cell>
        </row>
        <row r="80">
          <cell r="B80">
            <v>103770255312</v>
          </cell>
        </row>
        <row r="81">
          <cell r="B81">
            <v>103780255312</v>
          </cell>
        </row>
        <row r="82">
          <cell r="B82">
            <v>201290255312</v>
          </cell>
        </row>
        <row r="83">
          <cell r="B83">
            <v>202630255312</v>
          </cell>
        </row>
        <row r="84">
          <cell r="B84">
            <v>401620255312</v>
          </cell>
        </row>
        <row r="85">
          <cell r="B85">
            <v>402590255312</v>
          </cell>
        </row>
        <row r="86">
          <cell r="B86">
            <v>404360255312</v>
          </cell>
        </row>
        <row r="87">
          <cell r="B87">
            <v>404560255312</v>
          </cell>
        </row>
        <row r="88">
          <cell r="B88">
            <v>414450255312</v>
          </cell>
        </row>
        <row r="89">
          <cell r="B89">
            <v>100000255313</v>
          </cell>
        </row>
        <row r="90">
          <cell r="B90">
            <v>101430255313</v>
          </cell>
        </row>
        <row r="91">
          <cell r="B91">
            <v>101440255313</v>
          </cell>
        </row>
        <row r="92">
          <cell r="B92">
            <v>102210255313</v>
          </cell>
        </row>
        <row r="93">
          <cell r="B93">
            <v>102220255313</v>
          </cell>
        </row>
        <row r="94">
          <cell r="B94">
            <v>103770255313</v>
          </cell>
        </row>
        <row r="95">
          <cell r="B95">
            <v>103780255313</v>
          </cell>
        </row>
        <row r="96">
          <cell r="B96">
            <v>201290255313</v>
          </cell>
        </row>
        <row r="97">
          <cell r="B97">
            <v>202630255313</v>
          </cell>
        </row>
        <row r="98">
          <cell r="B98">
            <v>401620255313</v>
          </cell>
        </row>
        <row r="99">
          <cell r="B99">
            <v>402590255313</v>
          </cell>
        </row>
        <row r="100">
          <cell r="B100">
            <v>404360255313</v>
          </cell>
        </row>
        <row r="101">
          <cell r="B101">
            <v>404560255313</v>
          </cell>
        </row>
        <row r="102">
          <cell r="B102">
            <v>414450255313</v>
          </cell>
        </row>
        <row r="103">
          <cell r="B103">
            <v>100000255314</v>
          </cell>
        </row>
        <row r="104">
          <cell r="B104">
            <v>101430255314</v>
          </cell>
        </row>
        <row r="105">
          <cell r="B105">
            <v>101440255314</v>
          </cell>
        </row>
        <row r="106">
          <cell r="B106">
            <v>102210255314</v>
          </cell>
        </row>
        <row r="107">
          <cell r="B107">
            <v>102220255314</v>
          </cell>
        </row>
        <row r="108">
          <cell r="B108">
            <v>103770255314</v>
          </cell>
        </row>
        <row r="109">
          <cell r="B109">
            <v>103780255314</v>
          </cell>
        </row>
        <row r="110">
          <cell r="B110">
            <v>201290255314</v>
          </cell>
        </row>
        <row r="111">
          <cell r="B111">
            <v>202630255314</v>
          </cell>
        </row>
        <row r="112">
          <cell r="B112">
            <v>401620255314</v>
          </cell>
        </row>
        <row r="113">
          <cell r="B113">
            <v>402590255314</v>
          </cell>
        </row>
        <row r="114">
          <cell r="B114">
            <v>404360255314</v>
          </cell>
        </row>
        <row r="115">
          <cell r="B115">
            <v>404560255314</v>
          </cell>
        </row>
        <row r="116">
          <cell r="B116">
            <v>414450255314</v>
          </cell>
        </row>
        <row r="117">
          <cell r="B117">
            <v>100000255315</v>
          </cell>
        </row>
        <row r="118">
          <cell r="B118">
            <v>101430255315</v>
          </cell>
        </row>
        <row r="119">
          <cell r="B119">
            <v>101440255315</v>
          </cell>
        </row>
        <row r="120">
          <cell r="B120">
            <v>102210255315</v>
          </cell>
        </row>
        <row r="121">
          <cell r="B121">
            <v>102220255315</v>
          </cell>
        </row>
        <row r="122">
          <cell r="B122">
            <v>103770255315</v>
          </cell>
        </row>
        <row r="123">
          <cell r="B123">
            <v>103780255315</v>
          </cell>
        </row>
        <row r="124">
          <cell r="B124">
            <v>201290255315</v>
          </cell>
        </row>
        <row r="125">
          <cell r="B125">
            <v>202630255315</v>
          </cell>
        </row>
        <row r="126">
          <cell r="B126">
            <v>401620255315</v>
          </cell>
        </row>
        <row r="127">
          <cell r="B127">
            <v>402590255315</v>
          </cell>
        </row>
        <row r="128">
          <cell r="B128">
            <v>404360255315</v>
          </cell>
        </row>
        <row r="129">
          <cell r="B129">
            <v>404560255315</v>
          </cell>
        </row>
        <row r="130">
          <cell r="B130">
            <v>414450255315</v>
          </cell>
        </row>
        <row r="131">
          <cell r="B131">
            <v>100000255316</v>
          </cell>
        </row>
        <row r="132">
          <cell r="B132">
            <v>101430255316</v>
          </cell>
        </row>
        <row r="133">
          <cell r="B133">
            <v>101440255316</v>
          </cell>
        </row>
        <row r="134">
          <cell r="B134">
            <v>102210255316</v>
          </cell>
        </row>
        <row r="135">
          <cell r="B135">
            <v>102220255316</v>
          </cell>
        </row>
        <row r="136">
          <cell r="B136">
            <v>103770255316</v>
          </cell>
        </row>
        <row r="137">
          <cell r="B137">
            <v>103780255316</v>
          </cell>
        </row>
        <row r="138">
          <cell r="B138">
            <v>201290255316</v>
          </cell>
        </row>
        <row r="139">
          <cell r="B139">
            <v>202630255316</v>
          </cell>
        </row>
        <row r="140">
          <cell r="B140">
            <v>401620255316</v>
          </cell>
        </row>
        <row r="141">
          <cell r="B141">
            <v>402590255316</v>
          </cell>
        </row>
        <row r="142">
          <cell r="B142">
            <v>404360255316</v>
          </cell>
        </row>
        <row r="143">
          <cell r="B143">
            <v>404560255316</v>
          </cell>
        </row>
        <row r="144">
          <cell r="B144">
            <v>414450255316</v>
          </cell>
        </row>
        <row r="145">
          <cell r="B145">
            <v>100000255317</v>
          </cell>
        </row>
        <row r="146">
          <cell r="B146">
            <v>101430255317</v>
          </cell>
        </row>
        <row r="147">
          <cell r="B147">
            <v>101440255317</v>
          </cell>
        </row>
        <row r="148">
          <cell r="B148">
            <v>102210255317</v>
          </cell>
        </row>
        <row r="149">
          <cell r="B149">
            <v>102220255317</v>
          </cell>
        </row>
        <row r="150">
          <cell r="B150">
            <v>103770255317</v>
          </cell>
        </row>
        <row r="151">
          <cell r="B151">
            <v>103780255317</v>
          </cell>
        </row>
        <row r="152">
          <cell r="B152">
            <v>201290255317</v>
          </cell>
        </row>
        <row r="153">
          <cell r="B153">
            <v>202630255317</v>
          </cell>
        </row>
        <row r="154">
          <cell r="B154">
            <v>401620255317</v>
          </cell>
        </row>
        <row r="155">
          <cell r="B155">
            <v>402590255317</v>
          </cell>
        </row>
        <row r="156">
          <cell r="B156">
            <v>404360255317</v>
          </cell>
        </row>
        <row r="157">
          <cell r="B157">
            <v>404560255317</v>
          </cell>
        </row>
        <row r="158">
          <cell r="B158">
            <v>414450255317</v>
          </cell>
        </row>
        <row r="159">
          <cell r="B159">
            <v>100000255318</v>
          </cell>
        </row>
        <row r="160">
          <cell r="B160">
            <v>101430255318</v>
          </cell>
        </row>
        <row r="161">
          <cell r="B161">
            <v>101440255318</v>
          </cell>
        </row>
        <row r="162">
          <cell r="B162">
            <v>102210255318</v>
          </cell>
        </row>
        <row r="163">
          <cell r="B163">
            <v>102220255318</v>
          </cell>
        </row>
        <row r="164">
          <cell r="B164">
            <v>103770255318</v>
          </cell>
        </row>
        <row r="165">
          <cell r="B165">
            <v>103780255318</v>
          </cell>
        </row>
        <row r="166">
          <cell r="B166">
            <v>201290255318</v>
          </cell>
        </row>
        <row r="167">
          <cell r="B167">
            <v>202630255318</v>
          </cell>
        </row>
        <row r="168">
          <cell r="B168">
            <v>401620255318</v>
          </cell>
        </row>
        <row r="169">
          <cell r="B169">
            <v>402590255318</v>
          </cell>
        </row>
        <row r="170">
          <cell r="B170">
            <v>404360255318</v>
          </cell>
        </row>
        <row r="171">
          <cell r="B171">
            <v>404560255318</v>
          </cell>
        </row>
        <row r="172">
          <cell r="B172">
            <v>414450255318</v>
          </cell>
        </row>
        <row r="173">
          <cell r="B173">
            <v>100000255325</v>
          </cell>
        </row>
        <row r="174">
          <cell r="B174">
            <v>101430255325</v>
          </cell>
        </row>
        <row r="175">
          <cell r="B175">
            <v>101440255325</v>
          </cell>
        </row>
        <row r="176">
          <cell r="B176">
            <v>101710255325</v>
          </cell>
        </row>
        <row r="177">
          <cell r="B177">
            <v>101720255325</v>
          </cell>
        </row>
        <row r="178">
          <cell r="B178">
            <v>101970255325</v>
          </cell>
        </row>
        <row r="179">
          <cell r="B179">
            <v>102210255325</v>
          </cell>
        </row>
        <row r="180">
          <cell r="B180">
            <v>102220255325</v>
          </cell>
        </row>
        <row r="181">
          <cell r="B181">
            <v>102430255325</v>
          </cell>
        </row>
        <row r="182">
          <cell r="B182">
            <v>102620255325</v>
          </cell>
        </row>
        <row r="183">
          <cell r="B183">
            <v>103540255325</v>
          </cell>
        </row>
        <row r="184">
          <cell r="B184">
            <v>103770255325</v>
          </cell>
        </row>
        <row r="185">
          <cell r="B185">
            <v>103780255325</v>
          </cell>
        </row>
        <row r="186">
          <cell r="B186">
            <v>104060255325</v>
          </cell>
        </row>
        <row r="187">
          <cell r="B187">
            <v>104970255325</v>
          </cell>
        </row>
        <row r="188">
          <cell r="B188">
            <v>106110255325</v>
          </cell>
        </row>
        <row r="189">
          <cell r="B189">
            <v>201290255325</v>
          </cell>
        </row>
        <row r="190">
          <cell r="B190">
            <v>202630255325</v>
          </cell>
        </row>
        <row r="191">
          <cell r="B191">
            <v>401620255325</v>
          </cell>
        </row>
        <row r="192">
          <cell r="B192">
            <v>402590255325</v>
          </cell>
        </row>
        <row r="193">
          <cell r="B193">
            <v>404360255325</v>
          </cell>
        </row>
        <row r="194">
          <cell r="B194">
            <v>404560255325</v>
          </cell>
        </row>
        <row r="195">
          <cell r="B195">
            <v>414450255325</v>
          </cell>
        </row>
        <row r="196">
          <cell r="B196">
            <v>100000255328</v>
          </cell>
        </row>
        <row r="197">
          <cell r="B197">
            <v>101430255328</v>
          </cell>
        </row>
        <row r="198">
          <cell r="B198">
            <v>101440255328</v>
          </cell>
        </row>
        <row r="199">
          <cell r="B199">
            <v>102210255328</v>
          </cell>
        </row>
        <row r="200">
          <cell r="B200">
            <v>102220255328</v>
          </cell>
        </row>
        <row r="201">
          <cell r="B201">
            <v>103770255328</v>
          </cell>
        </row>
        <row r="202">
          <cell r="B202">
            <v>103780255328</v>
          </cell>
        </row>
        <row r="203">
          <cell r="B203">
            <v>104040255328</v>
          </cell>
        </row>
        <row r="204">
          <cell r="B204">
            <v>106390255328</v>
          </cell>
        </row>
        <row r="205">
          <cell r="B205">
            <v>201290255328</v>
          </cell>
        </row>
        <row r="206">
          <cell r="B206">
            <v>202630255328</v>
          </cell>
        </row>
        <row r="207">
          <cell r="B207">
            <v>401620255328</v>
          </cell>
        </row>
        <row r="208">
          <cell r="B208">
            <v>402590255328</v>
          </cell>
        </row>
        <row r="209">
          <cell r="B209">
            <v>404360255328</v>
          </cell>
        </row>
        <row r="210">
          <cell r="B210">
            <v>404560255328</v>
          </cell>
        </row>
        <row r="211">
          <cell r="B211">
            <v>414450255328</v>
          </cell>
        </row>
        <row r="212">
          <cell r="B212">
            <v>100000255330</v>
          </cell>
        </row>
        <row r="213">
          <cell r="B213">
            <v>201290255330</v>
          </cell>
        </row>
        <row r="214">
          <cell r="B214">
            <v>202630255330</v>
          </cell>
        </row>
        <row r="215">
          <cell r="B215">
            <v>202635255330</v>
          </cell>
        </row>
        <row r="216">
          <cell r="B216">
            <v>301690255330</v>
          </cell>
        </row>
        <row r="217">
          <cell r="B217">
            <v>302040255330</v>
          </cell>
        </row>
        <row r="218">
          <cell r="B218">
            <v>302070255330</v>
          </cell>
        </row>
        <row r="219">
          <cell r="B219">
            <v>302850255330</v>
          </cell>
        </row>
        <row r="220">
          <cell r="B220">
            <v>303050255330</v>
          </cell>
        </row>
        <row r="221">
          <cell r="B221">
            <v>303140255330</v>
          </cell>
        </row>
        <row r="222">
          <cell r="B222">
            <v>303500255330</v>
          </cell>
        </row>
        <row r="223">
          <cell r="B223">
            <v>303530255330</v>
          </cell>
        </row>
        <row r="224">
          <cell r="B224">
            <v>303700255330</v>
          </cell>
        </row>
        <row r="225">
          <cell r="B225">
            <v>306460255330</v>
          </cell>
        </row>
        <row r="226">
          <cell r="B226">
            <v>314480255330</v>
          </cell>
        </row>
        <row r="227">
          <cell r="B227">
            <v>331270255330</v>
          </cell>
        </row>
        <row r="228">
          <cell r="B228">
            <v>331275255330</v>
          </cell>
        </row>
        <row r="229">
          <cell r="B229">
            <v>331930255330</v>
          </cell>
        </row>
        <row r="230">
          <cell r="B230">
            <v>332910255330</v>
          </cell>
        </row>
        <row r="231">
          <cell r="B231">
            <v>333180255330</v>
          </cell>
        </row>
        <row r="232">
          <cell r="B232">
            <v>333520255330</v>
          </cell>
        </row>
        <row r="233">
          <cell r="B233">
            <v>333560255330</v>
          </cell>
        </row>
        <row r="234">
          <cell r="B234">
            <v>333563255330</v>
          </cell>
        </row>
        <row r="235">
          <cell r="B235">
            <v>333590255330</v>
          </cell>
        </row>
        <row r="236">
          <cell r="B236">
            <v>333980255330</v>
          </cell>
        </row>
        <row r="237">
          <cell r="B237">
            <v>334000255330</v>
          </cell>
        </row>
        <row r="238">
          <cell r="B238">
            <v>334100255330</v>
          </cell>
        </row>
        <row r="239">
          <cell r="B239">
            <v>334340255330</v>
          </cell>
        </row>
        <row r="240">
          <cell r="B240">
            <v>334420255330</v>
          </cell>
        </row>
        <row r="241">
          <cell r="B241">
            <v>334580255330</v>
          </cell>
        </row>
        <row r="242">
          <cell r="B242">
            <v>334620255330</v>
          </cell>
        </row>
        <row r="243">
          <cell r="B243">
            <v>334750255330</v>
          </cell>
        </row>
        <row r="244">
          <cell r="B244">
            <v>335710255330</v>
          </cell>
        </row>
        <row r="245">
          <cell r="B245">
            <v>391680255330</v>
          </cell>
        </row>
        <row r="246">
          <cell r="B246">
            <v>394745255330</v>
          </cell>
        </row>
        <row r="247">
          <cell r="B247">
            <v>395705255330</v>
          </cell>
        </row>
        <row r="248">
          <cell r="B248">
            <v>401620255330</v>
          </cell>
        </row>
        <row r="249">
          <cell r="B249">
            <v>402590255330</v>
          </cell>
        </row>
        <row r="250">
          <cell r="B250">
            <v>404360255330</v>
          </cell>
        </row>
        <row r="251">
          <cell r="B251">
            <v>404560255330</v>
          </cell>
        </row>
        <row r="252">
          <cell r="B252">
            <v>414450255330</v>
          </cell>
        </row>
        <row r="253">
          <cell r="B253">
            <v>401620255335</v>
          </cell>
        </row>
        <row r="254">
          <cell r="B254">
            <v>402590255335</v>
          </cell>
        </row>
        <row r="255">
          <cell r="B255">
            <v>404360255335</v>
          </cell>
        </row>
        <row r="256">
          <cell r="B256">
            <v>404560255335</v>
          </cell>
        </row>
        <row r="257">
          <cell r="B257">
            <v>414450255335</v>
          </cell>
        </row>
        <row r="258">
          <cell r="B258">
            <v>100000255349</v>
          </cell>
        </row>
        <row r="259">
          <cell r="B259">
            <v>101935255349</v>
          </cell>
        </row>
        <row r="260">
          <cell r="B260">
            <v>104380255349</v>
          </cell>
        </row>
        <row r="261">
          <cell r="B261">
            <v>104970255349</v>
          </cell>
        </row>
        <row r="262">
          <cell r="B262">
            <v>100000255351</v>
          </cell>
        </row>
        <row r="263">
          <cell r="B263">
            <v>101280255351</v>
          </cell>
        </row>
        <row r="264">
          <cell r="B264">
            <v>102570255351</v>
          </cell>
        </row>
        <row r="265">
          <cell r="B265">
            <v>105340255351</v>
          </cell>
        </row>
        <row r="266">
          <cell r="B266">
            <v>111090255351</v>
          </cell>
        </row>
        <row r="267">
          <cell r="B267">
            <v>112010255351</v>
          </cell>
        </row>
        <row r="268">
          <cell r="B268">
            <v>112330255351</v>
          </cell>
        </row>
        <row r="269">
          <cell r="B269">
            <v>113350255351</v>
          </cell>
        </row>
        <row r="270">
          <cell r="B270">
            <v>114060255351</v>
          </cell>
        </row>
        <row r="271">
          <cell r="B271">
            <v>114900255351</v>
          </cell>
        </row>
        <row r="272">
          <cell r="B272">
            <v>115190255351</v>
          </cell>
        </row>
        <row r="273">
          <cell r="B273">
            <v>116600255351</v>
          </cell>
        </row>
        <row r="274">
          <cell r="B274">
            <v>100000255352</v>
          </cell>
        </row>
        <row r="275">
          <cell r="B275">
            <v>101280255352</v>
          </cell>
        </row>
        <row r="276">
          <cell r="B276">
            <v>102570255352</v>
          </cell>
        </row>
        <row r="277">
          <cell r="B277">
            <v>105340255352</v>
          </cell>
        </row>
        <row r="278">
          <cell r="B278">
            <v>111090255352</v>
          </cell>
        </row>
        <row r="279">
          <cell r="B279">
            <v>112010255352</v>
          </cell>
        </row>
        <row r="280">
          <cell r="B280">
            <v>112330255352</v>
          </cell>
        </row>
        <row r="281">
          <cell r="B281">
            <v>113350255352</v>
          </cell>
        </row>
        <row r="282">
          <cell r="B282">
            <v>114060255352</v>
          </cell>
        </row>
        <row r="283">
          <cell r="B283">
            <v>114900255352</v>
          </cell>
        </row>
        <row r="284">
          <cell r="B284">
            <v>115190255352</v>
          </cell>
        </row>
        <row r="285">
          <cell r="B285">
            <v>116600255352</v>
          </cell>
        </row>
        <row r="286">
          <cell r="B286">
            <v>100000255353</v>
          </cell>
        </row>
        <row r="287">
          <cell r="B287">
            <v>101280255353</v>
          </cell>
        </row>
        <row r="288">
          <cell r="B288">
            <v>102570255353</v>
          </cell>
        </row>
        <row r="289">
          <cell r="B289">
            <v>105340255353</v>
          </cell>
        </row>
        <row r="290">
          <cell r="B290">
            <v>111090255353</v>
          </cell>
        </row>
        <row r="291">
          <cell r="B291">
            <v>112010255353</v>
          </cell>
        </row>
        <row r="292">
          <cell r="B292">
            <v>112330255353</v>
          </cell>
        </row>
        <row r="293">
          <cell r="B293">
            <v>113350255353</v>
          </cell>
        </row>
        <row r="294">
          <cell r="B294">
            <v>114060255353</v>
          </cell>
        </row>
        <row r="295">
          <cell r="B295">
            <v>114900255353</v>
          </cell>
        </row>
        <row r="296">
          <cell r="B296">
            <v>115190255353</v>
          </cell>
        </row>
        <row r="297">
          <cell r="B297">
            <v>116600255353</v>
          </cell>
        </row>
        <row r="298">
          <cell r="B298">
            <v>100000255354</v>
          </cell>
        </row>
        <row r="299">
          <cell r="B299">
            <v>101280255354</v>
          </cell>
        </row>
        <row r="300">
          <cell r="B300">
            <v>102570255354</v>
          </cell>
        </row>
        <row r="301">
          <cell r="B301">
            <v>105340255354</v>
          </cell>
        </row>
        <row r="302">
          <cell r="B302">
            <v>111090255354</v>
          </cell>
        </row>
        <row r="303">
          <cell r="B303">
            <v>112010255354</v>
          </cell>
        </row>
        <row r="304">
          <cell r="B304">
            <v>112330255354</v>
          </cell>
        </row>
        <row r="305">
          <cell r="B305">
            <v>113350255354</v>
          </cell>
        </row>
        <row r="306">
          <cell r="B306">
            <v>114060255354</v>
          </cell>
        </row>
        <row r="307">
          <cell r="B307">
            <v>114900255354</v>
          </cell>
        </row>
        <row r="308">
          <cell r="B308">
            <v>115190255354</v>
          </cell>
        </row>
        <row r="309">
          <cell r="B309">
            <v>116600255354</v>
          </cell>
        </row>
        <row r="310">
          <cell r="B310">
            <v>100000255355</v>
          </cell>
        </row>
        <row r="311">
          <cell r="B311">
            <v>101280255355</v>
          </cell>
        </row>
        <row r="312">
          <cell r="B312">
            <v>102570255355</v>
          </cell>
        </row>
        <row r="313">
          <cell r="B313">
            <v>105340255355</v>
          </cell>
        </row>
        <row r="314">
          <cell r="B314">
            <v>111090255355</v>
          </cell>
        </row>
        <row r="315">
          <cell r="B315">
            <v>112010255355</v>
          </cell>
        </row>
        <row r="316">
          <cell r="B316">
            <v>112330255355</v>
          </cell>
        </row>
        <row r="317">
          <cell r="B317">
            <v>113350255355</v>
          </cell>
        </row>
        <row r="318">
          <cell r="B318">
            <v>114060255355</v>
          </cell>
        </row>
        <row r="319">
          <cell r="B319">
            <v>114900255355</v>
          </cell>
        </row>
        <row r="320">
          <cell r="B320">
            <v>115190255355</v>
          </cell>
        </row>
        <row r="321">
          <cell r="B321">
            <v>116600255355</v>
          </cell>
        </row>
        <row r="322">
          <cell r="B322">
            <v>100000255359</v>
          </cell>
        </row>
        <row r="323">
          <cell r="B323">
            <v>101280255359</v>
          </cell>
        </row>
        <row r="324">
          <cell r="B324">
            <v>102570255359</v>
          </cell>
        </row>
        <row r="325">
          <cell r="B325">
            <v>105340255359</v>
          </cell>
        </row>
        <row r="326">
          <cell r="B326">
            <v>111090255359</v>
          </cell>
        </row>
        <row r="327">
          <cell r="B327">
            <v>112010255359</v>
          </cell>
        </row>
        <row r="328">
          <cell r="B328">
            <v>112330255359</v>
          </cell>
        </row>
        <row r="329">
          <cell r="B329">
            <v>113350255359</v>
          </cell>
        </row>
        <row r="330">
          <cell r="B330">
            <v>114060255359</v>
          </cell>
        </row>
        <row r="331">
          <cell r="B331">
            <v>114900255359</v>
          </cell>
        </row>
        <row r="332">
          <cell r="B332">
            <v>115190255359</v>
          </cell>
        </row>
        <row r="333">
          <cell r="B333">
            <v>116600255359</v>
          </cell>
        </row>
        <row r="334">
          <cell r="B334">
            <v>100000255510</v>
          </cell>
        </row>
        <row r="335">
          <cell r="B335">
            <v>106150255510</v>
          </cell>
        </row>
        <row r="336">
          <cell r="B336">
            <v>206150255510</v>
          </cell>
        </row>
        <row r="337">
          <cell r="B337">
            <v>332420255510</v>
          </cell>
        </row>
        <row r="338">
          <cell r="B338">
            <v>334060255510</v>
          </cell>
        </row>
        <row r="339">
          <cell r="B339">
            <v>334365255510</v>
          </cell>
        </row>
        <row r="340">
          <cell r="B340">
            <v>334367255510</v>
          </cell>
        </row>
        <row r="341">
          <cell r="B341">
            <v>334370255510</v>
          </cell>
        </row>
        <row r="342">
          <cell r="B342">
            <v>334750255510</v>
          </cell>
        </row>
        <row r="343">
          <cell r="B343">
            <v>336200255510</v>
          </cell>
        </row>
        <row r="344">
          <cell r="B344">
            <v>336570255510</v>
          </cell>
        </row>
        <row r="345">
          <cell r="B345">
            <v>401620255510</v>
          </cell>
        </row>
        <row r="346">
          <cell r="B346">
            <v>402590255510</v>
          </cell>
        </row>
        <row r="347">
          <cell r="B347">
            <v>404360255510</v>
          </cell>
        </row>
        <row r="348">
          <cell r="B348">
            <v>404560255510</v>
          </cell>
        </row>
        <row r="349">
          <cell r="B349">
            <v>414450255510</v>
          </cell>
        </row>
        <row r="350">
          <cell r="B350">
            <v>100000255515</v>
          </cell>
        </row>
        <row r="351">
          <cell r="B351">
            <v>103020255515</v>
          </cell>
        </row>
        <row r="352">
          <cell r="B352">
            <v>203020255515</v>
          </cell>
        </row>
        <row r="353">
          <cell r="B353">
            <v>316460255515</v>
          </cell>
        </row>
        <row r="354">
          <cell r="B354">
            <v>333580255515</v>
          </cell>
        </row>
        <row r="355">
          <cell r="B355">
            <v>333590255515</v>
          </cell>
        </row>
        <row r="356">
          <cell r="B356">
            <v>334750255515</v>
          </cell>
        </row>
        <row r="357">
          <cell r="B357">
            <v>401620255515</v>
          </cell>
        </row>
        <row r="358">
          <cell r="B358">
            <v>402590255515</v>
          </cell>
        </row>
        <row r="359">
          <cell r="B359">
            <v>404360255515</v>
          </cell>
        </row>
        <row r="360">
          <cell r="B360">
            <v>404560255515</v>
          </cell>
        </row>
        <row r="361">
          <cell r="B361">
            <v>414450255515</v>
          </cell>
        </row>
        <row r="362">
          <cell r="B362">
            <v>100000255520</v>
          </cell>
        </row>
        <row r="363">
          <cell r="B363">
            <v>106520255520</v>
          </cell>
        </row>
        <row r="364">
          <cell r="B364">
            <v>206520255520</v>
          </cell>
        </row>
        <row r="365">
          <cell r="B365">
            <v>401620255520</v>
          </cell>
        </row>
        <row r="366">
          <cell r="B366">
            <v>402590255520</v>
          </cell>
        </row>
        <row r="367">
          <cell r="B367">
            <v>404360255520</v>
          </cell>
        </row>
        <row r="368">
          <cell r="B368">
            <v>404560255520</v>
          </cell>
        </row>
        <row r="369">
          <cell r="B369">
            <v>414450255520</v>
          </cell>
        </row>
        <row r="370">
          <cell r="B370">
            <v>100000255525</v>
          </cell>
        </row>
        <row r="371">
          <cell r="B371">
            <v>104430255525</v>
          </cell>
        </row>
        <row r="372">
          <cell r="B372">
            <v>333860255525</v>
          </cell>
        </row>
        <row r="373">
          <cell r="B373">
            <v>334280255525</v>
          </cell>
        </row>
        <row r="374">
          <cell r="B374">
            <v>100000255530</v>
          </cell>
        </row>
        <row r="375">
          <cell r="B375">
            <v>106510255530</v>
          </cell>
        </row>
        <row r="376">
          <cell r="B376">
            <v>401620255530</v>
          </cell>
        </row>
        <row r="377">
          <cell r="B377">
            <v>402590255530</v>
          </cell>
        </row>
        <row r="378">
          <cell r="B378">
            <v>404360255530</v>
          </cell>
        </row>
        <row r="379">
          <cell r="B379">
            <v>404560255530</v>
          </cell>
        </row>
        <row r="380">
          <cell r="B380">
            <v>414450255530</v>
          </cell>
        </row>
        <row r="381">
          <cell r="B381">
            <v>100000255535</v>
          </cell>
        </row>
        <row r="382">
          <cell r="B382">
            <v>102060255535</v>
          </cell>
        </row>
        <row r="383">
          <cell r="B383">
            <v>202060255535</v>
          </cell>
        </row>
        <row r="384">
          <cell r="B384">
            <v>332062255535</v>
          </cell>
        </row>
        <row r="385">
          <cell r="B385">
            <v>332064255535</v>
          </cell>
        </row>
        <row r="386">
          <cell r="B386">
            <v>332066255535</v>
          </cell>
        </row>
        <row r="387">
          <cell r="B387">
            <v>332068255535</v>
          </cell>
        </row>
        <row r="388">
          <cell r="B388">
            <v>401620255535</v>
          </cell>
        </row>
        <row r="389">
          <cell r="B389">
            <v>402590255535</v>
          </cell>
        </row>
        <row r="390">
          <cell r="B390">
            <v>404360255535</v>
          </cell>
        </row>
        <row r="391">
          <cell r="B391">
            <v>404560255535</v>
          </cell>
        </row>
        <row r="392">
          <cell r="B392">
            <v>414450255535</v>
          </cell>
        </row>
        <row r="393">
          <cell r="B393">
            <v>100000255540</v>
          </cell>
        </row>
        <row r="394">
          <cell r="B394">
            <v>331640255540</v>
          </cell>
        </row>
        <row r="395">
          <cell r="B395">
            <v>333080255540</v>
          </cell>
        </row>
        <row r="396">
          <cell r="B396">
            <v>333810255540</v>
          </cell>
        </row>
        <row r="397">
          <cell r="B397">
            <v>335100255540</v>
          </cell>
        </row>
        <row r="398">
          <cell r="B398">
            <v>335105255540</v>
          </cell>
        </row>
        <row r="399">
          <cell r="B399">
            <v>335110255540</v>
          </cell>
        </row>
        <row r="400">
          <cell r="B400">
            <v>335115255540</v>
          </cell>
        </row>
        <row r="401">
          <cell r="B401">
            <v>401620255540</v>
          </cell>
        </row>
        <row r="402">
          <cell r="B402">
            <v>402590255540</v>
          </cell>
        </row>
        <row r="403">
          <cell r="B403">
            <v>404360255540</v>
          </cell>
        </row>
        <row r="404">
          <cell r="B404">
            <v>404560255540</v>
          </cell>
        </row>
        <row r="405">
          <cell r="B405">
            <v>414450255540</v>
          </cell>
        </row>
        <row r="406">
          <cell r="B406">
            <v>100000255545</v>
          </cell>
        </row>
        <row r="407">
          <cell r="B407">
            <v>105620255545</v>
          </cell>
        </row>
        <row r="408">
          <cell r="B408">
            <v>105880255545</v>
          </cell>
        </row>
        <row r="409">
          <cell r="B409">
            <v>105890255545</v>
          </cell>
        </row>
        <row r="410">
          <cell r="B410">
            <v>105900255545</v>
          </cell>
        </row>
        <row r="411">
          <cell r="B411">
            <v>105910255545</v>
          </cell>
        </row>
        <row r="412">
          <cell r="B412">
            <v>105920255545</v>
          </cell>
        </row>
        <row r="413">
          <cell r="B413">
            <v>105930255545</v>
          </cell>
        </row>
        <row r="414">
          <cell r="B414">
            <v>105940255545</v>
          </cell>
        </row>
        <row r="415">
          <cell r="B415">
            <v>105950255545</v>
          </cell>
        </row>
        <row r="416">
          <cell r="B416">
            <v>100000255550</v>
          </cell>
        </row>
        <row r="417">
          <cell r="B417">
            <v>101500255550</v>
          </cell>
        </row>
        <row r="418">
          <cell r="B418">
            <v>101740255550</v>
          </cell>
        </row>
        <row r="419">
          <cell r="B419">
            <v>101745255550</v>
          </cell>
        </row>
        <row r="420">
          <cell r="B420">
            <v>102650255550</v>
          </cell>
        </row>
        <row r="421">
          <cell r="B421">
            <v>102660255550</v>
          </cell>
        </row>
        <row r="422">
          <cell r="B422">
            <v>102670255550</v>
          </cell>
        </row>
        <row r="423">
          <cell r="B423">
            <v>102900255550</v>
          </cell>
        </row>
        <row r="424">
          <cell r="B424">
            <v>104060255550</v>
          </cell>
        </row>
        <row r="425">
          <cell r="B425">
            <v>104140255550</v>
          </cell>
        </row>
        <row r="426">
          <cell r="B426">
            <v>104160255550</v>
          </cell>
        </row>
        <row r="427">
          <cell r="B427">
            <v>105420255550</v>
          </cell>
        </row>
        <row r="428">
          <cell r="B428">
            <v>105460255550</v>
          </cell>
        </row>
        <row r="429">
          <cell r="B429">
            <v>105560255550</v>
          </cell>
        </row>
        <row r="430">
          <cell r="B430">
            <v>105620255550</v>
          </cell>
        </row>
        <row r="431">
          <cell r="B431">
            <v>106190255550</v>
          </cell>
        </row>
        <row r="432">
          <cell r="B432">
            <v>106360255550</v>
          </cell>
        </row>
        <row r="433">
          <cell r="B433">
            <v>106520255550</v>
          </cell>
        </row>
        <row r="434">
          <cell r="B434">
            <v>206520255550</v>
          </cell>
        </row>
        <row r="435">
          <cell r="B435">
            <v>100000255610</v>
          </cell>
        </row>
        <row r="436">
          <cell r="B436">
            <v>395715255610</v>
          </cell>
        </row>
        <row r="437">
          <cell r="B437">
            <v>401620255610</v>
          </cell>
        </row>
        <row r="438">
          <cell r="B438">
            <v>402590255610</v>
          </cell>
        </row>
        <row r="439">
          <cell r="B439">
            <v>404360255610</v>
          </cell>
        </row>
        <row r="440">
          <cell r="B440">
            <v>404560255610</v>
          </cell>
        </row>
        <row r="441">
          <cell r="B441">
            <v>414450255610</v>
          </cell>
        </row>
        <row r="442">
          <cell r="B442">
            <v>501050255610</v>
          </cell>
        </row>
        <row r="443">
          <cell r="B443">
            <v>501080255610</v>
          </cell>
        </row>
        <row r="444">
          <cell r="B444">
            <v>501140255610</v>
          </cell>
        </row>
        <row r="445">
          <cell r="B445">
            <v>501170255610</v>
          </cell>
        </row>
        <row r="446">
          <cell r="B446">
            <v>501172255610</v>
          </cell>
        </row>
        <row r="447">
          <cell r="B447">
            <v>501174255610</v>
          </cell>
        </row>
        <row r="448">
          <cell r="B448">
            <v>501176255610</v>
          </cell>
        </row>
        <row r="449">
          <cell r="B449">
            <v>501250255610</v>
          </cell>
        </row>
        <row r="450">
          <cell r="B450">
            <v>501300255610</v>
          </cell>
        </row>
        <row r="451">
          <cell r="B451">
            <v>501420255610</v>
          </cell>
        </row>
        <row r="452">
          <cell r="B452">
            <v>501425255610</v>
          </cell>
        </row>
        <row r="453">
          <cell r="B453">
            <v>501855255610</v>
          </cell>
        </row>
        <row r="454">
          <cell r="B454">
            <v>501860255610</v>
          </cell>
        </row>
        <row r="455">
          <cell r="B455">
            <v>501880255610</v>
          </cell>
        </row>
        <row r="456">
          <cell r="B456">
            <v>501920255610</v>
          </cell>
        </row>
        <row r="457">
          <cell r="B457">
            <v>502020255610</v>
          </cell>
        </row>
        <row r="458">
          <cell r="B458">
            <v>502090255610</v>
          </cell>
        </row>
        <row r="459">
          <cell r="B459">
            <v>502265255610</v>
          </cell>
        </row>
        <row r="460">
          <cell r="B460">
            <v>502266255610</v>
          </cell>
        </row>
        <row r="461">
          <cell r="B461">
            <v>502280255610</v>
          </cell>
        </row>
        <row r="462">
          <cell r="B462">
            <v>502700255610</v>
          </cell>
        </row>
        <row r="463">
          <cell r="B463">
            <v>503360255610</v>
          </cell>
        </row>
        <row r="464">
          <cell r="B464">
            <v>503615255610</v>
          </cell>
        </row>
        <row r="465">
          <cell r="B465">
            <v>503616255610</v>
          </cell>
        </row>
        <row r="466">
          <cell r="B466">
            <v>503680255610</v>
          </cell>
        </row>
        <row r="467">
          <cell r="B467">
            <v>503750255610</v>
          </cell>
        </row>
        <row r="468">
          <cell r="B468">
            <v>503850255610</v>
          </cell>
        </row>
        <row r="469">
          <cell r="B469">
            <v>504060255610</v>
          </cell>
        </row>
        <row r="470">
          <cell r="B470">
            <v>504170255610</v>
          </cell>
        </row>
        <row r="471">
          <cell r="B471">
            <v>504340255610</v>
          </cell>
        </row>
        <row r="472">
          <cell r="B472">
            <v>504350255610</v>
          </cell>
        </row>
        <row r="473">
          <cell r="B473">
            <v>504590255610</v>
          </cell>
        </row>
        <row r="474">
          <cell r="B474">
            <v>504620255610</v>
          </cell>
        </row>
        <row r="475">
          <cell r="B475">
            <v>504700255610</v>
          </cell>
        </row>
        <row r="476">
          <cell r="B476">
            <v>504750255610</v>
          </cell>
        </row>
        <row r="477">
          <cell r="B477">
            <v>505095255610</v>
          </cell>
        </row>
        <row r="478">
          <cell r="B478">
            <v>506385255610</v>
          </cell>
        </row>
        <row r="479">
          <cell r="B479">
            <v>506386255610</v>
          </cell>
        </row>
        <row r="480">
          <cell r="B480">
            <v>506430255610</v>
          </cell>
        </row>
        <row r="481">
          <cell r="B481">
            <v>506460255610</v>
          </cell>
        </row>
        <row r="482">
          <cell r="B482">
            <v>506535255610</v>
          </cell>
        </row>
        <row r="483">
          <cell r="B483">
            <v>506536255610</v>
          </cell>
        </row>
        <row r="484">
          <cell r="B484">
            <v>506537255610</v>
          </cell>
        </row>
        <row r="485">
          <cell r="B485">
            <v>100000255620</v>
          </cell>
        </row>
        <row r="486">
          <cell r="B486">
            <v>401620255620</v>
          </cell>
        </row>
        <row r="487">
          <cell r="B487">
            <v>402590255620</v>
          </cell>
        </row>
        <row r="488">
          <cell r="B488">
            <v>404360255620</v>
          </cell>
        </row>
        <row r="489">
          <cell r="B489">
            <v>404560255620</v>
          </cell>
        </row>
        <row r="490">
          <cell r="B490">
            <v>414450255620</v>
          </cell>
        </row>
        <row r="491">
          <cell r="B491">
            <v>501070255620</v>
          </cell>
        </row>
        <row r="492">
          <cell r="B492">
            <v>501075255620</v>
          </cell>
        </row>
        <row r="493">
          <cell r="B493">
            <v>501077255620</v>
          </cell>
        </row>
        <row r="494">
          <cell r="B494">
            <v>501310255620</v>
          </cell>
        </row>
        <row r="495">
          <cell r="B495">
            <v>501450255620</v>
          </cell>
        </row>
        <row r="496">
          <cell r="B496">
            <v>501452255620</v>
          </cell>
        </row>
        <row r="497">
          <cell r="B497">
            <v>501454255620</v>
          </cell>
        </row>
        <row r="498">
          <cell r="B498">
            <v>502050255620</v>
          </cell>
        </row>
        <row r="499">
          <cell r="B499">
            <v>502870255620</v>
          </cell>
        </row>
        <row r="500">
          <cell r="B500">
            <v>503000255620</v>
          </cell>
        </row>
        <row r="501">
          <cell r="B501">
            <v>503090255620</v>
          </cell>
        </row>
        <row r="502">
          <cell r="B502">
            <v>503320255620</v>
          </cell>
        </row>
        <row r="503">
          <cell r="B503">
            <v>503370255620</v>
          </cell>
        </row>
        <row r="504">
          <cell r="B504">
            <v>503880255620</v>
          </cell>
        </row>
        <row r="505">
          <cell r="B505">
            <v>503890255620</v>
          </cell>
        </row>
        <row r="506">
          <cell r="B506">
            <v>504130255620</v>
          </cell>
        </row>
        <row r="507">
          <cell r="B507">
            <v>504600255620</v>
          </cell>
        </row>
        <row r="508">
          <cell r="B508">
            <v>504830255620</v>
          </cell>
        </row>
        <row r="509">
          <cell r="B509">
            <v>504870255620</v>
          </cell>
        </row>
        <row r="510">
          <cell r="B510">
            <v>504960255620</v>
          </cell>
        </row>
        <row r="511">
          <cell r="B511">
            <v>505650255620</v>
          </cell>
        </row>
        <row r="512">
          <cell r="B512">
            <v>506435255620</v>
          </cell>
        </row>
        <row r="513">
          <cell r="B513">
            <v>506580255620</v>
          </cell>
        </row>
        <row r="514">
          <cell r="B514">
            <v>506590255620</v>
          </cell>
        </row>
        <row r="515">
          <cell r="B515">
            <v>100000255630</v>
          </cell>
        </row>
        <row r="516">
          <cell r="B516">
            <v>100001255630</v>
          </cell>
        </row>
        <row r="517">
          <cell r="B517">
            <v>102200255630</v>
          </cell>
        </row>
        <row r="518">
          <cell r="B518">
            <v>102330255630</v>
          </cell>
        </row>
        <row r="519">
          <cell r="B519">
            <v>102790255630</v>
          </cell>
        </row>
        <row r="520">
          <cell r="B520">
            <v>104250255630</v>
          </cell>
        </row>
        <row r="521">
          <cell r="B521">
            <v>105190255630</v>
          </cell>
        </row>
        <row r="522">
          <cell r="B522">
            <v>106600255630</v>
          </cell>
        </row>
        <row r="523">
          <cell r="B523">
            <v>502195255630</v>
          </cell>
        </row>
        <row r="524">
          <cell r="B524">
            <v>502200255630</v>
          </cell>
        </row>
        <row r="525">
          <cell r="B525">
            <v>502330255630</v>
          </cell>
        </row>
        <row r="526">
          <cell r="B526">
            <v>502790255630</v>
          </cell>
        </row>
        <row r="527">
          <cell r="B527">
            <v>504250255630</v>
          </cell>
        </row>
        <row r="528">
          <cell r="B528">
            <v>505190255630</v>
          </cell>
        </row>
        <row r="529">
          <cell r="B529">
            <v>505200255630</v>
          </cell>
        </row>
        <row r="530">
          <cell r="B530">
            <v>505210255630</v>
          </cell>
        </row>
        <row r="531">
          <cell r="B531">
            <v>506600255630</v>
          </cell>
        </row>
        <row r="532">
          <cell r="B532">
            <v>100000255640</v>
          </cell>
        </row>
        <row r="533">
          <cell r="B533">
            <v>381050255640</v>
          </cell>
        </row>
        <row r="534">
          <cell r="B534">
            <v>382760255640</v>
          </cell>
        </row>
        <row r="535">
          <cell r="B535">
            <v>392780255640</v>
          </cell>
        </row>
        <row r="536">
          <cell r="B536">
            <v>393005255640</v>
          </cell>
        </row>
        <row r="537">
          <cell r="B537">
            <v>393120255640</v>
          </cell>
        </row>
        <row r="538">
          <cell r="B538">
            <v>401620255640</v>
          </cell>
        </row>
        <row r="539">
          <cell r="B539">
            <v>402590255640</v>
          </cell>
        </row>
        <row r="540">
          <cell r="B540">
            <v>404360255640</v>
          </cell>
        </row>
        <row r="541">
          <cell r="B541">
            <v>404560255640</v>
          </cell>
        </row>
        <row r="542">
          <cell r="B542">
            <v>414450255640</v>
          </cell>
        </row>
        <row r="543">
          <cell r="B543">
            <v>501090255640</v>
          </cell>
        </row>
        <row r="544">
          <cell r="B544">
            <v>501480255640</v>
          </cell>
        </row>
        <row r="545">
          <cell r="B545">
            <v>501690255640</v>
          </cell>
        </row>
        <row r="546">
          <cell r="B546">
            <v>501870255640</v>
          </cell>
        </row>
        <row r="547">
          <cell r="B547">
            <v>502075255640</v>
          </cell>
        </row>
        <row r="548">
          <cell r="B548">
            <v>502310255640</v>
          </cell>
        </row>
        <row r="549">
          <cell r="B549">
            <v>502315255640</v>
          </cell>
        </row>
        <row r="550">
          <cell r="B550">
            <v>502320255640</v>
          </cell>
        </row>
        <row r="551">
          <cell r="B551">
            <v>502340255640</v>
          </cell>
        </row>
        <row r="552">
          <cell r="B552">
            <v>502370255640</v>
          </cell>
        </row>
        <row r="553">
          <cell r="B553">
            <v>502550255640</v>
          </cell>
        </row>
        <row r="554">
          <cell r="B554">
            <v>502610255640</v>
          </cell>
        </row>
        <row r="555">
          <cell r="B555">
            <v>502720255640</v>
          </cell>
        </row>
        <row r="556">
          <cell r="B556">
            <v>502750255640</v>
          </cell>
        </row>
        <row r="557">
          <cell r="B557">
            <v>502780255640</v>
          </cell>
        </row>
        <row r="558">
          <cell r="B558">
            <v>503120255640</v>
          </cell>
        </row>
        <row r="559">
          <cell r="B559">
            <v>503200255640</v>
          </cell>
        </row>
        <row r="560">
          <cell r="B560">
            <v>503410255640</v>
          </cell>
        </row>
        <row r="561">
          <cell r="B561">
            <v>503570255640</v>
          </cell>
        </row>
        <row r="562">
          <cell r="B562">
            <v>504240255640</v>
          </cell>
        </row>
        <row r="563">
          <cell r="B563">
            <v>504410255640</v>
          </cell>
        </row>
        <row r="564">
          <cell r="B564">
            <v>504620255640</v>
          </cell>
        </row>
        <row r="565">
          <cell r="B565">
            <v>504640255640</v>
          </cell>
        </row>
        <row r="566">
          <cell r="B566">
            <v>504750255640</v>
          </cell>
        </row>
        <row r="567">
          <cell r="B567">
            <v>505090255640</v>
          </cell>
        </row>
        <row r="568">
          <cell r="B568">
            <v>505430255640</v>
          </cell>
        </row>
        <row r="569">
          <cell r="B569">
            <v>505960255640</v>
          </cell>
        </row>
        <row r="570">
          <cell r="B570">
            <v>506070255640</v>
          </cell>
        </row>
        <row r="571">
          <cell r="B571">
            <v>506460255640</v>
          </cell>
        </row>
        <row r="572">
          <cell r="B572">
            <v>506536255640</v>
          </cell>
        </row>
        <row r="573">
          <cell r="B573">
            <v>100000255641</v>
          </cell>
        </row>
        <row r="574">
          <cell r="B574">
            <v>401620255641</v>
          </cell>
        </row>
        <row r="575">
          <cell r="B575">
            <v>402590255641</v>
          </cell>
        </row>
        <row r="576">
          <cell r="B576">
            <v>404360255641</v>
          </cell>
        </row>
        <row r="577">
          <cell r="B577">
            <v>404560255641</v>
          </cell>
        </row>
        <row r="578">
          <cell r="B578">
            <v>414450255641</v>
          </cell>
        </row>
        <row r="579">
          <cell r="B579">
            <v>100000255642</v>
          </cell>
        </row>
        <row r="580">
          <cell r="B580">
            <v>382580255642</v>
          </cell>
        </row>
        <row r="581">
          <cell r="B581">
            <v>501090255642</v>
          </cell>
        </row>
        <row r="582">
          <cell r="B582">
            <v>501570255642</v>
          </cell>
        </row>
        <row r="583">
          <cell r="B583">
            <v>501650255642</v>
          </cell>
        </row>
        <row r="584">
          <cell r="B584">
            <v>501680255642</v>
          </cell>
        </row>
        <row r="585">
          <cell r="B585">
            <v>501870255642</v>
          </cell>
        </row>
        <row r="586">
          <cell r="B586">
            <v>502340255642</v>
          </cell>
        </row>
        <row r="587">
          <cell r="B587">
            <v>502550255642</v>
          </cell>
        </row>
        <row r="588">
          <cell r="B588">
            <v>502720255642</v>
          </cell>
        </row>
        <row r="589">
          <cell r="B589">
            <v>502780255642</v>
          </cell>
        </row>
        <row r="590">
          <cell r="B590">
            <v>503200255642</v>
          </cell>
        </row>
        <row r="591">
          <cell r="B591">
            <v>503410255642</v>
          </cell>
        </row>
        <row r="592">
          <cell r="B592">
            <v>503510255642</v>
          </cell>
        </row>
        <row r="593">
          <cell r="B593">
            <v>504060255642</v>
          </cell>
        </row>
        <row r="594">
          <cell r="B594">
            <v>504240255642</v>
          </cell>
        </row>
        <row r="595">
          <cell r="B595">
            <v>504580255642</v>
          </cell>
        </row>
        <row r="596">
          <cell r="B596">
            <v>505090255642</v>
          </cell>
        </row>
        <row r="597">
          <cell r="B597">
            <v>505430255642</v>
          </cell>
        </row>
        <row r="598">
          <cell r="B598">
            <v>505635255642</v>
          </cell>
        </row>
        <row r="599">
          <cell r="B599">
            <v>505640255642</v>
          </cell>
        </row>
        <row r="600">
          <cell r="B600">
            <v>505960255642</v>
          </cell>
        </row>
        <row r="601">
          <cell r="B601">
            <v>506070255642</v>
          </cell>
        </row>
        <row r="602">
          <cell r="B602">
            <v>506620255642</v>
          </cell>
        </row>
        <row r="603">
          <cell r="B603">
            <v>100000255644</v>
          </cell>
        </row>
        <row r="604">
          <cell r="B604">
            <v>503830255644</v>
          </cell>
        </row>
        <row r="605">
          <cell r="B605">
            <v>401620255645</v>
          </cell>
        </row>
        <row r="606">
          <cell r="B606">
            <v>402590255645</v>
          </cell>
        </row>
        <row r="607">
          <cell r="B607">
            <v>404360255645</v>
          </cell>
        </row>
        <row r="608">
          <cell r="B608">
            <v>404560255645</v>
          </cell>
        </row>
        <row r="609">
          <cell r="B609">
            <v>414450255645</v>
          </cell>
        </row>
        <row r="610">
          <cell r="B610">
            <v>503590255645</v>
          </cell>
        </row>
        <row r="611">
          <cell r="B611">
            <v>504410255645</v>
          </cell>
        </row>
        <row r="612">
          <cell r="B612">
            <v>504420255645</v>
          </cell>
        </row>
        <row r="613">
          <cell r="B613">
            <v>100000255710</v>
          </cell>
        </row>
        <row r="614">
          <cell r="B614">
            <v>701980255710</v>
          </cell>
        </row>
        <row r="615">
          <cell r="B615">
            <v>702140255710</v>
          </cell>
        </row>
        <row r="616">
          <cell r="B616">
            <v>702145255710</v>
          </cell>
        </row>
        <row r="617">
          <cell r="B617">
            <v>702150255710</v>
          </cell>
        </row>
        <row r="618">
          <cell r="B618">
            <v>702155255710</v>
          </cell>
        </row>
        <row r="619">
          <cell r="B619">
            <v>702240255710</v>
          </cell>
        </row>
        <row r="620">
          <cell r="B620">
            <v>702250255710</v>
          </cell>
        </row>
        <row r="621">
          <cell r="B621">
            <v>702410255710</v>
          </cell>
        </row>
        <row r="622">
          <cell r="B622">
            <v>702680255710</v>
          </cell>
        </row>
        <row r="623">
          <cell r="B623">
            <v>702900255710</v>
          </cell>
        </row>
        <row r="624">
          <cell r="B624">
            <v>703060255710</v>
          </cell>
        </row>
        <row r="625">
          <cell r="B625">
            <v>704090255710</v>
          </cell>
        </row>
        <row r="626">
          <cell r="B626">
            <v>704205255710</v>
          </cell>
        </row>
        <row r="627">
          <cell r="B627">
            <v>704210255710</v>
          </cell>
        </row>
        <row r="628">
          <cell r="B628">
            <v>704730255710</v>
          </cell>
        </row>
        <row r="629">
          <cell r="B629">
            <v>704780255710</v>
          </cell>
        </row>
        <row r="630">
          <cell r="B630">
            <v>705200255710</v>
          </cell>
        </row>
        <row r="631">
          <cell r="B631">
            <v>705205255710</v>
          </cell>
        </row>
        <row r="632">
          <cell r="B632">
            <v>705280255710</v>
          </cell>
        </row>
        <row r="633">
          <cell r="B633">
            <v>705370255710</v>
          </cell>
        </row>
        <row r="634">
          <cell r="B634">
            <v>741040255710</v>
          </cell>
        </row>
        <row r="635">
          <cell r="B635">
            <v>742580255710</v>
          </cell>
        </row>
        <row r="636">
          <cell r="B636">
            <v>742670255710</v>
          </cell>
        </row>
        <row r="637">
          <cell r="B637">
            <v>743220255710</v>
          </cell>
        </row>
        <row r="638">
          <cell r="B638">
            <v>743860255710</v>
          </cell>
        </row>
        <row r="639">
          <cell r="B639">
            <v>745320255710</v>
          </cell>
        </row>
        <row r="640">
          <cell r="B640">
            <v>746410255710</v>
          </cell>
        </row>
        <row r="641">
          <cell r="B641">
            <v>753381255710</v>
          </cell>
        </row>
        <row r="642">
          <cell r="B642">
            <v>753383255710</v>
          </cell>
        </row>
        <row r="643">
          <cell r="B643">
            <v>753384255710</v>
          </cell>
        </row>
        <row r="644">
          <cell r="B644">
            <v>753391255710</v>
          </cell>
        </row>
        <row r="645">
          <cell r="B645">
            <v>753393255710</v>
          </cell>
        </row>
        <row r="646">
          <cell r="B646">
            <v>753394255710</v>
          </cell>
        </row>
        <row r="647">
          <cell r="B647">
            <v>762915255710</v>
          </cell>
        </row>
        <row r="648">
          <cell r="B648">
            <v>762920255710</v>
          </cell>
        </row>
        <row r="649">
          <cell r="B649">
            <v>764320255710</v>
          </cell>
        </row>
        <row r="650">
          <cell r="B650">
            <v>765350255710</v>
          </cell>
        </row>
        <row r="651">
          <cell r="B651">
            <v>765830255710</v>
          </cell>
        </row>
        <row r="652">
          <cell r="B652">
            <v>100000255711</v>
          </cell>
        </row>
        <row r="653">
          <cell r="B653">
            <v>702435255711</v>
          </cell>
        </row>
        <row r="654">
          <cell r="B654">
            <v>703430255711</v>
          </cell>
        </row>
        <row r="655">
          <cell r="B655">
            <v>703435255711</v>
          </cell>
        </row>
        <row r="656">
          <cell r="B656">
            <v>703440255711</v>
          </cell>
        </row>
        <row r="657">
          <cell r="B657">
            <v>705160255711</v>
          </cell>
        </row>
        <row r="658">
          <cell r="B658">
            <v>100000255712</v>
          </cell>
        </row>
        <row r="659">
          <cell r="B659">
            <v>702680255712</v>
          </cell>
        </row>
        <row r="660">
          <cell r="B660">
            <v>742580255712</v>
          </cell>
        </row>
        <row r="661">
          <cell r="B661">
            <v>742585255712</v>
          </cell>
        </row>
        <row r="662">
          <cell r="B662">
            <v>745571255712</v>
          </cell>
        </row>
        <row r="663">
          <cell r="B663">
            <v>745603255712</v>
          </cell>
        </row>
        <row r="664">
          <cell r="B664">
            <v>745572255712</v>
          </cell>
        </row>
        <row r="665">
          <cell r="B665">
            <v>745573255712</v>
          </cell>
        </row>
        <row r="666">
          <cell r="B666">
            <v>745574255712</v>
          </cell>
        </row>
        <row r="667">
          <cell r="B667">
            <v>745604255712</v>
          </cell>
        </row>
        <row r="668">
          <cell r="B668">
            <v>745575255712</v>
          </cell>
        </row>
        <row r="669">
          <cell r="B669">
            <v>745605255712</v>
          </cell>
        </row>
        <row r="670">
          <cell r="B670">
            <v>745576255712</v>
          </cell>
        </row>
        <row r="671">
          <cell r="B671">
            <v>745606255712</v>
          </cell>
        </row>
        <row r="672">
          <cell r="B672">
            <v>745577255712</v>
          </cell>
        </row>
        <row r="673">
          <cell r="B673">
            <v>745607255712</v>
          </cell>
        </row>
        <row r="674">
          <cell r="B674">
            <v>745578255712</v>
          </cell>
        </row>
        <row r="675">
          <cell r="B675">
            <v>745608255712</v>
          </cell>
        </row>
        <row r="676">
          <cell r="B676">
            <v>745579255712</v>
          </cell>
        </row>
        <row r="677">
          <cell r="B677">
            <v>745609255712</v>
          </cell>
        </row>
        <row r="678">
          <cell r="B678">
            <v>745580255712</v>
          </cell>
        </row>
        <row r="679">
          <cell r="B679">
            <v>745610255712</v>
          </cell>
        </row>
        <row r="680">
          <cell r="B680">
            <v>745581255712</v>
          </cell>
        </row>
        <row r="681">
          <cell r="B681">
            <v>745611255712</v>
          </cell>
        </row>
        <row r="682">
          <cell r="B682">
            <v>745582255712</v>
          </cell>
        </row>
        <row r="683">
          <cell r="B683">
            <v>745583255712</v>
          </cell>
        </row>
        <row r="684">
          <cell r="B684">
            <v>745584255712</v>
          </cell>
        </row>
        <row r="685">
          <cell r="B685">
            <v>745585255712</v>
          </cell>
        </row>
        <row r="686">
          <cell r="B686">
            <v>745612255712</v>
          </cell>
        </row>
        <row r="687">
          <cell r="B687">
            <v>745586255712</v>
          </cell>
        </row>
        <row r="688">
          <cell r="B688">
            <v>745613255712</v>
          </cell>
        </row>
        <row r="689">
          <cell r="B689">
            <v>745587255712</v>
          </cell>
        </row>
        <row r="690">
          <cell r="B690">
            <v>745614255712</v>
          </cell>
        </row>
        <row r="691">
          <cell r="B691">
            <v>745588255712</v>
          </cell>
        </row>
        <row r="692">
          <cell r="B692">
            <v>745589255712</v>
          </cell>
        </row>
        <row r="693">
          <cell r="B693">
            <v>745590255712</v>
          </cell>
        </row>
        <row r="694">
          <cell r="B694">
            <v>745591255712</v>
          </cell>
        </row>
        <row r="695">
          <cell r="B695">
            <v>745592255712</v>
          </cell>
        </row>
        <row r="696">
          <cell r="B696">
            <v>745593255712</v>
          </cell>
        </row>
        <row r="697">
          <cell r="B697">
            <v>745594255712</v>
          </cell>
        </row>
        <row r="698">
          <cell r="B698">
            <v>745240255710</v>
          </cell>
        </row>
        <row r="699">
          <cell r="B699">
            <v>745565255710</v>
          </cell>
        </row>
        <row r="700">
          <cell r="B700">
            <v>745570255710</v>
          </cell>
        </row>
        <row r="701">
          <cell r="B701">
            <v>745636255712</v>
          </cell>
        </row>
        <row r="702">
          <cell r="B702">
            <v>745637255712</v>
          </cell>
        </row>
        <row r="703">
          <cell r="B703">
            <v>745638255712</v>
          </cell>
        </row>
        <row r="704">
          <cell r="B704">
            <v>745639255712</v>
          </cell>
        </row>
        <row r="705">
          <cell r="B705">
            <v>745595255712</v>
          </cell>
        </row>
        <row r="706">
          <cell r="B706">
            <v>745596255712</v>
          </cell>
        </row>
        <row r="707">
          <cell r="B707">
            <v>745597255712</v>
          </cell>
        </row>
        <row r="708">
          <cell r="B708">
            <v>745615255712</v>
          </cell>
        </row>
        <row r="709">
          <cell r="B709">
            <v>745616255712</v>
          </cell>
        </row>
        <row r="710">
          <cell r="B710">
            <v>745598255712</v>
          </cell>
        </row>
        <row r="711">
          <cell r="B711">
            <v>745617255712</v>
          </cell>
        </row>
        <row r="712">
          <cell r="B712">
            <v>745599255712</v>
          </cell>
        </row>
        <row r="713">
          <cell r="B713">
            <v>745618255712</v>
          </cell>
        </row>
        <row r="714">
          <cell r="B714">
            <v>745600255712</v>
          </cell>
        </row>
        <row r="715">
          <cell r="B715">
            <v>745619255712</v>
          </cell>
        </row>
        <row r="716">
          <cell r="B716">
            <v>745601255712</v>
          </cell>
        </row>
        <row r="717">
          <cell r="B717">
            <v>745621255712</v>
          </cell>
        </row>
        <row r="718">
          <cell r="B718">
            <v>745602255712</v>
          </cell>
        </row>
        <row r="719">
          <cell r="B719">
            <v>745622255712</v>
          </cell>
        </row>
        <row r="720">
          <cell r="B720">
            <v>745623255712</v>
          </cell>
        </row>
        <row r="721">
          <cell r="B721">
            <v>745624255712</v>
          </cell>
        </row>
        <row r="722">
          <cell r="B722">
            <v>745625255712</v>
          </cell>
        </row>
        <row r="723">
          <cell r="B723">
            <v>745626255712</v>
          </cell>
        </row>
        <row r="724">
          <cell r="B724">
            <v>745627255712</v>
          </cell>
        </row>
        <row r="725">
          <cell r="B725">
            <v>745628255712</v>
          </cell>
        </row>
        <row r="726">
          <cell r="B726">
            <v>745629255712</v>
          </cell>
        </row>
        <row r="727">
          <cell r="B727">
            <v>745631255712</v>
          </cell>
        </row>
        <row r="728">
          <cell r="B728">
            <v>745632255712</v>
          </cell>
        </row>
        <row r="729">
          <cell r="B729">
            <v>745633255712</v>
          </cell>
        </row>
        <row r="730">
          <cell r="B730">
            <v>745634255712</v>
          </cell>
        </row>
        <row r="731">
          <cell r="B731">
            <v>753110255712</v>
          </cell>
        </row>
        <row r="732">
          <cell r="B732">
            <v>753392255712</v>
          </cell>
        </row>
        <row r="733">
          <cell r="B733">
            <v>763420255712</v>
          </cell>
        </row>
        <row r="734">
          <cell r="B734">
            <v>766050255712</v>
          </cell>
        </row>
        <row r="735">
          <cell r="B735">
            <v>766240255712</v>
          </cell>
        </row>
        <row r="736">
          <cell r="B736">
            <v>100000255790</v>
          </cell>
        </row>
        <row r="737">
          <cell r="B737">
            <v>401000255790</v>
          </cell>
        </row>
        <row r="738">
          <cell r="B738">
            <v>401340255790</v>
          </cell>
        </row>
        <row r="739">
          <cell r="B739">
            <v>401520255790</v>
          </cell>
        </row>
        <row r="740">
          <cell r="B740">
            <v>401670255790</v>
          </cell>
        </row>
        <row r="741">
          <cell r="B741">
            <v>401830255790</v>
          </cell>
        </row>
        <row r="742">
          <cell r="B742">
            <v>401840255790</v>
          </cell>
        </row>
        <row r="743">
          <cell r="B743">
            <v>401890255790</v>
          </cell>
        </row>
        <row r="744">
          <cell r="B744">
            <v>402350255790</v>
          </cell>
        </row>
        <row r="745">
          <cell r="B745">
            <v>402365255790</v>
          </cell>
        </row>
        <row r="746">
          <cell r="B746">
            <v>402366255790</v>
          </cell>
        </row>
        <row r="747">
          <cell r="B747">
            <v>402455255790</v>
          </cell>
        </row>
        <row r="748">
          <cell r="B748">
            <v>403030255790</v>
          </cell>
        </row>
        <row r="749">
          <cell r="B749">
            <v>403250255790</v>
          </cell>
        </row>
        <row r="750">
          <cell r="B750">
            <v>403260255790</v>
          </cell>
        </row>
        <row r="751">
          <cell r="B751">
            <v>403610255790</v>
          </cell>
        </row>
        <row r="752">
          <cell r="B752">
            <v>403740255790</v>
          </cell>
        </row>
        <row r="753">
          <cell r="B753">
            <v>403840255790</v>
          </cell>
        </row>
        <row r="754">
          <cell r="B754">
            <v>403920255790</v>
          </cell>
        </row>
        <row r="755">
          <cell r="B755">
            <v>403930255790</v>
          </cell>
        </row>
        <row r="756">
          <cell r="B756">
            <v>403931255790</v>
          </cell>
        </row>
        <row r="757">
          <cell r="B757">
            <v>403960255790</v>
          </cell>
        </row>
        <row r="758">
          <cell r="B758">
            <v>403962255790</v>
          </cell>
        </row>
        <row r="759">
          <cell r="B759">
            <v>403964255790</v>
          </cell>
        </row>
        <row r="760">
          <cell r="B760">
            <v>403966255790</v>
          </cell>
        </row>
        <row r="761">
          <cell r="B761">
            <v>403970255790</v>
          </cell>
        </row>
        <row r="762">
          <cell r="B762">
            <v>404150255790</v>
          </cell>
        </row>
        <row r="763">
          <cell r="B763">
            <v>404460255790</v>
          </cell>
        </row>
        <row r="764">
          <cell r="B764">
            <v>404500255790</v>
          </cell>
        </row>
        <row r="765">
          <cell r="B765">
            <v>404510255790</v>
          </cell>
        </row>
        <row r="766">
          <cell r="B766">
            <v>404520255790</v>
          </cell>
        </row>
        <row r="767">
          <cell r="B767">
            <v>404570255790</v>
          </cell>
        </row>
        <row r="768">
          <cell r="B768">
            <v>404920255790</v>
          </cell>
        </row>
        <row r="769">
          <cell r="B769">
            <v>404950255790</v>
          </cell>
        </row>
        <row r="770">
          <cell r="B770">
            <v>405150255790</v>
          </cell>
        </row>
        <row r="771">
          <cell r="B771">
            <v>405200255790</v>
          </cell>
        </row>
        <row r="772">
          <cell r="B772">
            <v>405210255790</v>
          </cell>
        </row>
        <row r="773">
          <cell r="B773">
            <v>405260255790</v>
          </cell>
        </row>
        <row r="774">
          <cell r="B774">
            <v>405565255790</v>
          </cell>
        </row>
        <row r="775">
          <cell r="B775">
            <v>405630255790</v>
          </cell>
        </row>
        <row r="776">
          <cell r="B776">
            <v>405690255790</v>
          </cell>
        </row>
        <row r="777">
          <cell r="B777">
            <v>405720255790</v>
          </cell>
        </row>
        <row r="778">
          <cell r="B778">
            <v>406180255790</v>
          </cell>
        </row>
        <row r="779">
          <cell r="B779">
            <v>406440255790</v>
          </cell>
        </row>
        <row r="780">
          <cell r="B780">
            <v>406470255790</v>
          </cell>
        </row>
        <row r="781">
          <cell r="B781">
            <v>406610255790</v>
          </cell>
        </row>
        <row r="782">
          <cell r="B782">
            <v>810000810100</v>
          </cell>
        </row>
        <row r="783">
          <cell r="B783">
            <v>810010810100</v>
          </cell>
        </row>
        <row r="784">
          <cell r="B784">
            <v>810020810100</v>
          </cell>
        </row>
        <row r="785">
          <cell r="B785">
            <v>810030810100</v>
          </cell>
        </row>
        <row r="786">
          <cell r="B786">
            <v>810040810100</v>
          </cell>
        </row>
        <row r="787">
          <cell r="B787">
            <v>810050810100</v>
          </cell>
        </row>
        <row r="788">
          <cell r="B788">
            <v>810060810100</v>
          </cell>
        </row>
        <row r="789">
          <cell r="B789">
            <v>810070810100</v>
          </cell>
        </row>
        <row r="790">
          <cell r="B790">
            <v>810080810100</v>
          </cell>
        </row>
        <row r="791">
          <cell r="B791">
            <v>810090810100</v>
          </cell>
        </row>
        <row r="792">
          <cell r="B792">
            <v>810100810100</v>
          </cell>
        </row>
        <row r="793">
          <cell r="B793">
            <v>810110810100</v>
          </cell>
        </row>
        <row r="794">
          <cell r="B794">
            <v>810120810100</v>
          </cell>
        </row>
        <row r="795">
          <cell r="B795">
            <v>810130810100</v>
          </cell>
        </row>
        <row r="796">
          <cell r="B796">
            <v>810010810102</v>
          </cell>
        </row>
        <row r="797">
          <cell r="B797">
            <v>810020810102</v>
          </cell>
        </row>
        <row r="798">
          <cell r="B798">
            <v>810030810102</v>
          </cell>
        </row>
        <row r="799">
          <cell r="B799">
            <v>810040810102</v>
          </cell>
        </row>
        <row r="800">
          <cell r="B800">
            <v>810050810102</v>
          </cell>
        </row>
        <row r="801">
          <cell r="B801">
            <v>810060810102</v>
          </cell>
        </row>
        <row r="802">
          <cell r="B802">
            <v>810070810102</v>
          </cell>
        </row>
        <row r="803">
          <cell r="B803">
            <v>810080810102</v>
          </cell>
        </row>
        <row r="804">
          <cell r="B804">
            <v>810090810102</v>
          </cell>
        </row>
        <row r="805">
          <cell r="B805">
            <v>810100810102</v>
          </cell>
        </row>
        <row r="806">
          <cell r="B806">
            <v>810110810102</v>
          </cell>
        </row>
        <row r="807">
          <cell r="B807">
            <v>810120810102</v>
          </cell>
        </row>
        <row r="808">
          <cell r="B808">
            <v>810130810102</v>
          </cell>
        </row>
        <row r="809">
          <cell r="B809">
            <v>810010810104</v>
          </cell>
        </row>
        <row r="810">
          <cell r="B810">
            <v>810020810104</v>
          </cell>
        </row>
        <row r="811">
          <cell r="B811">
            <v>810030810104</v>
          </cell>
        </row>
        <row r="812">
          <cell r="B812">
            <v>810040810104</v>
          </cell>
        </row>
        <row r="813">
          <cell r="B813">
            <v>810050810104</v>
          </cell>
        </row>
        <row r="814">
          <cell r="B814">
            <v>810060810104</v>
          </cell>
        </row>
        <row r="815">
          <cell r="B815">
            <v>810070810104</v>
          </cell>
        </row>
        <row r="816">
          <cell r="B816">
            <v>810080810104</v>
          </cell>
        </row>
        <row r="817">
          <cell r="B817">
            <v>810090810104</v>
          </cell>
        </row>
        <row r="818">
          <cell r="B818">
            <v>810100810104</v>
          </cell>
        </row>
        <row r="819">
          <cell r="B819">
            <v>810110810104</v>
          </cell>
        </row>
        <row r="820">
          <cell r="B820">
            <v>810120810104</v>
          </cell>
        </row>
        <row r="821">
          <cell r="B821">
            <v>810130810104</v>
          </cell>
        </row>
        <row r="822">
          <cell r="B822">
            <v>810010810106</v>
          </cell>
        </row>
        <row r="823">
          <cell r="B823">
            <v>810020810106</v>
          </cell>
        </row>
        <row r="824">
          <cell r="B824">
            <v>810030810106</v>
          </cell>
        </row>
        <row r="825">
          <cell r="B825">
            <v>810040810106</v>
          </cell>
        </row>
        <row r="826">
          <cell r="B826">
            <v>810050810106</v>
          </cell>
        </row>
        <row r="827">
          <cell r="B827">
            <v>810060810106</v>
          </cell>
        </row>
        <row r="828">
          <cell r="B828">
            <v>810070810106</v>
          </cell>
        </row>
        <row r="829">
          <cell r="B829">
            <v>810080810106</v>
          </cell>
        </row>
        <row r="830">
          <cell r="B830">
            <v>810090810106</v>
          </cell>
        </row>
        <row r="831">
          <cell r="B831">
            <v>810100810106</v>
          </cell>
        </row>
        <row r="832">
          <cell r="B832">
            <v>810110810106</v>
          </cell>
        </row>
        <row r="833">
          <cell r="B833">
            <v>810120810106</v>
          </cell>
        </row>
        <row r="834">
          <cell r="B834">
            <v>810130810106</v>
          </cell>
        </row>
        <row r="835">
          <cell r="B835">
            <v>810010810108</v>
          </cell>
        </row>
        <row r="836">
          <cell r="B836">
            <v>810020810108</v>
          </cell>
        </row>
        <row r="837">
          <cell r="B837">
            <v>810030810108</v>
          </cell>
        </row>
        <row r="838">
          <cell r="B838">
            <v>810040810108</v>
          </cell>
        </row>
        <row r="839">
          <cell r="B839">
            <v>810050810108</v>
          </cell>
        </row>
        <row r="840">
          <cell r="B840">
            <v>810060810108</v>
          </cell>
        </row>
        <row r="841">
          <cell r="B841">
            <v>810070810108</v>
          </cell>
        </row>
        <row r="842">
          <cell r="B842">
            <v>810080810108</v>
          </cell>
        </row>
        <row r="843">
          <cell r="B843">
            <v>810090810108</v>
          </cell>
        </row>
        <row r="844">
          <cell r="B844">
            <v>810100810108</v>
          </cell>
        </row>
        <row r="845">
          <cell r="B845">
            <v>810110810108</v>
          </cell>
        </row>
        <row r="846">
          <cell r="B846">
            <v>810120810108</v>
          </cell>
        </row>
        <row r="847">
          <cell r="B847">
            <v>810130810108</v>
          </cell>
        </row>
        <row r="848">
          <cell r="B848">
            <v>810010810110</v>
          </cell>
        </row>
        <row r="849">
          <cell r="B849">
            <v>810020810110</v>
          </cell>
        </row>
        <row r="850">
          <cell r="B850">
            <v>810030810110</v>
          </cell>
        </row>
        <row r="851">
          <cell r="B851">
            <v>810040810110</v>
          </cell>
        </row>
        <row r="852">
          <cell r="B852">
            <v>810050810110</v>
          </cell>
        </row>
        <row r="853">
          <cell r="B853">
            <v>810060810110</v>
          </cell>
        </row>
        <row r="854">
          <cell r="B854">
            <v>810070810110</v>
          </cell>
        </row>
        <row r="855">
          <cell r="B855">
            <v>810080810110</v>
          </cell>
        </row>
        <row r="856">
          <cell r="B856">
            <v>810090810110</v>
          </cell>
        </row>
        <row r="857">
          <cell r="B857">
            <v>810100810110</v>
          </cell>
        </row>
        <row r="858">
          <cell r="B858">
            <v>810110810110</v>
          </cell>
        </row>
        <row r="859">
          <cell r="B859">
            <v>810120810110</v>
          </cell>
        </row>
        <row r="860">
          <cell r="B860">
            <v>810130810110</v>
          </cell>
        </row>
        <row r="861">
          <cell r="B861">
            <v>810010810112</v>
          </cell>
        </row>
        <row r="862">
          <cell r="B862">
            <v>810020810112</v>
          </cell>
        </row>
        <row r="863">
          <cell r="B863">
            <v>810030810112</v>
          </cell>
        </row>
        <row r="864">
          <cell r="B864">
            <v>810040810112</v>
          </cell>
        </row>
        <row r="865">
          <cell r="B865">
            <v>810050810112</v>
          </cell>
        </row>
        <row r="866">
          <cell r="B866">
            <v>810060810112</v>
          </cell>
        </row>
        <row r="867">
          <cell r="B867">
            <v>810070810112</v>
          </cell>
        </row>
        <row r="868">
          <cell r="B868">
            <v>810080810112</v>
          </cell>
        </row>
        <row r="869">
          <cell r="B869">
            <v>810090810112</v>
          </cell>
        </row>
        <row r="870">
          <cell r="B870">
            <v>810100810112</v>
          </cell>
        </row>
        <row r="871">
          <cell r="B871">
            <v>810110810112</v>
          </cell>
        </row>
        <row r="872">
          <cell r="B872">
            <v>810120810112</v>
          </cell>
        </row>
        <row r="873">
          <cell r="B873">
            <v>810130810112</v>
          </cell>
        </row>
        <row r="874">
          <cell r="B874">
            <v>810010810114</v>
          </cell>
        </row>
        <row r="875">
          <cell r="B875">
            <v>810020810114</v>
          </cell>
        </row>
        <row r="876">
          <cell r="B876">
            <v>810030810114</v>
          </cell>
        </row>
        <row r="877">
          <cell r="B877">
            <v>810040810114</v>
          </cell>
        </row>
        <row r="878">
          <cell r="B878">
            <v>810050810114</v>
          </cell>
        </row>
        <row r="879">
          <cell r="B879">
            <v>810060810114</v>
          </cell>
        </row>
        <row r="880">
          <cell r="B880">
            <v>810070810114</v>
          </cell>
        </row>
        <row r="881">
          <cell r="B881">
            <v>810080810114</v>
          </cell>
        </row>
        <row r="882">
          <cell r="B882">
            <v>810090810114</v>
          </cell>
        </row>
        <row r="883">
          <cell r="B883">
            <v>810100810114</v>
          </cell>
        </row>
        <row r="884">
          <cell r="B884">
            <v>810110810114</v>
          </cell>
        </row>
        <row r="885">
          <cell r="B885">
            <v>810120810114</v>
          </cell>
        </row>
        <row r="886">
          <cell r="B886">
            <v>810130810114</v>
          </cell>
        </row>
        <row r="887">
          <cell r="B887">
            <v>810010810116</v>
          </cell>
        </row>
        <row r="888">
          <cell r="B888">
            <v>810020810116</v>
          </cell>
        </row>
        <row r="889">
          <cell r="B889">
            <v>810030810116</v>
          </cell>
        </row>
        <row r="890">
          <cell r="B890">
            <v>810040810116</v>
          </cell>
        </row>
        <row r="891">
          <cell r="B891">
            <v>810050810116</v>
          </cell>
        </row>
        <row r="892">
          <cell r="B892">
            <v>810060810116</v>
          </cell>
        </row>
        <row r="893">
          <cell r="B893">
            <v>810070810116</v>
          </cell>
        </row>
        <row r="894">
          <cell r="B894">
            <v>810080810116</v>
          </cell>
        </row>
        <row r="895">
          <cell r="B895">
            <v>810090810116</v>
          </cell>
        </row>
        <row r="896">
          <cell r="B896">
            <v>810100810116</v>
          </cell>
        </row>
        <row r="897">
          <cell r="B897">
            <v>810110810116</v>
          </cell>
        </row>
        <row r="898">
          <cell r="B898">
            <v>810120810116</v>
          </cell>
        </row>
        <row r="899">
          <cell r="B899">
            <v>810130810116</v>
          </cell>
        </row>
        <row r="900">
          <cell r="B900">
            <v>810010810118</v>
          </cell>
        </row>
        <row r="901">
          <cell r="B901">
            <v>810020810118</v>
          </cell>
        </row>
        <row r="902">
          <cell r="B902">
            <v>810030810118</v>
          </cell>
        </row>
        <row r="903">
          <cell r="B903">
            <v>810040810118</v>
          </cell>
        </row>
        <row r="904">
          <cell r="B904">
            <v>810050810118</v>
          </cell>
        </row>
        <row r="905">
          <cell r="B905">
            <v>810060810118</v>
          </cell>
        </row>
        <row r="906">
          <cell r="B906">
            <v>810070810118</v>
          </cell>
        </row>
        <row r="907">
          <cell r="B907">
            <v>810080810118</v>
          </cell>
        </row>
        <row r="908">
          <cell r="B908">
            <v>810090810118</v>
          </cell>
        </row>
        <row r="909">
          <cell r="B909">
            <v>810100810118</v>
          </cell>
        </row>
        <row r="910">
          <cell r="B910">
            <v>810110810118</v>
          </cell>
        </row>
        <row r="911">
          <cell r="B911">
            <v>810120810118</v>
          </cell>
        </row>
        <row r="912">
          <cell r="B912">
            <v>810130810118</v>
          </cell>
        </row>
        <row r="913">
          <cell r="B913">
            <v>811000810300</v>
          </cell>
        </row>
        <row r="914">
          <cell r="B914">
            <v>812000810300</v>
          </cell>
        </row>
        <row r="915">
          <cell r="B915">
            <v>812010810300</v>
          </cell>
        </row>
        <row r="916">
          <cell r="B916">
            <v>813000810400</v>
          </cell>
        </row>
        <row r="917">
          <cell r="B917">
            <v>813010810400</v>
          </cell>
        </row>
        <row r="918">
          <cell r="B918">
            <v>813012810400</v>
          </cell>
        </row>
        <row r="919">
          <cell r="B919">
            <v>813014810400</v>
          </cell>
        </row>
        <row r="920">
          <cell r="B920">
            <v>813016810400</v>
          </cell>
        </row>
        <row r="921">
          <cell r="B921">
            <v>813020810400</v>
          </cell>
        </row>
        <row r="922">
          <cell r="B922">
            <v>813022810400</v>
          </cell>
        </row>
        <row r="923">
          <cell r="B923">
            <v>813024810400</v>
          </cell>
        </row>
        <row r="924">
          <cell r="B924">
            <v>813026810400</v>
          </cell>
        </row>
        <row r="925">
          <cell r="B925">
            <v>813030810400</v>
          </cell>
        </row>
        <row r="926">
          <cell r="B926">
            <v>813032810400</v>
          </cell>
        </row>
        <row r="927">
          <cell r="B927">
            <v>813034810400</v>
          </cell>
        </row>
        <row r="928">
          <cell r="B928">
            <v>813036810400</v>
          </cell>
        </row>
        <row r="929">
          <cell r="B929">
            <v>813040810400</v>
          </cell>
        </row>
        <row r="930">
          <cell r="B930">
            <v>813042810400</v>
          </cell>
        </row>
        <row r="931">
          <cell r="B931">
            <v>813044810400</v>
          </cell>
        </row>
        <row r="932">
          <cell r="B932">
            <v>813046810400</v>
          </cell>
        </row>
        <row r="933">
          <cell r="B933">
            <v>813050810400</v>
          </cell>
        </row>
        <row r="934">
          <cell r="B934">
            <v>813052810400</v>
          </cell>
        </row>
        <row r="935">
          <cell r="B935">
            <v>813054810400</v>
          </cell>
        </row>
        <row r="936">
          <cell r="B936">
            <v>813056810400</v>
          </cell>
        </row>
        <row r="937">
          <cell r="B937">
            <v>813060810400</v>
          </cell>
        </row>
        <row r="938">
          <cell r="B938">
            <v>813062810400</v>
          </cell>
        </row>
        <row r="939">
          <cell r="B939">
            <v>813064810400</v>
          </cell>
        </row>
        <row r="940">
          <cell r="B940">
            <v>813066810400</v>
          </cell>
        </row>
        <row r="941">
          <cell r="B941">
            <v>813070810400</v>
          </cell>
        </row>
        <row r="942">
          <cell r="B942">
            <v>813072810400</v>
          </cell>
        </row>
        <row r="943">
          <cell r="B943">
            <v>813074810400</v>
          </cell>
        </row>
        <row r="944">
          <cell r="B944">
            <v>813076810400</v>
          </cell>
        </row>
        <row r="945">
          <cell r="B945">
            <v>813080810400</v>
          </cell>
        </row>
        <row r="946">
          <cell r="B946">
            <v>813082810400</v>
          </cell>
        </row>
        <row r="947">
          <cell r="B947">
            <v>813084810400</v>
          </cell>
        </row>
        <row r="948">
          <cell r="B948">
            <v>813086810400</v>
          </cell>
        </row>
        <row r="949">
          <cell r="B949">
            <v>813090810400</v>
          </cell>
        </row>
        <row r="950">
          <cell r="B950">
            <v>813092810400</v>
          </cell>
        </row>
        <row r="951">
          <cell r="B951">
            <v>813094810400</v>
          </cell>
        </row>
        <row r="952">
          <cell r="B952">
            <v>813096810400</v>
          </cell>
        </row>
        <row r="953">
          <cell r="B953">
            <v>813100810400</v>
          </cell>
        </row>
        <row r="954">
          <cell r="B954">
            <v>813102810400</v>
          </cell>
        </row>
        <row r="955">
          <cell r="B955">
            <v>813104810400</v>
          </cell>
        </row>
        <row r="956">
          <cell r="B956">
            <v>813106810400</v>
          </cell>
        </row>
        <row r="957">
          <cell r="B957">
            <v>813110810400</v>
          </cell>
        </row>
        <row r="958">
          <cell r="B958">
            <v>813112810400</v>
          </cell>
        </row>
        <row r="959">
          <cell r="B959">
            <v>813114810400</v>
          </cell>
        </row>
        <row r="960">
          <cell r="B960">
            <v>813116810400</v>
          </cell>
        </row>
        <row r="961">
          <cell r="B961">
            <v>814010810500</v>
          </cell>
        </row>
        <row r="962">
          <cell r="B962">
            <v>814020810500</v>
          </cell>
        </row>
        <row r="963">
          <cell r="B963">
            <v>814030810500</v>
          </cell>
        </row>
        <row r="964">
          <cell r="B964">
            <v>814040810500</v>
          </cell>
        </row>
        <row r="965">
          <cell r="B965">
            <v>814050810500</v>
          </cell>
        </row>
        <row r="966">
          <cell r="B966">
            <v>815000810600</v>
          </cell>
        </row>
        <row r="967">
          <cell r="B967">
            <v>815500810600</v>
          </cell>
        </row>
        <row r="968">
          <cell r="B968">
            <v>816000810700</v>
          </cell>
        </row>
        <row r="969">
          <cell r="B969">
            <v>816500810700</v>
          </cell>
        </row>
        <row r="970">
          <cell r="B970">
            <v>816500810750</v>
          </cell>
        </row>
        <row r="971">
          <cell r="B971">
            <v>816505810750</v>
          </cell>
        </row>
        <row r="972">
          <cell r="B972">
            <v>816510810750</v>
          </cell>
        </row>
        <row r="973">
          <cell r="B973">
            <v>816515810750</v>
          </cell>
        </row>
        <row r="974">
          <cell r="B974">
            <v>816520810750</v>
          </cell>
        </row>
        <row r="975">
          <cell r="B975">
            <v>816525810750</v>
          </cell>
        </row>
        <row r="976">
          <cell r="B976">
            <v>816530810750</v>
          </cell>
        </row>
        <row r="977">
          <cell r="B977">
            <v>816535810750</v>
          </cell>
        </row>
        <row r="978">
          <cell r="B978">
            <v>816540810750</v>
          </cell>
        </row>
        <row r="979">
          <cell r="B979">
            <v>816545810750</v>
          </cell>
        </row>
        <row r="980">
          <cell r="B980">
            <v>817000810800</v>
          </cell>
        </row>
        <row r="981">
          <cell r="B981">
            <v>817005810800</v>
          </cell>
        </row>
        <row r="982">
          <cell r="B982">
            <v>817010810800</v>
          </cell>
        </row>
        <row r="983">
          <cell r="B983">
            <v>817015810800</v>
          </cell>
        </row>
        <row r="984">
          <cell r="B984">
            <v>817020810800</v>
          </cell>
        </row>
        <row r="985">
          <cell r="B985">
            <v>817025810800</v>
          </cell>
        </row>
        <row r="986">
          <cell r="B986">
            <v>850000850100</v>
          </cell>
        </row>
        <row r="987">
          <cell r="B987">
            <v>850010850100</v>
          </cell>
        </row>
        <row r="988">
          <cell r="B988">
            <v>850020850100</v>
          </cell>
        </row>
        <row r="989">
          <cell r="B989">
            <v>850030850100</v>
          </cell>
        </row>
        <row r="990">
          <cell r="B990">
            <v>850040850100</v>
          </cell>
        </row>
        <row r="991">
          <cell r="B991">
            <v>850050850100</v>
          </cell>
        </row>
        <row r="992">
          <cell r="B992">
            <v>850060850100</v>
          </cell>
        </row>
        <row r="993">
          <cell r="B993">
            <v>850070850100</v>
          </cell>
        </row>
        <row r="994">
          <cell r="B994">
            <v>850080850100</v>
          </cell>
        </row>
        <row r="995">
          <cell r="B995">
            <v>850090850100</v>
          </cell>
        </row>
        <row r="996">
          <cell r="B996">
            <v>850100850100</v>
          </cell>
        </row>
        <row r="997">
          <cell r="B997">
            <v>850110850100</v>
          </cell>
        </row>
        <row r="998">
          <cell r="B998">
            <v>851000850200</v>
          </cell>
        </row>
        <row r="999">
          <cell r="B999">
            <v>851010850200</v>
          </cell>
        </row>
        <row r="1000">
          <cell r="B1000">
            <v>851012850200</v>
          </cell>
        </row>
        <row r="1001">
          <cell r="B1001">
            <v>851014850200</v>
          </cell>
        </row>
        <row r="1002">
          <cell r="B1002">
            <v>851016850200</v>
          </cell>
        </row>
        <row r="1003">
          <cell r="B1003">
            <v>851018850200</v>
          </cell>
        </row>
        <row r="1004">
          <cell r="B1004">
            <v>851020850200</v>
          </cell>
        </row>
        <row r="1005">
          <cell r="B1005">
            <v>851025850200</v>
          </cell>
        </row>
        <row r="1006">
          <cell r="B1006">
            <v>851050850200</v>
          </cell>
        </row>
        <row r="1007">
          <cell r="B1007">
            <v>852000850300</v>
          </cell>
        </row>
        <row r="1008">
          <cell r="B1008">
            <v>852010850300</v>
          </cell>
        </row>
        <row r="1009">
          <cell r="B1009">
            <v>852015850300</v>
          </cell>
        </row>
        <row r="1010">
          <cell r="B1010">
            <v>852020850300</v>
          </cell>
        </row>
        <row r="1011">
          <cell r="B1011">
            <v>852030850300</v>
          </cell>
        </row>
        <row r="1012">
          <cell r="B1012">
            <v>852040850300</v>
          </cell>
        </row>
        <row r="1013">
          <cell r="B1013">
            <v>852050850300</v>
          </cell>
        </row>
        <row r="1014">
          <cell r="B1014">
            <v>852060850300</v>
          </cell>
        </row>
        <row r="1015">
          <cell r="B1015">
            <v>852070850300</v>
          </cell>
        </row>
        <row r="1016">
          <cell r="B1016">
            <v>852080850300</v>
          </cell>
        </row>
        <row r="1017">
          <cell r="B1017">
            <v>852090850300</v>
          </cell>
        </row>
        <row r="1018">
          <cell r="B1018">
            <v>852100850300</v>
          </cell>
        </row>
        <row r="1019">
          <cell r="B1019">
            <v>852110850300</v>
          </cell>
        </row>
        <row r="1020">
          <cell r="B1020">
            <v>852120850300</v>
          </cell>
        </row>
        <row r="1021">
          <cell r="B1021">
            <v>852130850300</v>
          </cell>
        </row>
        <row r="1022">
          <cell r="B1022">
            <v>852140850300</v>
          </cell>
        </row>
        <row r="1023">
          <cell r="B1023">
            <v>852150850300</v>
          </cell>
        </row>
        <row r="1024">
          <cell r="B1024">
            <v>852160850300</v>
          </cell>
        </row>
        <row r="1025">
          <cell r="B1025">
            <v>852170850300</v>
          </cell>
        </row>
        <row r="1026">
          <cell r="B1026">
            <v>852180850300</v>
          </cell>
        </row>
        <row r="1027">
          <cell r="B1027">
            <v>852190850300</v>
          </cell>
        </row>
        <row r="1028">
          <cell r="B1028">
            <v>852200850300</v>
          </cell>
        </row>
        <row r="1029">
          <cell r="B1029">
            <v>852210850300</v>
          </cell>
        </row>
        <row r="1030">
          <cell r="B1030">
            <v>853000850400</v>
          </cell>
        </row>
        <row r="1031">
          <cell r="B1031">
            <v>853010850400</v>
          </cell>
        </row>
        <row r="1032">
          <cell r="B1032">
            <v>853020850400</v>
          </cell>
        </row>
        <row r="1033">
          <cell r="B1033">
            <v>853030850400</v>
          </cell>
        </row>
        <row r="1034">
          <cell r="B1034">
            <v>853040850400</v>
          </cell>
        </row>
        <row r="1035">
          <cell r="B1035">
            <v>853050850400</v>
          </cell>
        </row>
        <row r="1036">
          <cell r="B1036">
            <v>853060850400</v>
          </cell>
        </row>
        <row r="1037">
          <cell r="B1037">
            <v>853070850400</v>
          </cell>
        </row>
        <row r="1038">
          <cell r="B1038">
            <v>853075850400</v>
          </cell>
        </row>
        <row r="1039">
          <cell r="B1039">
            <v>853080850400</v>
          </cell>
        </row>
        <row r="1040">
          <cell r="B1040">
            <v>853090850400</v>
          </cell>
        </row>
        <row r="1041">
          <cell r="B1041">
            <v>853100850400</v>
          </cell>
        </row>
        <row r="1042">
          <cell r="B1042">
            <v>853110850400</v>
          </cell>
        </row>
        <row r="1043">
          <cell r="B1043">
            <v>853120850400</v>
          </cell>
        </row>
        <row r="1044">
          <cell r="B1044">
            <v>853130850400</v>
          </cell>
        </row>
        <row r="1045">
          <cell r="B1045">
            <v>853140850400</v>
          </cell>
        </row>
        <row r="1046">
          <cell r="B1046">
            <v>853150850400</v>
          </cell>
        </row>
        <row r="1047">
          <cell r="B1047">
            <v>853160850400</v>
          </cell>
        </row>
        <row r="1048">
          <cell r="B1048">
            <v>853170850400</v>
          </cell>
        </row>
        <row r="1049">
          <cell r="B1049">
            <v>853180850400</v>
          </cell>
        </row>
        <row r="1050">
          <cell r="B1050">
            <v>853190850400</v>
          </cell>
        </row>
        <row r="1051">
          <cell r="B1051">
            <v>853300850410</v>
          </cell>
        </row>
        <row r="1052">
          <cell r="B1052">
            <v>853310850410</v>
          </cell>
        </row>
        <row r="1053">
          <cell r="B1053">
            <v>853320850410</v>
          </cell>
        </row>
        <row r="1054">
          <cell r="B1054">
            <v>853330850410</v>
          </cell>
        </row>
        <row r="1055">
          <cell r="B1055">
            <v>853340850410</v>
          </cell>
        </row>
        <row r="1056">
          <cell r="B1056">
            <v>853350850410</v>
          </cell>
        </row>
        <row r="1057">
          <cell r="B1057">
            <v>855000850500</v>
          </cell>
        </row>
        <row r="1058">
          <cell r="B1058">
            <v>855010850500</v>
          </cell>
        </row>
        <row r="1059">
          <cell r="B1059">
            <v>855020850500</v>
          </cell>
        </row>
        <row r="1060">
          <cell r="B1060">
            <v>855030850500</v>
          </cell>
        </row>
        <row r="1061">
          <cell r="B1061">
            <v>855040850500</v>
          </cell>
        </row>
        <row r="1062">
          <cell r="B1062">
            <v>855050850500</v>
          </cell>
        </row>
        <row r="1063">
          <cell r="B1063">
            <v>855060850500</v>
          </cell>
        </row>
        <row r="1064">
          <cell r="B1064">
            <v>855070850500</v>
          </cell>
        </row>
        <row r="1065">
          <cell r="B1065">
            <v>855080850500</v>
          </cell>
        </row>
        <row r="1066">
          <cell r="B1066">
            <v>855090850500</v>
          </cell>
        </row>
        <row r="1067">
          <cell r="B1067">
            <v>855100850500</v>
          </cell>
        </row>
        <row r="1068">
          <cell r="B1068">
            <v>855110850500</v>
          </cell>
        </row>
        <row r="1069">
          <cell r="B1069">
            <v>855120850500</v>
          </cell>
        </row>
        <row r="1070">
          <cell r="B1070">
            <v>900000900100</v>
          </cell>
        </row>
        <row r="1071">
          <cell r="B1071">
            <v>900010900100</v>
          </cell>
        </row>
        <row r="1072">
          <cell r="B1072">
            <v>900020900100</v>
          </cell>
        </row>
        <row r="1073">
          <cell r="B1073">
            <v>900025900100</v>
          </cell>
        </row>
        <row r="1074">
          <cell r="B1074">
            <v>900030900100</v>
          </cell>
        </row>
        <row r="1075">
          <cell r="B1075">
            <v>900040900100</v>
          </cell>
        </row>
        <row r="1076">
          <cell r="B1076">
            <v>900041900100</v>
          </cell>
        </row>
        <row r="1077">
          <cell r="B1077">
            <v>900042900100</v>
          </cell>
        </row>
        <row r="1078">
          <cell r="B1078">
            <v>900043900100</v>
          </cell>
        </row>
        <row r="1079">
          <cell r="B1079">
            <v>900044900100</v>
          </cell>
        </row>
        <row r="1080">
          <cell r="B1080">
            <v>900045900100</v>
          </cell>
        </row>
        <row r="1081">
          <cell r="B1081">
            <v>900046900100</v>
          </cell>
        </row>
        <row r="1082">
          <cell r="B1082">
            <v>900047900100</v>
          </cell>
        </row>
        <row r="1083">
          <cell r="B1083">
            <v>900048900100</v>
          </cell>
        </row>
        <row r="1084">
          <cell r="B1084">
            <v>900049900100</v>
          </cell>
        </row>
        <row r="1085">
          <cell r="B1085">
            <v>900050900100</v>
          </cell>
        </row>
        <row r="1086">
          <cell r="B1086">
            <v>900051900100</v>
          </cell>
        </row>
        <row r="1087">
          <cell r="B1087">
            <v>900052900100</v>
          </cell>
        </row>
        <row r="1088">
          <cell r="B1088">
            <v>900053900100</v>
          </cell>
        </row>
        <row r="1089">
          <cell r="B1089">
            <v>900054900100</v>
          </cell>
        </row>
        <row r="1090">
          <cell r="B1090">
            <v>900055900100</v>
          </cell>
        </row>
        <row r="1091">
          <cell r="B1091">
            <v>900056900100</v>
          </cell>
        </row>
        <row r="1092">
          <cell r="B1092">
            <v>900057900100</v>
          </cell>
        </row>
        <row r="1093">
          <cell r="B1093">
            <v>900058900100</v>
          </cell>
        </row>
        <row r="1094">
          <cell r="B1094">
            <v>900059900100</v>
          </cell>
        </row>
        <row r="1095">
          <cell r="B1095">
            <v>900060900100</v>
          </cell>
        </row>
        <row r="1096">
          <cell r="B1096">
            <v>900061900100</v>
          </cell>
        </row>
        <row r="1097">
          <cell r="B1097">
            <v>900062900100</v>
          </cell>
        </row>
        <row r="1098">
          <cell r="B1098">
            <v>900063900100</v>
          </cell>
        </row>
        <row r="1099">
          <cell r="B1099">
            <v>900064900100</v>
          </cell>
        </row>
        <row r="1100">
          <cell r="B1100">
            <v>900065900100</v>
          </cell>
        </row>
        <row r="1101">
          <cell r="B1101">
            <v>900066900100</v>
          </cell>
        </row>
        <row r="1102">
          <cell r="B1102">
            <v>901030900110</v>
          </cell>
        </row>
        <row r="1103">
          <cell r="B1103">
            <v>902010900120</v>
          </cell>
        </row>
        <row r="1104">
          <cell r="B1104">
            <v>902020900120</v>
          </cell>
        </row>
        <row r="1105">
          <cell r="B1105">
            <v>904010900140</v>
          </cell>
        </row>
        <row r="1106">
          <cell r="B1106">
            <v>904020900140</v>
          </cell>
        </row>
        <row r="1107">
          <cell r="B1107">
            <v>904030900140</v>
          </cell>
        </row>
        <row r="1108">
          <cell r="B1108">
            <v>904040900140</v>
          </cell>
        </row>
        <row r="1109">
          <cell r="B1109">
            <v>904050900140</v>
          </cell>
        </row>
        <row r="1110">
          <cell r="B1110">
            <v>904060900140</v>
          </cell>
        </row>
        <row r="1111">
          <cell r="B1111">
            <v>904070900140</v>
          </cell>
        </row>
        <row r="1112">
          <cell r="B1112">
            <v>904080900140</v>
          </cell>
        </row>
        <row r="1113">
          <cell r="B1113">
            <v>904090900140</v>
          </cell>
        </row>
        <row r="1114">
          <cell r="B1114">
            <v>904100900140</v>
          </cell>
        </row>
        <row r="1115">
          <cell r="B1115">
            <v>904110900140</v>
          </cell>
        </row>
        <row r="1116">
          <cell r="B1116">
            <v>904120900140</v>
          </cell>
        </row>
        <row r="1117">
          <cell r="B1117">
            <v>904130900140</v>
          </cell>
        </row>
        <row r="1118">
          <cell r="B1118">
            <v>904140900140</v>
          </cell>
        </row>
        <row r="1119">
          <cell r="B1119">
            <v>904150900140</v>
          </cell>
        </row>
        <row r="1120">
          <cell r="B1120">
            <v>904160900140</v>
          </cell>
        </row>
        <row r="1121">
          <cell r="B1121">
            <v>904170900140</v>
          </cell>
        </row>
        <row r="1122">
          <cell r="B1122">
            <v>904180900140</v>
          </cell>
        </row>
        <row r="1123">
          <cell r="B1123">
            <v>904190900140</v>
          </cell>
        </row>
        <row r="1124">
          <cell r="B1124">
            <v>904200900140</v>
          </cell>
        </row>
        <row r="1125">
          <cell r="B1125">
            <v>910000910100</v>
          </cell>
        </row>
        <row r="1126">
          <cell r="B1126">
            <v>910010910100</v>
          </cell>
        </row>
        <row r="1127">
          <cell r="B1127">
            <v>910020910100</v>
          </cell>
        </row>
        <row r="1128">
          <cell r="B1128">
            <v>910030910100</v>
          </cell>
        </row>
        <row r="1129">
          <cell r="B1129">
            <v>910035910100</v>
          </cell>
        </row>
        <row r="1130">
          <cell r="B1130">
            <v>910040910100</v>
          </cell>
        </row>
        <row r="1131">
          <cell r="B1131">
            <v>910050910100</v>
          </cell>
        </row>
        <row r="1132">
          <cell r="B1132">
            <v>910060910100</v>
          </cell>
        </row>
        <row r="1133">
          <cell r="B1133">
            <v>910070910100</v>
          </cell>
        </row>
        <row r="1134">
          <cell r="B1134">
            <v>910075910100</v>
          </cell>
        </row>
        <row r="1135">
          <cell r="B1135">
            <v>910080910100</v>
          </cell>
        </row>
        <row r="1136">
          <cell r="B1136">
            <v>910090910100</v>
          </cell>
        </row>
        <row r="1137">
          <cell r="B1137">
            <v>910100910100</v>
          </cell>
        </row>
        <row r="1138">
          <cell r="B1138">
            <v>910110910100</v>
          </cell>
        </row>
        <row r="1139">
          <cell r="B1139">
            <v>910120910100</v>
          </cell>
        </row>
        <row r="1140">
          <cell r="B1140">
            <v>910130910100</v>
          </cell>
        </row>
        <row r="1141">
          <cell r="B1141">
            <v>910140910100</v>
          </cell>
        </row>
        <row r="1142">
          <cell r="B1142">
            <v>940000940000</v>
          </cell>
        </row>
        <row r="1143">
          <cell r="B1143">
            <v>940010940000</v>
          </cell>
        </row>
        <row r="1144">
          <cell r="B1144">
            <v>940020940000</v>
          </cell>
        </row>
        <row r="1145">
          <cell r="B1145">
            <v>940030940000</v>
          </cell>
        </row>
        <row r="1146">
          <cell r="B1146">
            <v>940000940010</v>
          </cell>
        </row>
        <row r="1147">
          <cell r="B1147">
            <v>940010940010</v>
          </cell>
        </row>
        <row r="1148">
          <cell r="B1148">
            <v>940020940010</v>
          </cell>
        </row>
        <row r="1149">
          <cell r="B1149">
            <v>940030940010</v>
          </cell>
        </row>
        <row r="1150">
          <cell r="B1150">
            <v>940040940010</v>
          </cell>
        </row>
        <row r="1151">
          <cell r="B1151">
            <v>940050940010</v>
          </cell>
        </row>
        <row r="1152">
          <cell r="B1152">
            <v>940060940010</v>
          </cell>
        </row>
        <row r="1153">
          <cell r="B1153">
            <v>940070940010</v>
          </cell>
        </row>
        <row r="1154">
          <cell r="B1154">
            <v>940080940010</v>
          </cell>
        </row>
        <row r="1155">
          <cell r="B1155">
            <v>940090940010</v>
          </cell>
        </row>
        <row r="1156">
          <cell r="B1156">
            <v>940100940010</v>
          </cell>
        </row>
        <row r="1157">
          <cell r="B1157">
            <v>940110940010</v>
          </cell>
        </row>
        <row r="1158">
          <cell r="B1158">
            <v>940120940010</v>
          </cell>
        </row>
        <row r="1159">
          <cell r="B1159">
            <v>940130940010</v>
          </cell>
        </row>
        <row r="1160">
          <cell r="B1160">
            <v>941000940100</v>
          </cell>
        </row>
        <row r="1161">
          <cell r="B1161">
            <v>941010940100</v>
          </cell>
        </row>
        <row r="1162">
          <cell r="B1162">
            <v>941020940100</v>
          </cell>
        </row>
        <row r="1163">
          <cell r="B1163">
            <v>941030940100</v>
          </cell>
        </row>
        <row r="1164">
          <cell r="B1164">
            <v>941040940100</v>
          </cell>
        </row>
        <row r="1165">
          <cell r="B1165">
            <v>941050940100</v>
          </cell>
        </row>
        <row r="1166">
          <cell r="B1166">
            <v>942000940220</v>
          </cell>
        </row>
        <row r="1167">
          <cell r="B1167">
            <v>942010940220</v>
          </cell>
        </row>
        <row r="1168">
          <cell r="B1168">
            <v>942020940220</v>
          </cell>
        </row>
        <row r="1169">
          <cell r="B1169">
            <v>942030940220</v>
          </cell>
        </row>
        <row r="1170">
          <cell r="B1170">
            <v>942040940220</v>
          </cell>
        </row>
        <row r="1171">
          <cell r="B1171">
            <v>942050940220</v>
          </cell>
        </row>
        <row r="1172">
          <cell r="B1172">
            <v>942060940220</v>
          </cell>
        </row>
        <row r="1173">
          <cell r="B1173">
            <v>942070940220</v>
          </cell>
        </row>
        <row r="1174">
          <cell r="B1174">
            <v>942080940220</v>
          </cell>
        </row>
        <row r="1175">
          <cell r="B1175">
            <v>942090940220</v>
          </cell>
        </row>
        <row r="1176">
          <cell r="B1176">
            <v>942100940220</v>
          </cell>
        </row>
        <row r="1177">
          <cell r="B1177">
            <v>942110940220</v>
          </cell>
        </row>
        <row r="1178">
          <cell r="B1178">
            <v>942120940220</v>
          </cell>
        </row>
        <row r="1179">
          <cell r="B1179">
            <v>942130940220</v>
          </cell>
        </row>
        <row r="1180">
          <cell r="B1180">
            <v>942140940220</v>
          </cell>
        </row>
        <row r="1181">
          <cell r="B1181">
            <v>942150940220</v>
          </cell>
        </row>
        <row r="1182">
          <cell r="B1182">
            <v>942160940220</v>
          </cell>
        </row>
        <row r="1183">
          <cell r="B1183">
            <v>942170940220</v>
          </cell>
        </row>
        <row r="1184">
          <cell r="B1184">
            <v>942175940220</v>
          </cell>
        </row>
        <row r="1185">
          <cell r="B1185">
            <v>942180940220</v>
          </cell>
        </row>
        <row r="1186">
          <cell r="B1186">
            <v>942190940220</v>
          </cell>
        </row>
        <row r="1187">
          <cell r="B1187">
            <v>942200940220</v>
          </cell>
        </row>
        <row r="1188">
          <cell r="B1188">
            <v>942210940220</v>
          </cell>
        </row>
        <row r="1189">
          <cell r="B1189">
            <v>942220940220</v>
          </cell>
        </row>
        <row r="1190">
          <cell r="B1190">
            <v>942230940220</v>
          </cell>
        </row>
        <row r="1191">
          <cell r="B1191">
            <v>942240940220</v>
          </cell>
        </row>
        <row r="1192">
          <cell r="B1192">
            <v>942250940220</v>
          </cell>
        </row>
        <row r="1193">
          <cell r="B1193">
            <v>942260940220</v>
          </cell>
        </row>
        <row r="1194">
          <cell r="B1194">
            <v>942270940220</v>
          </cell>
        </row>
        <row r="1195">
          <cell r="B1195">
            <v>942280940220</v>
          </cell>
        </row>
        <row r="1196">
          <cell r="B1196">
            <v>942290940220</v>
          </cell>
        </row>
        <row r="1197">
          <cell r="B1197">
            <v>942300940220</v>
          </cell>
        </row>
        <row r="1198">
          <cell r="B1198">
            <v>942310940220</v>
          </cell>
        </row>
        <row r="1199">
          <cell r="B1199">
            <v>942320940220</v>
          </cell>
        </row>
        <row r="1200">
          <cell r="B1200">
            <v>942330940220</v>
          </cell>
        </row>
        <row r="1201">
          <cell r="B1201">
            <v>942340940220</v>
          </cell>
        </row>
        <row r="1202">
          <cell r="B1202">
            <v>942350940220</v>
          </cell>
        </row>
        <row r="1203">
          <cell r="B1203">
            <v>942360940220</v>
          </cell>
        </row>
        <row r="1204">
          <cell r="B1204">
            <v>942370940220</v>
          </cell>
        </row>
        <row r="1205">
          <cell r="B1205">
            <v>942380940220</v>
          </cell>
        </row>
        <row r="1206">
          <cell r="B1206">
            <v>942390940220</v>
          </cell>
        </row>
        <row r="1207">
          <cell r="B1207">
            <v>942400940220</v>
          </cell>
        </row>
        <row r="1208">
          <cell r="B1208">
            <v>942410940220</v>
          </cell>
        </row>
        <row r="1209">
          <cell r="B1209">
            <v>942420940220</v>
          </cell>
        </row>
        <row r="1210">
          <cell r="B1210">
            <v>942430940220</v>
          </cell>
        </row>
        <row r="1211">
          <cell r="B1211">
            <v>942435940220</v>
          </cell>
        </row>
        <row r="1212">
          <cell r="B1212">
            <v>942440940220</v>
          </cell>
        </row>
        <row r="1213">
          <cell r="B1213">
            <v>942450940220</v>
          </cell>
        </row>
        <row r="1214">
          <cell r="B1214">
            <v>942460940220</v>
          </cell>
        </row>
        <row r="1215">
          <cell r="B1215">
            <v>942470940220</v>
          </cell>
        </row>
        <row r="1216">
          <cell r="B1216">
            <v>942480940220</v>
          </cell>
        </row>
        <row r="1217">
          <cell r="B1217">
            <v>942490940220</v>
          </cell>
        </row>
        <row r="1218">
          <cell r="B1218">
            <v>942500940220</v>
          </cell>
        </row>
        <row r="1219">
          <cell r="B1219">
            <v>942510940220</v>
          </cell>
        </row>
        <row r="1220">
          <cell r="B1220">
            <v>942520940220</v>
          </cell>
        </row>
        <row r="1221">
          <cell r="B1221">
            <v>942530940220</v>
          </cell>
        </row>
        <row r="1222">
          <cell r="B1222">
            <v>942540940220</v>
          </cell>
        </row>
        <row r="1223">
          <cell r="B1223">
            <v>942550940220</v>
          </cell>
        </row>
        <row r="1224">
          <cell r="B1224">
            <v>942560940220</v>
          </cell>
        </row>
        <row r="1225">
          <cell r="B1225">
            <v>942570940220</v>
          </cell>
        </row>
        <row r="1226">
          <cell r="B1226">
            <v>944000940400</v>
          </cell>
        </row>
        <row r="1227">
          <cell r="B1227">
            <v>944005940400</v>
          </cell>
        </row>
        <row r="1228">
          <cell r="B1228">
            <v>944010940400</v>
          </cell>
        </row>
        <row r="1229">
          <cell r="B1229">
            <v>944015940400</v>
          </cell>
        </row>
        <row r="1230">
          <cell r="B1230">
            <v>944020940400</v>
          </cell>
        </row>
        <row r="1231">
          <cell r="B1231">
            <v>944025940400</v>
          </cell>
        </row>
        <row r="1232">
          <cell r="B1232">
            <v>944030940400</v>
          </cell>
        </row>
        <row r="1233">
          <cell r="B1233">
            <v>944035940400</v>
          </cell>
        </row>
        <row r="1234">
          <cell r="B1234">
            <v>944040940400</v>
          </cell>
        </row>
        <row r="1235">
          <cell r="B1235">
            <v>944045940400</v>
          </cell>
        </row>
        <row r="1236">
          <cell r="B1236">
            <v>945000940500</v>
          </cell>
        </row>
        <row r="1237">
          <cell r="B1237">
            <v>945005940500</v>
          </cell>
        </row>
        <row r="1238">
          <cell r="B1238">
            <v>945010940500</v>
          </cell>
        </row>
        <row r="1239">
          <cell r="B1239">
            <v>945015940500</v>
          </cell>
        </row>
        <row r="1240">
          <cell r="B1240">
            <v>945020940500</v>
          </cell>
        </row>
        <row r="1241">
          <cell r="B1241">
            <v>945025940500</v>
          </cell>
        </row>
        <row r="1242">
          <cell r="B1242">
            <v>945030940500</v>
          </cell>
        </row>
        <row r="1243">
          <cell r="B1243">
            <v>945035940500</v>
          </cell>
        </row>
        <row r="1244">
          <cell r="B1244">
            <v>945040940500</v>
          </cell>
        </row>
        <row r="1245">
          <cell r="B1245">
            <v>945045940500</v>
          </cell>
        </row>
        <row r="1246">
          <cell r="B1246">
            <v>945050940500</v>
          </cell>
        </row>
        <row r="1247">
          <cell r="B1247">
            <v>945055940500</v>
          </cell>
        </row>
        <row r="1248">
          <cell r="B1248">
            <v>945060940500</v>
          </cell>
        </row>
        <row r="1249">
          <cell r="B1249">
            <v>945065940500</v>
          </cell>
        </row>
        <row r="1250">
          <cell r="B1250">
            <v>945070940500</v>
          </cell>
        </row>
        <row r="1251">
          <cell r="B1251">
            <v>945075940500</v>
          </cell>
        </row>
        <row r="1252">
          <cell r="B1252">
            <v>945080940500</v>
          </cell>
        </row>
        <row r="1253">
          <cell r="B1253">
            <v>945085940500</v>
          </cell>
        </row>
        <row r="1254">
          <cell r="B1254">
            <v>946000940600</v>
          </cell>
        </row>
        <row r="1255">
          <cell r="B1255">
            <v>946010940600</v>
          </cell>
        </row>
        <row r="1256">
          <cell r="B1256">
            <v>946020940600</v>
          </cell>
        </row>
        <row r="1257">
          <cell r="B1257">
            <v>946030940600</v>
          </cell>
        </row>
        <row r="1258">
          <cell r="B1258">
            <v>960000960100</v>
          </cell>
        </row>
        <row r="1259">
          <cell r="B1259">
            <v>960010960100</v>
          </cell>
        </row>
        <row r="1260">
          <cell r="B1260">
            <v>981000981100</v>
          </cell>
        </row>
        <row r="1261">
          <cell r="B1261">
            <v>981010981100</v>
          </cell>
        </row>
        <row r="1262">
          <cell r="B1262">
            <v>981020981100</v>
          </cell>
        </row>
        <row r="1263">
          <cell r="B1263">
            <v>981030981100</v>
          </cell>
        </row>
        <row r="1264">
          <cell r="B1264">
            <v>981040981100</v>
          </cell>
        </row>
        <row r="1265">
          <cell r="B1265">
            <v>981050981100</v>
          </cell>
        </row>
        <row r="1266">
          <cell r="B1266">
            <v>981060981100</v>
          </cell>
        </row>
        <row r="1267">
          <cell r="B1267">
            <v>981070981100</v>
          </cell>
        </row>
        <row r="1268">
          <cell r="B1268">
            <v>981080981100</v>
          </cell>
        </row>
        <row r="1269">
          <cell r="B1269">
            <v>981090981100</v>
          </cell>
        </row>
        <row r="1270">
          <cell r="B1270">
            <v>981100981100</v>
          </cell>
        </row>
        <row r="1271">
          <cell r="B1271">
            <v>981110981100</v>
          </cell>
        </row>
        <row r="1272">
          <cell r="B1272">
            <v>981120981100</v>
          </cell>
        </row>
        <row r="1273">
          <cell r="B1273">
            <v>981130981100</v>
          </cell>
        </row>
        <row r="1274">
          <cell r="B1274">
            <v>981140981100</v>
          </cell>
        </row>
        <row r="1275">
          <cell r="B1275">
            <v>981150981100</v>
          </cell>
        </row>
        <row r="1276">
          <cell r="B1276">
            <v>981160981100</v>
          </cell>
        </row>
        <row r="1277">
          <cell r="B1277">
            <v>981170981100</v>
          </cell>
        </row>
        <row r="1278">
          <cell r="B1278">
            <v>981180981100</v>
          </cell>
        </row>
        <row r="1279">
          <cell r="B1279">
            <v>981190981100</v>
          </cell>
        </row>
        <row r="1280">
          <cell r="B1280">
            <v>981200981100</v>
          </cell>
        </row>
        <row r="1281">
          <cell r="B1281">
            <v>981210981100</v>
          </cell>
        </row>
        <row r="1282">
          <cell r="B1282">
            <v>981220981100</v>
          </cell>
        </row>
        <row r="1283">
          <cell r="B1283">
            <v>981230981100</v>
          </cell>
        </row>
        <row r="1284">
          <cell r="B1284">
            <v>981240981100</v>
          </cell>
        </row>
        <row r="1285">
          <cell r="B1285">
            <v>981250981100</v>
          </cell>
        </row>
        <row r="1286">
          <cell r="B1286">
            <v>981260981100</v>
          </cell>
        </row>
        <row r="1287">
          <cell r="B1287">
            <v>981270981100</v>
          </cell>
        </row>
        <row r="1288">
          <cell r="B1288">
            <v>981280981100</v>
          </cell>
        </row>
        <row r="1289">
          <cell r="B1289">
            <v>981290981100</v>
          </cell>
        </row>
        <row r="1290">
          <cell r="B1290">
            <v>981300981100</v>
          </cell>
        </row>
        <row r="1291">
          <cell r="B1291">
            <v>981310981100</v>
          </cell>
        </row>
        <row r="1292">
          <cell r="B1292">
            <v>981320981100</v>
          </cell>
        </row>
        <row r="1293">
          <cell r="B1293">
            <v>981330981100</v>
          </cell>
        </row>
        <row r="1294">
          <cell r="B1294">
            <v>981340981100</v>
          </cell>
        </row>
        <row r="1295">
          <cell r="B1295">
            <v>981350981100</v>
          </cell>
        </row>
        <row r="1296">
          <cell r="B1296">
            <v>981360981100</v>
          </cell>
        </row>
        <row r="1297">
          <cell r="B1297">
            <v>981370981100</v>
          </cell>
        </row>
        <row r="1298">
          <cell r="B1298">
            <v>981373981100</v>
          </cell>
        </row>
        <row r="1299">
          <cell r="B1299">
            <v>981375981100</v>
          </cell>
        </row>
        <row r="1300">
          <cell r="B1300">
            <v>981377981100</v>
          </cell>
        </row>
        <row r="1301">
          <cell r="B1301">
            <v>981379981100</v>
          </cell>
        </row>
        <row r="1302">
          <cell r="B1302">
            <v>981380981100</v>
          </cell>
        </row>
        <row r="1303">
          <cell r="B1303">
            <v>981381981100</v>
          </cell>
        </row>
        <row r="1304">
          <cell r="B1304">
            <v>981390981100</v>
          </cell>
        </row>
        <row r="1305">
          <cell r="B1305">
            <v>981400981100</v>
          </cell>
        </row>
        <row r="1306">
          <cell r="B1306">
            <v>981410981100</v>
          </cell>
        </row>
        <row r="1307">
          <cell r="B1307">
            <v>981420981100</v>
          </cell>
        </row>
        <row r="1308">
          <cell r="B1308">
            <v>981430981100</v>
          </cell>
        </row>
        <row r="1309">
          <cell r="B1309">
            <v>981440981100</v>
          </cell>
        </row>
        <row r="1310">
          <cell r="B1310">
            <v>981450981100</v>
          </cell>
        </row>
        <row r="1311">
          <cell r="B1311">
            <v>981460981100</v>
          </cell>
        </row>
        <row r="1312">
          <cell r="B1312">
            <v>981470981100</v>
          </cell>
        </row>
        <row r="1313">
          <cell r="B1313">
            <v>981480981100</v>
          </cell>
        </row>
        <row r="1314">
          <cell r="B1314">
            <v>981490981100</v>
          </cell>
        </row>
        <row r="1315">
          <cell r="B1315">
            <v>981500981100</v>
          </cell>
        </row>
        <row r="1316">
          <cell r="B1316">
            <v>982000981110</v>
          </cell>
        </row>
        <row r="1317">
          <cell r="B1317">
            <v>982010981110</v>
          </cell>
        </row>
        <row r="1318">
          <cell r="B1318">
            <v>982020981110</v>
          </cell>
        </row>
        <row r="1319">
          <cell r="B1319">
            <v>982030981110</v>
          </cell>
        </row>
        <row r="1320">
          <cell r="B1320">
            <v>982040981110</v>
          </cell>
        </row>
        <row r="1321">
          <cell r="B1321">
            <v>982050981110</v>
          </cell>
        </row>
        <row r="1322">
          <cell r="B1322">
            <v>982060981110</v>
          </cell>
        </row>
        <row r="1323">
          <cell r="B1323">
            <v>982070981110</v>
          </cell>
        </row>
        <row r="1324">
          <cell r="B1324">
            <v>982080981110</v>
          </cell>
        </row>
        <row r="1325">
          <cell r="B1325">
            <v>982090981110</v>
          </cell>
        </row>
        <row r="1326">
          <cell r="B1326">
            <v>982100981110</v>
          </cell>
        </row>
        <row r="1327">
          <cell r="B1327">
            <v>982110981110</v>
          </cell>
        </row>
        <row r="1328">
          <cell r="B1328">
            <v>982120981110</v>
          </cell>
        </row>
        <row r="1329">
          <cell r="B1329">
            <v>982130981110</v>
          </cell>
        </row>
        <row r="1330">
          <cell r="B1330">
            <v>982140981110</v>
          </cell>
        </row>
        <row r="1331">
          <cell r="B1331">
            <v>982150981110</v>
          </cell>
        </row>
        <row r="1332">
          <cell r="B1332">
            <v>982160981110</v>
          </cell>
        </row>
        <row r="1333">
          <cell r="B1333">
            <v>982170981110</v>
          </cell>
        </row>
        <row r="1334">
          <cell r="B1334">
            <v>982180981110</v>
          </cell>
        </row>
        <row r="1335">
          <cell r="B1335">
            <v>982190981110</v>
          </cell>
        </row>
        <row r="1336">
          <cell r="B1336">
            <v>982200981110</v>
          </cell>
        </row>
        <row r="1337">
          <cell r="B1337">
            <v>982210981110</v>
          </cell>
        </row>
        <row r="1338">
          <cell r="B1338">
            <v>982220981110</v>
          </cell>
        </row>
        <row r="1339">
          <cell r="B1339">
            <v>982230981110</v>
          </cell>
        </row>
        <row r="1340">
          <cell r="B1340">
            <v>982240981110</v>
          </cell>
        </row>
        <row r="1341">
          <cell r="B1341">
            <v>982250981110</v>
          </cell>
        </row>
        <row r="1342">
          <cell r="B1342">
            <v>982252981110</v>
          </cell>
        </row>
        <row r="1343">
          <cell r="B1343">
            <v>982254981110</v>
          </cell>
        </row>
        <row r="1344">
          <cell r="B1344">
            <v>982256981110</v>
          </cell>
        </row>
        <row r="1345">
          <cell r="B1345">
            <v>982258981110</v>
          </cell>
        </row>
        <row r="1346">
          <cell r="B1346">
            <v>982260981110</v>
          </cell>
        </row>
        <row r="1347">
          <cell r="B1347">
            <v>982262981110</v>
          </cell>
        </row>
        <row r="1348">
          <cell r="B1348">
            <v>982263981110</v>
          </cell>
        </row>
        <row r="1349">
          <cell r="B1349">
            <v>982264981110</v>
          </cell>
        </row>
        <row r="1350">
          <cell r="B1350">
            <v>982265981110</v>
          </cell>
        </row>
        <row r="1351">
          <cell r="B1351">
            <v>982266981110</v>
          </cell>
        </row>
        <row r="1352">
          <cell r="B1352">
            <v>982267981110</v>
          </cell>
        </row>
        <row r="1353">
          <cell r="B1353">
            <v>982268981110</v>
          </cell>
        </row>
        <row r="1354">
          <cell r="B1354">
            <v>982269981110</v>
          </cell>
        </row>
        <row r="1355">
          <cell r="B1355">
            <v>982270981110</v>
          </cell>
        </row>
        <row r="1356">
          <cell r="B1356">
            <v>982271981110</v>
          </cell>
        </row>
        <row r="1357">
          <cell r="B1357">
            <v>982272981110</v>
          </cell>
        </row>
        <row r="1358">
          <cell r="B1358">
            <v>982273981110</v>
          </cell>
        </row>
        <row r="1359">
          <cell r="B1359">
            <v>982274981110</v>
          </cell>
        </row>
        <row r="1360">
          <cell r="B1360">
            <v>982275981110</v>
          </cell>
        </row>
        <row r="1361">
          <cell r="B1361">
            <v>982276981110</v>
          </cell>
        </row>
        <row r="1362">
          <cell r="B1362">
            <v>982277981110</v>
          </cell>
        </row>
        <row r="1363">
          <cell r="B1363">
            <v>982278981110</v>
          </cell>
        </row>
        <row r="1364">
          <cell r="B1364">
            <v>982279981110</v>
          </cell>
        </row>
        <row r="1365">
          <cell r="B1365">
            <v>982280981110</v>
          </cell>
        </row>
        <row r="1366">
          <cell r="B1366">
            <v>982285981110</v>
          </cell>
        </row>
        <row r="1367">
          <cell r="B1367">
            <v>982281981110</v>
          </cell>
        </row>
        <row r="1368">
          <cell r="B1368">
            <v>982282981110</v>
          </cell>
        </row>
        <row r="1369">
          <cell r="B1369">
            <v>982283981110</v>
          </cell>
        </row>
        <row r="1370">
          <cell r="B1370">
            <v>991000999999</v>
          </cell>
        </row>
        <row r="1371">
          <cell r="B1371">
            <v>991010999999</v>
          </cell>
        </row>
        <row r="1372">
          <cell r="B1372">
            <v>994000999999</v>
          </cell>
        </row>
        <row r="1373">
          <cell r="B1373">
            <v>999500999999</v>
          </cell>
        </row>
        <row r="1374">
          <cell r="B1374">
            <v>999510999999</v>
          </cell>
        </row>
        <row r="1375">
          <cell r="B1375">
            <v>999520999999</v>
          </cell>
        </row>
        <row r="1376">
          <cell r="B1376">
            <v>999530999999</v>
          </cell>
        </row>
        <row r="1377">
          <cell r="B1377">
            <v>999540999999</v>
          </cell>
        </row>
      </sheetData>
      <sheetData sheetId="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DUSTRY"/>
      <sheetName val="NBM"/>
      <sheetName val="STD"/>
      <sheetName val="FCB"/>
      <sheetName val="FDH BANK"/>
      <sheetName val="NED"/>
      <sheetName val="NBS"/>
      <sheetName val="ECO "/>
      <sheetName val="CDH"/>
      <sheetName val="MBC"/>
      <sheetName val="Sensitivities"/>
      <sheetName val="BS Consol"/>
      <sheetName val="IS Consol"/>
      <sheetName val="CF Consol"/>
      <sheetName val="BS"/>
      <sheetName val="IS"/>
      <sheetName val="CF"/>
      <sheetName val="Capital &amp; Liquidity Analysis"/>
      <sheetName val="Overnight Borrowing"/>
      <sheetName val="Customer Deposits &amp; Borrowings"/>
      <sheetName val="para"/>
      <sheetName val="Fee Income"/>
      <sheetName val="Commission and Deferred Comm"/>
      <sheetName val="Govt Payroll"/>
      <sheetName val="Loan Schedules"/>
      <sheetName val="INVESTMENTS"/>
      <sheetName val="Management Fees"/>
      <sheetName val="Bond Costs"/>
      <sheetName val="Expenses"/>
      <sheetName val="Operations Budget"/>
      <sheetName val="Purchased Loan Book Amortisatio"/>
      <sheetName val="Premium"/>
      <sheetName val="Run Down Purchased Loan Book"/>
      <sheetName val="Advances Summary"/>
      <sheetName val="Impairment"/>
      <sheetName val="Advances"/>
      <sheetName val="Merger BS"/>
      <sheetName val="Expected Inflows"/>
      <sheetName val="NFB - Loans Secured"/>
      <sheetName val="NFB - Vehicle Asset Finance"/>
      <sheetName val="NFB - Warehouse Receipting"/>
      <sheetName val="NFB - Staff Loans"/>
      <sheetName val="NFB - Overdraft"/>
      <sheetName val="NFB - Group Loans"/>
      <sheetName val="NFB - Govt Payroll"/>
      <sheetName val="NFB - IPF Target"/>
      <sheetName val="IT Budget 2019"/>
      <sheetName val="IT Budget"/>
      <sheetName val="IT Additional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1000</v>
          </cell>
        </row>
      </sheetData>
      <sheetData sheetId="11">
        <row r="2">
          <cell r="D2" t="str">
            <v>Base case</v>
          </cell>
        </row>
      </sheetData>
      <sheetData sheetId="12"/>
      <sheetData sheetId="13">
        <row r="58">
          <cell r="C58">
            <v>-10740440374.33</v>
          </cell>
        </row>
      </sheetData>
      <sheetData sheetId="14"/>
      <sheetData sheetId="15"/>
      <sheetData sheetId="16"/>
      <sheetData sheetId="17"/>
      <sheetData sheetId="18">
        <row r="7">
          <cell r="B7">
            <v>225061251640.61798</v>
          </cell>
        </row>
      </sheetData>
      <sheetData sheetId="19">
        <row r="37">
          <cell r="B37">
            <v>38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Mng1"/>
      <sheetName val="Cons1"/>
      <sheetName val="Cons2"/>
      <sheetName val="Age1"/>
      <sheetName val="Age2"/>
      <sheetName val="Log1"/>
      <sheetName val="Log2"/>
      <sheetName val="Trm1"/>
      <sheetName val="Trm2"/>
      <sheetName val="Tru1"/>
      <sheetName val="Tru2"/>
      <sheetName val="Rep1"/>
      <sheetName val="Rep2"/>
      <sheetName val="MIE1"/>
      <sheetName val="MIE2"/>
      <sheetName val="ERS1"/>
      <sheetName val="ERS2"/>
      <sheetName val="Wh1"/>
      <sheetName val="Wh2"/>
      <sheetName val="Hasec1"/>
      <sheetName val="Hasec2"/>
      <sheetName val="Hewi1"/>
      <sheetName val="Hewi2"/>
      <sheetName val="Ot1"/>
      <sheetName val="Ot2"/>
      <sheetName val="Bal1"/>
      <sheetName val="Bal2"/>
      <sheetName val="CF2"/>
      <sheetName val="KPI1"/>
      <sheetName val="KPI2"/>
      <sheetName val="STANBIC BANK ZKW"/>
      <sheetName val="INDO"/>
    </sheetNames>
    <sheetDataSet>
      <sheetData sheetId="0">
        <row r="9">
          <cell r="C9" t="str">
            <v>nl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UTATION"/>
      <sheetName val="A-C"/>
      <sheetName val="D, G &amp; H"/>
      <sheetName val="J,K,L &amp; M"/>
      <sheetName val="I SOFP"/>
      <sheetName val="N SOCI"/>
      <sheetName val="F"/>
      <sheetName val="Tax Comp"/>
      <sheetName val="Def tax"/>
      <sheetName val="DEFERRED TAXATION"/>
      <sheetName val="Rate Test"/>
      <sheetName val="ITA 202"/>
      <sheetName val="INTERESTS"/>
      <sheetName val="DIRECTORS REMUNERATION"/>
      <sheetName val="ITA 202A"/>
      <sheetName val="Sheet1"/>
      <sheetName val="ITA 202B"/>
      <sheetName val="XREF"/>
      <sheetName val="Tickmarks"/>
      <sheetName val="ITA 201"/>
      <sheetName val="ITA 201A"/>
      <sheetName val="ITA 201B"/>
      <sheetName val="Interest"/>
      <sheetName val="ITA202 A"/>
      <sheetName val="ITA202B"/>
      <sheetName val="Interest-"/>
      <sheetName val="Provision"/>
    </sheetNames>
    <sheetDataSet>
      <sheetData sheetId="0">
        <row r="11">
          <cell r="G11">
            <v>147111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G17">
            <v>2279232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roup file-Division"/>
      <sheetName val="Group file-CHI"/>
      <sheetName val="Group file-Cons"/>
      <sheetName val="Group file-Combined"/>
      <sheetName val="Summary"/>
      <sheetName val="Moveable Equipment"/>
      <sheetName val="Land &amp; Buildings"/>
    </sheetNames>
    <sheetDataSet>
      <sheetData sheetId="0" refreshError="1"/>
      <sheetData sheetId="1">
        <row r="2">
          <cell r="A2" t="str">
            <v>INCOME STATEMENT IN R000'S</v>
          </cell>
        </row>
        <row r="6">
          <cell r="A6" t="str">
            <v>Tons Sold:</v>
          </cell>
        </row>
        <row r="7">
          <cell r="A7" t="str">
            <v>Item 1</v>
          </cell>
        </row>
        <row r="8">
          <cell r="A8" t="str">
            <v>Item 2</v>
          </cell>
        </row>
        <row r="9">
          <cell r="A9" t="str">
            <v>Item 3</v>
          </cell>
        </row>
        <row r="10">
          <cell r="A10" t="str">
            <v>Item 4</v>
          </cell>
        </row>
        <row r="11">
          <cell r="A11" t="str">
            <v>Item 5</v>
          </cell>
        </row>
        <row r="12">
          <cell r="A12" t="str">
            <v>Item 6</v>
          </cell>
        </row>
        <row r="13">
          <cell r="A13" t="str">
            <v>Item 7</v>
          </cell>
        </row>
        <row r="14">
          <cell r="A14" t="str">
            <v>Item 8</v>
          </cell>
        </row>
        <row r="15">
          <cell r="A15" t="str">
            <v>Item 9</v>
          </cell>
        </row>
        <row r="16">
          <cell r="A16" t="str">
            <v>Other</v>
          </cell>
        </row>
        <row r="17">
          <cell r="A17" t="str">
            <v>TOTAL VOLUMES</v>
          </cell>
        </row>
        <row r="19">
          <cell r="A19" t="str">
            <v>Gross sales</v>
          </cell>
        </row>
        <row r="20">
          <cell r="A20" t="str">
            <v>Sales</v>
          </cell>
        </row>
        <row r="21">
          <cell r="A21" t="str">
            <v>Exports</v>
          </cell>
        </row>
        <row r="22">
          <cell r="A22" t="str">
            <v>Transport income</v>
          </cell>
        </row>
        <row r="23">
          <cell r="A23" t="str">
            <v>TOTAL GROSS SALES</v>
          </cell>
        </row>
        <row r="25">
          <cell r="A25" t="str">
            <v>Less: (Show as negatives)</v>
          </cell>
        </row>
        <row r="26">
          <cell r="A26" t="str">
            <v>Discounts</v>
          </cell>
        </row>
        <row r="27">
          <cell r="A27" t="str">
            <v>Transport to customer</v>
          </cell>
        </row>
        <row r="28">
          <cell r="A28" t="str">
            <v>Other</v>
          </cell>
        </row>
        <row r="29">
          <cell r="A29" t="str">
            <v>NET SALES</v>
          </cell>
        </row>
        <row r="31">
          <cell r="A31" t="str">
            <v>Cost of sales (Show as positive)</v>
          </cell>
        </row>
        <row r="32">
          <cell r="A32" t="str">
            <v>Product</v>
          </cell>
        </row>
        <row r="33">
          <cell r="A33" t="str">
            <v>Variances</v>
          </cell>
        </row>
        <row r="34">
          <cell r="A34" t="str">
            <v>Transport to customer</v>
          </cell>
        </row>
        <row r="35">
          <cell r="A35" t="str">
            <v>CHI Margin</v>
          </cell>
        </row>
        <row r="36">
          <cell r="A36" t="str">
            <v>COST OF SALES</v>
          </cell>
        </row>
        <row r="38">
          <cell r="A38" t="str">
            <v>GROSS PROFIT (A-B)</v>
          </cell>
        </row>
        <row r="40">
          <cell r="A40" t="str">
            <v>Gross Profit %</v>
          </cell>
        </row>
        <row r="41">
          <cell r="A41" t="str">
            <v>Item 1</v>
          </cell>
        </row>
        <row r="42">
          <cell r="A42" t="str">
            <v>Item 2</v>
          </cell>
        </row>
        <row r="43">
          <cell r="A43" t="str">
            <v>Item 3</v>
          </cell>
        </row>
        <row r="44">
          <cell r="A44" t="str">
            <v>Item 4</v>
          </cell>
        </row>
        <row r="45">
          <cell r="A45" t="str">
            <v>Item 5</v>
          </cell>
        </row>
        <row r="46">
          <cell r="A46" t="str">
            <v>Item 6</v>
          </cell>
        </row>
        <row r="47">
          <cell r="A47" t="str">
            <v>Item 7</v>
          </cell>
        </row>
        <row r="48">
          <cell r="A48" t="str">
            <v>Item 8</v>
          </cell>
        </row>
        <row r="49">
          <cell r="A49" t="str">
            <v>Item 9</v>
          </cell>
        </row>
        <row r="50">
          <cell r="A50" t="str">
            <v>Other</v>
          </cell>
        </row>
        <row r="51">
          <cell r="A51" t="str">
            <v>TOTAL GP %</v>
          </cell>
        </row>
        <row r="53">
          <cell r="A53" t="str">
            <v>Sundry income/(expenses)</v>
          </cell>
        </row>
        <row r="54">
          <cell r="A54" t="str">
            <v>Sundry income</v>
          </cell>
        </row>
        <row r="55">
          <cell r="A55" t="str">
            <v>Overheads capitalised</v>
          </cell>
        </row>
        <row r="56">
          <cell r="A56" t="str">
            <v>Bad debts written off</v>
          </cell>
        </row>
        <row r="57">
          <cell r="A57" t="str">
            <v>Abnormal items</v>
          </cell>
        </row>
        <row r="58">
          <cell r="A58" t="str">
            <v>TOTAL SUNDRY ITEMS</v>
          </cell>
        </row>
        <row r="60">
          <cell r="A60" t="str">
            <v>Overheads (Show as negative)</v>
          </cell>
        </row>
        <row r="61">
          <cell r="A61" t="str">
            <v>Consultancy fees</v>
          </cell>
        </row>
        <row r="62">
          <cell r="A62" t="str">
            <v>Depreciation</v>
          </cell>
        </row>
        <row r="63">
          <cell r="A63" t="str">
            <v>Energy costs</v>
          </cell>
        </row>
        <row r="64">
          <cell r="A64" t="str">
            <v>Management fees</v>
          </cell>
        </row>
        <row r="65">
          <cell r="A65" t="str">
            <v xml:space="preserve">Motor vehicle costs </v>
          </cell>
        </row>
        <row r="66">
          <cell r="A66" t="str">
            <v>Repairs and maintenance</v>
          </cell>
        </row>
        <row r="67">
          <cell r="A67" t="str">
            <v>Staff employment costs</v>
          </cell>
        </row>
        <row r="68">
          <cell r="A68" t="str">
            <v>Sales commissions</v>
          </cell>
        </row>
        <row r="69">
          <cell r="A69" t="str">
            <v>Telephone</v>
          </cell>
        </row>
        <row r="70">
          <cell r="A70" t="str">
            <v>Advertising</v>
          </cell>
        </row>
        <row r="71">
          <cell r="A71" t="str">
            <v>Royalties</v>
          </cell>
        </row>
        <row r="72">
          <cell r="A72" t="str">
            <v>Insurance</v>
          </cell>
        </row>
        <row r="73">
          <cell r="A73" t="str">
            <v>Contractors</v>
          </cell>
        </row>
        <row r="74">
          <cell r="A74" t="str">
            <v>Handling</v>
          </cell>
        </row>
        <row r="75">
          <cell r="A75" t="str">
            <v>Other 1</v>
          </cell>
        </row>
        <row r="76">
          <cell r="A76" t="str">
            <v>Other 2</v>
          </cell>
        </row>
        <row r="77">
          <cell r="A77" t="str">
            <v>Other 3</v>
          </cell>
        </row>
        <row r="78">
          <cell r="A78" t="str">
            <v>Other 4</v>
          </cell>
        </row>
        <row r="79">
          <cell r="A79" t="str">
            <v>Other 5</v>
          </cell>
        </row>
        <row r="80">
          <cell r="A80" t="str">
            <v>Other 6</v>
          </cell>
        </row>
        <row r="81">
          <cell r="A81" t="str">
            <v>TOTAL OVERHEADS</v>
          </cell>
        </row>
        <row r="83">
          <cell r="A83" t="str">
            <v>Profit before interest and tax (C+D+E)</v>
          </cell>
        </row>
        <row r="85">
          <cell r="A85" t="str">
            <v>Interest received / (paid)</v>
          </cell>
        </row>
        <row r="86">
          <cell r="A86" t="str">
            <v>Forward cover costs</v>
          </cell>
        </row>
        <row r="87">
          <cell r="A87" t="str">
            <v>Forex gains / (losses)</v>
          </cell>
        </row>
        <row r="88">
          <cell r="A88" t="str">
            <v>Net monetary gain / (loss)</v>
          </cell>
        </row>
        <row r="90">
          <cell r="A90" t="str">
            <v>Profit before tax</v>
          </cell>
        </row>
        <row r="91">
          <cell r="A91" t="str">
            <v>Taxation</v>
          </cell>
        </row>
        <row r="92">
          <cell r="A92" t="str">
            <v>Profit after tax</v>
          </cell>
        </row>
        <row r="93">
          <cell r="A93" t="str">
            <v>Intercompany dividends received/(paid)</v>
          </cell>
        </row>
        <row r="94">
          <cell r="A94" t="str">
            <v>External dividends paid</v>
          </cell>
        </row>
        <row r="95">
          <cell r="A95" t="str">
            <v>Retained income</v>
          </cell>
        </row>
        <row r="96">
          <cell r="A96" t="str">
            <v>Prior month YTD PAT</v>
          </cell>
        </row>
        <row r="97">
          <cell r="A97" t="str">
            <v>YTD entrys - MUST BE ZERO</v>
          </cell>
        </row>
        <row r="98">
          <cell r="A98" t="str">
            <v>YTD accumulated PAT</v>
          </cell>
        </row>
        <row r="101">
          <cell r="A101" t="str">
            <v>PBIT/Sales</v>
          </cell>
        </row>
        <row r="102">
          <cell r="A102" t="str">
            <v>Interest cover</v>
          </cell>
        </row>
        <row r="105">
          <cell r="A105" t="str">
            <v>OMNIA GROUP COMPANY :  PLEASE INSERT DIVISION NAME</v>
          </cell>
        </row>
        <row r="106">
          <cell r="A106" t="str">
            <v xml:space="preserve">BALANCE  SHEET IN R000's </v>
          </cell>
        </row>
        <row r="109">
          <cell r="A109" t="str">
            <v>CAPITAL EMPLOYED</v>
          </cell>
        </row>
        <row r="111">
          <cell r="A111" t="str">
            <v>Share capital</v>
          </cell>
        </row>
        <row r="112">
          <cell r="A112" t="str">
            <v>NDR - Opening balance</v>
          </cell>
        </row>
        <row r="113">
          <cell r="A113" t="str">
            <v xml:space="preserve">        - Movement for the year</v>
          </cell>
        </row>
        <row r="114">
          <cell r="A114" t="str">
            <v>Equity loans</v>
          </cell>
        </row>
        <row r="115">
          <cell r="A115" t="str">
            <v>Distr. Res. - Opening balance</v>
          </cell>
        </row>
        <row r="116">
          <cell r="A116" t="str">
            <v xml:space="preserve">                  - Movement for the year</v>
          </cell>
        </row>
        <row r="117">
          <cell r="A117" t="str">
            <v>TOTAL EQUITY</v>
          </cell>
        </row>
        <row r="119">
          <cell r="A119" t="str">
            <v>Outside shareholders interest</v>
          </cell>
        </row>
        <row r="120">
          <cell r="A120" t="str">
            <v>Deferred tax - opening balance</v>
          </cell>
        </row>
        <row r="121">
          <cell r="A121" t="str">
            <v xml:space="preserve">                     - Movement for the year</v>
          </cell>
        </row>
        <row r="122">
          <cell r="A122" t="str">
            <v>LT Debt - External</v>
          </cell>
        </row>
        <row r="123">
          <cell r="A123" t="str">
            <v>CAPITAL EMPLOYED</v>
          </cell>
        </row>
        <row r="125">
          <cell r="A125" t="str">
            <v>EMPLOYMENT OF CAPITAL</v>
          </cell>
        </row>
        <row r="127">
          <cell r="A127" t="str">
            <v>Fixed assets</v>
          </cell>
        </row>
        <row r="128">
          <cell r="A128" t="str">
            <v>Investments in Subs &amp; Ass</v>
          </cell>
        </row>
        <row r="129">
          <cell r="A129" t="str">
            <v>Investments and loans</v>
          </cell>
        </row>
        <row r="131">
          <cell r="A131" t="str">
            <v>Current assets</v>
          </cell>
        </row>
        <row r="132">
          <cell r="A132" t="str">
            <v>Inventories</v>
          </cell>
        </row>
        <row r="133">
          <cell r="A133" t="str">
            <v>Trade debtors</v>
          </cell>
        </row>
        <row r="134">
          <cell r="A134" t="str">
            <v>Other debtors</v>
          </cell>
        </row>
        <row r="136">
          <cell r="A136" t="str">
            <v>TOTAL ASSETS</v>
          </cell>
        </row>
        <row r="138">
          <cell r="A138" t="str">
            <v>Current liabilities - Debit / (Credit)</v>
          </cell>
        </row>
        <row r="139">
          <cell r="A139" t="str">
            <v>Trade creditors - local</v>
          </cell>
        </row>
        <row r="140">
          <cell r="A140" t="str">
            <v>Trade creditors - Foreign</v>
          </cell>
        </row>
        <row r="141">
          <cell r="A141" t="str">
            <v>Other creditors</v>
          </cell>
        </row>
        <row r="142">
          <cell r="A142" t="str">
            <v>Prepaid debtors</v>
          </cell>
        </row>
        <row r="143">
          <cell r="A143" t="str">
            <v>Taxation</v>
          </cell>
        </row>
        <row r="144">
          <cell r="A144" t="str">
            <v>Dividends</v>
          </cell>
        </row>
        <row r="146">
          <cell r="A146" t="str">
            <v>Short term debt - Debit / (Credit)</v>
          </cell>
        </row>
        <row r="147">
          <cell r="A147" t="str">
            <v>Current portion of LT liabilities</v>
          </cell>
        </row>
        <row r="148">
          <cell r="A148" t="str">
            <v>Short term borrowings</v>
          </cell>
        </row>
        <row r="149">
          <cell r="A149" t="str">
            <v>Cash on hand</v>
          </cell>
        </row>
        <row r="151">
          <cell r="A151" t="str">
            <v>Intercompany accounts - Debit/(Credit)</v>
          </cell>
        </row>
        <row r="152">
          <cell r="A152" t="str">
            <v>Treasury &amp; Current loan accounts</v>
          </cell>
        </row>
        <row r="153">
          <cell r="A153" t="str">
            <v>Intercompany debtors</v>
          </cell>
        </row>
        <row r="154">
          <cell r="A154" t="str">
            <v>Intercompany creditors</v>
          </cell>
        </row>
        <row r="156">
          <cell r="A156" t="str">
            <v>Long term intercompany accounts</v>
          </cell>
        </row>
        <row r="158">
          <cell r="A158" t="str">
            <v>TOTAL ASSTES AND LIABILITIES</v>
          </cell>
        </row>
        <row r="159">
          <cell r="A159" t="str">
            <v>Check - must be zero</v>
          </cell>
        </row>
        <row r="161">
          <cell r="A161" t="str">
            <v>3rd party debtor days</v>
          </cell>
        </row>
        <row r="162">
          <cell r="A162" t="str">
            <v>3rd party creditors days</v>
          </cell>
        </row>
        <row r="163">
          <cell r="A163" t="str">
            <v>Months stock on hand</v>
          </cell>
        </row>
        <row r="164">
          <cell r="A164" t="str">
            <v>Unearned profit in stock</v>
          </cell>
        </row>
        <row r="166">
          <cell r="A166" t="str">
            <v>Net interest bearing borrowings</v>
          </cell>
        </row>
        <row r="167">
          <cell r="A167" t="str">
            <v>Debt : Equity</v>
          </cell>
        </row>
        <row r="170">
          <cell r="A170" t="str">
            <v>OMNIA GROUP COMPANY :  PLEASE INSERT DIVISION NAME</v>
          </cell>
        </row>
        <row r="171">
          <cell r="A171" t="str">
            <v>CASH FLOW ANALYSIS IN R000'S</v>
          </cell>
        </row>
        <row r="176">
          <cell r="A176" t="str">
            <v>Profit before taxation</v>
          </cell>
        </row>
        <row r="177">
          <cell r="A177" t="str">
            <v>Add: Depreciation, R&amp;D</v>
          </cell>
        </row>
        <row r="178">
          <cell r="A178" t="str">
            <v>(Profit)/Loss on sale of fixed assets</v>
          </cell>
        </row>
        <row r="179">
          <cell r="A179" t="str">
            <v>Other non cash items</v>
          </cell>
        </row>
        <row r="180">
          <cell r="A180" t="str">
            <v>Cashflow from trading operations</v>
          </cell>
        </row>
        <row r="181">
          <cell r="A181" t="str">
            <v>(Increase)/decrease in: Inventory</v>
          </cell>
        </row>
        <row r="182">
          <cell r="A182" t="str">
            <v>(Increase)/decrease in: Debtors</v>
          </cell>
        </row>
        <row r="183">
          <cell r="A183" t="str">
            <v>(Decrease)/increase in: Creditors</v>
          </cell>
        </row>
        <row r="184">
          <cell r="A184" t="str">
            <v>(Decrease)/increase in: Pre-paid debtors</v>
          </cell>
        </row>
        <row r="185">
          <cell r="A185" t="str">
            <v>Correction of budget working capital movements</v>
          </cell>
        </row>
        <row r="186">
          <cell r="A186" t="str">
            <v>Cashflow from trading operations</v>
          </cell>
        </row>
        <row r="187">
          <cell r="A187" t="str">
            <v>Taxation (paid)/received</v>
          </cell>
        </row>
        <row r="188">
          <cell r="A188" t="str">
            <v>Dividends</v>
          </cell>
        </row>
        <row r="189">
          <cell r="A189" t="str">
            <v>Net cash flow from operating activities</v>
          </cell>
        </row>
        <row r="191">
          <cell r="A191" t="str">
            <v>Net cash flow from investing activities</v>
          </cell>
        </row>
        <row r="192">
          <cell r="A192" t="str">
            <v>Fixed assets-(purchases)/sales</v>
          </cell>
        </row>
        <row r="193">
          <cell r="A193" t="str">
            <v>Investments and loans</v>
          </cell>
        </row>
        <row r="194">
          <cell r="A194" t="str">
            <v>Other investing activities</v>
          </cell>
        </row>
        <row r="196">
          <cell r="A196" t="str">
            <v>Net cash flow from financing activities</v>
          </cell>
        </row>
        <row r="197">
          <cell r="A197" t="str">
            <v>Long term external loans raised</v>
          </cell>
        </row>
        <row r="198">
          <cell r="A198" t="str">
            <v>Long term external loans (repaid)</v>
          </cell>
        </row>
        <row r="199">
          <cell r="A199" t="str">
            <v>HP &amp; leases raised</v>
          </cell>
        </row>
        <row r="200">
          <cell r="A200" t="str">
            <v>HP &amp; leases (repaid)</v>
          </cell>
        </row>
        <row r="201">
          <cell r="A201" t="str">
            <v>Other</v>
          </cell>
        </row>
        <row r="203">
          <cell r="A203" t="str">
            <v>Net intercompany cashflow</v>
          </cell>
        </row>
        <row r="204">
          <cell r="A204" t="str">
            <v>Treasury &amp; Current loan acc raised /(repaid)</v>
          </cell>
        </row>
        <row r="205">
          <cell r="A205" t="str">
            <v>Equity loans raised / (repaid)</v>
          </cell>
        </row>
        <row r="206">
          <cell r="A206" t="str">
            <v>Long term intercompany loans raised / (repaid)</v>
          </cell>
        </row>
        <row r="207">
          <cell r="A207" t="str">
            <v>Other</v>
          </cell>
        </row>
        <row r="209">
          <cell r="A209" t="str">
            <v>(Increase) / Decrease in bank borrowings</v>
          </cell>
        </row>
        <row r="210">
          <cell r="A210" t="str">
            <v>Opening (bank borrowings) / cash</v>
          </cell>
        </row>
        <row r="211">
          <cell r="A211" t="str">
            <v>Closing (bank borrowings) / cash</v>
          </cell>
        </row>
        <row r="212">
          <cell r="A212" t="str">
            <v>Check to BS = 0</v>
          </cell>
        </row>
        <row r="216">
          <cell r="A216" t="str">
            <v>OMNIA GROUP COMPANY :  PLEASE INSERT DIVISION NAME</v>
          </cell>
        </row>
        <row r="217">
          <cell r="A217" t="str">
            <v>INTER COMPANY BALANCES IN  R000'S</v>
          </cell>
        </row>
        <row r="220">
          <cell r="A220" t="str">
            <v>INTERCOMPANY DEBTORS</v>
          </cell>
        </row>
        <row r="222">
          <cell r="A222" t="str">
            <v>Omnia Holdings Ltd</v>
          </cell>
        </row>
        <row r="223">
          <cell r="A223" t="str">
            <v>Omnia Group Ltd</v>
          </cell>
        </row>
        <row r="224">
          <cell r="A224" t="str">
            <v>Omnia Group Division</v>
          </cell>
        </row>
        <row r="225">
          <cell r="A225" t="str">
            <v>Discontinued Operations</v>
          </cell>
        </row>
        <row r="226">
          <cell r="A226" t="str">
            <v>Bulk Mining Explosives</v>
          </cell>
        </row>
        <row r="227">
          <cell r="A227" t="str">
            <v>West African Chemicals</v>
          </cell>
        </row>
        <row r="228">
          <cell r="A228" t="str">
            <v>BME Tanzania</v>
          </cell>
        </row>
        <row r="229">
          <cell r="A229" t="str">
            <v>BME Zambia</v>
          </cell>
        </row>
        <row r="230">
          <cell r="A230" t="str">
            <v>BME Zimbabwe</v>
          </cell>
        </row>
        <row r="231">
          <cell r="A231" t="str">
            <v>BME Mali</v>
          </cell>
        </row>
        <row r="232">
          <cell r="A232" t="str">
            <v>BME Malawi</v>
          </cell>
        </row>
        <row r="233">
          <cell r="A233" t="str">
            <v>BME Botswana</v>
          </cell>
        </row>
        <row r="234">
          <cell r="A234" t="str">
            <v>BME Namibia</v>
          </cell>
        </row>
        <row r="235">
          <cell r="A235" t="str">
            <v>BME Zambia</v>
          </cell>
        </row>
        <row r="236">
          <cell r="A236" t="str">
            <v>BME DCI Africa</v>
          </cell>
        </row>
        <row r="237">
          <cell r="A237" t="str">
            <v>BME DCI International</v>
          </cell>
        </row>
        <row r="238">
          <cell r="A238" t="str">
            <v>Chemical Holdings Ltd (Bermuda)</v>
          </cell>
        </row>
        <row r="239">
          <cell r="A239" t="str">
            <v>Chemical Holdings International (Mauritius)</v>
          </cell>
        </row>
        <row r="240">
          <cell r="A240" t="str">
            <v>Omnia Zimbabwe</v>
          </cell>
        </row>
        <row r="241">
          <cell r="A241" t="str">
            <v>Omnia Zambia</v>
          </cell>
        </row>
        <row r="242">
          <cell r="A242" t="str">
            <v>Omnia Kenya</v>
          </cell>
        </row>
        <row r="243">
          <cell r="A243" t="str">
            <v>Omnia Fertilizer</v>
          </cell>
        </row>
        <row r="244">
          <cell r="A244" t="str">
            <v>Specialities</v>
          </cell>
        </row>
        <row r="245">
          <cell r="A245" t="str">
            <v>Specialities Australia</v>
          </cell>
        </row>
        <row r="246">
          <cell r="A246" t="str">
            <v>CHI Australasia</v>
          </cell>
        </row>
        <row r="247">
          <cell r="A247" t="str">
            <v>CHI Mozambique</v>
          </cell>
        </row>
        <row r="248">
          <cell r="A248" t="str">
            <v>CHI Malawi</v>
          </cell>
        </row>
        <row r="249">
          <cell r="A249" t="str">
            <v>Intaba Chemicals</v>
          </cell>
        </row>
        <row r="250">
          <cell r="A250" t="str">
            <v>Other 1</v>
          </cell>
        </row>
        <row r="251">
          <cell r="A251" t="str">
            <v>Other 2</v>
          </cell>
        </row>
        <row r="252">
          <cell r="A252" t="str">
            <v>Other 3</v>
          </cell>
        </row>
        <row r="253">
          <cell r="A253" t="str">
            <v>TOTAL</v>
          </cell>
        </row>
        <row r="254">
          <cell r="A254" t="str">
            <v>Check = 0</v>
          </cell>
        </row>
        <row r="256">
          <cell r="A256" t="str">
            <v>INTERCOMPANY CREDITORS</v>
          </cell>
        </row>
        <row r="257">
          <cell r="A257" t="str">
            <v>(NB Show as positve)</v>
          </cell>
        </row>
        <row r="258">
          <cell r="A258" t="str">
            <v>Omnia Holdings Ltd</v>
          </cell>
        </row>
        <row r="259">
          <cell r="A259" t="str">
            <v>Omnia Group Ltd</v>
          </cell>
        </row>
        <row r="260">
          <cell r="A260" t="str">
            <v>Omnia Group Division</v>
          </cell>
        </row>
        <row r="261">
          <cell r="A261" t="str">
            <v>Discontinued Operations</v>
          </cell>
        </row>
        <row r="262">
          <cell r="A262" t="str">
            <v>Bulk Mining Explosives</v>
          </cell>
        </row>
        <row r="263">
          <cell r="A263" t="str">
            <v>West African Chemicals</v>
          </cell>
        </row>
        <row r="264">
          <cell r="A264" t="str">
            <v>BME Tanzania</v>
          </cell>
        </row>
        <row r="265">
          <cell r="A265" t="str">
            <v>BME Zambia</v>
          </cell>
        </row>
        <row r="266">
          <cell r="A266" t="str">
            <v>BME Zimbabwe</v>
          </cell>
        </row>
        <row r="267">
          <cell r="A267" t="str">
            <v>BME Mali</v>
          </cell>
        </row>
        <row r="268">
          <cell r="A268" t="str">
            <v>BME Malawi</v>
          </cell>
        </row>
        <row r="269">
          <cell r="A269" t="str">
            <v>BME Botswana</v>
          </cell>
        </row>
        <row r="270">
          <cell r="A270" t="str">
            <v>BME Namibia</v>
          </cell>
        </row>
        <row r="271">
          <cell r="A271" t="str">
            <v>BME Zambia</v>
          </cell>
        </row>
        <row r="272">
          <cell r="A272" t="str">
            <v>BME DCI Africa</v>
          </cell>
        </row>
        <row r="273">
          <cell r="A273" t="str">
            <v>BME DCI International</v>
          </cell>
        </row>
        <row r="274">
          <cell r="A274" t="str">
            <v>Chemical Holdings Ltd (Bermuda)</v>
          </cell>
        </row>
        <row r="275">
          <cell r="A275" t="str">
            <v>Chemical Holdings International (Mauritius)</v>
          </cell>
        </row>
        <row r="276">
          <cell r="A276" t="str">
            <v>Omnia Zimbabwe</v>
          </cell>
        </row>
        <row r="277">
          <cell r="A277" t="str">
            <v>Omnia Zambia</v>
          </cell>
        </row>
        <row r="278">
          <cell r="A278" t="str">
            <v>Omnia Kenya</v>
          </cell>
        </row>
        <row r="279">
          <cell r="A279" t="str">
            <v>Omnia Fertilizer</v>
          </cell>
        </row>
        <row r="280">
          <cell r="A280" t="str">
            <v>Specialities</v>
          </cell>
        </row>
        <row r="281">
          <cell r="A281" t="str">
            <v>Specialities Australia</v>
          </cell>
        </row>
        <row r="282">
          <cell r="A282" t="str">
            <v>CHI Australasia</v>
          </cell>
        </row>
        <row r="283">
          <cell r="A283" t="str">
            <v>CHI Mozambique</v>
          </cell>
        </row>
        <row r="284">
          <cell r="A284" t="str">
            <v>CHI Malawi</v>
          </cell>
        </row>
        <row r="285">
          <cell r="A285" t="str">
            <v>Intaba Chemicals</v>
          </cell>
        </row>
        <row r="286">
          <cell r="A286" t="str">
            <v>Other 1</v>
          </cell>
        </row>
        <row r="287">
          <cell r="A287" t="str">
            <v>Other 2</v>
          </cell>
        </row>
        <row r="288">
          <cell r="A288" t="str">
            <v>Other 3</v>
          </cell>
        </row>
        <row r="289">
          <cell r="A289" t="str">
            <v>TOTAL</v>
          </cell>
        </row>
        <row r="290">
          <cell r="A290" t="str">
            <v>Check = 0</v>
          </cell>
        </row>
        <row r="292">
          <cell r="A292" t="str">
            <v>EQUITY LOANS - Debit / (Credit)</v>
          </cell>
        </row>
        <row r="294">
          <cell r="A294" t="str">
            <v>Omnia Group Division</v>
          </cell>
        </row>
        <row r="295">
          <cell r="A295" t="str">
            <v>Bulk Mining Explosives</v>
          </cell>
        </row>
        <row r="296">
          <cell r="A296" t="str">
            <v>Omnia Fertilizer</v>
          </cell>
        </row>
        <row r="297">
          <cell r="A297" t="str">
            <v>Other</v>
          </cell>
        </row>
        <row r="298">
          <cell r="A298" t="str">
            <v>PER BALANCE SHEET</v>
          </cell>
        </row>
        <row r="299">
          <cell r="A299" t="str">
            <v>Check = 0</v>
          </cell>
        </row>
        <row r="301">
          <cell r="A301" t="str">
            <v>LONG TERM INTERCOMPANY ACCOUNTS</v>
          </cell>
        </row>
        <row r="302">
          <cell r="A302" t="str">
            <v>- Debit / (Credit)</v>
          </cell>
        </row>
        <row r="303">
          <cell r="A303" t="str">
            <v>Omnia Group Ltd</v>
          </cell>
        </row>
        <row r="304">
          <cell r="A304" t="str">
            <v>West African Chemicals</v>
          </cell>
        </row>
        <row r="305">
          <cell r="A305" t="str">
            <v>BME Tanzania</v>
          </cell>
        </row>
        <row r="306">
          <cell r="A306" t="str">
            <v>Other</v>
          </cell>
        </row>
        <row r="307">
          <cell r="A307" t="str">
            <v>PER BALANCE SHEET</v>
          </cell>
        </row>
        <row r="308">
          <cell r="A308" t="str">
            <v>Check = 0</v>
          </cell>
        </row>
        <row r="310">
          <cell r="A310" t="str">
            <v>TREASURY &amp; CURRENT LOAN ACCOUNTS</v>
          </cell>
        </row>
        <row r="311">
          <cell r="A311" t="str">
            <v>- Debit / (Credit)</v>
          </cell>
        </row>
        <row r="312">
          <cell r="A312" t="str">
            <v>Omnia Holdings Ltd</v>
          </cell>
        </row>
        <row r="313">
          <cell r="A313" t="str">
            <v>Omnia Group Ltd</v>
          </cell>
        </row>
        <row r="314">
          <cell r="A314" t="str">
            <v>Omnia Group Division</v>
          </cell>
        </row>
        <row r="315">
          <cell r="A315" t="str">
            <v>Discontinued Operations</v>
          </cell>
        </row>
        <row r="316">
          <cell r="A316" t="str">
            <v>Bulk Mining Explosives</v>
          </cell>
        </row>
        <row r="317">
          <cell r="A317" t="str">
            <v>West African Chemicals</v>
          </cell>
        </row>
        <row r="318">
          <cell r="A318" t="str">
            <v>BME Tanzania</v>
          </cell>
        </row>
        <row r="319">
          <cell r="A319" t="str">
            <v>BME Zambia</v>
          </cell>
        </row>
        <row r="320">
          <cell r="A320" t="str">
            <v>BME Zimbabwe</v>
          </cell>
        </row>
        <row r="321">
          <cell r="A321" t="str">
            <v>BME Mali</v>
          </cell>
        </row>
        <row r="322">
          <cell r="A322" t="str">
            <v>BME Malawi</v>
          </cell>
        </row>
        <row r="323">
          <cell r="A323" t="str">
            <v>BME Botswana</v>
          </cell>
        </row>
        <row r="324">
          <cell r="A324" t="str">
            <v>BME Namibia</v>
          </cell>
        </row>
        <row r="325">
          <cell r="A325" t="str">
            <v>BME Zambia</v>
          </cell>
        </row>
        <row r="326">
          <cell r="A326" t="str">
            <v>BME DCI Africa</v>
          </cell>
        </row>
        <row r="327">
          <cell r="A327" t="str">
            <v>BME DCI International</v>
          </cell>
        </row>
        <row r="328">
          <cell r="A328" t="str">
            <v>Chemical Holdings Ltd (Bermuda)</v>
          </cell>
        </row>
        <row r="329">
          <cell r="A329" t="str">
            <v>Chemical Holdings International (Mauritius)</v>
          </cell>
        </row>
        <row r="330">
          <cell r="A330" t="str">
            <v>Omnia Zimbabwe</v>
          </cell>
        </row>
        <row r="331">
          <cell r="A331" t="str">
            <v>Omnia Zambia</v>
          </cell>
        </row>
        <row r="332">
          <cell r="A332" t="str">
            <v>Omnia Kenya</v>
          </cell>
        </row>
        <row r="333">
          <cell r="A333" t="str">
            <v>Omnia Fertilizer</v>
          </cell>
        </row>
        <row r="334">
          <cell r="A334" t="str">
            <v>Specialities</v>
          </cell>
        </row>
        <row r="335">
          <cell r="A335" t="str">
            <v>Specialities Australia</v>
          </cell>
        </row>
        <row r="336">
          <cell r="A336" t="str">
            <v>CHI Australasia</v>
          </cell>
        </row>
        <row r="337">
          <cell r="A337" t="str">
            <v>CHI Mozambique</v>
          </cell>
        </row>
        <row r="338">
          <cell r="A338" t="str">
            <v>CHI Malawi</v>
          </cell>
        </row>
        <row r="339">
          <cell r="A339" t="str">
            <v>Intaba Chemicals</v>
          </cell>
        </row>
        <row r="340">
          <cell r="A340" t="str">
            <v>Other 1</v>
          </cell>
        </row>
        <row r="341">
          <cell r="A341" t="str">
            <v>Other 2</v>
          </cell>
        </row>
        <row r="342">
          <cell r="A342" t="str">
            <v>Other 3</v>
          </cell>
        </row>
        <row r="343">
          <cell r="A343" t="str">
            <v>PER BALANCE SHEET</v>
          </cell>
        </row>
        <row r="344">
          <cell r="A344" t="str">
            <v>Check = 0</v>
          </cell>
        </row>
        <row r="346">
          <cell r="A346" t="str">
            <v>OMNIA GROUP COMPANY :  PLEASE INSERT DIVISION NAME</v>
          </cell>
        </row>
        <row r="347">
          <cell r="A347" t="str">
            <v>GROUP INCOME STATEMENT TRANSACTIONS - 1/2</v>
          </cell>
        </row>
        <row r="348">
          <cell r="A348" t="str">
            <v>INTERCOMPANY SALES</v>
          </cell>
        </row>
        <row r="349">
          <cell r="A349" t="str">
            <v>SALES TO RANDS '000:</v>
          </cell>
        </row>
        <row r="350">
          <cell r="A350" t="str">
            <v>Omnia Holdings Ltd</v>
          </cell>
        </row>
        <row r="351">
          <cell r="A351" t="str">
            <v>Omnia Group Ltd</v>
          </cell>
        </row>
        <row r="352">
          <cell r="A352" t="str">
            <v>Omnia Group Division</v>
          </cell>
        </row>
        <row r="353">
          <cell r="A353" t="str">
            <v>Discontinued Operations</v>
          </cell>
        </row>
        <row r="354">
          <cell r="A354" t="str">
            <v>Bulk Mining Explosives</v>
          </cell>
        </row>
        <row r="355">
          <cell r="A355" t="str">
            <v>West African Chemicals</v>
          </cell>
        </row>
        <row r="356">
          <cell r="A356" t="str">
            <v>BME Tanzania</v>
          </cell>
        </row>
        <row r="357">
          <cell r="A357" t="str">
            <v>BME Zambia</v>
          </cell>
        </row>
        <row r="358">
          <cell r="A358" t="str">
            <v>BME Zimbabwe</v>
          </cell>
        </row>
        <row r="359">
          <cell r="A359" t="str">
            <v>BME Mali</v>
          </cell>
        </row>
        <row r="360">
          <cell r="A360" t="str">
            <v>BME Malawi</v>
          </cell>
        </row>
        <row r="361">
          <cell r="A361" t="str">
            <v>BME Botswana</v>
          </cell>
        </row>
        <row r="362">
          <cell r="A362" t="str">
            <v>BME Namibia</v>
          </cell>
        </row>
        <row r="363">
          <cell r="A363" t="str">
            <v>BME Zambia</v>
          </cell>
        </row>
        <row r="364">
          <cell r="A364" t="str">
            <v>BME DCI Africa</v>
          </cell>
        </row>
        <row r="365">
          <cell r="A365" t="str">
            <v>BME DCI International</v>
          </cell>
        </row>
        <row r="366">
          <cell r="A366" t="str">
            <v>Chemical Holdings Ltd (Bermuda)</v>
          </cell>
        </row>
        <row r="367">
          <cell r="A367" t="str">
            <v>Chemical Holdings International (Mauritius)</v>
          </cell>
        </row>
        <row r="368">
          <cell r="A368" t="str">
            <v>Omnia Zimbabwe</v>
          </cell>
        </row>
        <row r="369">
          <cell r="A369" t="str">
            <v>Omnia Zambia</v>
          </cell>
        </row>
        <row r="370">
          <cell r="A370" t="str">
            <v>Omnia Kenya</v>
          </cell>
        </row>
        <row r="371">
          <cell r="A371" t="str">
            <v>Omnia Fertilizer</v>
          </cell>
        </row>
        <row r="372">
          <cell r="A372" t="str">
            <v>Specialities</v>
          </cell>
        </row>
        <row r="373">
          <cell r="A373" t="str">
            <v>Specialities Australia</v>
          </cell>
        </row>
        <row r="374">
          <cell r="A374" t="str">
            <v>CHI Australasia</v>
          </cell>
        </row>
        <row r="375">
          <cell r="A375" t="str">
            <v>CHI Mozambique</v>
          </cell>
        </row>
        <row r="376">
          <cell r="A376" t="str">
            <v>CHI Malawi</v>
          </cell>
        </row>
        <row r="377">
          <cell r="A377" t="str">
            <v>Intaba Chemicals</v>
          </cell>
        </row>
        <row r="378">
          <cell r="A378" t="str">
            <v>Other 1</v>
          </cell>
        </row>
        <row r="379">
          <cell r="A379" t="str">
            <v>Other 2</v>
          </cell>
        </row>
        <row r="380">
          <cell r="A380" t="str">
            <v>Other 3</v>
          </cell>
        </row>
        <row r="381">
          <cell r="A381" t="str">
            <v>TOTAL</v>
          </cell>
        </row>
        <row r="383">
          <cell r="A383" t="str">
            <v>INTERCOMPANY SALES</v>
          </cell>
        </row>
        <row r="384">
          <cell r="A384" t="str">
            <v>PER PRODUCT IN ZAR'000</v>
          </cell>
        </row>
        <row r="385">
          <cell r="A385" t="str">
            <v>Fertilizer - Direct dry products</v>
          </cell>
        </row>
        <row r="386">
          <cell r="A386" t="str">
            <v>Fertilizer - Direct liquids</v>
          </cell>
        </row>
        <row r="387">
          <cell r="A387" t="str">
            <v>Fertilizer - Wholesales</v>
          </cell>
        </row>
        <row r="388">
          <cell r="A388" t="str">
            <v>Fertilizer - Nitrochem direct</v>
          </cell>
        </row>
        <row r="389">
          <cell r="A389" t="str">
            <v>Fertilizer - Export</v>
          </cell>
        </row>
        <row r="390">
          <cell r="A390" t="str">
            <v>Fertilizer - Zambia</v>
          </cell>
        </row>
        <row r="391">
          <cell r="A391" t="str">
            <v>Fertilizer - Zimbabwe</v>
          </cell>
        </row>
        <row r="392">
          <cell r="A392" t="str">
            <v>Fertilizer - Trade sales</v>
          </cell>
        </row>
        <row r="393">
          <cell r="A393" t="str">
            <v>Fertilizer - Explosive raw material</v>
          </cell>
        </row>
        <row r="394">
          <cell r="A394" t="str">
            <v>Fertilizer - Industrial chemicals</v>
          </cell>
        </row>
        <row r="395">
          <cell r="A395" t="str">
            <v>Specialities</v>
          </cell>
        </row>
        <row r="396">
          <cell r="A396" t="str">
            <v>Industrial chemicals</v>
          </cell>
        </row>
        <row r="397">
          <cell r="A397" t="str">
            <v>Explosives - Bulk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Cashflow workings"/>
      <sheetName val="FIXED ASSETS"/>
      <sheetName val="Debtors and creditors"/>
      <sheetName val="Goodwill"/>
      <sheetName val="Minority interest"/>
      <sheetName val="Journals"/>
      <sheetName val="Other schedul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Movement Sched"/>
      <sheetName val="NBV Proof"/>
      <sheetName val="IFRS adjustments"/>
      <sheetName val="Asset Verification"/>
      <sheetName val="Disposals"/>
      <sheetName val="FAR - client prepared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vement Schedule"/>
      <sheetName val="Sample on Opening Balance"/>
      <sheetName val="Sample on Additions"/>
      <sheetName val="Disposals"/>
      <sheetName val="Depreciation Reasonability"/>
      <sheetName val="XREF"/>
      <sheetName val="Tickmarks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Settings"/>
      <sheetName val="SectList"/>
      <sheetName val="AcList"/>
      <sheetName val="DepList"/>
      <sheetName val="CurList"/>
      <sheetName val="SectTB"/>
      <sheetName val="SectCDTB"/>
      <sheetName val="AcTB"/>
      <sheetName val="AcCDTB"/>
      <sheetName val="Settings"/>
      <sheetName val="TB Scheme A"/>
      <sheetName val="TB Scheme B"/>
      <sheetName val="TB Scheme C"/>
      <sheetName val="TB Scheme D"/>
      <sheetName val="2A(13)"/>
      <sheetName val="2A(14)"/>
      <sheetName val="2A(15)"/>
      <sheetName val="2A(22)"/>
      <sheetName val="2A(23)"/>
      <sheetName val="2A(24)"/>
      <sheetName val="Check List"/>
      <sheetName val="Leadsch - K1"/>
      <sheetName val="Leadshedule - K"/>
      <sheetName val="Leadsch - U2"/>
      <sheetName val="Leadsch - U1"/>
      <sheetName val="Leadsch - T"/>
      <sheetName val="Leadsch - P2"/>
      <sheetName val="Leadsch - P1"/>
      <sheetName val="Leadsch - P"/>
      <sheetName val="Leadsch - O"/>
      <sheetName val="Leadsch - N"/>
      <sheetName val="Leadsch - B"/>
      <sheetName val="leadshedule - I"/>
      <sheetName val="I - 1"/>
      <sheetName val="History"/>
      <sheetName val="JM - Final TB"/>
      <sheetName val="TB"/>
      <sheetName val="Data"/>
      <sheetName val="CFWorkings"/>
      <sheetName val="Cover"/>
      <sheetName val="Contents"/>
      <sheetName val="Information"/>
      <sheetName val="Director"/>
      <sheetName val="Responsibility"/>
      <sheetName val="Audit"/>
      <sheetName val="Accountant Final"/>
      <sheetName val="CAStatement"/>
      <sheetName val="CAAssurance"/>
      <sheetName val="ACCAReportLong"/>
      <sheetName val="ACCAReportShort"/>
      <sheetName val="CAReport"/>
      <sheetName val="CAReportLong"/>
      <sheetName val="PL"/>
      <sheetName val="SOCE"/>
      <sheetName val="BS"/>
      <sheetName val="CF"/>
      <sheetName val="Accounting policies"/>
      <sheetName val="Notes"/>
      <sheetName val="Schedule 1"/>
      <sheetName val="Tax cover"/>
      <sheetName val="Tax content"/>
      <sheetName val="Tax comp"/>
      <sheetName val="Deferred tax proof"/>
      <sheetName val="Tax recon"/>
      <sheetName val="DetailPL1"/>
      <sheetName val="AbbCover"/>
      <sheetName val="AbbAudit"/>
      <sheetName val="AbbCAReport"/>
      <sheetName val="AbbACCAReportLong"/>
      <sheetName val="AbbACCAReportShort"/>
      <sheetName val="AbbCAReportLong"/>
      <sheetName val="AbbBS"/>
      <sheetName val="AbbNotes"/>
      <sheetName val="TaxCompData"/>
      <sheetName val="TaxComp"/>
      <sheetName val="CapAllow"/>
      <sheetName val="ChargeableGains"/>
      <sheetName val="Library"/>
      <sheetName val="Workings"/>
      <sheetName val="RGL"/>
      <sheetName val="Responsibilities SS"/>
      <sheetName val="Accountant SS"/>
      <sheetName val="VT_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7">
          <cell r="A7" t="str">
            <v>Charles Akashambatwa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1049-EDBA-4E15-9875-C63AAD8D03AE}">
  <dimension ref="B1:F226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7" sqref="D17"/>
    </sheetView>
  </sheetViews>
  <sheetFormatPr defaultRowHeight="14.5"/>
  <cols>
    <col min="1" max="1" width="0.90625" customWidth="1"/>
    <col min="2" max="2" width="33.81640625" style="1" customWidth="1"/>
    <col min="3" max="3" width="24.36328125" style="55" bestFit="1" customWidth="1"/>
    <col min="4" max="4" width="17.6328125" style="55" customWidth="1"/>
    <col min="5" max="5" width="16.81640625" style="55" customWidth="1"/>
  </cols>
  <sheetData>
    <row r="1" spans="2:5" s="60" customFormat="1">
      <c r="B1" s="58"/>
      <c r="C1" s="59" t="s">
        <v>431</v>
      </c>
      <c r="D1" s="59" t="s">
        <v>432</v>
      </c>
      <c r="E1" s="59" t="s">
        <v>433</v>
      </c>
    </row>
    <row r="2" spans="2:5" s="60" customFormat="1">
      <c r="B2" s="58"/>
      <c r="C2" s="61">
        <v>45992</v>
      </c>
      <c r="D2" s="61">
        <v>45992</v>
      </c>
      <c r="E2" s="61">
        <v>45992</v>
      </c>
    </row>
    <row r="3" spans="2:5">
      <c r="B3" s="3" t="str">
        <f>'TB December 2025   '!V3</f>
        <v>1001 · CDH Inv Bank 0050401042201</v>
      </c>
      <c r="C3" s="56">
        <f>'Initial TB Submitted to Auditor'!C3</f>
        <v>68950245.909999996</v>
      </c>
      <c r="D3" s="56">
        <v>68950245.909999996</v>
      </c>
      <c r="E3" s="57">
        <f>D3-C3</f>
        <v>0</v>
      </c>
    </row>
    <row r="4" spans="2:5">
      <c r="B4" s="3" t="str">
        <f>'TB December 2025   '!V4</f>
        <v>1002 · CDH Inv Bank PIA 0050401044100</v>
      </c>
      <c r="C4" s="56">
        <f>'Initial TB Submitted to Auditor'!C4</f>
        <v>-3276701.73</v>
      </c>
      <c r="D4" s="56">
        <v>-3276701.73</v>
      </c>
      <c r="E4" s="57">
        <f t="shared" ref="E4:E67" si="0">D4-C4</f>
        <v>0</v>
      </c>
    </row>
    <row r="5" spans="2:5">
      <c r="B5" s="3" t="str">
        <f>'TB December 2025   '!V5</f>
        <v>1003 · FDI Project-Payments</v>
      </c>
      <c r="C5" s="56">
        <f>'Initial TB Submitted to Auditor'!C5</f>
        <v>0</v>
      </c>
      <c r="D5" s="56">
        <v>0</v>
      </c>
      <c r="E5" s="57">
        <f t="shared" si="0"/>
        <v>0</v>
      </c>
    </row>
    <row r="6" spans="2:5">
      <c r="B6" s="3" t="str">
        <f>'TB December 2025   '!V6</f>
        <v>1005 · FDI Project payment-USD</v>
      </c>
      <c r="C6" s="56">
        <f>'Initial TB Submitted to Auditor'!C6</f>
        <v>-4.67</v>
      </c>
      <c r="D6" s="56">
        <v>-4.67</v>
      </c>
      <c r="E6" s="57">
        <f t="shared" si="0"/>
        <v>0</v>
      </c>
    </row>
    <row r="7" spans="2:5">
      <c r="B7" s="3" t="str">
        <f>'TB December 2025   '!V7</f>
        <v>1006 · Petty cash</v>
      </c>
      <c r="C7" s="56">
        <f>'Initial TB Submitted to Auditor'!C7</f>
        <v>-71515.78</v>
      </c>
      <c r="D7" s="56">
        <v>-71515.78</v>
      </c>
      <c r="E7" s="57">
        <f t="shared" si="0"/>
        <v>0</v>
      </c>
    </row>
    <row r="8" spans="2:5">
      <c r="B8" s="3" t="str">
        <f>'TB December 2025   '!V8</f>
        <v>1012 · Money Market:1008 · Alliance Capital</v>
      </c>
      <c r="C8" s="56">
        <f>'Initial TB Submitted to Auditor'!C8</f>
        <v>0</v>
      </c>
      <c r="D8" s="56">
        <v>0</v>
      </c>
      <c r="E8" s="57">
        <f t="shared" si="0"/>
        <v>0</v>
      </c>
    </row>
    <row r="9" spans="2:5">
      <c r="B9" s="3" t="str">
        <f>'TB December 2025   '!V9</f>
        <v>1012 · Money Market:1009 · CDHIB Fixed Deposit</v>
      </c>
      <c r="C9" s="56">
        <f>'Initial TB Submitted to Auditor'!C9</f>
        <v>-1877771252.6800001</v>
      </c>
      <c r="D9" s="56">
        <v>-1877771252.6800001</v>
      </c>
      <c r="E9" s="57">
        <f t="shared" si="0"/>
        <v>0</v>
      </c>
    </row>
    <row r="10" spans="2:5">
      <c r="B10" s="3" t="str">
        <f>'TB December 2025   '!V10</f>
        <v>1012 · Money Market:1010 · CDHIB Call Account</v>
      </c>
      <c r="C10" s="56">
        <f>'Initial TB Submitted to Auditor'!C10</f>
        <v>-33611610.890000001</v>
      </c>
      <c r="D10" s="56">
        <v>-33611610.890000001</v>
      </c>
      <c r="E10" s="57">
        <f t="shared" si="0"/>
        <v>0</v>
      </c>
    </row>
    <row r="11" spans="2:5">
      <c r="B11" s="3" t="str">
        <f>'TB December 2025   '!V11</f>
        <v>1012 · Money Market:1011 · FDH Discount House</v>
      </c>
      <c r="C11" s="56">
        <f>'Initial TB Submitted to Auditor'!C11</f>
        <v>-2697017766.1799998</v>
      </c>
      <c r="D11" s="56">
        <v>-2697017766.1799998</v>
      </c>
      <c r="E11" s="57">
        <f t="shared" si="0"/>
        <v>0</v>
      </c>
    </row>
    <row r="12" spans="2:5">
      <c r="B12" s="3" t="str">
        <f>'TB December 2025   '!V12</f>
        <v>1012 · Money Market:1013 · MyBucks</v>
      </c>
      <c r="C12" s="56">
        <f>'Initial TB Submitted to Auditor'!C12</f>
        <v>0</v>
      </c>
      <c r="D12" s="56">
        <v>0</v>
      </c>
      <c r="E12" s="57">
        <f t="shared" si="0"/>
        <v>0</v>
      </c>
    </row>
    <row r="13" spans="2:5">
      <c r="B13" s="3" t="str">
        <f>'TB December 2025   '!V13</f>
        <v>1012 · Money Market:1014 · Continental Asset Management</v>
      </c>
      <c r="C13" s="56">
        <f>'Initial TB Submitted to Auditor'!C13</f>
        <v>-1599257969.6700001</v>
      </c>
      <c r="D13" s="56">
        <v>-1599257969.6700001</v>
      </c>
      <c r="E13" s="57">
        <f t="shared" si="0"/>
        <v>0</v>
      </c>
    </row>
    <row r="14" spans="2:5">
      <c r="B14" s="3" t="str">
        <f>'TB December 2025   '!V14</f>
        <v>1012 · Money Market:1015 · NICO-INV1</v>
      </c>
      <c r="C14" s="56">
        <f>'Initial TB Submitted to Auditor'!C14</f>
        <v>0</v>
      </c>
      <c r="D14" s="56">
        <v>0</v>
      </c>
      <c r="E14" s="57">
        <f t="shared" si="0"/>
        <v>0</v>
      </c>
    </row>
    <row r="15" spans="2:5">
      <c r="B15" s="3" t="str">
        <f>'TB December 2025   '!V15</f>
        <v>1012 · Money Market:1016 · Treasury Note</v>
      </c>
      <c r="C15" s="56">
        <f>'Initial TB Submitted to Auditor'!C15</f>
        <v>0</v>
      </c>
      <c r="D15" s="56">
        <v>0</v>
      </c>
      <c r="E15" s="57">
        <f t="shared" si="0"/>
        <v>0</v>
      </c>
    </row>
    <row r="16" spans="2:5">
      <c r="B16" s="3" t="str">
        <f>'TB December 2025   '!V16</f>
        <v>1012 · Money Market:1020 · FINCA</v>
      </c>
      <c r="C16" s="56">
        <f>'Initial TB Submitted to Auditor'!C16</f>
        <v>0</v>
      </c>
      <c r="D16" s="56">
        <v>0</v>
      </c>
      <c r="E16" s="57">
        <f t="shared" si="0"/>
        <v>0</v>
      </c>
    </row>
    <row r="17" spans="2:5">
      <c r="B17" s="3" t="str">
        <f>'TB December 2025   '!V17</f>
        <v>1012 · Money Market:1025 · CDHIB Fixed Deposit (USD)</v>
      </c>
      <c r="C17" s="56">
        <f>'Initial TB Submitted to Auditor'!C17</f>
        <v>-293583637.85000002</v>
      </c>
      <c r="D17" s="56">
        <v>-293583637.85000002</v>
      </c>
      <c r="E17" s="57">
        <f t="shared" si="0"/>
        <v>0</v>
      </c>
    </row>
    <row r="18" spans="2:5">
      <c r="B18" s="3" t="str">
        <f>'TB December 2025   '!V18</f>
        <v>1012 · Money Market:1026 · NICO-INV 2</v>
      </c>
      <c r="C18" s="56">
        <f>'Initial TB Submitted to Auditor'!C18</f>
        <v>0</v>
      </c>
      <c r="D18" s="56">
        <v>0</v>
      </c>
      <c r="E18" s="57">
        <f t="shared" si="0"/>
        <v>0</v>
      </c>
    </row>
    <row r="19" spans="2:5">
      <c r="B19" s="3" t="str">
        <f>'TB December 2025   '!V19</f>
        <v>1012 · Money Market:1027 · CDHIB Call Account FInES</v>
      </c>
      <c r="C19" s="56">
        <f>'Initial TB Submitted to Auditor'!C19</f>
        <v>-36229353.009999998</v>
      </c>
      <c r="D19" s="56">
        <v>-36229353.009999998</v>
      </c>
      <c r="E19" s="57">
        <f t="shared" si="0"/>
        <v>0</v>
      </c>
    </row>
    <row r="20" spans="2:5">
      <c r="B20" s="3" t="str">
        <f>'TB December 2025   '!V20</f>
        <v>1012 · Money Market:1028 · Old Mutual Investment Group Ltd</v>
      </c>
      <c r="C20" s="56">
        <f>'Initial TB Submitted to Auditor'!C20</f>
        <v>-0.18</v>
      </c>
      <c r="D20" s="56">
        <v>-0.18</v>
      </c>
      <c r="E20" s="57">
        <f t="shared" si="0"/>
        <v>0</v>
      </c>
    </row>
    <row r="21" spans="2:5">
      <c r="B21" s="3" t="str">
        <f>'TB December 2025   '!V21</f>
        <v>1012 · Money Market:1031 · CDHIB Fixed Deposit (USD) 2</v>
      </c>
      <c r="C21" s="56">
        <f>'Initial TB Submitted to Auditor'!C21</f>
        <v>-361232814.87</v>
      </c>
      <c r="D21" s="56">
        <v>-361232814.87</v>
      </c>
      <c r="E21" s="57">
        <f t="shared" si="0"/>
        <v>0</v>
      </c>
    </row>
    <row r="22" spans="2:5">
      <c r="B22" s="3" t="str">
        <f>'TB December 2025   '!V22</f>
        <v>1012 · Money Market:1032 · CDHIB Fixed Deposit (USD) 3</v>
      </c>
      <c r="C22" s="56">
        <f>'Initial TB Submitted to Auditor'!C22</f>
        <v>-44302226.009999998</v>
      </c>
      <c r="D22" s="56">
        <v>-44302226.009999998</v>
      </c>
      <c r="E22" s="57">
        <f t="shared" si="0"/>
        <v>0</v>
      </c>
    </row>
    <row r="23" spans="2:5">
      <c r="B23" s="3" t="str">
        <f>'TB December 2025   '!V23</f>
        <v>1012 · Money Market:1033 · NBS Bank- Mega Farms 1</v>
      </c>
      <c r="C23" s="56">
        <f>'Initial TB Submitted to Auditor'!C23</f>
        <v>0</v>
      </c>
      <c r="D23" s="56">
        <v>0</v>
      </c>
      <c r="E23" s="57">
        <f t="shared" si="0"/>
        <v>0</v>
      </c>
    </row>
    <row r="24" spans="2:5">
      <c r="B24" s="3" t="str">
        <f>'TB December 2025   '!V24</f>
        <v>1012 · Money Market:1034 · NBS Bank Mega Farms 2</v>
      </c>
      <c r="C24" s="56">
        <f>'Initial TB Submitted to Auditor'!C24</f>
        <v>0</v>
      </c>
      <c r="D24" s="56">
        <v>0</v>
      </c>
      <c r="E24" s="57">
        <f t="shared" si="0"/>
        <v>0</v>
      </c>
    </row>
    <row r="25" spans="2:5">
      <c r="B25" s="3" t="str">
        <f>'TB December 2025   '!V25</f>
        <v>1012 · Money Market:1035 · Continental Asset Management 2</v>
      </c>
      <c r="C25" s="56">
        <f>'Initial TB Submitted to Auditor'!C25</f>
        <v>-6454577079.2600002</v>
      </c>
      <c r="D25" s="56">
        <v>-6454577079.2600002</v>
      </c>
      <c r="E25" s="57">
        <f t="shared" si="0"/>
        <v>0</v>
      </c>
    </row>
    <row r="26" spans="2:5">
      <c r="B26" s="3" t="str">
        <f>'TB December 2025   '!V26</f>
        <v>1012 · Money Market:1037 · CDHIB Call Account AGCOM</v>
      </c>
      <c r="C26" s="56">
        <f>'Initial TB Submitted to Auditor'!C26</f>
        <v>-29851626.039999999</v>
      </c>
      <c r="D26" s="56">
        <v>-29851626.039999999</v>
      </c>
      <c r="E26" s="57">
        <f t="shared" si="0"/>
        <v>0</v>
      </c>
    </row>
    <row r="27" spans="2:5">
      <c r="B27" s="3" t="str">
        <f>'TB December 2025   '!V27</f>
        <v>1012 · Money Market:1038 · CDHIB Fixed Deposit AGCOM</v>
      </c>
      <c r="C27" s="56">
        <f>'Initial TB Submitted to Auditor'!C27</f>
        <v>-1808285074</v>
      </c>
      <c r="D27" s="56">
        <v>-1808285074</v>
      </c>
      <c r="E27" s="57">
        <f t="shared" si="0"/>
        <v>0</v>
      </c>
    </row>
    <row r="28" spans="2:5">
      <c r="B28" s="3" t="str">
        <f>'TB December 2025   '!V28</f>
        <v>1012 · Money Market:1043 · NBS Money Market</v>
      </c>
      <c r="C28" s="56">
        <f>'Initial TB Submitted to Auditor'!C28</f>
        <v>0</v>
      </c>
      <c r="D28" s="56">
        <v>0</v>
      </c>
      <c r="E28" s="57">
        <f t="shared" si="0"/>
        <v>0</v>
      </c>
    </row>
    <row r="29" spans="2:5">
      <c r="B29" s="3" t="str">
        <f>'TB December 2025   '!V29</f>
        <v>1012 · Money Market:1044 · FDH Discount House 2</v>
      </c>
      <c r="C29" s="56">
        <f>'Initial TB Submitted to Auditor'!C29</f>
        <v>-2016985716.8800001</v>
      </c>
      <c r="D29" s="56">
        <v>-2016985716.8800001</v>
      </c>
      <c r="E29" s="57">
        <f t="shared" si="0"/>
        <v>0</v>
      </c>
    </row>
    <row r="30" spans="2:5">
      <c r="B30" s="3" t="str">
        <f>'TB December 2025   '!V30</f>
        <v>1012 · Money Market:1045 · FDH Discount House 3</v>
      </c>
      <c r="C30" s="56">
        <f>'Initial TB Submitted to Auditor'!C30</f>
        <v>0</v>
      </c>
      <c r="D30" s="56">
        <v>0</v>
      </c>
      <c r="E30" s="57">
        <f t="shared" si="0"/>
        <v>0</v>
      </c>
    </row>
    <row r="31" spans="2:5">
      <c r="B31" s="3" t="str">
        <f>'TB December 2025   '!V31</f>
        <v>1012 · Money Market:1047 · NICO Asset Managers</v>
      </c>
      <c r="C31" s="56">
        <f>'Initial TB Submitted to Auditor'!C31</f>
        <v>-3822360587.3499999</v>
      </c>
      <c r="D31" s="56">
        <v>-3822360587.3499999</v>
      </c>
      <c r="E31" s="57">
        <f t="shared" si="0"/>
        <v>0</v>
      </c>
    </row>
    <row r="32" spans="2:5">
      <c r="B32" s="3" t="str">
        <f>'TB December 2025   '!V32</f>
        <v>1017 · NBS Cash collection</v>
      </c>
      <c r="C32" s="56">
        <f>'Initial TB Submitted to Auditor'!C32</f>
        <v>-339514040.31999999</v>
      </c>
      <c r="D32" s="56">
        <v>-339514040.31999999</v>
      </c>
      <c r="E32" s="57">
        <f t="shared" si="0"/>
        <v>0</v>
      </c>
    </row>
    <row r="33" spans="2:6">
      <c r="B33" s="3" t="str">
        <f>'TB December 2025   '!V33</f>
        <v>1018 · NBS Current A/C 21011223</v>
      </c>
      <c r="C33" s="56">
        <f>'Initial TB Submitted to Auditor'!C33</f>
        <v>-193081999.19999999</v>
      </c>
      <c r="D33" s="56">
        <v>-193081999.19999999</v>
      </c>
      <c r="E33" s="57">
        <f t="shared" si="0"/>
        <v>0</v>
      </c>
    </row>
    <row r="34" spans="2:6">
      <c r="B34" s="3" t="str">
        <f>'TB December 2025   '!V34</f>
        <v>1019 · NBS USD A/C 21011436</v>
      </c>
      <c r="C34" s="56">
        <f>'Initial TB Submitted to Auditor'!C34</f>
        <v>-1846377.7</v>
      </c>
      <c r="D34" s="56">
        <v>-1846377.7</v>
      </c>
      <c r="E34" s="57">
        <f t="shared" si="0"/>
        <v>0</v>
      </c>
    </row>
    <row r="35" spans="2:6">
      <c r="B35" s="3" t="str">
        <f>'TB December 2025   '!V35</f>
        <v>1021 · NBS Money Market</v>
      </c>
      <c r="C35" s="56">
        <f>'Initial TB Submitted to Auditor'!C35</f>
        <v>-1515277059.54</v>
      </c>
      <c r="D35" s="56">
        <v>-1515277059.54</v>
      </c>
      <c r="E35" s="57">
        <f t="shared" si="0"/>
        <v>0</v>
      </c>
    </row>
    <row r="36" spans="2:6">
      <c r="B36" s="3" t="str">
        <f>'TB December 2025   '!V36</f>
        <v>1022 · AGRA- FCDA</v>
      </c>
      <c r="C36" s="56">
        <f>'Initial TB Submitted to Auditor'!C36</f>
        <v>-278748466.37</v>
      </c>
      <c r="D36" s="56">
        <v>-278748466.37</v>
      </c>
      <c r="E36" s="57">
        <f t="shared" si="0"/>
        <v>0</v>
      </c>
    </row>
    <row r="37" spans="2:6">
      <c r="B37" s="3" t="str">
        <f>'TB December 2025   '!V37</f>
        <v>1023 · MICF- Mbora FCDA</v>
      </c>
      <c r="C37" s="56">
        <f>'Initial TB Submitted to Auditor'!C37</f>
        <v>-5.46</v>
      </c>
      <c r="D37" s="56">
        <v>-5.46</v>
      </c>
      <c r="E37" s="57">
        <f t="shared" si="0"/>
        <v>0</v>
      </c>
    </row>
    <row r="38" spans="2:6">
      <c r="B38" s="3" t="str">
        <f>'TB December 2025   '!V38</f>
        <v>1024 · RBM - Treasury Bills</v>
      </c>
      <c r="C38" s="56">
        <f>'Initial TB Submitted to Auditor'!C38</f>
        <v>0</v>
      </c>
      <c r="D38" s="56">
        <v>0</v>
      </c>
      <c r="E38" s="57">
        <f t="shared" si="0"/>
        <v>0</v>
      </c>
    </row>
    <row r="39" spans="2:6">
      <c r="B39" s="3" t="str">
        <f>'TB December 2025   '!V39</f>
        <v>1029 · NBS Money Market Acc 2</v>
      </c>
      <c r="C39" s="56">
        <f>'Initial TB Submitted to Auditor'!C39</f>
        <v>-808861779.25999999</v>
      </c>
      <c r="D39" s="56">
        <v>-808861779.25999999</v>
      </c>
      <c r="E39" s="57">
        <f t="shared" si="0"/>
        <v>0</v>
      </c>
    </row>
    <row r="40" spans="2:6">
      <c r="B40" s="3" t="str">
        <f>'TB December 2025   '!V40</f>
        <v>1036 · NBS Bank Mega Farms</v>
      </c>
      <c r="C40" s="56">
        <f>'Initial TB Submitted to Auditor'!C40</f>
        <v>0</v>
      </c>
      <c r="D40" s="56">
        <v>0</v>
      </c>
      <c r="E40" s="57">
        <f t="shared" si="0"/>
        <v>0</v>
      </c>
    </row>
    <row r="41" spans="2:6">
      <c r="B41" s="3" t="str">
        <f>'TB December 2025   '!V41</f>
        <v>1046 · First Capital Bank</v>
      </c>
      <c r="C41" s="56">
        <f>'Initial TB Submitted to Auditor'!C41</f>
        <v>-28486995.050000001</v>
      </c>
      <c r="D41" s="56">
        <v>-28486995.050000001</v>
      </c>
      <c r="E41" s="57">
        <f t="shared" si="0"/>
        <v>0</v>
      </c>
    </row>
    <row r="42" spans="2:6">
      <c r="B42" s="3" t="str">
        <f>'TB December 2025   '!V42</f>
        <v>1048 · CDHIB MAIIC AGRA (MK)</v>
      </c>
      <c r="C42" s="56">
        <f>'Initial TB Submitted to Auditor'!C42</f>
        <v>-36188936.079999998</v>
      </c>
      <c r="D42" s="56">
        <v>-36188936.079999998</v>
      </c>
      <c r="E42" s="57">
        <f t="shared" si="0"/>
        <v>0</v>
      </c>
    </row>
    <row r="43" spans="2:6">
      <c r="B43" s="3" t="str">
        <f>'TB December 2025   '!V43</f>
        <v>1030 · Partial Credit Guarantee Fund</v>
      </c>
      <c r="C43" s="56">
        <f>'Initial TB Submitted to Auditor'!C43</f>
        <v>-71808009.090000004</v>
      </c>
      <c r="D43" s="56">
        <v>0</v>
      </c>
      <c r="E43" s="57">
        <f t="shared" si="0"/>
        <v>71808009.090000004</v>
      </c>
      <c r="F43" t="s">
        <v>449</v>
      </c>
    </row>
    <row r="44" spans="2:6">
      <c r="B44" s="3" t="str">
        <f>'TB December 2025   '!V44</f>
        <v>1039 · Accrued Coupon Settlements</v>
      </c>
      <c r="C44" s="56">
        <f>'Initial TB Submitted to Auditor'!C44</f>
        <v>-538202990.38999999</v>
      </c>
      <c r="D44" s="56">
        <v>-538202990.38999999</v>
      </c>
      <c r="E44" s="57">
        <f t="shared" si="0"/>
        <v>0</v>
      </c>
    </row>
    <row r="45" spans="2:6">
      <c r="B45" s="3" t="str">
        <f>'TB December 2025   '!V45</f>
        <v>1040 · Accrued Interest Income- MM</v>
      </c>
      <c r="C45" s="56">
        <f>'Initial TB Submitted to Auditor'!C45</f>
        <v>-623536778.73000002</v>
      </c>
      <c r="D45" s="56">
        <v>-638507004.08000004</v>
      </c>
      <c r="E45" s="57">
        <f t="shared" si="0"/>
        <v>-14970225.350000024</v>
      </c>
      <c r="F45" t="s">
        <v>450</v>
      </c>
    </row>
    <row r="46" spans="2:6">
      <c r="B46" s="3" t="str">
        <f>'TB December 2025   '!V46</f>
        <v>1041 · Accrued Interest income- TNote</v>
      </c>
      <c r="C46" s="56">
        <f>'Initial TB Submitted to Auditor'!C46</f>
        <v>0</v>
      </c>
      <c r="D46" s="56">
        <v>0</v>
      </c>
      <c r="E46" s="57">
        <f t="shared" si="0"/>
        <v>0</v>
      </c>
    </row>
    <row r="47" spans="2:6">
      <c r="B47" s="3" t="str">
        <f>'TB December 2025   '!V47</f>
        <v>1042 · Accrued Interest Income- T/Bill</v>
      </c>
      <c r="C47" s="56">
        <f>'Initial TB Submitted to Auditor'!C47</f>
        <v>0</v>
      </c>
      <c r="D47" s="56">
        <v>0</v>
      </c>
      <c r="E47" s="57">
        <f t="shared" si="0"/>
        <v>0</v>
      </c>
    </row>
    <row r="48" spans="2:6">
      <c r="B48" s="3" t="str">
        <f>'TB December 2025   '!V48</f>
        <v>1049 · Term Loan - USD</v>
      </c>
      <c r="C48" s="56">
        <f>'Initial TB Submitted to Auditor'!C48</f>
        <v>0</v>
      </c>
      <c r="D48" s="56">
        <v>0</v>
      </c>
      <c r="E48" s="57">
        <f t="shared" si="0"/>
        <v>0</v>
      </c>
    </row>
    <row r="49" spans="2:6">
      <c r="B49" s="3" t="str">
        <f>'TB December 2025   '!V49</f>
        <v>1050 · Term Loans</v>
      </c>
      <c r="C49" s="56">
        <f>'Initial TB Submitted to Auditor'!C49</f>
        <v>-14702425065.24</v>
      </c>
      <c r="D49" s="56">
        <v>-14702425065.24</v>
      </c>
      <c r="E49" s="57">
        <f t="shared" si="0"/>
        <v>0</v>
      </c>
    </row>
    <row r="50" spans="2:6">
      <c r="B50" s="3" t="str">
        <f>'TB December 2025   '!V50</f>
        <v>1053 · Accounts Receivables</v>
      </c>
      <c r="C50" s="56">
        <f>'Initial TB Submitted to Auditor'!C50</f>
        <v>-266387978.31</v>
      </c>
      <c r="D50" s="56">
        <v>-948941875.34000015</v>
      </c>
      <c r="E50" s="57">
        <f t="shared" si="0"/>
        <v>-682553897.03000021</v>
      </c>
      <c r="F50" t="s">
        <v>448</v>
      </c>
    </row>
    <row r="51" spans="2:6">
      <c r="B51" s="3" t="str">
        <f>'TB December 2025   '!V51</f>
        <v>1054 · Mega Farms-Fertilizers-Loan</v>
      </c>
      <c r="C51" s="56">
        <f>'Initial TB Submitted to Auditor'!C51</f>
        <v>-33189976388.439999</v>
      </c>
      <c r="D51" s="56">
        <v>-33189976388.439999</v>
      </c>
      <c r="E51" s="57">
        <f t="shared" si="0"/>
        <v>0</v>
      </c>
    </row>
    <row r="52" spans="2:6">
      <c r="B52" s="3" t="str">
        <f>'TB December 2025   '!V52</f>
        <v>1055 · Mega Farms-Seed Loans</v>
      </c>
      <c r="C52" s="56">
        <f>'Initial TB Submitted to Auditor'!C52</f>
        <v>-7594166930.3299999</v>
      </c>
      <c r="D52" s="56">
        <v>-7594166930.3299999</v>
      </c>
      <c r="E52" s="57">
        <f t="shared" si="0"/>
        <v>0</v>
      </c>
    </row>
    <row r="53" spans="2:6">
      <c r="B53" s="3" t="str">
        <f>'TB December 2025   '!V53</f>
        <v>1056 · Mega Farms-Working Capital Loan</v>
      </c>
      <c r="C53" s="56">
        <f>'Initial TB Submitted to Auditor'!C53</f>
        <v>-666232281.67999995</v>
      </c>
      <c r="D53" s="56">
        <v>-666232281.67999995</v>
      </c>
      <c r="E53" s="57">
        <f t="shared" si="0"/>
        <v>0</v>
      </c>
    </row>
    <row r="54" spans="2:6">
      <c r="B54" s="3" t="str">
        <f>'TB December 2025   '!V54</f>
        <v>1057 · Mega Farms-Equipment Loan</v>
      </c>
      <c r="C54" s="56">
        <f>'Initial TB Submitted to Auditor'!C54</f>
        <v>-1803483008.9400001</v>
      </c>
      <c r="D54" s="56">
        <v>-1803483008.9400001</v>
      </c>
      <c r="E54" s="57">
        <f t="shared" si="0"/>
        <v>0</v>
      </c>
    </row>
    <row r="55" spans="2:6">
      <c r="B55" s="3" t="str">
        <f>'TB December 2025   '!V55</f>
        <v>1058 · Mega Farms-Irrigation Loan</v>
      </c>
      <c r="C55" s="56">
        <f>'Initial TB Submitted to Auditor'!C55</f>
        <v>-1975867573.0599999</v>
      </c>
      <c r="D55" s="56">
        <v>-1975867573.0599999</v>
      </c>
      <c r="E55" s="57">
        <f t="shared" si="0"/>
        <v>0</v>
      </c>
    </row>
    <row r="56" spans="2:6">
      <c r="B56" s="3" t="str">
        <f>'TB December 2025   '!V56</f>
        <v>1059 · Mega Farm Loans Interest-Capex</v>
      </c>
      <c r="C56" s="56">
        <f>'Initial TB Submitted to Auditor'!C56</f>
        <v>-211517748.65000001</v>
      </c>
      <c r="D56" s="56">
        <v>2269530.5500003397</v>
      </c>
      <c r="E56" s="57">
        <f t="shared" si="0"/>
        <v>213787279.20000035</v>
      </c>
      <c r="F56" t="s">
        <v>447</v>
      </c>
    </row>
    <row r="57" spans="2:6">
      <c r="B57" s="3" t="str">
        <f>'TB December 2025   '!V57</f>
        <v>1060 · Mega Farm Loans Interest-Fertil</v>
      </c>
      <c r="C57" s="56">
        <f>'Initial TB Submitted to Auditor'!C57</f>
        <v>-5153938978.2699995</v>
      </c>
      <c r="D57" s="56">
        <v>-3141903104.2900162</v>
      </c>
      <c r="E57" s="57">
        <f t="shared" si="0"/>
        <v>2012035873.9799833</v>
      </c>
      <c r="F57" t="s">
        <v>447</v>
      </c>
    </row>
    <row r="58" spans="2:6">
      <c r="B58" s="3" t="str">
        <f>'TB December 2025   '!V58</f>
        <v>1061 · Mega Farm Loans Interest-OPEX</v>
      </c>
      <c r="C58" s="56">
        <f>'Initial TB Submitted to Auditor'!C58</f>
        <v>-436488243.54000002</v>
      </c>
      <c r="D58" s="56">
        <v>-393824549.10000002</v>
      </c>
      <c r="E58" s="57">
        <f t="shared" si="0"/>
        <v>42663694.439999998</v>
      </c>
      <c r="F58" t="s">
        <v>447</v>
      </c>
    </row>
    <row r="59" spans="2:6">
      <c r="B59" s="3" t="str">
        <f>'TB December 2025   '!V59</f>
        <v>1062 · Mega Farm Loans Interest-Seed</v>
      </c>
      <c r="C59" s="56">
        <f>'Initial TB Submitted to Auditor'!C59</f>
        <v>-1202956444.74</v>
      </c>
      <c r="D59" s="56">
        <v>-790533801.3999902</v>
      </c>
      <c r="E59" s="57">
        <f t="shared" si="0"/>
        <v>412422643.34000981</v>
      </c>
      <c r="F59" t="s">
        <v>447</v>
      </c>
    </row>
    <row r="60" spans="2:6">
      <c r="B60" s="3" t="str">
        <f>'TB December 2025   '!V60</f>
        <v>1063 · Mega Farm - Pesticides Loan</v>
      </c>
      <c r="C60" s="56">
        <f>'Initial TB Submitted to Auditor'!C60</f>
        <v>-1937039096.8199999</v>
      </c>
      <c r="D60" s="56">
        <v>-1937039096.8199999</v>
      </c>
      <c r="E60" s="57">
        <f t="shared" si="0"/>
        <v>0</v>
      </c>
    </row>
    <row r="61" spans="2:6">
      <c r="B61" s="3" t="str">
        <f>'TB December 2025   '!V61</f>
        <v>1066 · ECL Megafarm Loans</v>
      </c>
      <c r="C61" s="56">
        <f>'Initial TB Submitted to Auditor'!C61</f>
        <v>-43218781408.68</v>
      </c>
      <c r="D61" s="56">
        <v>-40944381047.755188</v>
      </c>
      <c r="E61" s="57">
        <f t="shared" si="0"/>
        <v>2274400360.9248123</v>
      </c>
      <c r="F61" t="s">
        <v>426</v>
      </c>
    </row>
    <row r="62" spans="2:6">
      <c r="B62" s="3" t="str">
        <f>'TB December 2025   '!V62</f>
        <v>1067 · Mega Farm Loans Interest-Pestic</v>
      </c>
      <c r="C62" s="56">
        <f>'Initial TB Submitted to Auditor'!C62</f>
        <v>-308530771.99000001</v>
      </c>
      <c r="D62" s="56">
        <v>-201729642.91999924</v>
      </c>
      <c r="E62" s="57">
        <f t="shared" si="0"/>
        <v>106801129.07000077</v>
      </c>
      <c r="F62" t="s">
        <v>447</v>
      </c>
    </row>
    <row r="63" spans="2:6">
      <c r="B63" s="3" t="str">
        <f>'TB December 2025   '!V63</f>
        <v>1051 · Employee loan and advances</v>
      </c>
      <c r="C63" s="56">
        <f>'Initial TB Submitted to Auditor'!C63</f>
        <v>-351512372.39999998</v>
      </c>
      <c r="D63" s="56">
        <v>-351512372.39999998</v>
      </c>
      <c r="E63" s="57">
        <f t="shared" si="0"/>
        <v>0</v>
      </c>
    </row>
    <row r="64" spans="2:6">
      <c r="B64" s="3" t="str">
        <f>'TB December 2025   '!V64</f>
        <v>1052 · Prepaid expenses</v>
      </c>
      <c r="C64" s="56">
        <f>'Initial TB Submitted to Auditor'!C64</f>
        <v>-58392453.649999999</v>
      </c>
      <c r="D64" s="56">
        <v>-58392453.649999999</v>
      </c>
      <c r="E64" s="57">
        <f t="shared" si="0"/>
        <v>0</v>
      </c>
    </row>
    <row r="65" spans="2:6">
      <c r="B65" s="3" t="str">
        <f>'TB December 2025   '!V65</f>
        <v>1070. Mega Farms Receivable- ADMARC</v>
      </c>
      <c r="C65" s="56">
        <f>'Initial TB Submitted to Auditor'!C65</f>
        <v>-3101789311.4499998</v>
      </c>
      <c r="D65" s="56">
        <v>-2084402417.2943997</v>
      </c>
      <c r="E65" s="57">
        <f t="shared" si="0"/>
        <v>1017386894.1556001</v>
      </c>
      <c r="F65" t="s">
        <v>434</v>
      </c>
    </row>
    <row r="66" spans="2:6">
      <c r="B66" s="3" t="str">
        <f>'TB December 2025   '!V66</f>
        <v>1071. Mega Farms Receivable- NFRA</v>
      </c>
      <c r="C66" s="56">
        <f>'Initial TB Submitted to Auditor'!C66</f>
        <v>-70177833.340000004</v>
      </c>
      <c r="D66" s="56">
        <v>-45345676.929743603</v>
      </c>
      <c r="E66" s="57">
        <f t="shared" si="0"/>
        <v>24832156.410256401</v>
      </c>
      <c r="F66" t="s">
        <v>434</v>
      </c>
    </row>
    <row r="67" spans="2:6">
      <c r="B67" s="3" t="str">
        <f>'TB December 2025   '!V67</f>
        <v>1074 . Mega Farm Receivable ACE Agriculture Limited</v>
      </c>
      <c r="C67" s="56">
        <f>'Initial TB Submitted to Auditor'!C67</f>
        <v>-429134960.38</v>
      </c>
      <c r="D67" s="56">
        <v>-288378693.37699997</v>
      </c>
      <c r="E67" s="57">
        <f t="shared" si="0"/>
        <v>140756267.00300002</v>
      </c>
      <c r="F67" t="s">
        <v>434</v>
      </c>
    </row>
    <row r="68" spans="2:6">
      <c r="B68" s="3" t="str">
        <f>'TB December 2025   '!V68</f>
        <v>1100 · Cash Collateral</v>
      </c>
      <c r="C68" s="56">
        <f>'Initial TB Submitted to Auditor'!C68</f>
        <v>7000000</v>
      </c>
      <c r="D68" s="56">
        <v>7000000</v>
      </c>
      <c r="E68" s="57">
        <f t="shared" ref="E68:E131" si="1">D68-C68</f>
        <v>0</v>
      </c>
    </row>
    <row r="69" spans="2:6">
      <c r="B69" s="3" t="str">
        <f>'TB December 2025   '!V69</f>
        <v>1210 · Cash passport card</v>
      </c>
      <c r="C69" s="56">
        <f>'Initial TB Submitted to Auditor'!C69</f>
        <v>0</v>
      </c>
      <c r="D69" s="56">
        <v>0</v>
      </c>
      <c r="E69" s="57">
        <f t="shared" si="1"/>
        <v>0</v>
      </c>
    </row>
    <row r="70" spans="2:6">
      <c r="B70" s="3" t="str">
        <f>'TB December 2025   '!V70</f>
        <v>1310 · Prepaid Insurance</v>
      </c>
      <c r="C70" s="56">
        <f>'Initial TB Submitted to Auditor'!C70</f>
        <v>-81652610.739999995</v>
      </c>
      <c r="D70" s="56">
        <v>-81652610.739999995</v>
      </c>
      <c r="E70" s="57">
        <f t="shared" si="1"/>
        <v>0</v>
      </c>
    </row>
    <row r="71" spans="2:6">
      <c r="B71" s="3" t="str">
        <f>'TB December 2025   '!V71</f>
        <v>1320 · Interest Suspense</v>
      </c>
      <c r="C71" s="56">
        <f>'Initial TB Submitted to Auditor'!C71</f>
        <v>21865867.350000001</v>
      </c>
      <c r="D71" s="56">
        <v>0</v>
      </c>
      <c r="E71" s="57">
        <f t="shared" si="1"/>
        <v>-21865867.350000001</v>
      </c>
      <c r="F71" t="s">
        <v>435</v>
      </c>
    </row>
    <row r="72" spans="2:6">
      <c r="B72" s="3" t="str">
        <f>'TB December 2025   '!V72</f>
        <v>1321 · Capital Raising Prepayment</v>
      </c>
      <c r="C72" s="56">
        <f>'Initial TB Submitted to Auditor'!C72</f>
        <v>0</v>
      </c>
      <c r="D72" s="56">
        <v>0</v>
      </c>
      <c r="E72" s="57">
        <f t="shared" si="1"/>
        <v>0</v>
      </c>
    </row>
    <row r="73" spans="2:6">
      <c r="B73" s="3" t="str">
        <f>'TB December 2025   '!V73</f>
        <v>1877 · Prepaid Loan Repayments Account</v>
      </c>
      <c r="C73" s="56">
        <f>'Initial TB Submitted to Auditor'!C73</f>
        <v>0</v>
      </c>
      <c r="D73" s="56">
        <v>0</v>
      </c>
      <c r="E73" s="57">
        <f t="shared" si="1"/>
        <v>0</v>
      </c>
    </row>
    <row r="74" spans="2:6">
      <c r="B74" s="3" t="str">
        <f>'TB December 2025   '!V74</f>
        <v>1500 · Furniture and Fixtures</v>
      </c>
      <c r="C74" s="56">
        <f>'Initial TB Submitted to Auditor'!C74</f>
        <v>-460175</v>
      </c>
      <c r="D74" s="56">
        <v>-460175</v>
      </c>
      <c r="E74" s="57">
        <f t="shared" si="1"/>
        <v>0</v>
      </c>
    </row>
    <row r="75" spans="2:6">
      <c r="B75" s="3" t="str">
        <f>'TB December 2025   '!V75</f>
        <v>1500 · Furniture and Fixtures:1501 · Cost</v>
      </c>
      <c r="C75" s="56">
        <f>'Initial TB Submitted to Auditor'!C75</f>
        <v>-113325948.7</v>
      </c>
      <c r="D75" s="56">
        <v>-113325948.7</v>
      </c>
      <c r="E75" s="57">
        <f t="shared" si="1"/>
        <v>0</v>
      </c>
    </row>
    <row r="76" spans="2:6">
      <c r="B76" s="3" t="str">
        <f>'TB December 2025   '!V76</f>
        <v>1500 · Furniture and Fixtures:1502 · Depreciation</v>
      </c>
      <c r="C76" s="56">
        <f>'Initial TB Submitted to Auditor'!C76</f>
        <v>94359370.439999998</v>
      </c>
      <c r="D76" s="56">
        <v>94359370.439999998</v>
      </c>
      <c r="E76" s="57">
        <f t="shared" si="1"/>
        <v>0</v>
      </c>
    </row>
    <row r="77" spans="2:6">
      <c r="B77" s="3" t="str">
        <f>'TB December 2025   '!V77</f>
        <v>1510 · Computer Equipment:1511 · Cost</v>
      </c>
      <c r="C77" s="56">
        <f>'Initial TB Submitted to Auditor'!C77</f>
        <v>-207821826.59999999</v>
      </c>
      <c r="D77" s="56">
        <v>-207821826.59999999</v>
      </c>
      <c r="E77" s="57">
        <f t="shared" si="1"/>
        <v>0</v>
      </c>
    </row>
    <row r="78" spans="2:6">
      <c r="B78" s="3" t="str">
        <f>'TB December 2025   '!V78</f>
        <v>1510 · Computer Equipment:1512 · Depreciation</v>
      </c>
      <c r="C78" s="56">
        <f>'Initial TB Submitted to Auditor'!C78</f>
        <v>110165541.54000001</v>
      </c>
      <c r="D78" s="56">
        <v>110165541.54000001</v>
      </c>
      <c r="E78" s="57">
        <f t="shared" si="1"/>
        <v>0</v>
      </c>
    </row>
    <row r="79" spans="2:6">
      <c r="B79" s="3" t="str">
        <f>'TB December 2025   '!V79</f>
        <v>1520 · Office Equipment:1521 · Cost</v>
      </c>
      <c r="C79" s="56">
        <f>'Initial TB Submitted to Auditor'!C79</f>
        <v>-53624126.75</v>
      </c>
      <c r="D79" s="56">
        <v>-53624126.75</v>
      </c>
      <c r="E79" s="57">
        <f t="shared" si="1"/>
        <v>0</v>
      </c>
    </row>
    <row r="80" spans="2:6">
      <c r="B80" s="3" t="str">
        <f>'TB December 2025   '!V80</f>
        <v>1520 · Office Equipment:1522 · Depreciation</v>
      </c>
      <c r="C80" s="56">
        <f>'Initial TB Submitted to Auditor'!C80</f>
        <v>28875489.359999999</v>
      </c>
      <c r="D80" s="56">
        <v>28875489.359999999</v>
      </c>
      <c r="E80" s="57">
        <f t="shared" si="1"/>
        <v>0</v>
      </c>
    </row>
    <row r="81" spans="2:6">
      <c r="B81" s="3" t="str">
        <f>'TB December 2025   '!V81</f>
        <v>1530 · Motor Vehicles:1531 · Cost</v>
      </c>
      <c r="C81" s="56">
        <f>'Initial TB Submitted to Auditor'!C81</f>
        <v>-801845100.00999999</v>
      </c>
      <c r="D81" s="56">
        <v>-801845100.00999999</v>
      </c>
      <c r="E81" s="57">
        <f t="shared" si="1"/>
        <v>0</v>
      </c>
    </row>
    <row r="82" spans="2:6">
      <c r="B82" s="3" t="str">
        <f>'TB December 2025   '!V82</f>
        <v>1530 · Motor Vehicles:1532 · Depreciation</v>
      </c>
      <c r="C82" s="56">
        <f>'Initial TB Submitted to Auditor'!C82</f>
        <v>321748192.73000002</v>
      </c>
      <c r="D82" s="56">
        <v>321748192.73000002</v>
      </c>
      <c r="E82" s="57">
        <f t="shared" si="1"/>
        <v>0</v>
      </c>
    </row>
    <row r="83" spans="2:6">
      <c r="B83" s="3" t="str">
        <f>'TB December 2025   '!V83</f>
        <v>1545 · Software</v>
      </c>
      <c r="C83" s="56">
        <f>'Initial TB Submitted to Auditor'!C83</f>
        <v>0</v>
      </c>
      <c r="D83" s="56">
        <v>0</v>
      </c>
      <c r="E83" s="57">
        <f t="shared" si="1"/>
        <v>0</v>
      </c>
    </row>
    <row r="84" spans="2:6">
      <c r="B84" s="3" t="str">
        <f>'TB December 2025   '!V84</f>
        <v>1545 · Software:1546 · Cost</v>
      </c>
      <c r="C84" s="56">
        <f>'Initial TB Submitted to Auditor'!C84</f>
        <v>-1897045885.8800001</v>
      </c>
      <c r="D84" s="56">
        <v>-2201987918.54</v>
      </c>
      <c r="E84" s="57">
        <f t="shared" si="1"/>
        <v>-304942032.65999985</v>
      </c>
      <c r="F84" t="s">
        <v>437</v>
      </c>
    </row>
    <row r="85" spans="2:6">
      <c r="B85" s="3" t="str">
        <f>'TB December 2025   '!V85</f>
        <v>1545 · Software:1547 · Depreciation</v>
      </c>
      <c r="C85" s="56">
        <f>'Initial TB Submitted to Auditor'!C85</f>
        <v>292603680.51999998</v>
      </c>
      <c r="D85" s="56">
        <v>338344985.41999996</v>
      </c>
      <c r="E85" s="57">
        <f t="shared" si="1"/>
        <v>45741304.899999976</v>
      </c>
      <c r="F85" t="s">
        <v>438</v>
      </c>
    </row>
    <row r="86" spans="2:6">
      <c r="B86" s="3" t="str">
        <f>'TB December 2025   '!V86</f>
        <v>1595 · Right of Use:1596 · Cost</v>
      </c>
      <c r="C86" s="56">
        <f>'Initial TB Submitted to Auditor'!C86</f>
        <v>0</v>
      </c>
      <c r="D86" s="56">
        <v>0</v>
      </c>
      <c r="E86" s="57">
        <f t="shared" si="1"/>
        <v>0</v>
      </c>
    </row>
    <row r="87" spans="2:6">
      <c r="B87" s="3" t="str">
        <f>'TB December 2025   '!V87</f>
        <v>1595 · Right of Use:1597 · Amortisation/ Depreciation</v>
      </c>
      <c r="C87" s="56">
        <f>'Initial TB Submitted to Auditor'!C87</f>
        <v>0</v>
      </c>
      <c r="D87" s="56">
        <v>0</v>
      </c>
      <c r="E87" s="57">
        <f t="shared" si="1"/>
        <v>0</v>
      </c>
    </row>
    <row r="88" spans="2:6">
      <c r="B88" s="3" t="str">
        <f>'TB December 2025   '!V88</f>
        <v>1548 · Amortization</v>
      </c>
      <c r="C88" s="56">
        <f>'Initial TB Submitted to Auditor'!C88</f>
        <v>0</v>
      </c>
      <c r="D88" s="56">
        <v>0</v>
      </c>
      <c r="E88" s="57">
        <f t="shared" si="1"/>
        <v>0</v>
      </c>
    </row>
    <row r="89" spans="2:6">
      <c r="B89" s="3" t="str">
        <f>'TB December 2025   '!V89</f>
        <v>1549 · WIP</v>
      </c>
      <c r="C89" s="56">
        <f>'Initial TB Submitted to Auditor'!C89</f>
        <v>148576785.15000001</v>
      </c>
      <c r="D89" s="56">
        <v>148576785.15000001</v>
      </c>
      <c r="E89" s="57">
        <f t="shared" si="1"/>
        <v>0</v>
      </c>
    </row>
    <row r="90" spans="2:6">
      <c r="B90" s="3" t="str">
        <f>'TB December 2025   '!V90</f>
        <v>1871 · Undrawn Commitment-MAIIC</v>
      </c>
      <c r="C90" s="56">
        <f>'Initial TB Submitted to Auditor'!C90</f>
        <v>-1440414653.3000002</v>
      </c>
      <c r="D90" s="56">
        <v>-1440414653.3000002</v>
      </c>
      <c r="E90" s="57">
        <f t="shared" si="1"/>
        <v>0</v>
      </c>
    </row>
    <row r="91" spans="2:6">
      <c r="B91" s="3" t="str">
        <f>'TB December 2025   '!V91</f>
        <v>1872 · Undrawn Commitments-FInES</v>
      </c>
      <c r="C91" s="56">
        <f>'Initial TB Submitted to Auditor'!C91</f>
        <v>280416277.55000007</v>
      </c>
      <c r="D91" s="56">
        <v>280416277.55000007</v>
      </c>
      <c r="E91" s="57">
        <f t="shared" si="1"/>
        <v>0</v>
      </c>
    </row>
    <row r="92" spans="2:6">
      <c r="B92" s="3" t="str">
        <f>'TB December 2025   '!V92</f>
        <v>1873 · Guarantees MAIIC</v>
      </c>
      <c r="C92" s="56">
        <f>'Initial TB Submitted to Auditor'!C92</f>
        <v>-40847815</v>
      </c>
      <c r="D92" s="56">
        <v>-40847815</v>
      </c>
      <c r="E92" s="57">
        <f t="shared" si="1"/>
        <v>0</v>
      </c>
    </row>
    <row r="93" spans="2:6">
      <c r="B93" s="3" t="str">
        <f>'TB December 2025   '!V93</f>
        <v>1874 · Guarantees -FInES</v>
      </c>
      <c r="C93" s="56">
        <f>'Initial TB Submitted to Auditor'!C93</f>
        <v>-1338483000</v>
      </c>
      <c r="D93" s="56">
        <v>-1338483000</v>
      </c>
      <c r="E93" s="57">
        <f t="shared" si="1"/>
        <v>0</v>
      </c>
    </row>
    <row r="94" spans="2:6">
      <c r="B94" s="3" t="str">
        <f>'TB December 2025   '!V94</f>
        <v>1875 · Guarantees -AGCOM</v>
      </c>
      <c r="C94" s="56">
        <f>'Initial TB Submitted to Auditor'!C94</f>
        <v>-170064000</v>
      </c>
      <c r="D94" s="56">
        <v>-170064000</v>
      </c>
      <c r="E94" s="57">
        <f t="shared" si="1"/>
        <v>0</v>
      </c>
    </row>
    <row r="95" spans="2:6">
      <c r="B95" s="3" t="str">
        <f>'TB December 2025   '!V95</f>
        <v>1876 · ECL Write Offs</v>
      </c>
      <c r="C95" s="56">
        <f>'Initial TB Submitted to Auditor'!C95</f>
        <v>160422115.12</v>
      </c>
      <c r="D95" s="56">
        <v>160422115.12</v>
      </c>
      <c r="E95" s="57">
        <f t="shared" si="1"/>
        <v>0</v>
      </c>
    </row>
    <row r="96" spans="2:6">
      <c r="B96" s="3" t="str">
        <f>'TB December 2025   '!V96</f>
        <v>2000 · Accounts Payable</v>
      </c>
      <c r="C96" s="56">
        <f>'Initial TB Submitted to Auditor'!C96</f>
        <v>22012166.879999999</v>
      </c>
      <c r="D96" s="56">
        <v>22012166.879999999</v>
      </c>
      <c r="E96" s="57">
        <f t="shared" si="1"/>
        <v>0</v>
      </c>
    </row>
    <row r="97" spans="2:6">
      <c r="B97" s="3" t="str">
        <f>'TB December 2025   '!V97</f>
        <v>2001 · Accounts Payable - USD</v>
      </c>
      <c r="C97" s="56">
        <f>'Initial TB Submitted to Auditor'!C97</f>
        <v>0</v>
      </c>
      <c r="D97" s="56">
        <v>0</v>
      </c>
      <c r="E97" s="57">
        <f t="shared" si="1"/>
        <v>0</v>
      </c>
    </row>
    <row r="98" spans="2:6">
      <c r="B98" s="3" t="str">
        <f>'TB December 2025   '!V98</f>
        <v>2002 · Accounts Payable - ZAR</v>
      </c>
      <c r="C98" s="56">
        <f>'Initial TB Submitted to Auditor'!C98</f>
        <v>0.03</v>
      </c>
      <c r="D98" s="56">
        <v>0.03</v>
      </c>
      <c r="E98" s="57">
        <f t="shared" si="1"/>
        <v>0</v>
      </c>
    </row>
    <row r="99" spans="2:6">
      <c r="B99" s="3" t="str">
        <f>'TB December 2025   '!V99</f>
        <v>2003 · Capital Raising WIP Payables</v>
      </c>
      <c r="C99" s="56">
        <f>'Initial TB Submitted to Auditor'!C99</f>
        <v>0</v>
      </c>
      <c r="D99" s="56">
        <v>0</v>
      </c>
      <c r="E99" s="57">
        <f t="shared" si="1"/>
        <v>0</v>
      </c>
    </row>
    <row r="100" spans="2:6">
      <c r="B100" s="3" t="str">
        <f>'TB December 2025   '!V100</f>
        <v>1064 · Term Loans Write Offs</v>
      </c>
      <c r="C100" s="56">
        <f>'Initial TB Submitted to Auditor'!C100</f>
        <v>-160422115.12</v>
      </c>
      <c r="D100" s="56">
        <v>-160422115.12</v>
      </c>
      <c r="E100" s="57">
        <f t="shared" si="1"/>
        <v>0</v>
      </c>
    </row>
    <row r="101" spans="2:6">
      <c r="B101" s="3" t="str">
        <f>'TB December 2025   '!V101</f>
        <v>2010 · Loan draw down account</v>
      </c>
      <c r="C101" s="56">
        <f>'Initial TB Submitted to Auditor'!C101</f>
        <v>0</v>
      </c>
      <c r="D101" s="56">
        <v>0</v>
      </c>
      <c r="E101" s="57">
        <f t="shared" si="1"/>
        <v>0</v>
      </c>
    </row>
    <row r="102" spans="2:6">
      <c r="B102" s="3" t="str">
        <f>'TB December 2025   '!V102</f>
        <v>2030 · Insurance Buffer</v>
      </c>
      <c r="C102" s="56">
        <f>'Initial TB Submitted to Auditor'!C102</f>
        <v>26181588.190000001</v>
      </c>
      <c r="D102" s="56">
        <v>26181588.190000001</v>
      </c>
      <c r="E102" s="57">
        <f t="shared" si="1"/>
        <v>0</v>
      </c>
    </row>
    <row r="103" spans="2:6">
      <c r="B103" s="3" t="str">
        <f>'TB December 2025   '!V103</f>
        <v>2040 · T-Bill Provision</v>
      </c>
      <c r="C103" s="56">
        <f>'Initial TB Submitted to Auditor'!C103</f>
        <v>0</v>
      </c>
      <c r="D103" s="56">
        <v>0</v>
      </c>
      <c r="E103" s="57">
        <f t="shared" si="1"/>
        <v>0</v>
      </c>
    </row>
    <row r="104" spans="2:6">
      <c r="B104" s="3" t="str">
        <f>'TB December 2025   '!V104</f>
        <v>2041 · ECL Preference Shares</v>
      </c>
      <c r="C104" s="56">
        <f>'Initial TB Submitted to Auditor'!C104</f>
        <v>117555230.03999999</v>
      </c>
      <c r="D104" s="56">
        <v>140769073.64090598</v>
      </c>
      <c r="E104" s="57">
        <f t="shared" si="1"/>
        <v>23213843.600905985</v>
      </c>
      <c r="F104" t="s">
        <v>426</v>
      </c>
    </row>
    <row r="105" spans="2:6">
      <c r="B105" s="3" t="str">
        <f>'TB December 2025   '!V105</f>
        <v>2042 · ECL Staff Loans</v>
      </c>
      <c r="C105" s="56">
        <f>'Initial TB Submitted to Auditor'!C105</f>
        <v>3893096.47</v>
      </c>
      <c r="D105" s="56">
        <v>17745221.6465941</v>
      </c>
      <c r="E105" s="57">
        <f t="shared" si="1"/>
        <v>13852125.176594099</v>
      </c>
      <c r="F105" t="s">
        <v>426</v>
      </c>
    </row>
    <row r="106" spans="2:6">
      <c r="B106" s="3" t="str">
        <f>'TB December 2025   '!V106</f>
        <v>2043 · ECL WHT Receivables</v>
      </c>
      <c r="C106" s="56">
        <f>'Initial TB Submitted to Auditor'!C106</f>
        <v>573386.67000000004</v>
      </c>
      <c r="D106" s="56">
        <v>573386.67000000004</v>
      </c>
      <c r="E106" s="57">
        <f t="shared" si="1"/>
        <v>0</v>
      </c>
    </row>
    <row r="107" spans="2:6">
      <c r="B107" s="3" t="str">
        <f>'TB December 2025   '!V107</f>
        <v>2051 · Accruals and Provisions</v>
      </c>
      <c r="C107" s="56">
        <f>'Initial TB Submitted to Auditor'!C107</f>
        <v>206174294.03</v>
      </c>
      <c r="D107" s="56">
        <v>165213294.03</v>
      </c>
      <c r="E107" s="57">
        <f t="shared" si="1"/>
        <v>-40961000</v>
      </c>
      <c r="F107" t="s">
        <v>442</v>
      </c>
    </row>
    <row r="108" spans="2:6">
      <c r="B108" s="3" t="str">
        <f>'TB December 2025   '!V108</f>
        <v>2052 · Malawi Revenue Authority- Other</v>
      </c>
      <c r="C108" s="56">
        <f>'Initial TB Submitted to Auditor'!C108</f>
        <v>-1979679612.78</v>
      </c>
      <c r="D108" s="56">
        <v>-2008140643.7</v>
      </c>
      <c r="E108" s="57">
        <f t="shared" si="1"/>
        <v>-28461030.920000076</v>
      </c>
      <c r="F108" t="s">
        <v>446</v>
      </c>
    </row>
    <row r="109" spans="2:6">
      <c r="B109" s="3" t="str">
        <f>'TB December 2025   '!V109</f>
        <v>2053 · Lease Liability</v>
      </c>
      <c r="C109" s="56">
        <f>'Initial TB Submitted to Auditor'!C109</f>
        <v>0</v>
      </c>
      <c r="D109" s="56">
        <v>0</v>
      </c>
      <c r="E109" s="57">
        <f t="shared" si="1"/>
        <v>0</v>
      </c>
    </row>
    <row r="110" spans="2:6">
      <c r="B110" s="3" t="str">
        <f>'TB December 2025   '!V110</f>
        <v>2055 · Expected Credit Losses</v>
      </c>
      <c r="C110" s="56">
        <f>'Initial TB Submitted to Auditor'!C110</f>
        <v>488480444.70999998</v>
      </c>
      <c r="D110" s="56">
        <v>475738496.95038295</v>
      </c>
      <c r="E110" s="57">
        <f t="shared" si="1"/>
        <v>-12741947.759617031</v>
      </c>
      <c r="F110" t="s">
        <v>426</v>
      </c>
    </row>
    <row r="111" spans="2:6">
      <c r="B111" s="3" t="str">
        <f>'TB December 2025   '!V111</f>
        <v>2056 · ECL-Money Market Investments</v>
      </c>
      <c r="C111" s="56">
        <f>'Initial TB Submitted to Auditor'!C111</f>
        <v>5487533.4700000007</v>
      </c>
      <c r="D111" s="56">
        <v>50506454.903994754</v>
      </c>
      <c r="E111" s="57">
        <f t="shared" si="1"/>
        <v>45018921.433994755</v>
      </c>
      <c r="F111" t="s">
        <v>426</v>
      </c>
    </row>
    <row r="112" spans="2:6">
      <c r="B112" s="3" t="str">
        <f>'TB December 2025   '!V112</f>
        <v>2057 · ECL Treasury Investments</v>
      </c>
      <c r="C112" s="56">
        <f>'Initial TB Submitted to Auditor'!C112</f>
        <v>0</v>
      </c>
      <c r="D112" s="56">
        <v>0</v>
      </c>
      <c r="E112" s="57">
        <f t="shared" si="1"/>
        <v>0</v>
      </c>
    </row>
    <row r="113" spans="2:6">
      <c r="B113" s="3" t="str">
        <f>'TB December 2025   '!V113</f>
        <v>2058 · Salaries Control Account</v>
      </c>
      <c r="C113" s="56">
        <f>'Initial TB Submitted to Auditor'!C113</f>
        <v>0.01</v>
      </c>
      <c r="D113" s="56">
        <v>0.01</v>
      </c>
      <c r="E113" s="57">
        <f t="shared" si="1"/>
        <v>0</v>
      </c>
    </row>
    <row r="114" spans="2:6">
      <c r="B114" s="3" t="str">
        <f>'TB December 2025   '!V114</f>
        <v>2059 · Mega farm Loans ECL</v>
      </c>
      <c r="C114" s="56">
        <f>'Initial TB Submitted to Auditor'!C114</f>
        <v>43218781408.68</v>
      </c>
      <c r="D114" s="56">
        <v>39761405730.185188</v>
      </c>
      <c r="E114" s="57">
        <f t="shared" si="1"/>
        <v>-3457375678.494812</v>
      </c>
      <c r="F114" t="s">
        <v>436</v>
      </c>
    </row>
    <row r="115" spans="2:6">
      <c r="B115" s="3" t="str">
        <f>'TB December 2025   '!V115</f>
        <v>2063 · Undrawn Commitments MAIIC</v>
      </c>
      <c r="C115" s="56">
        <f>'Initial TB Submitted to Auditor'!C115</f>
        <v>1440414653.3000002</v>
      </c>
      <c r="D115" s="56">
        <v>1440414653.3000002</v>
      </c>
      <c r="E115" s="57">
        <f t="shared" si="1"/>
        <v>0</v>
      </c>
    </row>
    <row r="116" spans="2:6">
      <c r="B116" s="3" t="str">
        <f>'TB December 2025   '!V116</f>
        <v>2064 · Undrawn Commitments FInES</v>
      </c>
      <c r="C116" s="56">
        <f>'Initial TB Submitted to Auditor'!C116</f>
        <v>-280416277.55000007</v>
      </c>
      <c r="D116" s="56">
        <v>-280416277.55000007</v>
      </c>
      <c r="E116" s="57">
        <f t="shared" si="1"/>
        <v>0</v>
      </c>
    </row>
    <row r="117" spans="2:6">
      <c r="B117" s="3" t="str">
        <f>'TB December 2025   '!V117</f>
        <v>2065 · Guarantees- MAIIC</v>
      </c>
      <c r="C117" s="56">
        <f>'Initial TB Submitted to Auditor'!C117</f>
        <v>40847815</v>
      </c>
      <c r="D117" s="56">
        <v>40847815</v>
      </c>
      <c r="E117" s="57">
        <f t="shared" si="1"/>
        <v>0</v>
      </c>
    </row>
    <row r="118" spans="2:6">
      <c r="B118" s="3" t="str">
        <f>'TB December 2025   '!V118</f>
        <v>2068 · Guarantees FInES</v>
      </c>
      <c r="C118" s="56">
        <f>'Initial TB Submitted to Auditor'!C118</f>
        <v>1338483000</v>
      </c>
      <c r="D118" s="56">
        <v>1338483000</v>
      </c>
      <c r="E118" s="57">
        <f t="shared" si="1"/>
        <v>0</v>
      </c>
    </row>
    <row r="119" spans="2:6">
      <c r="B119" s="3" t="str">
        <f>'TB December 2025   '!V119</f>
        <v>2069 · Guarantees-AGCOM</v>
      </c>
      <c r="C119" s="56">
        <f>'Initial TB Submitted to Auditor'!C119</f>
        <v>170064000</v>
      </c>
      <c r="D119" s="56">
        <v>170064000</v>
      </c>
      <c r="E119" s="57">
        <f t="shared" si="1"/>
        <v>0</v>
      </c>
    </row>
    <row r="120" spans="2:6">
      <c r="B120" s="3" t="str">
        <f>'TB December 2025   '!V120</f>
        <v>2071 · Mega Farm Loans Interest</v>
      </c>
      <c r="C120" s="56">
        <f>'Initial TB Submitted to Auditor'!C120</f>
        <v>6420655693.1599998</v>
      </c>
      <c r="D120" s="56">
        <v>6420655693.1599998</v>
      </c>
      <c r="E120" s="57">
        <f t="shared" si="1"/>
        <v>0</v>
      </c>
    </row>
    <row r="121" spans="2:6">
      <c r="B121" s="3" t="str">
        <f>'TB December 2025   '!V121</f>
        <v>2072 · Mega Farm waiting Funding</v>
      </c>
      <c r="C121" s="56">
        <f>'Initial TB Submitted to Auditor'!C121</f>
        <v>29580247098.459999</v>
      </c>
      <c r="D121" s="56">
        <v>29580247098.459999</v>
      </c>
      <c r="E121" s="57">
        <f t="shared" si="1"/>
        <v>0</v>
      </c>
    </row>
    <row r="122" spans="2:6">
      <c r="B122" s="3" t="str">
        <f>'TB December 2025   '!V122</f>
        <v>2553 · Malawi Revenue Authority-VAT</v>
      </c>
      <c r="C122" s="56">
        <f>'Initial TB Submitted to Auditor'!C122</f>
        <v>0</v>
      </c>
      <c r="D122" s="56">
        <v>0</v>
      </c>
      <c r="E122" s="57">
        <f t="shared" si="1"/>
        <v>0</v>
      </c>
    </row>
    <row r="123" spans="2:6">
      <c r="B123" s="3" t="str">
        <f>'TB December 2025   '!V123</f>
        <v>2554 · MRA Liabilities</v>
      </c>
      <c r="C123" s="56">
        <f>'Initial TB Submitted to Auditor'!C123</f>
        <v>39061781.439999998</v>
      </c>
      <c r="D123" s="56">
        <v>39061781.439999998</v>
      </c>
      <c r="E123" s="57">
        <f t="shared" si="1"/>
        <v>0</v>
      </c>
    </row>
    <row r="124" spans="2:6">
      <c r="B124" s="3" t="str">
        <f>'TB December 2025   '!V124</f>
        <v>2060 · FInES Liability</v>
      </c>
      <c r="C124" s="56">
        <f>'Initial TB Submitted to Auditor'!C124</f>
        <v>20602763273.48</v>
      </c>
      <c r="D124" s="56">
        <v>20912791050.32</v>
      </c>
      <c r="E124" s="57">
        <f t="shared" si="1"/>
        <v>310027776.84000015</v>
      </c>
      <c r="F124" t="s">
        <v>437</v>
      </c>
    </row>
    <row r="125" spans="2:6">
      <c r="B125" s="3" t="str">
        <f>'TB December 2025   '!V125</f>
        <v>2061 · AGCOM Liability- USD</v>
      </c>
      <c r="C125" s="56">
        <f>'Initial TB Submitted to Auditor'!C125</f>
        <v>1953426788.24</v>
      </c>
      <c r="D125" s="56">
        <v>1916930804.6100001</v>
      </c>
      <c r="E125" s="57">
        <f t="shared" si="1"/>
        <v>-36495983.629999876</v>
      </c>
      <c r="F125" t="s">
        <v>440</v>
      </c>
    </row>
    <row r="126" spans="2:6">
      <c r="B126" s="3" t="str">
        <f>'TB December 2025   '!V126</f>
        <v>2062 · Deferred Income</v>
      </c>
      <c r="C126" s="56">
        <f>'Initial TB Submitted to Auditor'!C126</f>
        <v>0</v>
      </c>
      <c r="D126" s="56">
        <v>0</v>
      </c>
      <c r="E126" s="57">
        <f t="shared" si="1"/>
        <v>0</v>
      </c>
    </row>
    <row r="127" spans="2:6">
      <c r="B127" s="3" t="str">
        <f>'TB December 2025   '!V127</f>
        <v>2070 · Mega Farms- Liability</v>
      </c>
      <c r="C127" s="56">
        <f>'Initial TB Submitted to Auditor'!C127</f>
        <v>20914266967.830002</v>
      </c>
      <c r="D127" s="56">
        <v>20914266967.830002</v>
      </c>
      <c r="E127" s="57">
        <f t="shared" si="1"/>
        <v>0</v>
      </c>
    </row>
    <row r="128" spans="2:6">
      <c r="B128" s="3" t="str">
        <f>'TB December 2025   '!V128</f>
        <v>3000 · Share Capital Account:3001 · Malawi Government</v>
      </c>
      <c r="C128" s="56">
        <f>'Initial TB Submitted to Auditor'!C128</f>
        <v>11300000000</v>
      </c>
      <c r="D128" s="56">
        <v>11300000000</v>
      </c>
      <c r="E128" s="57">
        <f t="shared" si="1"/>
        <v>0</v>
      </c>
    </row>
    <row r="129" spans="2:5">
      <c r="B129" s="3" t="str">
        <f>'TB December 2025   '!V129</f>
        <v>3000 · Share Capital Account:3002 · CDH Investment Bank</v>
      </c>
      <c r="C129" s="56">
        <f>'Initial TB Submitted to Auditor'!C129</f>
        <v>552224104.22000003</v>
      </c>
      <c r="D129" s="56">
        <v>552224104.22000003</v>
      </c>
      <c r="E129" s="57">
        <f t="shared" si="1"/>
        <v>0</v>
      </c>
    </row>
    <row r="130" spans="2:5">
      <c r="B130" s="3" t="str">
        <f>'TB December 2025   '!V130</f>
        <v>3000 · Share Capital Account:3003 · Investment Alliance</v>
      </c>
      <c r="C130" s="56">
        <f>'Initial TB Submitted to Auditor'!C130</f>
        <v>94989241.769999996</v>
      </c>
      <c r="D130" s="56">
        <v>94989241.769999996</v>
      </c>
      <c r="E130" s="57">
        <f t="shared" si="1"/>
        <v>0</v>
      </c>
    </row>
    <row r="131" spans="2:5">
      <c r="B131" s="3" t="str">
        <f>'TB December 2025   '!V131</f>
        <v>3010 · Capital contribution:3011 · CDH Investment Bank Limited</v>
      </c>
      <c r="C131" s="56">
        <f>'Initial TB Submitted to Auditor'!C131</f>
        <v>0</v>
      </c>
      <c r="D131" s="56">
        <v>0</v>
      </c>
      <c r="E131" s="57">
        <f t="shared" si="1"/>
        <v>0</v>
      </c>
    </row>
    <row r="132" spans="2:5">
      <c r="B132" s="3" t="str">
        <f>'TB December 2025   '!V132</f>
        <v>3010 · Capital contribution:3012 · Malawi Government</v>
      </c>
      <c r="C132" s="56">
        <f>'Initial TB Submitted to Auditor'!C132</f>
        <v>0</v>
      </c>
      <c r="D132" s="56">
        <v>0</v>
      </c>
      <c r="E132" s="57">
        <f t="shared" ref="E132:E195" si="2">D132-C132</f>
        <v>0</v>
      </c>
    </row>
    <row r="133" spans="2:5">
      <c r="B133" s="3" t="str">
        <f>'TB December 2025   '!V133</f>
        <v>3010 · Capital contribution:3013 · Investment Alliance</v>
      </c>
      <c r="C133" s="56">
        <f>'Initial TB Submitted to Auditor'!C133</f>
        <v>0</v>
      </c>
      <c r="D133" s="56">
        <v>0</v>
      </c>
      <c r="E133" s="57">
        <f t="shared" si="2"/>
        <v>0</v>
      </c>
    </row>
    <row r="134" spans="2:5">
      <c r="B134" s="3" t="str">
        <f>'TB December 2025   '!V134</f>
        <v>3020 · Share Premium Account:3014 · CDH Investment Bank Limited</v>
      </c>
      <c r="C134" s="56">
        <f>'Initial TB Submitted to Auditor'!C134</f>
        <v>175025895.78</v>
      </c>
      <c r="D134" s="56">
        <v>175025895.78</v>
      </c>
      <c r="E134" s="57">
        <f t="shared" si="2"/>
        <v>0</v>
      </c>
    </row>
    <row r="135" spans="2:5">
      <c r="B135" s="3" t="str">
        <f>'TB December 2025   '!V135</f>
        <v>3020 · Share Premium Account:3015 · Investment Alliance</v>
      </c>
      <c r="C135" s="56">
        <f>'Initial TB Submitted to Auditor'!C135</f>
        <v>105010758.23</v>
      </c>
      <c r="D135" s="56">
        <v>105010758.23</v>
      </c>
      <c r="E135" s="57">
        <f t="shared" si="2"/>
        <v>0</v>
      </c>
    </row>
    <row r="136" spans="2:5">
      <c r="B136" s="3" t="str">
        <f>'TB December 2025   '!V136</f>
        <v>3060 · Mbora Limited</v>
      </c>
      <c r="C136" s="56">
        <f>'Initial TB Submitted to Auditor'!C136</f>
        <v>0</v>
      </c>
      <c r="D136" s="56">
        <v>0</v>
      </c>
      <c r="E136" s="57">
        <f t="shared" si="2"/>
        <v>0</v>
      </c>
    </row>
    <row r="137" spans="2:5">
      <c r="B137" s="3" t="str">
        <f>'TB December 2025   '!V137</f>
        <v>3061 · MMC Limited</v>
      </c>
      <c r="C137" s="56">
        <f>'Initial TB Submitted to Auditor'!C137</f>
        <v>-182929000.44</v>
      </c>
      <c r="D137" s="56">
        <v>-182929000.44</v>
      </c>
      <c r="E137" s="57">
        <f t="shared" si="2"/>
        <v>0</v>
      </c>
    </row>
    <row r="138" spans="2:5">
      <c r="B138" s="3" t="str">
        <f>'TB December 2025   '!V138</f>
        <v>3062 · Wijays Enterprise</v>
      </c>
      <c r="C138" s="56">
        <f>'Initial TB Submitted to Auditor'!C138</f>
        <v>-210065735</v>
      </c>
      <c r="D138" s="56">
        <v>-210065735</v>
      </c>
      <c r="E138" s="57">
        <f t="shared" si="2"/>
        <v>0</v>
      </c>
    </row>
    <row r="139" spans="2:5">
      <c r="B139" s="3" t="str">
        <f>'TB December 2025   '!V139</f>
        <v>3063 · Good Hope Private Clinic Limite</v>
      </c>
      <c r="C139" s="56">
        <f>'Initial TB Submitted to Auditor'!C139</f>
        <v>-1125625000</v>
      </c>
      <c r="D139" s="56">
        <v>-1125625000</v>
      </c>
      <c r="E139" s="57">
        <f t="shared" si="2"/>
        <v>0</v>
      </c>
    </row>
    <row r="140" spans="2:5">
      <c r="B140" s="3" t="str">
        <f>'TB December 2025   '!V140</f>
        <v>3064 · IFRS 16 Transaction Adjust</v>
      </c>
      <c r="C140" s="56">
        <f>'Initial TB Submitted to Auditor'!C140</f>
        <v>0</v>
      </c>
      <c r="D140" s="56">
        <v>0</v>
      </c>
      <c r="E140" s="57">
        <f t="shared" si="2"/>
        <v>0</v>
      </c>
    </row>
    <row r="141" spans="2:5">
      <c r="B141" s="3" t="str">
        <f>'TB December 2025   '!V141</f>
        <v>3065 · NASCOMEX Limited</v>
      </c>
      <c r="C141" s="56">
        <f>'Initial TB Submitted to Auditor'!C141</f>
        <v>-2064285713</v>
      </c>
      <c r="D141" s="56">
        <v>-2064285713</v>
      </c>
      <c r="E141" s="57">
        <f t="shared" si="2"/>
        <v>0</v>
      </c>
    </row>
    <row r="142" spans="2:5">
      <c r="B142" s="3" t="str">
        <f>'TB December 2025   '!V142</f>
        <v>3067 · Natures Gift</v>
      </c>
      <c r="C142" s="56">
        <f>'Initial TB Submitted to Auditor'!C142</f>
        <v>-400000000</v>
      </c>
      <c r="D142" s="56">
        <v>-400000000</v>
      </c>
      <c r="E142" s="57">
        <f t="shared" si="2"/>
        <v>0</v>
      </c>
    </row>
    <row r="143" spans="2:5">
      <c r="B143" s="3" t="str">
        <f>'TB December 2025   '!V143</f>
        <v>3068 · Small Farm Cities Africa Ltd</v>
      </c>
      <c r="C143" s="56">
        <f>'Initial TB Submitted to Auditor'!C143</f>
        <v>-200000000</v>
      </c>
      <c r="D143" s="56">
        <v>-200000000</v>
      </c>
      <c r="E143" s="57">
        <f t="shared" si="2"/>
        <v>0</v>
      </c>
    </row>
    <row r="144" spans="2:5">
      <c r="B144" s="3" t="str">
        <f>'TB December 2025   '!V144</f>
        <v>3069 · Kwalingana Investments Limited</v>
      </c>
      <c r="C144" s="56">
        <f>'Initial TB Submitted to Auditor'!C144</f>
        <v>-400000000</v>
      </c>
      <c r="D144" s="56">
        <v>-400000000</v>
      </c>
      <c r="E144" s="57">
        <f t="shared" si="2"/>
        <v>0</v>
      </c>
    </row>
    <row r="145" spans="2:6">
      <c r="B145" s="3" t="str">
        <f>'TB December 2025   '!V145</f>
        <v>3071 · Napoleon Dzombe T/A Santhe Busi</v>
      </c>
      <c r="C145" s="56">
        <f>'Initial TB Submitted to Auditor'!C145</f>
        <v>-2100000000</v>
      </c>
      <c r="D145" s="56">
        <v>-2100000000</v>
      </c>
      <c r="E145" s="57">
        <f t="shared" si="2"/>
        <v>0</v>
      </c>
    </row>
    <row r="146" spans="2:6">
      <c r="B146" s="3" t="str">
        <f>'TB December 2025   '!V146</f>
        <v>3200 · Retained Earnings</v>
      </c>
      <c r="C146" s="56">
        <f>'Initial TB Submitted to Auditor'!C146</f>
        <v>10085045704.74</v>
      </c>
      <c r="D146" s="56">
        <v>10085045704.74</v>
      </c>
      <c r="E146" s="57">
        <f t="shared" si="2"/>
        <v>0</v>
      </c>
    </row>
    <row r="147" spans="2:6">
      <c r="B147" s="3" t="str">
        <f>'TB December 2025   '!V147</f>
        <v>4205 · Investment Interest Income MM</v>
      </c>
      <c r="C147" s="56">
        <f>'Initial TB Submitted to Auditor'!C147</f>
        <v>4664655564.3400002</v>
      </c>
      <c r="D147" s="56">
        <v>4590449963.2399998</v>
      </c>
      <c r="E147" s="57">
        <f t="shared" si="2"/>
        <v>-74205601.100000381</v>
      </c>
      <c r="F147" t="s">
        <v>440</v>
      </c>
    </row>
    <row r="148" spans="2:6">
      <c r="B148" s="3" t="str">
        <f>'TB December 2025   '!V148</f>
        <v>4206 · Interest on Term Loans-Maiic</v>
      </c>
      <c r="C148" s="56">
        <f>'Initial TB Submitted to Auditor'!C148</f>
        <v>2106561165.01</v>
      </c>
      <c r="D148" s="56">
        <v>2128427032.3599999</v>
      </c>
      <c r="E148" s="57">
        <f t="shared" si="2"/>
        <v>21865867.349999905</v>
      </c>
      <c r="F148" t="s">
        <v>439</v>
      </c>
    </row>
    <row r="149" spans="2:6">
      <c r="B149" s="3" t="str">
        <f>'TB December 2025   '!V149</f>
        <v>4207 · Interest on Staff Loans</v>
      </c>
      <c r="C149" s="56">
        <f>'Initial TB Submitted to Auditor'!C149</f>
        <v>25395913.059999999</v>
      </c>
      <c r="D149" s="56">
        <v>25395913.059999999</v>
      </c>
      <c r="E149" s="57">
        <f t="shared" si="2"/>
        <v>0</v>
      </c>
    </row>
    <row r="150" spans="2:6">
      <c r="B150" s="3" t="str">
        <f>'TB December 2025   '!V150</f>
        <v>4209 · Term loan interest- FInES</v>
      </c>
      <c r="C150" s="56">
        <f>'Initial TB Submitted to Auditor'!C150</f>
        <v>447829531.72000003</v>
      </c>
      <c r="D150" s="56">
        <v>447829531.72000003</v>
      </c>
      <c r="E150" s="57">
        <f t="shared" si="2"/>
        <v>0</v>
      </c>
    </row>
    <row r="151" spans="2:6">
      <c r="B151" s="3" t="str">
        <f>'TB December 2025   '!V151</f>
        <v>4211 · Investment Income-USD MM</v>
      </c>
      <c r="C151" s="56">
        <f>'Initial TB Submitted to Auditor'!C151</f>
        <v>270969348.60000002</v>
      </c>
      <c r="D151" s="56">
        <v>270969348.60000002</v>
      </c>
      <c r="E151" s="57">
        <f t="shared" si="2"/>
        <v>0</v>
      </c>
    </row>
    <row r="152" spans="2:6">
      <c r="B152" s="3" t="str">
        <f>'TB December 2025   '!V152</f>
        <v>4213 · Investment Income-Coupon Settle</v>
      </c>
      <c r="C152" s="56">
        <f>'Initial TB Submitted to Auditor'!C152</f>
        <v>885400450.85000002</v>
      </c>
      <c r="D152" s="56">
        <v>885400450.85000002</v>
      </c>
      <c r="E152" s="57">
        <f t="shared" si="2"/>
        <v>0</v>
      </c>
    </row>
    <row r="153" spans="2:6">
      <c r="B153" s="3" t="str">
        <f>'TB December 2025   '!V153</f>
        <v>4214 · Interest Income-Mega Farm Capex</v>
      </c>
      <c r="C153" s="56">
        <f>'Initial TB Submitted to Auditor'!C153</f>
        <v>256450973.64000002</v>
      </c>
      <c r="D153" s="56">
        <v>256450973.64000002</v>
      </c>
      <c r="E153" s="57">
        <f t="shared" si="2"/>
        <v>0</v>
      </c>
    </row>
    <row r="154" spans="2:6">
      <c r="B154" s="3" t="str">
        <f>'TB December 2025   '!V154</f>
        <v>4215 · Interest Income-Mega Farm Ferti</v>
      </c>
      <c r="C154" s="56">
        <f>'Initial TB Submitted to Auditor'!C154</f>
        <v>2012035873.98</v>
      </c>
      <c r="D154" s="56">
        <v>2012035873.98</v>
      </c>
      <c r="E154" s="57">
        <f t="shared" si="2"/>
        <v>0</v>
      </c>
    </row>
    <row r="155" spans="2:6">
      <c r="B155" s="3" t="str">
        <f>'TB December 2025   '!V155</f>
        <v>4216 · Interest Income-Mega Farms Oper</v>
      </c>
      <c r="C155" s="56">
        <f>'Initial TB Submitted to Auditor'!C155</f>
        <v>0</v>
      </c>
      <c r="D155" s="56">
        <v>0</v>
      </c>
      <c r="E155" s="57">
        <f t="shared" si="2"/>
        <v>0</v>
      </c>
    </row>
    <row r="156" spans="2:6">
      <c r="B156" s="3" t="str">
        <f>'TB December 2025   '!V156</f>
        <v>4217 · Interest Income-Mega Farms Seed</v>
      </c>
      <c r="C156" s="56">
        <f>'Initial TB Submitted to Auditor'!C156</f>
        <v>412422643.33999997</v>
      </c>
      <c r="D156" s="56">
        <v>412422643.33999997</v>
      </c>
      <c r="E156" s="57">
        <f t="shared" si="2"/>
        <v>0</v>
      </c>
    </row>
    <row r="157" spans="2:6">
      <c r="B157" s="3" t="str">
        <f>'TB December 2025   '!V157</f>
        <v>4219 · Interest Income-Mega Farms Pest</v>
      </c>
      <c r="C157" s="56">
        <f>'Initial TB Submitted to Auditor'!C157</f>
        <v>107021353.81</v>
      </c>
      <c r="D157" s="56">
        <v>107021353.81</v>
      </c>
      <c r="E157" s="57">
        <f t="shared" si="2"/>
        <v>0</v>
      </c>
    </row>
    <row r="158" spans="2:6">
      <c r="B158" s="3" t="str">
        <f>'TB December 2025   '!V158</f>
        <v>4870 · Services Income:4871 · Legal  fees</v>
      </c>
      <c r="C158" s="56">
        <f>'Initial TB Submitted to Auditor'!C158</f>
        <v>171128135</v>
      </c>
      <c r="D158" s="56">
        <v>171128135</v>
      </c>
      <c r="E158" s="57">
        <f t="shared" si="2"/>
        <v>0</v>
      </c>
    </row>
    <row r="159" spans="2:6">
      <c r="B159" s="3" t="str">
        <f>'TB December 2025   '!V159</f>
        <v>4870 · Services Income:4873 · Arrangement Fees</v>
      </c>
      <c r="C159" s="56">
        <f>'Initial TB Submitted to Auditor'!C159</f>
        <v>311342792</v>
      </c>
      <c r="D159" s="56">
        <v>311342792</v>
      </c>
      <c r="E159" s="57">
        <f t="shared" si="2"/>
        <v>0</v>
      </c>
    </row>
    <row r="160" spans="2:6">
      <c r="B160" s="3" t="str">
        <f>'TB December 2025   '!V160</f>
        <v>4870 · Services Income:4874 · Insurance fees</v>
      </c>
      <c r="C160" s="56">
        <f>'Initial TB Submitted to Auditor'!C160</f>
        <v>2463131</v>
      </c>
      <c r="D160" s="56">
        <v>2463131</v>
      </c>
      <c r="E160" s="57">
        <f t="shared" si="2"/>
        <v>0</v>
      </c>
    </row>
    <row r="161" spans="2:6">
      <c r="B161" s="3" t="str">
        <f>'TB December 2025   '!V161</f>
        <v>4870 · Services Income:4875 · PCG Guarantee fees</v>
      </c>
      <c r="C161" s="56">
        <f>'Initial TB Submitted to Auditor'!C161</f>
        <v>1284900</v>
      </c>
      <c r="D161" s="56">
        <v>1284900</v>
      </c>
      <c r="E161" s="57">
        <f t="shared" si="2"/>
        <v>0</v>
      </c>
    </row>
    <row r="162" spans="2:6">
      <c r="B162" s="3" t="str">
        <f>'TB December 2025   '!V162</f>
        <v>4890 · Sundry Income</v>
      </c>
      <c r="C162" s="56">
        <f>'Initial TB Submitted to Auditor'!C162</f>
        <v>1146800</v>
      </c>
      <c r="D162" s="56">
        <v>83471631.909999996</v>
      </c>
      <c r="E162" s="57">
        <f t="shared" si="2"/>
        <v>82324831.909999996</v>
      </c>
      <c r="F162" t="s">
        <v>441</v>
      </c>
    </row>
    <row r="163" spans="2:6">
      <c r="B163" s="3" t="str">
        <f>'TB December 2025   '!V163</f>
        <v>4892 · Grants</v>
      </c>
      <c r="C163" s="56">
        <f>'Initial TB Submitted to Auditor'!C163</f>
        <v>282446928.19999999</v>
      </c>
      <c r="D163" s="56">
        <v>282446928.19999999</v>
      </c>
      <c r="E163" s="57">
        <f t="shared" si="2"/>
        <v>0</v>
      </c>
    </row>
    <row r="164" spans="2:6">
      <c r="B164" s="3" t="str">
        <f>'TB December 2025   '!V164</f>
        <v>5004 · Audit Fees</v>
      </c>
      <c r="C164" s="56">
        <f>'Initial TB Submitted to Auditor'!C164</f>
        <v>-141370669.09999999</v>
      </c>
      <c r="D164" s="56">
        <v>-141370669.09999999</v>
      </c>
      <c r="E164" s="57">
        <f t="shared" si="2"/>
        <v>0</v>
      </c>
    </row>
    <row r="165" spans="2:6">
      <c r="B165" s="3" t="str">
        <f>'TB December 2025   '!V165</f>
        <v>5005 · Board meetings</v>
      </c>
      <c r="C165" s="56">
        <f>'Initial TB Submitted to Auditor'!C165</f>
        <v>-139212365.75999999</v>
      </c>
      <c r="D165" s="56">
        <v>-139212365.75999999</v>
      </c>
      <c r="E165" s="57">
        <f t="shared" si="2"/>
        <v>0</v>
      </c>
    </row>
    <row r="166" spans="2:6">
      <c r="B166" s="3" t="str">
        <f>'TB December 2025   '!V166</f>
        <v>5006 · Directors Fees</v>
      </c>
      <c r="C166" s="56">
        <f>'Initial TB Submitted to Auditor'!C166</f>
        <v>-58559607.840000004</v>
      </c>
      <c r="D166" s="56">
        <v>-58559607.840000004</v>
      </c>
      <c r="E166" s="57">
        <f t="shared" si="2"/>
        <v>0</v>
      </c>
    </row>
    <row r="167" spans="2:6">
      <c r="B167" s="3" t="str">
        <f>'TB December 2025   '!V167</f>
        <v>5007 · Conferences and Meetings</v>
      </c>
      <c r="C167" s="56">
        <f>'Initial TB Submitted to Auditor'!C167</f>
        <v>-5927000</v>
      </c>
      <c r="D167" s="56">
        <v>-5927000</v>
      </c>
      <c r="E167" s="57">
        <f t="shared" si="2"/>
        <v>0</v>
      </c>
    </row>
    <row r="168" spans="2:6">
      <c r="B168" s="3" t="str">
        <f>'TB December 2025   '!V168</f>
        <v>5010 · Consultancy costs</v>
      </c>
      <c r="C168" s="56">
        <f>'Initial TB Submitted to Auditor'!C168</f>
        <v>-79012489.010000005</v>
      </c>
      <c r="D168" s="56">
        <v>-38051489.010000005</v>
      </c>
      <c r="E168" s="57">
        <f t="shared" si="2"/>
        <v>40961000</v>
      </c>
      <c r="F168" t="s">
        <v>442</v>
      </c>
    </row>
    <row r="169" spans="2:6">
      <c r="B169" s="3" t="str">
        <f>'TB December 2025   '!V169</f>
        <v>5012 · Office Supllies</v>
      </c>
      <c r="C169" s="56">
        <f>'Initial TB Submitted to Auditor'!C169</f>
        <v>-22995378.149999999</v>
      </c>
      <c r="D169" s="56">
        <v>-22995378.149999999</v>
      </c>
      <c r="E169" s="57">
        <f t="shared" si="2"/>
        <v>0</v>
      </c>
    </row>
    <row r="170" spans="2:6">
      <c r="B170" s="3" t="str">
        <f>'TB December 2025   '!V170</f>
        <v>5014 · Recruitment expenses</v>
      </c>
      <c r="C170" s="56">
        <f>'Initial TB Submitted to Auditor'!C170</f>
        <v>-6638456</v>
      </c>
      <c r="D170" s="56">
        <v>-6638456</v>
      </c>
      <c r="E170" s="57">
        <f t="shared" si="2"/>
        <v>0</v>
      </c>
    </row>
    <row r="171" spans="2:6">
      <c r="B171" s="3" t="str">
        <f>'TB December 2025   '!V171</f>
        <v>5015 · Relocation allowance</v>
      </c>
      <c r="C171" s="56">
        <f>'Initial TB Submitted to Auditor'!C171</f>
        <v>-871785.68</v>
      </c>
      <c r="D171" s="56">
        <v>-871785.68</v>
      </c>
      <c r="E171" s="57">
        <f t="shared" si="2"/>
        <v>0</v>
      </c>
    </row>
    <row r="172" spans="2:6">
      <c r="B172" s="3" t="str">
        <f>'TB December 2025   '!V172</f>
        <v>5050 · Employee Remuneration:5051 · Employee Pension</v>
      </c>
      <c r="C172" s="56">
        <f>'Initial TB Submitted to Auditor'!C172</f>
        <v>-113697760.98999999</v>
      </c>
      <c r="D172" s="56">
        <v>-113697760.98999999</v>
      </c>
      <c r="E172" s="57">
        <f t="shared" si="2"/>
        <v>0</v>
      </c>
    </row>
    <row r="173" spans="2:6">
      <c r="B173" s="3" t="str">
        <f>'TB December 2025   '!V173</f>
        <v>5050 · Employee Remuneration:5052 · Staff Salaries</v>
      </c>
      <c r="C173" s="56">
        <f>'Initial TB Submitted to Auditor'!C173</f>
        <v>-1166573641.3099999</v>
      </c>
      <c r="D173" s="56">
        <v>-1166573641.3099999</v>
      </c>
      <c r="E173" s="57">
        <f t="shared" si="2"/>
        <v>0</v>
      </c>
    </row>
    <row r="174" spans="2:6">
      <c r="B174" s="3" t="str">
        <f>'TB December 2025   '!V174</f>
        <v>5050 · Employee Remuneration:5053 · Staff Medical</v>
      </c>
      <c r="C174" s="56">
        <f>'Initial TB Submitted to Auditor'!C174</f>
        <v>-30889340.100000001</v>
      </c>
      <c r="D174" s="56">
        <v>-30889340.100000001</v>
      </c>
      <c r="E174" s="57">
        <f t="shared" si="2"/>
        <v>0</v>
      </c>
    </row>
    <row r="175" spans="2:6">
      <c r="B175" s="3" t="str">
        <f>'TB December 2025   '!V175</f>
        <v>5050 · Employee Remuneration:5056 · Other Staff Benefits</v>
      </c>
      <c r="C175" s="56">
        <f>'Initial TB Submitted to Auditor'!C175</f>
        <v>-167950171.59</v>
      </c>
      <c r="D175" s="56">
        <v>-167950171.59</v>
      </c>
      <c r="E175" s="57">
        <f t="shared" si="2"/>
        <v>0</v>
      </c>
    </row>
    <row r="176" spans="2:6">
      <c r="B176" s="3" t="str">
        <f>'TB December 2025   '!V176</f>
        <v>6000 · Advertisng and Promotion</v>
      </c>
      <c r="C176" s="56">
        <f>'Initial TB Submitted to Auditor'!C176</f>
        <v>-160880358.75</v>
      </c>
      <c r="D176" s="56">
        <v>-160880358.75</v>
      </c>
      <c r="E176" s="57">
        <f t="shared" si="2"/>
        <v>0</v>
      </c>
    </row>
    <row r="177" spans="2:6">
      <c r="B177" s="3" t="str">
        <f>'TB December 2025   '!V177</f>
        <v>6010 · Printing and stationery</v>
      </c>
      <c r="C177" s="56">
        <f>'Initial TB Submitted to Auditor'!C177</f>
        <v>-18643890.879999999</v>
      </c>
      <c r="D177" s="56">
        <v>-18643890.879999999</v>
      </c>
      <c r="E177" s="57">
        <f t="shared" si="2"/>
        <v>0</v>
      </c>
    </row>
    <row r="178" spans="2:6">
      <c r="B178" s="3" t="str">
        <f>'TB December 2025   '!V178</f>
        <v>6020 · Vehicle Expense</v>
      </c>
      <c r="C178" s="56">
        <f>'Initial TB Submitted to Auditor'!C178</f>
        <v>-102665807.91</v>
      </c>
      <c r="D178" s="56">
        <v>-102665807.91</v>
      </c>
      <c r="E178" s="57">
        <f t="shared" si="2"/>
        <v>0</v>
      </c>
    </row>
    <row r="179" spans="2:6">
      <c r="B179" s="3" t="str">
        <f>'TB December 2025   '!V179</f>
        <v>6030 · Cleaning Services</v>
      </c>
      <c r="C179" s="56">
        <f>'Initial TB Submitted to Auditor'!C179</f>
        <v>-5267854.63</v>
      </c>
      <c r="D179" s="56">
        <v>-5267854.63</v>
      </c>
      <c r="E179" s="57">
        <f t="shared" si="2"/>
        <v>0</v>
      </c>
    </row>
    <row r="180" spans="2:6">
      <c r="B180" s="3" t="str">
        <f>'TB December 2025   '!V180</f>
        <v>6040 · Bank Service Charges</v>
      </c>
      <c r="C180" s="56">
        <f>'Initial TB Submitted to Auditor'!C180</f>
        <v>-14001351.07</v>
      </c>
      <c r="D180" s="56">
        <v>-14001351.07</v>
      </c>
      <c r="E180" s="57">
        <f t="shared" si="2"/>
        <v>0</v>
      </c>
    </row>
    <row r="181" spans="2:6">
      <c r="B181" s="3" t="str">
        <f>'TB December 2025   '!V181</f>
        <v>6050 · Donations</v>
      </c>
      <c r="C181" s="56">
        <f>'Initial TB Submitted to Auditor'!C181</f>
        <v>-629999.59</v>
      </c>
      <c r="D181" s="56">
        <v>-629999.59</v>
      </c>
      <c r="E181" s="57">
        <f t="shared" si="2"/>
        <v>0</v>
      </c>
    </row>
    <row r="182" spans="2:6">
      <c r="B182" s="3" t="str">
        <f>'TB December 2025   '!V182</f>
        <v>6200 · Staff Training</v>
      </c>
      <c r="C182" s="56">
        <f>'Initial TB Submitted to Auditor'!C182</f>
        <v>-182628477.86000001</v>
      </c>
      <c r="D182" s="56">
        <v>-182628477.86000001</v>
      </c>
      <c r="E182" s="57">
        <f t="shared" si="2"/>
        <v>0</v>
      </c>
    </row>
    <row r="183" spans="2:6">
      <c r="B183" s="3" t="str">
        <f>'TB December 2025   '!V183</f>
        <v>6240 · Depn-Motor Vehicle Exp</v>
      </c>
      <c r="C183" s="56">
        <f>'Initial TB Submitted to Auditor'!C183</f>
        <v>-111675912</v>
      </c>
      <c r="D183" s="56">
        <v>-111675912</v>
      </c>
      <c r="E183" s="57">
        <f t="shared" si="2"/>
        <v>0</v>
      </c>
    </row>
    <row r="184" spans="2:6">
      <c r="B184" s="3" t="str">
        <f>'TB December 2025   '!V184</f>
        <v>6242 · Impairement of Financial Asset</v>
      </c>
      <c r="C184" s="56">
        <f>'Initial TB Submitted to Auditor'!C184</f>
        <v>-243600967.01999998</v>
      </c>
      <c r="D184" s="56">
        <v>-2418100632.4718776</v>
      </c>
      <c r="E184" s="57">
        <f>D184-C184</f>
        <v>-2174499665.4518776</v>
      </c>
      <c r="F184" t="s">
        <v>443</v>
      </c>
    </row>
    <row r="185" spans="2:6">
      <c r="B185" s="3" t="str">
        <f>'TB December 2025   '!V185</f>
        <v>6243 · Depn-Furniture&amp;Fittings Exp</v>
      </c>
      <c r="C185" s="56">
        <f>'Initial TB Submitted to Auditor'!C185</f>
        <v>-6543856.4800000004</v>
      </c>
      <c r="D185" s="56">
        <v>-6543856.4800000004</v>
      </c>
      <c r="E185" s="57">
        <f t="shared" si="2"/>
        <v>0</v>
      </c>
    </row>
    <row r="186" spans="2:6">
      <c r="B186" s="3" t="str">
        <f>'TB December 2025   '!V186</f>
        <v>6244 · Depn-Computer Equip Exp</v>
      </c>
      <c r="C186" s="56">
        <f>'Initial TB Submitted to Auditor'!C186</f>
        <v>-55856532.710000001</v>
      </c>
      <c r="D186" s="56">
        <v>-55856532.710000001</v>
      </c>
      <c r="E186" s="57">
        <f t="shared" si="2"/>
        <v>0</v>
      </c>
    </row>
    <row r="187" spans="2:6">
      <c r="B187" s="3" t="str">
        <f>'TB December 2025   '!V187</f>
        <v>6245 · Depn-Office Equip Exp</v>
      </c>
      <c r="C187" s="56">
        <f>'Initial TB Submitted to Auditor'!C187</f>
        <v>-7772084.5099999998</v>
      </c>
      <c r="D187" s="56">
        <v>-7772084.5099999998</v>
      </c>
      <c r="E187" s="57">
        <f t="shared" si="2"/>
        <v>0</v>
      </c>
    </row>
    <row r="188" spans="2:6">
      <c r="B188" s="3" t="str">
        <f>'TB December 2025   '!V188</f>
        <v>6246 · Depn-Software Expe</v>
      </c>
      <c r="C188" s="56">
        <f>'Initial TB Submitted to Auditor'!C188</f>
        <v>-281740427.08999997</v>
      </c>
      <c r="D188" s="56">
        <v>-327481731.98999995</v>
      </c>
      <c r="E188" s="57">
        <f t="shared" si="2"/>
        <v>-45741304.899999976</v>
      </c>
      <c r="F188" t="s">
        <v>438</v>
      </c>
    </row>
    <row r="189" spans="2:6">
      <c r="B189" s="3" t="str">
        <f>'TB December 2025   '!V189</f>
        <v>6250 · Dues and Subscriptions</v>
      </c>
      <c r="C189" s="56">
        <f>'Initial TB Submitted to Auditor'!C189</f>
        <v>-41170321.939999998</v>
      </c>
      <c r="D189" s="56">
        <v>-41170321.939999998</v>
      </c>
      <c r="E189" s="57">
        <f t="shared" si="2"/>
        <v>0</v>
      </c>
    </row>
    <row r="190" spans="2:6">
      <c r="B190" s="3" t="str">
        <f>'TB December 2025   '!V190</f>
        <v>6330 · Insurance Expense</v>
      </c>
      <c r="C190" s="56">
        <f>'Initial TB Submitted to Auditor'!C190</f>
        <v>-94774136.140000001</v>
      </c>
      <c r="D190" s="56">
        <v>-94774136.140000001</v>
      </c>
      <c r="E190" s="57">
        <f t="shared" si="2"/>
        <v>0</v>
      </c>
    </row>
    <row r="191" spans="2:6">
      <c r="B191" s="3" t="str">
        <f>'TB December 2025   '!V191</f>
        <v>6340 · Interest Expense</v>
      </c>
      <c r="C191" s="56">
        <f>'Initial TB Submitted to Auditor'!C191</f>
        <v>-538251052.94999993</v>
      </c>
      <c r="D191" s="56">
        <v>-545185961.11000001</v>
      </c>
      <c r="E191" s="57">
        <f t="shared" si="2"/>
        <v>-6934908.1600000858</v>
      </c>
      <c r="F191" t="s">
        <v>444</v>
      </c>
    </row>
    <row r="192" spans="2:6">
      <c r="B192" s="3" t="str">
        <f>'TB December 2025   '!V192</f>
        <v>6490 · Office Expense</v>
      </c>
      <c r="C192" s="56">
        <f>'Initial TB Submitted to Auditor'!C192</f>
        <v>-52240554.090000004</v>
      </c>
      <c r="D192" s="56">
        <v>-52240554.090000004</v>
      </c>
      <c r="E192" s="57">
        <f t="shared" si="2"/>
        <v>0</v>
      </c>
    </row>
    <row r="193" spans="2:6">
      <c r="B193" s="3" t="str">
        <f>'TB December 2025   '!V193</f>
        <v>6650 · Postage and Delivery</v>
      </c>
      <c r="C193" s="56">
        <f>'Initial TB Submitted to Auditor'!C193</f>
        <v>-446944.68</v>
      </c>
      <c r="D193" s="56">
        <v>-446944.68</v>
      </c>
      <c r="E193" s="57">
        <f t="shared" si="2"/>
        <v>0</v>
      </c>
    </row>
    <row r="194" spans="2:6">
      <c r="B194" s="3" t="str">
        <f>'TB December 2025   '!V194</f>
        <v>6710 · Rent and Rates</v>
      </c>
      <c r="C194" s="56">
        <f>'Initial TB Submitted to Auditor'!C194</f>
        <v>-64375578.68</v>
      </c>
      <c r="D194" s="56">
        <v>-64375578.68</v>
      </c>
      <c r="E194" s="57">
        <f t="shared" si="2"/>
        <v>0</v>
      </c>
    </row>
    <row r="195" spans="2:6">
      <c r="B195" s="3" t="str">
        <f>'TB December 2025   '!V195</f>
        <v>6720 · Repairs and Maintenance</v>
      </c>
      <c r="C195" s="56">
        <f>'Initial TB Submitted to Auditor'!C195</f>
        <v>-10269719.98</v>
      </c>
      <c r="D195" s="56">
        <v>-10269719.98</v>
      </c>
      <c r="E195" s="57">
        <f t="shared" si="2"/>
        <v>0</v>
      </c>
    </row>
    <row r="196" spans="2:6">
      <c r="B196" s="3" t="str">
        <f>'TB December 2025   '!V196</f>
        <v>6730 · FInES Expenses</v>
      </c>
      <c r="C196" s="56">
        <f>'Initial TB Submitted to Auditor'!C196</f>
        <v>-136005179.13</v>
      </c>
      <c r="D196" s="56">
        <v>-134156015.15000001</v>
      </c>
      <c r="E196" s="57">
        <f t="shared" ref="E196:E211" si="3">D196-C196</f>
        <v>1849163.9799999893</v>
      </c>
      <c r="F196" t="s">
        <v>445</v>
      </c>
    </row>
    <row r="197" spans="2:6">
      <c r="B197" s="3" t="str">
        <f>'TB December 2025   '!V197</f>
        <v>6740 · AGRA Expenses</v>
      </c>
      <c r="C197" s="56">
        <f>'Initial TB Submitted to Auditor'!C197</f>
        <v>-145567970.03999999</v>
      </c>
      <c r="D197" s="56">
        <v>-145567970.03999999</v>
      </c>
      <c r="E197" s="57">
        <f t="shared" si="3"/>
        <v>0</v>
      </c>
    </row>
    <row r="198" spans="2:6">
      <c r="B198" s="3" t="str">
        <f>'TB December 2025   '!V198</f>
        <v>6750 · AGCOM Expenses</v>
      </c>
      <c r="C198" s="56">
        <f>'Initial TB Submitted to Auditor'!C198</f>
        <v>-14000000</v>
      </c>
      <c r="D198" s="56">
        <v>-14000000</v>
      </c>
      <c r="E198" s="57">
        <f t="shared" si="3"/>
        <v>0</v>
      </c>
    </row>
    <row r="199" spans="2:6">
      <c r="B199" s="3" t="str">
        <f>'TB December 2025   '!V199</f>
        <v>6751 · Shared Interest Cost</v>
      </c>
      <c r="C199" s="56">
        <f>'Initial TB Submitted to Auditor'!C199</f>
        <v>-45569973.799999997</v>
      </c>
      <c r="D199" s="56">
        <v>-45569973.799999997</v>
      </c>
      <c r="E199" s="57">
        <f t="shared" si="3"/>
        <v>0</v>
      </c>
    </row>
    <row r="200" spans="2:6">
      <c r="B200" s="3" t="str">
        <f>'TB December 2025   '!V200</f>
        <v>6752 · Legal Costs-Clients</v>
      </c>
      <c r="C200" s="56">
        <f>'Initial TB Submitted to Auditor'!C200</f>
        <v>-125774121.97</v>
      </c>
      <c r="D200" s="56">
        <v>-125774121.97</v>
      </c>
      <c r="E200" s="57">
        <f t="shared" si="3"/>
        <v>0</v>
      </c>
    </row>
    <row r="201" spans="2:6">
      <c r="B201" s="3" t="str">
        <f>'TB December 2025   '!V201</f>
        <v>6754 · Mega Farms T&amp;S Allowances</v>
      </c>
      <c r="C201" s="56">
        <f>'Initial TB Submitted to Auditor'!C201</f>
        <v>-54244136.719999999</v>
      </c>
      <c r="D201" s="56">
        <v>-54244136.719999999</v>
      </c>
      <c r="E201" s="57">
        <f t="shared" si="3"/>
        <v>0</v>
      </c>
    </row>
    <row r="202" spans="2:6">
      <c r="B202" s="3" t="str">
        <f>'TB December 2025   '!V202</f>
        <v>6755 · Mega farms-Vehicle Expenses</v>
      </c>
      <c r="C202" s="56">
        <f>'Initial TB Submitted to Auditor'!C202</f>
        <v>-54542681.799999997</v>
      </c>
      <c r="D202" s="56">
        <v>-54542681.799999997</v>
      </c>
      <c r="E202" s="57">
        <f t="shared" si="3"/>
        <v>0</v>
      </c>
    </row>
    <row r="203" spans="2:6">
      <c r="B203" s="3" t="str">
        <f>'TB December 2025   '!V203</f>
        <v>6756 · Mega Farms-Salaries</v>
      </c>
      <c r="C203" s="56">
        <f>'Initial TB Submitted to Auditor'!C203</f>
        <v>-35321914.780000001</v>
      </c>
      <c r="D203" s="56">
        <v>-35321914.780000001</v>
      </c>
      <c r="E203" s="57">
        <f t="shared" si="3"/>
        <v>0</v>
      </c>
    </row>
    <row r="204" spans="2:6">
      <c r="B204" s="3" t="str">
        <f>'TB December 2025   '!V204</f>
        <v>6757 · Mega farms-Other Expenses</v>
      </c>
      <c r="C204" s="56">
        <f>'Initial TB Submitted to Auditor'!C204</f>
        <v>-22012020</v>
      </c>
      <c r="D204" s="56">
        <v>-22012020</v>
      </c>
      <c r="E204" s="57">
        <f t="shared" si="3"/>
        <v>0</v>
      </c>
    </row>
    <row r="205" spans="2:6">
      <c r="B205" s="3" t="str">
        <f>'TB December 2025   '!V205</f>
        <v>6758 · Mega Farms Board Meeting</v>
      </c>
      <c r="C205" s="56">
        <f>'Initial TB Submitted to Auditor'!C205</f>
        <v>-9330644.2200000007</v>
      </c>
      <c r="D205" s="56">
        <v>-9330644.2200000007</v>
      </c>
      <c r="E205" s="57">
        <f t="shared" si="3"/>
        <v>0</v>
      </c>
    </row>
    <row r="206" spans="2:6">
      <c r="B206" s="3" t="str">
        <f>'TB December 2025   '!V206</f>
        <v>6800 · Taxes:6801 · Tevet levy</v>
      </c>
      <c r="C206" s="56">
        <f>'Initial TB Submitted to Auditor'!C206</f>
        <v>-20787694.670000002</v>
      </c>
      <c r="D206" s="56">
        <v>-20787694.670000002</v>
      </c>
      <c r="E206" s="57">
        <f t="shared" si="3"/>
        <v>0</v>
      </c>
    </row>
    <row r="207" spans="2:6">
      <c r="B207" s="3" t="str">
        <f>'TB December 2025   '!V207</f>
        <v>6800 · Taxes:6802 · Fringe Benefits Tax</v>
      </c>
      <c r="C207" s="56">
        <f>'Initial TB Submitted to Auditor'!C207</f>
        <v>-62165939.850000001</v>
      </c>
      <c r="D207" s="56">
        <v>-62165939.850000001</v>
      </c>
      <c r="E207" s="57">
        <f t="shared" si="3"/>
        <v>0</v>
      </c>
    </row>
    <row r="208" spans="2:6">
      <c r="B208" s="3" t="str">
        <f>'TB December 2025   '!V208</f>
        <v>6810 · Communication</v>
      </c>
      <c r="C208" s="56">
        <f>'Initial TB Submitted to Auditor'!C208</f>
        <v>-145355684.21000001</v>
      </c>
      <c r="D208" s="56">
        <v>-145355684.21000001</v>
      </c>
      <c r="E208" s="57">
        <f t="shared" si="3"/>
        <v>0</v>
      </c>
    </row>
    <row r="209" spans="2:5">
      <c r="B209" s="3" t="str">
        <f>'TB December 2025   '!V209</f>
        <v>6820 · Disposal Acc</v>
      </c>
      <c r="C209" s="56">
        <f>'Initial TB Submitted to Auditor'!C209</f>
        <v>-102245.88</v>
      </c>
      <c r="D209" s="56">
        <v>-102245.88</v>
      </c>
      <c r="E209" s="57">
        <f t="shared" si="3"/>
        <v>0</v>
      </c>
    </row>
    <row r="210" spans="2:5">
      <c r="B210" s="3" t="str">
        <f>'TB December 2025   '!V210</f>
        <v>6840 · Travelling and Accommodation</v>
      </c>
      <c r="C210" s="56">
        <f>'Initial TB Submitted to Auditor'!C210</f>
        <v>-141325779.91000003</v>
      </c>
      <c r="D210" s="56">
        <v>-141325779.91000003</v>
      </c>
      <c r="E210" s="57">
        <f t="shared" si="3"/>
        <v>0</v>
      </c>
    </row>
    <row r="211" spans="2:5">
      <c r="B211" s="3" t="str">
        <f>'TB December 2025   '!V211</f>
        <v>6860 · Utilities</v>
      </c>
      <c r="C211" s="56">
        <f>'Initial TB Submitted to Auditor'!C211</f>
        <v>-14188693.560000001</v>
      </c>
      <c r="D211" s="56">
        <v>-14188693.560000001</v>
      </c>
      <c r="E211" s="57">
        <f t="shared" si="3"/>
        <v>0</v>
      </c>
    </row>
    <row r="212" spans="2:5">
      <c r="B212" s="3"/>
    </row>
    <row r="213" spans="2:5" s="60" customFormat="1">
      <c r="B213" s="68" t="s">
        <v>0</v>
      </c>
      <c r="C213" s="69">
        <f>SUM(C3:C212)</f>
        <v>1.3561919331550598E-5</v>
      </c>
      <c r="D213" s="69">
        <f>SUM(D3:D212)</f>
        <v>-1.15993432700634E-3</v>
      </c>
      <c r="E213" s="69">
        <f>SUM(E3:E212)</f>
        <v>-1.1507570743560791E-3</v>
      </c>
    </row>
    <row r="214" spans="2:5">
      <c r="B214" s="3"/>
    </row>
    <row r="215" spans="2:5">
      <c r="B215" s="3"/>
    </row>
    <row r="216" spans="2:5">
      <c r="B216" s="3"/>
    </row>
    <row r="217" spans="2:5">
      <c r="B217" s="3"/>
    </row>
    <row r="218" spans="2:5">
      <c r="B218" s="3"/>
    </row>
    <row r="219" spans="2:5">
      <c r="B219" s="3"/>
    </row>
    <row r="220" spans="2:5">
      <c r="B220" s="3"/>
    </row>
    <row r="221" spans="2:5">
      <c r="B221" s="3"/>
    </row>
    <row r="222" spans="2:5">
      <c r="B222" s="3"/>
    </row>
    <row r="223" spans="2:5">
      <c r="B223" s="3"/>
    </row>
    <row r="224" spans="2:5">
      <c r="B224" s="3"/>
    </row>
    <row r="225" spans="2:2">
      <c r="B225" s="3"/>
    </row>
    <row r="226" spans="2:2">
      <c r="B226" s="3"/>
    </row>
  </sheetData>
  <pageMargins left="0.7" right="0.7" top="0.75" bottom="0.75" header="0.3" footer="0.3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79BE-E64B-42F0-B746-2DD4656526D4}">
  <dimension ref="B2:C226"/>
  <sheetViews>
    <sheetView showGridLines="0" workbookViewId="0">
      <pane xSplit="2" ySplit="2" topLeftCell="C138" activePane="bottomRight" state="frozen"/>
      <selection activeCell="E40" sqref="E40"/>
      <selection pane="topRight" activeCell="E40" sqref="E40"/>
      <selection pane="bottomLeft" activeCell="E40" sqref="E40"/>
      <selection pane="bottomRight" activeCell="B147" sqref="B147"/>
    </sheetView>
  </sheetViews>
  <sheetFormatPr defaultColWidth="8.81640625" defaultRowHeight="13"/>
  <cols>
    <col min="1" max="1" width="8.81640625" style="1"/>
    <col min="2" max="2" width="57.81640625" style="1" bestFit="1" customWidth="1"/>
    <col min="3" max="3" width="17.54296875" style="4" customWidth="1"/>
    <col min="4" max="16384" width="8.81640625" style="1"/>
  </cols>
  <sheetData>
    <row r="2" spans="2:3">
      <c r="C2" s="2">
        <v>45992</v>
      </c>
    </row>
    <row r="3" spans="2:3">
      <c r="B3" s="3" t="str">
        <f>'TB December 2025   '!V3</f>
        <v>1001 · CDH Inv Bank 0050401042201</v>
      </c>
      <c r="C3" s="4">
        <f>'TB December 2025   '!W3</f>
        <v>68950245.909999996</v>
      </c>
    </row>
    <row r="4" spans="2:3">
      <c r="B4" s="3" t="str">
        <f>'TB December 2025   '!V4</f>
        <v>1002 · CDH Inv Bank PIA 0050401044100</v>
      </c>
      <c r="C4" s="4">
        <f>'TB December 2025   '!W4</f>
        <v>-3276701.73</v>
      </c>
    </row>
    <row r="5" spans="2:3">
      <c r="B5" s="3" t="str">
        <f>'TB December 2025   '!V5</f>
        <v>1003 · FDI Project-Payments</v>
      </c>
      <c r="C5" s="4">
        <f>'TB December 2025   '!W5</f>
        <v>0</v>
      </c>
    </row>
    <row r="6" spans="2:3">
      <c r="B6" s="3" t="str">
        <f>'TB December 2025   '!V6</f>
        <v>1005 · FDI Project payment-USD</v>
      </c>
      <c r="C6" s="4">
        <f>'TB December 2025   '!W6</f>
        <v>-4.67</v>
      </c>
    </row>
    <row r="7" spans="2:3">
      <c r="B7" s="3" t="str">
        <f>'TB December 2025   '!V7</f>
        <v>1006 · Petty cash</v>
      </c>
      <c r="C7" s="4">
        <f>'TB December 2025   '!W7</f>
        <v>-71515.78</v>
      </c>
    </row>
    <row r="8" spans="2:3">
      <c r="B8" s="3" t="str">
        <f>'TB December 2025   '!V8</f>
        <v>1012 · Money Market:1008 · Alliance Capital</v>
      </c>
      <c r="C8" s="4">
        <f>'TB December 2025   '!W8</f>
        <v>0</v>
      </c>
    </row>
    <row r="9" spans="2:3">
      <c r="B9" s="3" t="str">
        <f>'TB December 2025   '!V9</f>
        <v>1012 · Money Market:1009 · CDHIB Fixed Deposit</v>
      </c>
      <c r="C9" s="4">
        <f>'TB December 2025   '!W9</f>
        <v>-1877771252.6800001</v>
      </c>
    </row>
    <row r="10" spans="2:3">
      <c r="B10" s="3" t="str">
        <f>'TB December 2025   '!V10</f>
        <v>1012 · Money Market:1010 · CDHIB Call Account</v>
      </c>
      <c r="C10" s="4">
        <f>'TB December 2025   '!W10</f>
        <v>-33611610.890000001</v>
      </c>
    </row>
    <row r="11" spans="2:3">
      <c r="B11" s="3" t="str">
        <f>'TB December 2025   '!V11</f>
        <v>1012 · Money Market:1011 · FDH Discount House</v>
      </c>
      <c r="C11" s="4">
        <f>'TB December 2025   '!W11</f>
        <v>-2697017766.1799998</v>
      </c>
    </row>
    <row r="12" spans="2:3">
      <c r="B12" s="3" t="str">
        <f>'TB December 2025   '!V12</f>
        <v>1012 · Money Market:1013 · MyBucks</v>
      </c>
      <c r="C12" s="4">
        <f>'TB December 2025   '!W12</f>
        <v>0</v>
      </c>
    </row>
    <row r="13" spans="2:3">
      <c r="B13" s="3" t="str">
        <f>'TB December 2025   '!V13</f>
        <v>1012 · Money Market:1014 · Continental Asset Management</v>
      </c>
      <c r="C13" s="4">
        <f>'TB December 2025   '!W13</f>
        <v>-1599257969.6700001</v>
      </c>
    </row>
    <row r="14" spans="2:3">
      <c r="B14" s="3" t="str">
        <f>'TB December 2025   '!V14</f>
        <v>1012 · Money Market:1015 · NICO-INV1</v>
      </c>
      <c r="C14" s="4">
        <f>'TB December 2025   '!W14</f>
        <v>0</v>
      </c>
    </row>
    <row r="15" spans="2:3">
      <c r="B15" s="3" t="str">
        <f>'TB December 2025   '!V15</f>
        <v>1012 · Money Market:1016 · Treasury Note</v>
      </c>
      <c r="C15" s="4">
        <f>'TB December 2025   '!W15</f>
        <v>0</v>
      </c>
    </row>
    <row r="16" spans="2:3">
      <c r="B16" s="3" t="str">
        <f>'TB December 2025   '!V16</f>
        <v>1012 · Money Market:1020 · FINCA</v>
      </c>
      <c r="C16" s="4">
        <f>'TB December 2025   '!W16</f>
        <v>0</v>
      </c>
    </row>
    <row r="17" spans="2:3">
      <c r="B17" s="3" t="str">
        <f>'TB December 2025   '!V17</f>
        <v>1012 · Money Market:1025 · CDHIB Fixed Deposit (USD)</v>
      </c>
      <c r="C17" s="4">
        <f>'TB December 2025   '!W17</f>
        <v>-293583637.85000002</v>
      </c>
    </row>
    <row r="18" spans="2:3">
      <c r="B18" s="3" t="str">
        <f>'TB December 2025   '!V18</f>
        <v>1012 · Money Market:1026 · NICO-INV 2</v>
      </c>
      <c r="C18" s="4">
        <f>'TB December 2025   '!W18</f>
        <v>0</v>
      </c>
    </row>
    <row r="19" spans="2:3">
      <c r="B19" s="3" t="str">
        <f>'TB December 2025   '!V19</f>
        <v>1012 · Money Market:1027 · CDHIB Call Account FInES</v>
      </c>
      <c r="C19" s="4">
        <f>'TB December 2025   '!W19</f>
        <v>-36229353.009999998</v>
      </c>
    </row>
    <row r="20" spans="2:3">
      <c r="B20" s="3" t="str">
        <f>'TB December 2025   '!V20</f>
        <v>1012 · Money Market:1028 · Old Mutual Investment Group Ltd</v>
      </c>
      <c r="C20" s="4">
        <f>'TB December 2025   '!W20</f>
        <v>-0.18</v>
      </c>
    </row>
    <row r="21" spans="2:3">
      <c r="B21" s="3" t="str">
        <f>'TB December 2025   '!V21</f>
        <v>1012 · Money Market:1031 · CDHIB Fixed Deposit (USD) 2</v>
      </c>
      <c r="C21" s="4">
        <f>'TB December 2025   '!W21</f>
        <v>-361232814.87</v>
      </c>
    </row>
    <row r="22" spans="2:3">
      <c r="B22" s="3" t="str">
        <f>'TB December 2025   '!V22</f>
        <v>1012 · Money Market:1032 · CDHIB Fixed Deposit (USD) 3</v>
      </c>
      <c r="C22" s="4">
        <f>'TB December 2025   '!W22</f>
        <v>-44302226.009999998</v>
      </c>
    </row>
    <row r="23" spans="2:3">
      <c r="B23" s="3" t="str">
        <f>'TB December 2025   '!V23</f>
        <v>1012 · Money Market:1033 · NBS Bank- Mega Farms 1</v>
      </c>
      <c r="C23" s="4">
        <f>'TB December 2025   '!W23</f>
        <v>0</v>
      </c>
    </row>
    <row r="24" spans="2:3">
      <c r="B24" s="3" t="str">
        <f>'TB December 2025   '!V24</f>
        <v>1012 · Money Market:1034 · NBS Bank Mega Farms 2</v>
      </c>
      <c r="C24" s="4">
        <f>'TB December 2025   '!W24</f>
        <v>0</v>
      </c>
    </row>
    <row r="25" spans="2:3">
      <c r="B25" s="3" t="str">
        <f>'TB December 2025   '!V25</f>
        <v>1012 · Money Market:1035 · Continental Asset Management 2</v>
      </c>
      <c r="C25" s="4">
        <f>'TB December 2025   '!W25</f>
        <v>-6454577079.2600002</v>
      </c>
    </row>
    <row r="26" spans="2:3">
      <c r="B26" s="3" t="str">
        <f>'TB December 2025   '!V26</f>
        <v>1012 · Money Market:1037 · CDHIB Call Account AGCOM</v>
      </c>
      <c r="C26" s="4">
        <f>'TB December 2025   '!W26</f>
        <v>-29851626.039999999</v>
      </c>
    </row>
    <row r="27" spans="2:3">
      <c r="B27" s="3" t="str">
        <f>'TB December 2025   '!V27</f>
        <v>1012 · Money Market:1038 · CDHIB Fixed Deposit AGCOM</v>
      </c>
      <c r="C27" s="4">
        <f>'TB December 2025   '!W27</f>
        <v>-1808285074</v>
      </c>
    </row>
    <row r="28" spans="2:3">
      <c r="B28" s="3" t="str">
        <f>'TB December 2025   '!V28</f>
        <v>1012 · Money Market:1043 · NBS Money Market</v>
      </c>
      <c r="C28" s="4">
        <f>'TB December 2025   '!W28</f>
        <v>0</v>
      </c>
    </row>
    <row r="29" spans="2:3">
      <c r="B29" s="3" t="str">
        <f>'TB December 2025   '!V29</f>
        <v>1012 · Money Market:1044 · FDH Discount House 2</v>
      </c>
      <c r="C29" s="4">
        <f>'TB December 2025   '!W29</f>
        <v>-2016985716.8800001</v>
      </c>
    </row>
    <row r="30" spans="2:3">
      <c r="B30" s="3" t="str">
        <f>'TB December 2025   '!V30</f>
        <v>1012 · Money Market:1045 · FDH Discount House 3</v>
      </c>
      <c r="C30" s="4">
        <f>'TB December 2025   '!W30</f>
        <v>0</v>
      </c>
    </row>
    <row r="31" spans="2:3">
      <c r="B31" s="3" t="str">
        <f>'TB December 2025   '!V31</f>
        <v>1012 · Money Market:1047 · NICO Asset Managers</v>
      </c>
      <c r="C31" s="4">
        <f>'TB December 2025   '!W31</f>
        <v>-3822360587.3499999</v>
      </c>
    </row>
    <row r="32" spans="2:3">
      <c r="B32" s="3" t="str">
        <f>'TB December 2025   '!V32</f>
        <v>1017 · NBS Cash collection</v>
      </c>
      <c r="C32" s="4">
        <f>'TB December 2025   '!W32</f>
        <v>-339514040.31999999</v>
      </c>
    </row>
    <row r="33" spans="2:3">
      <c r="B33" s="3" t="str">
        <f>'TB December 2025   '!V33</f>
        <v>1018 · NBS Current A/C 21011223</v>
      </c>
      <c r="C33" s="4">
        <f>'TB December 2025   '!W33</f>
        <v>-193081999.19999999</v>
      </c>
    </row>
    <row r="34" spans="2:3">
      <c r="B34" s="3" t="str">
        <f>'TB December 2025   '!V34</f>
        <v>1019 · NBS USD A/C 21011436</v>
      </c>
      <c r="C34" s="4">
        <f>'TB December 2025   '!W34</f>
        <v>-1846377.7</v>
      </c>
    </row>
    <row r="35" spans="2:3">
      <c r="B35" s="3" t="str">
        <f>'TB December 2025   '!V35</f>
        <v>1021 · NBS Money Market</v>
      </c>
      <c r="C35" s="4">
        <f>'TB December 2025   '!W35</f>
        <v>-1515277059.54</v>
      </c>
    </row>
    <row r="36" spans="2:3">
      <c r="B36" s="3" t="str">
        <f>'TB December 2025   '!V36</f>
        <v>1022 · AGRA- FCDA</v>
      </c>
      <c r="C36" s="4">
        <f>'TB December 2025   '!W36</f>
        <v>-278748466.37</v>
      </c>
    </row>
    <row r="37" spans="2:3">
      <c r="B37" s="3" t="str">
        <f>'TB December 2025   '!V37</f>
        <v>1023 · MICF- Mbora FCDA</v>
      </c>
      <c r="C37" s="4">
        <f>'TB December 2025   '!W37</f>
        <v>-5.46</v>
      </c>
    </row>
    <row r="38" spans="2:3">
      <c r="B38" s="3" t="str">
        <f>'TB December 2025   '!V38</f>
        <v>1024 · RBM - Treasury Bills</v>
      </c>
      <c r="C38" s="4">
        <f>'TB December 2025   '!W38</f>
        <v>0</v>
      </c>
    </row>
    <row r="39" spans="2:3">
      <c r="B39" s="3" t="str">
        <f>'TB December 2025   '!V39</f>
        <v>1029 · NBS Money Market Acc 2</v>
      </c>
      <c r="C39" s="4">
        <f>'TB December 2025   '!W39</f>
        <v>-808861779.25999999</v>
      </c>
    </row>
    <row r="40" spans="2:3">
      <c r="B40" s="3" t="str">
        <f>'TB December 2025   '!V40</f>
        <v>1036 · NBS Bank Mega Farms</v>
      </c>
      <c r="C40" s="4">
        <f>'TB December 2025   '!W40</f>
        <v>0</v>
      </c>
    </row>
    <row r="41" spans="2:3">
      <c r="B41" s="3" t="str">
        <f>'TB December 2025   '!V41</f>
        <v>1046 · First Capital Bank</v>
      </c>
      <c r="C41" s="4">
        <f>'TB December 2025   '!W41</f>
        <v>-28486995.050000001</v>
      </c>
    </row>
    <row r="42" spans="2:3">
      <c r="B42" s="3" t="str">
        <f>'TB December 2025   '!V42</f>
        <v>1048 · CDHIB MAIIC AGRA (MK)</v>
      </c>
      <c r="C42" s="4">
        <f>'TB December 2025   '!W42</f>
        <v>-36188936.079999998</v>
      </c>
    </row>
    <row r="43" spans="2:3">
      <c r="B43" s="3" t="str">
        <f>'TB December 2025   '!V43</f>
        <v>1030 · Partial Credit Guarantee Fund</v>
      </c>
      <c r="C43" s="4">
        <f>'TB December 2025   '!W43</f>
        <v>-71808009.090000004</v>
      </c>
    </row>
    <row r="44" spans="2:3">
      <c r="B44" s="3" t="str">
        <f>'TB December 2025   '!V44</f>
        <v>1039 · Accrued Coupon Settlements</v>
      </c>
      <c r="C44" s="4">
        <f>'TB December 2025   '!W44</f>
        <v>-538202990.38999999</v>
      </c>
    </row>
    <row r="45" spans="2:3">
      <c r="B45" s="3" t="str">
        <f>'TB December 2025   '!V45</f>
        <v>1040 · Accrued Interest Income- MM</v>
      </c>
      <c r="C45" s="4">
        <f>'TB December 2025   '!W45</f>
        <v>-623536778.73000002</v>
      </c>
    </row>
    <row r="46" spans="2:3">
      <c r="B46" s="3" t="str">
        <f>'TB December 2025   '!V46</f>
        <v>1041 · Accrued Interest income- TNote</v>
      </c>
      <c r="C46" s="4">
        <f>'TB December 2025   '!W46</f>
        <v>0</v>
      </c>
    </row>
    <row r="47" spans="2:3">
      <c r="B47" s="3" t="str">
        <f>'TB December 2025   '!V47</f>
        <v>1042 · Accrued Interest Income- T/Bill</v>
      </c>
      <c r="C47" s="4">
        <f>'TB December 2025   '!W47</f>
        <v>0</v>
      </c>
    </row>
    <row r="48" spans="2:3">
      <c r="B48" s="3" t="str">
        <f>'TB December 2025   '!V48</f>
        <v>1049 · Term Loan - USD</v>
      </c>
      <c r="C48" s="4">
        <f>'TB December 2025   '!W48</f>
        <v>0</v>
      </c>
    </row>
    <row r="49" spans="2:3">
      <c r="B49" s="3" t="str">
        <f>'TB December 2025   '!V49</f>
        <v>1050 · Term Loans</v>
      </c>
      <c r="C49" s="4">
        <f>'TB December 2025   '!W49</f>
        <v>-14702425065.24</v>
      </c>
    </row>
    <row r="50" spans="2:3">
      <c r="B50" s="3" t="str">
        <f>'TB December 2025   '!V50</f>
        <v>1053 · Accounts Receivables</v>
      </c>
      <c r="C50" s="4">
        <f>'TB December 2025   '!W50</f>
        <v>-266387978.31</v>
      </c>
    </row>
    <row r="51" spans="2:3">
      <c r="B51" s="3" t="str">
        <f>'TB December 2025   '!V51</f>
        <v>1054 · Mega Farms-Fertilizers-Loan</v>
      </c>
      <c r="C51" s="4">
        <f>'TB December 2025   '!W51</f>
        <v>-33189976388.439999</v>
      </c>
    </row>
    <row r="52" spans="2:3">
      <c r="B52" s="3" t="str">
        <f>'TB December 2025   '!V52</f>
        <v>1055 · Mega Farms-Seed Loans</v>
      </c>
      <c r="C52" s="4">
        <f>'TB December 2025   '!W52</f>
        <v>-7594166930.3299999</v>
      </c>
    </row>
    <row r="53" spans="2:3">
      <c r="B53" s="3" t="str">
        <f>'TB December 2025   '!V53</f>
        <v>1056 · Mega Farms-Working Capital Loan</v>
      </c>
      <c r="C53" s="4">
        <f>'TB December 2025   '!W53</f>
        <v>-666232281.67999995</v>
      </c>
    </row>
    <row r="54" spans="2:3">
      <c r="B54" s="3" t="str">
        <f>'TB December 2025   '!V54</f>
        <v>1057 · Mega Farms-Equipment Loan</v>
      </c>
      <c r="C54" s="4">
        <f>'TB December 2025   '!W54</f>
        <v>-1803483008.9400001</v>
      </c>
    </row>
    <row r="55" spans="2:3">
      <c r="B55" s="3" t="str">
        <f>'TB December 2025   '!V55</f>
        <v>1058 · Mega Farms-Irrigation Loan</v>
      </c>
      <c r="C55" s="4">
        <f>'TB December 2025   '!W55</f>
        <v>-1975867573.0599999</v>
      </c>
    </row>
    <row r="56" spans="2:3">
      <c r="B56" s="3" t="str">
        <f>'TB December 2025   '!V56</f>
        <v>1059 · Mega Farm Loans Interest-Capex</v>
      </c>
      <c r="C56" s="4">
        <f>'TB December 2025   '!W56</f>
        <v>-211517748.65000001</v>
      </c>
    </row>
    <row r="57" spans="2:3">
      <c r="B57" s="3" t="str">
        <f>'TB December 2025   '!V57</f>
        <v>1060 · Mega Farm Loans Interest-Fertil</v>
      </c>
      <c r="C57" s="4">
        <f>'TB December 2025   '!W57</f>
        <v>-5153938978.2699995</v>
      </c>
    </row>
    <row r="58" spans="2:3">
      <c r="B58" s="3" t="str">
        <f>'TB December 2025   '!V58</f>
        <v>1061 · Mega Farm Loans Interest-OPEX</v>
      </c>
      <c r="C58" s="4">
        <f>'TB December 2025   '!W58</f>
        <v>-436488243.54000002</v>
      </c>
    </row>
    <row r="59" spans="2:3">
      <c r="B59" s="3" t="str">
        <f>'TB December 2025   '!V59</f>
        <v>1062 · Mega Farm Loans Interest-Seed</v>
      </c>
      <c r="C59" s="4">
        <f>'TB December 2025   '!W59</f>
        <v>-1202956444.74</v>
      </c>
    </row>
    <row r="60" spans="2:3">
      <c r="B60" s="3" t="str">
        <f>'TB December 2025   '!V60</f>
        <v>1063 · Mega Farm - Pesticides Loan</v>
      </c>
      <c r="C60" s="4">
        <f>'TB December 2025   '!W60</f>
        <v>-1937039096.8199999</v>
      </c>
    </row>
    <row r="61" spans="2:3">
      <c r="B61" s="3" t="str">
        <f>'TB December 2025   '!V61</f>
        <v>1066 · ECL Megafarm Loans</v>
      </c>
      <c r="C61" s="4">
        <f>'TB December 2025   '!W61</f>
        <v>-43218781408.68</v>
      </c>
    </row>
    <row r="62" spans="2:3">
      <c r="B62" s="3" t="str">
        <f>'TB December 2025   '!V62</f>
        <v>1067 · Mega Farm Loans Interest-Pestic</v>
      </c>
      <c r="C62" s="4">
        <f>'TB December 2025   '!W62</f>
        <v>-308530771.99000001</v>
      </c>
    </row>
    <row r="63" spans="2:3">
      <c r="B63" s="3" t="str">
        <f>'TB December 2025   '!V63</f>
        <v>1051 · Employee loan and advances</v>
      </c>
      <c r="C63" s="4">
        <f>'TB December 2025   '!W63</f>
        <v>-351512372.39999998</v>
      </c>
    </row>
    <row r="64" spans="2:3">
      <c r="B64" s="3" t="str">
        <f>'TB December 2025   '!V64</f>
        <v>1052 · Prepaid expenses</v>
      </c>
      <c r="C64" s="4">
        <f>'TB December 2025   '!W64</f>
        <v>-58392453.649999999</v>
      </c>
    </row>
    <row r="65" spans="2:3">
      <c r="B65" s="3" t="str">
        <f>'TB December 2025   '!V65</f>
        <v>1070. Mega Farms Receivable- ADMARC</v>
      </c>
      <c r="C65" s="4">
        <f>'TB December 2025   '!W65</f>
        <v>-3101789311.4499998</v>
      </c>
    </row>
    <row r="66" spans="2:3">
      <c r="B66" s="3" t="str">
        <f>'TB December 2025   '!V66</f>
        <v>1071. Mega Farms Receivable- NFRA</v>
      </c>
      <c r="C66" s="4">
        <f>'TB December 2025   '!W66</f>
        <v>-70177833.340000004</v>
      </c>
    </row>
    <row r="67" spans="2:3">
      <c r="B67" s="3" t="str">
        <f>'TB December 2025   '!V67</f>
        <v>1074 . Mega Farm Receivable ACE Agriculture Limited</v>
      </c>
      <c r="C67" s="4">
        <f>'TB December 2025   '!W67</f>
        <v>-429134960.38</v>
      </c>
    </row>
    <row r="68" spans="2:3">
      <c r="B68" s="3" t="str">
        <f>'TB December 2025   '!V68</f>
        <v>1100 · Cash Collateral</v>
      </c>
      <c r="C68" s="4">
        <f>'TB December 2025   '!W68</f>
        <v>7000000</v>
      </c>
    </row>
    <row r="69" spans="2:3">
      <c r="B69" s="3" t="str">
        <f>'TB December 2025   '!V69</f>
        <v>1210 · Cash passport card</v>
      </c>
      <c r="C69" s="4">
        <f>'TB December 2025   '!W69</f>
        <v>0</v>
      </c>
    </row>
    <row r="70" spans="2:3">
      <c r="B70" s="3" t="str">
        <f>'TB December 2025   '!V70</f>
        <v>1310 · Prepaid Insurance</v>
      </c>
      <c r="C70" s="4">
        <f>'TB December 2025   '!W70</f>
        <v>-81652610.739999995</v>
      </c>
    </row>
    <row r="71" spans="2:3">
      <c r="B71" s="3" t="str">
        <f>'TB December 2025   '!V71</f>
        <v>1320 · Interest Suspense</v>
      </c>
      <c r="C71" s="4">
        <f>'TB December 2025   '!W71</f>
        <v>21865867.350000001</v>
      </c>
    </row>
    <row r="72" spans="2:3">
      <c r="B72" s="3" t="str">
        <f>'TB December 2025   '!V72</f>
        <v>1321 · Capital Raising Prepayment</v>
      </c>
      <c r="C72" s="4">
        <f>'TB December 2025   '!W72</f>
        <v>0</v>
      </c>
    </row>
    <row r="73" spans="2:3">
      <c r="B73" s="3" t="str">
        <f>'TB December 2025   '!V73</f>
        <v>1877 · Prepaid Loan Repayments Account</v>
      </c>
      <c r="C73" s="4">
        <f>'TB December 2025   '!W73</f>
        <v>0</v>
      </c>
    </row>
    <row r="74" spans="2:3">
      <c r="B74" s="3" t="str">
        <f>'TB December 2025   '!V74</f>
        <v>1500 · Furniture and Fixtures</v>
      </c>
      <c r="C74" s="4">
        <f>'TB December 2025   '!W74</f>
        <v>-460175</v>
      </c>
    </row>
    <row r="75" spans="2:3">
      <c r="B75" s="3" t="str">
        <f>'TB December 2025   '!V75</f>
        <v>1500 · Furniture and Fixtures:1501 · Cost</v>
      </c>
      <c r="C75" s="4">
        <f>'TB December 2025   '!W75</f>
        <v>-113325948.7</v>
      </c>
    </row>
    <row r="76" spans="2:3">
      <c r="B76" s="3" t="str">
        <f>'TB December 2025   '!V76</f>
        <v>1500 · Furniture and Fixtures:1502 · Depreciation</v>
      </c>
      <c r="C76" s="4">
        <f>'TB December 2025   '!W76</f>
        <v>94359370.439999998</v>
      </c>
    </row>
    <row r="77" spans="2:3">
      <c r="B77" s="3" t="str">
        <f>'TB December 2025   '!V77</f>
        <v>1510 · Computer Equipment:1511 · Cost</v>
      </c>
      <c r="C77" s="4">
        <f>'TB December 2025   '!W77</f>
        <v>-207821826.59999999</v>
      </c>
    </row>
    <row r="78" spans="2:3">
      <c r="B78" s="3" t="str">
        <f>'TB December 2025   '!V78</f>
        <v>1510 · Computer Equipment:1512 · Depreciation</v>
      </c>
      <c r="C78" s="4">
        <f>'TB December 2025   '!W78</f>
        <v>110165541.54000001</v>
      </c>
    </row>
    <row r="79" spans="2:3">
      <c r="B79" s="3" t="str">
        <f>'TB December 2025   '!V79</f>
        <v>1520 · Office Equipment:1521 · Cost</v>
      </c>
      <c r="C79" s="4">
        <f>'TB December 2025   '!W79</f>
        <v>-53624126.75</v>
      </c>
    </row>
    <row r="80" spans="2:3">
      <c r="B80" s="3" t="str">
        <f>'TB December 2025   '!V80</f>
        <v>1520 · Office Equipment:1522 · Depreciation</v>
      </c>
      <c r="C80" s="4">
        <f>'TB December 2025   '!W80</f>
        <v>28875489.359999999</v>
      </c>
    </row>
    <row r="81" spans="2:3">
      <c r="B81" s="3" t="str">
        <f>'TB December 2025   '!V81</f>
        <v>1530 · Motor Vehicles:1531 · Cost</v>
      </c>
      <c r="C81" s="4">
        <f>'TB December 2025   '!W81</f>
        <v>-801845100.00999999</v>
      </c>
    </row>
    <row r="82" spans="2:3">
      <c r="B82" s="3" t="str">
        <f>'TB December 2025   '!V82</f>
        <v>1530 · Motor Vehicles:1532 · Depreciation</v>
      </c>
      <c r="C82" s="4">
        <f>'TB December 2025   '!W82</f>
        <v>321748192.73000002</v>
      </c>
    </row>
    <row r="83" spans="2:3">
      <c r="B83" s="3" t="str">
        <f>'TB December 2025   '!V83</f>
        <v>1545 · Software</v>
      </c>
      <c r="C83" s="4">
        <f>'TB December 2025   '!W83</f>
        <v>0</v>
      </c>
    </row>
    <row r="84" spans="2:3">
      <c r="B84" s="3" t="str">
        <f>'TB December 2025   '!V84</f>
        <v>1545 · Software:1546 · Cost</v>
      </c>
      <c r="C84" s="4">
        <f>'TB December 2025   '!W84</f>
        <v>-1897045885.8800001</v>
      </c>
    </row>
    <row r="85" spans="2:3">
      <c r="B85" s="3" t="str">
        <f>'TB December 2025   '!V85</f>
        <v>1545 · Software:1547 · Depreciation</v>
      </c>
      <c r="C85" s="4">
        <f>'TB December 2025   '!W85</f>
        <v>292603680.51999998</v>
      </c>
    </row>
    <row r="86" spans="2:3">
      <c r="B86" s="3" t="str">
        <f>'TB December 2025   '!V86</f>
        <v>1595 · Right of Use:1596 · Cost</v>
      </c>
      <c r="C86" s="4">
        <f>'TB December 2025   '!W86</f>
        <v>0</v>
      </c>
    </row>
    <row r="87" spans="2:3">
      <c r="B87" s="3" t="str">
        <f>'TB December 2025   '!V87</f>
        <v>1595 · Right of Use:1597 · Amortisation/ Depreciation</v>
      </c>
      <c r="C87" s="4">
        <f>'TB December 2025   '!W87</f>
        <v>0</v>
      </c>
    </row>
    <row r="88" spans="2:3">
      <c r="B88" s="3" t="str">
        <f>'TB December 2025   '!V88</f>
        <v>1548 · Amortization</v>
      </c>
      <c r="C88" s="4">
        <f>'TB December 2025   '!W88</f>
        <v>0</v>
      </c>
    </row>
    <row r="89" spans="2:3">
      <c r="B89" s="3" t="str">
        <f>'TB December 2025   '!V89</f>
        <v>1549 · WIP</v>
      </c>
      <c r="C89" s="4">
        <f>'TB December 2025   '!W89</f>
        <v>148576785.15000001</v>
      </c>
    </row>
    <row r="90" spans="2:3">
      <c r="B90" s="3" t="str">
        <f>'TB December 2025   '!V90</f>
        <v>1871 · Undrawn Commitment-MAIIC</v>
      </c>
      <c r="C90" s="4">
        <f>'TB December 2025   '!W90</f>
        <v>-1440414653.3000002</v>
      </c>
    </row>
    <row r="91" spans="2:3">
      <c r="B91" s="3" t="str">
        <f>'TB December 2025   '!V91</f>
        <v>1872 · Undrawn Commitments-FInES</v>
      </c>
      <c r="C91" s="4">
        <f>'TB December 2025   '!W91</f>
        <v>280416277.55000007</v>
      </c>
    </row>
    <row r="92" spans="2:3">
      <c r="B92" s="3" t="str">
        <f>'TB December 2025   '!V92</f>
        <v>1873 · Guarantees MAIIC</v>
      </c>
      <c r="C92" s="4">
        <f>'TB December 2025   '!W92</f>
        <v>-40847815</v>
      </c>
    </row>
    <row r="93" spans="2:3">
      <c r="B93" s="3" t="str">
        <f>'TB December 2025   '!V93</f>
        <v>1874 · Guarantees -FInES</v>
      </c>
      <c r="C93" s="4">
        <f>'TB December 2025   '!W93</f>
        <v>-1338483000</v>
      </c>
    </row>
    <row r="94" spans="2:3">
      <c r="B94" s="3" t="str">
        <f>'TB December 2025   '!V94</f>
        <v>1875 · Guarantees -AGCOM</v>
      </c>
      <c r="C94" s="4">
        <f>'TB December 2025   '!W94</f>
        <v>-170064000</v>
      </c>
    </row>
    <row r="95" spans="2:3">
      <c r="B95" s="3" t="str">
        <f>'TB December 2025   '!V95</f>
        <v>1876 · ECL Write Offs</v>
      </c>
      <c r="C95" s="4">
        <f>'TB December 2025   '!W95</f>
        <v>160422115.12</v>
      </c>
    </row>
    <row r="96" spans="2:3">
      <c r="B96" s="3" t="str">
        <f>'TB December 2025   '!V96</f>
        <v>2000 · Accounts Payable</v>
      </c>
      <c r="C96" s="4">
        <f>'TB December 2025   '!W96</f>
        <v>22012166.879999999</v>
      </c>
    </row>
    <row r="97" spans="2:3">
      <c r="B97" s="3" t="str">
        <f>'TB December 2025   '!V97</f>
        <v>2001 · Accounts Payable - USD</v>
      </c>
      <c r="C97" s="4">
        <f>'TB December 2025   '!W97</f>
        <v>0</v>
      </c>
    </row>
    <row r="98" spans="2:3">
      <c r="B98" s="3" t="str">
        <f>'TB December 2025   '!V98</f>
        <v>2002 · Accounts Payable - ZAR</v>
      </c>
      <c r="C98" s="4">
        <f>'TB December 2025   '!W98</f>
        <v>0.03</v>
      </c>
    </row>
    <row r="99" spans="2:3">
      <c r="B99" s="3" t="str">
        <f>'TB December 2025   '!V99</f>
        <v>2003 · Capital Raising WIP Payables</v>
      </c>
      <c r="C99" s="4">
        <f>'TB December 2025   '!W99</f>
        <v>0</v>
      </c>
    </row>
    <row r="100" spans="2:3">
      <c r="B100" s="3" t="str">
        <f>'TB December 2025   '!V100</f>
        <v>1064 · Term Loans Write Offs</v>
      </c>
      <c r="C100" s="4">
        <f>'TB December 2025   '!W100</f>
        <v>-160422115.12</v>
      </c>
    </row>
    <row r="101" spans="2:3">
      <c r="B101" s="3" t="str">
        <f>'TB December 2025   '!V101</f>
        <v>2010 · Loan draw down account</v>
      </c>
      <c r="C101" s="4">
        <f>'TB December 2025   '!W101</f>
        <v>0</v>
      </c>
    </row>
    <row r="102" spans="2:3">
      <c r="B102" s="3" t="str">
        <f>'TB December 2025   '!V102</f>
        <v>2030 · Insurance Buffer</v>
      </c>
      <c r="C102" s="4">
        <f>'TB December 2025   '!W102</f>
        <v>26181588.190000001</v>
      </c>
    </row>
    <row r="103" spans="2:3">
      <c r="B103" s="3" t="str">
        <f>'TB December 2025   '!V103</f>
        <v>2040 · T-Bill Provision</v>
      </c>
      <c r="C103" s="4">
        <f>'TB December 2025   '!W103</f>
        <v>0</v>
      </c>
    </row>
    <row r="104" spans="2:3">
      <c r="B104" s="3" t="str">
        <f>'TB December 2025   '!V104</f>
        <v>2041 · ECL Preference Shares</v>
      </c>
      <c r="C104" s="4">
        <f>'TB December 2025   '!W104</f>
        <v>117555230.03999999</v>
      </c>
    </row>
    <row r="105" spans="2:3">
      <c r="B105" s="3" t="str">
        <f>'TB December 2025   '!V105</f>
        <v>2042 · ECL Staff Loans</v>
      </c>
      <c r="C105" s="4">
        <f>'TB December 2025   '!W105</f>
        <v>3893096.47</v>
      </c>
    </row>
    <row r="106" spans="2:3">
      <c r="B106" s="3" t="str">
        <f>'TB December 2025   '!V106</f>
        <v>2043 · ECL WHT Receivables</v>
      </c>
      <c r="C106" s="4">
        <f>'TB December 2025   '!W106</f>
        <v>573386.67000000004</v>
      </c>
    </row>
    <row r="107" spans="2:3">
      <c r="B107" s="3" t="str">
        <f>'TB December 2025   '!V107</f>
        <v>2051 · Accruals and Provisions</v>
      </c>
      <c r="C107" s="4">
        <f>'TB December 2025   '!W107</f>
        <v>206174294.03</v>
      </c>
    </row>
    <row r="108" spans="2:3">
      <c r="B108" s="3" t="str">
        <f>'TB December 2025   '!V108</f>
        <v>2052 · Malawi Revenue Authority- Other</v>
      </c>
      <c r="C108" s="4">
        <f>'TB December 2025   '!W108</f>
        <v>-1979679612.78</v>
      </c>
    </row>
    <row r="109" spans="2:3">
      <c r="B109" s="3" t="str">
        <f>'TB December 2025   '!V109</f>
        <v>2053 · Lease Liability</v>
      </c>
      <c r="C109" s="4">
        <f>'TB December 2025   '!W109</f>
        <v>0</v>
      </c>
    </row>
    <row r="110" spans="2:3">
      <c r="B110" s="3" t="str">
        <f>'TB December 2025   '!V110</f>
        <v>2055 · Expected Credit Losses</v>
      </c>
      <c r="C110" s="4">
        <f>'TB December 2025   '!W110</f>
        <v>488480444.70999998</v>
      </c>
    </row>
    <row r="111" spans="2:3">
      <c r="B111" s="3" t="str">
        <f>'TB December 2025   '!V111</f>
        <v>2056 · ECL-Money Market Investments</v>
      </c>
      <c r="C111" s="4">
        <f>'TB December 2025   '!W111</f>
        <v>5487533.4700000007</v>
      </c>
    </row>
    <row r="112" spans="2:3">
      <c r="B112" s="3" t="str">
        <f>'TB December 2025   '!V112</f>
        <v>2057 · ECL Treasury Investments</v>
      </c>
      <c r="C112" s="4">
        <f>'TB December 2025   '!W112</f>
        <v>0</v>
      </c>
    </row>
    <row r="113" spans="2:3">
      <c r="B113" s="3" t="str">
        <f>'TB December 2025   '!V113</f>
        <v>2058 · Salaries Control Account</v>
      </c>
      <c r="C113" s="4">
        <f>'TB December 2025   '!W113</f>
        <v>0.01</v>
      </c>
    </row>
    <row r="114" spans="2:3">
      <c r="B114" s="3" t="str">
        <f>'TB December 2025   '!V114</f>
        <v>2059 · Mega farm Loans ECL</v>
      </c>
      <c r="C114" s="4">
        <f>'TB December 2025   '!W114</f>
        <v>43218781408.68</v>
      </c>
    </row>
    <row r="115" spans="2:3">
      <c r="B115" s="3" t="str">
        <f>'TB December 2025   '!V115</f>
        <v>2063 · Undrawn Commitments MAIIC</v>
      </c>
      <c r="C115" s="4">
        <f>'TB December 2025   '!W115</f>
        <v>1440414653.3000002</v>
      </c>
    </row>
    <row r="116" spans="2:3">
      <c r="B116" s="3" t="str">
        <f>'TB December 2025   '!V116</f>
        <v>2064 · Undrawn Commitments FInES</v>
      </c>
      <c r="C116" s="4">
        <f>'TB December 2025   '!W116</f>
        <v>-280416277.55000007</v>
      </c>
    </row>
    <row r="117" spans="2:3">
      <c r="B117" s="3" t="str">
        <f>'TB December 2025   '!V117</f>
        <v>2065 · Guarantees- MAIIC</v>
      </c>
      <c r="C117" s="4">
        <f>'TB December 2025   '!W117</f>
        <v>40847815</v>
      </c>
    </row>
    <row r="118" spans="2:3">
      <c r="B118" s="3" t="str">
        <f>'TB December 2025   '!V118</f>
        <v>2068 · Guarantees FInES</v>
      </c>
      <c r="C118" s="4">
        <f>'TB December 2025   '!W118</f>
        <v>1338483000</v>
      </c>
    </row>
    <row r="119" spans="2:3">
      <c r="B119" s="3" t="str">
        <f>'TB December 2025   '!V119</f>
        <v>2069 · Guarantees-AGCOM</v>
      </c>
      <c r="C119" s="4">
        <f>'TB December 2025   '!W119</f>
        <v>170064000</v>
      </c>
    </row>
    <row r="120" spans="2:3">
      <c r="B120" s="3" t="str">
        <f>'TB December 2025   '!V120</f>
        <v>2071 · Mega Farm Loans Interest</v>
      </c>
      <c r="C120" s="4">
        <f>'TB December 2025   '!W120</f>
        <v>6420655693.1599998</v>
      </c>
    </row>
    <row r="121" spans="2:3">
      <c r="B121" s="3" t="str">
        <f>'TB December 2025   '!V121</f>
        <v>2072 · Mega Farm waiting Funding</v>
      </c>
      <c r="C121" s="4">
        <f>'TB December 2025   '!W121</f>
        <v>29580247098.459999</v>
      </c>
    </row>
    <row r="122" spans="2:3">
      <c r="B122" s="3" t="str">
        <f>'TB December 2025   '!V122</f>
        <v>2553 · Malawi Revenue Authority-VAT</v>
      </c>
      <c r="C122" s="4">
        <f>'TB December 2025   '!W122</f>
        <v>0</v>
      </c>
    </row>
    <row r="123" spans="2:3">
      <c r="B123" s="3" t="str">
        <f>'TB December 2025   '!V123</f>
        <v>2554 · MRA Liabilities</v>
      </c>
      <c r="C123" s="4">
        <f>'TB December 2025   '!W123</f>
        <v>39061781.439999998</v>
      </c>
    </row>
    <row r="124" spans="2:3">
      <c r="B124" s="3" t="str">
        <f>'TB December 2025   '!V124</f>
        <v>2060 · FInES Liability</v>
      </c>
      <c r="C124" s="4">
        <f>'TB December 2025   '!W124</f>
        <v>20602763273.48</v>
      </c>
    </row>
    <row r="125" spans="2:3">
      <c r="B125" s="3" t="str">
        <f>'TB December 2025   '!V125</f>
        <v>2061 · AGCOM Liability- USD</v>
      </c>
      <c r="C125" s="4">
        <f>'TB December 2025   '!W125</f>
        <v>1953426788.24</v>
      </c>
    </row>
    <row r="126" spans="2:3">
      <c r="B126" s="3" t="str">
        <f>'TB December 2025   '!V126</f>
        <v>2062 · Deferred Income</v>
      </c>
      <c r="C126" s="4">
        <f>'TB December 2025   '!W126</f>
        <v>0</v>
      </c>
    </row>
    <row r="127" spans="2:3">
      <c r="B127" s="3" t="str">
        <f>'TB December 2025   '!V127</f>
        <v>2070 · Mega Farms- Liability</v>
      </c>
      <c r="C127" s="4">
        <f>'TB December 2025   '!W127</f>
        <v>20914266967.830002</v>
      </c>
    </row>
    <row r="128" spans="2:3">
      <c r="B128" s="3" t="str">
        <f>'TB December 2025   '!V128</f>
        <v>3000 · Share Capital Account:3001 · Malawi Government</v>
      </c>
      <c r="C128" s="4">
        <f>'TB December 2025   '!W128</f>
        <v>11300000000</v>
      </c>
    </row>
    <row r="129" spans="2:3">
      <c r="B129" s="3" t="str">
        <f>'TB December 2025   '!V129</f>
        <v>3000 · Share Capital Account:3002 · CDH Investment Bank</v>
      </c>
      <c r="C129" s="4">
        <f>'TB December 2025   '!W129</f>
        <v>552224104.22000003</v>
      </c>
    </row>
    <row r="130" spans="2:3">
      <c r="B130" s="3" t="str">
        <f>'TB December 2025   '!V130</f>
        <v>3000 · Share Capital Account:3003 · Investment Alliance</v>
      </c>
      <c r="C130" s="4">
        <f>'TB December 2025   '!W130</f>
        <v>94989241.769999996</v>
      </c>
    </row>
    <row r="131" spans="2:3">
      <c r="B131" s="3" t="str">
        <f>'TB December 2025   '!V131</f>
        <v>3010 · Capital contribution:3011 · CDH Investment Bank Limited</v>
      </c>
      <c r="C131" s="4">
        <f>'TB December 2025   '!W131</f>
        <v>0</v>
      </c>
    </row>
    <row r="132" spans="2:3">
      <c r="B132" s="3" t="str">
        <f>'TB December 2025   '!V132</f>
        <v>3010 · Capital contribution:3012 · Malawi Government</v>
      </c>
      <c r="C132" s="4">
        <f>'TB December 2025   '!W132</f>
        <v>0</v>
      </c>
    </row>
    <row r="133" spans="2:3">
      <c r="B133" s="3" t="str">
        <f>'TB December 2025   '!V133</f>
        <v>3010 · Capital contribution:3013 · Investment Alliance</v>
      </c>
      <c r="C133" s="4">
        <f>'TB December 2025   '!W133</f>
        <v>0</v>
      </c>
    </row>
    <row r="134" spans="2:3">
      <c r="B134" s="3" t="str">
        <f>'TB December 2025   '!V134</f>
        <v>3020 · Share Premium Account:3014 · CDH Investment Bank Limited</v>
      </c>
      <c r="C134" s="4">
        <f>'TB December 2025   '!W134</f>
        <v>175025895.78</v>
      </c>
    </row>
    <row r="135" spans="2:3">
      <c r="B135" s="3" t="str">
        <f>'TB December 2025   '!V135</f>
        <v>3020 · Share Premium Account:3015 · Investment Alliance</v>
      </c>
      <c r="C135" s="4">
        <f>'TB December 2025   '!W135</f>
        <v>105010758.23</v>
      </c>
    </row>
    <row r="136" spans="2:3">
      <c r="B136" s="3" t="str">
        <f>'TB December 2025   '!V136</f>
        <v>3060 · Mbora Limited</v>
      </c>
      <c r="C136" s="4">
        <f>'TB December 2025   '!W136</f>
        <v>0</v>
      </c>
    </row>
    <row r="137" spans="2:3">
      <c r="B137" s="3" t="str">
        <f>'TB December 2025   '!V137</f>
        <v>3061 · MMC Limited</v>
      </c>
      <c r="C137" s="4">
        <f>'TB December 2025   '!W137</f>
        <v>-182929000.44</v>
      </c>
    </row>
    <row r="138" spans="2:3">
      <c r="B138" s="3" t="str">
        <f>'TB December 2025   '!V138</f>
        <v>3062 · Wijays Enterprise</v>
      </c>
      <c r="C138" s="4">
        <f>'TB December 2025   '!W138</f>
        <v>-210065735</v>
      </c>
    </row>
    <row r="139" spans="2:3">
      <c r="B139" s="3" t="str">
        <f>'TB December 2025   '!V139</f>
        <v>3063 · Good Hope Private Clinic Limite</v>
      </c>
      <c r="C139" s="4">
        <f>'TB December 2025   '!W139</f>
        <v>-1125625000</v>
      </c>
    </row>
    <row r="140" spans="2:3">
      <c r="B140" s="3" t="str">
        <f>'TB December 2025   '!V140</f>
        <v>3064 · IFRS 16 Transaction Adjust</v>
      </c>
      <c r="C140" s="4">
        <f>'TB December 2025   '!W140</f>
        <v>0</v>
      </c>
    </row>
    <row r="141" spans="2:3">
      <c r="B141" s="3" t="str">
        <f>'TB December 2025   '!V141</f>
        <v>3065 · NASCOMEX Limited</v>
      </c>
      <c r="C141" s="4">
        <f>'TB December 2025   '!W141</f>
        <v>-2064285713</v>
      </c>
    </row>
    <row r="142" spans="2:3">
      <c r="B142" s="3" t="str">
        <f>'TB December 2025   '!V142</f>
        <v>3067 · Natures Gift</v>
      </c>
      <c r="C142" s="4">
        <f>'TB December 2025   '!W142</f>
        <v>-400000000</v>
      </c>
    </row>
    <row r="143" spans="2:3">
      <c r="B143" s="3" t="str">
        <f>'TB December 2025   '!V143</f>
        <v>3068 · Small Farm Cities Africa Ltd</v>
      </c>
      <c r="C143" s="4">
        <f>'TB December 2025   '!W143</f>
        <v>-200000000</v>
      </c>
    </row>
    <row r="144" spans="2:3">
      <c r="B144" s="3" t="str">
        <f>'TB December 2025   '!V144</f>
        <v>3069 · Kwalingana Investments Limited</v>
      </c>
      <c r="C144" s="4">
        <f>'TB December 2025   '!W144</f>
        <v>-400000000</v>
      </c>
    </row>
    <row r="145" spans="2:3">
      <c r="B145" s="3" t="str">
        <f>'TB December 2025   '!V145</f>
        <v>3071 · Napoleon Dzombe T/A Santhe Busi</v>
      </c>
      <c r="C145" s="4">
        <f>'TB December 2025   '!W145</f>
        <v>-2100000000</v>
      </c>
    </row>
    <row r="146" spans="2:3">
      <c r="B146" s="3" t="str">
        <f>'TB December 2025   '!V146</f>
        <v>3200 · Retained Earnings</v>
      </c>
      <c r="C146" s="4">
        <f>'TB December 2025   '!W146</f>
        <v>10085045704.74</v>
      </c>
    </row>
    <row r="147" spans="2:3">
      <c r="B147" s="3" t="str">
        <f>'TB December 2025   '!V147</f>
        <v>4205 · Investment Interest Income MM</v>
      </c>
      <c r="C147" s="4">
        <f>'TB December 2025   '!W147</f>
        <v>4664655564.3400002</v>
      </c>
    </row>
    <row r="148" spans="2:3">
      <c r="B148" s="3" t="str">
        <f>'TB December 2025   '!V148</f>
        <v>4206 · Interest on Term Loans-Maiic</v>
      </c>
      <c r="C148" s="4">
        <f>'TB December 2025   '!W148</f>
        <v>2106561165.01</v>
      </c>
    </row>
    <row r="149" spans="2:3">
      <c r="B149" s="3" t="str">
        <f>'TB December 2025   '!V149</f>
        <v>4207 · Interest on Staff Loans</v>
      </c>
      <c r="C149" s="4">
        <f>'TB December 2025   '!W149</f>
        <v>25395913.059999999</v>
      </c>
    </row>
    <row r="150" spans="2:3">
      <c r="B150" s="3" t="str">
        <f>'TB December 2025   '!V150</f>
        <v>4209 · Term loan interest- FInES</v>
      </c>
      <c r="C150" s="4">
        <f>'TB December 2025   '!W150</f>
        <v>447829531.72000003</v>
      </c>
    </row>
    <row r="151" spans="2:3">
      <c r="B151" s="3" t="str">
        <f>'TB December 2025   '!V151</f>
        <v>4211 · Investment Income-USD MM</v>
      </c>
      <c r="C151" s="4">
        <f>'TB December 2025   '!W151</f>
        <v>270969348.60000002</v>
      </c>
    </row>
    <row r="152" spans="2:3">
      <c r="B152" s="3" t="str">
        <f>'TB December 2025   '!V152</f>
        <v>4213 · Investment Income-Coupon Settle</v>
      </c>
      <c r="C152" s="4">
        <f>'TB December 2025   '!W152</f>
        <v>885400450.85000002</v>
      </c>
    </row>
    <row r="153" spans="2:3">
      <c r="B153" s="3" t="str">
        <f>'TB December 2025   '!V153</f>
        <v>4214 · Interest Income-Mega Farm Capex</v>
      </c>
      <c r="C153" s="4">
        <f>'TB December 2025   '!W153</f>
        <v>256450973.64000002</v>
      </c>
    </row>
    <row r="154" spans="2:3">
      <c r="B154" s="3" t="str">
        <f>'TB December 2025   '!V154</f>
        <v>4215 · Interest Income-Mega Farm Ferti</v>
      </c>
      <c r="C154" s="4">
        <f>'TB December 2025   '!W154</f>
        <v>2012035873.98</v>
      </c>
    </row>
    <row r="155" spans="2:3">
      <c r="B155" s="3" t="str">
        <f>'TB December 2025   '!V155</f>
        <v>4216 · Interest Income-Mega Farms Oper</v>
      </c>
      <c r="C155" s="4">
        <f>'TB December 2025   '!W155</f>
        <v>0</v>
      </c>
    </row>
    <row r="156" spans="2:3">
      <c r="B156" s="3" t="str">
        <f>'TB December 2025   '!V156</f>
        <v>4217 · Interest Income-Mega Farms Seed</v>
      </c>
      <c r="C156" s="4">
        <f>'TB December 2025   '!W156</f>
        <v>412422643.33999997</v>
      </c>
    </row>
    <row r="157" spans="2:3">
      <c r="B157" s="3" t="str">
        <f>'TB December 2025   '!V157</f>
        <v>4219 · Interest Income-Mega Farms Pest</v>
      </c>
      <c r="C157" s="4">
        <f>'TB December 2025   '!W157</f>
        <v>107021353.81</v>
      </c>
    </row>
    <row r="158" spans="2:3">
      <c r="B158" s="3" t="str">
        <f>'TB December 2025   '!V158</f>
        <v>4870 · Services Income:4871 · Legal  fees</v>
      </c>
      <c r="C158" s="4">
        <f>'TB December 2025   '!W158</f>
        <v>171128135</v>
      </c>
    </row>
    <row r="159" spans="2:3">
      <c r="B159" s="3" t="str">
        <f>'TB December 2025   '!V159</f>
        <v>4870 · Services Income:4873 · Arrangement Fees</v>
      </c>
      <c r="C159" s="4">
        <f>'TB December 2025   '!W159</f>
        <v>311342792</v>
      </c>
    </row>
    <row r="160" spans="2:3">
      <c r="B160" s="3" t="str">
        <f>'TB December 2025   '!V160</f>
        <v>4870 · Services Income:4874 · Insurance fees</v>
      </c>
      <c r="C160" s="4">
        <f>'TB December 2025   '!W160</f>
        <v>2463131</v>
      </c>
    </row>
    <row r="161" spans="2:3">
      <c r="B161" s="3" t="str">
        <f>'TB December 2025   '!V161</f>
        <v>4870 · Services Income:4875 · PCG Guarantee fees</v>
      </c>
      <c r="C161" s="4">
        <f>'TB December 2025   '!W161</f>
        <v>1284900</v>
      </c>
    </row>
    <row r="162" spans="2:3">
      <c r="B162" s="3" t="str">
        <f>'TB December 2025   '!V162</f>
        <v>4890 · Sundry Income</v>
      </c>
      <c r="C162" s="4">
        <f>'TB December 2025   '!W162</f>
        <v>1146800</v>
      </c>
    </row>
    <row r="163" spans="2:3">
      <c r="B163" s="3" t="str">
        <f>'TB December 2025   '!V163</f>
        <v>4892 · Grants</v>
      </c>
      <c r="C163" s="4">
        <f>'TB December 2025   '!W163</f>
        <v>282446928.19999999</v>
      </c>
    </row>
    <row r="164" spans="2:3">
      <c r="B164" s="3" t="str">
        <f>'TB December 2025   '!V164</f>
        <v>5004 · Audit Fees</v>
      </c>
      <c r="C164" s="4">
        <f>'TB December 2025   '!W164</f>
        <v>-141370669.09999999</v>
      </c>
    </row>
    <row r="165" spans="2:3">
      <c r="B165" s="3" t="str">
        <f>'TB December 2025   '!V165</f>
        <v>5005 · Board meetings</v>
      </c>
      <c r="C165" s="4">
        <f>'TB December 2025   '!W165</f>
        <v>-139212365.75999999</v>
      </c>
    </row>
    <row r="166" spans="2:3">
      <c r="B166" s="3" t="str">
        <f>'TB December 2025   '!V166</f>
        <v>5006 · Directors Fees</v>
      </c>
      <c r="C166" s="4">
        <f>'TB December 2025   '!W166</f>
        <v>-58559607.840000004</v>
      </c>
    </row>
    <row r="167" spans="2:3">
      <c r="B167" s="3" t="str">
        <f>'TB December 2025   '!V167</f>
        <v>5007 · Conferences and Meetings</v>
      </c>
      <c r="C167" s="4">
        <f>'TB December 2025   '!W167</f>
        <v>-5927000</v>
      </c>
    </row>
    <row r="168" spans="2:3">
      <c r="B168" s="3" t="str">
        <f>'TB December 2025   '!V168</f>
        <v>5010 · Consultancy costs</v>
      </c>
      <c r="C168" s="4">
        <f>'TB December 2025   '!W168</f>
        <v>-79012489.010000005</v>
      </c>
    </row>
    <row r="169" spans="2:3">
      <c r="B169" s="3" t="str">
        <f>'TB December 2025   '!V169</f>
        <v>5012 · Office Supllies</v>
      </c>
      <c r="C169" s="4">
        <f>'TB December 2025   '!W169</f>
        <v>-22995378.149999999</v>
      </c>
    </row>
    <row r="170" spans="2:3">
      <c r="B170" s="3" t="str">
        <f>'TB December 2025   '!V170</f>
        <v>5014 · Recruitment expenses</v>
      </c>
      <c r="C170" s="4">
        <f>'TB December 2025   '!W170</f>
        <v>-6638456</v>
      </c>
    </row>
    <row r="171" spans="2:3">
      <c r="B171" s="3" t="str">
        <f>'TB December 2025   '!V171</f>
        <v>5015 · Relocation allowance</v>
      </c>
      <c r="C171" s="4">
        <f>'TB December 2025   '!W171</f>
        <v>-871785.68</v>
      </c>
    </row>
    <row r="172" spans="2:3">
      <c r="B172" s="3" t="str">
        <f>'TB December 2025   '!V172</f>
        <v>5050 · Employee Remuneration:5051 · Employee Pension</v>
      </c>
      <c r="C172" s="4">
        <f>'TB December 2025   '!W172</f>
        <v>-113697760.98999999</v>
      </c>
    </row>
    <row r="173" spans="2:3">
      <c r="B173" s="3" t="str">
        <f>'TB December 2025   '!V173</f>
        <v>5050 · Employee Remuneration:5052 · Staff Salaries</v>
      </c>
      <c r="C173" s="4">
        <f>'TB December 2025   '!W173</f>
        <v>-1166573641.3099999</v>
      </c>
    </row>
    <row r="174" spans="2:3">
      <c r="B174" s="3" t="str">
        <f>'TB December 2025   '!V174</f>
        <v>5050 · Employee Remuneration:5053 · Staff Medical</v>
      </c>
      <c r="C174" s="4">
        <f>'TB December 2025   '!W174</f>
        <v>-30889340.100000001</v>
      </c>
    </row>
    <row r="175" spans="2:3">
      <c r="B175" s="3" t="str">
        <f>'TB December 2025   '!V175</f>
        <v>5050 · Employee Remuneration:5056 · Other Staff Benefits</v>
      </c>
      <c r="C175" s="4">
        <f>'TB December 2025   '!W175</f>
        <v>-167950171.59</v>
      </c>
    </row>
    <row r="176" spans="2:3">
      <c r="B176" s="3" t="str">
        <f>'TB December 2025   '!V176</f>
        <v>6000 · Advertisng and Promotion</v>
      </c>
      <c r="C176" s="4">
        <f>'TB December 2025   '!W176</f>
        <v>-160880358.75</v>
      </c>
    </row>
    <row r="177" spans="2:3">
      <c r="B177" s="3" t="str">
        <f>'TB December 2025   '!V177</f>
        <v>6010 · Printing and stationery</v>
      </c>
      <c r="C177" s="4">
        <f>'TB December 2025   '!W177</f>
        <v>-18643890.879999999</v>
      </c>
    </row>
    <row r="178" spans="2:3">
      <c r="B178" s="3" t="str">
        <f>'TB December 2025   '!V178</f>
        <v>6020 · Vehicle Expense</v>
      </c>
      <c r="C178" s="4">
        <f>'TB December 2025   '!W178</f>
        <v>-102665807.91</v>
      </c>
    </row>
    <row r="179" spans="2:3">
      <c r="B179" s="3" t="str">
        <f>'TB December 2025   '!V179</f>
        <v>6030 · Cleaning Services</v>
      </c>
      <c r="C179" s="4">
        <f>'TB December 2025   '!W179</f>
        <v>-5267854.63</v>
      </c>
    </row>
    <row r="180" spans="2:3">
      <c r="B180" s="3" t="str">
        <f>'TB December 2025   '!V180</f>
        <v>6040 · Bank Service Charges</v>
      </c>
      <c r="C180" s="4">
        <f>'TB December 2025   '!W180</f>
        <v>-14001351.07</v>
      </c>
    </row>
    <row r="181" spans="2:3">
      <c r="B181" s="3" t="str">
        <f>'TB December 2025   '!V181</f>
        <v>6050 · Donations</v>
      </c>
      <c r="C181" s="4">
        <f>'TB December 2025   '!W181</f>
        <v>-629999.59</v>
      </c>
    </row>
    <row r="182" spans="2:3">
      <c r="B182" s="3" t="str">
        <f>'TB December 2025   '!V182</f>
        <v>6200 · Staff Training</v>
      </c>
      <c r="C182" s="4">
        <f>'TB December 2025   '!W182</f>
        <v>-182628477.86000001</v>
      </c>
    </row>
    <row r="183" spans="2:3">
      <c r="B183" s="3" t="str">
        <f>'TB December 2025   '!V183</f>
        <v>6240 · Depn-Motor Vehicle Exp</v>
      </c>
      <c r="C183" s="4">
        <f>'TB December 2025   '!W183</f>
        <v>-111675912</v>
      </c>
    </row>
    <row r="184" spans="2:3">
      <c r="B184" s="3" t="str">
        <f>'TB December 2025   '!V184</f>
        <v>6242 · Impairement of Financial Asset</v>
      </c>
      <c r="C184" s="4">
        <f>'TB December 2025   '!W184</f>
        <v>-243600967.01999998</v>
      </c>
    </row>
    <row r="185" spans="2:3">
      <c r="B185" s="3" t="str">
        <f>'TB December 2025   '!V185</f>
        <v>6243 · Depn-Furniture&amp;Fittings Exp</v>
      </c>
      <c r="C185" s="4">
        <f>'TB December 2025   '!W185</f>
        <v>-6543856.4800000004</v>
      </c>
    </row>
    <row r="186" spans="2:3">
      <c r="B186" s="3" t="str">
        <f>'TB December 2025   '!V186</f>
        <v>6244 · Depn-Computer Equip Exp</v>
      </c>
      <c r="C186" s="4">
        <f>'TB December 2025   '!W186</f>
        <v>-55856532.710000001</v>
      </c>
    </row>
    <row r="187" spans="2:3">
      <c r="B187" s="3" t="str">
        <f>'TB December 2025   '!V187</f>
        <v>6245 · Depn-Office Equip Exp</v>
      </c>
      <c r="C187" s="4">
        <f>'TB December 2025   '!W187</f>
        <v>-7772084.5099999998</v>
      </c>
    </row>
    <row r="188" spans="2:3">
      <c r="B188" s="3" t="str">
        <f>'TB December 2025   '!V188</f>
        <v>6246 · Depn-Software Expe</v>
      </c>
      <c r="C188" s="4">
        <f>'TB December 2025   '!W188</f>
        <v>-281740427.08999997</v>
      </c>
    </row>
    <row r="189" spans="2:3">
      <c r="B189" s="3" t="str">
        <f>'TB December 2025   '!V189</f>
        <v>6250 · Dues and Subscriptions</v>
      </c>
      <c r="C189" s="4">
        <f>'TB December 2025   '!W189</f>
        <v>-41170321.939999998</v>
      </c>
    </row>
    <row r="190" spans="2:3">
      <c r="B190" s="3" t="str">
        <f>'TB December 2025   '!V190</f>
        <v>6330 · Insurance Expense</v>
      </c>
      <c r="C190" s="4">
        <f>'TB December 2025   '!W190</f>
        <v>-94774136.140000001</v>
      </c>
    </row>
    <row r="191" spans="2:3">
      <c r="B191" s="3" t="str">
        <f>'TB December 2025   '!V191</f>
        <v>6340 · Interest Expense</v>
      </c>
      <c r="C191" s="4">
        <f>'TB December 2025   '!W191</f>
        <v>-538251052.94999993</v>
      </c>
    </row>
    <row r="192" spans="2:3">
      <c r="B192" s="3" t="str">
        <f>'TB December 2025   '!V192</f>
        <v>6490 · Office Expense</v>
      </c>
      <c r="C192" s="4">
        <f>'TB December 2025   '!W192</f>
        <v>-52240554.090000004</v>
      </c>
    </row>
    <row r="193" spans="2:3">
      <c r="B193" s="3" t="str">
        <f>'TB December 2025   '!V193</f>
        <v>6650 · Postage and Delivery</v>
      </c>
      <c r="C193" s="4">
        <f>'TB December 2025   '!W193</f>
        <v>-446944.68</v>
      </c>
    </row>
    <row r="194" spans="2:3">
      <c r="B194" s="3" t="str">
        <f>'TB December 2025   '!V194</f>
        <v>6710 · Rent and Rates</v>
      </c>
      <c r="C194" s="4">
        <f>'TB December 2025   '!W194</f>
        <v>-64375578.68</v>
      </c>
    </row>
    <row r="195" spans="2:3">
      <c r="B195" s="3" t="str">
        <f>'TB December 2025   '!V195</f>
        <v>6720 · Repairs and Maintenance</v>
      </c>
      <c r="C195" s="4">
        <f>'TB December 2025   '!W195</f>
        <v>-10269719.98</v>
      </c>
    </row>
    <row r="196" spans="2:3">
      <c r="B196" s="3" t="str">
        <f>'TB December 2025   '!V196</f>
        <v>6730 · FInES Expenses</v>
      </c>
      <c r="C196" s="4">
        <f>'TB December 2025   '!W196</f>
        <v>-136005179.13</v>
      </c>
    </row>
    <row r="197" spans="2:3">
      <c r="B197" s="3" t="str">
        <f>'TB December 2025   '!V197</f>
        <v>6740 · AGRA Expenses</v>
      </c>
      <c r="C197" s="4">
        <f>'TB December 2025   '!W197</f>
        <v>-145567970.03999999</v>
      </c>
    </row>
    <row r="198" spans="2:3">
      <c r="B198" s="3" t="str">
        <f>'TB December 2025   '!V198</f>
        <v>6750 · AGCOM Expenses</v>
      </c>
      <c r="C198" s="4">
        <f>'TB December 2025   '!W198</f>
        <v>-14000000</v>
      </c>
    </row>
    <row r="199" spans="2:3">
      <c r="B199" s="3" t="str">
        <f>'TB December 2025   '!V199</f>
        <v>6751 · Shared Interest Cost</v>
      </c>
      <c r="C199" s="4">
        <f>'TB December 2025   '!W199</f>
        <v>-45569973.799999997</v>
      </c>
    </row>
    <row r="200" spans="2:3">
      <c r="B200" s="3" t="str">
        <f>'TB December 2025   '!V200</f>
        <v>6752 · Legal Costs-Clients</v>
      </c>
      <c r="C200" s="4">
        <f>'TB December 2025   '!W200</f>
        <v>-125774121.97</v>
      </c>
    </row>
    <row r="201" spans="2:3">
      <c r="B201" s="3" t="str">
        <f>'TB December 2025   '!V201</f>
        <v>6754 · Mega Farms T&amp;S Allowances</v>
      </c>
      <c r="C201" s="4">
        <f>'TB December 2025   '!W201</f>
        <v>-54244136.719999999</v>
      </c>
    </row>
    <row r="202" spans="2:3">
      <c r="B202" s="3" t="str">
        <f>'TB December 2025   '!V202</f>
        <v>6755 · Mega farms-Vehicle Expenses</v>
      </c>
      <c r="C202" s="4">
        <f>'TB December 2025   '!W202</f>
        <v>-54542681.799999997</v>
      </c>
    </row>
    <row r="203" spans="2:3">
      <c r="B203" s="3" t="str">
        <f>'TB December 2025   '!V203</f>
        <v>6756 · Mega Farms-Salaries</v>
      </c>
      <c r="C203" s="4">
        <f>'TB December 2025   '!W203</f>
        <v>-35321914.780000001</v>
      </c>
    </row>
    <row r="204" spans="2:3">
      <c r="B204" s="3" t="str">
        <f>'TB December 2025   '!V204</f>
        <v>6757 · Mega farms-Other Expenses</v>
      </c>
      <c r="C204" s="4">
        <f>'TB December 2025   '!W204</f>
        <v>-22012020</v>
      </c>
    </row>
    <row r="205" spans="2:3">
      <c r="B205" s="3" t="str">
        <f>'TB December 2025   '!V205</f>
        <v>6758 · Mega Farms Board Meeting</v>
      </c>
      <c r="C205" s="4">
        <f>'TB December 2025   '!W205</f>
        <v>-9330644.2200000007</v>
      </c>
    </row>
    <row r="206" spans="2:3">
      <c r="B206" s="3" t="str">
        <f>'TB December 2025   '!V206</f>
        <v>6800 · Taxes:6801 · Tevet levy</v>
      </c>
      <c r="C206" s="4">
        <f>'TB December 2025   '!W206</f>
        <v>-20787694.670000002</v>
      </c>
    </row>
    <row r="207" spans="2:3">
      <c r="B207" s="3" t="str">
        <f>'TB December 2025   '!V207</f>
        <v>6800 · Taxes:6802 · Fringe Benefits Tax</v>
      </c>
      <c r="C207" s="4">
        <f>'TB December 2025   '!W207</f>
        <v>-62165939.850000001</v>
      </c>
    </row>
    <row r="208" spans="2:3">
      <c r="B208" s="3" t="str">
        <f>'TB December 2025   '!V208</f>
        <v>6810 · Communication</v>
      </c>
      <c r="C208" s="4">
        <f>'TB December 2025   '!W208</f>
        <v>-145355684.21000001</v>
      </c>
    </row>
    <row r="209" spans="2:3">
      <c r="B209" s="3" t="str">
        <f>'TB December 2025   '!V209</f>
        <v>6820 · Disposal Acc</v>
      </c>
      <c r="C209" s="4">
        <f>'TB December 2025   '!W209</f>
        <v>-102245.88</v>
      </c>
    </row>
    <row r="210" spans="2:3">
      <c r="B210" s="3" t="str">
        <f>'TB December 2025   '!V210</f>
        <v>6840 · Travelling and Accommodation</v>
      </c>
      <c r="C210" s="4">
        <f>'TB December 2025   '!W210</f>
        <v>-141325779.91000003</v>
      </c>
    </row>
    <row r="211" spans="2:3">
      <c r="B211" s="3" t="str">
        <f>'TB December 2025   '!V211</f>
        <v>6860 · Utilities</v>
      </c>
      <c r="C211" s="4">
        <f>'TB December 2025   '!W211</f>
        <v>-14188693.560000001</v>
      </c>
    </row>
    <row r="212" spans="2:3">
      <c r="B212" s="3"/>
    </row>
    <row r="213" spans="2:3">
      <c r="B213" s="3" t="s">
        <v>0</v>
      </c>
      <c r="C213" s="4">
        <f>SUM(C3:C212)</f>
        <v>1.3561919331550598E-5</v>
      </c>
    </row>
    <row r="214" spans="2:3">
      <c r="B214" s="3"/>
    </row>
    <row r="215" spans="2:3">
      <c r="B215" s="3"/>
    </row>
    <row r="216" spans="2:3">
      <c r="B216" s="3"/>
    </row>
    <row r="217" spans="2:3">
      <c r="B217" s="3"/>
    </row>
    <row r="218" spans="2:3">
      <c r="B218" s="3"/>
    </row>
    <row r="219" spans="2:3">
      <c r="B219" s="3"/>
    </row>
    <row r="220" spans="2:3">
      <c r="B220" s="3"/>
    </row>
    <row r="221" spans="2:3">
      <c r="B221" s="3"/>
    </row>
    <row r="222" spans="2:3">
      <c r="B222" s="3"/>
    </row>
    <row r="223" spans="2:3">
      <c r="B223" s="3"/>
    </row>
    <row r="224" spans="2:3">
      <c r="B224" s="3"/>
    </row>
    <row r="225" spans="2:2">
      <c r="B225" s="3"/>
    </row>
    <row r="226" spans="2:2">
      <c r="B2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438B-86BA-4775-B94D-4B9813601237}">
  <dimension ref="A1:X221"/>
  <sheetViews>
    <sheetView showGridLines="0" workbookViewId="0">
      <pane xSplit="2" ySplit="2" topLeftCell="C200" activePane="bottomRight" state="frozen"/>
      <selection activeCell="E40" sqref="E40"/>
      <selection pane="topRight" activeCell="E40" sqref="E40"/>
      <selection pane="bottomLeft" activeCell="E40" sqref="E40"/>
      <selection pane="bottomRight" activeCell="F184" sqref="F184"/>
    </sheetView>
  </sheetViews>
  <sheetFormatPr defaultColWidth="8.81640625" defaultRowHeight="14.5"/>
  <cols>
    <col min="1" max="1" width="10.36328125" style="34" customWidth="1"/>
    <col min="2" max="2" width="44.1796875" style="6" customWidth="1"/>
    <col min="3" max="3" width="13.54296875" customWidth="1"/>
    <col min="4" max="4" width="2.36328125" customWidth="1"/>
    <col min="5" max="5" width="13.54296875" customWidth="1"/>
    <col min="6" max="6" width="16.81640625" style="10" customWidth="1"/>
    <col min="7" max="7" width="26.36328125" style="53" bestFit="1" customWidth="1"/>
    <col min="8" max="8" width="18" style="12" customWidth="1"/>
    <col min="9" max="9" width="17" style="12" customWidth="1"/>
    <col min="10" max="10" width="16.1796875" style="13" bestFit="1" customWidth="1"/>
    <col min="11" max="11" width="10" style="12" customWidth="1"/>
    <col min="12" max="12" width="10.81640625" style="12" bestFit="1" customWidth="1"/>
    <col min="13" max="13" width="28.90625" style="12" customWidth="1"/>
    <col min="14" max="15" width="17.81640625" style="12" bestFit="1" customWidth="1"/>
    <col min="16" max="16" width="8.81640625" style="12"/>
    <col min="17" max="19" width="16.6328125" style="12" bestFit="1" customWidth="1"/>
    <col min="20" max="21" width="8.81640625" style="12"/>
    <col min="22" max="22" width="52.81640625" style="12" bestFit="1" customWidth="1"/>
    <col min="23" max="23" width="17.6328125" style="12" customWidth="1"/>
    <col min="24" max="24" width="12.1796875" style="12" bestFit="1" customWidth="1"/>
    <col min="25" max="16384" width="8.81640625" style="12"/>
  </cols>
  <sheetData>
    <row r="1" spans="1:23" ht="15" thickBot="1">
      <c r="A1" s="5"/>
      <c r="C1" s="7" t="s">
        <v>1</v>
      </c>
      <c r="D1" s="8"/>
      <c r="E1" s="9"/>
      <c r="G1" s="50"/>
      <c r="H1" s="11"/>
      <c r="N1" s="70" t="s">
        <v>423</v>
      </c>
      <c r="O1" s="71"/>
      <c r="P1" s="71"/>
      <c r="Q1" s="71"/>
      <c r="R1" s="71"/>
      <c r="S1" s="72"/>
    </row>
    <row r="2" spans="1:23" s="19" customFormat="1" ht="15.5" thickTop="1" thickBot="1">
      <c r="A2" s="14"/>
      <c r="B2" s="15"/>
      <c r="C2" s="16"/>
      <c r="D2" s="17"/>
      <c r="E2" s="16"/>
      <c r="F2" s="18" t="s">
        <v>2</v>
      </c>
      <c r="G2" s="51" t="s">
        <v>3</v>
      </c>
      <c r="H2" s="37" t="s">
        <v>4</v>
      </c>
      <c r="J2" s="41" t="s">
        <v>421</v>
      </c>
      <c r="K2" s="37" t="s">
        <v>422</v>
      </c>
      <c r="L2" s="37"/>
      <c r="M2" s="37"/>
      <c r="N2" s="38" t="s">
        <v>5</v>
      </c>
      <c r="O2" s="39" t="s">
        <v>6</v>
      </c>
      <c r="P2" s="39"/>
      <c r="Q2" s="39" t="s">
        <v>6</v>
      </c>
      <c r="R2" s="39" t="s">
        <v>5</v>
      </c>
      <c r="S2" s="40" t="s">
        <v>7</v>
      </c>
      <c r="W2" s="2">
        <v>45992</v>
      </c>
    </row>
    <row r="3" spans="1:23" s="27" customFormat="1" ht="13.5" thickTop="1">
      <c r="A3" s="20"/>
      <c r="B3" s="21" t="s">
        <v>8</v>
      </c>
      <c r="C3" s="22">
        <f>S3</f>
        <v>-68950245.909999996</v>
      </c>
      <c r="D3" s="23"/>
      <c r="E3" s="22"/>
      <c r="F3" s="24"/>
      <c r="G3" s="49"/>
      <c r="H3" s="25">
        <f>E3-C3+F3</f>
        <v>68950245.909999996</v>
      </c>
      <c r="J3" s="28" t="str">
        <f>LEFT(K3,4)</f>
        <v>1001</v>
      </c>
      <c r="K3" s="21" t="str">
        <f t="shared" ref="K3:K66" si="0">B3</f>
        <v>1001 · CDH Inv Bank 0050401042201</v>
      </c>
      <c r="N3" s="29">
        <f>SUMIF('Final E-Banker TB Dec 2025'!$A$3:$A$192,J3,'Final E-Banker TB Dec 2025'!$G$3:$G$192)</f>
        <v>0</v>
      </c>
      <c r="O3" s="29">
        <f>SUMIF('Final E-Banker TB Dec 2025'!$A$3:$A$192,'TB December 2025   '!J3,'Final E-Banker TB Dec 2025'!$H$3:$H$192)</f>
        <v>68950245.909999996</v>
      </c>
      <c r="Q3" s="30">
        <f>-O3</f>
        <v>-68950245.909999996</v>
      </c>
      <c r="R3" s="30">
        <f>N3</f>
        <v>0</v>
      </c>
      <c r="S3" s="30">
        <f>Q3+R3</f>
        <v>-68950245.909999996</v>
      </c>
      <c r="V3" s="21" t="str">
        <f t="shared" ref="V3:V66" si="1">B3</f>
        <v>1001 · CDH Inv Bank 0050401042201</v>
      </c>
      <c r="W3" s="25">
        <f t="shared" ref="W3:W66" si="2">H3</f>
        <v>68950245.909999996</v>
      </c>
    </row>
    <row r="4" spans="1:23" s="27" customFormat="1" ht="13">
      <c r="A4" s="20"/>
      <c r="B4" s="21" t="s">
        <v>9</v>
      </c>
      <c r="C4" s="22">
        <f t="shared" ref="C4:C67" si="3">S4</f>
        <v>3276701.73</v>
      </c>
      <c r="D4" s="23"/>
      <c r="E4" s="22"/>
      <c r="F4" s="24"/>
      <c r="G4" s="49"/>
      <c r="H4" s="25">
        <f t="shared" ref="H4:H67" si="4">E4-C4+F4</f>
        <v>-3276701.73</v>
      </c>
      <c r="I4" s="26"/>
      <c r="J4" s="28" t="str">
        <f t="shared" ref="J4:J67" si="5">LEFT(K4,4)</f>
        <v>1002</v>
      </c>
      <c r="K4" s="21" t="str">
        <f t="shared" si="0"/>
        <v>1002 · CDH Inv Bank PIA 0050401044100</v>
      </c>
      <c r="N4" s="29">
        <f>SUMIF('Final E-Banker TB Dec 2025'!$A$3:$A$192,J4,'Final E-Banker TB Dec 2025'!$G$3:$G$192)</f>
        <v>3276701.73</v>
      </c>
      <c r="O4" s="29">
        <f>SUMIF('Final E-Banker TB Dec 2025'!$A$3:$A$192,'TB December 2025   '!J4,'Final E-Banker TB Dec 2025'!$H$3:$H$192)</f>
        <v>0</v>
      </c>
      <c r="Q4" s="30">
        <f t="shared" ref="Q4:Q67" si="6">-O4</f>
        <v>0</v>
      </c>
      <c r="R4" s="30">
        <f t="shared" ref="R4:R67" si="7">N4</f>
        <v>3276701.73</v>
      </c>
      <c r="S4" s="30">
        <f t="shared" ref="S4:S67" si="8">Q4+R4</f>
        <v>3276701.73</v>
      </c>
      <c r="V4" s="21" t="str">
        <f t="shared" si="1"/>
        <v>1002 · CDH Inv Bank PIA 0050401044100</v>
      </c>
      <c r="W4" s="25">
        <f t="shared" si="2"/>
        <v>-3276701.73</v>
      </c>
    </row>
    <row r="5" spans="1:23" s="27" customFormat="1" ht="13">
      <c r="A5" s="20"/>
      <c r="B5" s="21" t="s">
        <v>10</v>
      </c>
      <c r="C5" s="22">
        <f t="shared" si="3"/>
        <v>0</v>
      </c>
      <c r="D5" s="23"/>
      <c r="E5" s="22"/>
      <c r="F5" s="24"/>
      <c r="G5" s="49"/>
      <c r="H5" s="25">
        <f t="shared" si="4"/>
        <v>0</v>
      </c>
      <c r="I5" s="26"/>
      <c r="J5" s="28" t="str">
        <f t="shared" si="5"/>
        <v>1003</v>
      </c>
      <c r="K5" s="21" t="str">
        <f t="shared" si="0"/>
        <v>1003 · FDI Project-Payments</v>
      </c>
      <c r="N5" s="29">
        <f>SUMIF('Final E-Banker TB Dec 2025'!$A$3:$A$192,J5,'Final E-Banker TB Dec 2025'!$G$3:$G$192)</f>
        <v>0</v>
      </c>
      <c r="O5" s="29">
        <f>SUMIF('Final E-Banker TB Dec 2025'!$A$3:$A$192,'TB December 2025   '!J5,'Final E-Banker TB Dec 2025'!$H$3:$H$192)</f>
        <v>0</v>
      </c>
      <c r="Q5" s="30">
        <f t="shared" si="6"/>
        <v>0</v>
      </c>
      <c r="R5" s="30">
        <f t="shared" si="7"/>
        <v>0</v>
      </c>
      <c r="S5" s="30">
        <f t="shared" si="8"/>
        <v>0</v>
      </c>
      <c r="V5" s="21" t="str">
        <f t="shared" si="1"/>
        <v>1003 · FDI Project-Payments</v>
      </c>
      <c r="W5" s="25">
        <f t="shared" si="2"/>
        <v>0</v>
      </c>
    </row>
    <row r="6" spans="1:23" s="27" customFormat="1" ht="13">
      <c r="A6" s="20"/>
      <c r="B6" s="21" t="s">
        <v>11</v>
      </c>
      <c r="C6" s="22">
        <f t="shared" si="3"/>
        <v>4.67</v>
      </c>
      <c r="D6" s="23"/>
      <c r="E6" s="22"/>
      <c r="F6" s="24"/>
      <c r="G6" s="49"/>
      <c r="H6" s="25">
        <f t="shared" si="4"/>
        <v>-4.67</v>
      </c>
      <c r="I6" s="26"/>
      <c r="J6" s="28" t="str">
        <f t="shared" si="5"/>
        <v>1005</v>
      </c>
      <c r="K6" s="21" t="str">
        <f t="shared" si="0"/>
        <v>1005 · FDI Project payment-USD</v>
      </c>
      <c r="N6" s="24">
        <f>SUMIF('Final E-Banker TB Dec 2025'!$A$3:$A$192,J6,'Final E-Banker TB Dec 2025'!$G$3:$G$192)</f>
        <v>4.67</v>
      </c>
      <c r="O6" s="24">
        <f>SUMIF('Final E-Banker TB Dec 2025'!$A$3:$A$192,'TB December 2025   '!J6,'Final E-Banker TB Dec 2025'!$H$3:$H$192)</f>
        <v>0</v>
      </c>
      <c r="Q6" s="30">
        <f t="shared" si="6"/>
        <v>0</v>
      </c>
      <c r="R6" s="30">
        <f t="shared" si="7"/>
        <v>4.67</v>
      </c>
      <c r="S6" s="30">
        <f t="shared" si="8"/>
        <v>4.67</v>
      </c>
      <c r="V6" s="21" t="str">
        <f t="shared" si="1"/>
        <v>1005 · FDI Project payment-USD</v>
      </c>
      <c r="W6" s="25">
        <f t="shared" si="2"/>
        <v>-4.67</v>
      </c>
    </row>
    <row r="7" spans="1:23" s="27" customFormat="1" ht="13">
      <c r="A7" s="20"/>
      <c r="B7" s="21" t="s">
        <v>12</v>
      </c>
      <c r="C7" s="22">
        <f t="shared" si="3"/>
        <v>71515.78</v>
      </c>
      <c r="D7" s="23"/>
      <c r="E7" s="22"/>
      <c r="F7" s="24"/>
      <c r="G7" s="49"/>
      <c r="H7" s="25">
        <f t="shared" si="4"/>
        <v>-71515.78</v>
      </c>
      <c r="I7" s="26"/>
      <c r="J7" s="28" t="str">
        <f t="shared" si="5"/>
        <v>1006</v>
      </c>
      <c r="K7" s="21" t="str">
        <f t="shared" si="0"/>
        <v>1006 · Petty cash</v>
      </c>
      <c r="N7" s="24">
        <f>SUMIF('Final E-Banker TB Dec 2025'!$A$3:$A$192,J7,'Final E-Banker TB Dec 2025'!$G$3:$G$192)</f>
        <v>71515.78</v>
      </c>
      <c r="O7" s="24">
        <f>SUMIF('Final E-Banker TB Dec 2025'!$A$3:$A$192,'TB December 2025   '!J7,'Final E-Banker TB Dec 2025'!$H$3:$H$192)</f>
        <v>0</v>
      </c>
      <c r="Q7" s="30">
        <f t="shared" si="6"/>
        <v>0</v>
      </c>
      <c r="R7" s="30">
        <f t="shared" si="7"/>
        <v>71515.78</v>
      </c>
      <c r="S7" s="30">
        <f t="shared" si="8"/>
        <v>71515.78</v>
      </c>
      <c r="V7" s="21" t="str">
        <f t="shared" si="1"/>
        <v>1006 · Petty cash</v>
      </c>
      <c r="W7" s="25">
        <f t="shared" si="2"/>
        <v>-71515.78</v>
      </c>
    </row>
    <row r="8" spans="1:23" s="27" customFormat="1" ht="13">
      <c r="A8" s="20"/>
      <c r="B8" s="21" t="s">
        <v>13</v>
      </c>
      <c r="C8" s="22">
        <f t="shared" si="3"/>
        <v>0</v>
      </c>
      <c r="D8" s="23"/>
      <c r="E8" s="22"/>
      <c r="F8" s="24"/>
      <c r="G8" s="49"/>
      <c r="H8" s="25">
        <f t="shared" si="4"/>
        <v>0</v>
      </c>
      <c r="I8" s="26"/>
      <c r="J8" s="28" t="str">
        <f t="shared" si="5"/>
        <v>1012</v>
      </c>
      <c r="K8" s="21" t="str">
        <f t="shared" si="0"/>
        <v>1012 · Money Market:1008 · Alliance Capital</v>
      </c>
      <c r="N8" s="24">
        <f>SUMIF('Final E-Banker TB Dec 2025'!$A$3:$A$192,J8,'Final E-Banker TB Dec 2025'!$G$3:$G$192)</f>
        <v>0</v>
      </c>
      <c r="O8" s="24">
        <f>SUMIF('Final E-Banker TB Dec 2025'!$A$3:$A$192,'TB December 2025   '!J8,'Final E-Banker TB Dec 2025'!$H$3:$H$192)</f>
        <v>0</v>
      </c>
      <c r="Q8" s="30">
        <f t="shared" si="6"/>
        <v>0</v>
      </c>
      <c r="R8" s="30">
        <f t="shared" si="7"/>
        <v>0</v>
      </c>
      <c r="S8" s="30">
        <f t="shared" si="8"/>
        <v>0</v>
      </c>
      <c r="V8" s="21" t="str">
        <f t="shared" si="1"/>
        <v>1012 · Money Market:1008 · Alliance Capital</v>
      </c>
      <c r="W8" s="25">
        <f t="shared" si="2"/>
        <v>0</v>
      </c>
    </row>
    <row r="9" spans="1:23" s="27" customFormat="1" ht="13">
      <c r="A9" s="20"/>
      <c r="B9" s="21" t="s">
        <v>14</v>
      </c>
      <c r="C9" s="22">
        <f t="shared" si="3"/>
        <v>1877771252.6800001</v>
      </c>
      <c r="D9" s="23"/>
      <c r="E9" s="22"/>
      <c r="F9" s="24"/>
      <c r="G9" s="49"/>
      <c r="H9" s="25">
        <f t="shared" si="4"/>
        <v>-1877771252.6800001</v>
      </c>
      <c r="I9" s="26"/>
      <c r="J9" s="28" t="str">
        <f t="shared" si="5"/>
        <v>1012</v>
      </c>
      <c r="K9" s="21" t="str">
        <f t="shared" si="0"/>
        <v>1012 · Money Market:1009 · CDHIB Fixed Deposit</v>
      </c>
      <c r="N9" s="24">
        <f>'Final E-Banker TB Dec 2025'!G13</f>
        <v>1877771252.6800001</v>
      </c>
      <c r="O9" s="24">
        <f>SUMIF('Final E-Banker TB Dec 2025'!$A$3:$A$192,'TB December 2025   '!J9,'Final E-Banker TB Dec 2025'!$H$3:$H$192)</f>
        <v>0</v>
      </c>
      <c r="Q9" s="30">
        <f t="shared" si="6"/>
        <v>0</v>
      </c>
      <c r="R9" s="30">
        <f t="shared" si="7"/>
        <v>1877771252.6800001</v>
      </c>
      <c r="S9" s="30">
        <f t="shared" si="8"/>
        <v>1877771252.6800001</v>
      </c>
      <c r="V9" s="21" t="str">
        <f t="shared" si="1"/>
        <v>1012 · Money Market:1009 · CDHIB Fixed Deposit</v>
      </c>
      <c r="W9" s="25">
        <f t="shared" si="2"/>
        <v>-1877771252.6800001</v>
      </c>
    </row>
    <row r="10" spans="1:23" s="27" customFormat="1" ht="13">
      <c r="A10" s="20"/>
      <c r="B10" s="21" t="s">
        <v>15</v>
      </c>
      <c r="C10" s="22">
        <f t="shared" si="3"/>
        <v>33611610.890000001</v>
      </c>
      <c r="D10" s="23"/>
      <c r="E10" s="22"/>
      <c r="F10" s="24"/>
      <c r="G10" s="49"/>
      <c r="H10" s="25">
        <f t="shared" si="4"/>
        <v>-33611610.890000001</v>
      </c>
      <c r="I10" s="26"/>
      <c r="J10" s="28" t="str">
        <f t="shared" si="5"/>
        <v>1012</v>
      </c>
      <c r="K10" s="21" t="str">
        <f t="shared" si="0"/>
        <v>1012 · Money Market:1010 · CDHIB Call Account</v>
      </c>
      <c r="N10" s="24">
        <f>'Final E-Banker TB Dec 2025'!G9</f>
        <v>33611610.890000001</v>
      </c>
      <c r="O10" s="24">
        <f>SUMIF('Final E-Banker TB Dec 2025'!$A$3:$A$192,'TB December 2025   '!J10,'Final E-Banker TB Dec 2025'!$H$3:$H$192)</f>
        <v>0</v>
      </c>
      <c r="Q10" s="30">
        <f t="shared" si="6"/>
        <v>0</v>
      </c>
      <c r="R10" s="30">
        <f t="shared" si="7"/>
        <v>33611610.890000001</v>
      </c>
      <c r="S10" s="30">
        <f t="shared" si="8"/>
        <v>33611610.890000001</v>
      </c>
      <c r="V10" s="21" t="str">
        <f t="shared" si="1"/>
        <v>1012 · Money Market:1010 · CDHIB Call Account</v>
      </c>
      <c r="W10" s="25">
        <f t="shared" si="2"/>
        <v>-33611610.890000001</v>
      </c>
    </row>
    <row r="11" spans="1:23" s="27" customFormat="1" ht="13">
      <c r="A11" s="20"/>
      <c r="B11" s="21" t="s">
        <v>16</v>
      </c>
      <c r="C11" s="22">
        <f t="shared" si="3"/>
        <v>2697017766.1799998</v>
      </c>
      <c r="D11" s="23"/>
      <c r="E11" s="22"/>
      <c r="F11" s="24"/>
      <c r="G11" s="49"/>
      <c r="H11" s="25">
        <f t="shared" si="4"/>
        <v>-2697017766.1799998</v>
      </c>
      <c r="I11" s="26"/>
      <c r="J11" s="28" t="str">
        <f t="shared" si="5"/>
        <v>1012</v>
      </c>
      <c r="K11" s="21" t="str">
        <f t="shared" si="0"/>
        <v>1012 · Money Market:1011 · FDH Discount House</v>
      </c>
      <c r="N11" s="24">
        <f>'Final E-Banker TB Dec 2025'!G10</f>
        <v>2697017766.1799998</v>
      </c>
      <c r="O11" s="24">
        <f>SUMIF('Final E-Banker TB Dec 2025'!$A$3:$A$192,'TB December 2025   '!J11,'Final E-Banker TB Dec 2025'!$H$3:$H$192)</f>
        <v>0</v>
      </c>
      <c r="Q11" s="30">
        <f t="shared" si="6"/>
        <v>0</v>
      </c>
      <c r="R11" s="30">
        <f t="shared" si="7"/>
        <v>2697017766.1799998</v>
      </c>
      <c r="S11" s="30">
        <f t="shared" si="8"/>
        <v>2697017766.1799998</v>
      </c>
      <c r="V11" s="21" t="str">
        <f t="shared" si="1"/>
        <v>1012 · Money Market:1011 · FDH Discount House</v>
      </c>
      <c r="W11" s="25">
        <f t="shared" si="2"/>
        <v>-2697017766.1799998</v>
      </c>
    </row>
    <row r="12" spans="1:23" s="27" customFormat="1" ht="13">
      <c r="A12" s="20"/>
      <c r="B12" s="21" t="s">
        <v>17</v>
      </c>
      <c r="C12" s="22">
        <f t="shared" si="3"/>
        <v>0</v>
      </c>
      <c r="D12" s="23"/>
      <c r="E12" s="22"/>
      <c r="F12" s="24"/>
      <c r="G12" s="49"/>
      <c r="H12" s="25">
        <f t="shared" si="4"/>
        <v>0</v>
      </c>
      <c r="I12" s="26"/>
      <c r="J12" s="28" t="str">
        <f t="shared" si="5"/>
        <v>1012</v>
      </c>
      <c r="K12" s="21" t="str">
        <f t="shared" si="0"/>
        <v>1012 · Money Market:1013 · MyBucks</v>
      </c>
      <c r="N12" s="24">
        <f>SUMIF('Final E-Banker TB Dec 2025'!$A$3:$A$192,J12,'Final E-Banker TB Dec 2025'!$G$3:$G$192)</f>
        <v>0</v>
      </c>
      <c r="O12" s="24">
        <f>SUMIF('Final E-Banker TB Dec 2025'!$A$3:$A$192,'TB December 2025   '!J12,'Final E-Banker TB Dec 2025'!$H$3:$H$192)</f>
        <v>0</v>
      </c>
      <c r="Q12" s="30">
        <f t="shared" si="6"/>
        <v>0</v>
      </c>
      <c r="R12" s="30">
        <f t="shared" si="7"/>
        <v>0</v>
      </c>
      <c r="S12" s="30">
        <f t="shared" si="8"/>
        <v>0</v>
      </c>
      <c r="V12" s="21" t="str">
        <f t="shared" si="1"/>
        <v>1012 · Money Market:1013 · MyBucks</v>
      </c>
      <c r="W12" s="25">
        <f t="shared" si="2"/>
        <v>0</v>
      </c>
    </row>
    <row r="13" spans="1:23" s="27" customFormat="1" ht="13">
      <c r="A13" s="20"/>
      <c r="B13" s="21" t="s">
        <v>18</v>
      </c>
      <c r="C13" s="22">
        <f t="shared" si="3"/>
        <v>1599257969.6700001</v>
      </c>
      <c r="D13" s="23"/>
      <c r="E13" s="22"/>
      <c r="F13" s="24"/>
      <c r="G13" s="49"/>
      <c r="H13" s="25">
        <f t="shared" si="4"/>
        <v>-1599257969.6700001</v>
      </c>
      <c r="I13" s="26"/>
      <c r="J13" s="28">
        <v>1014</v>
      </c>
      <c r="K13" s="21" t="str">
        <f t="shared" si="0"/>
        <v>1012 · Money Market:1014 · Continental Asset Management</v>
      </c>
      <c r="N13" s="24">
        <f>SUMIF('Final E-Banker TB Dec 2025'!$A$3:$A$192,J13,'Final E-Banker TB Dec 2025'!$G$3:$G$192)</f>
        <v>1599257969.6700001</v>
      </c>
      <c r="O13" s="24">
        <f>SUMIF('Final E-Banker TB Dec 2025'!$A$3:$A$192,'TB December 2025   '!J13,'Final E-Banker TB Dec 2025'!$H$3:$H$192)</f>
        <v>0</v>
      </c>
      <c r="Q13" s="30">
        <f t="shared" si="6"/>
        <v>0</v>
      </c>
      <c r="R13" s="30">
        <f t="shared" si="7"/>
        <v>1599257969.6700001</v>
      </c>
      <c r="S13" s="30">
        <f t="shared" si="8"/>
        <v>1599257969.6700001</v>
      </c>
      <c r="V13" s="21" t="str">
        <f t="shared" si="1"/>
        <v>1012 · Money Market:1014 · Continental Asset Management</v>
      </c>
      <c r="W13" s="25">
        <f t="shared" si="2"/>
        <v>-1599257969.6700001</v>
      </c>
    </row>
    <row r="14" spans="1:23" s="27" customFormat="1" ht="13">
      <c r="A14" s="20"/>
      <c r="B14" s="21" t="s">
        <v>19</v>
      </c>
      <c r="C14" s="22">
        <f t="shared" si="3"/>
        <v>0</v>
      </c>
      <c r="D14" s="23"/>
      <c r="E14" s="22"/>
      <c r="F14" s="24"/>
      <c r="G14" s="49"/>
      <c r="H14" s="25">
        <f t="shared" si="4"/>
        <v>0</v>
      </c>
      <c r="I14" s="26"/>
      <c r="J14" s="28" t="str">
        <f t="shared" si="5"/>
        <v>1012</v>
      </c>
      <c r="K14" s="21" t="str">
        <f t="shared" si="0"/>
        <v>1012 · Money Market:1015 · NICO-INV1</v>
      </c>
      <c r="N14" s="24">
        <f>SUMIF('Final E-Banker TB Dec 2025'!$A$3:$A$192,J14,'Final E-Banker TB Dec 2025'!$G$3:$G$192)</f>
        <v>0</v>
      </c>
      <c r="O14" s="24">
        <f>SUMIF('Final E-Banker TB Dec 2025'!$A$3:$A$192,'TB December 2025   '!J14,'Final E-Banker TB Dec 2025'!$H$3:$H$192)</f>
        <v>0</v>
      </c>
      <c r="Q14" s="30">
        <f t="shared" si="6"/>
        <v>0</v>
      </c>
      <c r="R14" s="30">
        <f t="shared" si="7"/>
        <v>0</v>
      </c>
      <c r="S14" s="30">
        <f t="shared" si="8"/>
        <v>0</v>
      </c>
      <c r="V14" s="21" t="str">
        <f t="shared" si="1"/>
        <v>1012 · Money Market:1015 · NICO-INV1</v>
      </c>
      <c r="W14" s="25">
        <f t="shared" si="2"/>
        <v>0</v>
      </c>
    </row>
    <row r="15" spans="1:23" s="27" customFormat="1" ht="13">
      <c r="A15" s="20"/>
      <c r="B15" s="21" t="s">
        <v>20</v>
      </c>
      <c r="C15" s="22">
        <f t="shared" si="3"/>
        <v>0</v>
      </c>
      <c r="D15" s="23"/>
      <c r="E15" s="22"/>
      <c r="F15" s="24"/>
      <c r="G15" s="49"/>
      <c r="H15" s="25">
        <f t="shared" si="4"/>
        <v>0</v>
      </c>
      <c r="I15" s="26"/>
      <c r="J15" s="28" t="str">
        <f t="shared" si="5"/>
        <v>1012</v>
      </c>
      <c r="K15" s="21" t="str">
        <f t="shared" si="0"/>
        <v>1012 · Money Market:1016 · Treasury Note</v>
      </c>
      <c r="N15" s="24">
        <f>SUMIF('Final E-Banker TB Dec 2025'!$A$3:$A$192,J15,'Final E-Banker TB Dec 2025'!$G$3:$G$192)</f>
        <v>0</v>
      </c>
      <c r="O15" s="24">
        <f>SUMIF('Final E-Banker TB Dec 2025'!$A$3:$A$192,'TB December 2025   '!J15,'Final E-Banker TB Dec 2025'!$H$3:$H$192)</f>
        <v>0</v>
      </c>
      <c r="Q15" s="30">
        <f t="shared" si="6"/>
        <v>0</v>
      </c>
      <c r="R15" s="30">
        <f t="shared" si="7"/>
        <v>0</v>
      </c>
      <c r="S15" s="30">
        <f t="shared" si="8"/>
        <v>0</v>
      </c>
      <c r="V15" s="21" t="str">
        <f t="shared" si="1"/>
        <v>1012 · Money Market:1016 · Treasury Note</v>
      </c>
      <c r="W15" s="25">
        <f t="shared" si="2"/>
        <v>0</v>
      </c>
    </row>
    <row r="16" spans="1:23" s="27" customFormat="1" ht="13">
      <c r="A16" s="20"/>
      <c r="B16" s="21" t="s">
        <v>21</v>
      </c>
      <c r="C16" s="22">
        <f t="shared" si="3"/>
        <v>0</v>
      </c>
      <c r="D16" s="23"/>
      <c r="E16" s="22"/>
      <c r="F16" s="24"/>
      <c r="G16" s="49"/>
      <c r="H16" s="25">
        <f t="shared" si="4"/>
        <v>0</v>
      </c>
      <c r="I16" s="26"/>
      <c r="J16" s="28" t="str">
        <f t="shared" si="5"/>
        <v>1012</v>
      </c>
      <c r="K16" s="21" t="str">
        <f t="shared" si="0"/>
        <v>1012 · Money Market:1020 · FINCA</v>
      </c>
      <c r="N16" s="24">
        <f>SUMIF('Final E-Banker TB Dec 2025'!$A$3:$A$192,J16,'Final E-Banker TB Dec 2025'!$G$3:$G$192)</f>
        <v>0</v>
      </c>
      <c r="O16" s="24">
        <f>SUMIF('Final E-Banker TB Dec 2025'!$A$3:$A$192,'TB December 2025   '!J16,'Final E-Banker TB Dec 2025'!$H$3:$H$192)</f>
        <v>0</v>
      </c>
      <c r="Q16" s="30">
        <f t="shared" si="6"/>
        <v>0</v>
      </c>
      <c r="R16" s="30">
        <f t="shared" si="7"/>
        <v>0</v>
      </c>
      <c r="S16" s="30">
        <f t="shared" si="8"/>
        <v>0</v>
      </c>
      <c r="V16" s="21" t="str">
        <f t="shared" si="1"/>
        <v>1012 · Money Market:1020 · FINCA</v>
      </c>
      <c r="W16" s="25">
        <f t="shared" si="2"/>
        <v>0</v>
      </c>
    </row>
    <row r="17" spans="1:23" s="27" customFormat="1" ht="13">
      <c r="A17" s="20"/>
      <c r="B17" s="21" t="s">
        <v>22</v>
      </c>
      <c r="C17" s="22">
        <f t="shared" si="3"/>
        <v>293583637.85000002</v>
      </c>
      <c r="D17" s="23"/>
      <c r="E17" s="22"/>
      <c r="F17" s="24"/>
      <c r="G17" s="49"/>
      <c r="H17" s="25">
        <f t="shared" si="4"/>
        <v>-293583637.85000002</v>
      </c>
      <c r="I17" s="26"/>
      <c r="J17" s="28">
        <v>1025</v>
      </c>
      <c r="K17" s="21" t="str">
        <f t="shared" si="0"/>
        <v>1012 · Money Market:1025 · CDHIB Fixed Deposit (USD)</v>
      </c>
      <c r="N17" s="24">
        <f>SUMIF('Final E-Banker TB Dec 2025'!$A$3:$A$192,J17,'Final E-Banker TB Dec 2025'!$G$3:$G$192)</f>
        <v>293583637.85000002</v>
      </c>
      <c r="O17" s="24">
        <f>SUMIF('Final E-Banker TB Dec 2025'!$A$3:$A$192,'TB December 2025   '!J17,'Final E-Banker TB Dec 2025'!$H$3:$H$192)</f>
        <v>0</v>
      </c>
      <c r="Q17" s="30">
        <f t="shared" si="6"/>
        <v>0</v>
      </c>
      <c r="R17" s="30">
        <f t="shared" si="7"/>
        <v>293583637.85000002</v>
      </c>
      <c r="S17" s="30">
        <f t="shared" si="8"/>
        <v>293583637.85000002</v>
      </c>
      <c r="V17" s="21" t="str">
        <f t="shared" si="1"/>
        <v>1012 · Money Market:1025 · CDHIB Fixed Deposit (USD)</v>
      </c>
      <c r="W17" s="25">
        <f t="shared" si="2"/>
        <v>-293583637.85000002</v>
      </c>
    </row>
    <row r="18" spans="1:23" s="27" customFormat="1" ht="13">
      <c r="A18" s="20"/>
      <c r="B18" s="21" t="s">
        <v>23</v>
      </c>
      <c r="C18" s="22">
        <f t="shared" si="3"/>
        <v>0</v>
      </c>
      <c r="D18" s="23"/>
      <c r="E18" s="22"/>
      <c r="F18" s="24"/>
      <c r="G18" s="49"/>
      <c r="H18" s="25">
        <f t="shared" si="4"/>
        <v>0</v>
      </c>
      <c r="I18" s="26"/>
      <c r="J18" s="28" t="str">
        <f t="shared" si="5"/>
        <v>1012</v>
      </c>
      <c r="K18" s="21" t="str">
        <f t="shared" si="0"/>
        <v>1012 · Money Market:1026 · NICO-INV 2</v>
      </c>
      <c r="N18" s="24">
        <f>SUMIF('Final E-Banker TB Dec 2025'!$A$3:$A$192,J18,'Final E-Banker TB Dec 2025'!$G$3:$G$192)</f>
        <v>0</v>
      </c>
      <c r="O18" s="24">
        <f>SUMIF('Final E-Banker TB Dec 2025'!$A$3:$A$192,'TB December 2025   '!J18,'Final E-Banker TB Dec 2025'!$H$3:$H$192)</f>
        <v>0</v>
      </c>
      <c r="Q18" s="30">
        <f t="shared" si="6"/>
        <v>0</v>
      </c>
      <c r="R18" s="30">
        <f t="shared" si="7"/>
        <v>0</v>
      </c>
      <c r="S18" s="30">
        <f t="shared" si="8"/>
        <v>0</v>
      </c>
      <c r="V18" s="21" t="str">
        <f t="shared" si="1"/>
        <v>1012 · Money Market:1026 · NICO-INV 2</v>
      </c>
      <c r="W18" s="25">
        <f t="shared" si="2"/>
        <v>0</v>
      </c>
    </row>
    <row r="19" spans="1:23" s="27" customFormat="1" ht="13">
      <c r="A19" s="20"/>
      <c r="B19" s="21" t="s">
        <v>24</v>
      </c>
      <c r="C19" s="22">
        <f t="shared" si="3"/>
        <v>36229353.009999998</v>
      </c>
      <c r="D19" s="23"/>
      <c r="E19" s="22"/>
      <c r="F19" s="24"/>
      <c r="G19" s="49"/>
      <c r="H19" s="25">
        <f t="shared" si="4"/>
        <v>-36229353.009999998</v>
      </c>
      <c r="I19" s="26"/>
      <c r="J19" s="28">
        <v>1027</v>
      </c>
      <c r="K19" s="21" t="str">
        <f t="shared" si="0"/>
        <v>1012 · Money Market:1027 · CDHIB Call Account FInES</v>
      </c>
      <c r="N19" s="24">
        <f>SUMIF('Final E-Banker TB Dec 2025'!$A$3:$A$192,J19,'Final E-Banker TB Dec 2025'!$G$3:$G$192)</f>
        <v>36229353.009999998</v>
      </c>
      <c r="O19" s="24">
        <f>SUMIF('Final E-Banker TB Dec 2025'!$A$3:$A$192,'TB December 2025   '!J19,'Final E-Banker TB Dec 2025'!$H$3:$H$192)</f>
        <v>0</v>
      </c>
      <c r="Q19" s="30">
        <f t="shared" si="6"/>
        <v>0</v>
      </c>
      <c r="R19" s="30">
        <f t="shared" si="7"/>
        <v>36229353.009999998</v>
      </c>
      <c r="S19" s="30">
        <f t="shared" si="8"/>
        <v>36229353.009999998</v>
      </c>
      <c r="V19" s="21" t="str">
        <f t="shared" si="1"/>
        <v>1012 · Money Market:1027 · CDHIB Call Account FInES</v>
      </c>
      <c r="W19" s="25">
        <f t="shared" si="2"/>
        <v>-36229353.009999998</v>
      </c>
    </row>
    <row r="20" spans="1:23" s="27" customFormat="1" ht="13">
      <c r="A20" s="20"/>
      <c r="B20" s="21" t="s">
        <v>25</v>
      </c>
      <c r="C20" s="22">
        <f t="shared" si="3"/>
        <v>0.18</v>
      </c>
      <c r="D20" s="23"/>
      <c r="E20" s="22"/>
      <c r="F20" s="24"/>
      <c r="G20" s="49"/>
      <c r="H20" s="25">
        <f t="shared" si="4"/>
        <v>-0.18</v>
      </c>
      <c r="I20" s="26"/>
      <c r="J20" s="28">
        <v>1028</v>
      </c>
      <c r="K20" s="21" t="str">
        <f t="shared" si="0"/>
        <v>1012 · Money Market:1028 · Old Mutual Investment Group Ltd</v>
      </c>
      <c r="N20" s="24">
        <f>SUMIF('Final E-Banker TB Dec 2025'!$A$3:$A$192,J20,'Final E-Banker TB Dec 2025'!$G$3:$G$192)</f>
        <v>0.18</v>
      </c>
      <c r="O20" s="24">
        <f>SUMIF('Final E-Banker TB Dec 2025'!$A$3:$A$192,'TB December 2025   '!J20,'Final E-Banker TB Dec 2025'!$H$3:$H$192)</f>
        <v>0</v>
      </c>
      <c r="Q20" s="30">
        <f t="shared" si="6"/>
        <v>0</v>
      </c>
      <c r="R20" s="30">
        <f t="shared" si="7"/>
        <v>0.18</v>
      </c>
      <c r="S20" s="30">
        <f t="shared" si="8"/>
        <v>0.18</v>
      </c>
      <c r="V20" s="21" t="str">
        <f t="shared" si="1"/>
        <v>1012 · Money Market:1028 · Old Mutual Investment Group Ltd</v>
      </c>
      <c r="W20" s="25">
        <f t="shared" si="2"/>
        <v>-0.18</v>
      </c>
    </row>
    <row r="21" spans="1:23" s="27" customFormat="1" ht="13">
      <c r="A21" s="20"/>
      <c r="B21" s="21" t="s">
        <v>26</v>
      </c>
      <c r="C21" s="22">
        <f t="shared" si="3"/>
        <v>361232814.87</v>
      </c>
      <c r="D21" s="23"/>
      <c r="E21" s="22"/>
      <c r="F21" s="24"/>
      <c r="G21" s="49"/>
      <c r="H21" s="25">
        <f t="shared" si="4"/>
        <v>-361232814.87</v>
      </c>
      <c r="I21" s="26"/>
      <c r="J21" s="28">
        <v>1031</v>
      </c>
      <c r="K21" s="21" t="str">
        <f t="shared" si="0"/>
        <v>1012 · Money Market:1031 · CDHIB Fixed Deposit (USD) 2</v>
      </c>
      <c r="N21" s="24">
        <f>SUMIF('Final E-Banker TB Dec 2025'!$A$3:$A$192,J21,'Final E-Banker TB Dec 2025'!$G$3:$G$192)</f>
        <v>361232814.87</v>
      </c>
      <c r="O21" s="24">
        <f>SUMIF('Final E-Banker TB Dec 2025'!$A$3:$A$192,'TB December 2025   '!J21,'Final E-Banker TB Dec 2025'!$H$3:$H$192)</f>
        <v>0</v>
      </c>
      <c r="Q21" s="30">
        <f t="shared" si="6"/>
        <v>0</v>
      </c>
      <c r="R21" s="30">
        <f t="shared" si="7"/>
        <v>361232814.87</v>
      </c>
      <c r="S21" s="30">
        <f t="shared" si="8"/>
        <v>361232814.87</v>
      </c>
      <c r="V21" s="21" t="str">
        <f t="shared" si="1"/>
        <v>1012 · Money Market:1031 · CDHIB Fixed Deposit (USD) 2</v>
      </c>
      <c r="W21" s="25">
        <f t="shared" si="2"/>
        <v>-361232814.87</v>
      </c>
    </row>
    <row r="22" spans="1:23" s="27" customFormat="1" ht="13">
      <c r="A22" s="20"/>
      <c r="B22" s="21" t="s">
        <v>27</v>
      </c>
      <c r="C22" s="22">
        <f t="shared" si="3"/>
        <v>44302226.009999998</v>
      </c>
      <c r="D22" s="23"/>
      <c r="E22" s="22"/>
      <c r="F22" s="24"/>
      <c r="G22" s="49"/>
      <c r="H22" s="25">
        <f t="shared" si="4"/>
        <v>-44302226.009999998</v>
      </c>
      <c r="I22" s="26"/>
      <c r="J22" s="28">
        <v>1032</v>
      </c>
      <c r="K22" s="21" t="str">
        <f t="shared" si="0"/>
        <v>1012 · Money Market:1032 · CDHIB Fixed Deposit (USD) 3</v>
      </c>
      <c r="N22" s="24">
        <f>SUMIF('Final E-Banker TB Dec 2025'!$A$3:$A$192,J22,'Final E-Banker TB Dec 2025'!$G$3:$G$192)</f>
        <v>44302226.009999998</v>
      </c>
      <c r="O22" s="24">
        <f>SUMIF('Final E-Banker TB Dec 2025'!$A$3:$A$192,'TB December 2025   '!J22,'Final E-Banker TB Dec 2025'!$H$3:$H$192)</f>
        <v>0</v>
      </c>
      <c r="Q22" s="30">
        <f t="shared" si="6"/>
        <v>0</v>
      </c>
      <c r="R22" s="30">
        <f t="shared" si="7"/>
        <v>44302226.009999998</v>
      </c>
      <c r="S22" s="30">
        <f t="shared" si="8"/>
        <v>44302226.009999998</v>
      </c>
      <c r="V22" s="21" t="str">
        <f t="shared" si="1"/>
        <v>1012 · Money Market:1032 · CDHIB Fixed Deposit (USD) 3</v>
      </c>
      <c r="W22" s="25">
        <f t="shared" si="2"/>
        <v>-44302226.009999998</v>
      </c>
    </row>
    <row r="23" spans="1:23" s="27" customFormat="1" ht="13">
      <c r="A23" s="20"/>
      <c r="B23" s="21" t="s">
        <v>28</v>
      </c>
      <c r="C23" s="22">
        <f t="shared" si="3"/>
        <v>0</v>
      </c>
      <c r="D23" s="23"/>
      <c r="E23" s="22"/>
      <c r="F23" s="24"/>
      <c r="G23" s="49"/>
      <c r="H23" s="25">
        <f t="shared" si="4"/>
        <v>0</v>
      </c>
      <c r="I23" s="26"/>
      <c r="J23" s="28" t="str">
        <f t="shared" si="5"/>
        <v>1012</v>
      </c>
      <c r="K23" s="21" t="str">
        <f t="shared" si="0"/>
        <v>1012 · Money Market:1033 · NBS Bank- Mega Farms 1</v>
      </c>
      <c r="N23" s="24">
        <f>SUMIF('Final E-Banker TB Dec 2025'!$A$3:$A$192,J23,'Final E-Banker TB Dec 2025'!$G$3:$G$192)</f>
        <v>0</v>
      </c>
      <c r="O23" s="24">
        <f>SUMIF('Final E-Banker TB Dec 2025'!$A$3:$A$192,'TB December 2025   '!J23,'Final E-Banker TB Dec 2025'!$H$3:$H$192)</f>
        <v>0</v>
      </c>
      <c r="Q23" s="30">
        <f t="shared" si="6"/>
        <v>0</v>
      </c>
      <c r="R23" s="30">
        <f t="shared" si="7"/>
        <v>0</v>
      </c>
      <c r="S23" s="30">
        <f t="shared" si="8"/>
        <v>0</v>
      </c>
      <c r="V23" s="21" t="str">
        <f t="shared" si="1"/>
        <v>1012 · Money Market:1033 · NBS Bank- Mega Farms 1</v>
      </c>
      <c r="W23" s="25">
        <f t="shared" si="2"/>
        <v>0</v>
      </c>
    </row>
    <row r="24" spans="1:23" s="27" customFormat="1" ht="13">
      <c r="A24" s="20"/>
      <c r="B24" s="21" t="s">
        <v>29</v>
      </c>
      <c r="C24" s="22">
        <f t="shared" si="3"/>
        <v>0</v>
      </c>
      <c r="D24" s="23"/>
      <c r="E24" s="22"/>
      <c r="F24" s="24"/>
      <c r="G24" s="49"/>
      <c r="H24" s="25">
        <f t="shared" si="4"/>
        <v>0</v>
      </c>
      <c r="I24" s="26"/>
      <c r="J24" s="28" t="str">
        <f t="shared" si="5"/>
        <v>1012</v>
      </c>
      <c r="K24" s="21" t="str">
        <f t="shared" si="0"/>
        <v>1012 · Money Market:1034 · NBS Bank Mega Farms 2</v>
      </c>
      <c r="N24" s="24">
        <f>SUMIF('Final E-Banker TB Dec 2025'!$A$3:$A$192,J24,'Final E-Banker TB Dec 2025'!$G$3:$G$192)</f>
        <v>0</v>
      </c>
      <c r="O24" s="24">
        <f>SUMIF('Final E-Banker TB Dec 2025'!$A$3:$A$192,'TB December 2025   '!J24,'Final E-Banker TB Dec 2025'!$H$3:$H$192)</f>
        <v>0</v>
      </c>
      <c r="Q24" s="30">
        <f t="shared" si="6"/>
        <v>0</v>
      </c>
      <c r="R24" s="30">
        <f t="shared" si="7"/>
        <v>0</v>
      </c>
      <c r="S24" s="30">
        <f t="shared" si="8"/>
        <v>0</v>
      </c>
      <c r="V24" s="21" t="str">
        <f t="shared" si="1"/>
        <v>1012 · Money Market:1034 · NBS Bank Mega Farms 2</v>
      </c>
      <c r="W24" s="25">
        <f t="shared" si="2"/>
        <v>0</v>
      </c>
    </row>
    <row r="25" spans="1:23" s="27" customFormat="1" ht="13">
      <c r="A25" s="20"/>
      <c r="B25" s="21" t="s">
        <v>30</v>
      </c>
      <c r="C25" s="22">
        <f t="shared" si="3"/>
        <v>6454577079.2600002</v>
      </c>
      <c r="D25" s="23"/>
      <c r="E25" s="22"/>
      <c r="F25" s="24"/>
      <c r="G25" s="49"/>
      <c r="H25" s="25">
        <f t="shared" si="4"/>
        <v>-6454577079.2600002</v>
      </c>
      <c r="I25" s="26"/>
      <c r="J25" s="28">
        <v>1035</v>
      </c>
      <c r="K25" s="21" t="str">
        <f t="shared" si="0"/>
        <v>1012 · Money Market:1035 · Continental Asset Management 2</v>
      </c>
      <c r="N25" s="24">
        <f>SUMIF('Final E-Banker TB Dec 2025'!$A$3:$A$192,J25,'Final E-Banker TB Dec 2025'!$G$3:$G$192)</f>
        <v>6454577079.2600002</v>
      </c>
      <c r="O25" s="24">
        <f>SUMIF('Final E-Banker TB Dec 2025'!$A$3:$A$192,'TB December 2025   '!J25,'Final E-Banker TB Dec 2025'!$H$3:$H$192)</f>
        <v>0</v>
      </c>
      <c r="Q25" s="30">
        <f t="shared" si="6"/>
        <v>0</v>
      </c>
      <c r="R25" s="30">
        <f t="shared" si="7"/>
        <v>6454577079.2600002</v>
      </c>
      <c r="S25" s="30">
        <f t="shared" si="8"/>
        <v>6454577079.2600002</v>
      </c>
      <c r="V25" s="21" t="str">
        <f t="shared" si="1"/>
        <v>1012 · Money Market:1035 · Continental Asset Management 2</v>
      </c>
      <c r="W25" s="25">
        <f t="shared" si="2"/>
        <v>-6454577079.2600002</v>
      </c>
    </row>
    <row r="26" spans="1:23" s="27" customFormat="1" ht="13">
      <c r="A26" s="20"/>
      <c r="B26" s="21" t="s">
        <v>31</v>
      </c>
      <c r="C26" s="22">
        <f t="shared" si="3"/>
        <v>29851626.039999999</v>
      </c>
      <c r="D26" s="23"/>
      <c r="E26" s="22"/>
      <c r="F26" s="24"/>
      <c r="G26" s="49"/>
      <c r="H26" s="25">
        <f t="shared" si="4"/>
        <v>-29851626.039999999</v>
      </c>
      <c r="I26" s="26"/>
      <c r="J26" s="28">
        <v>1037</v>
      </c>
      <c r="K26" s="21" t="str">
        <f t="shared" si="0"/>
        <v>1012 · Money Market:1037 · CDHIB Call Account AGCOM</v>
      </c>
      <c r="N26" s="24">
        <f>SUMIF('Final E-Banker TB Dec 2025'!$A$3:$A$192,J26,'Final E-Banker TB Dec 2025'!$G$3:$G$192)</f>
        <v>29851626.039999999</v>
      </c>
      <c r="O26" s="24">
        <f>SUMIF('Final E-Banker TB Dec 2025'!$A$3:$A$192,'TB December 2025   '!J26,'Final E-Banker TB Dec 2025'!$H$3:$H$192)</f>
        <v>0</v>
      </c>
      <c r="Q26" s="30">
        <f t="shared" si="6"/>
        <v>0</v>
      </c>
      <c r="R26" s="30">
        <f t="shared" si="7"/>
        <v>29851626.039999999</v>
      </c>
      <c r="S26" s="30">
        <f t="shared" si="8"/>
        <v>29851626.039999999</v>
      </c>
      <c r="V26" s="21" t="str">
        <f t="shared" si="1"/>
        <v>1012 · Money Market:1037 · CDHIB Call Account AGCOM</v>
      </c>
      <c r="W26" s="25">
        <f t="shared" si="2"/>
        <v>-29851626.039999999</v>
      </c>
    </row>
    <row r="27" spans="1:23" s="27" customFormat="1" ht="13">
      <c r="A27" s="20"/>
      <c r="B27" s="21" t="s">
        <v>32</v>
      </c>
      <c r="C27" s="22">
        <f t="shared" si="3"/>
        <v>1808285074</v>
      </c>
      <c r="D27" s="23"/>
      <c r="E27" s="22"/>
      <c r="F27" s="24"/>
      <c r="G27" s="49"/>
      <c r="H27" s="25">
        <f t="shared" si="4"/>
        <v>-1808285074</v>
      </c>
      <c r="I27" s="26"/>
      <c r="J27" s="28">
        <v>1038</v>
      </c>
      <c r="K27" s="21" t="str">
        <f t="shared" si="0"/>
        <v>1012 · Money Market:1038 · CDHIB Fixed Deposit AGCOM</v>
      </c>
      <c r="N27" s="24">
        <f>SUMIF('Final E-Banker TB Dec 2025'!$A$3:$A$192,J27,'Final E-Banker TB Dec 2025'!$G$3:$G$192)</f>
        <v>1808285074</v>
      </c>
      <c r="O27" s="24">
        <f>SUMIF('Final E-Banker TB Dec 2025'!$A$3:$A$192,'TB December 2025   '!J27,'Final E-Banker TB Dec 2025'!$H$3:$H$192)</f>
        <v>0</v>
      </c>
      <c r="Q27" s="30">
        <f t="shared" si="6"/>
        <v>0</v>
      </c>
      <c r="R27" s="30">
        <f t="shared" si="7"/>
        <v>1808285074</v>
      </c>
      <c r="S27" s="30">
        <f t="shared" si="8"/>
        <v>1808285074</v>
      </c>
      <c r="V27" s="21" t="str">
        <f t="shared" si="1"/>
        <v>1012 · Money Market:1038 · CDHIB Fixed Deposit AGCOM</v>
      </c>
      <c r="W27" s="25">
        <f t="shared" si="2"/>
        <v>-1808285074</v>
      </c>
    </row>
    <row r="28" spans="1:23" s="27" customFormat="1" ht="13">
      <c r="A28" s="20"/>
      <c r="B28" s="21" t="s">
        <v>33</v>
      </c>
      <c r="C28" s="22">
        <f t="shared" si="3"/>
        <v>0</v>
      </c>
      <c r="D28" s="23"/>
      <c r="E28" s="22"/>
      <c r="F28" s="24"/>
      <c r="G28" s="49"/>
      <c r="H28" s="25">
        <f t="shared" si="4"/>
        <v>0</v>
      </c>
      <c r="I28" s="26"/>
      <c r="J28" s="28" t="str">
        <f t="shared" si="5"/>
        <v>1012</v>
      </c>
      <c r="K28" s="21" t="str">
        <f t="shared" si="0"/>
        <v>1012 · Money Market:1043 · NBS Money Market</v>
      </c>
      <c r="N28" s="24">
        <f>SUMIF('Final E-Banker TB Dec 2025'!$A$3:$A$192,J28,'Final E-Banker TB Dec 2025'!$G$3:$G$192)</f>
        <v>0</v>
      </c>
      <c r="O28" s="24">
        <f>SUMIF('Final E-Banker TB Dec 2025'!$A$3:$A$192,'TB December 2025   '!J28,'Final E-Banker TB Dec 2025'!$H$3:$H$192)</f>
        <v>0</v>
      </c>
      <c r="Q28" s="30">
        <f t="shared" si="6"/>
        <v>0</v>
      </c>
      <c r="R28" s="30">
        <f t="shared" si="7"/>
        <v>0</v>
      </c>
      <c r="S28" s="30">
        <f t="shared" si="8"/>
        <v>0</v>
      </c>
      <c r="V28" s="21" t="str">
        <f t="shared" si="1"/>
        <v>1012 · Money Market:1043 · NBS Money Market</v>
      </c>
      <c r="W28" s="25">
        <f t="shared" si="2"/>
        <v>0</v>
      </c>
    </row>
    <row r="29" spans="1:23" s="27" customFormat="1" ht="13">
      <c r="A29" s="20"/>
      <c r="B29" s="21" t="s">
        <v>34</v>
      </c>
      <c r="C29" s="22">
        <f t="shared" si="3"/>
        <v>2016985716.8800001</v>
      </c>
      <c r="D29" s="23"/>
      <c r="E29" s="22"/>
      <c r="F29" s="24"/>
      <c r="G29" s="49"/>
      <c r="H29" s="25">
        <f t="shared" si="4"/>
        <v>-2016985716.8800001</v>
      </c>
      <c r="I29" s="26"/>
      <c r="J29" s="28">
        <v>1044</v>
      </c>
      <c r="K29" s="21" t="str">
        <f t="shared" si="0"/>
        <v>1012 · Money Market:1044 · FDH Discount House 2</v>
      </c>
      <c r="N29" s="24">
        <f>SUMIF('Final E-Banker TB Dec 2025'!$A$3:$A$192,J29,'Final E-Banker TB Dec 2025'!$G$3:$G$192)</f>
        <v>2016985716.8800001</v>
      </c>
      <c r="O29" s="24">
        <f>SUMIF('Final E-Banker TB Dec 2025'!$A$3:$A$192,'TB December 2025   '!J29,'Final E-Banker TB Dec 2025'!$H$3:$H$192)</f>
        <v>0</v>
      </c>
      <c r="Q29" s="30">
        <f t="shared" si="6"/>
        <v>0</v>
      </c>
      <c r="R29" s="30">
        <f t="shared" si="7"/>
        <v>2016985716.8800001</v>
      </c>
      <c r="S29" s="30">
        <f t="shared" si="8"/>
        <v>2016985716.8800001</v>
      </c>
      <c r="V29" s="21" t="str">
        <f t="shared" si="1"/>
        <v>1012 · Money Market:1044 · FDH Discount House 2</v>
      </c>
      <c r="W29" s="25">
        <f t="shared" si="2"/>
        <v>-2016985716.8800001</v>
      </c>
    </row>
    <row r="30" spans="1:23" s="27" customFormat="1" ht="13">
      <c r="A30" s="20"/>
      <c r="B30" s="21" t="s">
        <v>35</v>
      </c>
      <c r="C30" s="22">
        <f t="shared" si="3"/>
        <v>0</v>
      </c>
      <c r="D30" s="23"/>
      <c r="E30" s="22"/>
      <c r="F30" s="24"/>
      <c r="G30" s="49"/>
      <c r="H30" s="25">
        <f t="shared" si="4"/>
        <v>0</v>
      </c>
      <c r="I30" s="26"/>
      <c r="J30" s="28" t="str">
        <f t="shared" si="5"/>
        <v>1012</v>
      </c>
      <c r="K30" s="21" t="str">
        <f t="shared" si="0"/>
        <v>1012 · Money Market:1045 · FDH Discount House 3</v>
      </c>
      <c r="N30" s="24">
        <f>SUMIF('Final E-Banker TB Dec 2025'!$A$3:$A$192,J30,'Final E-Banker TB Dec 2025'!$G$3:$G$192)</f>
        <v>0</v>
      </c>
      <c r="O30" s="24">
        <f>SUMIF('Final E-Banker TB Dec 2025'!$A$3:$A$192,'TB December 2025   '!J30,'Final E-Banker TB Dec 2025'!$H$3:$H$192)</f>
        <v>0</v>
      </c>
      <c r="Q30" s="30">
        <f t="shared" si="6"/>
        <v>0</v>
      </c>
      <c r="R30" s="30">
        <f t="shared" si="7"/>
        <v>0</v>
      </c>
      <c r="S30" s="30">
        <f t="shared" si="8"/>
        <v>0</v>
      </c>
      <c r="V30" s="21" t="str">
        <f t="shared" si="1"/>
        <v>1012 · Money Market:1045 · FDH Discount House 3</v>
      </c>
      <c r="W30" s="25">
        <f t="shared" si="2"/>
        <v>0</v>
      </c>
    </row>
    <row r="31" spans="1:23" s="27" customFormat="1" ht="13">
      <c r="A31" s="20"/>
      <c r="B31" s="21" t="s">
        <v>36</v>
      </c>
      <c r="C31" s="22">
        <f t="shared" si="3"/>
        <v>3822360587.3499999</v>
      </c>
      <c r="D31" s="23"/>
      <c r="E31" s="22"/>
      <c r="F31" s="24"/>
      <c r="G31" s="49"/>
      <c r="H31" s="25">
        <f t="shared" si="4"/>
        <v>-3822360587.3499999</v>
      </c>
      <c r="I31" s="26"/>
      <c r="J31" s="28">
        <v>1047</v>
      </c>
      <c r="K31" s="21" t="str">
        <f t="shared" si="0"/>
        <v>1012 · Money Market:1047 · NICO Asset Managers</v>
      </c>
      <c r="N31" s="24">
        <f>SUMIF('Final E-Banker TB Dec 2025'!$A$3:$A$192,J31,'Final E-Banker TB Dec 2025'!$G$3:$G$192)</f>
        <v>3822360587.3499999</v>
      </c>
      <c r="O31" s="24">
        <f>SUMIF('Final E-Banker TB Dec 2025'!$A$3:$A$192,'TB December 2025   '!J31,'Final E-Banker TB Dec 2025'!$H$3:$H$192)</f>
        <v>0</v>
      </c>
      <c r="Q31" s="30">
        <f t="shared" si="6"/>
        <v>0</v>
      </c>
      <c r="R31" s="30">
        <f t="shared" si="7"/>
        <v>3822360587.3499999</v>
      </c>
      <c r="S31" s="30">
        <f t="shared" si="8"/>
        <v>3822360587.3499999</v>
      </c>
      <c r="V31" s="21" t="str">
        <f t="shared" si="1"/>
        <v>1012 · Money Market:1047 · NICO Asset Managers</v>
      </c>
      <c r="W31" s="25">
        <f t="shared" si="2"/>
        <v>-3822360587.3499999</v>
      </c>
    </row>
    <row r="32" spans="1:23" s="27" customFormat="1" ht="13">
      <c r="A32" s="20"/>
      <c r="B32" s="21" t="s">
        <v>37</v>
      </c>
      <c r="C32" s="22">
        <f t="shared" si="3"/>
        <v>339514040.31999999</v>
      </c>
      <c r="D32" s="23"/>
      <c r="E32" s="22"/>
      <c r="F32" s="24"/>
      <c r="G32" s="49"/>
      <c r="H32" s="25">
        <f t="shared" si="4"/>
        <v>-339514040.31999999</v>
      </c>
      <c r="I32" s="26"/>
      <c r="J32" s="28" t="str">
        <f t="shared" si="5"/>
        <v>1017</v>
      </c>
      <c r="K32" s="21" t="str">
        <f t="shared" si="0"/>
        <v>1017 · NBS Cash collection</v>
      </c>
      <c r="N32" s="24">
        <f>SUMIF('Final E-Banker TB Dec 2025'!$A$3:$A$192,J32,'Final E-Banker TB Dec 2025'!$G$3:$G$192)</f>
        <v>339514040.31999999</v>
      </c>
      <c r="O32" s="24">
        <f>SUMIF('Final E-Banker TB Dec 2025'!$A$3:$A$192,'TB December 2025   '!J32,'Final E-Banker TB Dec 2025'!$H$3:$H$192)</f>
        <v>0</v>
      </c>
      <c r="Q32" s="30">
        <f t="shared" si="6"/>
        <v>0</v>
      </c>
      <c r="R32" s="30">
        <f t="shared" si="7"/>
        <v>339514040.31999999</v>
      </c>
      <c r="S32" s="30">
        <f t="shared" si="8"/>
        <v>339514040.31999999</v>
      </c>
      <c r="V32" s="21" t="str">
        <f t="shared" si="1"/>
        <v>1017 · NBS Cash collection</v>
      </c>
      <c r="W32" s="25">
        <f t="shared" si="2"/>
        <v>-339514040.31999999</v>
      </c>
    </row>
    <row r="33" spans="1:23" s="27" customFormat="1" ht="13">
      <c r="A33" s="20"/>
      <c r="B33" s="21" t="s">
        <v>38</v>
      </c>
      <c r="C33" s="22">
        <f t="shared" si="3"/>
        <v>193081999.19999999</v>
      </c>
      <c r="D33" s="23"/>
      <c r="E33" s="22"/>
      <c r="F33" s="24"/>
      <c r="G33" s="49"/>
      <c r="H33" s="25">
        <f t="shared" si="4"/>
        <v>-193081999.19999999</v>
      </c>
      <c r="I33" s="26"/>
      <c r="J33" s="28" t="str">
        <f t="shared" si="5"/>
        <v>1018</v>
      </c>
      <c r="K33" s="21" t="str">
        <f t="shared" si="0"/>
        <v>1018 · NBS Current A/C 21011223</v>
      </c>
      <c r="N33" s="24">
        <f>SUMIF('Final E-Banker TB Dec 2025'!$A$3:$A$192,J33,'Final E-Banker TB Dec 2025'!$G$3:$G$192)</f>
        <v>193081999.19999999</v>
      </c>
      <c r="O33" s="24">
        <f>SUMIF('Final E-Banker TB Dec 2025'!$A$3:$A$192,'TB December 2025   '!J33,'Final E-Banker TB Dec 2025'!$H$3:$H$192)</f>
        <v>0</v>
      </c>
      <c r="Q33" s="30">
        <f t="shared" si="6"/>
        <v>0</v>
      </c>
      <c r="R33" s="30">
        <f t="shared" si="7"/>
        <v>193081999.19999999</v>
      </c>
      <c r="S33" s="30">
        <f t="shared" si="8"/>
        <v>193081999.19999999</v>
      </c>
      <c r="V33" s="21" t="str">
        <f t="shared" si="1"/>
        <v>1018 · NBS Current A/C 21011223</v>
      </c>
      <c r="W33" s="25">
        <f t="shared" si="2"/>
        <v>-193081999.19999999</v>
      </c>
    </row>
    <row r="34" spans="1:23" s="27" customFormat="1" ht="13">
      <c r="A34" s="20"/>
      <c r="B34" s="21" t="s">
        <v>39</v>
      </c>
      <c r="C34" s="22">
        <f t="shared" si="3"/>
        <v>1846377.7</v>
      </c>
      <c r="D34" s="23"/>
      <c r="E34" s="22"/>
      <c r="F34" s="24"/>
      <c r="G34" s="49"/>
      <c r="H34" s="25">
        <f t="shared" si="4"/>
        <v>-1846377.7</v>
      </c>
      <c r="I34" s="26"/>
      <c r="J34" s="28" t="str">
        <f t="shared" si="5"/>
        <v>1019</v>
      </c>
      <c r="K34" s="21" t="str">
        <f t="shared" si="0"/>
        <v>1019 · NBS USD A/C 21011436</v>
      </c>
      <c r="N34" s="24">
        <f>SUMIF('Final E-Banker TB Dec 2025'!$A$3:$A$192,J34,'Final E-Banker TB Dec 2025'!$G$3:$G$192)</f>
        <v>1846377.7</v>
      </c>
      <c r="O34" s="24">
        <f>SUMIF('Final E-Banker TB Dec 2025'!$A$3:$A$192,'TB December 2025   '!J34,'Final E-Banker TB Dec 2025'!$H$3:$H$192)</f>
        <v>0</v>
      </c>
      <c r="Q34" s="30">
        <f t="shared" si="6"/>
        <v>0</v>
      </c>
      <c r="R34" s="30">
        <f t="shared" si="7"/>
        <v>1846377.7</v>
      </c>
      <c r="S34" s="30">
        <f t="shared" si="8"/>
        <v>1846377.7</v>
      </c>
      <c r="V34" s="21" t="str">
        <f t="shared" si="1"/>
        <v>1019 · NBS USD A/C 21011436</v>
      </c>
      <c r="W34" s="25">
        <f t="shared" si="2"/>
        <v>-1846377.7</v>
      </c>
    </row>
    <row r="35" spans="1:23" s="27" customFormat="1" ht="13">
      <c r="A35" s="20"/>
      <c r="B35" s="21" t="s">
        <v>40</v>
      </c>
      <c r="C35" s="22">
        <f t="shared" si="3"/>
        <v>1515277059.54</v>
      </c>
      <c r="D35" s="23"/>
      <c r="E35" s="22"/>
      <c r="F35" s="24"/>
      <c r="G35" s="49"/>
      <c r="H35" s="25">
        <f t="shared" si="4"/>
        <v>-1515277059.54</v>
      </c>
      <c r="I35" s="26"/>
      <c r="J35" s="28" t="str">
        <f t="shared" si="5"/>
        <v>1021</v>
      </c>
      <c r="K35" s="21" t="str">
        <f t="shared" si="0"/>
        <v>1021 · NBS Money Market</v>
      </c>
      <c r="N35" s="24">
        <f>SUMIF('Final E-Banker TB Dec 2025'!$A$3:$A$192,J35,'Final E-Banker TB Dec 2025'!$G$3:$G$192)</f>
        <v>1515277059.54</v>
      </c>
      <c r="O35" s="24">
        <f>SUMIF('Final E-Banker TB Dec 2025'!$A$3:$A$192,'TB December 2025   '!J35,'Final E-Banker TB Dec 2025'!$H$3:$H$192)</f>
        <v>0</v>
      </c>
      <c r="Q35" s="30">
        <f t="shared" si="6"/>
        <v>0</v>
      </c>
      <c r="R35" s="30">
        <f t="shared" si="7"/>
        <v>1515277059.54</v>
      </c>
      <c r="S35" s="30">
        <f t="shared" si="8"/>
        <v>1515277059.54</v>
      </c>
      <c r="V35" s="21" t="str">
        <f t="shared" si="1"/>
        <v>1021 · NBS Money Market</v>
      </c>
      <c r="W35" s="25">
        <f t="shared" si="2"/>
        <v>-1515277059.54</v>
      </c>
    </row>
    <row r="36" spans="1:23" s="27" customFormat="1" ht="13">
      <c r="A36" s="20"/>
      <c r="B36" s="21" t="s">
        <v>41</v>
      </c>
      <c r="C36" s="22">
        <f t="shared" si="3"/>
        <v>278748466.37</v>
      </c>
      <c r="D36" s="23"/>
      <c r="E36" s="22"/>
      <c r="F36" s="24"/>
      <c r="G36" s="49"/>
      <c r="H36" s="25">
        <f t="shared" si="4"/>
        <v>-278748466.37</v>
      </c>
      <c r="I36" s="26"/>
      <c r="J36" s="28" t="str">
        <f t="shared" si="5"/>
        <v>1022</v>
      </c>
      <c r="K36" s="21" t="str">
        <f t="shared" si="0"/>
        <v>1022 · AGRA- FCDA</v>
      </c>
      <c r="N36" s="24">
        <f>SUMIF('Final E-Banker TB Dec 2025'!$A$3:$A$192,J36,'Final E-Banker TB Dec 2025'!$G$3:$G$192)</f>
        <v>278748466.37</v>
      </c>
      <c r="O36" s="24">
        <f>SUMIF('Final E-Banker TB Dec 2025'!$A$3:$A$192,'TB December 2025   '!J36,'Final E-Banker TB Dec 2025'!$H$3:$H$192)</f>
        <v>0</v>
      </c>
      <c r="Q36" s="30">
        <f t="shared" si="6"/>
        <v>0</v>
      </c>
      <c r="R36" s="30">
        <f t="shared" si="7"/>
        <v>278748466.37</v>
      </c>
      <c r="S36" s="30">
        <f t="shared" si="8"/>
        <v>278748466.37</v>
      </c>
      <c r="V36" s="21" t="str">
        <f t="shared" si="1"/>
        <v>1022 · AGRA- FCDA</v>
      </c>
      <c r="W36" s="25">
        <f t="shared" si="2"/>
        <v>-278748466.37</v>
      </c>
    </row>
    <row r="37" spans="1:23" s="27" customFormat="1" ht="13">
      <c r="A37" s="20"/>
      <c r="B37" s="21" t="s">
        <v>42</v>
      </c>
      <c r="C37" s="22">
        <f t="shared" si="3"/>
        <v>5.46</v>
      </c>
      <c r="D37" s="23"/>
      <c r="E37" s="22"/>
      <c r="F37" s="24"/>
      <c r="G37" s="49"/>
      <c r="H37" s="25">
        <f t="shared" si="4"/>
        <v>-5.46</v>
      </c>
      <c r="I37" s="26"/>
      <c r="J37" s="28" t="str">
        <f t="shared" si="5"/>
        <v>1023</v>
      </c>
      <c r="K37" s="21" t="str">
        <f t="shared" si="0"/>
        <v>1023 · MICF- Mbora FCDA</v>
      </c>
      <c r="N37" s="24">
        <f>SUMIF('Final E-Banker TB Dec 2025'!$A$3:$A$192,J37,'Final E-Banker TB Dec 2025'!$G$3:$G$192)</f>
        <v>5.46</v>
      </c>
      <c r="O37" s="24">
        <f>SUMIF('Final E-Banker TB Dec 2025'!$A$3:$A$192,'TB December 2025   '!J37,'Final E-Banker TB Dec 2025'!$H$3:$H$192)</f>
        <v>0</v>
      </c>
      <c r="Q37" s="30">
        <f t="shared" si="6"/>
        <v>0</v>
      </c>
      <c r="R37" s="30">
        <f t="shared" si="7"/>
        <v>5.46</v>
      </c>
      <c r="S37" s="30">
        <f t="shared" si="8"/>
        <v>5.46</v>
      </c>
      <c r="V37" s="21" t="str">
        <f t="shared" si="1"/>
        <v>1023 · MICF- Mbora FCDA</v>
      </c>
      <c r="W37" s="25">
        <f t="shared" si="2"/>
        <v>-5.46</v>
      </c>
    </row>
    <row r="38" spans="1:23" s="27" customFormat="1" ht="13">
      <c r="A38" s="20"/>
      <c r="B38" s="21" t="s">
        <v>43</v>
      </c>
      <c r="C38" s="22">
        <f t="shared" si="3"/>
        <v>0</v>
      </c>
      <c r="D38" s="23"/>
      <c r="E38" s="22"/>
      <c r="F38" s="24"/>
      <c r="G38" s="49"/>
      <c r="H38" s="25">
        <f t="shared" si="4"/>
        <v>0</v>
      </c>
      <c r="I38" s="26"/>
      <c r="J38" s="28" t="str">
        <f t="shared" si="5"/>
        <v>1024</v>
      </c>
      <c r="K38" s="21" t="str">
        <f t="shared" si="0"/>
        <v>1024 · RBM - Treasury Bills</v>
      </c>
      <c r="N38" s="24">
        <f>SUMIF('Final E-Banker TB Dec 2025'!$A$3:$A$192,J38,'Final E-Banker TB Dec 2025'!$G$3:$G$192)</f>
        <v>0</v>
      </c>
      <c r="O38" s="24">
        <f>SUMIF('Final E-Banker TB Dec 2025'!$A$3:$A$192,'TB December 2025   '!J38,'Final E-Banker TB Dec 2025'!$H$3:$H$192)</f>
        <v>0</v>
      </c>
      <c r="Q38" s="30">
        <f t="shared" si="6"/>
        <v>0</v>
      </c>
      <c r="R38" s="30">
        <f t="shared" si="7"/>
        <v>0</v>
      </c>
      <c r="S38" s="30">
        <f t="shared" si="8"/>
        <v>0</v>
      </c>
      <c r="V38" s="21" t="str">
        <f t="shared" si="1"/>
        <v>1024 · RBM - Treasury Bills</v>
      </c>
      <c r="W38" s="25">
        <f t="shared" si="2"/>
        <v>0</v>
      </c>
    </row>
    <row r="39" spans="1:23" s="27" customFormat="1" ht="13">
      <c r="A39" s="20"/>
      <c r="B39" s="21" t="s">
        <v>44</v>
      </c>
      <c r="C39" s="22">
        <f t="shared" si="3"/>
        <v>808861779.25999999</v>
      </c>
      <c r="D39" s="23"/>
      <c r="E39" s="22"/>
      <c r="F39" s="24"/>
      <c r="G39" s="49"/>
      <c r="H39" s="25">
        <f t="shared" si="4"/>
        <v>-808861779.25999999</v>
      </c>
      <c r="I39" s="26"/>
      <c r="J39" s="28" t="str">
        <f t="shared" si="5"/>
        <v>1029</v>
      </c>
      <c r="K39" s="21" t="str">
        <f t="shared" si="0"/>
        <v>1029 · NBS Money Market Acc 2</v>
      </c>
      <c r="N39" s="29">
        <f>SUMIF('Final E-Banker TB Dec 2025'!$A$3:$A$192,J39,'Final E-Banker TB Dec 2025'!$G$3:$G$192)</f>
        <v>808861779.25999999</v>
      </c>
      <c r="O39" s="29">
        <f>SUMIF('Final E-Banker TB Dec 2025'!$A$3:$A$192,'TB December 2025   '!J39,'Final E-Banker TB Dec 2025'!$H$3:$H$192)</f>
        <v>0</v>
      </c>
      <c r="Q39" s="30">
        <f t="shared" si="6"/>
        <v>0</v>
      </c>
      <c r="R39" s="30">
        <f t="shared" si="7"/>
        <v>808861779.25999999</v>
      </c>
      <c r="S39" s="30">
        <f t="shared" si="8"/>
        <v>808861779.25999999</v>
      </c>
      <c r="V39" s="21" t="str">
        <f t="shared" si="1"/>
        <v>1029 · NBS Money Market Acc 2</v>
      </c>
      <c r="W39" s="25">
        <f t="shared" si="2"/>
        <v>-808861779.25999999</v>
      </c>
    </row>
    <row r="40" spans="1:23" s="27" customFormat="1" ht="13">
      <c r="A40" s="20"/>
      <c r="B40" s="21" t="s">
        <v>45</v>
      </c>
      <c r="C40" s="22">
        <f t="shared" si="3"/>
        <v>0</v>
      </c>
      <c r="D40" s="23"/>
      <c r="E40" s="22"/>
      <c r="F40" s="24"/>
      <c r="G40" s="49"/>
      <c r="H40" s="25">
        <f t="shared" si="4"/>
        <v>0</v>
      </c>
      <c r="I40" s="26"/>
      <c r="J40" s="28" t="str">
        <f t="shared" si="5"/>
        <v>1036</v>
      </c>
      <c r="K40" s="21" t="str">
        <f t="shared" si="0"/>
        <v>1036 · NBS Bank Mega Farms</v>
      </c>
      <c r="N40" s="29">
        <f>SUMIF('Final E-Banker TB Dec 2025'!$A$3:$A$192,J40,'Final E-Banker TB Dec 2025'!$G$3:$G$192)</f>
        <v>0</v>
      </c>
      <c r="O40" s="29">
        <f>SUMIF('Final E-Banker TB Dec 2025'!$A$3:$A$192,'TB December 2025   '!J40,'Final E-Banker TB Dec 2025'!$H$3:$H$192)</f>
        <v>0</v>
      </c>
      <c r="Q40" s="30">
        <f t="shared" si="6"/>
        <v>0</v>
      </c>
      <c r="R40" s="30">
        <f t="shared" si="7"/>
        <v>0</v>
      </c>
      <c r="S40" s="30">
        <f t="shared" si="8"/>
        <v>0</v>
      </c>
      <c r="V40" s="21" t="str">
        <f t="shared" si="1"/>
        <v>1036 · NBS Bank Mega Farms</v>
      </c>
      <c r="W40" s="25">
        <f t="shared" si="2"/>
        <v>0</v>
      </c>
    </row>
    <row r="41" spans="1:23" s="27" customFormat="1" ht="13">
      <c r="A41" s="20"/>
      <c r="B41" s="21" t="s">
        <v>46</v>
      </c>
      <c r="C41" s="22">
        <f t="shared" si="3"/>
        <v>28486995.050000001</v>
      </c>
      <c r="D41" s="23"/>
      <c r="E41" s="22"/>
      <c r="F41" s="24"/>
      <c r="G41" s="49"/>
      <c r="H41" s="25">
        <f t="shared" si="4"/>
        <v>-28486995.050000001</v>
      </c>
      <c r="I41" s="26"/>
      <c r="J41" s="28" t="str">
        <f t="shared" si="5"/>
        <v>1046</v>
      </c>
      <c r="K41" s="21" t="str">
        <f t="shared" si="0"/>
        <v>1046 · First Capital Bank</v>
      </c>
      <c r="N41" s="29">
        <f>SUMIF('Final E-Banker TB Dec 2025'!$A$3:$A$192,J41,'Final E-Banker TB Dec 2025'!$G$3:$G$192)</f>
        <v>28486995.050000001</v>
      </c>
      <c r="O41" s="29">
        <f>SUMIF('Final E-Banker TB Dec 2025'!$A$3:$A$192,'TB December 2025   '!J41,'Final E-Banker TB Dec 2025'!$H$3:$H$192)</f>
        <v>0</v>
      </c>
      <c r="Q41" s="30">
        <f t="shared" si="6"/>
        <v>0</v>
      </c>
      <c r="R41" s="30">
        <f t="shared" si="7"/>
        <v>28486995.050000001</v>
      </c>
      <c r="S41" s="30">
        <f t="shared" si="8"/>
        <v>28486995.050000001</v>
      </c>
      <c r="V41" s="21" t="str">
        <f t="shared" si="1"/>
        <v>1046 · First Capital Bank</v>
      </c>
      <c r="W41" s="25">
        <f t="shared" si="2"/>
        <v>-28486995.050000001</v>
      </c>
    </row>
    <row r="42" spans="1:23" s="27" customFormat="1" ht="13">
      <c r="A42" s="20"/>
      <c r="B42" s="21" t="s">
        <v>47</v>
      </c>
      <c r="C42" s="22">
        <f t="shared" si="3"/>
        <v>36188936.079999998</v>
      </c>
      <c r="D42" s="23"/>
      <c r="E42" s="22"/>
      <c r="F42" s="24"/>
      <c r="G42" s="49"/>
      <c r="H42" s="25">
        <f t="shared" si="4"/>
        <v>-36188936.079999998</v>
      </c>
      <c r="I42" s="26"/>
      <c r="J42" s="28" t="str">
        <f t="shared" si="5"/>
        <v>1048</v>
      </c>
      <c r="K42" s="21" t="str">
        <f t="shared" si="0"/>
        <v>1048 · CDHIB MAIIC AGRA (MK)</v>
      </c>
      <c r="N42" s="29">
        <f>SUMIF('Final E-Banker TB Dec 2025'!$A$3:$A$192,J42,'Final E-Banker TB Dec 2025'!$G$3:$G$192)</f>
        <v>36188936.079999998</v>
      </c>
      <c r="O42" s="29">
        <f>SUMIF('Final E-Banker TB Dec 2025'!$A$3:$A$192,'TB December 2025   '!J42,'Final E-Banker TB Dec 2025'!$H$3:$H$192)</f>
        <v>0</v>
      </c>
      <c r="Q42" s="30">
        <f t="shared" si="6"/>
        <v>0</v>
      </c>
      <c r="R42" s="30">
        <f t="shared" si="7"/>
        <v>36188936.079999998</v>
      </c>
      <c r="S42" s="30">
        <f t="shared" si="8"/>
        <v>36188936.079999998</v>
      </c>
      <c r="V42" s="21" t="str">
        <f t="shared" si="1"/>
        <v>1048 · CDHIB MAIIC AGRA (MK)</v>
      </c>
      <c r="W42" s="25">
        <f t="shared" si="2"/>
        <v>-36188936.079999998</v>
      </c>
    </row>
    <row r="43" spans="1:23" s="27" customFormat="1" ht="13">
      <c r="A43" s="20"/>
      <c r="B43" s="21" t="s">
        <v>48</v>
      </c>
      <c r="C43" s="22">
        <f t="shared" si="3"/>
        <v>71808009.090000004</v>
      </c>
      <c r="D43" s="23"/>
      <c r="E43" s="22"/>
      <c r="F43" s="24"/>
      <c r="G43" s="49"/>
      <c r="H43" s="25">
        <f t="shared" si="4"/>
        <v>-71808009.090000004</v>
      </c>
      <c r="I43" s="26"/>
      <c r="J43" s="28" t="str">
        <f t="shared" si="5"/>
        <v>1030</v>
      </c>
      <c r="K43" s="21" t="str">
        <f t="shared" si="0"/>
        <v>1030 · Partial Credit Guarantee Fund</v>
      </c>
      <c r="N43" s="29">
        <f>SUMIF('Final E-Banker TB Dec 2025'!$A$3:$A$192,J43,'Final E-Banker TB Dec 2025'!$G$3:$G$192)</f>
        <v>71808009.090000004</v>
      </c>
      <c r="O43" s="29">
        <f>SUMIF('Final E-Banker TB Dec 2025'!$A$3:$A$192,'TB December 2025   '!J43,'Final E-Banker TB Dec 2025'!$H$3:$H$192)</f>
        <v>0</v>
      </c>
      <c r="Q43" s="30">
        <f t="shared" si="6"/>
        <v>0</v>
      </c>
      <c r="R43" s="30">
        <f t="shared" si="7"/>
        <v>71808009.090000004</v>
      </c>
      <c r="S43" s="30">
        <f t="shared" si="8"/>
        <v>71808009.090000004</v>
      </c>
      <c r="V43" s="21" t="str">
        <f t="shared" si="1"/>
        <v>1030 · Partial Credit Guarantee Fund</v>
      </c>
      <c r="W43" s="25">
        <f t="shared" si="2"/>
        <v>-71808009.090000004</v>
      </c>
    </row>
    <row r="44" spans="1:23" s="27" customFormat="1" ht="13">
      <c r="A44" s="20"/>
      <c r="B44" s="21" t="s">
        <v>49</v>
      </c>
      <c r="C44" s="22">
        <f t="shared" si="3"/>
        <v>538202990.38999999</v>
      </c>
      <c r="D44" s="23"/>
      <c r="E44" s="22"/>
      <c r="F44" s="24"/>
      <c r="G44" s="49"/>
      <c r="H44" s="25">
        <f t="shared" si="4"/>
        <v>-538202990.38999999</v>
      </c>
      <c r="I44" s="26"/>
      <c r="J44" s="28" t="str">
        <f t="shared" si="5"/>
        <v>1039</v>
      </c>
      <c r="K44" s="21" t="str">
        <f t="shared" si="0"/>
        <v>1039 · Accrued Coupon Settlements</v>
      </c>
      <c r="N44" s="29">
        <f>SUMIF('Final E-Banker TB Dec 2025'!$A$3:$A$192,J44,'Final E-Banker TB Dec 2025'!$G$3:$G$192)</f>
        <v>538202990.38999999</v>
      </c>
      <c r="O44" s="29">
        <f>SUMIF('Final E-Banker TB Dec 2025'!$A$3:$A$192,'TB December 2025   '!J44,'Final E-Banker TB Dec 2025'!$H$3:$H$192)</f>
        <v>0</v>
      </c>
      <c r="Q44" s="30">
        <f t="shared" si="6"/>
        <v>0</v>
      </c>
      <c r="R44" s="30">
        <f t="shared" si="7"/>
        <v>538202990.38999999</v>
      </c>
      <c r="S44" s="30">
        <f t="shared" si="8"/>
        <v>538202990.38999999</v>
      </c>
      <c r="V44" s="21" t="str">
        <f t="shared" si="1"/>
        <v>1039 · Accrued Coupon Settlements</v>
      </c>
      <c r="W44" s="25">
        <f t="shared" si="2"/>
        <v>-538202990.38999999</v>
      </c>
    </row>
    <row r="45" spans="1:23" s="27" customFormat="1" ht="13">
      <c r="A45" s="20"/>
      <c r="B45" s="21" t="s">
        <v>50</v>
      </c>
      <c r="C45" s="22">
        <f t="shared" si="3"/>
        <v>623536778.73000002</v>
      </c>
      <c r="D45" s="23"/>
      <c r="E45" s="22"/>
      <c r="F45" s="24"/>
      <c r="G45" s="49"/>
      <c r="H45" s="25">
        <f t="shared" si="4"/>
        <v>-623536778.73000002</v>
      </c>
      <c r="I45" s="26"/>
      <c r="J45" s="28" t="str">
        <f t="shared" si="5"/>
        <v>1040</v>
      </c>
      <c r="K45" s="21" t="str">
        <f t="shared" si="0"/>
        <v>1040 · Accrued Interest Income- MM</v>
      </c>
      <c r="N45" s="29">
        <f>SUMIF('Final E-Banker TB Dec 2025'!$A$3:$A$192,J45,'Final E-Banker TB Dec 2025'!$G$3:$G$192)</f>
        <v>623536778.73000002</v>
      </c>
      <c r="O45" s="29">
        <f>SUMIF('Final E-Banker TB Dec 2025'!$A$3:$A$192,'TB December 2025   '!J45,'Final E-Banker TB Dec 2025'!$H$3:$H$192)</f>
        <v>0</v>
      </c>
      <c r="Q45" s="30">
        <f t="shared" si="6"/>
        <v>0</v>
      </c>
      <c r="R45" s="30">
        <f t="shared" si="7"/>
        <v>623536778.73000002</v>
      </c>
      <c r="S45" s="30">
        <f t="shared" si="8"/>
        <v>623536778.73000002</v>
      </c>
      <c r="V45" s="21" t="str">
        <f t="shared" si="1"/>
        <v>1040 · Accrued Interest Income- MM</v>
      </c>
      <c r="W45" s="25">
        <f t="shared" si="2"/>
        <v>-623536778.73000002</v>
      </c>
    </row>
    <row r="46" spans="1:23" s="27" customFormat="1" ht="13">
      <c r="A46" s="20"/>
      <c r="B46" s="21" t="s">
        <v>51</v>
      </c>
      <c r="C46" s="22">
        <f t="shared" si="3"/>
        <v>0</v>
      </c>
      <c r="D46" s="23"/>
      <c r="E46" s="22"/>
      <c r="F46" s="24"/>
      <c r="G46" s="49"/>
      <c r="H46" s="25">
        <f t="shared" si="4"/>
        <v>0</v>
      </c>
      <c r="I46" s="26"/>
      <c r="J46" s="28" t="str">
        <f t="shared" si="5"/>
        <v>1041</v>
      </c>
      <c r="K46" s="21" t="str">
        <f t="shared" si="0"/>
        <v>1041 · Accrued Interest income- TNote</v>
      </c>
      <c r="N46" s="24">
        <f>SUMIF('Final E-Banker TB Dec 2025'!$A$3:$A$192,J46,'Final E-Banker TB Dec 2025'!$G$3:$G$192)</f>
        <v>0</v>
      </c>
      <c r="O46" s="24">
        <f>SUMIF('Final E-Banker TB Dec 2025'!$A$3:$A$192,'TB December 2025   '!J46,'Final E-Banker TB Dec 2025'!$H$3:$H$192)</f>
        <v>0</v>
      </c>
      <c r="Q46" s="30">
        <f t="shared" si="6"/>
        <v>0</v>
      </c>
      <c r="R46" s="30">
        <f t="shared" si="7"/>
        <v>0</v>
      </c>
      <c r="S46" s="30">
        <f t="shared" si="8"/>
        <v>0</v>
      </c>
      <c r="V46" s="21" t="str">
        <f t="shared" si="1"/>
        <v>1041 · Accrued Interest income- TNote</v>
      </c>
      <c r="W46" s="25">
        <f t="shared" si="2"/>
        <v>0</v>
      </c>
    </row>
    <row r="47" spans="1:23" s="27" customFormat="1" ht="13">
      <c r="A47" s="20"/>
      <c r="B47" s="21" t="s">
        <v>52</v>
      </c>
      <c r="C47" s="22">
        <f t="shared" si="3"/>
        <v>0</v>
      </c>
      <c r="D47" s="23"/>
      <c r="E47" s="22"/>
      <c r="F47" s="24"/>
      <c r="G47" s="49"/>
      <c r="H47" s="25">
        <f t="shared" si="4"/>
        <v>0</v>
      </c>
      <c r="I47" s="26"/>
      <c r="J47" s="28" t="str">
        <f t="shared" si="5"/>
        <v>1042</v>
      </c>
      <c r="K47" s="21" t="str">
        <f t="shared" si="0"/>
        <v>1042 · Accrued Interest Income- T/Bill</v>
      </c>
      <c r="N47" s="24">
        <f>SUMIF('Final E-Banker TB Dec 2025'!$A$3:$A$192,J47,'Final E-Banker TB Dec 2025'!$G$3:$G$192)</f>
        <v>0</v>
      </c>
      <c r="O47" s="24">
        <f>SUMIF('Final E-Banker TB Dec 2025'!$A$3:$A$192,'TB December 2025   '!J47,'Final E-Banker TB Dec 2025'!$H$3:$H$192)</f>
        <v>0</v>
      </c>
      <c r="Q47" s="30">
        <f t="shared" si="6"/>
        <v>0</v>
      </c>
      <c r="R47" s="30">
        <f t="shared" si="7"/>
        <v>0</v>
      </c>
      <c r="S47" s="30">
        <f t="shared" si="8"/>
        <v>0</v>
      </c>
      <c r="V47" s="21" t="str">
        <f t="shared" si="1"/>
        <v>1042 · Accrued Interest Income- T/Bill</v>
      </c>
      <c r="W47" s="25">
        <f t="shared" si="2"/>
        <v>0</v>
      </c>
    </row>
    <row r="48" spans="1:23" s="27" customFormat="1" ht="13">
      <c r="A48" s="20"/>
      <c r="B48" s="21" t="s">
        <v>53</v>
      </c>
      <c r="C48" s="22">
        <f t="shared" si="3"/>
        <v>0</v>
      </c>
      <c r="D48" s="23"/>
      <c r="E48" s="22"/>
      <c r="F48" s="24"/>
      <c r="G48" s="49"/>
      <c r="H48" s="25">
        <f t="shared" si="4"/>
        <v>0</v>
      </c>
      <c r="I48" s="26"/>
      <c r="J48" s="28" t="str">
        <f t="shared" si="5"/>
        <v>1049</v>
      </c>
      <c r="K48" s="21" t="str">
        <f t="shared" si="0"/>
        <v>1049 · Term Loan - USD</v>
      </c>
      <c r="N48" s="24">
        <f>SUMIF('Final E-Banker TB Dec 2025'!$A$3:$A$192,J48,'Final E-Banker TB Dec 2025'!$G$3:$G$192)</f>
        <v>0</v>
      </c>
      <c r="O48" s="24">
        <f>SUMIF('Final E-Banker TB Dec 2025'!$A$3:$A$192,'TB December 2025   '!J48,'Final E-Banker TB Dec 2025'!$H$3:$H$192)</f>
        <v>0</v>
      </c>
      <c r="Q48" s="30">
        <f t="shared" si="6"/>
        <v>0</v>
      </c>
      <c r="R48" s="30">
        <f t="shared" si="7"/>
        <v>0</v>
      </c>
      <c r="S48" s="30">
        <f t="shared" si="8"/>
        <v>0</v>
      </c>
      <c r="V48" s="21" t="str">
        <f t="shared" si="1"/>
        <v>1049 · Term Loan - USD</v>
      </c>
      <c r="W48" s="25">
        <f t="shared" si="2"/>
        <v>0</v>
      </c>
    </row>
    <row r="49" spans="1:23" s="27" customFormat="1" ht="13">
      <c r="A49" s="20"/>
      <c r="B49" s="21" t="s">
        <v>54</v>
      </c>
      <c r="C49" s="22">
        <f t="shared" si="3"/>
        <v>14840560746.039999</v>
      </c>
      <c r="D49" s="23"/>
      <c r="E49" s="22"/>
      <c r="F49" s="24">
        <f>-F100</f>
        <v>138135680.80000001</v>
      </c>
      <c r="G49" s="49" t="s">
        <v>55</v>
      </c>
      <c r="H49" s="25">
        <f t="shared" si="4"/>
        <v>-14702425065.24</v>
      </c>
      <c r="I49" s="26"/>
      <c r="J49" s="28" t="str">
        <f t="shared" si="5"/>
        <v>1050</v>
      </c>
      <c r="K49" s="21" t="str">
        <f t="shared" si="0"/>
        <v>1050 · Term Loans</v>
      </c>
      <c r="N49" s="24">
        <f>'Final E-Banker TB Dec 2025'!G34+'Final E-Banker TB Dec 2025'!G35+'Final E-Banker TB Dec 2025'!G36+'Final E-Banker TB Dec 2025'!G37+'Final E-Banker TB Dec 2025'!G38</f>
        <v>14840612779.539999</v>
      </c>
      <c r="O49" s="24">
        <f>'Final E-Banker TB Dec 2025'!H30</f>
        <v>52033.5</v>
      </c>
      <c r="Q49" s="30">
        <f t="shared" si="6"/>
        <v>-52033.5</v>
      </c>
      <c r="R49" s="30">
        <f t="shared" si="7"/>
        <v>14840612779.539999</v>
      </c>
      <c r="S49" s="30">
        <f t="shared" si="8"/>
        <v>14840560746.039999</v>
      </c>
      <c r="V49" s="21" t="str">
        <f t="shared" si="1"/>
        <v>1050 · Term Loans</v>
      </c>
      <c r="W49" s="25">
        <f t="shared" si="2"/>
        <v>-14702425065.24</v>
      </c>
    </row>
    <row r="50" spans="1:23" s="27" customFormat="1" ht="13">
      <c r="A50" s="20"/>
      <c r="B50" s="21" t="s">
        <v>56</v>
      </c>
      <c r="C50" s="22">
        <f t="shared" si="3"/>
        <v>266387978.31</v>
      </c>
      <c r="D50" s="23"/>
      <c r="E50" s="22"/>
      <c r="F50" s="24"/>
      <c r="G50" s="49"/>
      <c r="H50" s="25">
        <f t="shared" si="4"/>
        <v>-266387978.31</v>
      </c>
      <c r="I50" s="26"/>
      <c r="J50" s="28" t="str">
        <f t="shared" si="5"/>
        <v>1053</v>
      </c>
      <c r="K50" s="21" t="str">
        <f t="shared" si="0"/>
        <v>1053 · Accounts Receivables</v>
      </c>
      <c r="N50" s="24">
        <f>SUMIF('Final E-Banker TB Dec 2025'!$A$3:$A$192,J50,'Final E-Banker TB Dec 2025'!$G$3:$G$192)</f>
        <v>266387978.31</v>
      </c>
      <c r="O50" s="24">
        <f>SUMIF('Final E-Banker TB Dec 2025'!$A$3:$A$192,'TB December 2025   '!J50,'Final E-Banker TB Dec 2025'!$H$3:$H$192)</f>
        <v>0</v>
      </c>
      <c r="Q50" s="30">
        <f t="shared" si="6"/>
        <v>0</v>
      </c>
      <c r="R50" s="30">
        <f t="shared" si="7"/>
        <v>266387978.31</v>
      </c>
      <c r="S50" s="30">
        <f t="shared" si="8"/>
        <v>266387978.31</v>
      </c>
      <c r="V50" s="21" t="str">
        <f t="shared" si="1"/>
        <v>1053 · Accounts Receivables</v>
      </c>
      <c r="W50" s="25">
        <f t="shared" si="2"/>
        <v>-266387978.31</v>
      </c>
    </row>
    <row r="51" spans="1:23" s="27" customFormat="1" ht="13">
      <c r="A51" s="20"/>
      <c r="B51" s="21" t="s">
        <v>57</v>
      </c>
      <c r="C51" s="22">
        <f t="shared" si="3"/>
        <v>33189976388.439999</v>
      </c>
      <c r="D51" s="23"/>
      <c r="E51" s="22"/>
      <c r="F51" s="24"/>
      <c r="G51" s="49"/>
      <c r="H51" s="25">
        <f t="shared" si="4"/>
        <v>-33189976388.439999</v>
      </c>
      <c r="I51" s="26"/>
      <c r="J51" s="28" t="str">
        <f t="shared" si="5"/>
        <v>1054</v>
      </c>
      <c r="K51" s="21" t="str">
        <f t="shared" si="0"/>
        <v>1054 · Mega Farms-Fertilizers-Loan</v>
      </c>
      <c r="N51" s="24">
        <f>'Final E-Banker TB Dec 2025'!G39</f>
        <v>33189976388.439999</v>
      </c>
      <c r="O51" s="24">
        <f>SUMIF('Final E-Banker TB Dec 2025'!$A$3:$A$192,'TB December 2025   '!J51,'Final E-Banker TB Dec 2025'!$H$3:$H$192)</f>
        <v>0</v>
      </c>
      <c r="Q51" s="30">
        <f t="shared" si="6"/>
        <v>0</v>
      </c>
      <c r="R51" s="30">
        <f t="shared" si="7"/>
        <v>33189976388.439999</v>
      </c>
      <c r="S51" s="30">
        <f t="shared" si="8"/>
        <v>33189976388.439999</v>
      </c>
      <c r="V51" s="21" t="str">
        <f t="shared" si="1"/>
        <v>1054 · Mega Farms-Fertilizers-Loan</v>
      </c>
      <c r="W51" s="25">
        <f t="shared" si="2"/>
        <v>-33189976388.439999</v>
      </c>
    </row>
    <row r="52" spans="1:23" s="27" customFormat="1" ht="13">
      <c r="A52" s="20"/>
      <c r="B52" s="21" t="s">
        <v>58</v>
      </c>
      <c r="C52" s="22">
        <f t="shared" si="3"/>
        <v>7594166930.3299999</v>
      </c>
      <c r="D52" s="23"/>
      <c r="E52" s="22"/>
      <c r="F52" s="24"/>
      <c r="G52" s="49"/>
      <c r="H52" s="25">
        <f t="shared" si="4"/>
        <v>-7594166930.3299999</v>
      </c>
      <c r="I52" s="26"/>
      <c r="J52" s="28" t="str">
        <f t="shared" si="5"/>
        <v>1055</v>
      </c>
      <c r="K52" s="21" t="str">
        <f t="shared" si="0"/>
        <v>1055 · Mega Farms-Seed Loans</v>
      </c>
      <c r="N52" s="24">
        <f>'Final E-Banker TB Dec 2025'!G40</f>
        <v>7594166930.3299999</v>
      </c>
      <c r="O52" s="24">
        <f>SUMIF('Final E-Banker TB Dec 2025'!$A$3:$A$192,'TB December 2025   '!J52,'Final E-Banker TB Dec 2025'!$H$3:$H$192)</f>
        <v>0</v>
      </c>
      <c r="Q52" s="30">
        <f t="shared" si="6"/>
        <v>0</v>
      </c>
      <c r="R52" s="30">
        <f t="shared" si="7"/>
        <v>7594166930.3299999</v>
      </c>
      <c r="S52" s="30">
        <f t="shared" si="8"/>
        <v>7594166930.3299999</v>
      </c>
      <c r="V52" s="21" t="str">
        <f t="shared" si="1"/>
        <v>1055 · Mega Farms-Seed Loans</v>
      </c>
      <c r="W52" s="25">
        <f t="shared" si="2"/>
        <v>-7594166930.3299999</v>
      </c>
    </row>
    <row r="53" spans="1:23" s="27" customFormat="1" ht="13">
      <c r="A53" s="20"/>
      <c r="B53" s="21" t="s">
        <v>59</v>
      </c>
      <c r="C53" s="22">
        <f t="shared" si="3"/>
        <v>666232281.67999995</v>
      </c>
      <c r="D53" s="23"/>
      <c r="E53" s="22"/>
      <c r="F53" s="24"/>
      <c r="G53" s="49"/>
      <c r="H53" s="25">
        <f t="shared" si="4"/>
        <v>-666232281.67999995</v>
      </c>
      <c r="I53" s="26"/>
      <c r="J53" s="28" t="str">
        <f t="shared" si="5"/>
        <v>1056</v>
      </c>
      <c r="K53" s="21" t="str">
        <f t="shared" si="0"/>
        <v>1056 · Mega Farms-Working Capital Loan</v>
      </c>
      <c r="N53" s="24">
        <f>'Final E-Banker TB Dec 2025'!G41</f>
        <v>666232281.67999995</v>
      </c>
      <c r="O53" s="24">
        <f>SUMIF('Final E-Banker TB Dec 2025'!$A$3:$A$192,'TB December 2025   '!J53,'Final E-Banker TB Dec 2025'!$H$3:$H$192)</f>
        <v>0</v>
      </c>
      <c r="Q53" s="30">
        <f t="shared" si="6"/>
        <v>0</v>
      </c>
      <c r="R53" s="30">
        <f t="shared" si="7"/>
        <v>666232281.67999995</v>
      </c>
      <c r="S53" s="30">
        <f t="shared" si="8"/>
        <v>666232281.67999995</v>
      </c>
      <c r="V53" s="21" t="str">
        <f t="shared" si="1"/>
        <v>1056 · Mega Farms-Working Capital Loan</v>
      </c>
      <c r="W53" s="25">
        <f t="shared" si="2"/>
        <v>-666232281.67999995</v>
      </c>
    </row>
    <row r="54" spans="1:23" s="27" customFormat="1" ht="13">
      <c r="A54" s="20"/>
      <c r="B54" s="21" t="s">
        <v>60</v>
      </c>
      <c r="C54" s="22">
        <f t="shared" si="3"/>
        <v>1803483008.9400001</v>
      </c>
      <c r="D54" s="23"/>
      <c r="E54" s="22"/>
      <c r="F54" s="24"/>
      <c r="G54" s="49"/>
      <c r="H54" s="25">
        <f t="shared" si="4"/>
        <v>-1803483008.9400001</v>
      </c>
      <c r="I54" s="26"/>
      <c r="J54" s="28" t="str">
        <f t="shared" si="5"/>
        <v>1057</v>
      </c>
      <c r="K54" s="21" t="str">
        <f t="shared" si="0"/>
        <v>1057 · Mega Farms-Equipment Loan</v>
      </c>
      <c r="N54" s="24">
        <f>'Final E-Banker TB Dec 2025'!G42</f>
        <v>1803483008.9400001</v>
      </c>
      <c r="O54" s="24">
        <f>SUMIF('Final E-Banker TB Dec 2025'!$A$3:$A$192,'TB December 2025   '!J54,'Final E-Banker TB Dec 2025'!$H$3:$H$192)</f>
        <v>0</v>
      </c>
      <c r="Q54" s="30">
        <f t="shared" si="6"/>
        <v>0</v>
      </c>
      <c r="R54" s="30">
        <f t="shared" si="7"/>
        <v>1803483008.9400001</v>
      </c>
      <c r="S54" s="30">
        <f t="shared" si="8"/>
        <v>1803483008.9400001</v>
      </c>
      <c r="V54" s="21" t="str">
        <f t="shared" si="1"/>
        <v>1057 · Mega Farms-Equipment Loan</v>
      </c>
      <c r="W54" s="25">
        <f t="shared" si="2"/>
        <v>-1803483008.9400001</v>
      </c>
    </row>
    <row r="55" spans="1:23" s="27" customFormat="1" ht="13">
      <c r="A55" s="20"/>
      <c r="B55" s="21" t="s">
        <v>61</v>
      </c>
      <c r="C55" s="22">
        <f t="shared" si="3"/>
        <v>1975867573.0599999</v>
      </c>
      <c r="D55" s="23"/>
      <c r="E55" s="22"/>
      <c r="F55" s="24"/>
      <c r="G55" s="49"/>
      <c r="H55" s="25">
        <f t="shared" si="4"/>
        <v>-1975867573.0599999</v>
      </c>
      <c r="I55" s="26"/>
      <c r="J55" s="28" t="str">
        <f t="shared" si="5"/>
        <v>1058</v>
      </c>
      <c r="K55" s="21" t="str">
        <f t="shared" si="0"/>
        <v>1058 · Mega Farms-Irrigation Loan</v>
      </c>
      <c r="N55" s="24">
        <f>'Final E-Banker TB Dec 2025'!G43</f>
        <v>1975867573.0599999</v>
      </c>
      <c r="O55" s="24">
        <f>SUMIF('Final E-Banker TB Dec 2025'!$A$3:$A$192,'TB December 2025   '!J55,'Final E-Banker TB Dec 2025'!$H$3:$H$192)</f>
        <v>0</v>
      </c>
      <c r="Q55" s="30">
        <f t="shared" si="6"/>
        <v>0</v>
      </c>
      <c r="R55" s="30">
        <f t="shared" si="7"/>
        <v>1975867573.0599999</v>
      </c>
      <c r="S55" s="30">
        <f t="shared" si="8"/>
        <v>1975867573.0599999</v>
      </c>
      <c r="V55" s="21" t="str">
        <f t="shared" si="1"/>
        <v>1058 · Mega Farms-Irrigation Loan</v>
      </c>
      <c r="W55" s="25">
        <f t="shared" si="2"/>
        <v>-1975867573.0599999</v>
      </c>
    </row>
    <row r="56" spans="1:23" s="27" customFormat="1" ht="13">
      <c r="A56" s="20"/>
      <c r="B56" s="21" t="s">
        <v>62</v>
      </c>
      <c r="C56" s="22">
        <f t="shared" si="3"/>
        <v>211517748.65000001</v>
      </c>
      <c r="D56" s="23"/>
      <c r="E56" s="22"/>
      <c r="F56" s="24"/>
      <c r="G56" s="49"/>
      <c r="H56" s="25">
        <f t="shared" si="4"/>
        <v>-211517748.65000001</v>
      </c>
      <c r="I56" s="26"/>
      <c r="J56" s="28" t="str">
        <f t="shared" si="5"/>
        <v>1059</v>
      </c>
      <c r="K56" s="21" t="str">
        <f t="shared" si="0"/>
        <v>1059 · Mega Farm Loans Interest-Capex</v>
      </c>
      <c r="L56" s="24"/>
      <c r="M56" s="24"/>
      <c r="N56" s="24">
        <f>'Final E-Banker TB Dec 2025'!G87+'Final E-Banker TB Dec 2025'!G89</f>
        <v>211517748.65000001</v>
      </c>
      <c r="O56" s="24">
        <f>SUMIF('Final E-Banker TB Dec 2025'!$A$3:$A$192,'TB December 2025   '!J56,'Final E-Banker TB Dec 2025'!$H$3:$H$192)</f>
        <v>0</v>
      </c>
      <c r="P56" s="24"/>
      <c r="Q56" s="30">
        <f t="shared" si="6"/>
        <v>0</v>
      </c>
      <c r="R56" s="30">
        <f t="shared" si="7"/>
        <v>211517748.65000001</v>
      </c>
      <c r="S56" s="30">
        <f t="shared" si="8"/>
        <v>211517748.65000001</v>
      </c>
      <c r="V56" s="21" t="str">
        <f t="shared" si="1"/>
        <v>1059 · Mega Farm Loans Interest-Capex</v>
      </c>
      <c r="W56" s="25">
        <f t="shared" si="2"/>
        <v>-211517748.65000001</v>
      </c>
    </row>
    <row r="57" spans="1:23" s="27" customFormat="1" ht="13">
      <c r="A57" s="20"/>
      <c r="B57" s="21" t="s">
        <v>63</v>
      </c>
      <c r="C57" s="22">
        <f t="shared" si="3"/>
        <v>5153938978.2699995</v>
      </c>
      <c r="D57" s="23"/>
      <c r="E57" s="22"/>
      <c r="F57" s="24"/>
      <c r="G57" s="49"/>
      <c r="H57" s="25">
        <f t="shared" si="4"/>
        <v>-5153938978.2699995</v>
      </c>
      <c r="I57" s="26"/>
      <c r="J57" s="28" t="str">
        <f t="shared" si="5"/>
        <v>1060</v>
      </c>
      <c r="K57" s="21" t="str">
        <f t="shared" si="0"/>
        <v>1060 · Mega Farm Loans Interest-Fertil</v>
      </c>
      <c r="N57" s="24">
        <f>SUMIF('Final E-Banker TB Dec 2025'!$A$3:$A$192,J57,'Final E-Banker TB Dec 2025'!$G$3:$G$192)+'Final E-Banker TB Dec 2025'!G83</f>
        <v>5153938978.2699995</v>
      </c>
      <c r="O57" s="24">
        <f>SUMIF('Final E-Banker TB Dec 2025'!$A$3:$A$192,'TB December 2025   '!J57,'Final E-Banker TB Dec 2025'!$H$3:$H$192)</f>
        <v>0</v>
      </c>
      <c r="Q57" s="30">
        <f t="shared" si="6"/>
        <v>0</v>
      </c>
      <c r="R57" s="30">
        <f t="shared" si="7"/>
        <v>5153938978.2699995</v>
      </c>
      <c r="S57" s="30">
        <f t="shared" si="8"/>
        <v>5153938978.2699995</v>
      </c>
      <c r="V57" s="21" t="str">
        <f t="shared" si="1"/>
        <v>1060 · Mega Farm Loans Interest-Fertil</v>
      </c>
      <c r="W57" s="25">
        <f t="shared" si="2"/>
        <v>-5153938978.2699995</v>
      </c>
    </row>
    <row r="58" spans="1:23" s="27" customFormat="1" ht="13">
      <c r="A58" s="20"/>
      <c r="B58" s="21" t="s">
        <v>64</v>
      </c>
      <c r="C58" s="22">
        <f t="shared" si="3"/>
        <v>436488243.54000002</v>
      </c>
      <c r="D58" s="23"/>
      <c r="E58" s="22"/>
      <c r="F58" s="24"/>
      <c r="G58" s="49"/>
      <c r="H58" s="25">
        <f t="shared" si="4"/>
        <v>-436488243.54000002</v>
      </c>
      <c r="I58" s="26"/>
      <c r="J58" s="28" t="str">
        <f t="shared" si="5"/>
        <v>1061</v>
      </c>
      <c r="K58" s="21" t="str">
        <f t="shared" si="0"/>
        <v>1061 · Mega Farm Loans Interest-OPEX</v>
      </c>
      <c r="N58" s="24">
        <f>'Final E-Banker TB Dec 2025'!G85+'Final E-Banker TB Dec 2025'!G86+'Final E-Banker TB Dec 2025'!G91+'Final E-Banker TB Dec 2025'!G93</f>
        <v>436488243.54000002</v>
      </c>
      <c r="O58" s="24">
        <f>SUMIF('Final E-Banker TB Dec 2025'!$A$3:$A$192,'TB December 2025   '!J58,'Final E-Banker TB Dec 2025'!$H$3:$H$192)</f>
        <v>0</v>
      </c>
      <c r="Q58" s="30">
        <f t="shared" si="6"/>
        <v>0</v>
      </c>
      <c r="R58" s="30">
        <f t="shared" si="7"/>
        <v>436488243.54000002</v>
      </c>
      <c r="S58" s="30">
        <f t="shared" si="8"/>
        <v>436488243.54000002</v>
      </c>
      <c r="V58" s="21" t="str">
        <f t="shared" si="1"/>
        <v>1061 · Mega Farm Loans Interest-OPEX</v>
      </c>
      <c r="W58" s="25">
        <f t="shared" si="2"/>
        <v>-436488243.54000002</v>
      </c>
    </row>
    <row r="59" spans="1:23" s="27" customFormat="1" ht="13">
      <c r="A59" s="20"/>
      <c r="B59" s="21" t="s">
        <v>65</v>
      </c>
      <c r="C59" s="22">
        <f t="shared" si="3"/>
        <v>1202956444.74</v>
      </c>
      <c r="D59" s="23"/>
      <c r="E59" s="22"/>
      <c r="F59" s="24"/>
      <c r="G59" s="49"/>
      <c r="H59" s="25">
        <f t="shared" si="4"/>
        <v>-1202956444.74</v>
      </c>
      <c r="I59" s="26"/>
      <c r="J59" s="28" t="str">
        <f t="shared" si="5"/>
        <v>1062</v>
      </c>
      <c r="K59" s="21" t="str">
        <f t="shared" si="0"/>
        <v>1062 · Mega Farm Loans Interest-Seed</v>
      </c>
      <c r="N59" s="24">
        <f>SUMIF('Final E-Banker TB Dec 2025'!$A$3:$A$192,J59,'Final E-Banker TB Dec 2025'!$G$3:$G$192)+'Final E-Banker TB Dec 2025'!G84</f>
        <v>1202956444.74</v>
      </c>
      <c r="O59" s="24">
        <f>SUMIF('Final E-Banker TB Dec 2025'!$A$3:$A$192,'TB December 2025   '!J59,'Final E-Banker TB Dec 2025'!$H$3:$H$192)</f>
        <v>0</v>
      </c>
      <c r="Q59" s="30">
        <f t="shared" si="6"/>
        <v>0</v>
      </c>
      <c r="R59" s="30">
        <f t="shared" si="7"/>
        <v>1202956444.74</v>
      </c>
      <c r="S59" s="30">
        <f t="shared" si="8"/>
        <v>1202956444.74</v>
      </c>
      <c r="V59" s="21" t="str">
        <f t="shared" si="1"/>
        <v>1062 · Mega Farm Loans Interest-Seed</v>
      </c>
      <c r="W59" s="25">
        <f t="shared" si="2"/>
        <v>-1202956444.74</v>
      </c>
    </row>
    <row r="60" spans="1:23" s="27" customFormat="1" ht="13">
      <c r="A60" s="20"/>
      <c r="B60" s="21" t="s">
        <v>66</v>
      </c>
      <c r="C60" s="22">
        <f t="shared" si="3"/>
        <v>1937039096.8199999</v>
      </c>
      <c r="D60" s="23"/>
      <c r="E60" s="22"/>
      <c r="F60" s="24"/>
      <c r="G60" s="49"/>
      <c r="H60" s="25">
        <f t="shared" si="4"/>
        <v>-1937039096.8199999</v>
      </c>
      <c r="I60" s="26"/>
      <c r="J60" s="28" t="str">
        <f t="shared" si="5"/>
        <v>1063</v>
      </c>
      <c r="K60" s="21" t="str">
        <f t="shared" si="0"/>
        <v>1063 · Mega Farm - Pesticides Loan</v>
      </c>
      <c r="N60" s="24">
        <f>'Final E-Banker TB Dec 2025'!G44</f>
        <v>1937039096.8199999</v>
      </c>
      <c r="O60" s="24">
        <f>SUMIF('Final E-Banker TB Dec 2025'!$A$3:$A$192,'TB December 2025   '!J60,'Final E-Banker TB Dec 2025'!$H$3:$H$192)</f>
        <v>0</v>
      </c>
      <c r="Q60" s="30">
        <f t="shared" si="6"/>
        <v>0</v>
      </c>
      <c r="R60" s="30">
        <f t="shared" si="7"/>
        <v>1937039096.8199999</v>
      </c>
      <c r="S60" s="30">
        <f t="shared" si="8"/>
        <v>1937039096.8199999</v>
      </c>
      <c r="V60" s="21" t="str">
        <f t="shared" si="1"/>
        <v>1063 · Mega Farm - Pesticides Loan</v>
      </c>
      <c r="W60" s="25">
        <f t="shared" si="2"/>
        <v>-1937039096.8199999</v>
      </c>
    </row>
    <row r="61" spans="1:23" s="27" customFormat="1" ht="13">
      <c r="A61" s="20"/>
      <c r="B61" s="21" t="s">
        <v>67</v>
      </c>
      <c r="C61" s="22">
        <f t="shared" si="3"/>
        <v>1892746262.8</v>
      </c>
      <c r="D61" s="23"/>
      <c r="E61" s="22"/>
      <c r="F61" s="24">
        <f>-F114-447850999.2</f>
        <v>-41326035145.879997</v>
      </c>
      <c r="G61" s="49" t="s">
        <v>68</v>
      </c>
      <c r="H61" s="25">
        <f t="shared" si="4"/>
        <v>-43218781408.68</v>
      </c>
      <c r="I61" s="26"/>
      <c r="J61" s="28" t="str">
        <f t="shared" si="5"/>
        <v>1066</v>
      </c>
      <c r="K61" s="21" t="str">
        <f t="shared" si="0"/>
        <v>1066 · ECL Megafarm Loans</v>
      </c>
      <c r="N61" s="24">
        <f>SUMIF('Final E-Banker TB Dec 2025'!$A$3:$A$192,J61,'Final E-Banker TB Dec 2025'!$G$3:$G$192)</f>
        <v>1892746262.8</v>
      </c>
      <c r="O61" s="24">
        <f>SUMIF('Final E-Banker TB Dec 2025'!$A$3:$A$192,'TB December 2025   '!J61,'Final E-Banker TB Dec 2025'!$H$3:$H$192)</f>
        <v>0</v>
      </c>
      <c r="Q61" s="30">
        <f t="shared" si="6"/>
        <v>0</v>
      </c>
      <c r="R61" s="30">
        <f t="shared" si="7"/>
        <v>1892746262.8</v>
      </c>
      <c r="S61" s="30">
        <f t="shared" si="8"/>
        <v>1892746262.8</v>
      </c>
      <c r="V61" s="21" t="str">
        <f t="shared" si="1"/>
        <v>1066 · ECL Megafarm Loans</v>
      </c>
      <c r="W61" s="25">
        <f t="shared" si="2"/>
        <v>-43218781408.68</v>
      </c>
    </row>
    <row r="62" spans="1:23" s="27" customFormat="1" ht="13">
      <c r="A62" s="20"/>
      <c r="B62" s="21" t="s">
        <v>69</v>
      </c>
      <c r="C62" s="22">
        <f t="shared" si="3"/>
        <v>308530771.99000001</v>
      </c>
      <c r="D62" s="23"/>
      <c r="E62" s="22"/>
      <c r="F62" s="24"/>
      <c r="G62" s="49"/>
      <c r="H62" s="25">
        <f t="shared" si="4"/>
        <v>-308530771.99000001</v>
      </c>
      <c r="I62" s="26"/>
      <c r="J62" s="28" t="str">
        <f t="shared" si="5"/>
        <v>1067</v>
      </c>
      <c r="K62" s="21" t="str">
        <f t="shared" si="0"/>
        <v>1067 · Mega Farm Loans Interest-Pestic</v>
      </c>
      <c r="N62" s="24">
        <f>'Final E-Banker TB Dec 2025'!G94+'Final E-Banker TB Dec 2025'!G88</f>
        <v>308530771.99000001</v>
      </c>
      <c r="O62" s="24">
        <f>SUMIF('Final E-Banker TB Dec 2025'!$A$3:$A$192,'TB December 2025   '!J62,'Final E-Banker TB Dec 2025'!$H$3:$H$192)</f>
        <v>0</v>
      </c>
      <c r="Q62" s="30">
        <f t="shared" si="6"/>
        <v>0</v>
      </c>
      <c r="R62" s="30">
        <f t="shared" si="7"/>
        <v>308530771.99000001</v>
      </c>
      <c r="S62" s="30">
        <f t="shared" si="8"/>
        <v>308530771.99000001</v>
      </c>
      <c r="V62" s="21" t="str">
        <f t="shared" si="1"/>
        <v>1067 · Mega Farm Loans Interest-Pestic</v>
      </c>
      <c r="W62" s="25">
        <f t="shared" si="2"/>
        <v>-308530771.99000001</v>
      </c>
    </row>
    <row r="63" spans="1:23" s="27" customFormat="1" ht="13">
      <c r="A63" s="20"/>
      <c r="B63" s="21" t="s">
        <v>70</v>
      </c>
      <c r="C63" s="22">
        <f t="shared" si="3"/>
        <v>351512372.39999998</v>
      </c>
      <c r="D63" s="23"/>
      <c r="E63" s="22"/>
      <c r="F63" s="24"/>
      <c r="G63" s="49"/>
      <c r="H63" s="25">
        <f t="shared" si="4"/>
        <v>-351512372.39999998</v>
      </c>
      <c r="I63" s="26"/>
      <c r="J63" s="28" t="str">
        <f t="shared" si="5"/>
        <v>1051</v>
      </c>
      <c r="K63" s="21" t="str">
        <f t="shared" si="0"/>
        <v>1051 · Employee loan and advances</v>
      </c>
      <c r="N63" s="24">
        <f>SUMIF('Final E-Banker TB Dec 2025'!$A$3:$A$192,J63,'Final E-Banker TB Dec 2025'!$G$3:$G$192)</f>
        <v>351512372.39999998</v>
      </c>
      <c r="O63" s="24">
        <f>SUMIF('Final E-Banker TB Dec 2025'!$A$3:$A$192,'TB December 2025   '!J63,'Final E-Banker TB Dec 2025'!$H$3:$H$192)</f>
        <v>0</v>
      </c>
      <c r="Q63" s="30">
        <f t="shared" si="6"/>
        <v>0</v>
      </c>
      <c r="R63" s="30">
        <f t="shared" si="7"/>
        <v>351512372.39999998</v>
      </c>
      <c r="S63" s="30">
        <f t="shared" si="8"/>
        <v>351512372.39999998</v>
      </c>
      <c r="V63" s="21" t="str">
        <f t="shared" si="1"/>
        <v>1051 · Employee loan and advances</v>
      </c>
      <c r="W63" s="25">
        <f t="shared" si="2"/>
        <v>-351512372.39999998</v>
      </c>
    </row>
    <row r="64" spans="1:23" s="27" customFormat="1" ht="13">
      <c r="A64" s="20"/>
      <c r="B64" s="21" t="s">
        <v>71</v>
      </c>
      <c r="C64" s="22">
        <f t="shared" si="3"/>
        <v>58392453.649999999</v>
      </c>
      <c r="D64" s="23"/>
      <c r="E64" s="22"/>
      <c r="F64" s="24"/>
      <c r="G64" s="49"/>
      <c r="H64" s="25">
        <f t="shared" si="4"/>
        <v>-58392453.649999999</v>
      </c>
      <c r="I64" s="26"/>
      <c r="J64" s="28" t="str">
        <f t="shared" si="5"/>
        <v>1052</v>
      </c>
      <c r="K64" s="21" t="str">
        <f t="shared" si="0"/>
        <v>1052 · Prepaid expenses</v>
      </c>
      <c r="N64" s="24">
        <f>SUMIF('Final E-Banker TB Dec 2025'!$A$3:$A$192,J64,'Final E-Banker TB Dec 2025'!$G$3:$G$192)</f>
        <v>58392453.649999999</v>
      </c>
      <c r="O64" s="24">
        <f>SUMIF('Final E-Banker TB Dec 2025'!$A$3:$A$192,'TB December 2025   '!J64,'Final E-Banker TB Dec 2025'!$H$3:$H$192)</f>
        <v>0</v>
      </c>
      <c r="Q64" s="30">
        <f t="shared" si="6"/>
        <v>0</v>
      </c>
      <c r="R64" s="30">
        <f t="shared" si="7"/>
        <v>58392453.649999999</v>
      </c>
      <c r="S64" s="30">
        <f t="shared" si="8"/>
        <v>58392453.649999999</v>
      </c>
      <c r="V64" s="21" t="str">
        <f t="shared" si="1"/>
        <v>1052 · Prepaid expenses</v>
      </c>
      <c r="W64" s="25">
        <f t="shared" si="2"/>
        <v>-58392453.649999999</v>
      </c>
    </row>
    <row r="65" spans="1:23" s="27" customFormat="1" ht="13">
      <c r="A65" s="20"/>
      <c r="B65" s="21" t="s">
        <v>72</v>
      </c>
      <c r="C65" s="22">
        <f t="shared" si="3"/>
        <v>3101789311.4499998</v>
      </c>
      <c r="D65" s="23"/>
      <c r="E65" s="22"/>
      <c r="F65" s="24"/>
      <c r="G65" s="49"/>
      <c r="H65" s="25">
        <f t="shared" si="4"/>
        <v>-3101789311.4499998</v>
      </c>
      <c r="I65" s="26"/>
      <c r="J65" s="28" t="str">
        <f t="shared" si="5"/>
        <v>1070</v>
      </c>
      <c r="K65" s="21" t="str">
        <f t="shared" si="0"/>
        <v>1070. Mega Farms Receivable- ADMARC</v>
      </c>
      <c r="N65" s="24">
        <f>SUMIF('Final E-Banker TB Dec 2025'!$A$3:$A$192,J65,'Final E-Banker TB Dec 2025'!$G$3:$G$192)</f>
        <v>3101789311.4499998</v>
      </c>
      <c r="O65" s="24">
        <f>SUMIF('Final E-Banker TB Dec 2025'!$A$3:$A$192,'TB December 2025   '!J65,'Final E-Banker TB Dec 2025'!$H$3:$H$192)</f>
        <v>0</v>
      </c>
      <c r="Q65" s="30">
        <f t="shared" si="6"/>
        <v>0</v>
      </c>
      <c r="R65" s="30">
        <f t="shared" si="7"/>
        <v>3101789311.4499998</v>
      </c>
      <c r="S65" s="30">
        <f t="shared" si="8"/>
        <v>3101789311.4499998</v>
      </c>
      <c r="V65" s="21" t="str">
        <f t="shared" si="1"/>
        <v>1070. Mega Farms Receivable- ADMARC</v>
      </c>
      <c r="W65" s="25">
        <f t="shared" si="2"/>
        <v>-3101789311.4499998</v>
      </c>
    </row>
    <row r="66" spans="1:23" s="27" customFormat="1" ht="13">
      <c r="A66" s="20"/>
      <c r="B66" s="21" t="s">
        <v>73</v>
      </c>
      <c r="C66" s="22">
        <f t="shared" si="3"/>
        <v>70177833.340000004</v>
      </c>
      <c r="D66" s="23"/>
      <c r="E66" s="22"/>
      <c r="F66" s="24"/>
      <c r="G66" s="49"/>
      <c r="H66" s="25">
        <f t="shared" si="4"/>
        <v>-70177833.340000004</v>
      </c>
      <c r="I66" s="26"/>
      <c r="J66" s="28" t="str">
        <f t="shared" si="5"/>
        <v>1071</v>
      </c>
      <c r="K66" s="21" t="str">
        <f t="shared" si="0"/>
        <v>1071. Mega Farms Receivable- NFRA</v>
      </c>
      <c r="N66" s="24">
        <f>SUMIF('Final E-Banker TB Dec 2025'!$A$3:$A$192,J66,'Final E-Banker TB Dec 2025'!$G$3:$G$192)</f>
        <v>70177833.340000004</v>
      </c>
      <c r="O66" s="24">
        <f>SUMIF('Final E-Banker TB Dec 2025'!$A$3:$A$192,'TB December 2025   '!J66,'Final E-Banker TB Dec 2025'!$H$3:$H$192)</f>
        <v>0</v>
      </c>
      <c r="Q66" s="30">
        <f t="shared" si="6"/>
        <v>0</v>
      </c>
      <c r="R66" s="30">
        <f t="shared" si="7"/>
        <v>70177833.340000004</v>
      </c>
      <c r="S66" s="30">
        <f t="shared" si="8"/>
        <v>70177833.340000004</v>
      </c>
      <c r="V66" s="21" t="str">
        <f t="shared" si="1"/>
        <v>1071. Mega Farms Receivable- NFRA</v>
      </c>
      <c r="W66" s="25">
        <f t="shared" si="2"/>
        <v>-70177833.340000004</v>
      </c>
    </row>
    <row r="67" spans="1:23" s="27" customFormat="1" ht="13">
      <c r="A67" s="20"/>
      <c r="B67" s="62" t="s">
        <v>74</v>
      </c>
      <c r="C67" s="22">
        <f t="shared" si="3"/>
        <v>429134960.38</v>
      </c>
      <c r="D67" s="23"/>
      <c r="E67" s="22"/>
      <c r="F67" s="24"/>
      <c r="G67" s="49"/>
      <c r="H67" s="25">
        <f t="shared" si="4"/>
        <v>-429134960.38</v>
      </c>
      <c r="I67" s="26"/>
      <c r="J67" s="28" t="str">
        <f t="shared" si="5"/>
        <v>1074</v>
      </c>
      <c r="K67" s="21" t="str">
        <f t="shared" ref="K67:K130" si="9">B67</f>
        <v>1074 . Mega Farm Receivable ACE Agriculture Limited</v>
      </c>
      <c r="N67" s="24">
        <f>SUMIF('Final E-Banker TB Dec 2025'!$A$3:$A$192,J67,'Final E-Banker TB Dec 2025'!$G$3:$G$192)</f>
        <v>429134960.38</v>
      </c>
      <c r="O67" s="24">
        <f>SUMIF('Final E-Banker TB Dec 2025'!$A$3:$A$192,'TB December 2025   '!J67,'Final E-Banker TB Dec 2025'!$H$3:$H$192)</f>
        <v>0</v>
      </c>
      <c r="Q67" s="30">
        <f t="shared" si="6"/>
        <v>0</v>
      </c>
      <c r="R67" s="30">
        <f t="shared" si="7"/>
        <v>429134960.38</v>
      </c>
      <c r="S67" s="30">
        <f t="shared" si="8"/>
        <v>429134960.38</v>
      </c>
      <c r="V67" s="21" t="str">
        <f t="shared" ref="V67:V130" si="10">B67</f>
        <v>1074 . Mega Farm Receivable ACE Agriculture Limited</v>
      </c>
      <c r="W67" s="25">
        <f t="shared" ref="W67:W130" si="11">H67</f>
        <v>-429134960.38</v>
      </c>
    </row>
    <row r="68" spans="1:23" s="27" customFormat="1" ht="13">
      <c r="A68" s="20"/>
      <c r="B68" s="21" t="s">
        <v>75</v>
      </c>
      <c r="C68" s="22">
        <f t="shared" ref="C68:C131" si="12">S68</f>
        <v>-7000000</v>
      </c>
      <c r="D68" s="23"/>
      <c r="E68" s="22"/>
      <c r="F68" s="24"/>
      <c r="G68" s="49"/>
      <c r="H68" s="25">
        <f t="shared" ref="H68:H131" si="13">E68-C68+F68</f>
        <v>7000000</v>
      </c>
      <c r="I68" s="26"/>
      <c r="J68" s="28" t="str">
        <f t="shared" ref="J68:J127" si="14">LEFT(K68,4)</f>
        <v>1100</v>
      </c>
      <c r="K68" s="21" t="str">
        <f t="shared" si="9"/>
        <v>1100 · Cash Collateral</v>
      </c>
      <c r="N68" s="24">
        <f>SUMIF('Final E-Banker TB Dec 2025'!$A$3:$A$192,J68,'Final E-Banker TB Dec 2025'!$G$3:$G$192)</f>
        <v>0</v>
      </c>
      <c r="O68" s="24">
        <f>SUMIF('Final E-Banker TB Dec 2025'!$A$3:$A$192,'TB December 2025   '!J68,'Final E-Banker TB Dec 2025'!$H$3:$H$192)</f>
        <v>7000000</v>
      </c>
      <c r="Q68" s="30">
        <f t="shared" ref="Q68:Q131" si="15">-O68</f>
        <v>-7000000</v>
      </c>
      <c r="R68" s="30">
        <f t="shared" ref="R68:R131" si="16">N68</f>
        <v>0</v>
      </c>
      <c r="S68" s="30">
        <f t="shared" ref="S68:S131" si="17">Q68+R68</f>
        <v>-7000000</v>
      </c>
      <c r="V68" s="21" t="str">
        <f t="shared" si="10"/>
        <v>1100 · Cash Collateral</v>
      </c>
      <c r="W68" s="25">
        <f t="shared" si="11"/>
        <v>7000000</v>
      </c>
    </row>
    <row r="69" spans="1:23" s="27" customFormat="1" ht="13">
      <c r="A69" s="20"/>
      <c r="B69" s="21" t="s">
        <v>76</v>
      </c>
      <c r="C69" s="22">
        <f t="shared" si="12"/>
        <v>2683823.61</v>
      </c>
      <c r="D69" s="23"/>
      <c r="E69" s="22"/>
      <c r="F69" s="24">
        <f>2683823.61</f>
        <v>2683823.61</v>
      </c>
      <c r="G69" s="49" t="s">
        <v>430</v>
      </c>
      <c r="H69" s="25">
        <f t="shared" si="13"/>
        <v>0</v>
      </c>
      <c r="I69" s="26"/>
      <c r="J69" s="28" t="str">
        <f t="shared" si="14"/>
        <v>1210</v>
      </c>
      <c r="K69" s="21" t="str">
        <f t="shared" si="9"/>
        <v>1210 · Cash passport card</v>
      </c>
      <c r="N69" s="24">
        <f>SUMIF('Final E-Banker TB Dec 2025'!$A$3:$A$192,J69,'Final E-Banker TB Dec 2025'!$G$3:$G$192)</f>
        <v>2683823.61</v>
      </c>
      <c r="O69" s="24">
        <f>SUMIF('Final E-Banker TB Dec 2025'!$A$3:$A$192,'TB December 2025   '!J69,'Final E-Banker TB Dec 2025'!$H$3:$H$192)</f>
        <v>0</v>
      </c>
      <c r="Q69" s="30">
        <f t="shared" si="15"/>
        <v>0</v>
      </c>
      <c r="R69" s="30">
        <f t="shared" si="16"/>
        <v>2683823.61</v>
      </c>
      <c r="S69" s="30">
        <f t="shared" si="17"/>
        <v>2683823.61</v>
      </c>
      <c r="V69" s="21" t="str">
        <f t="shared" si="10"/>
        <v>1210 · Cash passport card</v>
      </c>
      <c r="W69" s="25">
        <f t="shared" si="11"/>
        <v>0</v>
      </c>
    </row>
    <row r="70" spans="1:23" s="27" customFormat="1" ht="13">
      <c r="A70" s="20"/>
      <c r="B70" s="21" t="s">
        <v>77</v>
      </c>
      <c r="C70" s="22">
        <f t="shared" si="12"/>
        <v>81652610.739999995</v>
      </c>
      <c r="D70" s="23"/>
      <c r="E70" s="22"/>
      <c r="F70" s="24"/>
      <c r="G70" s="49"/>
      <c r="H70" s="25">
        <f t="shared" si="13"/>
        <v>-81652610.739999995</v>
      </c>
      <c r="I70" s="26"/>
      <c r="J70" s="28" t="str">
        <f t="shared" si="14"/>
        <v>1310</v>
      </c>
      <c r="K70" s="21" t="str">
        <f t="shared" si="9"/>
        <v>1310 · Prepaid Insurance</v>
      </c>
      <c r="N70" s="24">
        <f>SUMIF('Final E-Banker TB Dec 2025'!$A$3:$A$192,J70,'Final E-Banker TB Dec 2025'!$G$3:$G$192)</f>
        <v>81652610.739999995</v>
      </c>
      <c r="O70" s="24">
        <f>SUMIF('Final E-Banker TB Dec 2025'!$A$3:$A$192,'TB December 2025   '!J70,'Final E-Banker TB Dec 2025'!$H$3:$H$192)</f>
        <v>0</v>
      </c>
      <c r="Q70" s="30">
        <f t="shared" si="15"/>
        <v>0</v>
      </c>
      <c r="R70" s="30">
        <f t="shared" si="16"/>
        <v>81652610.739999995</v>
      </c>
      <c r="S70" s="30">
        <f t="shared" si="17"/>
        <v>81652610.739999995</v>
      </c>
      <c r="V70" s="21" t="str">
        <f t="shared" si="10"/>
        <v>1310 · Prepaid Insurance</v>
      </c>
      <c r="W70" s="25">
        <f t="shared" si="11"/>
        <v>-81652610.739999995</v>
      </c>
    </row>
    <row r="71" spans="1:23" s="27" customFormat="1" ht="13">
      <c r="A71" s="20"/>
      <c r="B71" s="21" t="s">
        <v>78</v>
      </c>
      <c r="C71" s="22">
        <f t="shared" si="12"/>
        <v>-21865867.350000001</v>
      </c>
      <c r="D71" s="23"/>
      <c r="E71" s="22"/>
      <c r="F71" s="24"/>
      <c r="G71" s="49"/>
      <c r="H71" s="25">
        <f t="shared" si="13"/>
        <v>21865867.350000001</v>
      </c>
      <c r="I71" s="26"/>
      <c r="J71" s="28" t="str">
        <f t="shared" si="14"/>
        <v>1320</v>
      </c>
      <c r="K71" s="21" t="str">
        <f t="shared" si="9"/>
        <v>1320 · Interest Suspense</v>
      </c>
      <c r="N71" s="24">
        <f>SUMIF('Final E-Banker TB Dec 2025'!$A$3:$A$192,J71,'Final E-Banker TB Dec 2025'!$G$3:$G$192)</f>
        <v>0</v>
      </c>
      <c r="O71" s="24">
        <f>SUMIF('Final E-Banker TB Dec 2025'!$A$3:$A$192,'TB December 2025   '!J71,'Final E-Banker TB Dec 2025'!$H$3:$H$192)</f>
        <v>21865867.350000001</v>
      </c>
      <c r="Q71" s="30">
        <f t="shared" si="15"/>
        <v>-21865867.350000001</v>
      </c>
      <c r="R71" s="30">
        <f t="shared" si="16"/>
        <v>0</v>
      </c>
      <c r="S71" s="30">
        <f t="shared" si="17"/>
        <v>-21865867.350000001</v>
      </c>
      <c r="V71" s="21" t="str">
        <f t="shared" si="10"/>
        <v>1320 · Interest Suspense</v>
      </c>
      <c r="W71" s="25">
        <f t="shared" si="11"/>
        <v>21865867.350000001</v>
      </c>
    </row>
    <row r="72" spans="1:23" s="27" customFormat="1" ht="13">
      <c r="A72" s="20"/>
      <c r="B72" s="21" t="s">
        <v>79</v>
      </c>
      <c r="C72" s="22">
        <f t="shared" si="12"/>
        <v>0</v>
      </c>
      <c r="D72" s="23"/>
      <c r="E72" s="22"/>
      <c r="F72" s="24"/>
      <c r="G72" s="49"/>
      <c r="H72" s="25">
        <f t="shared" si="13"/>
        <v>0</v>
      </c>
      <c r="I72" s="26"/>
      <c r="J72" s="28" t="str">
        <f t="shared" si="14"/>
        <v>1321</v>
      </c>
      <c r="K72" s="21" t="str">
        <f t="shared" si="9"/>
        <v>1321 · Capital Raising Prepayment</v>
      </c>
      <c r="N72" s="24">
        <f>SUMIF('Final E-Banker TB Dec 2025'!$A$3:$A$192,J72,'Final E-Banker TB Dec 2025'!$G$3:$G$192)</f>
        <v>0</v>
      </c>
      <c r="O72" s="24">
        <f>SUMIF('Final E-Banker TB Dec 2025'!$A$3:$A$192,'TB December 2025   '!J72,'Final E-Banker TB Dec 2025'!$H$3:$H$192)</f>
        <v>0</v>
      </c>
      <c r="Q72" s="30">
        <f t="shared" si="15"/>
        <v>0</v>
      </c>
      <c r="R72" s="30">
        <f t="shared" si="16"/>
        <v>0</v>
      </c>
      <c r="S72" s="30">
        <f t="shared" si="17"/>
        <v>0</v>
      </c>
      <c r="V72" s="21" t="str">
        <f t="shared" si="10"/>
        <v>1321 · Capital Raising Prepayment</v>
      </c>
      <c r="W72" s="25">
        <f t="shared" si="11"/>
        <v>0</v>
      </c>
    </row>
    <row r="73" spans="1:23" s="27" customFormat="1" ht="13">
      <c r="A73" s="20"/>
      <c r="B73" s="23" t="s">
        <v>80</v>
      </c>
      <c r="C73" s="22">
        <f t="shared" si="12"/>
        <v>0</v>
      </c>
      <c r="D73" s="23"/>
      <c r="E73" s="22"/>
      <c r="F73" s="24"/>
      <c r="G73" s="49"/>
      <c r="H73" s="25">
        <f t="shared" si="13"/>
        <v>0</v>
      </c>
      <c r="I73" s="26"/>
      <c r="J73" s="28" t="str">
        <f t="shared" si="14"/>
        <v>1877</v>
      </c>
      <c r="K73" s="21" t="str">
        <f t="shared" si="9"/>
        <v>1877 · Prepaid Loan Repayments Account</v>
      </c>
      <c r="N73" s="24">
        <f>SUMIF('Final E-Banker TB Dec 2025'!$A$3:$A$192,J73,'Final E-Banker TB Dec 2025'!$G$3:$G$192)</f>
        <v>0</v>
      </c>
      <c r="O73" s="24">
        <f>SUMIF('Final E-Banker TB Dec 2025'!$A$3:$A$192,'TB December 2025   '!J73,'Final E-Banker TB Dec 2025'!$H$3:$H$192)</f>
        <v>0</v>
      </c>
      <c r="Q73" s="30">
        <f t="shared" si="15"/>
        <v>0</v>
      </c>
      <c r="R73" s="30">
        <f t="shared" si="16"/>
        <v>0</v>
      </c>
      <c r="S73" s="30">
        <f t="shared" si="17"/>
        <v>0</v>
      </c>
      <c r="V73" s="21" t="str">
        <f t="shared" si="10"/>
        <v>1877 · Prepaid Loan Repayments Account</v>
      </c>
      <c r="W73" s="25">
        <f t="shared" si="11"/>
        <v>0</v>
      </c>
    </row>
    <row r="74" spans="1:23" s="27" customFormat="1" ht="13">
      <c r="A74" s="20"/>
      <c r="B74" s="21" t="s">
        <v>81</v>
      </c>
      <c r="C74" s="22">
        <f t="shared" si="12"/>
        <v>460175</v>
      </c>
      <c r="D74" s="23"/>
      <c r="E74" s="22"/>
      <c r="F74" s="24"/>
      <c r="G74" s="49"/>
      <c r="H74" s="25">
        <f t="shared" si="13"/>
        <v>-460175</v>
      </c>
      <c r="I74" s="26"/>
      <c r="J74" s="28" t="str">
        <f t="shared" si="14"/>
        <v>1500</v>
      </c>
      <c r="K74" s="21" t="str">
        <f t="shared" si="9"/>
        <v>1500 · Furniture and Fixtures</v>
      </c>
      <c r="N74" s="24">
        <f>SUMIF('Final E-Banker TB Dec 2025'!$A$3:$A$192,J74,'Final E-Banker TB Dec 2025'!$G$3:$G$192)</f>
        <v>460175</v>
      </c>
      <c r="O74" s="24">
        <f>SUMIF('Final E-Banker TB Dec 2025'!$A$3:$A$192,'TB December 2025   '!J74,'Final E-Banker TB Dec 2025'!$H$3:$H$192)</f>
        <v>0</v>
      </c>
      <c r="Q74" s="30">
        <f t="shared" si="15"/>
        <v>0</v>
      </c>
      <c r="R74" s="30">
        <f t="shared" si="16"/>
        <v>460175</v>
      </c>
      <c r="S74" s="30">
        <f t="shared" si="17"/>
        <v>460175</v>
      </c>
      <c r="V74" s="21" t="str">
        <f t="shared" si="10"/>
        <v>1500 · Furniture and Fixtures</v>
      </c>
      <c r="W74" s="25">
        <f t="shared" si="11"/>
        <v>-460175</v>
      </c>
    </row>
    <row r="75" spans="1:23" s="27" customFormat="1" ht="13">
      <c r="A75" s="20"/>
      <c r="B75" s="21" t="s">
        <v>82</v>
      </c>
      <c r="C75" s="22">
        <f t="shared" si="12"/>
        <v>113325948.7</v>
      </c>
      <c r="D75" s="23"/>
      <c r="E75" s="22"/>
      <c r="F75" s="24"/>
      <c r="G75" s="49"/>
      <c r="H75" s="25">
        <f t="shared" si="13"/>
        <v>-113325948.7</v>
      </c>
      <c r="I75" s="26"/>
      <c r="J75" s="28" t="str">
        <f t="shared" si="14"/>
        <v>1500</v>
      </c>
      <c r="K75" s="21" t="str">
        <f t="shared" si="9"/>
        <v>1500 · Furniture and Fixtures:1501 · Cost</v>
      </c>
      <c r="N75" s="24">
        <f>'Final E-Banker TB Dec 2025'!G54</f>
        <v>113325948.7</v>
      </c>
      <c r="O75" s="24">
        <f>SUMIF('Final E-Banker TB Dec 2025'!$A$3:$A$192,'TB December 2025   '!J75,'Final E-Banker TB Dec 2025'!$H$3:$H$192)</f>
        <v>0</v>
      </c>
      <c r="Q75" s="30">
        <f t="shared" si="15"/>
        <v>0</v>
      </c>
      <c r="R75" s="30">
        <f t="shared" si="16"/>
        <v>113325948.7</v>
      </c>
      <c r="S75" s="30">
        <f t="shared" si="17"/>
        <v>113325948.7</v>
      </c>
      <c r="V75" s="21" t="str">
        <f t="shared" si="10"/>
        <v>1500 · Furniture and Fixtures:1501 · Cost</v>
      </c>
      <c r="W75" s="25">
        <f t="shared" si="11"/>
        <v>-113325948.7</v>
      </c>
    </row>
    <row r="76" spans="1:23" s="27" customFormat="1" ht="13">
      <c r="A76" s="20"/>
      <c r="B76" s="21" t="s">
        <v>83</v>
      </c>
      <c r="C76" s="22">
        <f t="shared" si="12"/>
        <v>-94359370.439999998</v>
      </c>
      <c r="D76" s="23"/>
      <c r="E76" s="22"/>
      <c r="F76" s="24"/>
      <c r="G76" s="49"/>
      <c r="H76" s="25">
        <f t="shared" si="13"/>
        <v>94359370.439999998</v>
      </c>
      <c r="I76" s="26"/>
      <c r="J76" s="28" t="str">
        <f t="shared" si="14"/>
        <v>1500</v>
      </c>
      <c r="K76" s="21" t="str">
        <f t="shared" si="9"/>
        <v>1500 · Furniture and Fixtures:1502 · Depreciation</v>
      </c>
      <c r="N76" s="24">
        <v>0</v>
      </c>
      <c r="O76" s="24">
        <f>'Final E-Banker TB Dec 2025'!H58</f>
        <v>94359370.439999998</v>
      </c>
      <c r="Q76" s="30">
        <f t="shared" si="15"/>
        <v>-94359370.439999998</v>
      </c>
      <c r="R76" s="30">
        <f t="shared" si="16"/>
        <v>0</v>
      </c>
      <c r="S76" s="30">
        <f t="shared" si="17"/>
        <v>-94359370.439999998</v>
      </c>
      <c r="V76" s="21" t="str">
        <f t="shared" si="10"/>
        <v>1500 · Furniture and Fixtures:1502 · Depreciation</v>
      </c>
      <c r="W76" s="25">
        <f t="shared" si="11"/>
        <v>94359370.439999998</v>
      </c>
    </row>
    <row r="77" spans="1:23" s="27" customFormat="1" ht="13">
      <c r="A77" s="20"/>
      <c r="B77" s="21" t="s">
        <v>84</v>
      </c>
      <c r="C77" s="22">
        <f t="shared" si="12"/>
        <v>207821826.59999999</v>
      </c>
      <c r="D77" s="23"/>
      <c r="E77" s="22"/>
      <c r="F77" s="24"/>
      <c r="G77" s="49"/>
      <c r="H77" s="25">
        <f t="shared" si="13"/>
        <v>-207821826.59999999</v>
      </c>
      <c r="I77" s="26"/>
      <c r="J77" s="28" t="str">
        <f t="shared" si="14"/>
        <v>1510</v>
      </c>
      <c r="K77" s="21" t="str">
        <f t="shared" si="9"/>
        <v>1510 · Computer Equipment:1511 · Cost</v>
      </c>
      <c r="N77" s="24">
        <f>'Final E-Banker TB Dec 2025'!G53</f>
        <v>207821826.59999999</v>
      </c>
      <c r="O77" s="24">
        <f>SUMIF('Final E-Banker TB Dec 2025'!$A$3:$A$192,'TB December 2025   '!J77,'Final E-Banker TB Dec 2025'!$H$3:$H$192)</f>
        <v>0</v>
      </c>
      <c r="Q77" s="30">
        <f t="shared" si="15"/>
        <v>0</v>
      </c>
      <c r="R77" s="30">
        <f t="shared" si="16"/>
        <v>207821826.59999999</v>
      </c>
      <c r="S77" s="30">
        <f t="shared" si="17"/>
        <v>207821826.59999999</v>
      </c>
      <c r="V77" s="21" t="str">
        <f t="shared" si="10"/>
        <v>1510 · Computer Equipment:1511 · Cost</v>
      </c>
      <c r="W77" s="25">
        <f t="shared" si="11"/>
        <v>-207821826.59999999</v>
      </c>
    </row>
    <row r="78" spans="1:23" s="27" customFormat="1" ht="13">
      <c r="A78" s="20"/>
      <c r="B78" s="21" t="s">
        <v>85</v>
      </c>
      <c r="C78" s="22">
        <f t="shared" si="12"/>
        <v>-110165541.54000001</v>
      </c>
      <c r="D78" s="23"/>
      <c r="E78" s="22"/>
      <c r="F78" s="24"/>
      <c r="G78" s="49"/>
      <c r="H78" s="25">
        <f t="shared" si="13"/>
        <v>110165541.54000001</v>
      </c>
      <c r="I78" s="26"/>
      <c r="J78" s="28" t="str">
        <f t="shared" si="14"/>
        <v>1510</v>
      </c>
      <c r="K78" s="21" t="str">
        <f t="shared" si="9"/>
        <v>1510 · Computer Equipment:1512 · Depreciation</v>
      </c>
      <c r="N78" s="24">
        <f>SUMIF('Final E-Banker TB Dec 2025'!$A$3:$A$192,J78,'Final E-Banker TB Dec 2025'!$G$3:$G$192)</f>
        <v>0</v>
      </c>
      <c r="O78" s="24">
        <f>'Final E-Banker TB Dec 2025'!H57</f>
        <v>110165541.54000001</v>
      </c>
      <c r="Q78" s="30">
        <f t="shared" si="15"/>
        <v>-110165541.54000001</v>
      </c>
      <c r="R78" s="30">
        <f t="shared" si="16"/>
        <v>0</v>
      </c>
      <c r="S78" s="30">
        <f t="shared" si="17"/>
        <v>-110165541.54000001</v>
      </c>
      <c r="V78" s="21" t="str">
        <f t="shared" si="10"/>
        <v>1510 · Computer Equipment:1512 · Depreciation</v>
      </c>
      <c r="W78" s="25">
        <f t="shared" si="11"/>
        <v>110165541.54000001</v>
      </c>
    </row>
    <row r="79" spans="1:23" s="27" customFormat="1" ht="13">
      <c r="A79" s="20"/>
      <c r="B79" s="21" t="s">
        <v>86</v>
      </c>
      <c r="C79" s="22">
        <f t="shared" si="12"/>
        <v>53624126.75</v>
      </c>
      <c r="D79" s="23"/>
      <c r="E79" s="22"/>
      <c r="F79" s="24"/>
      <c r="G79" s="49"/>
      <c r="H79" s="25">
        <f t="shared" si="13"/>
        <v>-53624126.75</v>
      </c>
      <c r="I79" s="26"/>
      <c r="J79" s="28" t="str">
        <f t="shared" si="14"/>
        <v>1520</v>
      </c>
      <c r="K79" s="21" t="str">
        <f t="shared" si="9"/>
        <v>1520 · Office Equipment:1521 · Cost</v>
      </c>
      <c r="N79" s="24">
        <f>'Final E-Banker TB Dec 2025'!G51</f>
        <v>53624126.75</v>
      </c>
      <c r="O79" s="24">
        <f>SUMIF('Final E-Banker TB Dec 2025'!$A$3:$A$192,'TB December 2025   '!J79,'Final E-Banker TB Dec 2025'!$H$3:$H$192)</f>
        <v>0</v>
      </c>
      <c r="Q79" s="30">
        <f t="shared" si="15"/>
        <v>0</v>
      </c>
      <c r="R79" s="30">
        <f t="shared" si="16"/>
        <v>53624126.75</v>
      </c>
      <c r="S79" s="30">
        <f t="shared" si="17"/>
        <v>53624126.75</v>
      </c>
      <c r="V79" s="21" t="str">
        <f t="shared" si="10"/>
        <v>1520 · Office Equipment:1521 · Cost</v>
      </c>
      <c r="W79" s="25">
        <f t="shared" si="11"/>
        <v>-53624126.75</v>
      </c>
    </row>
    <row r="80" spans="1:23" s="27" customFormat="1" ht="13">
      <c r="A80" s="20"/>
      <c r="B80" s="21" t="s">
        <v>87</v>
      </c>
      <c r="C80" s="22">
        <f t="shared" si="12"/>
        <v>-28875489.359999999</v>
      </c>
      <c r="D80" s="23"/>
      <c r="E80" s="22"/>
      <c r="F80" s="24"/>
      <c r="G80" s="49"/>
      <c r="H80" s="25">
        <f t="shared" si="13"/>
        <v>28875489.359999999</v>
      </c>
      <c r="I80" s="26"/>
      <c r="J80" s="28" t="str">
        <f t="shared" si="14"/>
        <v>1520</v>
      </c>
      <c r="K80" s="21" t="str">
        <f t="shared" si="9"/>
        <v>1520 · Office Equipment:1522 · Depreciation</v>
      </c>
      <c r="N80" s="24">
        <f>SUMIF('Final E-Banker TB Dec 2025'!$A$3:$A$192,J80,'Final E-Banker TB Dec 2025'!$G$3:$G$192)</f>
        <v>0</v>
      </c>
      <c r="O80" s="24">
        <f>'Final E-Banker TB Dec 2025'!H56</f>
        <v>28875489.359999999</v>
      </c>
      <c r="Q80" s="30">
        <f t="shared" si="15"/>
        <v>-28875489.359999999</v>
      </c>
      <c r="R80" s="30">
        <f t="shared" si="16"/>
        <v>0</v>
      </c>
      <c r="S80" s="30">
        <f t="shared" si="17"/>
        <v>-28875489.359999999</v>
      </c>
      <c r="V80" s="21" t="str">
        <f t="shared" si="10"/>
        <v>1520 · Office Equipment:1522 · Depreciation</v>
      </c>
      <c r="W80" s="25">
        <f t="shared" si="11"/>
        <v>28875489.359999999</v>
      </c>
    </row>
    <row r="81" spans="1:24" s="27" customFormat="1" ht="13">
      <c r="A81" s="20"/>
      <c r="B81" s="21" t="s">
        <v>88</v>
      </c>
      <c r="C81" s="22">
        <f t="shared" si="12"/>
        <v>801845100.00999999</v>
      </c>
      <c r="D81" s="23"/>
      <c r="E81" s="22"/>
      <c r="F81" s="24"/>
      <c r="G81" s="49"/>
      <c r="H81" s="25">
        <f t="shared" si="13"/>
        <v>-801845100.00999999</v>
      </c>
      <c r="I81" s="26"/>
      <c r="J81" s="28" t="str">
        <f t="shared" si="14"/>
        <v>1530</v>
      </c>
      <c r="K81" s="21" t="str">
        <f t="shared" si="9"/>
        <v>1530 · Motor Vehicles:1531 · Cost</v>
      </c>
      <c r="N81" s="24">
        <f>'Final E-Banker TB Dec 2025'!G55</f>
        <v>801845100.00999999</v>
      </c>
      <c r="O81" s="24">
        <f>SUMIF('Final E-Banker TB Dec 2025'!$A$3:$A$192,'TB December 2025   '!J81,'Final E-Banker TB Dec 2025'!$H$3:$H$192)</f>
        <v>0</v>
      </c>
      <c r="Q81" s="30">
        <f t="shared" si="15"/>
        <v>0</v>
      </c>
      <c r="R81" s="30">
        <f t="shared" si="16"/>
        <v>801845100.00999999</v>
      </c>
      <c r="S81" s="30">
        <f t="shared" si="17"/>
        <v>801845100.00999999</v>
      </c>
      <c r="V81" s="21" t="str">
        <f t="shared" si="10"/>
        <v>1530 · Motor Vehicles:1531 · Cost</v>
      </c>
      <c r="W81" s="25">
        <f t="shared" si="11"/>
        <v>-801845100.00999999</v>
      </c>
    </row>
    <row r="82" spans="1:24" s="27" customFormat="1" ht="13">
      <c r="A82" s="20"/>
      <c r="B82" s="21" t="s">
        <v>89</v>
      </c>
      <c r="C82" s="22">
        <f t="shared" si="12"/>
        <v>-321748192.73000002</v>
      </c>
      <c r="D82" s="23"/>
      <c r="E82" s="22"/>
      <c r="F82" s="24"/>
      <c r="G82" s="49"/>
      <c r="H82" s="25">
        <f t="shared" si="13"/>
        <v>321748192.73000002</v>
      </c>
      <c r="I82" s="26"/>
      <c r="J82" s="28" t="str">
        <f t="shared" si="14"/>
        <v>1530</v>
      </c>
      <c r="K82" s="21" t="str">
        <f t="shared" si="9"/>
        <v>1530 · Motor Vehicles:1532 · Depreciation</v>
      </c>
      <c r="N82" s="24">
        <f>SUMIF('Final E-Banker TB Dec 2025'!$A$3:$A$192,J82,'Final E-Banker TB Dec 2025'!$G$3:$G$192)</f>
        <v>0</v>
      </c>
      <c r="O82" s="24">
        <f>'Final E-Banker TB Dec 2025'!H59</f>
        <v>321748192.73000002</v>
      </c>
      <c r="Q82" s="30">
        <f t="shared" si="15"/>
        <v>-321748192.73000002</v>
      </c>
      <c r="R82" s="30">
        <f t="shared" si="16"/>
        <v>0</v>
      </c>
      <c r="S82" s="30">
        <f t="shared" si="17"/>
        <v>-321748192.73000002</v>
      </c>
      <c r="V82" s="21" t="str">
        <f t="shared" si="10"/>
        <v>1530 · Motor Vehicles:1532 · Depreciation</v>
      </c>
      <c r="W82" s="25">
        <f t="shared" si="11"/>
        <v>321748192.73000002</v>
      </c>
    </row>
    <row r="83" spans="1:24" s="27" customFormat="1" ht="13">
      <c r="A83" s="20"/>
      <c r="B83" s="21" t="s">
        <v>90</v>
      </c>
      <c r="C83" s="22">
        <f t="shared" si="12"/>
        <v>0</v>
      </c>
      <c r="D83" s="23"/>
      <c r="E83" s="22"/>
      <c r="F83" s="24"/>
      <c r="G83" s="49"/>
      <c r="H83" s="25">
        <f t="shared" si="13"/>
        <v>0</v>
      </c>
      <c r="I83" s="26"/>
      <c r="J83" s="28" t="str">
        <f t="shared" si="14"/>
        <v>1545</v>
      </c>
      <c r="K83" s="21" t="str">
        <f t="shared" si="9"/>
        <v>1545 · Software</v>
      </c>
      <c r="N83" s="24">
        <f>SUMIF('Final E-Banker TB Dec 2025'!$A$3:$A$192,J83,'Final E-Banker TB Dec 2025'!$G$3:$G$192)</f>
        <v>0</v>
      </c>
      <c r="O83" s="24">
        <f>SUMIF('Final E-Banker TB Dec 2025'!$A$3:$A$192,'TB December 2025   '!J83,'Final E-Banker TB Dec 2025'!$H$3:$H$192)</f>
        <v>0</v>
      </c>
      <c r="Q83" s="30">
        <f t="shared" si="15"/>
        <v>0</v>
      </c>
      <c r="R83" s="30">
        <f t="shared" si="16"/>
        <v>0</v>
      </c>
      <c r="S83" s="30">
        <f t="shared" si="17"/>
        <v>0</v>
      </c>
      <c r="V83" s="21" t="str">
        <f t="shared" si="10"/>
        <v>1545 · Software</v>
      </c>
      <c r="W83" s="25">
        <f t="shared" si="11"/>
        <v>0</v>
      </c>
      <c r="X83" s="63"/>
    </row>
    <row r="84" spans="1:24" s="27" customFormat="1" ht="13">
      <c r="A84" s="20"/>
      <c r="B84" s="21" t="s">
        <v>91</v>
      </c>
      <c r="C84" s="22">
        <f t="shared" si="12"/>
        <v>1897045885.8800001</v>
      </c>
      <c r="D84" s="23"/>
      <c r="E84" s="22"/>
      <c r="F84" s="24"/>
      <c r="G84" s="49"/>
      <c r="H84" s="25">
        <f t="shared" si="13"/>
        <v>-1897045885.8800001</v>
      </c>
      <c r="I84" s="26"/>
      <c r="J84" s="28" t="str">
        <f t="shared" si="14"/>
        <v>1545</v>
      </c>
      <c r="K84" s="21" t="str">
        <f t="shared" si="9"/>
        <v>1545 · Software:1546 · Cost</v>
      </c>
      <c r="N84" s="24">
        <f>'Final E-Banker TB Dec 2025'!G60</f>
        <v>1897045885.8800001</v>
      </c>
      <c r="O84" s="24">
        <f>SUMIF('Final E-Banker TB Dec 2025'!$A$3:$A$192,'TB December 2025   '!J84,'Final E-Banker TB Dec 2025'!$H$3:$H$192)</f>
        <v>0</v>
      </c>
      <c r="Q84" s="30">
        <f t="shared" si="15"/>
        <v>0</v>
      </c>
      <c r="R84" s="30">
        <f t="shared" si="16"/>
        <v>1897045885.8800001</v>
      </c>
      <c r="S84" s="30">
        <f t="shared" si="17"/>
        <v>1897045885.8800001</v>
      </c>
      <c r="V84" s="21" t="str">
        <f t="shared" si="10"/>
        <v>1545 · Software:1546 · Cost</v>
      </c>
      <c r="W84" s="25">
        <f t="shared" si="11"/>
        <v>-1897045885.8800001</v>
      </c>
      <c r="X84" s="24"/>
    </row>
    <row r="85" spans="1:24" s="27" customFormat="1" ht="13">
      <c r="A85" s="20"/>
      <c r="B85" s="21" t="s">
        <v>92</v>
      </c>
      <c r="C85" s="22">
        <f t="shared" si="12"/>
        <v>-292603680.51999998</v>
      </c>
      <c r="D85" s="23"/>
      <c r="E85" s="22"/>
      <c r="F85" s="24"/>
      <c r="G85" s="49"/>
      <c r="H85" s="25">
        <f t="shared" si="13"/>
        <v>292603680.51999998</v>
      </c>
      <c r="I85" s="26"/>
      <c r="J85" s="28" t="str">
        <f t="shared" si="14"/>
        <v>1545</v>
      </c>
      <c r="K85" s="21" t="str">
        <f t="shared" si="9"/>
        <v>1545 · Software:1547 · Depreciation</v>
      </c>
      <c r="N85" s="24">
        <f>SUMIF('Final E-Banker TB Dec 2025'!$A$3:$A$192,J85,'Final E-Banker TB Dec 2025'!$G$3:$G$192)</f>
        <v>0</v>
      </c>
      <c r="O85" s="24">
        <f>'Final E-Banker TB Dec 2025'!H61</f>
        <v>292603680.51999998</v>
      </c>
      <c r="Q85" s="30">
        <f t="shared" si="15"/>
        <v>-292603680.51999998</v>
      </c>
      <c r="R85" s="30">
        <f t="shared" si="16"/>
        <v>0</v>
      </c>
      <c r="S85" s="30">
        <f t="shared" si="17"/>
        <v>-292603680.51999998</v>
      </c>
      <c r="V85" s="21" t="str">
        <f t="shared" si="10"/>
        <v>1545 · Software:1547 · Depreciation</v>
      </c>
      <c r="W85" s="25">
        <f t="shared" si="11"/>
        <v>292603680.51999998</v>
      </c>
    </row>
    <row r="86" spans="1:24" s="27" customFormat="1" ht="13">
      <c r="A86" s="20"/>
      <c r="B86" s="21" t="s">
        <v>93</v>
      </c>
      <c r="C86" s="22">
        <f t="shared" si="12"/>
        <v>0</v>
      </c>
      <c r="D86" s="23"/>
      <c r="E86" s="22"/>
      <c r="F86" s="24"/>
      <c r="G86" s="49"/>
      <c r="H86" s="25">
        <f t="shared" si="13"/>
        <v>0</v>
      </c>
      <c r="I86" s="26"/>
      <c r="J86" s="28" t="str">
        <f t="shared" si="14"/>
        <v>1595</v>
      </c>
      <c r="K86" s="21" t="str">
        <f t="shared" si="9"/>
        <v>1595 · Right of Use:1596 · Cost</v>
      </c>
      <c r="N86" s="24">
        <f>SUMIF('Final E-Banker TB Dec 2025'!$A$3:$A$192,J86,'Final E-Banker TB Dec 2025'!$G$3:$G$192)</f>
        <v>0</v>
      </c>
      <c r="O86" s="24">
        <f>SUMIF('Final E-Banker TB Dec 2025'!$A$3:$A$192,'TB December 2025   '!J86,'Final E-Banker TB Dec 2025'!$H$3:$H$192)</f>
        <v>0</v>
      </c>
      <c r="Q86" s="30">
        <f t="shared" si="15"/>
        <v>0</v>
      </c>
      <c r="R86" s="30">
        <f t="shared" si="16"/>
        <v>0</v>
      </c>
      <c r="S86" s="30">
        <f t="shared" si="17"/>
        <v>0</v>
      </c>
      <c r="V86" s="21" t="str">
        <f t="shared" si="10"/>
        <v>1595 · Right of Use:1596 · Cost</v>
      </c>
      <c r="W86" s="25">
        <f t="shared" si="11"/>
        <v>0</v>
      </c>
    </row>
    <row r="87" spans="1:24" s="27" customFormat="1" ht="13">
      <c r="A87" s="20"/>
      <c r="B87" s="21" t="s">
        <v>94</v>
      </c>
      <c r="C87" s="22">
        <f t="shared" si="12"/>
        <v>0</v>
      </c>
      <c r="D87" s="23"/>
      <c r="E87" s="22"/>
      <c r="F87" s="24"/>
      <c r="G87" s="49"/>
      <c r="H87" s="25">
        <f t="shared" si="13"/>
        <v>0</v>
      </c>
      <c r="I87" s="26"/>
      <c r="J87" s="28" t="str">
        <f t="shared" si="14"/>
        <v>1595</v>
      </c>
      <c r="K87" s="21" t="str">
        <f t="shared" si="9"/>
        <v>1595 · Right of Use:1597 · Amortisation/ Depreciation</v>
      </c>
      <c r="N87" s="24">
        <f>SUMIF('Final E-Banker TB Dec 2025'!$A$3:$A$192,J87,'Final E-Banker TB Dec 2025'!$G$3:$G$192)</f>
        <v>0</v>
      </c>
      <c r="O87" s="24">
        <f>SUMIF('Final E-Banker TB Dec 2025'!$A$3:$A$192,'TB December 2025   '!J87,'Final E-Banker TB Dec 2025'!$H$3:$H$192)</f>
        <v>0</v>
      </c>
      <c r="Q87" s="30">
        <f t="shared" si="15"/>
        <v>0</v>
      </c>
      <c r="R87" s="30">
        <f t="shared" si="16"/>
        <v>0</v>
      </c>
      <c r="S87" s="30">
        <f t="shared" si="17"/>
        <v>0</v>
      </c>
      <c r="V87" s="21" t="str">
        <f t="shared" si="10"/>
        <v>1595 · Right of Use:1597 · Amortisation/ Depreciation</v>
      </c>
      <c r="W87" s="25">
        <f t="shared" si="11"/>
        <v>0</v>
      </c>
    </row>
    <row r="88" spans="1:24" s="27" customFormat="1" ht="13">
      <c r="A88" s="20"/>
      <c r="B88" s="21" t="s">
        <v>95</v>
      </c>
      <c r="C88" s="22">
        <f t="shared" si="12"/>
        <v>0</v>
      </c>
      <c r="D88" s="23"/>
      <c r="E88" s="22"/>
      <c r="F88" s="24"/>
      <c r="G88" s="49"/>
      <c r="H88" s="25">
        <f t="shared" si="13"/>
        <v>0</v>
      </c>
      <c r="I88" s="26"/>
      <c r="J88" s="28" t="str">
        <f t="shared" si="14"/>
        <v>1548</v>
      </c>
      <c r="K88" s="21" t="str">
        <f t="shared" si="9"/>
        <v>1548 · Amortization</v>
      </c>
      <c r="N88" s="24">
        <f>SUMIF('Final E-Banker TB Dec 2025'!$A$3:$A$192,J88,'Final E-Banker TB Dec 2025'!$G$3:$G$192)</f>
        <v>0</v>
      </c>
      <c r="O88" s="24">
        <f>SUMIF('Final E-Banker TB Dec 2025'!$A$3:$A$192,'TB December 2025   '!J88,'Final E-Banker TB Dec 2025'!$H$3:$H$192)</f>
        <v>0</v>
      </c>
      <c r="Q88" s="30">
        <f t="shared" si="15"/>
        <v>0</v>
      </c>
      <c r="R88" s="30">
        <f t="shared" si="16"/>
        <v>0</v>
      </c>
      <c r="S88" s="30">
        <f t="shared" si="17"/>
        <v>0</v>
      </c>
      <c r="V88" s="21" t="str">
        <f t="shared" si="10"/>
        <v>1548 · Amortization</v>
      </c>
      <c r="W88" s="25">
        <f t="shared" si="11"/>
        <v>0</v>
      </c>
    </row>
    <row r="89" spans="1:24" s="27" customFormat="1" ht="13">
      <c r="A89" s="20"/>
      <c r="B89" s="21" t="s">
        <v>96</v>
      </c>
      <c r="C89" s="22">
        <f t="shared" si="12"/>
        <v>-148576785.15000001</v>
      </c>
      <c r="D89" s="23"/>
      <c r="E89" s="22"/>
      <c r="F89" s="24">
        <v>0</v>
      </c>
      <c r="G89" s="49"/>
      <c r="H89" s="25">
        <f t="shared" si="13"/>
        <v>148576785.15000001</v>
      </c>
      <c r="I89" s="26"/>
      <c r="J89" s="28" t="str">
        <f t="shared" si="14"/>
        <v>1549</v>
      </c>
      <c r="K89" s="21" t="str">
        <f t="shared" si="9"/>
        <v>1549 · WIP</v>
      </c>
      <c r="N89" s="24">
        <f>SUMIF('Final E-Banker TB Dec 2025'!$A$3:$A$192,J89,'Final E-Banker TB Dec 2025'!$G$3:$G$192)</f>
        <v>0</v>
      </c>
      <c r="O89" s="24">
        <f>SUMIF('Final E-Banker TB Dec 2025'!$A$3:$A$192,'TB December 2025   '!J89,'Final E-Banker TB Dec 2025'!$H$3:$H$192)</f>
        <v>148576785.15000001</v>
      </c>
      <c r="Q89" s="30">
        <f t="shared" si="15"/>
        <v>-148576785.15000001</v>
      </c>
      <c r="R89" s="30">
        <f t="shared" si="16"/>
        <v>0</v>
      </c>
      <c r="S89" s="30">
        <f t="shared" si="17"/>
        <v>-148576785.15000001</v>
      </c>
      <c r="V89" s="21" t="str">
        <f t="shared" si="10"/>
        <v>1549 · WIP</v>
      </c>
      <c r="W89" s="25">
        <f t="shared" si="11"/>
        <v>148576785.15000001</v>
      </c>
    </row>
    <row r="90" spans="1:24" s="27" customFormat="1" ht="13">
      <c r="A90" s="20"/>
      <c r="B90" s="21" t="s">
        <v>97</v>
      </c>
      <c r="C90" s="22">
        <f t="shared" si="12"/>
        <v>2919163849.3000002</v>
      </c>
      <c r="D90" s="23"/>
      <c r="E90" s="22"/>
      <c r="F90" s="24">
        <v>1478749196</v>
      </c>
      <c r="G90" s="49" t="s">
        <v>424</v>
      </c>
      <c r="H90" s="25">
        <f t="shared" si="13"/>
        <v>-1440414653.3000002</v>
      </c>
      <c r="I90" s="26"/>
      <c r="J90" s="28" t="str">
        <f t="shared" si="14"/>
        <v>1871</v>
      </c>
      <c r="K90" s="21" t="str">
        <f t="shared" si="9"/>
        <v>1871 · Undrawn Commitment-MAIIC</v>
      </c>
      <c r="N90" s="24">
        <f>SUMIF('Final E-Banker TB Dec 2025'!$A$3:$A$192,J90,'Final E-Banker TB Dec 2025'!$G$3:$G$192)</f>
        <v>2919163849.3000002</v>
      </c>
      <c r="O90" s="24">
        <f>SUMIF('Final E-Banker TB Dec 2025'!$A$3:$A$192,'TB December 2025   '!J90,'Final E-Banker TB Dec 2025'!$H$3:$H$192)</f>
        <v>0</v>
      </c>
      <c r="Q90" s="30">
        <f t="shared" si="15"/>
        <v>0</v>
      </c>
      <c r="R90" s="30">
        <f t="shared" si="16"/>
        <v>2919163849.3000002</v>
      </c>
      <c r="S90" s="30">
        <f t="shared" si="17"/>
        <v>2919163849.3000002</v>
      </c>
      <c r="V90" s="21" t="str">
        <f t="shared" si="10"/>
        <v>1871 · Undrawn Commitment-MAIIC</v>
      </c>
      <c r="W90" s="25">
        <f t="shared" si="11"/>
        <v>-1440414653.3000002</v>
      </c>
    </row>
    <row r="91" spans="1:24" s="27" customFormat="1" ht="13">
      <c r="A91" s="20"/>
      <c r="B91" s="21" t="s">
        <v>98</v>
      </c>
      <c r="C91" s="22">
        <f t="shared" si="12"/>
        <v>39568983.659999996</v>
      </c>
      <c r="D91" s="23"/>
      <c r="E91" s="22"/>
      <c r="F91" s="24">
        <v>319985261.21000004</v>
      </c>
      <c r="G91" s="49" t="s">
        <v>424</v>
      </c>
      <c r="H91" s="25">
        <f t="shared" si="13"/>
        <v>280416277.55000007</v>
      </c>
      <c r="I91" s="26"/>
      <c r="J91" s="28" t="str">
        <f t="shared" si="14"/>
        <v>1872</v>
      </c>
      <c r="K91" s="21" t="str">
        <f t="shared" si="9"/>
        <v>1872 · Undrawn Commitments-FInES</v>
      </c>
      <c r="N91" s="24">
        <f>SUMIF('Final E-Banker TB Dec 2025'!$A$3:$A$192,J91,'Final E-Banker TB Dec 2025'!$G$3:$G$192)</f>
        <v>39568983.659999996</v>
      </c>
      <c r="O91" s="24">
        <f>SUMIF('Final E-Banker TB Dec 2025'!$A$3:$A$192,'TB December 2025   '!J91,'Final E-Banker TB Dec 2025'!$H$3:$H$192)</f>
        <v>0</v>
      </c>
      <c r="Q91" s="30">
        <f t="shared" si="15"/>
        <v>0</v>
      </c>
      <c r="R91" s="30">
        <f t="shared" si="16"/>
        <v>39568983.659999996</v>
      </c>
      <c r="S91" s="30">
        <f t="shared" si="17"/>
        <v>39568983.659999996</v>
      </c>
      <c r="V91" s="21" t="str">
        <f t="shared" si="10"/>
        <v>1872 · Undrawn Commitments-FInES</v>
      </c>
      <c r="W91" s="25">
        <f t="shared" si="11"/>
        <v>280416277.55000007</v>
      </c>
    </row>
    <row r="92" spans="1:24" s="27" customFormat="1" ht="13">
      <c r="A92" s="20"/>
      <c r="B92" s="21" t="s">
        <v>99</v>
      </c>
      <c r="C92" s="22">
        <f t="shared" si="12"/>
        <v>40847815</v>
      </c>
      <c r="D92" s="23"/>
      <c r="E92" s="22"/>
      <c r="F92" s="24"/>
      <c r="G92" s="49"/>
      <c r="H92" s="25">
        <f t="shared" si="13"/>
        <v>-40847815</v>
      </c>
      <c r="I92" s="26"/>
      <c r="J92" s="28" t="str">
        <f t="shared" si="14"/>
        <v>1873</v>
      </c>
      <c r="K92" s="21" t="str">
        <f t="shared" si="9"/>
        <v>1873 · Guarantees MAIIC</v>
      </c>
      <c r="N92" s="24">
        <f>SUMIF('Final E-Banker TB Dec 2025'!$A$3:$A$192,J92,'Final E-Banker TB Dec 2025'!$G$3:$G$192)</f>
        <v>40847815</v>
      </c>
      <c r="O92" s="24">
        <f>SUMIF('Final E-Banker TB Dec 2025'!$A$3:$A$192,'TB December 2025   '!J92,'Final E-Banker TB Dec 2025'!$H$3:$H$192)</f>
        <v>0</v>
      </c>
      <c r="Q92" s="30">
        <f t="shared" si="15"/>
        <v>0</v>
      </c>
      <c r="R92" s="30">
        <f t="shared" si="16"/>
        <v>40847815</v>
      </c>
      <c r="S92" s="30">
        <f t="shared" si="17"/>
        <v>40847815</v>
      </c>
      <c r="V92" s="21" t="str">
        <f t="shared" si="10"/>
        <v>1873 · Guarantees MAIIC</v>
      </c>
      <c r="W92" s="25">
        <f t="shared" si="11"/>
        <v>-40847815</v>
      </c>
    </row>
    <row r="93" spans="1:24" s="27" customFormat="1" ht="13">
      <c r="A93" s="20"/>
      <c r="B93" s="21" t="s">
        <v>100</v>
      </c>
      <c r="C93" s="22">
        <f t="shared" si="12"/>
        <v>1338483000</v>
      </c>
      <c r="D93" s="23"/>
      <c r="E93" s="22"/>
      <c r="F93" s="24"/>
      <c r="G93" s="49"/>
      <c r="H93" s="25">
        <f t="shared" si="13"/>
        <v>-1338483000</v>
      </c>
      <c r="I93" s="26"/>
      <c r="J93" s="28" t="str">
        <f t="shared" si="14"/>
        <v>1874</v>
      </c>
      <c r="K93" s="21" t="str">
        <f t="shared" si="9"/>
        <v>1874 · Guarantees -FInES</v>
      </c>
      <c r="N93" s="24">
        <f>SUMIF('Final E-Banker TB Dec 2025'!$A$3:$A$192,J93,'Final E-Banker TB Dec 2025'!$G$3:$G$192)</f>
        <v>1338483000</v>
      </c>
      <c r="O93" s="24">
        <f>SUMIF('Final E-Banker TB Dec 2025'!$A$3:$A$192,'TB December 2025   '!J93,'Final E-Banker TB Dec 2025'!$H$3:$H$192)</f>
        <v>0</v>
      </c>
      <c r="Q93" s="30">
        <f t="shared" si="15"/>
        <v>0</v>
      </c>
      <c r="R93" s="30">
        <f t="shared" si="16"/>
        <v>1338483000</v>
      </c>
      <c r="S93" s="30">
        <f t="shared" si="17"/>
        <v>1338483000</v>
      </c>
      <c r="V93" s="21" t="str">
        <f t="shared" si="10"/>
        <v>1874 · Guarantees -FInES</v>
      </c>
      <c r="W93" s="25">
        <f t="shared" si="11"/>
        <v>-1338483000</v>
      </c>
    </row>
    <row r="94" spans="1:24" s="27" customFormat="1" ht="13">
      <c r="A94" s="20"/>
      <c r="B94" s="21" t="s">
        <v>101</v>
      </c>
      <c r="C94" s="22">
        <f t="shared" si="12"/>
        <v>170064000</v>
      </c>
      <c r="D94" s="23"/>
      <c r="E94" s="22"/>
      <c r="F94" s="24"/>
      <c r="G94" s="49"/>
      <c r="H94" s="25">
        <f t="shared" si="13"/>
        <v>-170064000</v>
      </c>
      <c r="I94" s="26"/>
      <c r="J94" s="28" t="str">
        <f t="shared" si="14"/>
        <v>1875</v>
      </c>
      <c r="K94" s="21" t="str">
        <f t="shared" si="9"/>
        <v>1875 · Guarantees -AGCOM</v>
      </c>
      <c r="N94" s="24">
        <f>SUMIF('Final E-Banker TB Dec 2025'!$A$3:$A$192,J94,'Final E-Banker TB Dec 2025'!$G$3:$G$192)</f>
        <v>170064000</v>
      </c>
      <c r="O94" s="24">
        <f>SUMIF('Final E-Banker TB Dec 2025'!$A$3:$A$192,'TB December 2025   '!J94,'Final E-Banker TB Dec 2025'!$H$3:$H$192)</f>
        <v>0</v>
      </c>
      <c r="Q94" s="30">
        <f t="shared" si="15"/>
        <v>0</v>
      </c>
      <c r="R94" s="30">
        <f t="shared" si="16"/>
        <v>170064000</v>
      </c>
      <c r="S94" s="30">
        <f t="shared" si="17"/>
        <v>170064000</v>
      </c>
      <c r="V94" s="21" t="str">
        <f t="shared" si="10"/>
        <v>1875 · Guarantees -AGCOM</v>
      </c>
      <c r="W94" s="25">
        <f t="shared" si="11"/>
        <v>-170064000</v>
      </c>
    </row>
    <row r="95" spans="1:24" s="27" customFormat="1" ht="13">
      <c r="A95" s="20"/>
      <c r="B95" s="21" t="s">
        <v>102</v>
      </c>
      <c r="C95" s="22">
        <f t="shared" si="12"/>
        <v>-22286434.32</v>
      </c>
      <c r="D95" s="23"/>
      <c r="E95" s="22"/>
      <c r="F95" s="24">
        <f>-F100</f>
        <v>138135680.80000001</v>
      </c>
      <c r="G95" s="49" t="s">
        <v>425</v>
      </c>
      <c r="H95" s="25">
        <f t="shared" si="13"/>
        <v>160422115.12</v>
      </c>
      <c r="I95" s="26"/>
      <c r="J95" s="28" t="str">
        <f t="shared" si="14"/>
        <v>1876</v>
      </c>
      <c r="K95" s="21" t="str">
        <f t="shared" si="9"/>
        <v>1876 · ECL Write Offs</v>
      </c>
      <c r="N95" s="24">
        <f>SUMIF('Final E-Banker TB Dec 2025'!$A$3:$A$192,J95,'Final E-Banker TB Dec 2025'!$G$3:$G$192)</f>
        <v>0</v>
      </c>
      <c r="O95" s="24">
        <f>SUMIF('Final E-Banker TB Dec 2025'!$A$3:$A$192,'TB December 2025   '!J95,'Final E-Banker TB Dec 2025'!$H$3:$H$192)</f>
        <v>22286434.32</v>
      </c>
      <c r="Q95" s="30">
        <f t="shared" si="15"/>
        <v>-22286434.32</v>
      </c>
      <c r="R95" s="30">
        <f t="shared" si="16"/>
        <v>0</v>
      </c>
      <c r="S95" s="30">
        <f t="shared" si="17"/>
        <v>-22286434.32</v>
      </c>
      <c r="V95" s="21" t="str">
        <f t="shared" si="10"/>
        <v>1876 · ECL Write Offs</v>
      </c>
      <c r="W95" s="25">
        <f t="shared" si="11"/>
        <v>160422115.12</v>
      </c>
    </row>
    <row r="96" spans="1:24" s="27" customFormat="1" ht="13">
      <c r="A96" s="20"/>
      <c r="B96" s="21" t="s">
        <v>103</v>
      </c>
      <c r="C96" s="22">
        <f t="shared" si="12"/>
        <v>-22012166.879999999</v>
      </c>
      <c r="D96" s="23"/>
      <c r="E96" s="22"/>
      <c r="F96" s="24"/>
      <c r="G96" s="49"/>
      <c r="H96" s="25">
        <f t="shared" si="13"/>
        <v>22012166.879999999</v>
      </c>
      <c r="I96" s="26"/>
      <c r="J96" s="28" t="str">
        <f t="shared" si="14"/>
        <v>2000</v>
      </c>
      <c r="K96" s="21" t="str">
        <f t="shared" si="9"/>
        <v>2000 · Accounts Payable</v>
      </c>
      <c r="N96" s="24">
        <f>SUMIF('Final E-Banker TB Dec 2025'!$A$3:$A$192,J96,'Final E-Banker TB Dec 2025'!$G$3:$G$192)</f>
        <v>0</v>
      </c>
      <c r="O96" s="24">
        <f>SUMIF('Final E-Banker TB Dec 2025'!$A$3:$A$192,'TB December 2025   '!J96,'Final E-Banker TB Dec 2025'!$H$3:$H$192)</f>
        <v>22012166.879999999</v>
      </c>
      <c r="Q96" s="30">
        <f t="shared" si="15"/>
        <v>-22012166.879999999</v>
      </c>
      <c r="R96" s="30">
        <f t="shared" si="16"/>
        <v>0</v>
      </c>
      <c r="S96" s="30">
        <f t="shared" si="17"/>
        <v>-22012166.879999999</v>
      </c>
      <c r="V96" s="21" t="str">
        <f t="shared" si="10"/>
        <v>2000 · Accounts Payable</v>
      </c>
      <c r="W96" s="25">
        <f t="shared" si="11"/>
        <v>22012166.879999999</v>
      </c>
    </row>
    <row r="97" spans="1:23" s="27" customFormat="1" ht="13">
      <c r="A97" s="20"/>
      <c r="B97" s="21" t="s">
        <v>104</v>
      </c>
      <c r="C97" s="22">
        <f t="shared" si="12"/>
        <v>0</v>
      </c>
      <c r="D97" s="23"/>
      <c r="E97" s="22"/>
      <c r="F97" s="24"/>
      <c r="G97" s="49"/>
      <c r="H97" s="25">
        <f t="shared" si="13"/>
        <v>0</v>
      </c>
      <c r="I97" s="26"/>
      <c r="J97" s="28" t="str">
        <f t="shared" si="14"/>
        <v>2001</v>
      </c>
      <c r="K97" s="21" t="str">
        <f t="shared" si="9"/>
        <v>2001 · Accounts Payable - USD</v>
      </c>
      <c r="N97" s="24">
        <f>SUMIF('Final E-Banker TB Dec 2025'!$A$3:$A$192,J97,'Final E-Banker TB Dec 2025'!$G$3:$G$192)</f>
        <v>0</v>
      </c>
      <c r="O97" s="24">
        <f>SUMIF('Final E-Banker TB Dec 2025'!$A$3:$A$192,'TB December 2025   '!J97,'Final E-Banker TB Dec 2025'!$H$3:$H$192)</f>
        <v>0</v>
      </c>
      <c r="Q97" s="30">
        <f t="shared" si="15"/>
        <v>0</v>
      </c>
      <c r="R97" s="30">
        <f t="shared" si="16"/>
        <v>0</v>
      </c>
      <c r="S97" s="30">
        <f t="shared" si="17"/>
        <v>0</v>
      </c>
      <c r="V97" s="21" t="str">
        <f t="shared" si="10"/>
        <v>2001 · Accounts Payable - USD</v>
      </c>
      <c r="W97" s="25">
        <f t="shared" si="11"/>
        <v>0</v>
      </c>
    </row>
    <row r="98" spans="1:23" s="27" customFormat="1" ht="13">
      <c r="A98" s="20"/>
      <c r="B98" s="21" t="s">
        <v>105</v>
      </c>
      <c r="C98" s="22">
        <f t="shared" si="12"/>
        <v>-0.03</v>
      </c>
      <c r="D98" s="23"/>
      <c r="E98" s="22"/>
      <c r="F98" s="24"/>
      <c r="G98" s="49"/>
      <c r="H98" s="25">
        <f t="shared" si="13"/>
        <v>0.03</v>
      </c>
      <c r="I98" s="26"/>
      <c r="J98" s="28" t="str">
        <f t="shared" si="14"/>
        <v>2002</v>
      </c>
      <c r="K98" s="21" t="str">
        <f t="shared" si="9"/>
        <v>2002 · Accounts Payable - ZAR</v>
      </c>
      <c r="N98" s="24">
        <f>SUMIF('Final E-Banker TB Dec 2025'!$A$3:$A$192,J98,'Final E-Banker TB Dec 2025'!$G$3:$G$192)</f>
        <v>0</v>
      </c>
      <c r="O98" s="24">
        <f>SUMIF('Final E-Banker TB Dec 2025'!$A$3:$A$192,'TB December 2025   '!J98,'Final E-Banker TB Dec 2025'!$H$3:$H$192)</f>
        <v>0.03</v>
      </c>
      <c r="Q98" s="30">
        <f t="shared" si="15"/>
        <v>-0.03</v>
      </c>
      <c r="R98" s="30">
        <f t="shared" si="16"/>
        <v>0</v>
      </c>
      <c r="S98" s="30">
        <f t="shared" si="17"/>
        <v>-0.03</v>
      </c>
      <c r="V98" s="21" t="str">
        <f t="shared" si="10"/>
        <v>2002 · Accounts Payable - ZAR</v>
      </c>
      <c r="W98" s="25">
        <f t="shared" si="11"/>
        <v>0.03</v>
      </c>
    </row>
    <row r="99" spans="1:23" s="27" customFormat="1" ht="13">
      <c r="A99" s="20"/>
      <c r="B99" s="21" t="s">
        <v>106</v>
      </c>
      <c r="C99" s="22">
        <f t="shared" si="12"/>
        <v>0</v>
      </c>
      <c r="D99" s="23"/>
      <c r="E99" s="22"/>
      <c r="F99" s="24"/>
      <c r="G99" s="49"/>
      <c r="H99" s="25">
        <f t="shared" si="13"/>
        <v>0</v>
      </c>
      <c r="I99" s="26"/>
      <c r="J99" s="28" t="str">
        <f t="shared" si="14"/>
        <v>2003</v>
      </c>
      <c r="K99" s="21" t="str">
        <f t="shared" si="9"/>
        <v>2003 · Capital Raising WIP Payables</v>
      </c>
      <c r="N99" s="24">
        <f>SUMIF('Final E-Banker TB Dec 2025'!$A$3:$A$192,J99,'Final E-Banker TB Dec 2025'!$G$3:$G$192)</f>
        <v>0</v>
      </c>
      <c r="O99" s="24">
        <f>SUMIF('Final E-Banker TB Dec 2025'!$A$3:$A$192,'TB December 2025   '!J99,'Final E-Banker TB Dec 2025'!$H$3:$H$192)</f>
        <v>0</v>
      </c>
      <c r="Q99" s="30">
        <f t="shared" si="15"/>
        <v>0</v>
      </c>
      <c r="R99" s="30">
        <f t="shared" si="16"/>
        <v>0</v>
      </c>
      <c r="S99" s="30">
        <f t="shared" si="17"/>
        <v>0</v>
      </c>
      <c r="V99" s="21" t="str">
        <f t="shared" si="10"/>
        <v>2003 · Capital Raising WIP Payables</v>
      </c>
      <c r="W99" s="25">
        <f t="shared" si="11"/>
        <v>0</v>
      </c>
    </row>
    <row r="100" spans="1:23" s="27" customFormat="1" ht="13">
      <c r="A100" s="20"/>
      <c r="B100" s="21" t="s">
        <v>107</v>
      </c>
      <c r="C100" s="22">
        <f t="shared" si="12"/>
        <v>22286434.32</v>
      </c>
      <c r="D100" s="23"/>
      <c r="E100" s="22"/>
      <c r="F100" s="24">
        <f>-138135680.8</f>
        <v>-138135680.80000001</v>
      </c>
      <c r="G100" s="49" t="s">
        <v>425</v>
      </c>
      <c r="H100" s="25">
        <f t="shared" si="13"/>
        <v>-160422115.12</v>
      </c>
      <c r="I100" s="26"/>
      <c r="J100" s="28" t="str">
        <f t="shared" si="14"/>
        <v>1064</v>
      </c>
      <c r="K100" s="21" t="str">
        <f t="shared" si="9"/>
        <v>1064 · Term Loans Write Offs</v>
      </c>
      <c r="N100" s="24">
        <f>SUMIF('Final E-Banker TB Dec 2025'!$A$3:$A$192,J100,'Final E-Banker TB Dec 2025'!$G$3:$G$192)</f>
        <v>22286434.32</v>
      </c>
      <c r="O100" s="24">
        <f>SUMIF('Final E-Banker TB Dec 2025'!$A$3:$A$192,'TB December 2025   '!J100,'Final E-Banker TB Dec 2025'!$H$3:$H$192)</f>
        <v>0</v>
      </c>
      <c r="Q100" s="30">
        <f t="shared" si="15"/>
        <v>0</v>
      </c>
      <c r="R100" s="30">
        <f t="shared" si="16"/>
        <v>22286434.32</v>
      </c>
      <c r="S100" s="30">
        <f t="shared" si="17"/>
        <v>22286434.32</v>
      </c>
      <c r="V100" s="21" t="str">
        <f t="shared" si="10"/>
        <v>1064 · Term Loans Write Offs</v>
      </c>
      <c r="W100" s="25">
        <f t="shared" si="11"/>
        <v>-160422115.12</v>
      </c>
    </row>
    <row r="101" spans="1:23" s="27" customFormat="1" ht="13">
      <c r="A101" s="20"/>
      <c r="B101" s="21" t="s">
        <v>108</v>
      </c>
      <c r="C101" s="22">
        <f t="shared" si="12"/>
        <v>0</v>
      </c>
      <c r="D101" s="23"/>
      <c r="E101" s="22"/>
      <c r="F101" s="24"/>
      <c r="G101" s="49"/>
      <c r="H101" s="25">
        <f t="shared" si="13"/>
        <v>0</v>
      </c>
      <c r="I101" s="26"/>
      <c r="J101" s="28" t="str">
        <f t="shared" si="14"/>
        <v>2010</v>
      </c>
      <c r="K101" s="21" t="str">
        <f t="shared" si="9"/>
        <v>2010 · Loan draw down account</v>
      </c>
      <c r="N101" s="24">
        <f>SUMIF('Final E-Banker TB Dec 2025'!$A$3:$A$192,J101,'Final E-Banker TB Dec 2025'!$G$3:$G$192)</f>
        <v>0</v>
      </c>
      <c r="O101" s="24">
        <f>SUMIF('Final E-Banker TB Dec 2025'!$A$3:$A$192,'TB December 2025   '!J101,'Final E-Banker TB Dec 2025'!$H$3:$H$192)</f>
        <v>0</v>
      </c>
      <c r="Q101" s="30">
        <f t="shared" si="15"/>
        <v>0</v>
      </c>
      <c r="R101" s="30">
        <f t="shared" si="16"/>
        <v>0</v>
      </c>
      <c r="S101" s="30">
        <f t="shared" si="17"/>
        <v>0</v>
      </c>
      <c r="V101" s="21" t="str">
        <f t="shared" si="10"/>
        <v>2010 · Loan draw down account</v>
      </c>
      <c r="W101" s="25">
        <f t="shared" si="11"/>
        <v>0</v>
      </c>
    </row>
    <row r="102" spans="1:23" s="27" customFormat="1" ht="13">
      <c r="A102" s="20"/>
      <c r="B102" s="21" t="s">
        <v>109</v>
      </c>
      <c r="C102" s="22">
        <f t="shared" si="12"/>
        <v>-26181588.190000001</v>
      </c>
      <c r="D102" s="23"/>
      <c r="E102" s="22"/>
      <c r="F102" s="24"/>
      <c r="G102" s="49"/>
      <c r="H102" s="25">
        <f t="shared" si="13"/>
        <v>26181588.190000001</v>
      </c>
      <c r="I102" s="26"/>
      <c r="J102" s="28" t="str">
        <f t="shared" si="14"/>
        <v>2030</v>
      </c>
      <c r="K102" s="21" t="str">
        <f t="shared" si="9"/>
        <v>2030 · Insurance Buffer</v>
      </c>
      <c r="N102" s="24">
        <f>SUMIF('Final E-Banker TB Dec 2025'!$A$3:$A$192,J102,'Final E-Banker TB Dec 2025'!$G$3:$G$192)</f>
        <v>0</v>
      </c>
      <c r="O102" s="24">
        <f>SUMIF('Final E-Banker TB Dec 2025'!$A$3:$A$192,'TB December 2025   '!J102,'Final E-Banker TB Dec 2025'!$H$3:$H$192)</f>
        <v>26181588.190000001</v>
      </c>
      <c r="Q102" s="30">
        <f t="shared" si="15"/>
        <v>-26181588.190000001</v>
      </c>
      <c r="R102" s="30">
        <f t="shared" si="16"/>
        <v>0</v>
      </c>
      <c r="S102" s="30">
        <f t="shared" si="17"/>
        <v>-26181588.190000001</v>
      </c>
      <c r="V102" s="21" t="str">
        <f t="shared" si="10"/>
        <v>2030 · Insurance Buffer</v>
      </c>
      <c r="W102" s="25">
        <f t="shared" si="11"/>
        <v>26181588.190000001</v>
      </c>
    </row>
    <row r="103" spans="1:23" s="27" customFormat="1" ht="13">
      <c r="A103" s="20"/>
      <c r="B103" s="21" t="s">
        <v>110</v>
      </c>
      <c r="C103" s="22">
        <f t="shared" si="12"/>
        <v>0</v>
      </c>
      <c r="D103" s="23"/>
      <c r="E103" s="22"/>
      <c r="F103" s="24"/>
      <c r="G103" s="49"/>
      <c r="H103" s="25">
        <f t="shared" si="13"/>
        <v>0</v>
      </c>
      <c r="I103" s="26"/>
      <c r="J103" s="28" t="str">
        <f t="shared" si="14"/>
        <v>2040</v>
      </c>
      <c r="K103" s="21" t="str">
        <f t="shared" si="9"/>
        <v>2040 · T-Bill Provision</v>
      </c>
      <c r="N103" s="24">
        <f>SUMIF('Final E-Banker TB Dec 2025'!$A$3:$A$192,J103,'Final E-Banker TB Dec 2025'!$G$3:$G$192)</f>
        <v>0</v>
      </c>
      <c r="O103" s="24">
        <f>SUMIF('Final E-Banker TB Dec 2025'!$A$3:$A$192,'TB December 2025   '!J103,'Final E-Banker TB Dec 2025'!$H$3:$H$192)</f>
        <v>0</v>
      </c>
      <c r="Q103" s="30">
        <f t="shared" si="15"/>
        <v>0</v>
      </c>
      <c r="R103" s="30">
        <f t="shared" si="16"/>
        <v>0</v>
      </c>
      <c r="S103" s="30">
        <f t="shared" si="17"/>
        <v>0</v>
      </c>
      <c r="V103" s="21" t="str">
        <f t="shared" si="10"/>
        <v>2040 · T-Bill Provision</v>
      </c>
      <c r="W103" s="25">
        <f t="shared" si="11"/>
        <v>0</v>
      </c>
    </row>
    <row r="104" spans="1:23" s="27" customFormat="1" ht="13">
      <c r="A104" s="20"/>
      <c r="B104" s="21" t="s">
        <v>111</v>
      </c>
      <c r="C104" s="22">
        <f t="shared" si="12"/>
        <v>-134819527.41999999</v>
      </c>
      <c r="D104" s="23"/>
      <c r="E104" s="22"/>
      <c r="F104" s="24">
        <f>61896238.64-79160536.02</f>
        <v>-17264297.379999995</v>
      </c>
      <c r="G104" s="49" t="s">
        <v>426</v>
      </c>
      <c r="H104" s="25">
        <f t="shared" si="13"/>
        <v>117555230.03999999</v>
      </c>
      <c r="I104" s="26"/>
      <c r="J104" s="28" t="str">
        <f t="shared" si="14"/>
        <v>2041</v>
      </c>
      <c r="K104" s="21" t="str">
        <f t="shared" si="9"/>
        <v>2041 · ECL Preference Shares</v>
      </c>
      <c r="M104" s="64"/>
      <c r="N104" s="24">
        <f>SUMIF('Final E-Banker TB Dec 2025'!$A$3:$A$192,J104,'Final E-Banker TB Dec 2025'!$G$3:$G$192)</f>
        <v>0</v>
      </c>
      <c r="O104" s="24">
        <f>SUMIF('Final E-Banker TB Dec 2025'!$A$3:$A$192,'TB December 2025   '!J104,'Final E-Banker TB Dec 2025'!$H$3:$H$192)</f>
        <v>134819527.41999999</v>
      </c>
      <c r="Q104" s="30">
        <f t="shared" si="15"/>
        <v>-134819527.41999999</v>
      </c>
      <c r="R104" s="30">
        <f t="shared" si="16"/>
        <v>0</v>
      </c>
      <c r="S104" s="30">
        <f t="shared" si="17"/>
        <v>-134819527.41999999</v>
      </c>
      <c r="V104" s="21" t="str">
        <f t="shared" si="10"/>
        <v>2041 · ECL Preference Shares</v>
      </c>
      <c r="W104" s="25">
        <f t="shared" si="11"/>
        <v>117555230.03999999</v>
      </c>
    </row>
    <row r="105" spans="1:23" s="27" customFormat="1" ht="13">
      <c r="A105" s="20"/>
      <c r="B105" s="21" t="s">
        <v>112</v>
      </c>
      <c r="C105" s="22">
        <f t="shared" si="12"/>
        <v>-3893096.47</v>
      </c>
      <c r="D105" s="23"/>
      <c r="E105" s="22"/>
      <c r="F105" s="24"/>
      <c r="G105" s="49"/>
      <c r="H105" s="25">
        <f t="shared" si="13"/>
        <v>3893096.47</v>
      </c>
      <c r="I105" s="26"/>
      <c r="J105" s="28" t="str">
        <f t="shared" si="14"/>
        <v>2042</v>
      </c>
      <c r="K105" s="21" t="str">
        <f t="shared" si="9"/>
        <v>2042 · ECL Staff Loans</v>
      </c>
      <c r="N105" s="24">
        <f>SUMIF('Final E-Banker TB Dec 2025'!$A$3:$A$192,J105,'Final E-Banker TB Dec 2025'!$G$3:$G$192)</f>
        <v>0</v>
      </c>
      <c r="O105" s="24">
        <f>SUMIF('Final E-Banker TB Dec 2025'!$A$3:$A$192,'TB December 2025   '!J105,'Final E-Banker TB Dec 2025'!$H$3:$H$192)</f>
        <v>3893096.47</v>
      </c>
      <c r="Q105" s="30">
        <f t="shared" si="15"/>
        <v>-3893096.47</v>
      </c>
      <c r="R105" s="30">
        <f t="shared" si="16"/>
        <v>0</v>
      </c>
      <c r="S105" s="30">
        <f t="shared" si="17"/>
        <v>-3893096.47</v>
      </c>
      <c r="V105" s="21" t="str">
        <f t="shared" si="10"/>
        <v>2042 · ECL Staff Loans</v>
      </c>
      <c r="W105" s="25">
        <f t="shared" si="11"/>
        <v>3893096.47</v>
      </c>
    </row>
    <row r="106" spans="1:23" s="27" customFormat="1" ht="13">
      <c r="A106" s="20"/>
      <c r="B106" s="21" t="s">
        <v>113</v>
      </c>
      <c r="C106" s="22">
        <f t="shared" si="12"/>
        <v>-573386.67000000004</v>
      </c>
      <c r="D106" s="23"/>
      <c r="E106" s="22"/>
      <c r="F106" s="24"/>
      <c r="G106" s="49"/>
      <c r="H106" s="25">
        <f t="shared" si="13"/>
        <v>573386.67000000004</v>
      </c>
      <c r="I106" s="26"/>
      <c r="J106" s="28" t="str">
        <f t="shared" si="14"/>
        <v>2043</v>
      </c>
      <c r="K106" s="21" t="str">
        <f t="shared" si="9"/>
        <v>2043 · ECL WHT Receivables</v>
      </c>
      <c r="N106" s="24">
        <f>SUMIF('Final E-Banker TB Dec 2025'!$A$3:$A$192,J106,'Final E-Banker TB Dec 2025'!$G$3:$G$192)</f>
        <v>0</v>
      </c>
      <c r="O106" s="24">
        <f>SUMIF('Final E-Banker TB Dec 2025'!$A$3:$A$192,'TB December 2025   '!J106,'Final E-Banker TB Dec 2025'!$H$3:$H$192)</f>
        <v>573386.67000000004</v>
      </c>
      <c r="Q106" s="30">
        <f t="shared" si="15"/>
        <v>-573386.67000000004</v>
      </c>
      <c r="R106" s="30">
        <f t="shared" si="16"/>
        <v>0</v>
      </c>
      <c r="S106" s="30">
        <f t="shared" si="17"/>
        <v>-573386.67000000004</v>
      </c>
      <c r="V106" s="21" t="str">
        <f t="shared" si="10"/>
        <v>2043 · ECL WHT Receivables</v>
      </c>
      <c r="W106" s="25">
        <f t="shared" si="11"/>
        <v>573386.67000000004</v>
      </c>
    </row>
    <row r="107" spans="1:23" s="27" customFormat="1" ht="13">
      <c r="A107" s="20"/>
      <c r="B107" s="21" t="s">
        <v>114</v>
      </c>
      <c r="C107" s="22">
        <f t="shared" si="12"/>
        <v>-206174294.03</v>
      </c>
      <c r="D107" s="23"/>
      <c r="E107" s="22"/>
      <c r="F107" s="24"/>
      <c r="G107" s="49"/>
      <c r="H107" s="25">
        <f t="shared" si="13"/>
        <v>206174294.03</v>
      </c>
      <c r="I107" s="26"/>
      <c r="J107" s="28" t="str">
        <f t="shared" si="14"/>
        <v>2051</v>
      </c>
      <c r="K107" s="21" t="str">
        <f t="shared" si="9"/>
        <v>2051 · Accruals and Provisions</v>
      </c>
      <c r="N107" s="24">
        <f>SUMIF('Final E-Banker TB Dec 2025'!$A$3:$A$192,J107,'Final E-Banker TB Dec 2025'!$G$3:$G$192)</f>
        <v>0</v>
      </c>
      <c r="O107" s="24">
        <f>SUMIF('Final E-Banker TB Dec 2025'!$A$3:$A$192,'TB December 2025   '!J107,'Final E-Banker TB Dec 2025'!$H$3:$H$192)</f>
        <v>206174294.03</v>
      </c>
      <c r="Q107" s="30">
        <f t="shared" si="15"/>
        <v>-206174294.03</v>
      </c>
      <c r="R107" s="30">
        <f t="shared" si="16"/>
        <v>0</v>
      </c>
      <c r="S107" s="30">
        <f t="shared" si="17"/>
        <v>-206174294.03</v>
      </c>
      <c r="V107" s="21" t="str">
        <f t="shared" si="10"/>
        <v>2051 · Accruals and Provisions</v>
      </c>
      <c r="W107" s="25">
        <f t="shared" si="11"/>
        <v>206174294.03</v>
      </c>
    </row>
    <row r="108" spans="1:23" s="27" customFormat="1" ht="13">
      <c r="A108" s="20"/>
      <c r="B108" s="21" t="s">
        <v>115</v>
      </c>
      <c r="C108" s="22">
        <f t="shared" si="12"/>
        <v>1993779612.78</v>
      </c>
      <c r="D108" s="23"/>
      <c r="E108" s="22"/>
      <c r="F108" s="54">
        <f>14100000</f>
        <v>14100000</v>
      </c>
      <c r="G108" s="49" t="s">
        <v>427</v>
      </c>
      <c r="H108" s="25">
        <f t="shared" si="13"/>
        <v>-1979679612.78</v>
      </c>
      <c r="I108" s="26"/>
      <c r="J108" s="28" t="str">
        <f t="shared" si="14"/>
        <v>2052</v>
      </c>
      <c r="K108" s="21" t="str">
        <f t="shared" si="9"/>
        <v>2052 · Malawi Revenue Authority- Other</v>
      </c>
      <c r="N108" s="24">
        <f>SUMIF('Final E-Banker TB Dec 2025'!$A$3:$A$192,J108,'Final E-Banker TB Dec 2025'!$G$3:$G$192)</f>
        <v>1993779612.78</v>
      </c>
      <c r="O108" s="24">
        <f>SUMIF('Final E-Banker TB Dec 2025'!$A$3:$A$192,'TB December 2025   '!J108,'Final E-Banker TB Dec 2025'!$H$3:$H$192)</f>
        <v>0</v>
      </c>
      <c r="Q108" s="30">
        <f t="shared" si="15"/>
        <v>0</v>
      </c>
      <c r="R108" s="30">
        <f t="shared" si="16"/>
        <v>1993779612.78</v>
      </c>
      <c r="S108" s="30">
        <f t="shared" si="17"/>
        <v>1993779612.78</v>
      </c>
      <c r="V108" s="21" t="str">
        <f t="shared" si="10"/>
        <v>2052 · Malawi Revenue Authority- Other</v>
      </c>
      <c r="W108" s="25">
        <f t="shared" si="11"/>
        <v>-1979679612.78</v>
      </c>
    </row>
    <row r="109" spans="1:23" s="27" customFormat="1" ht="13">
      <c r="A109" s="20"/>
      <c r="B109" s="21" t="s">
        <v>116</v>
      </c>
      <c r="C109" s="22">
        <f t="shared" si="12"/>
        <v>0</v>
      </c>
      <c r="D109" s="23"/>
      <c r="E109" s="22"/>
      <c r="F109" s="24"/>
      <c r="G109" s="49"/>
      <c r="H109" s="25">
        <f t="shared" si="13"/>
        <v>0</v>
      </c>
      <c r="I109" s="26"/>
      <c r="J109" s="28" t="str">
        <f t="shared" si="14"/>
        <v>2053</v>
      </c>
      <c r="K109" s="21" t="str">
        <f t="shared" si="9"/>
        <v>2053 · Lease Liability</v>
      </c>
      <c r="N109" s="24">
        <f>SUMIF('Final E-Banker TB Dec 2025'!$A$3:$A$192,J109,'Final E-Banker TB Dec 2025'!$G$3:$G$192)</f>
        <v>0</v>
      </c>
      <c r="O109" s="24">
        <f>SUMIF('Final E-Banker TB Dec 2025'!$A$3:$A$192,'TB December 2025   '!J109,'Final E-Banker TB Dec 2025'!$H$3:$H$192)</f>
        <v>0</v>
      </c>
      <c r="Q109" s="30">
        <f t="shared" si="15"/>
        <v>0</v>
      </c>
      <c r="R109" s="30">
        <f t="shared" si="16"/>
        <v>0</v>
      </c>
      <c r="S109" s="30">
        <f t="shared" si="17"/>
        <v>0</v>
      </c>
      <c r="V109" s="21" t="str">
        <f t="shared" si="10"/>
        <v>2053 · Lease Liability</v>
      </c>
      <c r="W109" s="25">
        <f t="shared" si="11"/>
        <v>0</v>
      </c>
    </row>
    <row r="110" spans="1:23" s="27" customFormat="1" ht="13">
      <c r="A110" s="20"/>
      <c r="B110" s="21" t="s">
        <v>117</v>
      </c>
      <c r="C110" s="22">
        <f t="shared" si="12"/>
        <v>-567870092.36000001</v>
      </c>
      <c r="D110" s="23"/>
      <c r="E110" s="22"/>
      <c r="F110" s="24">
        <f>-138135680.8-9960338.43+68706371.58</f>
        <v>-79389647.650000021</v>
      </c>
      <c r="G110" s="49" t="s">
        <v>426</v>
      </c>
      <c r="H110" s="25">
        <f t="shared" si="13"/>
        <v>488480444.70999998</v>
      </c>
      <c r="I110" s="26"/>
      <c r="J110" s="28" t="str">
        <f t="shared" si="14"/>
        <v>2055</v>
      </c>
      <c r="K110" s="21" t="str">
        <f t="shared" si="9"/>
        <v>2055 · Expected Credit Losses</v>
      </c>
      <c r="M110" s="65"/>
      <c r="N110" s="24">
        <f>SUMIF('Final E-Banker TB Dec 2025'!$A$3:$A$192,J110,'Final E-Banker TB Dec 2025'!$G$3:$G$192)</f>
        <v>0</v>
      </c>
      <c r="O110" s="24">
        <f>SUMIF('Final E-Banker TB Dec 2025'!$A$3:$A$192,'TB December 2025   '!J110,'Final E-Banker TB Dec 2025'!$H$3:$H$192)</f>
        <v>567870092.36000001</v>
      </c>
      <c r="Q110" s="30">
        <f t="shared" si="15"/>
        <v>-567870092.36000001</v>
      </c>
      <c r="R110" s="30">
        <f t="shared" si="16"/>
        <v>0</v>
      </c>
      <c r="S110" s="30">
        <f t="shared" si="17"/>
        <v>-567870092.36000001</v>
      </c>
      <c r="V110" s="21" t="str">
        <f t="shared" si="10"/>
        <v>2055 · Expected Credit Losses</v>
      </c>
      <c r="W110" s="25">
        <f t="shared" si="11"/>
        <v>488480444.70999998</v>
      </c>
    </row>
    <row r="111" spans="1:23" s="27" customFormat="1" ht="13">
      <c r="A111" s="20"/>
      <c r="B111" s="21" t="s">
        <v>118</v>
      </c>
      <c r="C111" s="22">
        <f t="shared" si="12"/>
        <v>-11611178.51</v>
      </c>
      <c r="D111" s="23"/>
      <c r="E111" s="22"/>
      <c r="F111" s="24">
        <f>38151106.27+291890.76-44566642.07</f>
        <v>-6123645.0399999991</v>
      </c>
      <c r="G111" s="49" t="s">
        <v>426</v>
      </c>
      <c r="H111" s="25">
        <f t="shared" si="13"/>
        <v>5487533.4700000007</v>
      </c>
      <c r="I111" s="26"/>
      <c r="J111" s="28" t="str">
        <f t="shared" si="14"/>
        <v>2056</v>
      </c>
      <c r="K111" s="21" t="str">
        <f t="shared" si="9"/>
        <v>2056 · ECL-Money Market Investments</v>
      </c>
      <c r="M111" s="64"/>
      <c r="N111" s="24">
        <f>SUMIF('Final E-Banker TB Dec 2025'!$A$3:$A$192,J111,'Final E-Banker TB Dec 2025'!$G$3:$G$192)</f>
        <v>0</v>
      </c>
      <c r="O111" s="24">
        <f>SUMIF('Final E-Banker TB Dec 2025'!$A$3:$A$192,'TB December 2025   '!J111,'Final E-Banker TB Dec 2025'!$H$3:$H$192)</f>
        <v>11611178.51</v>
      </c>
      <c r="Q111" s="30">
        <f t="shared" si="15"/>
        <v>-11611178.51</v>
      </c>
      <c r="R111" s="30">
        <f t="shared" si="16"/>
        <v>0</v>
      </c>
      <c r="S111" s="30">
        <f t="shared" si="17"/>
        <v>-11611178.51</v>
      </c>
      <c r="V111" s="21" t="str">
        <f t="shared" si="10"/>
        <v>2056 · ECL-Money Market Investments</v>
      </c>
      <c r="W111" s="25">
        <f t="shared" si="11"/>
        <v>5487533.4700000007</v>
      </c>
    </row>
    <row r="112" spans="1:23" s="27" customFormat="1" ht="13">
      <c r="A112" s="20"/>
      <c r="B112" s="21" t="s">
        <v>119</v>
      </c>
      <c r="C112" s="22">
        <f t="shared" si="12"/>
        <v>0</v>
      </c>
      <c r="D112" s="23"/>
      <c r="E112" s="22"/>
      <c r="F112" s="24"/>
      <c r="G112" s="49"/>
      <c r="H112" s="25">
        <f t="shared" si="13"/>
        <v>0</v>
      </c>
      <c r="I112" s="26"/>
      <c r="J112" s="28" t="str">
        <f t="shared" si="14"/>
        <v>2057</v>
      </c>
      <c r="K112" s="21" t="str">
        <f t="shared" si="9"/>
        <v>2057 · ECL Treasury Investments</v>
      </c>
      <c r="N112" s="24">
        <f>SUMIF('Final E-Banker TB Dec 2025'!$A$3:$A$192,J112,'Final E-Banker TB Dec 2025'!$G$3:$G$192)</f>
        <v>0</v>
      </c>
      <c r="O112" s="24">
        <f>SUMIF('Final E-Banker TB Dec 2025'!$A$3:$A$192,'TB December 2025   '!J112,'Final E-Banker TB Dec 2025'!$H$3:$H$192)</f>
        <v>0</v>
      </c>
      <c r="Q112" s="30">
        <f t="shared" si="15"/>
        <v>0</v>
      </c>
      <c r="R112" s="30">
        <f t="shared" si="16"/>
        <v>0</v>
      </c>
      <c r="S112" s="30">
        <f t="shared" si="17"/>
        <v>0</v>
      </c>
      <c r="V112" s="21" t="str">
        <f t="shared" si="10"/>
        <v>2057 · ECL Treasury Investments</v>
      </c>
      <c r="W112" s="25">
        <f t="shared" si="11"/>
        <v>0</v>
      </c>
    </row>
    <row r="113" spans="1:23" s="27" customFormat="1" ht="13">
      <c r="A113" s="20"/>
      <c r="B113" s="21" t="s">
        <v>120</v>
      </c>
      <c r="C113" s="22">
        <f t="shared" si="12"/>
        <v>-0.01</v>
      </c>
      <c r="D113" s="23"/>
      <c r="E113" s="22"/>
      <c r="F113" s="24"/>
      <c r="G113" s="49"/>
      <c r="H113" s="25">
        <f t="shared" si="13"/>
        <v>0.01</v>
      </c>
      <c r="I113" s="26"/>
      <c r="J113" s="28" t="str">
        <f t="shared" si="14"/>
        <v>2058</v>
      </c>
      <c r="K113" s="21" t="str">
        <f t="shared" si="9"/>
        <v>2058 · Salaries Control Account</v>
      </c>
      <c r="N113" s="24">
        <f>SUMIF('Final E-Banker TB Dec 2025'!$A$3:$A$192,J113,'Final E-Banker TB Dec 2025'!$G$3:$G$192)</f>
        <v>0</v>
      </c>
      <c r="O113" s="24">
        <f>SUMIF('Final E-Banker TB Dec 2025'!$A$3:$A$192,'TB December 2025   '!J113,'Final E-Banker TB Dec 2025'!$H$3:$H$192)</f>
        <v>0.01</v>
      </c>
      <c r="Q113" s="30">
        <f t="shared" si="15"/>
        <v>-0.01</v>
      </c>
      <c r="R113" s="30">
        <f t="shared" si="16"/>
        <v>0</v>
      </c>
      <c r="S113" s="30">
        <f t="shared" si="17"/>
        <v>-0.01</v>
      </c>
      <c r="V113" s="21" t="str">
        <f t="shared" si="10"/>
        <v>2058 · Salaries Control Account</v>
      </c>
      <c r="W113" s="25">
        <f t="shared" si="11"/>
        <v>0.01</v>
      </c>
    </row>
    <row r="114" spans="1:23" s="27" customFormat="1" ht="13">
      <c r="A114" s="20"/>
      <c r="B114" s="21" t="s">
        <v>121</v>
      </c>
      <c r="C114" s="22">
        <f t="shared" si="12"/>
        <v>-2340597262</v>
      </c>
      <c r="D114" s="23"/>
      <c r="E114" s="22"/>
      <c r="F114" s="24">
        <f>40861284195.2+16899951.48</f>
        <v>40878184146.68</v>
      </c>
      <c r="G114" s="49" t="s">
        <v>426</v>
      </c>
      <c r="H114" s="25">
        <f t="shared" si="13"/>
        <v>43218781408.68</v>
      </c>
      <c r="I114" s="26"/>
      <c r="J114" s="28" t="str">
        <f t="shared" si="14"/>
        <v>2059</v>
      </c>
      <c r="K114" s="21" t="str">
        <f t="shared" si="9"/>
        <v>2059 · Mega farm Loans ECL</v>
      </c>
      <c r="N114" s="24">
        <f>SUMIF('Final E-Banker TB Dec 2025'!$A$3:$A$192,J114,'Final E-Banker TB Dec 2025'!$G$3:$G$192)</f>
        <v>0</v>
      </c>
      <c r="O114" s="24">
        <f>SUMIF('Final E-Banker TB Dec 2025'!$A$3:$A$192,'TB December 2025   '!J114,'Final E-Banker TB Dec 2025'!$H$3:$H$192)</f>
        <v>2340597262</v>
      </c>
      <c r="Q114" s="30">
        <f t="shared" si="15"/>
        <v>-2340597262</v>
      </c>
      <c r="R114" s="30">
        <f t="shared" si="16"/>
        <v>0</v>
      </c>
      <c r="S114" s="30">
        <f t="shared" si="17"/>
        <v>-2340597262</v>
      </c>
      <c r="V114" s="21" t="str">
        <f t="shared" si="10"/>
        <v>2059 · Mega farm Loans ECL</v>
      </c>
      <c r="W114" s="25">
        <f t="shared" si="11"/>
        <v>43218781408.68</v>
      </c>
    </row>
    <row r="115" spans="1:23" s="27" customFormat="1" ht="13">
      <c r="A115" s="20"/>
      <c r="B115" s="21" t="s">
        <v>122</v>
      </c>
      <c r="C115" s="22">
        <f t="shared" si="12"/>
        <v>-2919163849.3000002</v>
      </c>
      <c r="D115" s="23"/>
      <c r="E115" s="22"/>
      <c r="F115" s="24">
        <f>-F90</f>
        <v>-1478749196</v>
      </c>
      <c r="G115" s="49" t="s">
        <v>424</v>
      </c>
      <c r="H115" s="25">
        <f t="shared" si="13"/>
        <v>1440414653.3000002</v>
      </c>
      <c r="I115" s="26"/>
      <c r="J115" s="28" t="str">
        <f t="shared" si="14"/>
        <v>2063</v>
      </c>
      <c r="K115" s="21" t="str">
        <f t="shared" si="9"/>
        <v>2063 · Undrawn Commitments MAIIC</v>
      </c>
      <c r="N115" s="24">
        <f>SUMIF('Final E-Banker TB Dec 2025'!$A$3:$A$192,J115,'Final E-Banker TB Dec 2025'!$G$3:$G$192)</f>
        <v>0</v>
      </c>
      <c r="O115" s="24">
        <f>SUMIF('Final E-Banker TB Dec 2025'!$A$3:$A$192,'TB December 2025   '!J115,'Final E-Banker TB Dec 2025'!$H$3:$H$192)</f>
        <v>2919163849.3000002</v>
      </c>
      <c r="Q115" s="30">
        <f t="shared" si="15"/>
        <v>-2919163849.3000002</v>
      </c>
      <c r="R115" s="30">
        <f t="shared" si="16"/>
        <v>0</v>
      </c>
      <c r="S115" s="30">
        <f t="shared" si="17"/>
        <v>-2919163849.3000002</v>
      </c>
      <c r="V115" s="21" t="str">
        <f t="shared" si="10"/>
        <v>2063 · Undrawn Commitments MAIIC</v>
      </c>
      <c r="W115" s="25">
        <f t="shared" si="11"/>
        <v>1440414653.3000002</v>
      </c>
    </row>
    <row r="116" spans="1:23" s="27" customFormat="1" ht="13">
      <c r="A116" s="20"/>
      <c r="B116" s="21" t="s">
        <v>123</v>
      </c>
      <c r="C116" s="22">
        <f t="shared" si="12"/>
        <v>-39568983.659999996</v>
      </c>
      <c r="D116" s="23"/>
      <c r="E116" s="22"/>
      <c r="F116" s="24">
        <f>-F91</f>
        <v>-319985261.21000004</v>
      </c>
      <c r="G116" s="49" t="s">
        <v>424</v>
      </c>
      <c r="H116" s="25">
        <f t="shared" si="13"/>
        <v>-280416277.55000007</v>
      </c>
      <c r="I116" s="26"/>
      <c r="J116" s="28" t="str">
        <f t="shared" si="14"/>
        <v>2064</v>
      </c>
      <c r="K116" s="21" t="str">
        <f t="shared" si="9"/>
        <v>2064 · Undrawn Commitments FInES</v>
      </c>
      <c r="N116" s="24">
        <f>SUMIF('Final E-Banker TB Dec 2025'!$A$3:$A$192,J116,'Final E-Banker TB Dec 2025'!$G$3:$G$192)</f>
        <v>0</v>
      </c>
      <c r="O116" s="24">
        <f>SUMIF('Final E-Banker TB Dec 2025'!$A$3:$A$192,'TB December 2025   '!J116,'Final E-Banker TB Dec 2025'!$H$3:$H$192)</f>
        <v>39568983.659999996</v>
      </c>
      <c r="Q116" s="30">
        <f t="shared" si="15"/>
        <v>-39568983.659999996</v>
      </c>
      <c r="R116" s="30">
        <f t="shared" si="16"/>
        <v>0</v>
      </c>
      <c r="S116" s="30">
        <f t="shared" si="17"/>
        <v>-39568983.659999996</v>
      </c>
      <c r="V116" s="21" t="str">
        <f t="shared" si="10"/>
        <v>2064 · Undrawn Commitments FInES</v>
      </c>
      <c r="W116" s="25">
        <f t="shared" si="11"/>
        <v>-280416277.55000007</v>
      </c>
    </row>
    <row r="117" spans="1:23" s="27" customFormat="1" ht="13">
      <c r="A117" s="20"/>
      <c r="B117" s="21" t="s">
        <v>124</v>
      </c>
      <c r="C117" s="22">
        <f t="shared" si="12"/>
        <v>-40847815</v>
      </c>
      <c r="D117" s="23"/>
      <c r="E117" s="22"/>
      <c r="F117" s="24"/>
      <c r="G117" s="49"/>
      <c r="H117" s="25">
        <f t="shared" si="13"/>
        <v>40847815</v>
      </c>
      <c r="I117" s="26"/>
      <c r="J117" s="28" t="str">
        <f t="shared" si="14"/>
        <v>2065</v>
      </c>
      <c r="K117" s="21" t="str">
        <f t="shared" si="9"/>
        <v>2065 · Guarantees- MAIIC</v>
      </c>
      <c r="N117" s="24">
        <f>SUMIF('Final E-Banker TB Dec 2025'!$A$3:$A$192,J117,'Final E-Banker TB Dec 2025'!$G$3:$G$192)</f>
        <v>0</v>
      </c>
      <c r="O117" s="24">
        <f>SUMIF('Final E-Banker TB Dec 2025'!$A$3:$A$192,'TB December 2025   '!J117,'Final E-Banker TB Dec 2025'!$H$3:$H$192)</f>
        <v>40847815</v>
      </c>
      <c r="Q117" s="30">
        <f t="shared" si="15"/>
        <v>-40847815</v>
      </c>
      <c r="R117" s="30">
        <f t="shared" si="16"/>
        <v>0</v>
      </c>
      <c r="S117" s="30">
        <f t="shared" si="17"/>
        <v>-40847815</v>
      </c>
      <c r="V117" s="21" t="str">
        <f t="shared" si="10"/>
        <v>2065 · Guarantees- MAIIC</v>
      </c>
      <c r="W117" s="25">
        <f t="shared" si="11"/>
        <v>40847815</v>
      </c>
    </row>
    <row r="118" spans="1:23" s="27" customFormat="1" ht="13">
      <c r="A118" s="20"/>
      <c r="B118" s="21" t="s">
        <v>125</v>
      </c>
      <c r="C118" s="22">
        <f t="shared" si="12"/>
        <v>-1338483000</v>
      </c>
      <c r="D118" s="23"/>
      <c r="E118" s="22"/>
      <c r="F118" s="24"/>
      <c r="G118" s="49"/>
      <c r="H118" s="25">
        <f t="shared" si="13"/>
        <v>1338483000</v>
      </c>
      <c r="I118" s="26"/>
      <c r="J118" s="28" t="str">
        <f t="shared" si="14"/>
        <v>2068</v>
      </c>
      <c r="K118" s="21" t="str">
        <f t="shared" si="9"/>
        <v>2068 · Guarantees FInES</v>
      </c>
      <c r="N118" s="24">
        <f>SUMIF('Final E-Banker TB Dec 2025'!$A$3:$A$192,J118,'Final E-Banker TB Dec 2025'!$G$3:$G$192)</f>
        <v>0</v>
      </c>
      <c r="O118" s="24">
        <f>SUMIF('Final E-Banker TB Dec 2025'!$A$3:$A$192,'TB December 2025   '!J118,'Final E-Banker TB Dec 2025'!$H$3:$H$192)</f>
        <v>1338483000</v>
      </c>
      <c r="Q118" s="30">
        <f t="shared" si="15"/>
        <v>-1338483000</v>
      </c>
      <c r="R118" s="30">
        <f t="shared" si="16"/>
        <v>0</v>
      </c>
      <c r="S118" s="30">
        <f t="shared" si="17"/>
        <v>-1338483000</v>
      </c>
      <c r="V118" s="21" t="str">
        <f t="shared" si="10"/>
        <v>2068 · Guarantees FInES</v>
      </c>
      <c r="W118" s="25">
        <f t="shared" si="11"/>
        <v>1338483000</v>
      </c>
    </row>
    <row r="119" spans="1:23" s="27" customFormat="1" ht="13">
      <c r="A119" s="20"/>
      <c r="B119" s="21" t="s">
        <v>126</v>
      </c>
      <c r="C119" s="22">
        <f t="shared" si="12"/>
        <v>-170064000</v>
      </c>
      <c r="D119" s="23"/>
      <c r="E119" s="22"/>
      <c r="F119" s="24"/>
      <c r="G119" s="49"/>
      <c r="H119" s="25">
        <f t="shared" si="13"/>
        <v>170064000</v>
      </c>
      <c r="I119" s="26"/>
      <c r="J119" s="28" t="str">
        <f t="shared" si="14"/>
        <v>2069</v>
      </c>
      <c r="K119" s="21" t="str">
        <f t="shared" si="9"/>
        <v>2069 · Guarantees-AGCOM</v>
      </c>
      <c r="N119" s="24">
        <f>SUMIF('Final E-Banker TB Dec 2025'!$A$3:$A$192,J119,'Final E-Banker TB Dec 2025'!$G$3:$G$192)</f>
        <v>0</v>
      </c>
      <c r="O119" s="24">
        <f>SUMIF('Final E-Banker TB Dec 2025'!$A$3:$A$192,'TB December 2025   '!J119,'Final E-Banker TB Dec 2025'!$H$3:$H$192)</f>
        <v>170064000</v>
      </c>
      <c r="Q119" s="30">
        <f t="shared" si="15"/>
        <v>-170064000</v>
      </c>
      <c r="R119" s="30">
        <f t="shared" si="16"/>
        <v>0</v>
      </c>
      <c r="S119" s="30">
        <f t="shared" si="17"/>
        <v>-170064000</v>
      </c>
      <c r="V119" s="21" t="str">
        <f t="shared" si="10"/>
        <v>2069 · Guarantees-AGCOM</v>
      </c>
      <c r="W119" s="25">
        <f t="shared" si="11"/>
        <v>170064000</v>
      </c>
    </row>
    <row r="120" spans="1:23" s="27" customFormat="1" ht="13">
      <c r="A120" s="20"/>
      <c r="B120" s="21" t="s">
        <v>127</v>
      </c>
      <c r="C120" s="22">
        <f t="shared" si="12"/>
        <v>-6420655693.1599998</v>
      </c>
      <c r="D120" s="23"/>
      <c r="E120" s="22"/>
      <c r="F120" s="24"/>
      <c r="G120" s="49"/>
      <c r="H120" s="25">
        <f t="shared" si="13"/>
        <v>6420655693.1599998</v>
      </c>
      <c r="I120" s="26"/>
      <c r="J120" s="28" t="str">
        <f t="shared" si="14"/>
        <v>2071</v>
      </c>
      <c r="K120" s="21" t="str">
        <f t="shared" si="9"/>
        <v>2071 · Mega Farm Loans Interest</v>
      </c>
      <c r="N120" s="24">
        <f>SUMIF('Final E-Banker TB Dec 2025'!$A$3:$A$192,J120,'Final E-Banker TB Dec 2025'!$G$3:$G$192)</f>
        <v>0</v>
      </c>
      <c r="O120" s="24">
        <f>SUMIF('Final E-Banker TB Dec 2025'!$A$3:$A$192,'TB December 2025   '!J120,'Final E-Banker TB Dec 2025'!$H$3:$H$192)</f>
        <v>6420655693.1599998</v>
      </c>
      <c r="Q120" s="30">
        <f t="shared" si="15"/>
        <v>-6420655693.1599998</v>
      </c>
      <c r="R120" s="30">
        <f t="shared" si="16"/>
        <v>0</v>
      </c>
      <c r="S120" s="30">
        <f t="shared" si="17"/>
        <v>-6420655693.1599998</v>
      </c>
      <c r="V120" s="21" t="str">
        <f t="shared" si="10"/>
        <v>2071 · Mega Farm Loans Interest</v>
      </c>
      <c r="W120" s="25">
        <f t="shared" si="11"/>
        <v>6420655693.1599998</v>
      </c>
    </row>
    <row r="121" spans="1:23" s="27" customFormat="1" ht="13">
      <c r="A121" s="20"/>
      <c r="B121" s="21" t="s">
        <v>128</v>
      </c>
      <c r="C121" s="22">
        <f t="shared" si="12"/>
        <v>-29580247098.459999</v>
      </c>
      <c r="D121" s="23"/>
      <c r="E121" s="22"/>
      <c r="F121" s="24"/>
      <c r="G121" s="49"/>
      <c r="H121" s="25">
        <f t="shared" si="13"/>
        <v>29580247098.459999</v>
      </c>
      <c r="I121" s="26"/>
      <c r="J121" s="28" t="str">
        <f t="shared" si="14"/>
        <v>2072</v>
      </c>
      <c r="K121" s="21" t="str">
        <f t="shared" si="9"/>
        <v>2072 · Mega Farm waiting Funding</v>
      </c>
      <c r="N121" s="24">
        <f>SUMIF('Final E-Banker TB Dec 2025'!$A$3:$A$192,J121,'Final E-Banker TB Dec 2025'!$G$3:$G$192)</f>
        <v>0</v>
      </c>
      <c r="O121" s="24">
        <f>SUMIF('Final E-Banker TB Dec 2025'!$A$3:$A$192,'TB December 2025   '!J121,'Final E-Banker TB Dec 2025'!$H$3:$H$192)</f>
        <v>29580247098.459999</v>
      </c>
      <c r="Q121" s="30">
        <f t="shared" si="15"/>
        <v>-29580247098.459999</v>
      </c>
      <c r="R121" s="30">
        <f t="shared" si="16"/>
        <v>0</v>
      </c>
      <c r="S121" s="30">
        <f t="shared" si="17"/>
        <v>-29580247098.459999</v>
      </c>
      <c r="V121" s="21" t="str">
        <f t="shared" si="10"/>
        <v>2072 · Mega Farm waiting Funding</v>
      </c>
      <c r="W121" s="25">
        <f t="shared" si="11"/>
        <v>29580247098.459999</v>
      </c>
    </row>
    <row r="122" spans="1:23" s="27" customFormat="1" ht="13">
      <c r="A122" s="20"/>
      <c r="B122" s="21" t="s">
        <v>129</v>
      </c>
      <c r="C122" s="22">
        <f t="shared" si="12"/>
        <v>0</v>
      </c>
      <c r="D122" s="23"/>
      <c r="E122" s="22"/>
      <c r="F122" s="24"/>
      <c r="G122" s="49"/>
      <c r="H122" s="25">
        <f t="shared" si="13"/>
        <v>0</v>
      </c>
      <c r="I122" s="26"/>
      <c r="J122" s="28" t="str">
        <f t="shared" si="14"/>
        <v>2553</v>
      </c>
      <c r="K122" s="21" t="str">
        <f t="shared" si="9"/>
        <v>2553 · Malawi Revenue Authority-VAT</v>
      </c>
      <c r="N122" s="24">
        <f>SUMIF('Final E-Banker TB Dec 2025'!$A$3:$A$192,J122,'Final E-Banker TB Dec 2025'!$G$3:$G$192)</f>
        <v>0</v>
      </c>
      <c r="O122" s="24">
        <f>SUMIF('Final E-Banker TB Dec 2025'!$A$3:$A$192,'TB December 2025   '!J122,'Final E-Banker TB Dec 2025'!$H$3:$H$192)</f>
        <v>0</v>
      </c>
      <c r="Q122" s="30">
        <f t="shared" si="15"/>
        <v>0</v>
      </c>
      <c r="R122" s="30">
        <f t="shared" si="16"/>
        <v>0</v>
      </c>
      <c r="S122" s="30">
        <f t="shared" si="17"/>
        <v>0</v>
      </c>
      <c r="V122" s="21" t="str">
        <f t="shared" si="10"/>
        <v>2553 · Malawi Revenue Authority-VAT</v>
      </c>
      <c r="W122" s="25">
        <f t="shared" si="11"/>
        <v>0</v>
      </c>
    </row>
    <row r="123" spans="1:23" s="27" customFormat="1" ht="12" customHeight="1">
      <c r="A123" s="20"/>
      <c r="B123" s="21" t="s">
        <v>130</v>
      </c>
      <c r="C123" s="22">
        <f t="shared" si="12"/>
        <v>-39061781.439999998</v>
      </c>
      <c r="D123" s="23"/>
      <c r="E123" s="22"/>
      <c r="F123" s="24"/>
      <c r="G123" s="49"/>
      <c r="H123" s="25">
        <f t="shared" si="13"/>
        <v>39061781.439999998</v>
      </c>
      <c r="I123" s="26"/>
      <c r="J123" s="28" t="str">
        <f t="shared" si="14"/>
        <v>2554</v>
      </c>
      <c r="K123" s="21" t="str">
        <f t="shared" si="9"/>
        <v>2554 · MRA Liabilities</v>
      </c>
      <c r="N123" s="24">
        <f>SUMIF('Final E-Banker TB Dec 2025'!$A$3:$A$192,J123,'Final E-Banker TB Dec 2025'!$G$3:$G$192)</f>
        <v>0</v>
      </c>
      <c r="O123" s="24">
        <f>SUMIF('Final E-Banker TB Dec 2025'!$A$3:$A$192,'TB December 2025   '!J123,'Final E-Banker TB Dec 2025'!$H$3:$H$192)</f>
        <v>39061781.439999998</v>
      </c>
      <c r="Q123" s="30">
        <f t="shared" si="15"/>
        <v>-39061781.439999998</v>
      </c>
      <c r="R123" s="30">
        <f t="shared" si="16"/>
        <v>0</v>
      </c>
      <c r="S123" s="30">
        <f t="shared" si="17"/>
        <v>-39061781.439999998</v>
      </c>
      <c r="V123" s="21" t="str">
        <f t="shared" si="10"/>
        <v>2554 · MRA Liabilities</v>
      </c>
      <c r="W123" s="25">
        <f t="shared" si="11"/>
        <v>39061781.439999998</v>
      </c>
    </row>
    <row r="124" spans="1:23" s="27" customFormat="1" ht="13">
      <c r="A124" s="20"/>
      <c r="B124" s="21" t="s">
        <v>131</v>
      </c>
      <c r="C124" s="22">
        <f t="shared" si="12"/>
        <v>-20533346143.720001</v>
      </c>
      <c r="D124" s="23"/>
      <c r="E124" s="22"/>
      <c r="F124" s="24">
        <f>65816099.63+3601030.13</f>
        <v>69417129.760000005</v>
      </c>
      <c r="G124" s="49" t="s">
        <v>428</v>
      </c>
      <c r="H124" s="25">
        <f t="shared" si="13"/>
        <v>20602763273.48</v>
      </c>
      <c r="I124" s="26"/>
      <c r="J124" s="28" t="str">
        <f t="shared" si="14"/>
        <v>2060</v>
      </c>
      <c r="K124" s="21" t="str">
        <f t="shared" si="9"/>
        <v>2060 · FInES Liability</v>
      </c>
      <c r="N124" s="24">
        <f>SUMIF('Final E-Banker TB Dec 2025'!$A$3:$A$192,J124,'Final E-Banker TB Dec 2025'!$G$3:$G$192)</f>
        <v>0</v>
      </c>
      <c r="O124" s="24">
        <f>SUMIF('Final E-Banker TB Dec 2025'!$A$3:$A$192,'TB December 2025   '!J124,'Final E-Banker TB Dec 2025'!$H$3:$H$192)</f>
        <v>20533346143.720001</v>
      </c>
      <c r="Q124" s="30">
        <f t="shared" si="15"/>
        <v>-20533346143.720001</v>
      </c>
      <c r="R124" s="30">
        <f t="shared" si="16"/>
        <v>0</v>
      </c>
      <c r="S124" s="30">
        <f t="shared" si="17"/>
        <v>-20533346143.720001</v>
      </c>
      <c r="V124" s="21" t="str">
        <f t="shared" si="10"/>
        <v>2060 · FInES Liability</v>
      </c>
      <c r="W124" s="25">
        <f t="shared" si="11"/>
        <v>20602763273.48</v>
      </c>
    </row>
    <row r="125" spans="1:23" s="27" customFormat="1" ht="13">
      <c r="A125" s="20"/>
      <c r="B125" s="21" t="s">
        <v>132</v>
      </c>
      <c r="C125" s="22">
        <f t="shared" si="12"/>
        <v>-1953426788.24</v>
      </c>
      <c r="D125" s="23"/>
      <c r="E125" s="22"/>
      <c r="F125" s="24"/>
      <c r="G125" s="49"/>
      <c r="H125" s="25">
        <f t="shared" si="13"/>
        <v>1953426788.24</v>
      </c>
      <c r="I125" s="26"/>
      <c r="J125" s="28" t="str">
        <f t="shared" si="14"/>
        <v>2061</v>
      </c>
      <c r="K125" s="21" t="str">
        <f t="shared" si="9"/>
        <v>2061 · AGCOM Liability- USD</v>
      </c>
      <c r="N125" s="24">
        <f>SUMIF('Final E-Banker TB Dec 2025'!$A$3:$A$192,J125,'Final E-Banker TB Dec 2025'!$G$3:$G$192)</f>
        <v>0</v>
      </c>
      <c r="O125" s="24">
        <f>SUMIF('Final E-Banker TB Dec 2025'!$A$3:$A$192,'TB December 2025   '!J125,'Final E-Banker TB Dec 2025'!$H$3:$H$192)</f>
        <v>1953426788.24</v>
      </c>
      <c r="Q125" s="30">
        <f t="shared" si="15"/>
        <v>-1953426788.24</v>
      </c>
      <c r="R125" s="30">
        <f t="shared" si="16"/>
        <v>0</v>
      </c>
      <c r="S125" s="30">
        <f t="shared" si="17"/>
        <v>-1953426788.24</v>
      </c>
      <c r="V125" s="21" t="str">
        <f t="shared" si="10"/>
        <v>2061 · AGCOM Liability- USD</v>
      </c>
      <c r="W125" s="25">
        <f t="shared" si="11"/>
        <v>1953426788.24</v>
      </c>
    </row>
    <row r="126" spans="1:23" s="27" customFormat="1" ht="13">
      <c r="A126" s="20"/>
      <c r="B126" s="21" t="s">
        <v>133</v>
      </c>
      <c r="C126" s="22">
        <f t="shared" si="12"/>
        <v>0</v>
      </c>
      <c r="D126" s="23"/>
      <c r="E126" s="22"/>
      <c r="F126" s="24"/>
      <c r="G126" s="49"/>
      <c r="H126" s="25">
        <f t="shared" si="13"/>
        <v>0</v>
      </c>
      <c r="I126" s="26"/>
      <c r="J126" s="28" t="str">
        <f t="shared" si="14"/>
        <v>2062</v>
      </c>
      <c r="K126" s="21" t="str">
        <f t="shared" si="9"/>
        <v>2062 · Deferred Income</v>
      </c>
      <c r="N126" s="24">
        <f>SUMIF('Final E-Banker TB Dec 2025'!$A$3:$A$192,J126,'Final E-Banker TB Dec 2025'!$G$3:$G$192)</f>
        <v>0</v>
      </c>
      <c r="O126" s="24">
        <f>SUMIF('Final E-Banker TB Dec 2025'!$A$3:$A$192,'TB December 2025   '!J126,'Final E-Banker TB Dec 2025'!$H$3:$H$192)</f>
        <v>0</v>
      </c>
      <c r="Q126" s="30">
        <f t="shared" si="15"/>
        <v>0</v>
      </c>
      <c r="R126" s="30">
        <f t="shared" si="16"/>
        <v>0</v>
      </c>
      <c r="S126" s="30">
        <f t="shared" si="17"/>
        <v>0</v>
      </c>
      <c r="V126" s="21" t="str">
        <f t="shared" si="10"/>
        <v>2062 · Deferred Income</v>
      </c>
      <c r="W126" s="25">
        <f t="shared" si="11"/>
        <v>0</v>
      </c>
    </row>
    <row r="127" spans="1:23" s="27" customFormat="1" ht="13">
      <c r="A127" s="20"/>
      <c r="B127" s="21" t="s">
        <v>134</v>
      </c>
      <c r="C127" s="22">
        <f t="shared" si="12"/>
        <v>-20914266967.830002</v>
      </c>
      <c r="D127" s="23"/>
      <c r="E127" s="22"/>
      <c r="F127" s="24"/>
      <c r="G127" s="49"/>
      <c r="H127" s="25">
        <f t="shared" si="13"/>
        <v>20914266967.830002</v>
      </c>
      <c r="I127" s="26"/>
      <c r="J127" s="28" t="str">
        <f t="shared" si="14"/>
        <v>2070</v>
      </c>
      <c r="K127" s="21" t="str">
        <f t="shared" si="9"/>
        <v>2070 · Mega Farms- Liability</v>
      </c>
      <c r="N127" s="24">
        <f>SUMIF('Final E-Banker TB Dec 2025'!$A$3:$A$192,J127,'Final E-Banker TB Dec 2025'!$G$3:$G$192)</f>
        <v>0</v>
      </c>
      <c r="O127" s="24">
        <f>SUMIF('Final E-Banker TB Dec 2025'!$A$3:$A$192,'TB December 2025   '!J127,'Final E-Banker TB Dec 2025'!$H$3:$H$192)</f>
        <v>20914266967.830002</v>
      </c>
      <c r="Q127" s="30">
        <f t="shared" si="15"/>
        <v>-20914266967.830002</v>
      </c>
      <c r="R127" s="30">
        <f t="shared" si="16"/>
        <v>0</v>
      </c>
      <c r="S127" s="30">
        <f t="shared" si="17"/>
        <v>-20914266967.830002</v>
      </c>
      <c r="V127" s="21" t="str">
        <f t="shared" si="10"/>
        <v>2070 · Mega Farms- Liability</v>
      </c>
      <c r="W127" s="25">
        <f t="shared" si="11"/>
        <v>20914266967.830002</v>
      </c>
    </row>
    <row r="128" spans="1:23" s="27" customFormat="1" ht="13">
      <c r="A128" s="20"/>
      <c r="B128" s="21" t="s">
        <v>135</v>
      </c>
      <c r="C128" s="22">
        <f t="shared" si="12"/>
        <v>-11300000000</v>
      </c>
      <c r="D128" s="23"/>
      <c r="E128" s="22"/>
      <c r="F128" s="24"/>
      <c r="G128" s="49"/>
      <c r="H128" s="25">
        <f t="shared" si="13"/>
        <v>11300000000</v>
      </c>
      <c r="I128" s="26"/>
      <c r="J128" s="28">
        <v>3001</v>
      </c>
      <c r="K128" s="21" t="str">
        <f t="shared" si="9"/>
        <v>3000 · Share Capital Account:3001 · Malawi Government</v>
      </c>
      <c r="N128" s="24">
        <f>SUMIF('Final E-Banker TB Dec 2025'!$A$3:$A$192,J128,'Final E-Banker TB Dec 2025'!$G$3:$G$192)</f>
        <v>0</v>
      </c>
      <c r="O128" s="24">
        <f>SUMIF('Final E-Banker TB Dec 2025'!$A$3:$A$192,'TB December 2025   '!J128,'Final E-Banker TB Dec 2025'!$H$3:$H$192)</f>
        <v>11300000000</v>
      </c>
      <c r="Q128" s="30">
        <f t="shared" si="15"/>
        <v>-11300000000</v>
      </c>
      <c r="R128" s="30">
        <f t="shared" si="16"/>
        <v>0</v>
      </c>
      <c r="S128" s="30">
        <f t="shared" si="17"/>
        <v>-11300000000</v>
      </c>
      <c r="V128" s="21" t="str">
        <f t="shared" si="10"/>
        <v>3000 · Share Capital Account:3001 · Malawi Government</v>
      </c>
      <c r="W128" s="25">
        <f t="shared" si="11"/>
        <v>11300000000</v>
      </c>
    </row>
    <row r="129" spans="1:23" s="27" customFormat="1" ht="13">
      <c r="A129" s="20"/>
      <c r="B129" s="21" t="s">
        <v>136</v>
      </c>
      <c r="C129" s="22">
        <f t="shared" si="12"/>
        <v>-552224104.22000003</v>
      </c>
      <c r="D129" s="23"/>
      <c r="E129" s="22"/>
      <c r="F129" s="24"/>
      <c r="G129" s="49"/>
      <c r="H129" s="25">
        <f t="shared" si="13"/>
        <v>552224104.22000003</v>
      </c>
      <c r="I129" s="26"/>
      <c r="J129" s="28">
        <v>3002</v>
      </c>
      <c r="K129" s="21" t="str">
        <f t="shared" si="9"/>
        <v>3000 · Share Capital Account:3002 · CDH Investment Bank</v>
      </c>
      <c r="N129" s="24">
        <f>SUMIF('Final E-Banker TB Dec 2025'!$A$3:$A$192,J129,'Final E-Banker TB Dec 2025'!$G$3:$G$192)</f>
        <v>0</v>
      </c>
      <c r="O129" s="24">
        <f>SUMIF('Final E-Banker TB Dec 2025'!$A$3:$A$192,'TB December 2025   '!J129,'Final E-Banker TB Dec 2025'!$H$3:$H$192)</f>
        <v>552224104.22000003</v>
      </c>
      <c r="Q129" s="30">
        <f t="shared" si="15"/>
        <v>-552224104.22000003</v>
      </c>
      <c r="R129" s="30">
        <f t="shared" si="16"/>
        <v>0</v>
      </c>
      <c r="S129" s="30">
        <f t="shared" si="17"/>
        <v>-552224104.22000003</v>
      </c>
      <c r="V129" s="21" t="str">
        <f t="shared" si="10"/>
        <v>3000 · Share Capital Account:3002 · CDH Investment Bank</v>
      </c>
      <c r="W129" s="25">
        <f t="shared" si="11"/>
        <v>552224104.22000003</v>
      </c>
    </row>
    <row r="130" spans="1:23" s="27" customFormat="1" ht="13">
      <c r="A130" s="20"/>
      <c r="B130" s="21" t="s">
        <v>137</v>
      </c>
      <c r="C130" s="22">
        <f t="shared" si="12"/>
        <v>-94989241.769999996</v>
      </c>
      <c r="D130" s="23"/>
      <c r="E130" s="22"/>
      <c r="F130" s="24"/>
      <c r="G130" s="49"/>
      <c r="H130" s="25">
        <f t="shared" si="13"/>
        <v>94989241.769999996</v>
      </c>
      <c r="I130" s="26"/>
      <c r="J130" s="28">
        <v>3003</v>
      </c>
      <c r="K130" s="21" t="str">
        <f t="shared" si="9"/>
        <v>3000 · Share Capital Account:3003 · Investment Alliance</v>
      </c>
      <c r="N130" s="24">
        <f>SUMIF('Final E-Banker TB Dec 2025'!$A$3:$A$192,J130,'Final E-Banker TB Dec 2025'!$G$3:$G$192)</f>
        <v>0</v>
      </c>
      <c r="O130" s="24">
        <f>SUMIF('Final E-Banker TB Dec 2025'!$A$3:$A$192,'TB December 2025   '!J130,'Final E-Banker TB Dec 2025'!$H$3:$H$192)</f>
        <v>94989241.769999996</v>
      </c>
      <c r="Q130" s="30">
        <f t="shared" si="15"/>
        <v>-94989241.769999996</v>
      </c>
      <c r="R130" s="30">
        <f t="shared" si="16"/>
        <v>0</v>
      </c>
      <c r="S130" s="30">
        <f t="shared" si="17"/>
        <v>-94989241.769999996</v>
      </c>
      <c r="V130" s="21" t="str">
        <f t="shared" si="10"/>
        <v>3000 · Share Capital Account:3003 · Investment Alliance</v>
      </c>
      <c r="W130" s="25">
        <f t="shared" si="11"/>
        <v>94989241.769999996</v>
      </c>
    </row>
    <row r="131" spans="1:23" s="27" customFormat="1" ht="13">
      <c r="A131" s="20"/>
      <c r="B131" s="21" t="s">
        <v>138</v>
      </c>
      <c r="C131" s="22">
        <f t="shared" si="12"/>
        <v>0</v>
      </c>
      <c r="D131" s="23"/>
      <c r="E131" s="22"/>
      <c r="F131" s="24"/>
      <c r="G131" s="49"/>
      <c r="H131" s="25">
        <f t="shared" si="13"/>
        <v>0</v>
      </c>
      <c r="I131" s="26"/>
      <c r="J131" s="28">
        <v>3011</v>
      </c>
      <c r="K131" s="21" t="str">
        <f t="shared" ref="K131:K194" si="18">B131</f>
        <v>3010 · Capital contribution:3011 · CDH Investment Bank Limited</v>
      </c>
      <c r="N131" s="24">
        <f>SUMIF('Final E-Banker TB Dec 2025'!$A$3:$A$192,J131,'Final E-Banker TB Dec 2025'!$G$3:$G$192)</f>
        <v>0</v>
      </c>
      <c r="O131" s="24">
        <f>SUMIF('Final E-Banker TB Dec 2025'!$A$3:$A$192,'TB December 2025   '!J131,'Final E-Banker TB Dec 2025'!$H$3:$H$192)</f>
        <v>0</v>
      </c>
      <c r="Q131" s="30">
        <f t="shared" si="15"/>
        <v>0</v>
      </c>
      <c r="R131" s="30">
        <f t="shared" si="16"/>
        <v>0</v>
      </c>
      <c r="S131" s="30">
        <f t="shared" si="17"/>
        <v>0</v>
      </c>
      <c r="V131" s="21" t="str">
        <f t="shared" ref="V131:V194" si="19">B131</f>
        <v>3010 · Capital contribution:3011 · CDH Investment Bank Limited</v>
      </c>
      <c r="W131" s="25">
        <f t="shared" ref="W131:W194" si="20">H131</f>
        <v>0</v>
      </c>
    </row>
    <row r="132" spans="1:23" s="27" customFormat="1" ht="13">
      <c r="A132" s="20"/>
      <c r="B132" s="21" t="s">
        <v>139</v>
      </c>
      <c r="C132" s="22">
        <f t="shared" ref="C132:C195" si="21">S132</f>
        <v>0</v>
      </c>
      <c r="D132" s="23"/>
      <c r="E132" s="22"/>
      <c r="F132" s="24"/>
      <c r="G132" s="49"/>
      <c r="H132" s="25">
        <f t="shared" ref="H132:H195" si="22">E132-C132+F132</f>
        <v>0</v>
      </c>
      <c r="I132" s="26"/>
      <c r="J132" s="28">
        <v>3012</v>
      </c>
      <c r="K132" s="21" t="str">
        <f t="shared" si="18"/>
        <v>3010 · Capital contribution:3012 · Malawi Government</v>
      </c>
      <c r="N132" s="24">
        <f>SUMIF('Final E-Banker TB Dec 2025'!$A$3:$A$192,J132,'Final E-Banker TB Dec 2025'!$G$3:$G$192)</f>
        <v>0</v>
      </c>
      <c r="O132" s="24">
        <f>SUMIF('Final E-Banker TB Dec 2025'!$A$3:$A$192,'TB December 2025   '!J132,'Final E-Banker TB Dec 2025'!$H$3:$H$192)</f>
        <v>0</v>
      </c>
      <c r="Q132" s="30">
        <f t="shared" ref="Q132:Q195" si="23">-O132</f>
        <v>0</v>
      </c>
      <c r="R132" s="30">
        <f t="shared" ref="R132:R195" si="24">N132</f>
        <v>0</v>
      </c>
      <c r="S132" s="30">
        <f t="shared" ref="S132:S195" si="25">Q132+R132</f>
        <v>0</v>
      </c>
      <c r="V132" s="21" t="str">
        <f t="shared" si="19"/>
        <v>3010 · Capital contribution:3012 · Malawi Government</v>
      </c>
      <c r="W132" s="25">
        <f t="shared" si="20"/>
        <v>0</v>
      </c>
    </row>
    <row r="133" spans="1:23" s="27" customFormat="1" ht="13">
      <c r="A133" s="20"/>
      <c r="B133" s="21" t="s">
        <v>140</v>
      </c>
      <c r="C133" s="22">
        <f t="shared" si="21"/>
        <v>0</v>
      </c>
      <c r="D133" s="23"/>
      <c r="E133" s="22"/>
      <c r="F133" s="24"/>
      <c r="G133" s="49"/>
      <c r="H133" s="25">
        <f t="shared" si="22"/>
        <v>0</v>
      </c>
      <c r="I133" s="26"/>
      <c r="J133" s="28">
        <v>3013</v>
      </c>
      <c r="K133" s="21" t="str">
        <f t="shared" si="18"/>
        <v>3010 · Capital contribution:3013 · Investment Alliance</v>
      </c>
      <c r="N133" s="24">
        <f>SUMIF('Final E-Banker TB Dec 2025'!$A$3:$A$192,J133,'Final E-Banker TB Dec 2025'!$G$3:$G$192)</f>
        <v>0</v>
      </c>
      <c r="O133" s="24">
        <f>SUMIF('Final E-Banker TB Dec 2025'!$A$3:$A$192,'TB December 2025   '!J133,'Final E-Banker TB Dec 2025'!$H$3:$H$192)</f>
        <v>0</v>
      </c>
      <c r="Q133" s="30">
        <f t="shared" si="23"/>
        <v>0</v>
      </c>
      <c r="R133" s="30">
        <f t="shared" si="24"/>
        <v>0</v>
      </c>
      <c r="S133" s="30">
        <f t="shared" si="25"/>
        <v>0</v>
      </c>
      <c r="V133" s="21" t="str">
        <f t="shared" si="19"/>
        <v>3010 · Capital contribution:3013 · Investment Alliance</v>
      </c>
      <c r="W133" s="25">
        <f t="shared" si="20"/>
        <v>0</v>
      </c>
    </row>
    <row r="134" spans="1:23" s="27" customFormat="1" ht="13">
      <c r="A134" s="20"/>
      <c r="B134" s="21" t="s">
        <v>141</v>
      </c>
      <c r="C134" s="22">
        <f t="shared" si="21"/>
        <v>-175025895.78</v>
      </c>
      <c r="D134" s="23"/>
      <c r="E134" s="22"/>
      <c r="G134" s="52"/>
      <c r="H134" s="25">
        <f t="shared" si="22"/>
        <v>175025895.78</v>
      </c>
      <c r="I134" s="26"/>
      <c r="J134" s="28">
        <v>3014</v>
      </c>
      <c r="K134" s="21" t="str">
        <f t="shared" si="18"/>
        <v>3020 · Share Premium Account:3014 · CDH Investment Bank Limited</v>
      </c>
      <c r="N134" s="24">
        <f>SUMIF('Final E-Banker TB Dec 2025'!$A$3:$A$192,J134,'Final E-Banker TB Dec 2025'!$G$3:$G$192)</f>
        <v>0</v>
      </c>
      <c r="O134" s="24">
        <f>SUMIF('Final E-Banker TB Dec 2025'!$A$3:$A$192,'TB December 2025   '!J134,'Final E-Banker TB Dec 2025'!$H$3:$H$192)</f>
        <v>175025895.78</v>
      </c>
      <c r="Q134" s="30">
        <f t="shared" si="23"/>
        <v>-175025895.78</v>
      </c>
      <c r="R134" s="30">
        <f t="shared" si="24"/>
        <v>0</v>
      </c>
      <c r="S134" s="30">
        <f t="shared" si="25"/>
        <v>-175025895.78</v>
      </c>
      <c r="V134" s="21" t="str">
        <f t="shared" si="19"/>
        <v>3020 · Share Premium Account:3014 · CDH Investment Bank Limited</v>
      </c>
      <c r="W134" s="25">
        <f t="shared" si="20"/>
        <v>175025895.78</v>
      </c>
    </row>
    <row r="135" spans="1:23" s="27" customFormat="1" ht="13">
      <c r="A135" s="20"/>
      <c r="B135" s="21" t="s">
        <v>142</v>
      </c>
      <c r="C135" s="22">
        <f t="shared" si="21"/>
        <v>-105010758.23</v>
      </c>
      <c r="D135" s="23"/>
      <c r="E135" s="22"/>
      <c r="F135" s="24"/>
      <c r="G135" s="49"/>
      <c r="H135" s="25">
        <f t="shared" si="22"/>
        <v>105010758.23</v>
      </c>
      <c r="I135" s="26"/>
      <c r="J135" s="28">
        <v>3015</v>
      </c>
      <c r="K135" s="21" t="str">
        <f t="shared" si="18"/>
        <v>3020 · Share Premium Account:3015 · Investment Alliance</v>
      </c>
      <c r="N135" s="24">
        <f>SUMIF('Final E-Banker TB Dec 2025'!$A$3:$A$192,J135,'Final E-Banker TB Dec 2025'!$G$3:$G$192)</f>
        <v>0</v>
      </c>
      <c r="O135" s="24">
        <f>SUMIF('Final E-Banker TB Dec 2025'!$A$3:$A$192,'TB December 2025   '!J135,'Final E-Banker TB Dec 2025'!$H$3:$H$192)</f>
        <v>105010758.23</v>
      </c>
      <c r="Q135" s="30">
        <f t="shared" si="23"/>
        <v>-105010758.23</v>
      </c>
      <c r="R135" s="30">
        <f t="shared" si="24"/>
        <v>0</v>
      </c>
      <c r="S135" s="30">
        <f t="shared" si="25"/>
        <v>-105010758.23</v>
      </c>
      <c r="V135" s="21" t="str">
        <f t="shared" si="19"/>
        <v>3020 · Share Premium Account:3015 · Investment Alliance</v>
      </c>
      <c r="W135" s="25">
        <f t="shared" si="20"/>
        <v>105010758.23</v>
      </c>
    </row>
    <row r="136" spans="1:23" s="27" customFormat="1" ht="13">
      <c r="A136" s="20"/>
      <c r="B136" s="21" t="s">
        <v>143</v>
      </c>
      <c r="C136" s="22">
        <f t="shared" si="21"/>
        <v>0</v>
      </c>
      <c r="D136" s="23"/>
      <c r="E136" s="22"/>
      <c r="F136" s="24"/>
      <c r="G136" s="49"/>
      <c r="H136" s="25">
        <f t="shared" si="22"/>
        <v>0</v>
      </c>
      <c r="I136" s="26"/>
      <c r="J136" s="28" t="str">
        <f t="shared" ref="J136:J199" si="26">LEFT(K136,4)</f>
        <v>3060</v>
      </c>
      <c r="K136" s="21" t="str">
        <f t="shared" si="18"/>
        <v>3060 · Mbora Limited</v>
      </c>
      <c r="N136" s="24">
        <f>SUMIF('Final E-Banker TB Dec 2025'!$A$3:$A$192,J136,'Final E-Banker TB Dec 2025'!$G$3:$G$192)</f>
        <v>0</v>
      </c>
      <c r="O136" s="24">
        <f>SUMIF('Final E-Banker TB Dec 2025'!$A$3:$A$192,'TB December 2025   '!J136,'Final E-Banker TB Dec 2025'!$H$3:$H$192)</f>
        <v>0</v>
      </c>
      <c r="Q136" s="30">
        <f t="shared" si="23"/>
        <v>0</v>
      </c>
      <c r="R136" s="30">
        <f t="shared" si="24"/>
        <v>0</v>
      </c>
      <c r="S136" s="30">
        <f t="shared" si="25"/>
        <v>0</v>
      </c>
      <c r="V136" s="21" t="str">
        <f t="shared" si="19"/>
        <v>3060 · Mbora Limited</v>
      </c>
      <c r="W136" s="25">
        <f t="shared" si="20"/>
        <v>0</v>
      </c>
    </row>
    <row r="137" spans="1:23" s="27" customFormat="1" ht="13">
      <c r="A137" s="20"/>
      <c r="B137" s="21" t="s">
        <v>144</v>
      </c>
      <c r="C137" s="22">
        <f t="shared" si="21"/>
        <v>182929000.44</v>
      </c>
      <c r="D137" s="23"/>
      <c r="E137" s="22"/>
      <c r="F137" s="24"/>
      <c r="G137" s="49"/>
      <c r="H137" s="25">
        <f t="shared" si="22"/>
        <v>-182929000.44</v>
      </c>
      <c r="I137" s="26"/>
      <c r="J137" s="28" t="str">
        <f t="shared" si="26"/>
        <v>3061</v>
      </c>
      <c r="K137" s="21" t="str">
        <f t="shared" si="18"/>
        <v>3061 · MMC Limited</v>
      </c>
      <c r="N137" s="24">
        <f>SUMIF('Final E-Banker TB Dec 2025'!$A$3:$A$192,J137,'Final E-Banker TB Dec 2025'!$G$3:$G$192)</f>
        <v>182929000.44</v>
      </c>
      <c r="O137" s="24">
        <f>SUMIF('Final E-Banker TB Dec 2025'!$A$3:$A$192,'TB December 2025   '!J137,'Final E-Banker TB Dec 2025'!$H$3:$H$192)</f>
        <v>0</v>
      </c>
      <c r="Q137" s="30">
        <f t="shared" si="23"/>
        <v>0</v>
      </c>
      <c r="R137" s="30">
        <f t="shared" si="24"/>
        <v>182929000.44</v>
      </c>
      <c r="S137" s="30">
        <f t="shared" si="25"/>
        <v>182929000.44</v>
      </c>
      <c r="V137" s="21" t="str">
        <f t="shared" si="19"/>
        <v>3061 · MMC Limited</v>
      </c>
      <c r="W137" s="25">
        <f t="shared" si="20"/>
        <v>-182929000.44</v>
      </c>
    </row>
    <row r="138" spans="1:23" s="27" customFormat="1" ht="13">
      <c r="A138" s="20"/>
      <c r="B138" s="21" t="s">
        <v>145</v>
      </c>
      <c r="C138" s="22">
        <f t="shared" si="21"/>
        <v>210065735</v>
      </c>
      <c r="D138" s="23"/>
      <c r="E138" s="22"/>
      <c r="F138" s="24"/>
      <c r="G138" s="49"/>
      <c r="H138" s="25">
        <f t="shared" si="22"/>
        <v>-210065735</v>
      </c>
      <c r="I138" s="26"/>
      <c r="J138" s="28" t="str">
        <f t="shared" si="26"/>
        <v>3062</v>
      </c>
      <c r="K138" s="21" t="str">
        <f t="shared" si="18"/>
        <v>3062 · Wijays Enterprise</v>
      </c>
      <c r="N138" s="24">
        <f>SUMIF('Final E-Banker TB Dec 2025'!$A$3:$A$192,J138,'Final E-Banker TB Dec 2025'!$G$3:$G$192)</f>
        <v>210065735</v>
      </c>
      <c r="O138" s="24">
        <f>SUMIF('Final E-Banker TB Dec 2025'!$A$3:$A$192,'TB December 2025   '!J138,'Final E-Banker TB Dec 2025'!$H$3:$H$192)</f>
        <v>0</v>
      </c>
      <c r="Q138" s="30">
        <f t="shared" si="23"/>
        <v>0</v>
      </c>
      <c r="R138" s="30">
        <f t="shared" si="24"/>
        <v>210065735</v>
      </c>
      <c r="S138" s="30">
        <f t="shared" si="25"/>
        <v>210065735</v>
      </c>
      <c r="V138" s="21" t="str">
        <f t="shared" si="19"/>
        <v>3062 · Wijays Enterprise</v>
      </c>
      <c r="W138" s="25">
        <f t="shared" si="20"/>
        <v>-210065735</v>
      </c>
    </row>
    <row r="139" spans="1:23" s="27" customFormat="1" ht="13">
      <c r="A139" s="20"/>
      <c r="B139" s="21" t="s">
        <v>146</v>
      </c>
      <c r="C139" s="22">
        <f t="shared" si="21"/>
        <v>1125625000</v>
      </c>
      <c r="D139" s="23"/>
      <c r="E139" s="22"/>
      <c r="F139" s="24"/>
      <c r="G139" s="49"/>
      <c r="H139" s="25">
        <f t="shared" si="22"/>
        <v>-1125625000</v>
      </c>
      <c r="I139" s="26"/>
      <c r="J139" s="28" t="str">
        <f t="shared" si="26"/>
        <v>3063</v>
      </c>
      <c r="K139" s="21" t="str">
        <f t="shared" si="18"/>
        <v>3063 · Good Hope Private Clinic Limite</v>
      </c>
      <c r="N139" s="24">
        <f>SUMIF('Final E-Banker TB Dec 2025'!$A$3:$A$192,J139,'Final E-Banker TB Dec 2025'!$G$3:$G$192)</f>
        <v>1125625000</v>
      </c>
      <c r="O139" s="24">
        <f>SUMIF('Final E-Banker TB Dec 2025'!$A$3:$A$192,'TB December 2025   '!J139,'Final E-Banker TB Dec 2025'!$H$3:$H$192)</f>
        <v>0</v>
      </c>
      <c r="Q139" s="30">
        <f t="shared" si="23"/>
        <v>0</v>
      </c>
      <c r="R139" s="30">
        <f t="shared" si="24"/>
        <v>1125625000</v>
      </c>
      <c r="S139" s="30">
        <f t="shared" si="25"/>
        <v>1125625000</v>
      </c>
      <c r="V139" s="21" t="str">
        <f t="shared" si="19"/>
        <v>3063 · Good Hope Private Clinic Limite</v>
      </c>
      <c r="W139" s="25">
        <f t="shared" si="20"/>
        <v>-1125625000</v>
      </c>
    </row>
    <row r="140" spans="1:23" s="27" customFormat="1" ht="13">
      <c r="A140" s="20"/>
      <c r="B140" s="21" t="s">
        <v>147</v>
      </c>
      <c r="C140" s="22">
        <f t="shared" si="21"/>
        <v>0</v>
      </c>
      <c r="D140" s="23"/>
      <c r="E140" s="22"/>
      <c r="F140" s="24"/>
      <c r="G140" s="49"/>
      <c r="H140" s="25">
        <f t="shared" si="22"/>
        <v>0</v>
      </c>
      <c r="I140" s="26"/>
      <c r="J140" s="28" t="str">
        <f t="shared" si="26"/>
        <v>3064</v>
      </c>
      <c r="K140" s="21" t="str">
        <f t="shared" si="18"/>
        <v>3064 · IFRS 16 Transaction Adjust</v>
      </c>
      <c r="N140" s="24">
        <f>SUMIF('Final E-Banker TB Dec 2025'!$A$3:$A$192,J140,'Final E-Banker TB Dec 2025'!$G$3:$G$192)</f>
        <v>0</v>
      </c>
      <c r="O140" s="24">
        <f>SUMIF('Final E-Banker TB Dec 2025'!$A$3:$A$192,'TB December 2025   '!J140,'Final E-Banker TB Dec 2025'!$H$3:$H$192)</f>
        <v>0</v>
      </c>
      <c r="Q140" s="30">
        <f t="shared" si="23"/>
        <v>0</v>
      </c>
      <c r="R140" s="30">
        <f t="shared" si="24"/>
        <v>0</v>
      </c>
      <c r="S140" s="30">
        <f t="shared" si="25"/>
        <v>0</v>
      </c>
      <c r="V140" s="21" t="str">
        <f t="shared" si="19"/>
        <v>3064 · IFRS 16 Transaction Adjust</v>
      </c>
      <c r="W140" s="25">
        <f t="shared" si="20"/>
        <v>0</v>
      </c>
    </row>
    <row r="141" spans="1:23" s="27" customFormat="1" ht="13">
      <c r="A141" s="20"/>
      <c r="B141" s="21" t="s">
        <v>148</v>
      </c>
      <c r="C141" s="22">
        <f t="shared" si="21"/>
        <v>2064285713</v>
      </c>
      <c r="D141" s="23"/>
      <c r="E141" s="22"/>
      <c r="F141" s="24"/>
      <c r="G141" s="49"/>
      <c r="H141" s="25">
        <f t="shared" si="22"/>
        <v>-2064285713</v>
      </c>
      <c r="I141" s="26"/>
      <c r="J141" s="28" t="str">
        <f t="shared" si="26"/>
        <v>3065</v>
      </c>
      <c r="K141" s="21" t="str">
        <f t="shared" si="18"/>
        <v>3065 · NASCOMEX Limited</v>
      </c>
      <c r="N141" s="24">
        <f>SUMIF('Final E-Banker TB Dec 2025'!$A$3:$A$192,J141,'Final E-Banker TB Dec 2025'!$G$3:$G$192)</f>
        <v>2064285713</v>
      </c>
      <c r="O141" s="24">
        <f>SUMIF('Final E-Banker TB Dec 2025'!$A$3:$A$192,'TB December 2025   '!J141,'Final E-Banker TB Dec 2025'!$H$3:$H$192)</f>
        <v>0</v>
      </c>
      <c r="Q141" s="30">
        <f t="shared" si="23"/>
        <v>0</v>
      </c>
      <c r="R141" s="30">
        <f t="shared" si="24"/>
        <v>2064285713</v>
      </c>
      <c r="S141" s="30">
        <f t="shared" si="25"/>
        <v>2064285713</v>
      </c>
      <c r="V141" s="21" t="str">
        <f t="shared" si="19"/>
        <v>3065 · NASCOMEX Limited</v>
      </c>
      <c r="W141" s="25">
        <f t="shared" si="20"/>
        <v>-2064285713</v>
      </c>
    </row>
    <row r="142" spans="1:23" s="27" customFormat="1" ht="13">
      <c r="A142" s="20"/>
      <c r="B142" s="21" t="s">
        <v>149</v>
      </c>
      <c r="C142" s="22">
        <f t="shared" si="21"/>
        <v>400000000</v>
      </c>
      <c r="D142" s="23"/>
      <c r="E142" s="22"/>
      <c r="F142" s="24"/>
      <c r="G142" s="49"/>
      <c r="H142" s="25">
        <f t="shared" si="22"/>
        <v>-400000000</v>
      </c>
      <c r="I142" s="26"/>
      <c r="J142" s="28" t="str">
        <f t="shared" si="26"/>
        <v>3067</v>
      </c>
      <c r="K142" s="21" t="str">
        <f t="shared" si="18"/>
        <v>3067 · Natures Gift</v>
      </c>
      <c r="N142" s="24">
        <f>SUMIF('Final E-Banker TB Dec 2025'!$A$3:$A$192,J142,'Final E-Banker TB Dec 2025'!$G$3:$G$192)</f>
        <v>400000000</v>
      </c>
      <c r="O142" s="24">
        <f>SUMIF('Final E-Banker TB Dec 2025'!$A$3:$A$192,'TB December 2025   '!J142,'Final E-Banker TB Dec 2025'!$H$3:$H$192)</f>
        <v>0</v>
      </c>
      <c r="Q142" s="30">
        <f t="shared" si="23"/>
        <v>0</v>
      </c>
      <c r="R142" s="30">
        <f t="shared" si="24"/>
        <v>400000000</v>
      </c>
      <c r="S142" s="30">
        <f t="shared" si="25"/>
        <v>400000000</v>
      </c>
      <c r="V142" s="21" t="str">
        <f t="shared" si="19"/>
        <v>3067 · Natures Gift</v>
      </c>
      <c r="W142" s="25">
        <f t="shared" si="20"/>
        <v>-400000000</v>
      </c>
    </row>
    <row r="143" spans="1:23" s="27" customFormat="1" ht="13">
      <c r="A143" s="20"/>
      <c r="B143" s="21" t="s">
        <v>150</v>
      </c>
      <c r="C143" s="22">
        <f t="shared" si="21"/>
        <v>200000000</v>
      </c>
      <c r="D143" s="23"/>
      <c r="E143" s="22"/>
      <c r="F143" s="24"/>
      <c r="G143" s="49"/>
      <c r="H143" s="25">
        <f t="shared" si="22"/>
        <v>-200000000</v>
      </c>
      <c r="I143" s="26"/>
      <c r="J143" s="28" t="str">
        <f t="shared" si="26"/>
        <v>3068</v>
      </c>
      <c r="K143" s="21" t="str">
        <f t="shared" si="18"/>
        <v>3068 · Small Farm Cities Africa Ltd</v>
      </c>
      <c r="N143" s="24">
        <f>SUMIF('Final E-Banker TB Dec 2025'!$A$3:$A$192,J143,'Final E-Banker TB Dec 2025'!$G$3:$G$192)</f>
        <v>200000000</v>
      </c>
      <c r="O143" s="24">
        <f>SUMIF('Final E-Banker TB Dec 2025'!$A$3:$A$192,'TB December 2025   '!J143,'Final E-Banker TB Dec 2025'!$H$3:$H$192)</f>
        <v>0</v>
      </c>
      <c r="Q143" s="30">
        <f t="shared" si="23"/>
        <v>0</v>
      </c>
      <c r="R143" s="30">
        <f t="shared" si="24"/>
        <v>200000000</v>
      </c>
      <c r="S143" s="30">
        <f t="shared" si="25"/>
        <v>200000000</v>
      </c>
      <c r="V143" s="21" t="str">
        <f t="shared" si="19"/>
        <v>3068 · Small Farm Cities Africa Ltd</v>
      </c>
      <c r="W143" s="25">
        <f t="shared" si="20"/>
        <v>-200000000</v>
      </c>
    </row>
    <row r="144" spans="1:23" s="27" customFormat="1" ht="13">
      <c r="A144" s="20"/>
      <c r="B144" s="21" t="s">
        <v>151</v>
      </c>
      <c r="C144" s="22">
        <f t="shared" si="21"/>
        <v>400000000</v>
      </c>
      <c r="D144" s="23"/>
      <c r="E144" s="22"/>
      <c r="F144" s="24"/>
      <c r="G144" s="49"/>
      <c r="H144" s="25">
        <f t="shared" si="22"/>
        <v>-400000000</v>
      </c>
      <c r="I144" s="26"/>
      <c r="J144" s="28" t="str">
        <f t="shared" si="26"/>
        <v>3069</v>
      </c>
      <c r="K144" s="21" t="str">
        <f t="shared" si="18"/>
        <v>3069 · Kwalingana Investments Limited</v>
      </c>
      <c r="N144" s="24">
        <f>SUMIF('Final E-Banker TB Dec 2025'!$A$3:$A$192,J144,'Final E-Banker TB Dec 2025'!$G$3:$G$192)</f>
        <v>400000000</v>
      </c>
      <c r="O144" s="24">
        <f>SUMIF('Final E-Banker TB Dec 2025'!$A$3:$A$192,'TB December 2025   '!J144,'Final E-Banker TB Dec 2025'!$H$3:$H$192)</f>
        <v>0</v>
      </c>
      <c r="Q144" s="30">
        <f t="shared" si="23"/>
        <v>0</v>
      </c>
      <c r="R144" s="30">
        <f t="shared" si="24"/>
        <v>400000000</v>
      </c>
      <c r="S144" s="30">
        <f t="shared" si="25"/>
        <v>400000000</v>
      </c>
      <c r="V144" s="21" t="str">
        <f t="shared" si="19"/>
        <v>3069 · Kwalingana Investments Limited</v>
      </c>
      <c r="W144" s="25">
        <f t="shared" si="20"/>
        <v>-400000000</v>
      </c>
    </row>
    <row r="145" spans="1:23" s="27" customFormat="1" ht="13">
      <c r="A145" s="20"/>
      <c r="B145" s="21" t="s">
        <v>152</v>
      </c>
      <c r="C145" s="22">
        <f t="shared" si="21"/>
        <v>2100000000</v>
      </c>
      <c r="D145" s="23"/>
      <c r="E145" s="22"/>
      <c r="F145" s="24"/>
      <c r="G145" s="49"/>
      <c r="H145" s="25">
        <f t="shared" si="22"/>
        <v>-2100000000</v>
      </c>
      <c r="I145" s="26"/>
      <c r="J145" s="28" t="str">
        <f t="shared" si="26"/>
        <v>3071</v>
      </c>
      <c r="K145" s="21" t="str">
        <f t="shared" si="18"/>
        <v>3071 · Napoleon Dzombe T/A Santhe Busi</v>
      </c>
      <c r="N145" s="24">
        <f>SUMIF('Final E-Banker TB Dec 2025'!$A$3:$A$192,J145,'Final E-Banker TB Dec 2025'!$G$3:$G$192)</f>
        <v>2100000000</v>
      </c>
      <c r="O145" s="24">
        <f>SUMIF('Final E-Banker TB Dec 2025'!$A$3:$A$192,'TB December 2025   '!J145,'Final E-Banker TB Dec 2025'!$H$3:$H$192)</f>
        <v>0</v>
      </c>
      <c r="Q145" s="30">
        <f t="shared" si="23"/>
        <v>0</v>
      </c>
      <c r="R145" s="30">
        <f t="shared" si="24"/>
        <v>2100000000</v>
      </c>
      <c r="S145" s="30">
        <f t="shared" si="25"/>
        <v>2100000000</v>
      </c>
      <c r="V145" s="21" t="str">
        <f t="shared" si="19"/>
        <v>3071 · Napoleon Dzombe T/A Santhe Busi</v>
      </c>
      <c r="W145" s="25">
        <f t="shared" si="20"/>
        <v>-2100000000</v>
      </c>
    </row>
    <row r="146" spans="1:23" s="27" customFormat="1" ht="13">
      <c r="A146" s="20"/>
      <c r="B146" s="21" t="s">
        <v>153</v>
      </c>
      <c r="C146" s="22">
        <f t="shared" si="21"/>
        <v>-10085045704.74</v>
      </c>
      <c r="D146" s="23"/>
      <c r="E146" s="22"/>
      <c r="F146" s="24"/>
      <c r="G146" s="49"/>
      <c r="H146" s="25">
        <f t="shared" si="22"/>
        <v>10085045704.74</v>
      </c>
      <c r="I146" s="26"/>
      <c r="J146" s="28" t="str">
        <f t="shared" si="26"/>
        <v>3200</v>
      </c>
      <c r="K146" s="21" t="str">
        <f t="shared" si="18"/>
        <v>3200 · Retained Earnings</v>
      </c>
      <c r="N146" s="24">
        <f>SUMIF('Final E-Banker TB Dec 2025'!$A$3:$A$192,J146,'Final E-Banker TB Dec 2025'!$G$3:$G$192)</f>
        <v>0</v>
      </c>
      <c r="O146" s="24">
        <f>SUMIF('Final E-Banker TB Dec 2025'!$A$3:$A$192,'TB December 2025   '!J146,'Final E-Banker TB Dec 2025'!$H$3:$H$192)</f>
        <v>10085045704.74</v>
      </c>
      <c r="Q146" s="30">
        <f t="shared" si="23"/>
        <v>-10085045704.74</v>
      </c>
      <c r="R146" s="30">
        <f t="shared" si="24"/>
        <v>0</v>
      </c>
      <c r="S146" s="30">
        <f t="shared" si="25"/>
        <v>-10085045704.74</v>
      </c>
      <c r="V146" s="21" t="str">
        <f t="shared" si="19"/>
        <v>3200 · Retained Earnings</v>
      </c>
      <c r="W146" s="25">
        <f t="shared" si="20"/>
        <v>10085045704.74</v>
      </c>
    </row>
    <row r="147" spans="1:23" s="27" customFormat="1" ht="13">
      <c r="A147" s="20"/>
      <c r="B147" s="21" t="s">
        <v>154</v>
      </c>
      <c r="C147" s="22">
        <f t="shared" si="21"/>
        <v>-4664655564.3400002</v>
      </c>
      <c r="D147" s="23"/>
      <c r="E147" s="22"/>
      <c r="F147" s="24"/>
      <c r="G147" s="49"/>
      <c r="H147" s="25">
        <f t="shared" si="22"/>
        <v>4664655564.3400002</v>
      </c>
      <c r="I147" s="26"/>
      <c r="J147" s="28" t="str">
        <f t="shared" si="26"/>
        <v>4205</v>
      </c>
      <c r="K147" s="21" t="str">
        <f t="shared" si="18"/>
        <v>4205 · Investment Interest Income MM</v>
      </c>
      <c r="N147" s="24">
        <f>SUMIF('Final E-Banker TB Dec 2025'!$A$3:$A$192,J147,'Final E-Banker TB Dec 2025'!$G$3:$G$192)</f>
        <v>0</v>
      </c>
      <c r="O147" s="24">
        <f>SUMIF('Final E-Banker TB Dec 2025'!$A$3:$A$192,'TB December 2025   '!J147,'Final E-Banker TB Dec 2025'!$H$3:$H$192)</f>
        <v>4664655564.3400002</v>
      </c>
      <c r="Q147" s="30">
        <f t="shared" si="23"/>
        <v>-4664655564.3400002</v>
      </c>
      <c r="R147" s="30">
        <f t="shared" si="24"/>
        <v>0</v>
      </c>
      <c r="S147" s="30">
        <f t="shared" si="25"/>
        <v>-4664655564.3400002</v>
      </c>
      <c r="V147" s="21" t="str">
        <f t="shared" si="19"/>
        <v>4205 · Investment Interest Income MM</v>
      </c>
      <c r="W147" s="25">
        <f t="shared" si="20"/>
        <v>4664655564.3400002</v>
      </c>
    </row>
    <row r="148" spans="1:23" s="27" customFormat="1" ht="13">
      <c r="A148" s="20"/>
      <c r="B148" s="21" t="s">
        <v>155</v>
      </c>
      <c r="C148" s="22">
        <f t="shared" si="21"/>
        <v>-2106561165.01</v>
      </c>
      <c r="D148" s="23"/>
      <c r="E148" s="22"/>
      <c r="F148" s="24"/>
      <c r="G148" s="49"/>
      <c r="H148" s="25">
        <f t="shared" si="22"/>
        <v>2106561165.01</v>
      </c>
      <c r="I148" s="26"/>
      <c r="J148" s="28" t="str">
        <f t="shared" si="26"/>
        <v>4206</v>
      </c>
      <c r="K148" s="21" t="str">
        <f t="shared" si="18"/>
        <v>4206 · Interest on Term Loans-Maiic</v>
      </c>
      <c r="N148" s="24">
        <f>SUMIF('Final E-Banker TB Dec 2025'!$A$3:$A$192,J148,'Final E-Banker TB Dec 2025'!$G$3:$G$192)</f>
        <v>0</v>
      </c>
      <c r="O148" s="24">
        <f>'Final E-Banker TB Dec 2025'!H130+'Final E-Banker TB Dec 2025'!H129+'Final E-Banker TB Dec 2025'!H143</f>
        <v>2106561165.01</v>
      </c>
      <c r="Q148" s="30">
        <f t="shared" si="23"/>
        <v>-2106561165.01</v>
      </c>
      <c r="R148" s="30">
        <f t="shared" si="24"/>
        <v>0</v>
      </c>
      <c r="S148" s="30">
        <f t="shared" si="25"/>
        <v>-2106561165.01</v>
      </c>
      <c r="V148" s="21" t="str">
        <f t="shared" si="19"/>
        <v>4206 · Interest on Term Loans-Maiic</v>
      </c>
      <c r="W148" s="25">
        <f t="shared" si="20"/>
        <v>2106561165.01</v>
      </c>
    </row>
    <row r="149" spans="1:23" s="27" customFormat="1" ht="13">
      <c r="A149" s="20"/>
      <c r="B149" s="21" t="s">
        <v>156</v>
      </c>
      <c r="C149" s="22">
        <f t="shared" si="21"/>
        <v>-25395913.059999999</v>
      </c>
      <c r="D149" s="23"/>
      <c r="E149" s="22"/>
      <c r="F149" s="24"/>
      <c r="G149" s="49"/>
      <c r="H149" s="25">
        <f t="shared" si="22"/>
        <v>25395913.059999999</v>
      </c>
      <c r="I149" s="26"/>
      <c r="J149" s="28" t="str">
        <f t="shared" si="26"/>
        <v>4207</v>
      </c>
      <c r="K149" s="21" t="str">
        <f t="shared" si="18"/>
        <v>4207 · Interest on Staff Loans</v>
      </c>
      <c r="N149" s="24">
        <f>SUMIF('Final E-Banker TB Dec 2025'!$A$3:$A$192,J149,'Final E-Banker TB Dec 2025'!$G$3:$G$192)</f>
        <v>0</v>
      </c>
      <c r="O149" s="24">
        <f>SUMIF('Final E-Banker TB Dec 2025'!$A$3:$A$192,'TB December 2025   '!J149,'Final E-Banker TB Dec 2025'!$H$3:$H$192)</f>
        <v>25395913.059999999</v>
      </c>
      <c r="Q149" s="30">
        <f t="shared" si="23"/>
        <v>-25395913.059999999</v>
      </c>
      <c r="R149" s="30">
        <f t="shared" si="24"/>
        <v>0</v>
      </c>
      <c r="S149" s="30">
        <f t="shared" si="25"/>
        <v>-25395913.059999999</v>
      </c>
      <c r="V149" s="21" t="str">
        <f t="shared" si="19"/>
        <v>4207 · Interest on Staff Loans</v>
      </c>
      <c r="W149" s="25">
        <f t="shared" si="20"/>
        <v>25395913.059999999</v>
      </c>
    </row>
    <row r="150" spans="1:23" s="27" customFormat="1" ht="13">
      <c r="A150" s="20"/>
      <c r="B150" s="21" t="s">
        <v>157</v>
      </c>
      <c r="C150" s="22">
        <f t="shared" si="21"/>
        <v>-447829531.72000003</v>
      </c>
      <c r="D150" s="23"/>
      <c r="E150" s="22"/>
      <c r="F150" s="24"/>
      <c r="G150" s="49"/>
      <c r="H150" s="25">
        <f t="shared" si="22"/>
        <v>447829531.72000003</v>
      </c>
      <c r="I150" s="26"/>
      <c r="J150" s="28" t="str">
        <f t="shared" si="26"/>
        <v>4209</v>
      </c>
      <c r="K150" s="21" t="str">
        <f t="shared" si="18"/>
        <v>4209 · Term loan interest- FInES</v>
      </c>
      <c r="N150" s="24">
        <f>SUMIF('Final E-Banker TB Dec 2025'!$A$3:$A$192,J150,'Final E-Banker TB Dec 2025'!$G$3:$G$192)</f>
        <v>0</v>
      </c>
      <c r="O150" s="24">
        <f>'Final E-Banker TB Dec 2025'!H126+'Final E-Banker TB Dec 2025'!H127</f>
        <v>447829531.72000003</v>
      </c>
      <c r="Q150" s="30">
        <f t="shared" si="23"/>
        <v>-447829531.72000003</v>
      </c>
      <c r="R150" s="30">
        <f t="shared" si="24"/>
        <v>0</v>
      </c>
      <c r="S150" s="30">
        <f t="shared" si="25"/>
        <v>-447829531.72000003</v>
      </c>
      <c r="V150" s="21" t="str">
        <f t="shared" si="19"/>
        <v>4209 · Term loan interest- FInES</v>
      </c>
      <c r="W150" s="25">
        <f t="shared" si="20"/>
        <v>447829531.72000003</v>
      </c>
    </row>
    <row r="151" spans="1:23" s="27" customFormat="1" ht="13">
      <c r="A151" s="20"/>
      <c r="B151" s="21" t="s">
        <v>158</v>
      </c>
      <c r="C151" s="22">
        <f t="shared" si="21"/>
        <v>-270969348.60000002</v>
      </c>
      <c r="D151" s="23"/>
      <c r="E151" s="22"/>
      <c r="F151" s="24"/>
      <c r="G151" s="49"/>
      <c r="H151" s="25">
        <f t="shared" si="22"/>
        <v>270969348.60000002</v>
      </c>
      <c r="I151" s="26"/>
      <c r="J151" s="28" t="str">
        <f t="shared" si="26"/>
        <v>4211</v>
      </c>
      <c r="K151" s="21" t="str">
        <f t="shared" si="18"/>
        <v>4211 · Investment Income-USD MM</v>
      </c>
      <c r="N151" s="24">
        <f>SUMIF('Final E-Banker TB Dec 2025'!$A$3:$A$192,J151,'Final E-Banker TB Dec 2025'!$G$3:$G$192)</f>
        <v>0</v>
      </c>
      <c r="O151" s="24">
        <f>SUMIF('Final E-Banker TB Dec 2025'!$A$3:$A$192,'TB December 2025   '!J151,'Final E-Banker TB Dec 2025'!$H$3:$H$192)</f>
        <v>270969348.60000002</v>
      </c>
      <c r="Q151" s="30">
        <f t="shared" si="23"/>
        <v>-270969348.60000002</v>
      </c>
      <c r="R151" s="30">
        <f t="shared" si="24"/>
        <v>0</v>
      </c>
      <c r="S151" s="30">
        <f t="shared" si="25"/>
        <v>-270969348.60000002</v>
      </c>
      <c r="V151" s="21" t="str">
        <f t="shared" si="19"/>
        <v>4211 · Investment Income-USD MM</v>
      </c>
      <c r="W151" s="25">
        <f t="shared" si="20"/>
        <v>270969348.60000002</v>
      </c>
    </row>
    <row r="152" spans="1:23" s="27" customFormat="1" ht="13">
      <c r="A152" s="20"/>
      <c r="B152" s="21" t="s">
        <v>159</v>
      </c>
      <c r="C152" s="22">
        <f t="shared" si="21"/>
        <v>-885400450.85000002</v>
      </c>
      <c r="D152" s="23"/>
      <c r="E152" s="22"/>
      <c r="F152" s="24"/>
      <c r="G152" s="49"/>
      <c r="H152" s="25">
        <f t="shared" si="22"/>
        <v>885400450.85000002</v>
      </c>
      <c r="I152" s="26"/>
      <c r="J152" s="28" t="str">
        <f t="shared" si="26"/>
        <v>4213</v>
      </c>
      <c r="K152" s="21" t="str">
        <f t="shared" si="18"/>
        <v>4213 · Investment Income-Coupon Settle</v>
      </c>
      <c r="N152" s="24">
        <f>SUMIF('Final E-Banker TB Dec 2025'!$A$3:$A$192,J152,'Final E-Banker TB Dec 2025'!$G$3:$G$192)</f>
        <v>0</v>
      </c>
      <c r="O152" s="24">
        <f>SUMIF('Final E-Banker TB Dec 2025'!$A$3:$A$192,'TB December 2025   '!J152,'Final E-Banker TB Dec 2025'!$H$3:$H$192)</f>
        <v>885400450.85000002</v>
      </c>
      <c r="Q152" s="30">
        <f t="shared" si="23"/>
        <v>-885400450.85000002</v>
      </c>
      <c r="R152" s="30">
        <f t="shared" si="24"/>
        <v>0</v>
      </c>
      <c r="S152" s="30">
        <f t="shared" si="25"/>
        <v>-885400450.85000002</v>
      </c>
      <c r="V152" s="21" t="str">
        <f t="shared" si="19"/>
        <v>4213 · Investment Income-Coupon Settle</v>
      </c>
      <c r="W152" s="25">
        <f t="shared" si="20"/>
        <v>885400450.85000002</v>
      </c>
    </row>
    <row r="153" spans="1:23" s="27" customFormat="1" ht="13">
      <c r="A153" s="20"/>
      <c r="B153" s="21" t="s">
        <v>160</v>
      </c>
      <c r="C153" s="22">
        <f t="shared" si="21"/>
        <v>-256450973.64000002</v>
      </c>
      <c r="D153" s="23"/>
      <c r="E153" s="22"/>
      <c r="F153" s="24"/>
      <c r="G153" s="49"/>
      <c r="H153" s="25">
        <f t="shared" si="22"/>
        <v>256450973.64000002</v>
      </c>
      <c r="I153" s="26"/>
      <c r="J153" s="28" t="str">
        <f t="shared" si="26"/>
        <v>4214</v>
      </c>
      <c r="K153" s="21" t="str">
        <f t="shared" si="18"/>
        <v>4214 · Interest Income-Mega Farm Capex</v>
      </c>
      <c r="N153" s="24">
        <f>SUMIF('Final E-Banker TB Dec 2025'!$A$3:$A$192,J153,'Final E-Banker TB Dec 2025'!$G$3:$G$192)</f>
        <v>0</v>
      </c>
      <c r="O153" s="24">
        <f>'Final E-Banker TB Dec 2025'!H133+'Final E-Banker TB Dec 2025'!H134+'Final E-Banker TB Dec 2025'!H135</f>
        <v>256450973.64000002</v>
      </c>
      <c r="Q153" s="30">
        <f t="shared" si="23"/>
        <v>-256450973.64000002</v>
      </c>
      <c r="R153" s="30">
        <f t="shared" si="24"/>
        <v>0</v>
      </c>
      <c r="S153" s="30">
        <f t="shared" si="25"/>
        <v>-256450973.64000002</v>
      </c>
      <c r="V153" s="21" t="str">
        <f t="shared" si="19"/>
        <v>4214 · Interest Income-Mega Farm Capex</v>
      </c>
      <c r="W153" s="25">
        <f t="shared" si="20"/>
        <v>256450973.64000002</v>
      </c>
    </row>
    <row r="154" spans="1:23" s="27" customFormat="1" ht="13">
      <c r="A154" s="20"/>
      <c r="B154" s="21" t="s">
        <v>161</v>
      </c>
      <c r="C154" s="22">
        <f t="shared" si="21"/>
        <v>-2012035873.98</v>
      </c>
      <c r="D154" s="23"/>
      <c r="E154" s="22"/>
      <c r="F154" s="24"/>
      <c r="G154" s="49"/>
      <c r="H154" s="25">
        <f t="shared" si="22"/>
        <v>2012035873.98</v>
      </c>
      <c r="I154" s="26"/>
      <c r="J154" s="28" t="str">
        <f t="shared" si="26"/>
        <v>4215</v>
      </c>
      <c r="K154" s="21" t="str">
        <f t="shared" si="18"/>
        <v>4215 · Interest Income-Mega Farm Ferti</v>
      </c>
      <c r="N154" s="24">
        <f>SUMIF('Final E-Banker TB Dec 2025'!$A$3:$A$192,J154,'Final E-Banker TB Dec 2025'!$G$3:$G$192)</f>
        <v>0</v>
      </c>
      <c r="O154" s="24">
        <f>'Final E-Banker TB Dec 2025'!H131</f>
        <v>2012035873.98</v>
      </c>
      <c r="Q154" s="30">
        <f t="shared" si="23"/>
        <v>-2012035873.98</v>
      </c>
      <c r="R154" s="30">
        <f t="shared" si="24"/>
        <v>0</v>
      </c>
      <c r="S154" s="30">
        <f t="shared" si="25"/>
        <v>-2012035873.98</v>
      </c>
      <c r="V154" s="21" t="str">
        <f t="shared" si="19"/>
        <v>4215 · Interest Income-Mega Farm Ferti</v>
      </c>
      <c r="W154" s="25">
        <f t="shared" si="20"/>
        <v>2012035873.98</v>
      </c>
    </row>
    <row r="155" spans="1:23" s="27" customFormat="1" ht="13">
      <c r="A155" s="20"/>
      <c r="B155" s="21" t="s">
        <v>162</v>
      </c>
      <c r="C155" s="22">
        <f t="shared" si="21"/>
        <v>0</v>
      </c>
      <c r="D155" s="23"/>
      <c r="E155" s="22"/>
      <c r="F155" s="24"/>
      <c r="G155" s="49"/>
      <c r="H155" s="25">
        <f t="shared" si="22"/>
        <v>0</v>
      </c>
      <c r="I155" s="26"/>
      <c r="J155" s="28" t="str">
        <f t="shared" si="26"/>
        <v>4216</v>
      </c>
      <c r="K155" s="21" t="str">
        <f t="shared" si="18"/>
        <v>4216 · Interest Income-Mega Farms Oper</v>
      </c>
      <c r="N155" s="24">
        <f>SUMIF('Final E-Banker TB Dec 2025'!$A$3:$A$192,J155,'Final E-Banker TB Dec 2025'!$G$3:$G$192)</f>
        <v>0</v>
      </c>
      <c r="O155" s="24">
        <v>0</v>
      </c>
      <c r="Q155" s="30">
        <f t="shared" si="23"/>
        <v>0</v>
      </c>
      <c r="R155" s="30">
        <f t="shared" si="24"/>
        <v>0</v>
      </c>
      <c r="S155" s="30">
        <f t="shared" si="25"/>
        <v>0</v>
      </c>
      <c r="V155" s="21" t="str">
        <f t="shared" si="19"/>
        <v>4216 · Interest Income-Mega Farms Oper</v>
      </c>
      <c r="W155" s="25">
        <f t="shared" si="20"/>
        <v>0</v>
      </c>
    </row>
    <row r="156" spans="1:23" s="27" customFormat="1" ht="13">
      <c r="A156" s="20"/>
      <c r="B156" s="21" t="s">
        <v>163</v>
      </c>
      <c r="C156" s="22">
        <f t="shared" si="21"/>
        <v>-412422643.33999997</v>
      </c>
      <c r="D156" s="23"/>
      <c r="E156" s="22"/>
      <c r="F156" s="24"/>
      <c r="G156" s="49"/>
      <c r="H156" s="25">
        <f t="shared" si="22"/>
        <v>412422643.33999997</v>
      </c>
      <c r="I156" s="26"/>
      <c r="J156" s="28" t="str">
        <f t="shared" si="26"/>
        <v>4217</v>
      </c>
      <c r="K156" s="21" t="str">
        <f t="shared" si="18"/>
        <v>4217 · Interest Income-Mega Farms Seed</v>
      </c>
      <c r="N156" s="24">
        <f>SUMIF('Final E-Banker TB Dec 2025'!$A$3:$A$192,J156,'Final E-Banker TB Dec 2025'!$G$3:$G$192)</f>
        <v>0</v>
      </c>
      <c r="O156" s="24">
        <f>'Final E-Banker TB Dec 2025'!H132</f>
        <v>412422643.33999997</v>
      </c>
      <c r="Q156" s="30">
        <f t="shared" si="23"/>
        <v>-412422643.33999997</v>
      </c>
      <c r="R156" s="30">
        <f t="shared" si="24"/>
        <v>0</v>
      </c>
      <c r="S156" s="30">
        <f t="shared" si="25"/>
        <v>-412422643.33999997</v>
      </c>
      <c r="V156" s="21" t="str">
        <f t="shared" si="19"/>
        <v>4217 · Interest Income-Mega Farms Seed</v>
      </c>
      <c r="W156" s="25">
        <f t="shared" si="20"/>
        <v>412422643.33999997</v>
      </c>
    </row>
    <row r="157" spans="1:23" s="27" customFormat="1" ht="13">
      <c r="A157" s="20"/>
      <c r="B157" s="21" t="s">
        <v>164</v>
      </c>
      <c r="C157" s="22">
        <f t="shared" si="21"/>
        <v>-107021353.81</v>
      </c>
      <c r="D157" s="23"/>
      <c r="E157" s="22"/>
      <c r="F157" s="24"/>
      <c r="G157" s="49"/>
      <c r="H157" s="25">
        <f t="shared" si="22"/>
        <v>107021353.81</v>
      </c>
      <c r="I157" s="26"/>
      <c r="J157" s="28" t="str">
        <f t="shared" si="26"/>
        <v>4219</v>
      </c>
      <c r="K157" s="21" t="str">
        <f t="shared" si="18"/>
        <v>4219 · Interest Income-Mega Farms Pest</v>
      </c>
      <c r="N157" s="24">
        <f>SUMIF('Final E-Banker TB Dec 2025'!$A$3:$A$192,J157,'Final E-Banker TB Dec 2025'!$G$3:$G$192)</f>
        <v>0</v>
      </c>
      <c r="O157" s="24">
        <f>'Final E-Banker TB Dec 2025'!H136</f>
        <v>107021353.81</v>
      </c>
      <c r="Q157" s="30">
        <f t="shared" si="23"/>
        <v>-107021353.81</v>
      </c>
      <c r="R157" s="30">
        <f t="shared" si="24"/>
        <v>0</v>
      </c>
      <c r="S157" s="30">
        <f t="shared" si="25"/>
        <v>-107021353.81</v>
      </c>
      <c r="V157" s="21" t="str">
        <f t="shared" si="19"/>
        <v>4219 · Interest Income-Mega Farms Pest</v>
      </c>
      <c r="W157" s="25">
        <f t="shared" si="20"/>
        <v>107021353.81</v>
      </c>
    </row>
    <row r="158" spans="1:23" s="27" customFormat="1" ht="13">
      <c r="A158" s="20"/>
      <c r="B158" s="21" t="s">
        <v>165</v>
      </c>
      <c r="C158" s="22">
        <f t="shared" si="21"/>
        <v>-171128135</v>
      </c>
      <c r="D158" s="23"/>
      <c r="E158" s="22"/>
      <c r="F158" s="24"/>
      <c r="G158" s="49"/>
      <c r="H158" s="25">
        <f t="shared" si="22"/>
        <v>171128135</v>
      </c>
      <c r="I158" s="26"/>
      <c r="J158" s="28">
        <v>4871</v>
      </c>
      <c r="K158" s="21" t="str">
        <f t="shared" si="18"/>
        <v>4870 · Services Income:4871 · Legal  fees</v>
      </c>
      <c r="N158" s="24">
        <f>SUMIF('Final E-Banker TB Dec 2025'!$A$3:$A$192,J158,'Final E-Banker TB Dec 2025'!$G$3:$G$192)</f>
        <v>0</v>
      </c>
      <c r="O158" s="24">
        <f>SUMIF('Final E-Banker TB Dec 2025'!$A$3:$A$192,'TB December 2025   '!J158,'Final E-Banker TB Dec 2025'!$H$3:$H$192)</f>
        <v>171128135</v>
      </c>
      <c r="Q158" s="30">
        <f t="shared" si="23"/>
        <v>-171128135</v>
      </c>
      <c r="R158" s="30">
        <f t="shared" si="24"/>
        <v>0</v>
      </c>
      <c r="S158" s="30">
        <f t="shared" si="25"/>
        <v>-171128135</v>
      </c>
      <c r="V158" s="21" t="str">
        <f t="shared" si="19"/>
        <v>4870 · Services Income:4871 · Legal  fees</v>
      </c>
      <c r="W158" s="25">
        <f t="shared" si="20"/>
        <v>171128135</v>
      </c>
    </row>
    <row r="159" spans="1:23" s="27" customFormat="1" ht="13">
      <c r="A159" s="20"/>
      <c r="B159" s="21" t="s">
        <v>166</v>
      </c>
      <c r="C159" s="22">
        <f t="shared" si="21"/>
        <v>-311342792</v>
      </c>
      <c r="D159" s="23"/>
      <c r="E159" s="22"/>
      <c r="F159" s="24"/>
      <c r="G159" s="49"/>
      <c r="H159" s="25">
        <f t="shared" si="22"/>
        <v>311342792</v>
      </c>
      <c r="I159" s="26"/>
      <c r="J159" s="28">
        <v>4873</v>
      </c>
      <c r="K159" s="21" t="str">
        <f t="shared" si="18"/>
        <v>4870 · Services Income:4873 · Arrangement Fees</v>
      </c>
      <c r="N159" s="24">
        <f>SUMIF('Final E-Banker TB Dec 2025'!$A$3:$A$192,J159,'Final E-Banker TB Dec 2025'!$G$3:$G$192)</f>
        <v>0</v>
      </c>
      <c r="O159" s="24">
        <f>SUMIF('Final E-Banker TB Dec 2025'!$A$3:$A$192,'TB December 2025   '!J159,'Final E-Banker TB Dec 2025'!$H$3:$H$192)</f>
        <v>311342792</v>
      </c>
      <c r="Q159" s="30">
        <f t="shared" si="23"/>
        <v>-311342792</v>
      </c>
      <c r="R159" s="30">
        <f t="shared" si="24"/>
        <v>0</v>
      </c>
      <c r="S159" s="30">
        <f t="shared" si="25"/>
        <v>-311342792</v>
      </c>
      <c r="V159" s="21" t="str">
        <f t="shared" si="19"/>
        <v>4870 · Services Income:4873 · Arrangement Fees</v>
      </c>
      <c r="W159" s="25">
        <f t="shared" si="20"/>
        <v>311342792</v>
      </c>
    </row>
    <row r="160" spans="1:23" s="27" customFormat="1" ht="13">
      <c r="A160" s="20"/>
      <c r="B160" s="21" t="s">
        <v>167</v>
      </c>
      <c r="C160" s="22">
        <f t="shared" si="21"/>
        <v>-2463131</v>
      </c>
      <c r="D160" s="23"/>
      <c r="E160" s="22"/>
      <c r="F160" s="24"/>
      <c r="G160" s="49"/>
      <c r="H160" s="25">
        <f t="shared" si="22"/>
        <v>2463131</v>
      </c>
      <c r="I160" s="26"/>
      <c r="J160" s="28">
        <v>4874</v>
      </c>
      <c r="K160" s="21" t="str">
        <f t="shared" si="18"/>
        <v>4870 · Services Income:4874 · Insurance fees</v>
      </c>
      <c r="N160" s="24">
        <f>SUMIF('Final E-Banker TB Dec 2025'!$A$3:$A$192,J160,'Final E-Banker TB Dec 2025'!$G$3:$G$192)</f>
        <v>0</v>
      </c>
      <c r="O160" s="24">
        <f>SUMIF('Final E-Banker TB Dec 2025'!$A$3:$A$192,'TB December 2025   '!J160,'Final E-Banker TB Dec 2025'!$H$3:$H$192)</f>
        <v>2463131</v>
      </c>
      <c r="Q160" s="30">
        <f t="shared" si="23"/>
        <v>-2463131</v>
      </c>
      <c r="R160" s="30">
        <f t="shared" si="24"/>
        <v>0</v>
      </c>
      <c r="S160" s="30">
        <f t="shared" si="25"/>
        <v>-2463131</v>
      </c>
      <c r="V160" s="21" t="str">
        <f t="shared" si="19"/>
        <v>4870 · Services Income:4874 · Insurance fees</v>
      </c>
      <c r="W160" s="25">
        <f t="shared" si="20"/>
        <v>2463131</v>
      </c>
    </row>
    <row r="161" spans="1:23" s="27" customFormat="1" ht="13">
      <c r="A161" s="20"/>
      <c r="B161" s="21" t="s">
        <v>168</v>
      </c>
      <c r="C161" s="22">
        <f t="shared" si="21"/>
        <v>-1284900</v>
      </c>
      <c r="D161" s="23"/>
      <c r="E161" s="22"/>
      <c r="F161" s="24"/>
      <c r="G161" s="49"/>
      <c r="H161" s="25">
        <f t="shared" si="22"/>
        <v>1284900</v>
      </c>
      <c r="I161" s="26"/>
      <c r="J161" s="28">
        <v>4875</v>
      </c>
      <c r="K161" s="21" t="str">
        <f t="shared" si="18"/>
        <v>4870 · Services Income:4875 · PCG Guarantee fees</v>
      </c>
      <c r="N161" s="24">
        <f>SUMIF('Final E-Banker TB Dec 2025'!$A$3:$A$192,J161,'Final E-Banker TB Dec 2025'!$G$3:$G$192)</f>
        <v>0</v>
      </c>
      <c r="O161" s="24">
        <f>SUMIF('Final E-Banker TB Dec 2025'!$A$3:$A$192,'TB December 2025   '!J161,'Final E-Banker TB Dec 2025'!$H$3:$H$192)</f>
        <v>1284900</v>
      </c>
      <c r="Q161" s="30">
        <f t="shared" si="23"/>
        <v>-1284900</v>
      </c>
      <c r="R161" s="30">
        <f t="shared" si="24"/>
        <v>0</v>
      </c>
      <c r="S161" s="30">
        <f t="shared" si="25"/>
        <v>-1284900</v>
      </c>
      <c r="V161" s="21" t="str">
        <f t="shared" si="19"/>
        <v>4870 · Services Income:4875 · PCG Guarantee fees</v>
      </c>
      <c r="W161" s="25">
        <f t="shared" si="20"/>
        <v>1284900</v>
      </c>
    </row>
    <row r="162" spans="1:23" s="27" customFormat="1" ht="13">
      <c r="A162" s="20"/>
      <c r="B162" s="21" t="s">
        <v>169</v>
      </c>
      <c r="C162" s="22">
        <f t="shared" si="21"/>
        <v>-1146800</v>
      </c>
      <c r="D162" s="23"/>
      <c r="E162" s="22"/>
      <c r="F162" s="24"/>
      <c r="G162" s="49"/>
      <c r="H162" s="25">
        <f t="shared" si="22"/>
        <v>1146800</v>
      </c>
      <c r="I162" s="26"/>
      <c r="J162" s="28" t="str">
        <f t="shared" si="26"/>
        <v>4890</v>
      </c>
      <c r="K162" s="21" t="str">
        <f t="shared" si="18"/>
        <v>4890 · Sundry Income</v>
      </c>
      <c r="N162" s="24">
        <f>SUMIF('Final E-Banker TB Dec 2025'!$A$3:$A$192,J162,'Final E-Banker TB Dec 2025'!$G$3:$G$192)</f>
        <v>0</v>
      </c>
      <c r="O162" s="24">
        <f>'Final E-Banker TB Dec 2025'!H193</f>
        <v>1146800</v>
      </c>
      <c r="Q162" s="30">
        <f t="shared" si="23"/>
        <v>-1146800</v>
      </c>
      <c r="R162" s="30">
        <f t="shared" si="24"/>
        <v>0</v>
      </c>
      <c r="S162" s="30">
        <f t="shared" si="25"/>
        <v>-1146800</v>
      </c>
      <c r="V162" s="21" t="str">
        <f t="shared" si="19"/>
        <v>4890 · Sundry Income</v>
      </c>
      <c r="W162" s="25">
        <f t="shared" si="20"/>
        <v>1146800</v>
      </c>
    </row>
    <row r="163" spans="1:23" s="27" customFormat="1" ht="13">
      <c r="A163" s="20"/>
      <c r="B163" s="21" t="s">
        <v>170</v>
      </c>
      <c r="C163" s="22">
        <f t="shared" si="21"/>
        <v>-282446928.19999999</v>
      </c>
      <c r="D163" s="23"/>
      <c r="E163" s="22"/>
      <c r="F163" s="24"/>
      <c r="G163" s="49"/>
      <c r="H163" s="25">
        <f t="shared" si="22"/>
        <v>282446928.19999999</v>
      </c>
      <c r="I163" s="26"/>
      <c r="J163" s="28" t="str">
        <f t="shared" si="26"/>
        <v>4892</v>
      </c>
      <c r="K163" s="21" t="str">
        <f t="shared" si="18"/>
        <v>4892 · Grants</v>
      </c>
      <c r="N163" s="24">
        <f>SUMIF('Final E-Banker TB Dec 2025'!$A$3:$A$192,J163,'Final E-Banker TB Dec 2025'!$G$3:$G$192)</f>
        <v>0</v>
      </c>
      <c r="O163" s="24">
        <f>SUMIF('Final E-Banker TB Dec 2025'!$A$3:$A$192,'TB December 2025   '!J163,'Final E-Banker TB Dec 2025'!$H$3:$H$192)</f>
        <v>282446928.19999999</v>
      </c>
      <c r="Q163" s="30">
        <f t="shared" si="23"/>
        <v>-282446928.19999999</v>
      </c>
      <c r="R163" s="30">
        <f t="shared" si="24"/>
        <v>0</v>
      </c>
      <c r="S163" s="30">
        <f t="shared" si="25"/>
        <v>-282446928.19999999</v>
      </c>
      <c r="V163" s="21" t="str">
        <f t="shared" si="19"/>
        <v>4892 · Grants</v>
      </c>
      <c r="W163" s="25">
        <f t="shared" si="20"/>
        <v>282446928.19999999</v>
      </c>
    </row>
    <row r="164" spans="1:23" s="27" customFormat="1" ht="13">
      <c r="A164" s="20"/>
      <c r="B164" s="21" t="s">
        <v>171</v>
      </c>
      <c r="C164" s="22">
        <f t="shared" si="21"/>
        <v>141370669.09999999</v>
      </c>
      <c r="D164" s="23"/>
      <c r="E164" s="22"/>
      <c r="F164" s="24"/>
      <c r="G164" s="49"/>
      <c r="H164" s="25">
        <f t="shared" si="22"/>
        <v>-141370669.09999999</v>
      </c>
      <c r="I164" s="26"/>
      <c r="J164" s="28" t="str">
        <f t="shared" si="26"/>
        <v>5004</v>
      </c>
      <c r="K164" s="21" t="str">
        <f t="shared" si="18"/>
        <v>5004 · Audit Fees</v>
      </c>
      <c r="N164" s="24">
        <f>SUMIF('Final E-Banker TB Dec 2025'!$A$3:$A$192,J164,'Final E-Banker TB Dec 2025'!$G$3:$G$192)</f>
        <v>141370669.09999999</v>
      </c>
      <c r="O164" s="24">
        <f>SUMIF('Final E-Banker TB Dec 2025'!$A$3:$A$192,'TB December 2025   '!J164,'Final E-Banker TB Dec 2025'!$H$3:$H$192)</f>
        <v>0</v>
      </c>
      <c r="Q164" s="30">
        <f t="shared" si="23"/>
        <v>0</v>
      </c>
      <c r="R164" s="30">
        <f t="shared" si="24"/>
        <v>141370669.09999999</v>
      </c>
      <c r="S164" s="30">
        <f t="shared" si="25"/>
        <v>141370669.09999999</v>
      </c>
      <c r="V164" s="21" t="str">
        <f t="shared" si="19"/>
        <v>5004 · Audit Fees</v>
      </c>
      <c r="W164" s="25">
        <f t="shared" si="20"/>
        <v>-141370669.09999999</v>
      </c>
    </row>
    <row r="165" spans="1:23" s="27" customFormat="1" ht="13">
      <c r="A165" s="20"/>
      <c r="B165" s="21" t="s">
        <v>172</v>
      </c>
      <c r="C165" s="22">
        <f t="shared" si="21"/>
        <v>139212365.75999999</v>
      </c>
      <c r="D165" s="23"/>
      <c r="E165" s="22"/>
      <c r="F165" s="24"/>
      <c r="G165" s="49"/>
      <c r="H165" s="25">
        <f t="shared" si="22"/>
        <v>-139212365.75999999</v>
      </c>
      <c r="I165" s="26"/>
      <c r="J165" s="28" t="str">
        <f t="shared" si="26"/>
        <v>5005</v>
      </c>
      <c r="K165" s="21" t="str">
        <f t="shared" si="18"/>
        <v>5005 · Board meetings</v>
      </c>
      <c r="N165" s="24">
        <f>SUMIF('Final E-Banker TB Dec 2025'!$A$3:$A$192,J165,'Final E-Banker TB Dec 2025'!$G$3:$G$192)</f>
        <v>139212365.75999999</v>
      </c>
      <c r="O165" s="24">
        <f>SUMIF('Final E-Banker TB Dec 2025'!$A$3:$A$192,'TB December 2025   '!J165,'Final E-Banker TB Dec 2025'!$H$3:$H$192)</f>
        <v>0</v>
      </c>
      <c r="Q165" s="30">
        <f t="shared" si="23"/>
        <v>0</v>
      </c>
      <c r="R165" s="30">
        <f t="shared" si="24"/>
        <v>139212365.75999999</v>
      </c>
      <c r="S165" s="30">
        <f t="shared" si="25"/>
        <v>139212365.75999999</v>
      </c>
      <c r="V165" s="21" t="str">
        <f t="shared" si="19"/>
        <v>5005 · Board meetings</v>
      </c>
      <c r="W165" s="25">
        <f t="shared" si="20"/>
        <v>-139212365.75999999</v>
      </c>
    </row>
    <row r="166" spans="1:23" s="27" customFormat="1" ht="13">
      <c r="A166" s="20"/>
      <c r="B166" s="21" t="s">
        <v>173</v>
      </c>
      <c r="C166" s="22">
        <f t="shared" si="21"/>
        <v>58559607.840000004</v>
      </c>
      <c r="D166" s="23"/>
      <c r="E166" s="22"/>
      <c r="F166" s="24"/>
      <c r="G166" s="49"/>
      <c r="H166" s="25">
        <f t="shared" si="22"/>
        <v>-58559607.840000004</v>
      </c>
      <c r="I166" s="26"/>
      <c r="J166" s="28" t="str">
        <f t="shared" si="26"/>
        <v>5006</v>
      </c>
      <c r="K166" s="21" t="str">
        <f t="shared" si="18"/>
        <v>5006 · Directors Fees</v>
      </c>
      <c r="N166" s="24">
        <f>SUMIF('Final E-Banker TB Dec 2025'!$A$3:$A$192,J166,'Final E-Banker TB Dec 2025'!$G$3:$G$192)</f>
        <v>58559607.840000004</v>
      </c>
      <c r="O166" s="24">
        <f>SUMIF('Final E-Banker TB Dec 2025'!$A$3:$A$192,'TB December 2025   '!J166,'Final E-Banker TB Dec 2025'!$H$3:$H$192)</f>
        <v>0</v>
      </c>
      <c r="Q166" s="30">
        <f t="shared" si="23"/>
        <v>0</v>
      </c>
      <c r="R166" s="30">
        <f t="shared" si="24"/>
        <v>58559607.840000004</v>
      </c>
      <c r="S166" s="30">
        <f t="shared" si="25"/>
        <v>58559607.840000004</v>
      </c>
      <c r="V166" s="21" t="str">
        <f t="shared" si="19"/>
        <v>5006 · Directors Fees</v>
      </c>
      <c r="W166" s="25">
        <f t="shared" si="20"/>
        <v>-58559607.840000004</v>
      </c>
    </row>
    <row r="167" spans="1:23" s="27" customFormat="1" ht="13">
      <c r="A167" s="20"/>
      <c r="B167" s="21" t="s">
        <v>174</v>
      </c>
      <c r="C167" s="22">
        <f t="shared" si="21"/>
        <v>5927000</v>
      </c>
      <c r="D167" s="23"/>
      <c r="E167" s="22"/>
      <c r="F167" s="24"/>
      <c r="G167" s="49"/>
      <c r="H167" s="25">
        <f t="shared" si="22"/>
        <v>-5927000</v>
      </c>
      <c r="I167" s="26"/>
      <c r="J167" s="28" t="str">
        <f t="shared" si="26"/>
        <v>5007</v>
      </c>
      <c r="K167" s="21" t="str">
        <f t="shared" si="18"/>
        <v>5007 · Conferences and Meetings</v>
      </c>
      <c r="N167" s="24">
        <f>SUMIF('Final E-Banker TB Dec 2025'!$A$3:$A$192,J167,'Final E-Banker TB Dec 2025'!$G$3:$G$192)</f>
        <v>5927000</v>
      </c>
      <c r="O167" s="24">
        <f>SUMIF('Final E-Banker TB Dec 2025'!$A$3:$A$192,'TB December 2025   '!J167,'Final E-Banker TB Dec 2025'!$H$3:$H$192)</f>
        <v>0</v>
      </c>
      <c r="Q167" s="30">
        <f t="shared" si="23"/>
        <v>0</v>
      </c>
      <c r="R167" s="30">
        <f t="shared" si="24"/>
        <v>5927000</v>
      </c>
      <c r="S167" s="30">
        <f t="shared" si="25"/>
        <v>5927000</v>
      </c>
      <c r="V167" s="21" t="str">
        <f t="shared" si="19"/>
        <v>5007 · Conferences and Meetings</v>
      </c>
      <c r="W167" s="25">
        <f t="shared" si="20"/>
        <v>-5927000</v>
      </c>
    </row>
    <row r="168" spans="1:23" s="27" customFormat="1" ht="13">
      <c r="A168" s="20"/>
      <c r="B168" s="21" t="s">
        <v>175</v>
      </c>
      <c r="C168" s="22">
        <f t="shared" si="21"/>
        <v>79012489.010000005</v>
      </c>
      <c r="D168" s="23"/>
      <c r="E168" s="22"/>
      <c r="F168" s="24"/>
      <c r="G168" s="49"/>
      <c r="H168" s="25">
        <f t="shared" si="22"/>
        <v>-79012489.010000005</v>
      </c>
      <c r="I168" s="26"/>
      <c r="J168" s="28" t="str">
        <f t="shared" si="26"/>
        <v>5010</v>
      </c>
      <c r="K168" s="21" t="str">
        <f t="shared" si="18"/>
        <v>5010 · Consultancy costs</v>
      </c>
      <c r="N168" s="24">
        <f>SUMIF('Final E-Banker TB Dec 2025'!$A$3:$A$192,J168,'Final E-Banker TB Dec 2025'!$G$3:$G$192)</f>
        <v>79012489.010000005</v>
      </c>
      <c r="O168" s="24">
        <f>SUMIF('Final E-Banker TB Dec 2025'!$A$3:$A$192,'TB December 2025   '!J168,'Final E-Banker TB Dec 2025'!$H$3:$H$192)</f>
        <v>0</v>
      </c>
      <c r="Q168" s="30">
        <f t="shared" si="23"/>
        <v>0</v>
      </c>
      <c r="R168" s="30">
        <f t="shared" si="24"/>
        <v>79012489.010000005</v>
      </c>
      <c r="S168" s="30">
        <f t="shared" si="25"/>
        <v>79012489.010000005</v>
      </c>
      <c r="V168" s="21" t="str">
        <f t="shared" si="19"/>
        <v>5010 · Consultancy costs</v>
      </c>
      <c r="W168" s="25">
        <f t="shared" si="20"/>
        <v>-79012489.010000005</v>
      </c>
    </row>
    <row r="169" spans="1:23" s="27" customFormat="1" ht="13">
      <c r="A169" s="20"/>
      <c r="B169" s="21" t="s">
        <v>176</v>
      </c>
      <c r="C169" s="22">
        <f t="shared" si="21"/>
        <v>22995378.149999999</v>
      </c>
      <c r="D169" s="23"/>
      <c r="E169" s="22"/>
      <c r="F169" s="24"/>
      <c r="G169" s="49"/>
      <c r="H169" s="25">
        <f t="shared" si="22"/>
        <v>-22995378.149999999</v>
      </c>
      <c r="I169" s="26"/>
      <c r="J169" s="28" t="str">
        <f t="shared" si="26"/>
        <v>5012</v>
      </c>
      <c r="K169" s="21" t="str">
        <f t="shared" si="18"/>
        <v>5012 · Office Supllies</v>
      </c>
      <c r="N169" s="24">
        <f>SUMIF('Final E-Banker TB Dec 2025'!$A$3:$A$192,J169,'Final E-Banker TB Dec 2025'!$G$3:$G$192)</f>
        <v>22995378.149999999</v>
      </c>
      <c r="O169" s="24">
        <f>SUMIF('Final E-Banker TB Dec 2025'!$A$3:$A$192,'TB December 2025   '!J169,'Final E-Banker TB Dec 2025'!$H$3:$H$192)</f>
        <v>0</v>
      </c>
      <c r="Q169" s="30">
        <f t="shared" si="23"/>
        <v>0</v>
      </c>
      <c r="R169" s="30">
        <f t="shared" si="24"/>
        <v>22995378.149999999</v>
      </c>
      <c r="S169" s="30">
        <f t="shared" si="25"/>
        <v>22995378.149999999</v>
      </c>
      <c r="V169" s="21" t="str">
        <f t="shared" si="19"/>
        <v>5012 · Office Supllies</v>
      </c>
      <c r="W169" s="25">
        <f t="shared" si="20"/>
        <v>-22995378.149999999</v>
      </c>
    </row>
    <row r="170" spans="1:23" s="27" customFormat="1" ht="13">
      <c r="A170" s="20"/>
      <c r="B170" s="21" t="s">
        <v>177</v>
      </c>
      <c r="C170" s="22">
        <f t="shared" si="21"/>
        <v>6638456</v>
      </c>
      <c r="D170" s="23"/>
      <c r="E170" s="22"/>
      <c r="F170" s="24"/>
      <c r="G170" s="49"/>
      <c r="H170" s="25">
        <f t="shared" si="22"/>
        <v>-6638456</v>
      </c>
      <c r="I170" s="26"/>
      <c r="J170" s="28" t="str">
        <f t="shared" si="26"/>
        <v>5014</v>
      </c>
      <c r="K170" s="21" t="str">
        <f t="shared" si="18"/>
        <v>5014 · Recruitment expenses</v>
      </c>
      <c r="N170" s="24">
        <f>SUMIF('Final E-Banker TB Dec 2025'!$A$3:$A$192,J170,'Final E-Banker TB Dec 2025'!$G$3:$G$192)</f>
        <v>6638456</v>
      </c>
      <c r="O170" s="24">
        <f>SUMIF('Final E-Banker TB Dec 2025'!$A$3:$A$192,'TB December 2025   '!J170,'Final E-Banker TB Dec 2025'!$H$3:$H$192)</f>
        <v>0</v>
      </c>
      <c r="Q170" s="30">
        <f t="shared" si="23"/>
        <v>0</v>
      </c>
      <c r="R170" s="30">
        <f t="shared" si="24"/>
        <v>6638456</v>
      </c>
      <c r="S170" s="30">
        <f t="shared" si="25"/>
        <v>6638456</v>
      </c>
      <c r="V170" s="21" t="str">
        <f t="shared" si="19"/>
        <v>5014 · Recruitment expenses</v>
      </c>
      <c r="W170" s="25">
        <f t="shared" si="20"/>
        <v>-6638456</v>
      </c>
    </row>
    <row r="171" spans="1:23" s="27" customFormat="1" ht="13">
      <c r="A171" s="20"/>
      <c r="B171" s="21" t="s">
        <v>178</v>
      </c>
      <c r="C171" s="22">
        <f t="shared" si="21"/>
        <v>871785.68</v>
      </c>
      <c r="D171" s="23"/>
      <c r="E171" s="22"/>
      <c r="F171" s="24"/>
      <c r="G171" s="49"/>
      <c r="H171" s="25">
        <f t="shared" si="22"/>
        <v>-871785.68</v>
      </c>
      <c r="I171" s="26"/>
      <c r="J171" s="28" t="str">
        <f t="shared" si="26"/>
        <v>5015</v>
      </c>
      <c r="K171" s="21" t="str">
        <f t="shared" si="18"/>
        <v>5015 · Relocation allowance</v>
      </c>
      <c r="N171" s="24">
        <f>SUMIF('Final E-Banker TB Dec 2025'!$A$3:$A$192,J171,'Final E-Banker TB Dec 2025'!$G$3:$G$192)</f>
        <v>871785.68</v>
      </c>
      <c r="O171" s="24">
        <f>SUMIF('Final E-Banker TB Dec 2025'!$A$3:$A$192,'TB December 2025   '!J171,'Final E-Banker TB Dec 2025'!$H$3:$H$192)</f>
        <v>0</v>
      </c>
      <c r="Q171" s="30">
        <f t="shared" si="23"/>
        <v>0</v>
      </c>
      <c r="R171" s="30">
        <f t="shared" si="24"/>
        <v>871785.68</v>
      </c>
      <c r="S171" s="30">
        <f t="shared" si="25"/>
        <v>871785.68</v>
      </c>
      <c r="V171" s="21" t="str">
        <f t="shared" si="19"/>
        <v>5015 · Relocation allowance</v>
      </c>
      <c r="W171" s="25">
        <f t="shared" si="20"/>
        <v>-871785.68</v>
      </c>
    </row>
    <row r="172" spans="1:23" s="27" customFormat="1" ht="13">
      <c r="A172" s="20"/>
      <c r="B172" s="21" t="s">
        <v>179</v>
      </c>
      <c r="C172" s="22">
        <f t="shared" si="21"/>
        <v>113697760.98999999</v>
      </c>
      <c r="D172" s="23"/>
      <c r="E172" s="22"/>
      <c r="F172" s="24"/>
      <c r="G172" s="49"/>
      <c r="H172" s="25">
        <f t="shared" si="22"/>
        <v>-113697760.98999999</v>
      </c>
      <c r="I172" s="26"/>
      <c r="J172" s="28">
        <v>5051</v>
      </c>
      <c r="K172" s="21" t="str">
        <f t="shared" si="18"/>
        <v>5050 · Employee Remuneration:5051 · Employee Pension</v>
      </c>
      <c r="N172" s="24">
        <f>SUMIF('Final E-Banker TB Dec 2025'!$A$3:$A$192,J172,'Final E-Banker TB Dec 2025'!$G$3:$G$192)</f>
        <v>113697760.98999999</v>
      </c>
      <c r="O172" s="24">
        <f>SUMIF('Final E-Banker TB Dec 2025'!$A$3:$A$192,'TB December 2025   '!J172,'Final E-Banker TB Dec 2025'!$H$3:$H$192)</f>
        <v>0</v>
      </c>
      <c r="Q172" s="30">
        <f t="shared" si="23"/>
        <v>0</v>
      </c>
      <c r="R172" s="30">
        <f t="shared" si="24"/>
        <v>113697760.98999999</v>
      </c>
      <c r="S172" s="30">
        <f t="shared" si="25"/>
        <v>113697760.98999999</v>
      </c>
      <c r="V172" s="21" t="str">
        <f t="shared" si="19"/>
        <v>5050 · Employee Remuneration:5051 · Employee Pension</v>
      </c>
      <c r="W172" s="25">
        <f t="shared" si="20"/>
        <v>-113697760.98999999</v>
      </c>
    </row>
    <row r="173" spans="1:23" s="27" customFormat="1" ht="13">
      <c r="A173" s="20"/>
      <c r="B173" s="21" t="s">
        <v>180</v>
      </c>
      <c r="C173" s="22">
        <f t="shared" si="21"/>
        <v>1166573641.3099999</v>
      </c>
      <c r="D173" s="23"/>
      <c r="E173" s="22"/>
      <c r="F173" s="24"/>
      <c r="G173" s="49"/>
      <c r="H173" s="25">
        <f t="shared" si="22"/>
        <v>-1166573641.3099999</v>
      </c>
      <c r="I173" s="26"/>
      <c r="J173" s="28">
        <v>5052</v>
      </c>
      <c r="K173" s="21" t="str">
        <f t="shared" si="18"/>
        <v>5050 · Employee Remuneration:5052 · Staff Salaries</v>
      </c>
      <c r="N173" s="24">
        <f>SUMIF('Final E-Banker TB Dec 2025'!$A$3:$A$192,J173,'Final E-Banker TB Dec 2025'!$G$3:$G$192)</f>
        <v>1166573641.3099999</v>
      </c>
      <c r="O173" s="24">
        <f>SUMIF('Final E-Banker TB Dec 2025'!$A$3:$A$192,'TB December 2025   '!J173,'Final E-Banker TB Dec 2025'!$H$3:$H$192)</f>
        <v>0</v>
      </c>
      <c r="Q173" s="30">
        <f t="shared" si="23"/>
        <v>0</v>
      </c>
      <c r="R173" s="30">
        <f t="shared" si="24"/>
        <v>1166573641.3099999</v>
      </c>
      <c r="S173" s="30">
        <f t="shared" si="25"/>
        <v>1166573641.3099999</v>
      </c>
      <c r="V173" s="21" t="str">
        <f t="shared" si="19"/>
        <v>5050 · Employee Remuneration:5052 · Staff Salaries</v>
      </c>
      <c r="W173" s="25">
        <f t="shared" si="20"/>
        <v>-1166573641.3099999</v>
      </c>
    </row>
    <row r="174" spans="1:23" s="27" customFormat="1" ht="13">
      <c r="A174" s="20"/>
      <c r="B174" s="21" t="s">
        <v>181</v>
      </c>
      <c r="C174" s="22">
        <f t="shared" si="21"/>
        <v>30889340.100000001</v>
      </c>
      <c r="D174" s="23"/>
      <c r="E174" s="22"/>
      <c r="F174" s="24"/>
      <c r="G174" s="49"/>
      <c r="H174" s="25">
        <f t="shared" si="22"/>
        <v>-30889340.100000001</v>
      </c>
      <c r="I174" s="26"/>
      <c r="J174" s="28">
        <v>5053</v>
      </c>
      <c r="K174" s="21" t="str">
        <f t="shared" si="18"/>
        <v>5050 · Employee Remuneration:5053 · Staff Medical</v>
      </c>
      <c r="N174" s="24">
        <f>SUMIF('Final E-Banker TB Dec 2025'!$A$3:$A$192,J174,'Final E-Banker TB Dec 2025'!$G$3:$G$192)</f>
        <v>30889340.100000001</v>
      </c>
      <c r="O174" s="24">
        <f>SUMIF('Final E-Banker TB Dec 2025'!$A$3:$A$192,'TB December 2025   '!J174,'Final E-Banker TB Dec 2025'!$H$3:$H$192)</f>
        <v>0</v>
      </c>
      <c r="Q174" s="30">
        <f t="shared" si="23"/>
        <v>0</v>
      </c>
      <c r="R174" s="30">
        <f t="shared" si="24"/>
        <v>30889340.100000001</v>
      </c>
      <c r="S174" s="30">
        <f t="shared" si="25"/>
        <v>30889340.100000001</v>
      </c>
      <c r="V174" s="21" t="str">
        <f t="shared" si="19"/>
        <v>5050 · Employee Remuneration:5053 · Staff Medical</v>
      </c>
      <c r="W174" s="25">
        <f t="shared" si="20"/>
        <v>-30889340.100000001</v>
      </c>
    </row>
    <row r="175" spans="1:23" s="27" customFormat="1" ht="13">
      <c r="A175" s="20"/>
      <c r="B175" s="21" t="s">
        <v>182</v>
      </c>
      <c r="C175" s="22">
        <f t="shared" si="21"/>
        <v>167950171.59</v>
      </c>
      <c r="D175" s="23"/>
      <c r="E175" s="22"/>
      <c r="F175" s="24"/>
      <c r="G175" s="49"/>
      <c r="H175" s="25">
        <f t="shared" si="22"/>
        <v>-167950171.59</v>
      </c>
      <c r="I175" s="26"/>
      <c r="J175" s="28">
        <v>5056</v>
      </c>
      <c r="K175" s="21" t="str">
        <f t="shared" si="18"/>
        <v>5050 · Employee Remuneration:5056 · Other Staff Benefits</v>
      </c>
      <c r="N175" s="24">
        <f>SUMIF('Final E-Banker TB Dec 2025'!$A$3:$A$192,J175,'Final E-Banker TB Dec 2025'!$G$3:$G$192)</f>
        <v>167950171.59</v>
      </c>
      <c r="O175" s="24">
        <f>SUMIF('Final E-Banker TB Dec 2025'!$A$3:$A$192,'TB December 2025   '!J175,'Final E-Banker TB Dec 2025'!$H$3:$H$192)</f>
        <v>0</v>
      </c>
      <c r="Q175" s="30">
        <f t="shared" si="23"/>
        <v>0</v>
      </c>
      <c r="R175" s="30">
        <f t="shared" si="24"/>
        <v>167950171.59</v>
      </c>
      <c r="S175" s="30">
        <f t="shared" si="25"/>
        <v>167950171.59</v>
      </c>
      <c r="V175" s="21" t="str">
        <f t="shared" si="19"/>
        <v>5050 · Employee Remuneration:5056 · Other Staff Benefits</v>
      </c>
      <c r="W175" s="25">
        <f t="shared" si="20"/>
        <v>-167950171.59</v>
      </c>
    </row>
    <row r="176" spans="1:23" s="27" customFormat="1" ht="13">
      <c r="A176" s="20"/>
      <c r="B176" s="21" t="s">
        <v>183</v>
      </c>
      <c r="C176" s="22">
        <f t="shared" si="21"/>
        <v>160880358.75</v>
      </c>
      <c r="D176" s="23"/>
      <c r="E176" s="22"/>
      <c r="F176" s="24"/>
      <c r="G176" s="49"/>
      <c r="H176" s="25">
        <f t="shared" si="22"/>
        <v>-160880358.75</v>
      </c>
      <c r="I176" s="26"/>
      <c r="J176" s="28" t="str">
        <f t="shared" si="26"/>
        <v>6000</v>
      </c>
      <c r="K176" s="21" t="str">
        <f t="shared" si="18"/>
        <v>6000 · Advertisng and Promotion</v>
      </c>
      <c r="N176" s="24">
        <f>SUMIF('Final E-Banker TB Dec 2025'!$A$3:$A$192,J176,'Final E-Banker TB Dec 2025'!$G$3:$G$192)</f>
        <v>160880358.75</v>
      </c>
      <c r="O176" s="24">
        <f>SUMIF('Final E-Banker TB Dec 2025'!$A$3:$A$192,'TB December 2025   '!J176,'Final E-Banker TB Dec 2025'!$H$3:$H$192)</f>
        <v>0</v>
      </c>
      <c r="Q176" s="30">
        <f t="shared" si="23"/>
        <v>0</v>
      </c>
      <c r="R176" s="30">
        <f t="shared" si="24"/>
        <v>160880358.75</v>
      </c>
      <c r="S176" s="30">
        <f t="shared" si="25"/>
        <v>160880358.75</v>
      </c>
      <c r="V176" s="21" t="str">
        <f t="shared" si="19"/>
        <v>6000 · Advertisng and Promotion</v>
      </c>
      <c r="W176" s="25">
        <f t="shared" si="20"/>
        <v>-160880358.75</v>
      </c>
    </row>
    <row r="177" spans="1:23" s="27" customFormat="1" ht="13">
      <c r="A177" s="20"/>
      <c r="B177" s="21" t="s">
        <v>184</v>
      </c>
      <c r="C177" s="22">
        <f t="shared" si="21"/>
        <v>18643890.879999999</v>
      </c>
      <c r="D177" s="23"/>
      <c r="E177" s="22"/>
      <c r="F177" s="24"/>
      <c r="G177" s="49"/>
      <c r="H177" s="25">
        <f t="shared" si="22"/>
        <v>-18643890.879999999</v>
      </c>
      <c r="I177" s="26"/>
      <c r="J177" s="28" t="str">
        <f t="shared" si="26"/>
        <v>6010</v>
      </c>
      <c r="K177" s="21" t="str">
        <f t="shared" si="18"/>
        <v>6010 · Printing and stationery</v>
      </c>
      <c r="N177" s="24">
        <f>SUMIF('Final E-Banker TB Dec 2025'!$A$3:$A$192,J177,'Final E-Banker TB Dec 2025'!$G$3:$G$192)</f>
        <v>18643890.879999999</v>
      </c>
      <c r="O177" s="24">
        <f>SUMIF('Final E-Banker TB Dec 2025'!$A$3:$A$192,'TB December 2025   '!J177,'Final E-Banker TB Dec 2025'!$H$3:$H$192)</f>
        <v>0</v>
      </c>
      <c r="Q177" s="30">
        <f t="shared" si="23"/>
        <v>0</v>
      </c>
      <c r="R177" s="30">
        <f t="shared" si="24"/>
        <v>18643890.879999999</v>
      </c>
      <c r="S177" s="30">
        <f t="shared" si="25"/>
        <v>18643890.879999999</v>
      </c>
      <c r="V177" s="21" t="str">
        <f t="shared" si="19"/>
        <v>6010 · Printing and stationery</v>
      </c>
      <c r="W177" s="25">
        <f t="shared" si="20"/>
        <v>-18643890.879999999</v>
      </c>
    </row>
    <row r="178" spans="1:23" s="27" customFormat="1" ht="13">
      <c r="A178" s="20"/>
      <c r="B178" s="21" t="s">
        <v>185</v>
      </c>
      <c r="C178" s="22">
        <f t="shared" si="21"/>
        <v>102665807.91</v>
      </c>
      <c r="D178" s="23"/>
      <c r="E178" s="22"/>
      <c r="F178" s="24"/>
      <c r="G178" s="49"/>
      <c r="H178" s="25">
        <f t="shared" si="22"/>
        <v>-102665807.91</v>
      </c>
      <c r="I178" s="26"/>
      <c r="J178" s="28" t="str">
        <f t="shared" si="26"/>
        <v>6020</v>
      </c>
      <c r="K178" s="21" t="str">
        <f t="shared" si="18"/>
        <v>6020 · Vehicle Expense</v>
      </c>
      <c r="N178" s="24">
        <f>SUMIF('Final E-Banker TB Dec 2025'!$A$3:$A$192,J178,'Final E-Banker TB Dec 2025'!$G$3:$G$192)</f>
        <v>102665807.91</v>
      </c>
      <c r="O178" s="24">
        <f>SUMIF('Final E-Banker TB Dec 2025'!$A$3:$A$192,'TB December 2025   '!J178,'Final E-Banker TB Dec 2025'!$H$3:$H$192)</f>
        <v>0</v>
      </c>
      <c r="Q178" s="30">
        <f t="shared" si="23"/>
        <v>0</v>
      </c>
      <c r="R178" s="30">
        <f t="shared" si="24"/>
        <v>102665807.91</v>
      </c>
      <c r="S178" s="30">
        <f t="shared" si="25"/>
        <v>102665807.91</v>
      </c>
      <c r="V178" s="21" t="str">
        <f t="shared" si="19"/>
        <v>6020 · Vehicle Expense</v>
      </c>
      <c r="W178" s="25">
        <f t="shared" si="20"/>
        <v>-102665807.91</v>
      </c>
    </row>
    <row r="179" spans="1:23" s="27" customFormat="1" ht="13">
      <c r="A179" s="20"/>
      <c r="B179" s="21" t="s">
        <v>186</v>
      </c>
      <c r="C179" s="22">
        <f t="shared" si="21"/>
        <v>5267854.63</v>
      </c>
      <c r="D179" s="23"/>
      <c r="E179" s="22"/>
      <c r="F179" s="24"/>
      <c r="G179" s="49"/>
      <c r="H179" s="25">
        <f t="shared" si="22"/>
        <v>-5267854.63</v>
      </c>
      <c r="I179" s="26"/>
      <c r="J179" s="28" t="str">
        <f t="shared" si="26"/>
        <v>6030</v>
      </c>
      <c r="K179" s="21" t="str">
        <f t="shared" si="18"/>
        <v>6030 · Cleaning Services</v>
      </c>
      <c r="N179" s="24">
        <f>SUMIF('Final E-Banker TB Dec 2025'!$A$3:$A$192,J179,'Final E-Banker TB Dec 2025'!$G$3:$G$192)</f>
        <v>5267854.63</v>
      </c>
      <c r="O179" s="24">
        <f>SUMIF('Final E-Banker TB Dec 2025'!$A$3:$A$192,'TB December 2025   '!J179,'Final E-Banker TB Dec 2025'!$H$3:$H$192)</f>
        <v>0</v>
      </c>
      <c r="Q179" s="30">
        <f t="shared" si="23"/>
        <v>0</v>
      </c>
      <c r="R179" s="30">
        <f t="shared" si="24"/>
        <v>5267854.63</v>
      </c>
      <c r="S179" s="30">
        <f t="shared" si="25"/>
        <v>5267854.63</v>
      </c>
      <c r="V179" s="21" t="str">
        <f t="shared" si="19"/>
        <v>6030 · Cleaning Services</v>
      </c>
      <c r="W179" s="25">
        <f t="shared" si="20"/>
        <v>-5267854.63</v>
      </c>
    </row>
    <row r="180" spans="1:23" s="27" customFormat="1" ht="13">
      <c r="A180" s="20"/>
      <c r="B180" s="21" t="s">
        <v>187</v>
      </c>
      <c r="C180" s="22">
        <f t="shared" si="21"/>
        <v>14001351.07</v>
      </c>
      <c r="D180" s="23"/>
      <c r="E180" s="22"/>
      <c r="F180" s="24"/>
      <c r="G180" s="49"/>
      <c r="H180" s="25">
        <f t="shared" si="22"/>
        <v>-14001351.07</v>
      </c>
      <c r="I180" s="26"/>
      <c r="J180" s="28" t="str">
        <f t="shared" si="26"/>
        <v>6040</v>
      </c>
      <c r="K180" s="21" t="str">
        <f t="shared" si="18"/>
        <v>6040 · Bank Service Charges</v>
      </c>
      <c r="N180" s="24">
        <f>SUMIF('Final E-Banker TB Dec 2025'!$A$3:$A$192,J180,'Final E-Banker TB Dec 2025'!$G$3:$G$192)</f>
        <v>14001351.07</v>
      </c>
      <c r="O180" s="24">
        <f>SUMIF('Final E-Banker TB Dec 2025'!$A$3:$A$192,'TB December 2025   '!J180,'Final E-Banker TB Dec 2025'!$H$3:$H$192)</f>
        <v>0</v>
      </c>
      <c r="Q180" s="30">
        <f t="shared" si="23"/>
        <v>0</v>
      </c>
      <c r="R180" s="30">
        <f t="shared" si="24"/>
        <v>14001351.07</v>
      </c>
      <c r="S180" s="30">
        <f t="shared" si="25"/>
        <v>14001351.07</v>
      </c>
      <c r="V180" s="21" t="str">
        <f t="shared" si="19"/>
        <v>6040 · Bank Service Charges</v>
      </c>
      <c r="W180" s="25">
        <f t="shared" si="20"/>
        <v>-14001351.07</v>
      </c>
    </row>
    <row r="181" spans="1:23" s="27" customFormat="1" ht="13">
      <c r="A181" s="20"/>
      <c r="B181" s="21" t="s">
        <v>188</v>
      </c>
      <c r="C181" s="22">
        <f t="shared" si="21"/>
        <v>630000</v>
      </c>
      <c r="D181" s="23"/>
      <c r="E181" s="22"/>
      <c r="F181" s="24">
        <v>0.41</v>
      </c>
      <c r="G181" s="49"/>
      <c r="H181" s="25">
        <f t="shared" si="22"/>
        <v>-629999.59</v>
      </c>
      <c r="I181" s="26"/>
      <c r="J181" s="28" t="str">
        <f t="shared" si="26"/>
        <v>6050</v>
      </c>
      <c r="K181" s="21" t="str">
        <f t="shared" si="18"/>
        <v>6050 · Donations</v>
      </c>
      <c r="N181" s="24">
        <f>SUMIF('Final E-Banker TB Dec 2025'!$A$3:$A$192,J181,'Final E-Banker TB Dec 2025'!$G$3:$G$192)</f>
        <v>630000</v>
      </c>
      <c r="O181" s="24">
        <f>SUMIF('Final E-Banker TB Dec 2025'!$A$3:$A$192,'TB December 2025   '!J181,'Final E-Banker TB Dec 2025'!$H$3:$H$192)</f>
        <v>0</v>
      </c>
      <c r="Q181" s="30">
        <f t="shared" si="23"/>
        <v>0</v>
      </c>
      <c r="R181" s="30">
        <f t="shared" si="24"/>
        <v>630000</v>
      </c>
      <c r="S181" s="30">
        <f t="shared" si="25"/>
        <v>630000</v>
      </c>
      <c r="V181" s="21" t="str">
        <f t="shared" si="19"/>
        <v>6050 · Donations</v>
      </c>
      <c r="W181" s="25">
        <f t="shared" si="20"/>
        <v>-629999.59</v>
      </c>
    </row>
    <row r="182" spans="1:23" s="27" customFormat="1" ht="13">
      <c r="A182" s="20"/>
      <c r="B182" s="21" t="s">
        <v>189</v>
      </c>
      <c r="C182" s="22">
        <f t="shared" si="21"/>
        <v>182628477.86000001</v>
      </c>
      <c r="D182" s="23"/>
      <c r="E182" s="22"/>
      <c r="F182" s="24"/>
      <c r="G182" s="49"/>
      <c r="H182" s="25">
        <f t="shared" si="22"/>
        <v>-182628477.86000001</v>
      </c>
      <c r="I182" s="26"/>
      <c r="J182" s="28" t="str">
        <f t="shared" si="26"/>
        <v>6200</v>
      </c>
      <c r="K182" s="21" t="str">
        <f t="shared" si="18"/>
        <v>6200 · Staff Training</v>
      </c>
      <c r="N182" s="24">
        <f>SUMIF('Final E-Banker TB Dec 2025'!$A$3:$A$192,J182,'Final E-Banker TB Dec 2025'!$G$3:$G$192)</f>
        <v>182628477.86000001</v>
      </c>
      <c r="O182" s="24">
        <f>SUMIF('Final E-Banker TB Dec 2025'!$A$3:$A$192,'TB December 2025   '!J182,'Final E-Banker TB Dec 2025'!$H$3:$H$192)</f>
        <v>0</v>
      </c>
      <c r="Q182" s="30">
        <f t="shared" si="23"/>
        <v>0</v>
      </c>
      <c r="R182" s="30">
        <f t="shared" si="24"/>
        <v>182628477.86000001</v>
      </c>
      <c r="S182" s="30">
        <f t="shared" si="25"/>
        <v>182628477.86000001</v>
      </c>
      <c r="V182" s="21" t="str">
        <f t="shared" si="19"/>
        <v>6200 · Staff Training</v>
      </c>
      <c r="W182" s="25">
        <f t="shared" si="20"/>
        <v>-182628477.86000001</v>
      </c>
    </row>
    <row r="183" spans="1:23" s="27" customFormat="1" ht="13">
      <c r="A183" s="20"/>
      <c r="B183" s="21" t="s">
        <v>190</v>
      </c>
      <c r="C183" s="22">
        <f t="shared" si="21"/>
        <v>111675912</v>
      </c>
      <c r="D183" s="23"/>
      <c r="E183" s="22"/>
      <c r="F183" s="24"/>
      <c r="G183" s="49"/>
      <c r="H183" s="25">
        <f t="shared" si="22"/>
        <v>-111675912</v>
      </c>
      <c r="I183" s="26"/>
      <c r="J183" s="28" t="str">
        <f t="shared" si="26"/>
        <v>6240</v>
      </c>
      <c r="K183" s="21" t="str">
        <f t="shared" si="18"/>
        <v>6240 · Depn-Motor Vehicle Exp</v>
      </c>
      <c r="N183" s="24">
        <f>SUMIF('Final E-Banker TB Dec 2025'!$A$3:$A$192,J183,'Final E-Banker TB Dec 2025'!$G$3:$G$192)</f>
        <v>111675912</v>
      </c>
      <c r="O183" s="24">
        <f>SUMIF('Final E-Banker TB Dec 2025'!$A$3:$A$192,'TB December 2025   '!J183,'Final E-Banker TB Dec 2025'!$H$3:$H$192)</f>
        <v>0</v>
      </c>
      <c r="Q183" s="30">
        <f t="shared" si="23"/>
        <v>0</v>
      </c>
      <c r="R183" s="30">
        <f t="shared" si="24"/>
        <v>111675912</v>
      </c>
      <c r="S183" s="30">
        <f t="shared" si="25"/>
        <v>111675912</v>
      </c>
      <c r="V183" s="21" t="str">
        <f t="shared" si="19"/>
        <v>6240 · Depn-Motor Vehicle Exp</v>
      </c>
      <c r="W183" s="25">
        <f t="shared" si="20"/>
        <v>-111675912</v>
      </c>
    </row>
    <row r="184" spans="1:23" s="27" customFormat="1" ht="13">
      <c r="A184" s="20"/>
      <c r="B184" s="21" t="s">
        <v>191</v>
      </c>
      <c r="C184" s="22">
        <f t="shared" si="21"/>
        <v>656093875.49000001</v>
      </c>
      <c r="D184" s="23"/>
      <c r="E184" s="22"/>
      <c r="F184" s="24">
        <f>447850999.2-F111-F104+9960338.43-68706371.58</f>
        <v>412492908.47000003</v>
      </c>
      <c r="G184" s="49" t="s">
        <v>426</v>
      </c>
      <c r="H184" s="25">
        <f t="shared" si="22"/>
        <v>-243600967.01999998</v>
      </c>
      <c r="I184" s="26"/>
      <c r="J184" s="28" t="str">
        <f t="shared" si="26"/>
        <v>6242</v>
      </c>
      <c r="K184" s="21" t="str">
        <f t="shared" si="18"/>
        <v>6242 · Impairement of Financial Asset</v>
      </c>
      <c r="N184" s="24">
        <f>SUMIF('Final E-Banker TB Dec 2025'!$A$3:$A$192,J184,'Final E-Banker TB Dec 2025'!$G$3:$G$192)</f>
        <v>656093875.49000001</v>
      </c>
      <c r="O184" s="24">
        <f>SUMIF('Final E-Banker TB Dec 2025'!$A$3:$A$192,'TB December 2025   '!J184,'Final E-Banker TB Dec 2025'!$H$3:$H$192)</f>
        <v>0</v>
      </c>
      <c r="Q184" s="30">
        <f t="shared" si="23"/>
        <v>0</v>
      </c>
      <c r="R184" s="30">
        <f t="shared" si="24"/>
        <v>656093875.49000001</v>
      </c>
      <c r="S184" s="30">
        <f t="shared" si="25"/>
        <v>656093875.49000001</v>
      </c>
      <c r="V184" s="21" t="str">
        <f t="shared" si="19"/>
        <v>6242 · Impairement of Financial Asset</v>
      </c>
      <c r="W184" s="25">
        <f t="shared" si="20"/>
        <v>-243600967.01999998</v>
      </c>
    </row>
    <row r="185" spans="1:23" s="27" customFormat="1" ht="13">
      <c r="A185" s="20"/>
      <c r="B185" s="21" t="s">
        <v>192</v>
      </c>
      <c r="C185" s="22">
        <f t="shared" si="21"/>
        <v>6543856.4800000004</v>
      </c>
      <c r="D185" s="23"/>
      <c r="E185" s="22"/>
      <c r="F185" s="24"/>
      <c r="G185" s="49"/>
      <c r="H185" s="25">
        <f t="shared" si="22"/>
        <v>-6543856.4800000004</v>
      </c>
      <c r="I185" s="26"/>
      <c r="J185" s="28" t="str">
        <f t="shared" si="26"/>
        <v>6243</v>
      </c>
      <c r="K185" s="21" t="str">
        <f t="shared" si="18"/>
        <v>6243 · Depn-Furniture&amp;Fittings Exp</v>
      </c>
      <c r="N185" s="24">
        <f>SUMIF('Final E-Banker TB Dec 2025'!$A$3:$A$192,J185,'Final E-Banker TB Dec 2025'!$G$3:$G$192)</f>
        <v>6543856.4800000004</v>
      </c>
      <c r="O185" s="24">
        <f>SUMIF('Final E-Banker TB Dec 2025'!$A$3:$A$192,'TB December 2025   '!J185,'Final E-Banker TB Dec 2025'!$H$3:$H$192)</f>
        <v>0</v>
      </c>
      <c r="Q185" s="30">
        <f t="shared" si="23"/>
        <v>0</v>
      </c>
      <c r="R185" s="30">
        <f t="shared" si="24"/>
        <v>6543856.4800000004</v>
      </c>
      <c r="S185" s="30">
        <f t="shared" si="25"/>
        <v>6543856.4800000004</v>
      </c>
      <c r="V185" s="21" t="str">
        <f t="shared" si="19"/>
        <v>6243 · Depn-Furniture&amp;Fittings Exp</v>
      </c>
      <c r="W185" s="25">
        <f t="shared" si="20"/>
        <v>-6543856.4800000004</v>
      </c>
    </row>
    <row r="186" spans="1:23" s="27" customFormat="1" ht="13">
      <c r="A186" s="20"/>
      <c r="B186" s="21" t="s">
        <v>193</v>
      </c>
      <c r="C186" s="22">
        <f t="shared" si="21"/>
        <v>55856532.710000001</v>
      </c>
      <c r="D186" s="23"/>
      <c r="E186" s="22"/>
      <c r="F186" s="24"/>
      <c r="G186" s="49"/>
      <c r="H186" s="25">
        <f t="shared" si="22"/>
        <v>-55856532.710000001</v>
      </c>
      <c r="I186" s="26"/>
      <c r="J186" s="28" t="str">
        <f t="shared" si="26"/>
        <v>6244</v>
      </c>
      <c r="K186" s="21" t="str">
        <f t="shared" si="18"/>
        <v>6244 · Depn-Computer Equip Exp</v>
      </c>
      <c r="N186" s="24">
        <f>SUMIF('Final E-Banker TB Dec 2025'!$A$3:$A$192,J186,'Final E-Banker TB Dec 2025'!$G$3:$G$192)</f>
        <v>55856532.710000001</v>
      </c>
      <c r="O186" s="24">
        <f>SUMIF('Final E-Banker TB Dec 2025'!$A$3:$A$192,'TB December 2025   '!J186,'Final E-Banker TB Dec 2025'!$H$3:$H$192)</f>
        <v>0</v>
      </c>
      <c r="Q186" s="30">
        <f t="shared" si="23"/>
        <v>0</v>
      </c>
      <c r="R186" s="30">
        <f t="shared" si="24"/>
        <v>55856532.710000001</v>
      </c>
      <c r="S186" s="30">
        <f t="shared" si="25"/>
        <v>55856532.710000001</v>
      </c>
      <c r="V186" s="21" t="str">
        <f t="shared" si="19"/>
        <v>6244 · Depn-Computer Equip Exp</v>
      </c>
      <c r="W186" s="25">
        <f t="shared" si="20"/>
        <v>-55856532.710000001</v>
      </c>
    </row>
    <row r="187" spans="1:23" s="27" customFormat="1" ht="13">
      <c r="A187" s="20"/>
      <c r="B187" s="21" t="s">
        <v>194</v>
      </c>
      <c r="C187" s="22">
        <f t="shared" si="21"/>
        <v>7772084.5099999998</v>
      </c>
      <c r="D187" s="23"/>
      <c r="E187" s="22"/>
      <c r="F187" s="24"/>
      <c r="G187" s="49"/>
      <c r="H187" s="25">
        <f t="shared" si="22"/>
        <v>-7772084.5099999998</v>
      </c>
      <c r="I187" s="26"/>
      <c r="J187" s="28" t="str">
        <f t="shared" si="26"/>
        <v>6245</v>
      </c>
      <c r="K187" s="21" t="str">
        <f t="shared" si="18"/>
        <v>6245 · Depn-Office Equip Exp</v>
      </c>
      <c r="N187" s="24">
        <f>SUMIF('Final E-Banker TB Dec 2025'!$A$3:$A$192,J187,'Final E-Banker TB Dec 2025'!$G$3:$G$192)</f>
        <v>7772084.5099999998</v>
      </c>
      <c r="O187" s="24">
        <f>SUMIF('Final E-Banker TB Dec 2025'!$A$3:$A$192,'TB December 2025   '!J187,'Final E-Banker TB Dec 2025'!$H$3:$H$192)</f>
        <v>0</v>
      </c>
      <c r="Q187" s="30">
        <f t="shared" si="23"/>
        <v>0</v>
      </c>
      <c r="R187" s="30">
        <f t="shared" si="24"/>
        <v>7772084.5099999998</v>
      </c>
      <c r="S187" s="30">
        <f t="shared" si="25"/>
        <v>7772084.5099999998</v>
      </c>
      <c r="V187" s="21" t="str">
        <f t="shared" si="19"/>
        <v>6245 · Depn-Office Equip Exp</v>
      </c>
      <c r="W187" s="25">
        <f t="shared" si="20"/>
        <v>-7772084.5099999998</v>
      </c>
    </row>
    <row r="188" spans="1:23" s="27" customFormat="1" ht="13">
      <c r="A188" s="20"/>
      <c r="B188" s="21" t="s">
        <v>195</v>
      </c>
      <c r="C188" s="22">
        <f t="shared" si="21"/>
        <v>281740427.08999997</v>
      </c>
      <c r="D188" s="23"/>
      <c r="E188" s="22"/>
      <c r="F188" s="24"/>
      <c r="G188" s="49"/>
      <c r="H188" s="25">
        <f t="shared" si="22"/>
        <v>-281740427.08999997</v>
      </c>
      <c r="I188" s="26"/>
      <c r="J188" s="28" t="str">
        <f t="shared" si="26"/>
        <v>6246</v>
      </c>
      <c r="K188" s="21" t="str">
        <f t="shared" si="18"/>
        <v>6246 · Depn-Software Expe</v>
      </c>
      <c r="N188" s="24">
        <f>SUMIF('Final E-Banker TB Dec 2025'!$A$3:$A$192,J188,'Final E-Banker TB Dec 2025'!$G$3:$G$192)</f>
        <v>281740427.08999997</v>
      </c>
      <c r="O188" s="24">
        <f>SUMIF('Final E-Banker TB Dec 2025'!$A$3:$A$192,'TB December 2025   '!J188,'Final E-Banker TB Dec 2025'!$H$3:$H$192)</f>
        <v>0</v>
      </c>
      <c r="Q188" s="30">
        <f t="shared" si="23"/>
        <v>0</v>
      </c>
      <c r="R188" s="30">
        <f t="shared" si="24"/>
        <v>281740427.08999997</v>
      </c>
      <c r="S188" s="30">
        <f t="shared" si="25"/>
        <v>281740427.08999997</v>
      </c>
      <c r="V188" s="21" t="str">
        <f t="shared" si="19"/>
        <v>6246 · Depn-Software Expe</v>
      </c>
      <c r="W188" s="25">
        <f t="shared" si="20"/>
        <v>-281740427.08999997</v>
      </c>
    </row>
    <row r="189" spans="1:23" s="27" customFormat="1" ht="13">
      <c r="A189" s="20"/>
      <c r="B189" s="21" t="s">
        <v>196</v>
      </c>
      <c r="C189" s="22">
        <f t="shared" si="21"/>
        <v>41170321.939999998</v>
      </c>
      <c r="D189" s="23"/>
      <c r="E189" s="22"/>
      <c r="F189" s="24"/>
      <c r="G189" s="49"/>
      <c r="H189" s="25">
        <f t="shared" si="22"/>
        <v>-41170321.939999998</v>
      </c>
      <c r="I189" s="26"/>
      <c r="J189" s="28" t="str">
        <f t="shared" si="26"/>
        <v>6250</v>
      </c>
      <c r="K189" s="21" t="str">
        <f t="shared" si="18"/>
        <v>6250 · Dues and Subscriptions</v>
      </c>
      <c r="N189" s="24">
        <f>SUMIF('Final E-Banker TB Dec 2025'!$A$3:$A$192,J189,'Final E-Banker TB Dec 2025'!$G$3:$G$192)</f>
        <v>41170321.939999998</v>
      </c>
      <c r="O189" s="24">
        <f>SUMIF('Final E-Banker TB Dec 2025'!$A$3:$A$192,'TB December 2025   '!J189,'Final E-Banker TB Dec 2025'!$H$3:$H$192)</f>
        <v>0</v>
      </c>
      <c r="Q189" s="30">
        <f t="shared" si="23"/>
        <v>0</v>
      </c>
      <c r="R189" s="30">
        <f t="shared" si="24"/>
        <v>41170321.939999998</v>
      </c>
      <c r="S189" s="30">
        <f t="shared" si="25"/>
        <v>41170321.939999998</v>
      </c>
      <c r="V189" s="21" t="str">
        <f t="shared" si="19"/>
        <v>6250 · Dues and Subscriptions</v>
      </c>
      <c r="W189" s="25">
        <f t="shared" si="20"/>
        <v>-41170321.939999998</v>
      </c>
    </row>
    <row r="190" spans="1:23" s="27" customFormat="1" ht="13">
      <c r="A190" s="20"/>
      <c r="B190" s="21" t="s">
        <v>197</v>
      </c>
      <c r="C190" s="22">
        <f t="shared" si="21"/>
        <v>94774136.140000001</v>
      </c>
      <c r="D190" s="23"/>
      <c r="E190" s="22"/>
      <c r="F190" s="24"/>
      <c r="G190" s="49"/>
      <c r="H190" s="25">
        <f t="shared" si="22"/>
        <v>-94774136.140000001</v>
      </c>
      <c r="I190" s="26"/>
      <c r="J190" s="28" t="str">
        <f t="shared" si="26"/>
        <v>6330</v>
      </c>
      <c r="K190" s="21" t="str">
        <f t="shared" si="18"/>
        <v>6330 · Insurance Expense</v>
      </c>
      <c r="N190" s="24">
        <f>SUMIF('Final E-Banker TB Dec 2025'!$A$3:$A$192,J190,'Final E-Banker TB Dec 2025'!$G$3:$G$192)</f>
        <v>94774136.140000001</v>
      </c>
      <c r="O190" s="24">
        <f>SUMIF('Final E-Banker TB Dec 2025'!$A$3:$A$192,'TB December 2025   '!J190,'Final E-Banker TB Dec 2025'!$H$3:$H$192)</f>
        <v>0</v>
      </c>
      <c r="Q190" s="30">
        <f t="shared" si="23"/>
        <v>0</v>
      </c>
      <c r="R190" s="30">
        <f t="shared" si="24"/>
        <v>94774136.140000001</v>
      </c>
      <c r="S190" s="30">
        <f t="shared" si="25"/>
        <v>94774136.140000001</v>
      </c>
      <c r="V190" s="21" t="str">
        <f t="shared" si="19"/>
        <v>6330 · Insurance Expense</v>
      </c>
      <c r="W190" s="25">
        <f t="shared" si="20"/>
        <v>-94774136.140000001</v>
      </c>
    </row>
    <row r="191" spans="1:23" s="27" customFormat="1" ht="13">
      <c r="A191" s="20"/>
      <c r="B191" s="21" t="s">
        <v>198</v>
      </c>
      <c r="C191" s="22">
        <f t="shared" si="21"/>
        <v>534156079.52999997</v>
      </c>
      <c r="D191" s="23"/>
      <c r="E191" s="22"/>
      <c r="F191" s="24">
        <f>-493942.88-3601030.54</f>
        <v>-4094973.42</v>
      </c>
      <c r="G191" s="49" t="s">
        <v>428</v>
      </c>
      <c r="H191" s="25">
        <f t="shared" si="22"/>
        <v>-538251052.94999993</v>
      </c>
      <c r="I191" s="26"/>
      <c r="J191" s="28" t="str">
        <f t="shared" si="26"/>
        <v>6340</v>
      </c>
      <c r="K191" s="21" t="str">
        <f t="shared" si="18"/>
        <v>6340 · Interest Expense</v>
      </c>
      <c r="N191" s="24">
        <f>SUMIF('Final E-Banker TB Dec 2025'!$A$3:$A$192,J191,'Final E-Banker TB Dec 2025'!$G$3:$G$192)</f>
        <v>534156079.52999997</v>
      </c>
      <c r="O191" s="24">
        <f>SUMIF('Final E-Banker TB Dec 2025'!$A$3:$A$192,'TB December 2025   '!J191,'Final E-Banker TB Dec 2025'!$H$3:$H$192)</f>
        <v>0</v>
      </c>
      <c r="Q191" s="30">
        <f t="shared" si="23"/>
        <v>0</v>
      </c>
      <c r="R191" s="30">
        <f t="shared" si="24"/>
        <v>534156079.52999997</v>
      </c>
      <c r="S191" s="30">
        <f t="shared" si="25"/>
        <v>534156079.52999997</v>
      </c>
      <c r="V191" s="21" t="str">
        <f t="shared" si="19"/>
        <v>6340 · Interest Expense</v>
      </c>
      <c r="W191" s="25">
        <f t="shared" si="20"/>
        <v>-538251052.94999993</v>
      </c>
    </row>
    <row r="192" spans="1:23" s="27" customFormat="1" ht="13">
      <c r="A192" s="20"/>
      <c r="B192" s="21" t="s">
        <v>199</v>
      </c>
      <c r="C192" s="22">
        <f t="shared" si="21"/>
        <v>52240554.090000004</v>
      </c>
      <c r="D192" s="23"/>
      <c r="E192" s="22"/>
      <c r="F192" s="24"/>
      <c r="G192" s="49"/>
      <c r="H192" s="25">
        <f t="shared" si="22"/>
        <v>-52240554.090000004</v>
      </c>
      <c r="I192" s="26"/>
      <c r="J192" s="28" t="str">
        <f t="shared" si="26"/>
        <v>6490</v>
      </c>
      <c r="K192" s="21" t="str">
        <f t="shared" si="18"/>
        <v>6490 · Office Expense</v>
      </c>
      <c r="N192" s="24">
        <f>SUMIF('Final E-Banker TB Dec 2025'!$A$3:$A$192,J192,'Final E-Banker TB Dec 2025'!$G$3:$G$192)</f>
        <v>52240554.090000004</v>
      </c>
      <c r="O192" s="24">
        <f>SUMIF('Final E-Banker TB Dec 2025'!$A$3:$A$192,'TB December 2025   '!J192,'Final E-Banker TB Dec 2025'!$H$3:$H$192)</f>
        <v>0</v>
      </c>
      <c r="Q192" s="30">
        <f t="shared" si="23"/>
        <v>0</v>
      </c>
      <c r="R192" s="30">
        <f t="shared" si="24"/>
        <v>52240554.090000004</v>
      </c>
      <c r="S192" s="30">
        <f t="shared" si="25"/>
        <v>52240554.090000004</v>
      </c>
      <c r="V192" s="21" t="str">
        <f t="shared" si="19"/>
        <v>6490 · Office Expense</v>
      </c>
      <c r="W192" s="25">
        <f t="shared" si="20"/>
        <v>-52240554.090000004</v>
      </c>
    </row>
    <row r="193" spans="1:23" s="27" customFormat="1" ht="13">
      <c r="A193" s="20"/>
      <c r="B193" s="21" t="s">
        <v>200</v>
      </c>
      <c r="C193" s="22">
        <f t="shared" si="21"/>
        <v>446944.68</v>
      </c>
      <c r="D193" s="23"/>
      <c r="E193" s="22"/>
      <c r="F193" s="24"/>
      <c r="G193" s="49"/>
      <c r="H193" s="25">
        <f t="shared" si="22"/>
        <v>-446944.68</v>
      </c>
      <c r="I193" s="26"/>
      <c r="J193" s="28" t="str">
        <f t="shared" si="26"/>
        <v>6650</v>
      </c>
      <c r="K193" s="21" t="str">
        <f t="shared" si="18"/>
        <v>6650 · Postage and Delivery</v>
      </c>
      <c r="N193" s="24">
        <f>SUMIF('Final E-Banker TB Dec 2025'!$A$3:$A$192,J193,'Final E-Banker TB Dec 2025'!$G$3:$G$192)</f>
        <v>446944.68</v>
      </c>
      <c r="O193" s="24">
        <f>SUMIF('Final E-Banker TB Dec 2025'!$A$3:$A$192,'TB December 2025   '!J193,'Final E-Banker TB Dec 2025'!$H$3:$H$192)</f>
        <v>0</v>
      </c>
      <c r="Q193" s="30">
        <f t="shared" si="23"/>
        <v>0</v>
      </c>
      <c r="R193" s="30">
        <f t="shared" si="24"/>
        <v>446944.68</v>
      </c>
      <c r="S193" s="30">
        <f t="shared" si="25"/>
        <v>446944.68</v>
      </c>
      <c r="V193" s="21" t="str">
        <f t="shared" si="19"/>
        <v>6650 · Postage and Delivery</v>
      </c>
      <c r="W193" s="25">
        <f t="shared" si="20"/>
        <v>-446944.68</v>
      </c>
    </row>
    <row r="194" spans="1:23" s="27" customFormat="1" ht="13">
      <c r="A194" s="20"/>
      <c r="B194" s="21" t="s">
        <v>201</v>
      </c>
      <c r="C194" s="22">
        <f t="shared" si="21"/>
        <v>64375578.68</v>
      </c>
      <c r="D194" s="23"/>
      <c r="E194" s="22"/>
      <c r="F194" s="24"/>
      <c r="G194" s="49"/>
      <c r="H194" s="25">
        <f t="shared" si="22"/>
        <v>-64375578.68</v>
      </c>
      <c r="I194" s="26"/>
      <c r="J194" s="28" t="str">
        <f t="shared" si="26"/>
        <v>6710</v>
      </c>
      <c r="K194" s="21" t="str">
        <f t="shared" si="18"/>
        <v>6710 · Rent and Rates</v>
      </c>
      <c r="N194" s="24">
        <f>SUMIF('Final E-Banker TB Dec 2025'!$A$3:$A$192,J194,'Final E-Banker TB Dec 2025'!$G$3:$G$192)</f>
        <v>64375578.68</v>
      </c>
      <c r="O194" s="24">
        <f>SUMIF('Final E-Banker TB Dec 2025'!$A$3:$A$192,'TB December 2025   '!J194,'Final E-Banker TB Dec 2025'!$H$3:$H$192)</f>
        <v>0</v>
      </c>
      <c r="Q194" s="30">
        <f t="shared" si="23"/>
        <v>0</v>
      </c>
      <c r="R194" s="30">
        <f t="shared" si="24"/>
        <v>64375578.68</v>
      </c>
      <c r="S194" s="30">
        <f t="shared" si="25"/>
        <v>64375578.68</v>
      </c>
      <c r="V194" s="21" t="str">
        <f t="shared" si="19"/>
        <v>6710 · Rent and Rates</v>
      </c>
      <c r="W194" s="25">
        <f t="shared" si="20"/>
        <v>-64375578.68</v>
      </c>
    </row>
    <row r="195" spans="1:23" s="27" customFormat="1" ht="13">
      <c r="A195" s="20"/>
      <c r="B195" s="21" t="s">
        <v>202</v>
      </c>
      <c r="C195" s="22">
        <f t="shared" si="21"/>
        <v>10269719.98</v>
      </c>
      <c r="D195" s="23"/>
      <c r="E195" s="22"/>
      <c r="F195" s="24"/>
      <c r="G195" s="49"/>
      <c r="H195" s="25">
        <f t="shared" si="22"/>
        <v>-10269719.98</v>
      </c>
      <c r="I195" s="26"/>
      <c r="J195" s="28" t="str">
        <f t="shared" si="26"/>
        <v>6720</v>
      </c>
      <c r="K195" s="21" t="str">
        <f t="shared" ref="K195:K212" si="27">B195</f>
        <v>6720 · Repairs and Maintenance</v>
      </c>
      <c r="N195" s="24">
        <f>SUMIF('Final E-Banker TB Dec 2025'!$A$3:$A$192,J195,'Final E-Banker TB Dec 2025'!$G$3:$G$192)</f>
        <v>10269719.98</v>
      </c>
      <c r="O195" s="24">
        <f>SUMIF('Final E-Banker TB Dec 2025'!$A$3:$A$192,'TB December 2025   '!J195,'Final E-Banker TB Dec 2025'!$H$3:$H$192)</f>
        <v>0</v>
      </c>
      <c r="Q195" s="30">
        <f t="shared" si="23"/>
        <v>0</v>
      </c>
      <c r="R195" s="30">
        <f t="shared" si="24"/>
        <v>10269719.98</v>
      </c>
      <c r="S195" s="30">
        <f t="shared" si="25"/>
        <v>10269719.98</v>
      </c>
      <c r="V195" s="21" t="str">
        <f t="shared" ref="V195:V211" si="28">B195</f>
        <v>6720 · Repairs and Maintenance</v>
      </c>
      <c r="W195" s="25">
        <f t="shared" ref="W195:W211" si="29">H195</f>
        <v>-10269719.98</v>
      </c>
    </row>
    <row r="196" spans="1:23" s="27" customFormat="1" ht="13">
      <c r="A196" s="20"/>
      <c r="B196" s="21" t="s">
        <v>203</v>
      </c>
      <c r="C196" s="22">
        <f t="shared" ref="C196:C212" si="30">S196</f>
        <v>70683022.379999995</v>
      </c>
      <c r="D196" s="23"/>
      <c r="E196" s="22"/>
      <c r="F196" s="24">
        <v>-65322156.75</v>
      </c>
      <c r="G196" s="49" t="s">
        <v>429</v>
      </c>
      <c r="H196" s="25">
        <f t="shared" ref="H196:H212" si="31">E196-C196+F196</f>
        <v>-136005179.13</v>
      </c>
      <c r="I196" s="26"/>
      <c r="J196" s="28" t="str">
        <f t="shared" si="26"/>
        <v>6730</v>
      </c>
      <c r="K196" s="21" t="str">
        <f t="shared" si="27"/>
        <v>6730 · FInES Expenses</v>
      </c>
      <c r="N196" s="24">
        <f>SUMIF('Final E-Banker TB Dec 2025'!$A$3:$A$192,J196,'Final E-Banker TB Dec 2025'!$G$3:$G$192)</f>
        <v>70683022.379999995</v>
      </c>
      <c r="O196" s="24">
        <f>SUMIF('Final E-Banker TB Dec 2025'!$A$3:$A$192,'TB December 2025   '!J196,'Final E-Banker TB Dec 2025'!$H$3:$H$192)</f>
        <v>0</v>
      </c>
      <c r="Q196" s="30">
        <f t="shared" ref="Q196:Q211" si="32">-O196</f>
        <v>0</v>
      </c>
      <c r="R196" s="30">
        <f t="shared" ref="R196:R211" si="33">N196</f>
        <v>70683022.379999995</v>
      </c>
      <c r="S196" s="30">
        <f t="shared" ref="S196:S211" si="34">Q196+R196</f>
        <v>70683022.379999995</v>
      </c>
      <c r="V196" s="21" t="str">
        <f t="shared" si="28"/>
        <v>6730 · FInES Expenses</v>
      </c>
      <c r="W196" s="25">
        <f t="shared" si="29"/>
        <v>-136005179.13</v>
      </c>
    </row>
    <row r="197" spans="1:23" s="27" customFormat="1" ht="13">
      <c r="A197" s="20"/>
      <c r="B197" s="21" t="s">
        <v>204</v>
      </c>
      <c r="C197" s="22">
        <f t="shared" si="30"/>
        <v>145567970.03999999</v>
      </c>
      <c r="D197" s="23"/>
      <c r="E197" s="22"/>
      <c r="F197" s="24"/>
      <c r="G197" s="49"/>
      <c r="H197" s="25">
        <f t="shared" si="31"/>
        <v>-145567970.03999999</v>
      </c>
      <c r="I197" s="26"/>
      <c r="J197" s="28" t="str">
        <f t="shared" si="26"/>
        <v>6740</v>
      </c>
      <c r="K197" s="21" t="str">
        <f t="shared" si="27"/>
        <v>6740 · AGRA Expenses</v>
      </c>
      <c r="N197" s="24">
        <f>SUMIF('Final E-Banker TB Dec 2025'!$A$3:$A$192,J197,'Final E-Banker TB Dec 2025'!$G$3:$G$192)</f>
        <v>145567970.03999999</v>
      </c>
      <c r="O197" s="24">
        <f>SUMIF('Final E-Banker TB Dec 2025'!$A$3:$A$192,'TB December 2025   '!J197,'Final E-Banker TB Dec 2025'!$H$3:$H$192)</f>
        <v>0</v>
      </c>
      <c r="Q197" s="30">
        <f t="shared" si="32"/>
        <v>0</v>
      </c>
      <c r="R197" s="30">
        <f t="shared" si="33"/>
        <v>145567970.03999999</v>
      </c>
      <c r="S197" s="30">
        <f t="shared" si="34"/>
        <v>145567970.03999999</v>
      </c>
      <c r="V197" s="21" t="str">
        <f t="shared" si="28"/>
        <v>6740 · AGRA Expenses</v>
      </c>
      <c r="W197" s="25">
        <f t="shared" si="29"/>
        <v>-145567970.03999999</v>
      </c>
    </row>
    <row r="198" spans="1:23" s="27" customFormat="1" ht="13">
      <c r="A198" s="20"/>
      <c r="B198" s="21" t="s">
        <v>205</v>
      </c>
      <c r="C198" s="22">
        <f t="shared" si="30"/>
        <v>14000000</v>
      </c>
      <c r="D198" s="23"/>
      <c r="E198" s="22"/>
      <c r="F198" s="24"/>
      <c r="G198" s="49"/>
      <c r="H198" s="25">
        <f t="shared" si="31"/>
        <v>-14000000</v>
      </c>
      <c r="I198" s="26"/>
      <c r="J198" s="28" t="str">
        <f t="shared" si="26"/>
        <v>6750</v>
      </c>
      <c r="K198" s="21" t="str">
        <f t="shared" si="27"/>
        <v>6750 · AGCOM Expenses</v>
      </c>
      <c r="N198" s="24">
        <f>SUMIF('Final E-Banker TB Dec 2025'!$A$3:$A$192,J198,'Final E-Banker TB Dec 2025'!$G$3:$G$192)</f>
        <v>14000000</v>
      </c>
      <c r="O198" s="24">
        <f>SUMIF('Final E-Banker TB Dec 2025'!$A$3:$A$192,'TB December 2025   '!J198,'Final E-Banker TB Dec 2025'!$H$3:$H$192)</f>
        <v>0</v>
      </c>
      <c r="Q198" s="30">
        <f t="shared" si="32"/>
        <v>0</v>
      </c>
      <c r="R198" s="30">
        <f t="shared" si="33"/>
        <v>14000000</v>
      </c>
      <c r="S198" s="30">
        <f t="shared" si="34"/>
        <v>14000000</v>
      </c>
      <c r="V198" s="21" t="str">
        <f t="shared" si="28"/>
        <v>6750 · AGCOM Expenses</v>
      </c>
      <c r="W198" s="25">
        <f t="shared" si="29"/>
        <v>-14000000</v>
      </c>
    </row>
    <row r="199" spans="1:23" s="27" customFormat="1" ht="13">
      <c r="A199" s="20"/>
      <c r="B199" s="21" t="s">
        <v>206</v>
      </c>
      <c r="C199" s="22">
        <f t="shared" si="30"/>
        <v>45569973.799999997</v>
      </c>
      <c r="D199" s="23"/>
      <c r="E199" s="22"/>
      <c r="F199" s="24"/>
      <c r="G199" s="49"/>
      <c r="H199" s="25">
        <f t="shared" si="31"/>
        <v>-45569973.799999997</v>
      </c>
      <c r="I199" s="26"/>
      <c r="J199" s="28" t="str">
        <f t="shared" si="26"/>
        <v>6751</v>
      </c>
      <c r="K199" s="21" t="str">
        <f t="shared" si="27"/>
        <v>6751 · Shared Interest Cost</v>
      </c>
      <c r="N199" s="24">
        <f>SUMIF('Final E-Banker TB Dec 2025'!$A$3:$A$192,J199,'Final E-Banker TB Dec 2025'!$G$3:$G$192)</f>
        <v>45569973.799999997</v>
      </c>
      <c r="O199" s="24">
        <f>SUMIF('Final E-Banker TB Dec 2025'!$A$3:$A$192,'TB December 2025   '!J199,'Final E-Banker TB Dec 2025'!$H$3:$H$192)</f>
        <v>0</v>
      </c>
      <c r="Q199" s="30">
        <f t="shared" si="32"/>
        <v>0</v>
      </c>
      <c r="R199" s="30">
        <f t="shared" si="33"/>
        <v>45569973.799999997</v>
      </c>
      <c r="S199" s="30">
        <f t="shared" si="34"/>
        <v>45569973.799999997</v>
      </c>
      <c r="V199" s="21" t="str">
        <f t="shared" si="28"/>
        <v>6751 · Shared Interest Cost</v>
      </c>
      <c r="W199" s="25">
        <f t="shared" si="29"/>
        <v>-45569973.799999997</v>
      </c>
    </row>
    <row r="200" spans="1:23" s="27" customFormat="1" ht="13">
      <c r="A200" s="20"/>
      <c r="B200" s="21" t="s">
        <v>207</v>
      </c>
      <c r="C200" s="22">
        <f t="shared" si="30"/>
        <v>125774121.97</v>
      </c>
      <c r="D200" s="23"/>
      <c r="E200" s="22"/>
      <c r="F200" s="24"/>
      <c r="G200" s="49"/>
      <c r="H200" s="25">
        <f t="shared" si="31"/>
        <v>-125774121.97</v>
      </c>
      <c r="I200" s="26"/>
      <c r="J200" s="28" t="str">
        <f t="shared" ref="J200:J212" si="35">LEFT(K200,4)</f>
        <v>6752</v>
      </c>
      <c r="K200" s="21" t="str">
        <f t="shared" si="27"/>
        <v>6752 · Legal Costs-Clients</v>
      </c>
      <c r="N200" s="24">
        <f>SUMIF('Final E-Banker TB Dec 2025'!$A$3:$A$192,J200,'Final E-Banker TB Dec 2025'!$G$3:$G$192)+'Final E-Banker TB Dec 2025'!G175</f>
        <v>125774121.97</v>
      </c>
      <c r="O200" s="24">
        <f>SUMIF('Final E-Banker TB Dec 2025'!$A$3:$A$192,'TB December 2025   '!J200,'Final E-Banker TB Dec 2025'!$H$3:$H$192)</f>
        <v>0</v>
      </c>
      <c r="Q200" s="30">
        <f t="shared" si="32"/>
        <v>0</v>
      </c>
      <c r="R200" s="30">
        <f t="shared" si="33"/>
        <v>125774121.97</v>
      </c>
      <c r="S200" s="30">
        <f t="shared" si="34"/>
        <v>125774121.97</v>
      </c>
      <c r="V200" s="21" t="str">
        <f t="shared" si="28"/>
        <v>6752 · Legal Costs-Clients</v>
      </c>
      <c r="W200" s="25">
        <f t="shared" si="29"/>
        <v>-125774121.97</v>
      </c>
    </row>
    <row r="201" spans="1:23" s="27" customFormat="1" ht="13">
      <c r="A201" s="20"/>
      <c r="B201" s="21" t="s">
        <v>208</v>
      </c>
      <c r="C201" s="22">
        <f t="shared" si="30"/>
        <v>54244136.719999999</v>
      </c>
      <c r="D201" s="23"/>
      <c r="E201" s="22"/>
      <c r="F201" s="24"/>
      <c r="G201" s="49"/>
      <c r="H201" s="25">
        <f t="shared" si="31"/>
        <v>-54244136.719999999</v>
      </c>
      <c r="I201" s="26"/>
      <c r="J201" s="28" t="str">
        <f t="shared" si="35"/>
        <v>6754</v>
      </c>
      <c r="K201" s="21" t="str">
        <f t="shared" si="27"/>
        <v>6754 · Mega Farms T&amp;S Allowances</v>
      </c>
      <c r="N201" s="24">
        <f>SUMIF('Final E-Banker TB Dec 2025'!$A$3:$A$192,J201,'Final E-Banker TB Dec 2025'!$G$3:$G$192)</f>
        <v>54244136.719999999</v>
      </c>
      <c r="O201" s="24">
        <f>SUMIF('Final E-Banker TB Dec 2025'!$A$3:$A$192,'TB December 2025   '!J201,'Final E-Banker TB Dec 2025'!$H$3:$H$192)</f>
        <v>0</v>
      </c>
      <c r="Q201" s="30">
        <f t="shared" si="32"/>
        <v>0</v>
      </c>
      <c r="R201" s="30">
        <f t="shared" si="33"/>
        <v>54244136.719999999</v>
      </c>
      <c r="S201" s="30">
        <f t="shared" si="34"/>
        <v>54244136.719999999</v>
      </c>
      <c r="V201" s="21" t="str">
        <f t="shared" si="28"/>
        <v>6754 · Mega Farms T&amp;S Allowances</v>
      </c>
      <c r="W201" s="25">
        <f t="shared" si="29"/>
        <v>-54244136.719999999</v>
      </c>
    </row>
    <row r="202" spans="1:23" s="27" customFormat="1" ht="13">
      <c r="A202" s="20"/>
      <c r="B202" s="21" t="s">
        <v>209</v>
      </c>
      <c r="C202" s="22">
        <f t="shared" si="30"/>
        <v>54542681.799999997</v>
      </c>
      <c r="D202" s="23"/>
      <c r="E202" s="22"/>
      <c r="F202" s="24"/>
      <c r="G202" s="49"/>
      <c r="H202" s="25">
        <f t="shared" si="31"/>
        <v>-54542681.799999997</v>
      </c>
      <c r="I202" s="26"/>
      <c r="J202" s="28" t="str">
        <f t="shared" si="35"/>
        <v>6755</v>
      </c>
      <c r="K202" s="21" t="str">
        <f t="shared" si="27"/>
        <v>6755 · Mega farms-Vehicle Expenses</v>
      </c>
      <c r="N202" s="24">
        <f>SUMIF('Final E-Banker TB Dec 2025'!$A$3:$A$192,J202,'Final E-Banker TB Dec 2025'!$G$3:$G$192)</f>
        <v>54542681.799999997</v>
      </c>
      <c r="O202" s="24">
        <f>SUMIF('Final E-Banker TB Dec 2025'!$A$3:$A$192,'TB December 2025   '!J202,'Final E-Banker TB Dec 2025'!$H$3:$H$192)</f>
        <v>0</v>
      </c>
      <c r="Q202" s="30">
        <f t="shared" si="32"/>
        <v>0</v>
      </c>
      <c r="R202" s="30">
        <f t="shared" si="33"/>
        <v>54542681.799999997</v>
      </c>
      <c r="S202" s="30">
        <f t="shared" si="34"/>
        <v>54542681.799999997</v>
      </c>
      <c r="V202" s="21" t="str">
        <f t="shared" si="28"/>
        <v>6755 · Mega farms-Vehicle Expenses</v>
      </c>
      <c r="W202" s="25">
        <f t="shared" si="29"/>
        <v>-54542681.799999997</v>
      </c>
    </row>
    <row r="203" spans="1:23" s="27" customFormat="1" ht="13">
      <c r="A203" s="20"/>
      <c r="B203" s="21" t="s">
        <v>210</v>
      </c>
      <c r="C203" s="22">
        <f t="shared" si="30"/>
        <v>35321914.780000001</v>
      </c>
      <c r="D203" s="23"/>
      <c r="E203" s="22"/>
      <c r="F203" s="24"/>
      <c r="G203" s="49"/>
      <c r="H203" s="25">
        <f t="shared" si="31"/>
        <v>-35321914.780000001</v>
      </c>
      <c r="I203" s="26"/>
      <c r="J203" s="28" t="str">
        <f t="shared" si="35"/>
        <v>6756</v>
      </c>
      <c r="K203" s="21" t="str">
        <f t="shared" si="27"/>
        <v>6756 · Mega Farms-Salaries</v>
      </c>
      <c r="N203" s="24">
        <f>SUMIF('Final E-Banker TB Dec 2025'!$A$3:$A$192,J203,'Final E-Banker TB Dec 2025'!$G$3:$G$192)</f>
        <v>35321914.780000001</v>
      </c>
      <c r="O203" s="24">
        <f>SUMIF('Final E-Banker TB Dec 2025'!$A$3:$A$192,'TB December 2025   '!J203,'Final E-Banker TB Dec 2025'!$H$3:$H$192)</f>
        <v>0</v>
      </c>
      <c r="Q203" s="30">
        <f t="shared" si="32"/>
        <v>0</v>
      </c>
      <c r="R203" s="30">
        <f t="shared" si="33"/>
        <v>35321914.780000001</v>
      </c>
      <c r="S203" s="30">
        <f t="shared" si="34"/>
        <v>35321914.780000001</v>
      </c>
      <c r="V203" s="21" t="str">
        <f t="shared" si="28"/>
        <v>6756 · Mega Farms-Salaries</v>
      </c>
      <c r="W203" s="25">
        <f t="shared" si="29"/>
        <v>-35321914.780000001</v>
      </c>
    </row>
    <row r="204" spans="1:23" s="27" customFormat="1" ht="13">
      <c r="A204" s="20"/>
      <c r="B204" s="21" t="s">
        <v>211</v>
      </c>
      <c r="C204" s="22">
        <f t="shared" si="30"/>
        <v>22012020</v>
      </c>
      <c r="D204" s="23"/>
      <c r="E204" s="22"/>
      <c r="F204" s="24"/>
      <c r="G204" s="49"/>
      <c r="H204" s="25">
        <f t="shared" si="31"/>
        <v>-22012020</v>
      </c>
      <c r="I204" s="26"/>
      <c r="J204" s="28" t="str">
        <f t="shared" si="35"/>
        <v>6757</v>
      </c>
      <c r="K204" s="21" t="str">
        <f t="shared" si="27"/>
        <v>6757 · Mega farms-Other Expenses</v>
      </c>
      <c r="N204" s="24">
        <f>SUMIF('Final E-Banker TB Dec 2025'!$A$3:$A$192,J204,'Final E-Banker TB Dec 2025'!$G$3:$G$192)</f>
        <v>22012020</v>
      </c>
      <c r="O204" s="24">
        <f>SUMIF('Final E-Banker TB Dec 2025'!$A$3:$A$192,'TB December 2025   '!J204,'Final E-Banker TB Dec 2025'!$H$3:$H$192)</f>
        <v>0</v>
      </c>
      <c r="Q204" s="30">
        <f t="shared" si="32"/>
        <v>0</v>
      </c>
      <c r="R204" s="30">
        <f t="shared" si="33"/>
        <v>22012020</v>
      </c>
      <c r="S204" s="30">
        <f t="shared" si="34"/>
        <v>22012020</v>
      </c>
      <c r="V204" s="21" t="str">
        <f t="shared" si="28"/>
        <v>6757 · Mega farms-Other Expenses</v>
      </c>
      <c r="W204" s="25">
        <f t="shared" si="29"/>
        <v>-22012020</v>
      </c>
    </row>
    <row r="205" spans="1:23" s="27" customFormat="1" ht="13">
      <c r="A205" s="20"/>
      <c r="B205" s="21" t="s">
        <v>212</v>
      </c>
      <c r="C205" s="22">
        <f t="shared" si="30"/>
        <v>9330644.2200000007</v>
      </c>
      <c r="D205" s="23"/>
      <c r="E205" s="22"/>
      <c r="F205" s="24"/>
      <c r="G205" s="49"/>
      <c r="H205" s="25">
        <f t="shared" si="31"/>
        <v>-9330644.2200000007</v>
      </c>
      <c r="I205" s="26"/>
      <c r="J205" s="28" t="str">
        <f t="shared" si="35"/>
        <v>6758</v>
      </c>
      <c r="K205" s="21" t="str">
        <f t="shared" si="27"/>
        <v>6758 · Mega Farms Board Meeting</v>
      </c>
      <c r="N205" s="24">
        <f>SUMIF('Final E-Banker TB Dec 2025'!$A$3:$A$192,J205,'Final E-Banker TB Dec 2025'!$G$3:$G$192)</f>
        <v>9330644.2200000007</v>
      </c>
      <c r="O205" s="24">
        <f>SUMIF('Final E-Banker TB Dec 2025'!$A$3:$A$192,'TB December 2025   '!J205,'Final E-Banker TB Dec 2025'!$H$3:$H$192)</f>
        <v>0</v>
      </c>
      <c r="Q205" s="30">
        <f t="shared" si="32"/>
        <v>0</v>
      </c>
      <c r="R205" s="30">
        <f t="shared" si="33"/>
        <v>9330644.2200000007</v>
      </c>
      <c r="S205" s="30">
        <f t="shared" si="34"/>
        <v>9330644.2200000007</v>
      </c>
      <c r="V205" s="21" t="str">
        <f t="shared" si="28"/>
        <v>6758 · Mega Farms Board Meeting</v>
      </c>
      <c r="W205" s="25">
        <f t="shared" si="29"/>
        <v>-9330644.2200000007</v>
      </c>
    </row>
    <row r="206" spans="1:23" s="27" customFormat="1" ht="13">
      <c r="A206" s="20"/>
      <c r="B206" s="21" t="s">
        <v>213</v>
      </c>
      <c r="C206" s="22">
        <f t="shared" si="30"/>
        <v>6687694.6699999999</v>
      </c>
      <c r="D206" s="23"/>
      <c r="E206" s="22"/>
      <c r="F206" s="24">
        <f>-F108</f>
        <v>-14100000</v>
      </c>
      <c r="G206" s="49" t="s">
        <v>427</v>
      </c>
      <c r="H206" s="25">
        <f t="shared" si="31"/>
        <v>-20787694.670000002</v>
      </c>
      <c r="I206" s="26"/>
      <c r="J206" s="28">
        <v>6801</v>
      </c>
      <c r="K206" s="21" t="str">
        <f t="shared" si="27"/>
        <v>6800 · Taxes:6801 · Tevet levy</v>
      </c>
      <c r="N206" s="24">
        <f>SUMIF('Final E-Banker TB Dec 2025'!$A$3:$A$192,J206,'Final E-Banker TB Dec 2025'!$G$3:$G$192)</f>
        <v>6687694.6699999999</v>
      </c>
      <c r="O206" s="24">
        <f>SUMIF('Final E-Banker TB Dec 2025'!$A$3:$A$192,'TB December 2025   '!J206,'Final E-Banker TB Dec 2025'!$H$3:$H$192)</f>
        <v>0</v>
      </c>
      <c r="Q206" s="30">
        <f t="shared" si="32"/>
        <v>0</v>
      </c>
      <c r="R206" s="30">
        <f t="shared" si="33"/>
        <v>6687694.6699999999</v>
      </c>
      <c r="S206" s="30">
        <f t="shared" si="34"/>
        <v>6687694.6699999999</v>
      </c>
      <c r="V206" s="21" t="str">
        <f t="shared" si="28"/>
        <v>6800 · Taxes:6801 · Tevet levy</v>
      </c>
      <c r="W206" s="25">
        <f t="shared" si="29"/>
        <v>-20787694.670000002</v>
      </c>
    </row>
    <row r="207" spans="1:23" s="27" customFormat="1" ht="13">
      <c r="A207" s="20"/>
      <c r="B207" s="21" t="s">
        <v>214</v>
      </c>
      <c r="C207" s="22">
        <f t="shared" si="30"/>
        <v>62165939.850000001</v>
      </c>
      <c r="D207" s="23"/>
      <c r="E207" s="22"/>
      <c r="F207" s="24"/>
      <c r="G207" s="49"/>
      <c r="H207" s="25">
        <f t="shared" si="31"/>
        <v>-62165939.850000001</v>
      </c>
      <c r="I207" s="26"/>
      <c r="J207" s="28">
        <v>6802</v>
      </c>
      <c r="K207" s="21" t="str">
        <f t="shared" si="27"/>
        <v>6800 · Taxes:6802 · Fringe Benefits Tax</v>
      </c>
      <c r="N207" s="24">
        <f>SUMIF('Final E-Banker TB Dec 2025'!$A$3:$A$192,J207,'Final E-Banker TB Dec 2025'!$G$3:$G$192)</f>
        <v>62165939.850000001</v>
      </c>
      <c r="O207" s="24">
        <f>SUMIF('Final E-Banker TB Dec 2025'!$A$3:$A$192,'TB December 2025   '!J207,'Final E-Banker TB Dec 2025'!$H$3:$H$192)</f>
        <v>0</v>
      </c>
      <c r="Q207" s="30">
        <f t="shared" si="32"/>
        <v>0</v>
      </c>
      <c r="R207" s="30">
        <f t="shared" si="33"/>
        <v>62165939.850000001</v>
      </c>
      <c r="S207" s="30">
        <f t="shared" si="34"/>
        <v>62165939.850000001</v>
      </c>
      <c r="V207" s="21" t="str">
        <f t="shared" si="28"/>
        <v>6800 · Taxes:6802 · Fringe Benefits Tax</v>
      </c>
      <c r="W207" s="25">
        <f t="shared" si="29"/>
        <v>-62165939.850000001</v>
      </c>
    </row>
    <row r="208" spans="1:23" s="27" customFormat="1" ht="13">
      <c r="A208" s="20"/>
      <c r="B208" s="21" t="s">
        <v>215</v>
      </c>
      <c r="C208" s="22">
        <f t="shared" si="30"/>
        <v>145355684.21000001</v>
      </c>
      <c r="D208" s="23"/>
      <c r="E208" s="22"/>
      <c r="F208" s="24"/>
      <c r="G208" s="49"/>
      <c r="H208" s="25">
        <f t="shared" si="31"/>
        <v>-145355684.21000001</v>
      </c>
      <c r="I208" s="26"/>
      <c r="J208" s="28" t="str">
        <f t="shared" si="35"/>
        <v>6810</v>
      </c>
      <c r="K208" s="21" t="str">
        <f t="shared" si="27"/>
        <v>6810 · Communication</v>
      </c>
      <c r="N208" s="24">
        <f>SUMIF('Final E-Banker TB Dec 2025'!$A$3:$A$192,J208,'Final E-Banker TB Dec 2025'!$G$3:$G$192)</f>
        <v>145355684.21000001</v>
      </c>
      <c r="O208" s="24">
        <f>SUMIF('Final E-Banker TB Dec 2025'!$A$3:$A$192,'TB December 2025   '!J208,'Final E-Banker TB Dec 2025'!$H$3:$H$192)</f>
        <v>0</v>
      </c>
      <c r="Q208" s="30">
        <f t="shared" si="32"/>
        <v>0</v>
      </c>
      <c r="R208" s="30">
        <f t="shared" si="33"/>
        <v>145355684.21000001</v>
      </c>
      <c r="S208" s="30">
        <f t="shared" si="34"/>
        <v>145355684.21000001</v>
      </c>
      <c r="V208" s="21" t="str">
        <f t="shared" si="28"/>
        <v>6810 · Communication</v>
      </c>
      <c r="W208" s="25">
        <f t="shared" si="29"/>
        <v>-145355684.21000001</v>
      </c>
    </row>
    <row r="209" spans="1:23" s="27" customFormat="1" ht="13">
      <c r="A209" s="20"/>
      <c r="B209" s="21" t="s">
        <v>216</v>
      </c>
      <c r="C209" s="22">
        <f t="shared" si="30"/>
        <v>102245.88</v>
      </c>
      <c r="D209" s="23"/>
      <c r="E209" s="22"/>
      <c r="F209" s="24"/>
      <c r="G209" s="49"/>
      <c r="H209" s="25">
        <f t="shared" si="31"/>
        <v>-102245.88</v>
      </c>
      <c r="I209" s="26"/>
      <c r="J209" s="28" t="str">
        <f t="shared" si="35"/>
        <v>6820</v>
      </c>
      <c r="K209" s="21" t="str">
        <f t="shared" si="27"/>
        <v>6820 · Disposal Acc</v>
      </c>
      <c r="N209" s="24">
        <f>SUMIF('Final E-Banker TB Dec 2025'!$A$3:$A$192,J209,'Final E-Banker TB Dec 2025'!$G$3:$G$192)</f>
        <v>102245.88</v>
      </c>
      <c r="O209" s="24">
        <f>SUMIF('Final E-Banker TB Dec 2025'!$A$3:$A$192,'TB December 2025   '!J209,'Final E-Banker TB Dec 2025'!$H$3:$H$192)</f>
        <v>0</v>
      </c>
      <c r="Q209" s="30">
        <f t="shared" si="32"/>
        <v>0</v>
      </c>
      <c r="R209" s="30">
        <f t="shared" si="33"/>
        <v>102245.88</v>
      </c>
      <c r="S209" s="30">
        <f t="shared" si="34"/>
        <v>102245.88</v>
      </c>
      <c r="V209" s="21" t="str">
        <f t="shared" si="28"/>
        <v>6820 · Disposal Acc</v>
      </c>
      <c r="W209" s="25">
        <f t="shared" si="29"/>
        <v>-102245.88</v>
      </c>
    </row>
    <row r="210" spans="1:23" s="31" customFormat="1" ht="13">
      <c r="A210" s="20"/>
      <c r="B210" s="27" t="s">
        <v>217</v>
      </c>
      <c r="C210" s="22">
        <f t="shared" si="30"/>
        <v>138641956.30000001</v>
      </c>
      <c r="D210" s="23"/>
      <c r="E210" s="22"/>
      <c r="F210" s="25">
        <f>-F69</f>
        <v>-2683823.61</v>
      </c>
      <c r="G210" s="52" t="s">
        <v>430</v>
      </c>
      <c r="H210" s="25">
        <f t="shared" si="31"/>
        <v>-141325779.91000003</v>
      </c>
      <c r="I210" s="26"/>
      <c r="J210" s="28" t="str">
        <f t="shared" si="35"/>
        <v>6840</v>
      </c>
      <c r="K210" s="21" t="str">
        <f t="shared" si="27"/>
        <v>6840 · Travelling and Accommodation</v>
      </c>
      <c r="N210" s="24">
        <f>SUMIF('Final E-Banker TB Dec 2025'!$A$3:$A$192,J210,'Final E-Banker TB Dec 2025'!$G$3:$G$192)</f>
        <v>138641956.30000001</v>
      </c>
      <c r="O210" s="24">
        <f>SUMIF('Final E-Banker TB Dec 2025'!$A$3:$A$192,'TB December 2025   '!J210,'Final E-Banker TB Dec 2025'!$H$3:$H$192)</f>
        <v>0</v>
      </c>
      <c r="Q210" s="30">
        <f t="shared" si="32"/>
        <v>0</v>
      </c>
      <c r="R210" s="30">
        <f t="shared" si="33"/>
        <v>138641956.30000001</v>
      </c>
      <c r="S210" s="30">
        <f t="shared" si="34"/>
        <v>138641956.30000001</v>
      </c>
      <c r="V210" s="21" t="str">
        <f t="shared" si="28"/>
        <v>6840 · Travelling and Accommodation</v>
      </c>
      <c r="W210" s="25">
        <f t="shared" si="29"/>
        <v>-141325779.91000003</v>
      </c>
    </row>
    <row r="211" spans="1:23" s="31" customFormat="1" ht="13">
      <c r="A211" s="20"/>
      <c r="B211" s="27" t="s">
        <v>218</v>
      </c>
      <c r="C211" s="22">
        <f t="shared" si="30"/>
        <v>14188693.560000001</v>
      </c>
      <c r="D211" s="23"/>
      <c r="E211" s="22"/>
      <c r="F211" s="25"/>
      <c r="G211" s="52"/>
      <c r="H211" s="25">
        <f t="shared" si="31"/>
        <v>-14188693.560000001</v>
      </c>
      <c r="I211" s="26"/>
      <c r="J211" s="28" t="str">
        <f t="shared" si="35"/>
        <v>6860</v>
      </c>
      <c r="K211" s="21" t="str">
        <f t="shared" si="27"/>
        <v>6860 · Utilities</v>
      </c>
      <c r="N211" s="24">
        <f>SUMIF('Final E-Banker TB Dec 2025'!$A$3:$A$192,J211,'Final E-Banker TB Dec 2025'!$G$3:$G$192)</f>
        <v>14188693.560000001</v>
      </c>
      <c r="O211" s="24">
        <f>SUMIF('Final E-Banker TB Dec 2025'!$A$3:$A$192,'TB December 2025   '!J211,'Final E-Banker TB Dec 2025'!$H$3:$H$192)</f>
        <v>0</v>
      </c>
      <c r="Q211" s="30">
        <f t="shared" si="32"/>
        <v>0</v>
      </c>
      <c r="R211" s="30">
        <f t="shared" si="33"/>
        <v>14188693.560000001</v>
      </c>
      <c r="S211" s="30">
        <f t="shared" si="34"/>
        <v>14188693.560000001</v>
      </c>
      <c r="V211" s="21" t="str">
        <f t="shared" si="28"/>
        <v>6860 · Utilities</v>
      </c>
      <c r="W211" s="25">
        <f t="shared" si="29"/>
        <v>-14188693.560000001</v>
      </c>
    </row>
    <row r="212" spans="1:23" s="31" customFormat="1" ht="13.5" thickBot="1">
      <c r="A212" s="20"/>
      <c r="B212" s="27" t="s">
        <v>219</v>
      </c>
      <c r="C212" s="22">
        <f t="shared" si="30"/>
        <v>0</v>
      </c>
      <c r="D212" s="23"/>
      <c r="E212" s="22"/>
      <c r="F212" s="25"/>
      <c r="G212" s="52"/>
      <c r="H212" s="25">
        <f t="shared" si="31"/>
        <v>0</v>
      </c>
      <c r="I212" s="26"/>
      <c r="J212" s="28" t="str">
        <f t="shared" si="35"/>
        <v>7700</v>
      </c>
      <c r="K212" s="21" t="str">
        <f t="shared" si="27"/>
        <v>7700 · Exchange Gain or Loss</v>
      </c>
      <c r="N212" s="29">
        <f>SUMIF('Final E-Banker TB Dec 2025'!$A$3:$A$192,J212,'Final E-Banker TB Dec 2025'!$G$3:$G$192)</f>
        <v>0</v>
      </c>
      <c r="O212" s="29">
        <f>SUMIF('Final E-Banker TB Dec 2025'!$A$3:$A$192,'TB December 2025   '!J212,'Final E-Banker TB Dec 2025'!$H$3:$H$192)</f>
        <v>0</v>
      </c>
    </row>
    <row r="213" spans="1:23" s="27" customFormat="1" ht="13.5" thickBot="1">
      <c r="B213" s="21"/>
      <c r="C213" s="32">
        <f>ROUND(SUM(C3:C212),5)</f>
        <v>0</v>
      </c>
      <c r="D213" s="20"/>
      <c r="E213" s="32">
        <f>ROUND(SUM(E3:E212),5)</f>
        <v>0</v>
      </c>
      <c r="F213" s="32">
        <f>ROUND(SUM(F3:F212),5)</f>
        <v>1.0000000000000001E-5</v>
      </c>
      <c r="G213" s="52">
        <v>0</v>
      </c>
      <c r="H213" s="25">
        <f>SUM(H3:H211)</f>
        <v>1.3561919331550598E-5</v>
      </c>
      <c r="J213" s="28"/>
      <c r="N213" s="25">
        <f>SUM(N3:N212)</f>
        <v>122650199563.49002</v>
      </c>
      <c r="O213" s="25">
        <f>SUM(O3:O212)</f>
        <v>122650199563.49001</v>
      </c>
      <c r="Q213" s="25">
        <f t="shared" ref="Q213:S213" si="36">SUM(Q3:Q212)</f>
        <v>-122650199563.49001</v>
      </c>
      <c r="R213" s="25">
        <f t="shared" si="36"/>
        <v>122650199563.49002</v>
      </c>
      <c r="S213" s="25">
        <f t="shared" si="36"/>
        <v>3.0081719160079956E-6</v>
      </c>
      <c r="W213" s="25">
        <f>SUM(W3:W212)</f>
        <v>1.3561919331550598E-5</v>
      </c>
    </row>
    <row r="214" spans="1:23" ht="15" thickTop="1">
      <c r="A214" s="12"/>
      <c r="J214" s="33"/>
    </row>
    <row r="215" spans="1:23">
      <c r="A215" s="5"/>
      <c r="N215" s="11">
        <f>'Final E-Banker TB Dec 2025'!G194</f>
        <v>122650199563.48999</v>
      </c>
      <c r="O215" s="11">
        <f>'Final E-Banker TB Dec 2025'!H194</f>
        <v>122650199563.49001</v>
      </c>
    </row>
    <row r="216" spans="1:23">
      <c r="H216" s="11"/>
    </row>
    <row r="217" spans="1:23">
      <c r="H217" s="35"/>
      <c r="N217" s="35">
        <f>N215-N213</f>
        <v>0</v>
      </c>
      <c r="O217" s="35">
        <f>O215-O213</f>
        <v>0</v>
      </c>
    </row>
    <row r="221" spans="1:23">
      <c r="H221" s="36"/>
    </row>
  </sheetData>
  <mergeCells count="1">
    <mergeCell ref="N1:S1"/>
  </mergeCells>
  <pageMargins left="0.7" right="0.7" top="0.75" bottom="0.75" header="0.3" footer="0.3"/>
  <pageSetup scale="75" orientation="portrait" r:id="rId1"/>
  <ignoredErrors>
    <ignoredError sqref="N200 N49:N10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6639-C098-4F59-B6EB-66D3D0BDDBB2}">
  <dimension ref="A1:H195"/>
  <sheetViews>
    <sheetView showGridLines="0" tabSelected="1" workbookViewId="0">
      <pane xSplit="1" ySplit="2" topLeftCell="B116" activePane="bottomRight" state="frozen"/>
      <selection activeCell="E40" sqref="E40"/>
      <selection pane="topRight" activeCell="E40" sqref="E40"/>
      <selection pane="bottomLeft" activeCell="E40" sqref="E40"/>
      <selection pane="bottomRight" activeCell="D121" sqref="D121"/>
    </sheetView>
  </sheetViews>
  <sheetFormatPr defaultRowHeight="14.5"/>
  <cols>
    <col min="1" max="1" width="10.1796875" customWidth="1"/>
    <col min="2" max="2" width="51.08984375" customWidth="1"/>
    <col min="3" max="3" width="21.1796875" style="74" customWidth="1"/>
    <col min="4" max="4" width="21" style="74" customWidth="1"/>
    <col min="5" max="5" width="3.36328125" style="74" customWidth="1"/>
    <col min="6" max="6" width="8.7265625" style="74"/>
    <col min="7" max="8" width="18.453125" style="75" bestFit="1" customWidth="1"/>
    <col min="14" max="14" width="10.81640625" bestFit="1" customWidth="1"/>
    <col min="257" max="257" width="10.1796875" customWidth="1"/>
    <col min="258" max="258" width="51.08984375" customWidth="1"/>
    <col min="259" max="259" width="21.1796875" customWidth="1"/>
    <col min="260" max="260" width="21" customWidth="1"/>
    <col min="261" max="261" width="3.36328125" customWidth="1"/>
    <col min="263" max="264" width="18.453125" bestFit="1" customWidth="1"/>
    <col min="513" max="513" width="10.1796875" customWidth="1"/>
    <col min="514" max="514" width="51.08984375" customWidth="1"/>
    <col min="515" max="515" width="21.1796875" customWidth="1"/>
    <col min="516" max="516" width="21" customWidth="1"/>
    <col min="517" max="517" width="3.36328125" customWidth="1"/>
    <col min="519" max="520" width="18.453125" bestFit="1" customWidth="1"/>
    <col min="769" max="769" width="10.1796875" customWidth="1"/>
    <col min="770" max="770" width="51.08984375" customWidth="1"/>
    <col min="771" max="771" width="21.1796875" customWidth="1"/>
    <col min="772" max="772" width="21" customWidth="1"/>
    <col min="773" max="773" width="3.36328125" customWidth="1"/>
    <col min="775" max="776" width="18.453125" bestFit="1" customWidth="1"/>
    <col min="1025" max="1025" width="10.1796875" customWidth="1"/>
    <col min="1026" max="1026" width="51.08984375" customWidth="1"/>
    <col min="1027" max="1027" width="21.1796875" customWidth="1"/>
    <col min="1028" max="1028" width="21" customWidth="1"/>
    <col min="1029" max="1029" width="3.36328125" customWidth="1"/>
    <col min="1031" max="1032" width="18.453125" bestFit="1" customWidth="1"/>
    <col min="1281" max="1281" width="10.1796875" customWidth="1"/>
    <col min="1282" max="1282" width="51.08984375" customWidth="1"/>
    <col min="1283" max="1283" width="21.1796875" customWidth="1"/>
    <col min="1284" max="1284" width="21" customWidth="1"/>
    <col min="1285" max="1285" width="3.36328125" customWidth="1"/>
    <col min="1287" max="1288" width="18.453125" bestFit="1" customWidth="1"/>
    <col min="1537" max="1537" width="10.1796875" customWidth="1"/>
    <col min="1538" max="1538" width="51.08984375" customWidth="1"/>
    <col min="1539" max="1539" width="21.1796875" customWidth="1"/>
    <col min="1540" max="1540" width="21" customWidth="1"/>
    <col min="1541" max="1541" width="3.36328125" customWidth="1"/>
    <col min="1543" max="1544" width="18.453125" bestFit="1" customWidth="1"/>
    <col min="1793" max="1793" width="10.1796875" customWidth="1"/>
    <col min="1794" max="1794" width="51.08984375" customWidth="1"/>
    <col min="1795" max="1795" width="21.1796875" customWidth="1"/>
    <col min="1796" max="1796" width="21" customWidth="1"/>
    <col min="1797" max="1797" width="3.36328125" customWidth="1"/>
    <col min="1799" max="1800" width="18.453125" bestFit="1" customWidth="1"/>
    <col min="2049" max="2049" width="10.1796875" customWidth="1"/>
    <col min="2050" max="2050" width="51.08984375" customWidth="1"/>
    <col min="2051" max="2051" width="21.1796875" customWidth="1"/>
    <col min="2052" max="2052" width="21" customWidth="1"/>
    <col min="2053" max="2053" width="3.36328125" customWidth="1"/>
    <col min="2055" max="2056" width="18.453125" bestFit="1" customWidth="1"/>
    <col min="2305" max="2305" width="10.1796875" customWidth="1"/>
    <col min="2306" max="2306" width="51.08984375" customWidth="1"/>
    <col min="2307" max="2307" width="21.1796875" customWidth="1"/>
    <col min="2308" max="2308" width="21" customWidth="1"/>
    <col min="2309" max="2309" width="3.36328125" customWidth="1"/>
    <col min="2311" max="2312" width="18.453125" bestFit="1" customWidth="1"/>
    <col min="2561" max="2561" width="10.1796875" customWidth="1"/>
    <col min="2562" max="2562" width="51.08984375" customWidth="1"/>
    <col min="2563" max="2563" width="21.1796875" customWidth="1"/>
    <col min="2564" max="2564" width="21" customWidth="1"/>
    <col min="2565" max="2565" width="3.36328125" customWidth="1"/>
    <col min="2567" max="2568" width="18.453125" bestFit="1" customWidth="1"/>
    <col min="2817" max="2817" width="10.1796875" customWidth="1"/>
    <col min="2818" max="2818" width="51.08984375" customWidth="1"/>
    <col min="2819" max="2819" width="21.1796875" customWidth="1"/>
    <col min="2820" max="2820" width="21" customWidth="1"/>
    <col min="2821" max="2821" width="3.36328125" customWidth="1"/>
    <col min="2823" max="2824" width="18.453125" bestFit="1" customWidth="1"/>
    <col min="3073" max="3073" width="10.1796875" customWidth="1"/>
    <col min="3074" max="3074" width="51.08984375" customWidth="1"/>
    <col min="3075" max="3075" width="21.1796875" customWidth="1"/>
    <col min="3076" max="3076" width="21" customWidth="1"/>
    <col min="3077" max="3077" width="3.36328125" customWidth="1"/>
    <col min="3079" max="3080" width="18.453125" bestFit="1" customWidth="1"/>
    <col min="3329" max="3329" width="10.1796875" customWidth="1"/>
    <col min="3330" max="3330" width="51.08984375" customWidth="1"/>
    <col min="3331" max="3331" width="21.1796875" customWidth="1"/>
    <col min="3332" max="3332" width="21" customWidth="1"/>
    <col min="3333" max="3333" width="3.36328125" customWidth="1"/>
    <col min="3335" max="3336" width="18.453125" bestFit="1" customWidth="1"/>
    <col min="3585" max="3585" width="10.1796875" customWidth="1"/>
    <col min="3586" max="3586" width="51.08984375" customWidth="1"/>
    <col min="3587" max="3587" width="21.1796875" customWidth="1"/>
    <col min="3588" max="3588" width="21" customWidth="1"/>
    <col min="3589" max="3589" width="3.36328125" customWidth="1"/>
    <col min="3591" max="3592" width="18.453125" bestFit="1" customWidth="1"/>
    <col min="3841" max="3841" width="10.1796875" customWidth="1"/>
    <col min="3842" max="3842" width="51.08984375" customWidth="1"/>
    <col min="3843" max="3843" width="21.1796875" customWidth="1"/>
    <col min="3844" max="3844" width="21" customWidth="1"/>
    <col min="3845" max="3845" width="3.36328125" customWidth="1"/>
    <col min="3847" max="3848" width="18.453125" bestFit="1" customWidth="1"/>
    <col min="4097" max="4097" width="10.1796875" customWidth="1"/>
    <col min="4098" max="4098" width="51.08984375" customWidth="1"/>
    <col min="4099" max="4099" width="21.1796875" customWidth="1"/>
    <col min="4100" max="4100" width="21" customWidth="1"/>
    <col min="4101" max="4101" width="3.36328125" customWidth="1"/>
    <col min="4103" max="4104" width="18.453125" bestFit="1" customWidth="1"/>
    <col min="4353" max="4353" width="10.1796875" customWidth="1"/>
    <col min="4354" max="4354" width="51.08984375" customWidth="1"/>
    <col min="4355" max="4355" width="21.1796875" customWidth="1"/>
    <col min="4356" max="4356" width="21" customWidth="1"/>
    <col min="4357" max="4357" width="3.36328125" customWidth="1"/>
    <col min="4359" max="4360" width="18.453125" bestFit="1" customWidth="1"/>
    <col min="4609" max="4609" width="10.1796875" customWidth="1"/>
    <col min="4610" max="4610" width="51.08984375" customWidth="1"/>
    <col min="4611" max="4611" width="21.1796875" customWidth="1"/>
    <col min="4612" max="4612" width="21" customWidth="1"/>
    <col min="4613" max="4613" width="3.36328125" customWidth="1"/>
    <col min="4615" max="4616" width="18.453125" bestFit="1" customWidth="1"/>
    <col min="4865" max="4865" width="10.1796875" customWidth="1"/>
    <col min="4866" max="4866" width="51.08984375" customWidth="1"/>
    <col min="4867" max="4867" width="21.1796875" customWidth="1"/>
    <col min="4868" max="4868" width="21" customWidth="1"/>
    <col min="4869" max="4869" width="3.36328125" customWidth="1"/>
    <col min="4871" max="4872" width="18.453125" bestFit="1" customWidth="1"/>
    <col min="5121" max="5121" width="10.1796875" customWidth="1"/>
    <col min="5122" max="5122" width="51.08984375" customWidth="1"/>
    <col min="5123" max="5123" width="21.1796875" customWidth="1"/>
    <col min="5124" max="5124" width="21" customWidth="1"/>
    <col min="5125" max="5125" width="3.36328125" customWidth="1"/>
    <col min="5127" max="5128" width="18.453125" bestFit="1" customWidth="1"/>
    <col min="5377" max="5377" width="10.1796875" customWidth="1"/>
    <col min="5378" max="5378" width="51.08984375" customWidth="1"/>
    <col min="5379" max="5379" width="21.1796875" customWidth="1"/>
    <col min="5380" max="5380" width="21" customWidth="1"/>
    <col min="5381" max="5381" width="3.36328125" customWidth="1"/>
    <col min="5383" max="5384" width="18.453125" bestFit="1" customWidth="1"/>
    <col min="5633" max="5633" width="10.1796875" customWidth="1"/>
    <col min="5634" max="5634" width="51.08984375" customWidth="1"/>
    <col min="5635" max="5635" width="21.1796875" customWidth="1"/>
    <col min="5636" max="5636" width="21" customWidth="1"/>
    <col min="5637" max="5637" width="3.36328125" customWidth="1"/>
    <col min="5639" max="5640" width="18.453125" bestFit="1" customWidth="1"/>
    <col min="5889" max="5889" width="10.1796875" customWidth="1"/>
    <col min="5890" max="5890" width="51.08984375" customWidth="1"/>
    <col min="5891" max="5891" width="21.1796875" customWidth="1"/>
    <col min="5892" max="5892" width="21" customWidth="1"/>
    <col min="5893" max="5893" width="3.36328125" customWidth="1"/>
    <col min="5895" max="5896" width="18.453125" bestFit="1" customWidth="1"/>
    <col min="6145" max="6145" width="10.1796875" customWidth="1"/>
    <col min="6146" max="6146" width="51.08984375" customWidth="1"/>
    <col min="6147" max="6147" width="21.1796875" customWidth="1"/>
    <col min="6148" max="6148" width="21" customWidth="1"/>
    <col min="6149" max="6149" width="3.36328125" customWidth="1"/>
    <col min="6151" max="6152" width="18.453125" bestFit="1" customWidth="1"/>
    <col min="6401" max="6401" width="10.1796875" customWidth="1"/>
    <col min="6402" max="6402" width="51.08984375" customWidth="1"/>
    <col min="6403" max="6403" width="21.1796875" customWidth="1"/>
    <col min="6404" max="6404" width="21" customWidth="1"/>
    <col min="6405" max="6405" width="3.36328125" customWidth="1"/>
    <col min="6407" max="6408" width="18.453125" bestFit="1" customWidth="1"/>
    <col min="6657" max="6657" width="10.1796875" customWidth="1"/>
    <col min="6658" max="6658" width="51.08984375" customWidth="1"/>
    <col min="6659" max="6659" width="21.1796875" customWidth="1"/>
    <col min="6660" max="6660" width="21" customWidth="1"/>
    <col min="6661" max="6661" width="3.36328125" customWidth="1"/>
    <col min="6663" max="6664" width="18.453125" bestFit="1" customWidth="1"/>
    <col min="6913" max="6913" width="10.1796875" customWidth="1"/>
    <col min="6914" max="6914" width="51.08984375" customWidth="1"/>
    <col min="6915" max="6915" width="21.1796875" customWidth="1"/>
    <col min="6916" max="6916" width="21" customWidth="1"/>
    <col min="6917" max="6917" width="3.36328125" customWidth="1"/>
    <col min="6919" max="6920" width="18.453125" bestFit="1" customWidth="1"/>
    <col min="7169" max="7169" width="10.1796875" customWidth="1"/>
    <col min="7170" max="7170" width="51.08984375" customWidth="1"/>
    <col min="7171" max="7171" width="21.1796875" customWidth="1"/>
    <col min="7172" max="7172" width="21" customWidth="1"/>
    <col min="7173" max="7173" width="3.36328125" customWidth="1"/>
    <col min="7175" max="7176" width="18.453125" bestFit="1" customWidth="1"/>
    <col min="7425" max="7425" width="10.1796875" customWidth="1"/>
    <col min="7426" max="7426" width="51.08984375" customWidth="1"/>
    <col min="7427" max="7427" width="21.1796875" customWidth="1"/>
    <col min="7428" max="7428" width="21" customWidth="1"/>
    <col min="7429" max="7429" width="3.36328125" customWidth="1"/>
    <col min="7431" max="7432" width="18.453125" bestFit="1" customWidth="1"/>
    <col min="7681" max="7681" width="10.1796875" customWidth="1"/>
    <col min="7682" max="7682" width="51.08984375" customWidth="1"/>
    <col min="7683" max="7683" width="21.1796875" customWidth="1"/>
    <col min="7684" max="7684" width="21" customWidth="1"/>
    <col min="7685" max="7685" width="3.36328125" customWidth="1"/>
    <col min="7687" max="7688" width="18.453125" bestFit="1" customWidth="1"/>
    <col min="7937" max="7937" width="10.1796875" customWidth="1"/>
    <col min="7938" max="7938" width="51.08984375" customWidth="1"/>
    <col min="7939" max="7939" width="21.1796875" customWidth="1"/>
    <col min="7940" max="7940" width="21" customWidth="1"/>
    <col min="7941" max="7941" width="3.36328125" customWidth="1"/>
    <col min="7943" max="7944" width="18.453125" bestFit="1" customWidth="1"/>
    <col min="8193" max="8193" width="10.1796875" customWidth="1"/>
    <col min="8194" max="8194" width="51.08984375" customWidth="1"/>
    <col min="8195" max="8195" width="21.1796875" customWidth="1"/>
    <col min="8196" max="8196" width="21" customWidth="1"/>
    <col min="8197" max="8197" width="3.36328125" customWidth="1"/>
    <col min="8199" max="8200" width="18.453125" bestFit="1" customWidth="1"/>
    <col min="8449" max="8449" width="10.1796875" customWidth="1"/>
    <col min="8450" max="8450" width="51.08984375" customWidth="1"/>
    <col min="8451" max="8451" width="21.1796875" customWidth="1"/>
    <col min="8452" max="8452" width="21" customWidth="1"/>
    <col min="8453" max="8453" width="3.36328125" customWidth="1"/>
    <col min="8455" max="8456" width="18.453125" bestFit="1" customWidth="1"/>
    <col min="8705" max="8705" width="10.1796875" customWidth="1"/>
    <col min="8706" max="8706" width="51.08984375" customWidth="1"/>
    <col min="8707" max="8707" width="21.1796875" customWidth="1"/>
    <col min="8708" max="8708" width="21" customWidth="1"/>
    <col min="8709" max="8709" width="3.36328125" customWidth="1"/>
    <col min="8711" max="8712" width="18.453125" bestFit="1" customWidth="1"/>
    <col min="8961" max="8961" width="10.1796875" customWidth="1"/>
    <col min="8962" max="8962" width="51.08984375" customWidth="1"/>
    <col min="8963" max="8963" width="21.1796875" customWidth="1"/>
    <col min="8964" max="8964" width="21" customWidth="1"/>
    <col min="8965" max="8965" width="3.36328125" customWidth="1"/>
    <col min="8967" max="8968" width="18.453125" bestFit="1" customWidth="1"/>
    <col min="9217" max="9217" width="10.1796875" customWidth="1"/>
    <col min="9218" max="9218" width="51.08984375" customWidth="1"/>
    <col min="9219" max="9219" width="21.1796875" customWidth="1"/>
    <col min="9220" max="9220" width="21" customWidth="1"/>
    <col min="9221" max="9221" width="3.36328125" customWidth="1"/>
    <col min="9223" max="9224" width="18.453125" bestFit="1" customWidth="1"/>
    <col min="9473" max="9473" width="10.1796875" customWidth="1"/>
    <col min="9474" max="9474" width="51.08984375" customWidth="1"/>
    <col min="9475" max="9475" width="21.1796875" customWidth="1"/>
    <col min="9476" max="9476" width="21" customWidth="1"/>
    <col min="9477" max="9477" width="3.36328125" customWidth="1"/>
    <col min="9479" max="9480" width="18.453125" bestFit="1" customWidth="1"/>
    <col min="9729" max="9729" width="10.1796875" customWidth="1"/>
    <col min="9730" max="9730" width="51.08984375" customWidth="1"/>
    <col min="9731" max="9731" width="21.1796875" customWidth="1"/>
    <col min="9732" max="9732" width="21" customWidth="1"/>
    <col min="9733" max="9733" width="3.36328125" customWidth="1"/>
    <col min="9735" max="9736" width="18.453125" bestFit="1" customWidth="1"/>
    <col min="9985" max="9985" width="10.1796875" customWidth="1"/>
    <col min="9986" max="9986" width="51.08984375" customWidth="1"/>
    <col min="9987" max="9987" width="21.1796875" customWidth="1"/>
    <col min="9988" max="9988" width="21" customWidth="1"/>
    <col min="9989" max="9989" width="3.36328125" customWidth="1"/>
    <col min="9991" max="9992" width="18.453125" bestFit="1" customWidth="1"/>
    <col min="10241" max="10241" width="10.1796875" customWidth="1"/>
    <col min="10242" max="10242" width="51.08984375" customWidth="1"/>
    <col min="10243" max="10243" width="21.1796875" customWidth="1"/>
    <col min="10244" max="10244" width="21" customWidth="1"/>
    <col min="10245" max="10245" width="3.36328125" customWidth="1"/>
    <col min="10247" max="10248" width="18.453125" bestFit="1" customWidth="1"/>
    <col min="10497" max="10497" width="10.1796875" customWidth="1"/>
    <col min="10498" max="10498" width="51.08984375" customWidth="1"/>
    <col min="10499" max="10499" width="21.1796875" customWidth="1"/>
    <col min="10500" max="10500" width="21" customWidth="1"/>
    <col min="10501" max="10501" width="3.36328125" customWidth="1"/>
    <col min="10503" max="10504" width="18.453125" bestFit="1" customWidth="1"/>
    <col min="10753" max="10753" width="10.1796875" customWidth="1"/>
    <col min="10754" max="10754" width="51.08984375" customWidth="1"/>
    <col min="10755" max="10755" width="21.1796875" customWidth="1"/>
    <col min="10756" max="10756" width="21" customWidth="1"/>
    <col min="10757" max="10757" width="3.36328125" customWidth="1"/>
    <col min="10759" max="10760" width="18.453125" bestFit="1" customWidth="1"/>
    <col min="11009" max="11009" width="10.1796875" customWidth="1"/>
    <col min="11010" max="11010" width="51.08984375" customWidth="1"/>
    <col min="11011" max="11011" width="21.1796875" customWidth="1"/>
    <col min="11012" max="11012" width="21" customWidth="1"/>
    <col min="11013" max="11013" width="3.36328125" customWidth="1"/>
    <col min="11015" max="11016" width="18.453125" bestFit="1" customWidth="1"/>
    <col min="11265" max="11265" width="10.1796875" customWidth="1"/>
    <col min="11266" max="11266" width="51.08984375" customWidth="1"/>
    <col min="11267" max="11267" width="21.1796875" customWidth="1"/>
    <col min="11268" max="11268" width="21" customWidth="1"/>
    <col min="11269" max="11269" width="3.36328125" customWidth="1"/>
    <col min="11271" max="11272" width="18.453125" bestFit="1" customWidth="1"/>
    <col min="11521" max="11521" width="10.1796875" customWidth="1"/>
    <col min="11522" max="11522" width="51.08984375" customWidth="1"/>
    <col min="11523" max="11523" width="21.1796875" customWidth="1"/>
    <col min="11524" max="11524" width="21" customWidth="1"/>
    <col min="11525" max="11525" width="3.36328125" customWidth="1"/>
    <col min="11527" max="11528" width="18.453125" bestFit="1" customWidth="1"/>
    <col min="11777" max="11777" width="10.1796875" customWidth="1"/>
    <col min="11778" max="11778" width="51.08984375" customWidth="1"/>
    <col min="11779" max="11779" width="21.1796875" customWidth="1"/>
    <col min="11780" max="11780" width="21" customWidth="1"/>
    <col min="11781" max="11781" width="3.36328125" customWidth="1"/>
    <col min="11783" max="11784" width="18.453125" bestFit="1" customWidth="1"/>
    <col min="12033" max="12033" width="10.1796875" customWidth="1"/>
    <col min="12034" max="12034" width="51.08984375" customWidth="1"/>
    <col min="12035" max="12035" width="21.1796875" customWidth="1"/>
    <col min="12036" max="12036" width="21" customWidth="1"/>
    <col min="12037" max="12037" width="3.36328125" customWidth="1"/>
    <col min="12039" max="12040" width="18.453125" bestFit="1" customWidth="1"/>
    <col min="12289" max="12289" width="10.1796875" customWidth="1"/>
    <col min="12290" max="12290" width="51.08984375" customWidth="1"/>
    <col min="12291" max="12291" width="21.1796875" customWidth="1"/>
    <col min="12292" max="12292" width="21" customWidth="1"/>
    <col min="12293" max="12293" width="3.36328125" customWidth="1"/>
    <col min="12295" max="12296" width="18.453125" bestFit="1" customWidth="1"/>
    <col min="12545" max="12545" width="10.1796875" customWidth="1"/>
    <col min="12546" max="12546" width="51.08984375" customWidth="1"/>
    <col min="12547" max="12547" width="21.1796875" customWidth="1"/>
    <col min="12548" max="12548" width="21" customWidth="1"/>
    <col min="12549" max="12549" width="3.36328125" customWidth="1"/>
    <col min="12551" max="12552" width="18.453125" bestFit="1" customWidth="1"/>
    <col min="12801" max="12801" width="10.1796875" customWidth="1"/>
    <col min="12802" max="12802" width="51.08984375" customWidth="1"/>
    <col min="12803" max="12803" width="21.1796875" customWidth="1"/>
    <col min="12804" max="12804" width="21" customWidth="1"/>
    <col min="12805" max="12805" width="3.36328125" customWidth="1"/>
    <col min="12807" max="12808" width="18.453125" bestFit="1" customWidth="1"/>
    <col min="13057" max="13057" width="10.1796875" customWidth="1"/>
    <col min="13058" max="13058" width="51.08984375" customWidth="1"/>
    <col min="13059" max="13059" width="21.1796875" customWidth="1"/>
    <col min="13060" max="13060" width="21" customWidth="1"/>
    <col min="13061" max="13061" width="3.36328125" customWidth="1"/>
    <col min="13063" max="13064" width="18.453125" bestFit="1" customWidth="1"/>
    <col min="13313" max="13313" width="10.1796875" customWidth="1"/>
    <col min="13314" max="13314" width="51.08984375" customWidth="1"/>
    <col min="13315" max="13315" width="21.1796875" customWidth="1"/>
    <col min="13316" max="13316" width="21" customWidth="1"/>
    <col min="13317" max="13317" width="3.36328125" customWidth="1"/>
    <col min="13319" max="13320" width="18.453125" bestFit="1" customWidth="1"/>
    <col min="13569" max="13569" width="10.1796875" customWidth="1"/>
    <col min="13570" max="13570" width="51.08984375" customWidth="1"/>
    <col min="13571" max="13571" width="21.1796875" customWidth="1"/>
    <col min="13572" max="13572" width="21" customWidth="1"/>
    <col min="13573" max="13573" width="3.36328125" customWidth="1"/>
    <col min="13575" max="13576" width="18.453125" bestFit="1" customWidth="1"/>
    <col min="13825" max="13825" width="10.1796875" customWidth="1"/>
    <col min="13826" max="13826" width="51.08984375" customWidth="1"/>
    <col min="13827" max="13827" width="21.1796875" customWidth="1"/>
    <col min="13828" max="13828" width="21" customWidth="1"/>
    <col min="13829" max="13829" width="3.36328125" customWidth="1"/>
    <col min="13831" max="13832" width="18.453125" bestFit="1" customWidth="1"/>
    <col min="14081" max="14081" width="10.1796875" customWidth="1"/>
    <col min="14082" max="14082" width="51.08984375" customWidth="1"/>
    <col min="14083" max="14083" width="21.1796875" customWidth="1"/>
    <col min="14084" max="14084" width="21" customWidth="1"/>
    <col min="14085" max="14085" width="3.36328125" customWidth="1"/>
    <col min="14087" max="14088" width="18.453125" bestFit="1" customWidth="1"/>
    <col min="14337" max="14337" width="10.1796875" customWidth="1"/>
    <col min="14338" max="14338" width="51.08984375" customWidth="1"/>
    <col min="14339" max="14339" width="21.1796875" customWidth="1"/>
    <col min="14340" max="14340" width="21" customWidth="1"/>
    <col min="14341" max="14341" width="3.36328125" customWidth="1"/>
    <col min="14343" max="14344" width="18.453125" bestFit="1" customWidth="1"/>
    <col min="14593" max="14593" width="10.1796875" customWidth="1"/>
    <col min="14594" max="14594" width="51.08984375" customWidth="1"/>
    <col min="14595" max="14595" width="21.1796875" customWidth="1"/>
    <col min="14596" max="14596" width="21" customWidth="1"/>
    <col min="14597" max="14597" width="3.36328125" customWidth="1"/>
    <col min="14599" max="14600" width="18.453125" bestFit="1" customWidth="1"/>
    <col min="14849" max="14849" width="10.1796875" customWidth="1"/>
    <col min="14850" max="14850" width="51.08984375" customWidth="1"/>
    <col min="14851" max="14851" width="21.1796875" customWidth="1"/>
    <col min="14852" max="14852" width="21" customWidth="1"/>
    <col min="14853" max="14853" width="3.36328125" customWidth="1"/>
    <col min="14855" max="14856" width="18.453125" bestFit="1" customWidth="1"/>
    <col min="15105" max="15105" width="10.1796875" customWidth="1"/>
    <col min="15106" max="15106" width="51.08984375" customWidth="1"/>
    <col min="15107" max="15107" width="21.1796875" customWidth="1"/>
    <col min="15108" max="15108" width="21" customWidth="1"/>
    <col min="15109" max="15109" width="3.36328125" customWidth="1"/>
    <col min="15111" max="15112" width="18.453125" bestFit="1" customWidth="1"/>
    <col min="15361" max="15361" width="10.1796875" customWidth="1"/>
    <col min="15362" max="15362" width="51.08984375" customWidth="1"/>
    <col min="15363" max="15363" width="21.1796875" customWidth="1"/>
    <col min="15364" max="15364" width="21" customWidth="1"/>
    <col min="15365" max="15365" width="3.36328125" customWidth="1"/>
    <col min="15367" max="15368" width="18.453125" bestFit="1" customWidth="1"/>
    <col min="15617" max="15617" width="10.1796875" customWidth="1"/>
    <col min="15618" max="15618" width="51.08984375" customWidth="1"/>
    <col min="15619" max="15619" width="21.1796875" customWidth="1"/>
    <col min="15620" max="15620" width="21" customWidth="1"/>
    <col min="15621" max="15621" width="3.36328125" customWidth="1"/>
    <col min="15623" max="15624" width="18.453125" bestFit="1" customWidth="1"/>
    <col min="15873" max="15873" width="10.1796875" customWidth="1"/>
    <col min="15874" max="15874" width="51.08984375" customWidth="1"/>
    <col min="15875" max="15875" width="21.1796875" customWidth="1"/>
    <col min="15876" max="15876" width="21" customWidth="1"/>
    <col min="15877" max="15877" width="3.36328125" customWidth="1"/>
    <col min="15879" max="15880" width="18.453125" bestFit="1" customWidth="1"/>
    <col min="16129" max="16129" width="10.1796875" customWidth="1"/>
    <col min="16130" max="16130" width="51.08984375" customWidth="1"/>
    <col min="16131" max="16131" width="21.1796875" customWidth="1"/>
    <col min="16132" max="16132" width="21" customWidth="1"/>
    <col min="16133" max="16133" width="3.36328125" customWidth="1"/>
    <col min="16135" max="16136" width="18.453125" bestFit="1" customWidth="1"/>
  </cols>
  <sheetData>
    <row r="1" spans="1:8" ht="20" customHeight="1" thickBot="1">
      <c r="A1" s="42"/>
      <c r="B1" s="42"/>
      <c r="C1" s="73"/>
      <c r="D1" s="73"/>
      <c r="E1" s="73"/>
    </row>
    <row r="2" spans="1:8" ht="15" customHeight="1" thickBot="1">
      <c r="A2" s="42"/>
      <c r="B2" s="44" t="s">
        <v>220</v>
      </c>
      <c r="C2" s="76" t="s">
        <v>221</v>
      </c>
      <c r="D2" s="76" t="s">
        <v>222</v>
      </c>
      <c r="E2" s="73"/>
      <c r="G2" s="77" t="s">
        <v>5</v>
      </c>
      <c r="H2" s="77" t="s">
        <v>6</v>
      </c>
    </row>
    <row r="3" spans="1:8" ht="15" customHeight="1">
      <c r="A3" s="42" t="str">
        <f>LEFT(B3,4)</f>
        <v>1017</v>
      </c>
      <c r="B3" s="43" t="s">
        <v>224</v>
      </c>
      <c r="C3" s="78">
        <v>339514040.31999999</v>
      </c>
      <c r="D3" s="78" t="s">
        <v>225</v>
      </c>
      <c r="E3" s="73"/>
      <c r="G3" s="66">
        <f>C3*1</f>
        <v>339514040.31999999</v>
      </c>
      <c r="H3" s="66">
        <f>D3*1</f>
        <v>0</v>
      </c>
    </row>
    <row r="4" spans="1:8" ht="15" customHeight="1">
      <c r="A4" s="42" t="str">
        <f t="shared" ref="A4:A67" si="0">LEFT(B4,4)</f>
        <v>1018</v>
      </c>
      <c r="B4" s="43" t="s">
        <v>226</v>
      </c>
      <c r="C4" s="78">
        <v>193081999.19999999</v>
      </c>
      <c r="D4" s="78" t="s">
        <v>225</v>
      </c>
      <c r="E4" s="73"/>
      <c r="G4" s="66">
        <f t="shared" ref="G4:H67" si="1">C4*1</f>
        <v>193081999.19999999</v>
      </c>
      <c r="H4" s="66">
        <f t="shared" si="1"/>
        <v>0</v>
      </c>
    </row>
    <row r="5" spans="1:8" ht="15" customHeight="1">
      <c r="A5" s="42" t="str">
        <f t="shared" si="0"/>
        <v>1046</v>
      </c>
      <c r="B5" s="43" t="s">
        <v>227</v>
      </c>
      <c r="C5" s="78">
        <v>28486995.050000001</v>
      </c>
      <c r="D5" s="78" t="s">
        <v>225</v>
      </c>
      <c r="E5" s="73"/>
      <c r="G5" s="66">
        <f t="shared" si="1"/>
        <v>28486995.050000001</v>
      </c>
      <c r="H5" s="66">
        <f t="shared" si="1"/>
        <v>0</v>
      </c>
    </row>
    <row r="6" spans="1:8" ht="15" customHeight="1">
      <c r="A6" s="42" t="str">
        <f t="shared" si="0"/>
        <v>1001</v>
      </c>
      <c r="B6" s="43" t="s">
        <v>228</v>
      </c>
      <c r="C6" s="78" t="s">
        <v>225</v>
      </c>
      <c r="D6" s="78">
        <v>68950245.909999996</v>
      </c>
      <c r="E6" s="73"/>
      <c r="G6" s="66">
        <f t="shared" si="1"/>
        <v>0</v>
      </c>
      <c r="H6" s="66">
        <f t="shared" si="1"/>
        <v>68950245.909999996</v>
      </c>
    </row>
    <row r="7" spans="1:8" ht="15" customHeight="1">
      <c r="A7" s="42" t="str">
        <f t="shared" si="0"/>
        <v>1048</v>
      </c>
      <c r="B7" s="43" t="s">
        <v>229</v>
      </c>
      <c r="C7" s="78">
        <v>36188936.079999998</v>
      </c>
      <c r="D7" s="78" t="s">
        <v>225</v>
      </c>
      <c r="E7" s="73"/>
      <c r="G7" s="66">
        <f t="shared" si="1"/>
        <v>36188936.079999998</v>
      </c>
      <c r="H7" s="66">
        <f t="shared" si="1"/>
        <v>0</v>
      </c>
    </row>
    <row r="8" spans="1:8" ht="15" customHeight="1">
      <c r="A8" s="42" t="str">
        <f t="shared" si="0"/>
        <v>1022</v>
      </c>
      <c r="B8" s="43" t="s">
        <v>230</v>
      </c>
      <c r="C8" s="78">
        <v>278748466.37</v>
      </c>
      <c r="D8" s="78" t="s">
        <v>225</v>
      </c>
      <c r="E8" s="73"/>
      <c r="G8" s="66">
        <f t="shared" si="1"/>
        <v>278748466.37</v>
      </c>
      <c r="H8" s="66">
        <f t="shared" si="1"/>
        <v>0</v>
      </c>
    </row>
    <row r="9" spans="1:8" ht="15" customHeight="1">
      <c r="A9" s="42" t="str">
        <f t="shared" si="0"/>
        <v>1010</v>
      </c>
      <c r="B9" s="43" t="s">
        <v>231</v>
      </c>
      <c r="C9" s="78">
        <v>33611610.890000001</v>
      </c>
      <c r="D9" s="78" t="s">
        <v>225</v>
      </c>
      <c r="E9" s="73"/>
      <c r="G9" s="66">
        <f t="shared" si="1"/>
        <v>33611610.890000001</v>
      </c>
      <c r="H9" s="66">
        <f t="shared" si="1"/>
        <v>0</v>
      </c>
    </row>
    <row r="10" spans="1:8" ht="15" customHeight="1">
      <c r="A10" s="42" t="str">
        <f t="shared" si="0"/>
        <v>1011</v>
      </c>
      <c r="B10" s="43" t="s">
        <v>232</v>
      </c>
      <c r="C10" s="78">
        <v>2697017766.1799998</v>
      </c>
      <c r="D10" s="78" t="s">
        <v>225</v>
      </c>
      <c r="E10" s="73"/>
      <c r="G10" s="66">
        <f t="shared" si="1"/>
        <v>2697017766.1799998</v>
      </c>
      <c r="H10" s="66">
        <f t="shared" si="1"/>
        <v>0</v>
      </c>
    </row>
    <row r="11" spans="1:8" ht="15" customHeight="1">
      <c r="A11" s="42" t="str">
        <f t="shared" si="0"/>
        <v>1002</v>
      </c>
      <c r="B11" s="43" t="s">
        <v>233</v>
      </c>
      <c r="C11" s="78">
        <v>3276701.73</v>
      </c>
      <c r="D11" s="78" t="s">
        <v>225</v>
      </c>
      <c r="E11" s="73"/>
      <c r="G11" s="66">
        <f t="shared" si="1"/>
        <v>3276701.73</v>
      </c>
      <c r="H11" s="66">
        <f t="shared" si="1"/>
        <v>0</v>
      </c>
    </row>
    <row r="12" spans="1:8" ht="15" customHeight="1">
      <c r="A12" s="42" t="str">
        <f t="shared" si="0"/>
        <v>1005</v>
      </c>
      <c r="B12" s="43" t="s">
        <v>234</v>
      </c>
      <c r="C12" s="78" t="s">
        <v>235</v>
      </c>
      <c r="D12" s="78" t="s">
        <v>225</v>
      </c>
      <c r="E12" s="73"/>
      <c r="G12" s="66">
        <f t="shared" si="1"/>
        <v>4.67</v>
      </c>
      <c r="H12" s="66">
        <f t="shared" si="1"/>
        <v>0</v>
      </c>
    </row>
    <row r="13" spans="1:8" ht="15" customHeight="1">
      <c r="A13" s="42" t="str">
        <f t="shared" si="0"/>
        <v>1009</v>
      </c>
      <c r="B13" s="43" t="s">
        <v>236</v>
      </c>
      <c r="C13" s="78">
        <v>1877771252.6800001</v>
      </c>
      <c r="D13" s="78" t="s">
        <v>225</v>
      </c>
      <c r="E13" s="73"/>
      <c r="G13" s="66">
        <f t="shared" si="1"/>
        <v>1877771252.6800001</v>
      </c>
      <c r="H13" s="66">
        <f t="shared" si="1"/>
        <v>0</v>
      </c>
    </row>
    <row r="14" spans="1:8" ht="15" customHeight="1">
      <c r="A14" s="42" t="str">
        <f t="shared" si="0"/>
        <v>1014</v>
      </c>
      <c r="B14" s="43" t="s">
        <v>237</v>
      </c>
      <c r="C14" s="78">
        <v>1599257969.6700001</v>
      </c>
      <c r="D14" s="78" t="s">
        <v>225</v>
      </c>
      <c r="E14" s="73"/>
      <c r="G14" s="66">
        <f t="shared" si="1"/>
        <v>1599257969.6700001</v>
      </c>
      <c r="H14" s="66">
        <f t="shared" si="1"/>
        <v>0</v>
      </c>
    </row>
    <row r="15" spans="1:8" ht="15" customHeight="1">
      <c r="A15" s="42" t="str">
        <f t="shared" si="0"/>
        <v>1019</v>
      </c>
      <c r="B15" s="43" t="s">
        <v>238</v>
      </c>
      <c r="C15" s="78">
        <v>1846377.7</v>
      </c>
      <c r="D15" s="78" t="s">
        <v>225</v>
      </c>
      <c r="E15" s="73"/>
      <c r="G15" s="66">
        <f t="shared" si="1"/>
        <v>1846377.7</v>
      </c>
      <c r="H15" s="66">
        <f t="shared" si="1"/>
        <v>0</v>
      </c>
    </row>
    <row r="16" spans="1:8" ht="15" customHeight="1">
      <c r="A16" s="42" t="str">
        <f t="shared" si="0"/>
        <v>1021</v>
      </c>
      <c r="B16" s="43" t="s">
        <v>239</v>
      </c>
      <c r="C16" s="78">
        <v>1515277059.54</v>
      </c>
      <c r="D16" s="78" t="s">
        <v>225</v>
      </c>
      <c r="E16" s="73"/>
      <c r="G16" s="66">
        <f t="shared" si="1"/>
        <v>1515277059.54</v>
      </c>
      <c r="H16" s="66">
        <f t="shared" si="1"/>
        <v>0</v>
      </c>
    </row>
    <row r="17" spans="1:8" ht="15" customHeight="1">
      <c r="A17" s="42" t="str">
        <f t="shared" si="0"/>
        <v>1023</v>
      </c>
      <c r="B17" s="43" t="s">
        <v>240</v>
      </c>
      <c r="C17" s="78" t="s">
        <v>241</v>
      </c>
      <c r="D17" s="78" t="s">
        <v>225</v>
      </c>
      <c r="E17" s="73"/>
      <c r="G17" s="66">
        <f t="shared" si="1"/>
        <v>5.46</v>
      </c>
      <c r="H17" s="66">
        <f t="shared" si="1"/>
        <v>0</v>
      </c>
    </row>
    <row r="18" spans="1:8" ht="15" customHeight="1">
      <c r="A18" s="42" t="str">
        <f t="shared" si="0"/>
        <v>1025</v>
      </c>
      <c r="B18" s="43" t="s">
        <v>242</v>
      </c>
      <c r="C18" s="78">
        <v>293583637.85000002</v>
      </c>
      <c r="D18" s="78" t="s">
        <v>225</v>
      </c>
      <c r="E18" s="73"/>
      <c r="G18" s="66">
        <f t="shared" si="1"/>
        <v>293583637.85000002</v>
      </c>
      <c r="H18" s="66">
        <f t="shared" si="1"/>
        <v>0</v>
      </c>
    </row>
    <row r="19" spans="1:8" ht="15" customHeight="1">
      <c r="A19" s="42" t="str">
        <f t="shared" si="0"/>
        <v>1027</v>
      </c>
      <c r="B19" s="43" t="s">
        <v>243</v>
      </c>
      <c r="C19" s="78">
        <v>36229353.009999998</v>
      </c>
      <c r="D19" s="78" t="s">
        <v>225</v>
      </c>
      <c r="E19" s="73"/>
      <c r="G19" s="66">
        <f t="shared" si="1"/>
        <v>36229353.009999998</v>
      </c>
      <c r="H19" s="66">
        <f t="shared" si="1"/>
        <v>0</v>
      </c>
    </row>
    <row r="20" spans="1:8" ht="15" customHeight="1">
      <c r="A20" s="42" t="str">
        <f t="shared" si="0"/>
        <v>1031</v>
      </c>
      <c r="B20" s="43" t="s">
        <v>244</v>
      </c>
      <c r="C20" s="78">
        <v>361232814.87</v>
      </c>
      <c r="D20" s="78" t="s">
        <v>225</v>
      </c>
      <c r="E20" s="73"/>
      <c r="G20" s="66">
        <f t="shared" si="1"/>
        <v>361232814.87</v>
      </c>
      <c r="H20" s="66">
        <f t="shared" si="1"/>
        <v>0</v>
      </c>
    </row>
    <row r="21" spans="1:8" ht="15" customHeight="1">
      <c r="A21" s="42" t="str">
        <f t="shared" si="0"/>
        <v>1032</v>
      </c>
      <c r="B21" s="43" t="s">
        <v>245</v>
      </c>
      <c r="C21" s="78">
        <v>44302226.009999998</v>
      </c>
      <c r="D21" s="78" t="s">
        <v>225</v>
      </c>
      <c r="E21" s="73"/>
      <c r="G21" s="66">
        <f t="shared" si="1"/>
        <v>44302226.009999998</v>
      </c>
      <c r="H21" s="66">
        <f t="shared" si="1"/>
        <v>0</v>
      </c>
    </row>
    <row r="22" spans="1:8" ht="15" customHeight="1">
      <c r="A22" s="42" t="str">
        <f t="shared" si="0"/>
        <v>1029</v>
      </c>
      <c r="B22" s="43" t="s">
        <v>246</v>
      </c>
      <c r="C22" s="78">
        <v>808861779.25999999</v>
      </c>
      <c r="D22" s="78" t="s">
        <v>225</v>
      </c>
      <c r="E22" s="73"/>
      <c r="G22" s="66">
        <f t="shared" si="1"/>
        <v>808861779.25999999</v>
      </c>
      <c r="H22" s="66">
        <f t="shared" si="1"/>
        <v>0</v>
      </c>
    </row>
    <row r="23" spans="1:8" ht="15" customHeight="1">
      <c r="A23" s="42" t="str">
        <f t="shared" si="0"/>
        <v>1028</v>
      </c>
      <c r="B23" s="43" t="s">
        <v>247</v>
      </c>
      <c r="C23" s="78" t="s">
        <v>248</v>
      </c>
      <c r="D23" s="78" t="s">
        <v>225</v>
      </c>
      <c r="E23" s="73"/>
      <c r="G23" s="66">
        <f t="shared" si="1"/>
        <v>0.18</v>
      </c>
      <c r="H23" s="66">
        <f t="shared" si="1"/>
        <v>0</v>
      </c>
    </row>
    <row r="24" spans="1:8" ht="15" customHeight="1">
      <c r="A24" s="42" t="str">
        <f t="shared" si="0"/>
        <v>1035</v>
      </c>
      <c r="B24" s="43" t="s">
        <v>249</v>
      </c>
      <c r="C24" s="78">
        <v>6454577079.2600002</v>
      </c>
      <c r="D24" s="78" t="s">
        <v>225</v>
      </c>
      <c r="E24" s="73"/>
      <c r="G24" s="66">
        <f t="shared" si="1"/>
        <v>6454577079.2600002</v>
      </c>
      <c r="H24" s="66">
        <f t="shared" si="1"/>
        <v>0</v>
      </c>
    </row>
    <row r="25" spans="1:8" ht="15" customHeight="1">
      <c r="A25" s="42" t="str">
        <f t="shared" si="0"/>
        <v>1037</v>
      </c>
      <c r="B25" s="43" t="s">
        <v>250</v>
      </c>
      <c r="C25" s="78">
        <v>29851626.039999999</v>
      </c>
      <c r="D25" s="78" t="s">
        <v>225</v>
      </c>
      <c r="E25" s="73"/>
      <c r="G25" s="66">
        <f t="shared" si="1"/>
        <v>29851626.039999999</v>
      </c>
      <c r="H25" s="66">
        <f t="shared" si="1"/>
        <v>0</v>
      </c>
    </row>
    <row r="26" spans="1:8" ht="15" customHeight="1">
      <c r="A26" s="42" t="str">
        <f t="shared" si="0"/>
        <v>1038</v>
      </c>
      <c r="B26" s="43" t="s">
        <v>251</v>
      </c>
      <c r="C26" s="78">
        <v>1808285074</v>
      </c>
      <c r="D26" s="78" t="s">
        <v>225</v>
      </c>
      <c r="E26" s="73"/>
      <c r="G26" s="66">
        <f t="shared" si="1"/>
        <v>1808285074</v>
      </c>
      <c r="H26" s="66">
        <f t="shared" si="1"/>
        <v>0</v>
      </c>
    </row>
    <row r="27" spans="1:8" ht="15" customHeight="1">
      <c r="A27" s="42" t="str">
        <f t="shared" si="0"/>
        <v>1044</v>
      </c>
      <c r="B27" s="43" t="s">
        <v>252</v>
      </c>
      <c r="C27" s="78">
        <v>2016985716.8800001</v>
      </c>
      <c r="D27" s="78" t="s">
        <v>225</v>
      </c>
      <c r="E27" s="73"/>
      <c r="G27" s="66">
        <f t="shared" si="1"/>
        <v>2016985716.8800001</v>
      </c>
      <c r="H27" s="66">
        <f t="shared" si="1"/>
        <v>0</v>
      </c>
    </row>
    <row r="28" spans="1:8" ht="15" customHeight="1">
      <c r="A28" s="42" t="str">
        <f t="shared" si="0"/>
        <v>1047</v>
      </c>
      <c r="B28" s="43" t="s">
        <v>253</v>
      </c>
      <c r="C28" s="78">
        <v>3822360587.3499999</v>
      </c>
      <c r="D28" s="78" t="s">
        <v>225</v>
      </c>
      <c r="E28" s="73"/>
      <c r="G28" s="66">
        <f t="shared" si="1"/>
        <v>3822360587.3499999</v>
      </c>
      <c r="H28" s="66">
        <f t="shared" si="1"/>
        <v>0</v>
      </c>
    </row>
    <row r="29" spans="1:8" ht="15" customHeight="1">
      <c r="A29" s="42" t="str">
        <f t="shared" si="0"/>
        <v>1006</v>
      </c>
      <c r="B29" s="43" t="s">
        <v>254</v>
      </c>
      <c r="C29" s="78">
        <v>71515.78</v>
      </c>
      <c r="D29" s="78" t="s">
        <v>225</v>
      </c>
      <c r="E29" s="73"/>
      <c r="G29" s="66">
        <f t="shared" si="1"/>
        <v>71515.78</v>
      </c>
      <c r="H29" s="66">
        <f t="shared" si="1"/>
        <v>0</v>
      </c>
    </row>
    <row r="30" spans="1:8" ht="15" customHeight="1">
      <c r="A30" s="42" t="str">
        <f t="shared" si="0"/>
        <v>1050</v>
      </c>
      <c r="B30" s="43" t="s">
        <v>255</v>
      </c>
      <c r="C30" s="78" t="s">
        <v>225</v>
      </c>
      <c r="D30" s="78">
        <v>52033.5</v>
      </c>
      <c r="E30" s="73"/>
      <c r="G30" s="66">
        <f t="shared" si="1"/>
        <v>0</v>
      </c>
      <c r="H30" s="66">
        <f t="shared" si="1"/>
        <v>52033.5</v>
      </c>
    </row>
    <row r="31" spans="1:8" ht="15" customHeight="1">
      <c r="A31" s="42" t="str">
        <f t="shared" si="0"/>
        <v>1871</v>
      </c>
      <c r="B31" s="43" t="s">
        <v>256</v>
      </c>
      <c r="C31" s="78">
        <v>2919163849.3000002</v>
      </c>
      <c r="D31" s="78" t="s">
        <v>225</v>
      </c>
      <c r="E31" s="73"/>
      <c r="G31" s="66">
        <f t="shared" si="1"/>
        <v>2919163849.3000002</v>
      </c>
      <c r="H31" s="66">
        <f t="shared" si="1"/>
        <v>0</v>
      </c>
    </row>
    <row r="32" spans="1:8" ht="15" customHeight="1">
      <c r="A32" s="42" t="str">
        <f t="shared" si="0"/>
        <v>1872</v>
      </c>
      <c r="B32" s="43" t="s">
        <v>257</v>
      </c>
      <c r="C32" s="78">
        <v>39568983.659999996</v>
      </c>
      <c r="D32" s="78" t="s">
        <v>225</v>
      </c>
      <c r="E32" s="73"/>
      <c r="G32" s="66">
        <f t="shared" si="1"/>
        <v>39568983.659999996</v>
      </c>
      <c r="H32" s="66">
        <f t="shared" si="1"/>
        <v>0</v>
      </c>
    </row>
    <row r="33" spans="1:8" ht="15" customHeight="1">
      <c r="A33" s="42" t="str">
        <f t="shared" si="0"/>
        <v>2063</v>
      </c>
      <c r="B33" s="43" t="s">
        <v>258</v>
      </c>
      <c r="C33" s="78" t="s">
        <v>225</v>
      </c>
      <c r="D33" s="78">
        <v>2919163849.3000002</v>
      </c>
      <c r="E33" s="73"/>
      <c r="G33" s="66">
        <f t="shared" si="1"/>
        <v>0</v>
      </c>
      <c r="H33" s="66">
        <f t="shared" si="1"/>
        <v>2919163849.3000002</v>
      </c>
    </row>
    <row r="34" spans="1:8" ht="15" customHeight="1">
      <c r="A34" s="42" t="str">
        <f t="shared" si="0"/>
        <v>1050</v>
      </c>
      <c r="B34" s="43" t="s">
        <v>259</v>
      </c>
      <c r="C34" s="78">
        <v>1368737810.6800001</v>
      </c>
      <c r="D34" s="78" t="s">
        <v>225</v>
      </c>
      <c r="E34" s="73"/>
      <c r="G34" s="66">
        <f t="shared" si="1"/>
        <v>1368737810.6800001</v>
      </c>
      <c r="H34" s="66">
        <f t="shared" si="1"/>
        <v>0</v>
      </c>
    </row>
    <row r="35" spans="1:8" ht="15" customHeight="1">
      <c r="A35" s="42" t="str">
        <f t="shared" si="0"/>
        <v>1050</v>
      </c>
      <c r="B35" s="43" t="s">
        <v>260</v>
      </c>
      <c r="C35" s="78">
        <v>6434045052.5600004</v>
      </c>
      <c r="D35" s="78" t="s">
        <v>225</v>
      </c>
      <c r="E35" s="73"/>
      <c r="G35" s="66">
        <f t="shared" si="1"/>
        <v>6434045052.5600004</v>
      </c>
      <c r="H35" s="66">
        <f t="shared" si="1"/>
        <v>0</v>
      </c>
    </row>
    <row r="36" spans="1:8" ht="15" customHeight="1">
      <c r="A36" s="42" t="str">
        <f t="shared" si="0"/>
        <v>1050</v>
      </c>
      <c r="B36" s="43" t="s">
        <v>261</v>
      </c>
      <c r="C36" s="78">
        <v>1827148120.6900001</v>
      </c>
      <c r="D36" s="78" t="s">
        <v>225</v>
      </c>
      <c r="E36" s="73"/>
      <c r="G36" s="66">
        <f t="shared" si="1"/>
        <v>1827148120.6900001</v>
      </c>
      <c r="H36" s="66">
        <f t="shared" si="1"/>
        <v>0</v>
      </c>
    </row>
    <row r="37" spans="1:8" ht="15" customHeight="1">
      <c r="A37" s="42" t="str">
        <f t="shared" si="0"/>
        <v>1050</v>
      </c>
      <c r="B37" s="43" t="s">
        <v>262</v>
      </c>
      <c r="C37" s="78">
        <v>1402393139.46</v>
      </c>
      <c r="D37" s="78" t="s">
        <v>225</v>
      </c>
      <c r="E37" s="73"/>
      <c r="G37" s="66">
        <f t="shared" si="1"/>
        <v>1402393139.46</v>
      </c>
      <c r="H37" s="66">
        <f t="shared" si="1"/>
        <v>0</v>
      </c>
    </row>
    <row r="38" spans="1:8" ht="15" customHeight="1">
      <c r="A38" s="42" t="str">
        <f t="shared" si="0"/>
        <v>1050</v>
      </c>
      <c r="B38" s="43" t="s">
        <v>263</v>
      </c>
      <c r="C38" s="78">
        <v>3808288656.1500001</v>
      </c>
      <c r="D38" s="78" t="s">
        <v>225</v>
      </c>
      <c r="E38" s="73"/>
      <c r="G38" s="66">
        <f t="shared" si="1"/>
        <v>3808288656.1500001</v>
      </c>
      <c r="H38" s="66">
        <f t="shared" si="1"/>
        <v>0</v>
      </c>
    </row>
    <row r="39" spans="1:8" ht="15" customHeight="1">
      <c r="A39" s="42" t="str">
        <f>LEFT(B39,7)</f>
        <v>1050301</v>
      </c>
      <c r="B39" s="43" t="s">
        <v>264</v>
      </c>
      <c r="C39" s="78">
        <v>33189976388.439999</v>
      </c>
      <c r="D39" s="78" t="s">
        <v>225</v>
      </c>
      <c r="E39" s="73"/>
      <c r="G39" s="67">
        <f t="shared" si="1"/>
        <v>33189976388.439999</v>
      </c>
      <c r="H39" s="66">
        <f t="shared" si="1"/>
        <v>0</v>
      </c>
    </row>
    <row r="40" spans="1:8" ht="15" customHeight="1">
      <c r="A40" s="42" t="str">
        <f t="shared" ref="A40:A44" si="2">LEFT(B40,7)</f>
        <v>1050302</v>
      </c>
      <c r="B40" s="43" t="s">
        <v>265</v>
      </c>
      <c r="C40" s="78">
        <v>7594166930.3299999</v>
      </c>
      <c r="D40" s="78" t="s">
        <v>225</v>
      </c>
      <c r="E40" s="73"/>
      <c r="G40" s="66">
        <f t="shared" si="1"/>
        <v>7594166930.3299999</v>
      </c>
      <c r="H40" s="66">
        <f t="shared" si="1"/>
        <v>0</v>
      </c>
    </row>
    <row r="41" spans="1:8" ht="15" customHeight="1">
      <c r="A41" s="42" t="str">
        <f t="shared" si="2"/>
        <v>1050303</v>
      </c>
      <c r="B41" s="43" t="s">
        <v>266</v>
      </c>
      <c r="C41" s="78">
        <v>666232281.67999995</v>
      </c>
      <c r="D41" s="78" t="s">
        <v>225</v>
      </c>
      <c r="E41" s="73"/>
      <c r="G41" s="66">
        <f t="shared" si="1"/>
        <v>666232281.67999995</v>
      </c>
      <c r="H41" s="66">
        <f t="shared" si="1"/>
        <v>0</v>
      </c>
    </row>
    <row r="42" spans="1:8" ht="15" customHeight="1">
      <c r="A42" s="42" t="str">
        <f t="shared" si="2"/>
        <v>1050304</v>
      </c>
      <c r="B42" s="43" t="s">
        <v>267</v>
      </c>
      <c r="C42" s="78">
        <v>1803483008.9400001</v>
      </c>
      <c r="D42" s="78" t="s">
        <v>225</v>
      </c>
      <c r="E42" s="73"/>
      <c r="G42" s="66">
        <f t="shared" si="1"/>
        <v>1803483008.9400001</v>
      </c>
      <c r="H42" s="66">
        <f t="shared" si="1"/>
        <v>0</v>
      </c>
    </row>
    <row r="43" spans="1:8" ht="15" customHeight="1">
      <c r="A43" s="42" t="str">
        <f t="shared" si="2"/>
        <v>1050305</v>
      </c>
      <c r="B43" s="43" t="s">
        <v>268</v>
      </c>
      <c r="C43" s="78">
        <v>1975867573.0599999</v>
      </c>
      <c r="D43" s="78" t="s">
        <v>225</v>
      </c>
      <c r="E43" s="73"/>
      <c r="G43" s="66">
        <f t="shared" si="1"/>
        <v>1975867573.0599999</v>
      </c>
      <c r="H43" s="66">
        <f t="shared" si="1"/>
        <v>0</v>
      </c>
    </row>
    <row r="44" spans="1:8" ht="15" customHeight="1">
      <c r="A44" s="42" t="str">
        <f t="shared" si="2"/>
        <v>1050307</v>
      </c>
      <c r="B44" s="43" t="s">
        <v>269</v>
      </c>
      <c r="C44" s="78">
        <v>1937039096.8199999</v>
      </c>
      <c r="D44" s="78" t="s">
        <v>225</v>
      </c>
      <c r="E44" s="73"/>
      <c r="G44" s="66">
        <f t="shared" si="1"/>
        <v>1937039096.8199999</v>
      </c>
      <c r="H44" s="66">
        <f t="shared" si="1"/>
        <v>0</v>
      </c>
    </row>
    <row r="45" spans="1:8" ht="15" customHeight="1">
      <c r="A45" s="42" t="str">
        <f t="shared" si="0"/>
        <v>1051</v>
      </c>
      <c r="B45" s="43" t="s">
        <v>270</v>
      </c>
      <c r="C45" s="78">
        <v>351512372.39999998</v>
      </c>
      <c r="D45" s="78" t="s">
        <v>225</v>
      </c>
      <c r="E45" s="73"/>
      <c r="G45" s="66">
        <f t="shared" si="1"/>
        <v>351512372.39999998</v>
      </c>
      <c r="H45" s="66">
        <f t="shared" si="1"/>
        <v>0</v>
      </c>
    </row>
    <row r="46" spans="1:8" ht="15" customHeight="1">
      <c r="A46" s="42" t="str">
        <f t="shared" si="0"/>
        <v>2056</v>
      </c>
      <c r="B46" s="43" t="s">
        <v>271</v>
      </c>
      <c r="C46" s="78" t="s">
        <v>225</v>
      </c>
      <c r="D46" s="78">
        <v>11611178.51</v>
      </c>
      <c r="E46" s="73"/>
      <c r="G46" s="66">
        <f t="shared" si="1"/>
        <v>0</v>
      </c>
      <c r="H46" s="66">
        <f t="shared" si="1"/>
        <v>11611178.51</v>
      </c>
    </row>
    <row r="47" spans="1:8" ht="15" customHeight="1">
      <c r="A47" s="42" t="str">
        <f t="shared" si="0"/>
        <v>2055</v>
      </c>
      <c r="B47" s="43" t="s">
        <v>272</v>
      </c>
      <c r="C47" s="78" t="s">
        <v>225</v>
      </c>
      <c r="D47" s="78">
        <v>567870092.36000001</v>
      </c>
      <c r="E47" s="73"/>
      <c r="G47" s="66">
        <f t="shared" si="1"/>
        <v>0</v>
      </c>
      <c r="H47" s="66">
        <f t="shared" si="1"/>
        <v>567870092.36000001</v>
      </c>
    </row>
    <row r="48" spans="1:8" ht="15" customHeight="1">
      <c r="A48" s="42" t="str">
        <f t="shared" si="0"/>
        <v>2041</v>
      </c>
      <c r="B48" s="43" t="s">
        <v>273</v>
      </c>
      <c r="C48" s="78" t="s">
        <v>225</v>
      </c>
      <c r="D48" s="78">
        <v>134819527.41999999</v>
      </c>
      <c r="E48" s="73"/>
      <c r="G48" s="66">
        <f t="shared" si="1"/>
        <v>0</v>
      </c>
      <c r="H48" s="66">
        <f t="shared" si="1"/>
        <v>134819527.41999999</v>
      </c>
    </row>
    <row r="49" spans="1:8" ht="15" customHeight="1">
      <c r="A49" s="42" t="str">
        <f t="shared" si="0"/>
        <v>2042</v>
      </c>
      <c r="B49" s="43" t="s">
        <v>274</v>
      </c>
      <c r="C49" s="78" t="s">
        <v>225</v>
      </c>
      <c r="D49" s="78">
        <v>3893096.47</v>
      </c>
      <c r="E49" s="73"/>
      <c r="G49" s="66">
        <f t="shared" si="1"/>
        <v>0</v>
      </c>
      <c r="H49" s="66">
        <f t="shared" si="1"/>
        <v>3893096.47</v>
      </c>
    </row>
    <row r="50" spans="1:8" ht="15" customHeight="1">
      <c r="A50" s="42" t="str">
        <f t="shared" si="0"/>
        <v>2043</v>
      </c>
      <c r="B50" s="43" t="s">
        <v>275</v>
      </c>
      <c r="C50" s="78" t="s">
        <v>225</v>
      </c>
      <c r="D50" s="78">
        <v>573386.67000000004</v>
      </c>
      <c r="E50" s="73"/>
      <c r="G50" s="66">
        <f t="shared" si="1"/>
        <v>0</v>
      </c>
      <c r="H50" s="66">
        <f t="shared" si="1"/>
        <v>573386.67000000004</v>
      </c>
    </row>
    <row r="51" spans="1:8" ht="15" customHeight="1">
      <c r="A51" s="42" t="str">
        <f t="shared" si="0"/>
        <v>1521</v>
      </c>
      <c r="B51" s="43" t="s">
        <v>276</v>
      </c>
      <c r="C51" s="78">
        <v>53624126.75</v>
      </c>
      <c r="D51" s="78" t="s">
        <v>225</v>
      </c>
      <c r="E51" s="73"/>
      <c r="G51" s="66">
        <f t="shared" si="1"/>
        <v>53624126.75</v>
      </c>
      <c r="H51" s="66">
        <f t="shared" si="1"/>
        <v>0</v>
      </c>
    </row>
    <row r="52" spans="1:8" ht="15" customHeight="1">
      <c r="A52" s="42" t="str">
        <f t="shared" si="0"/>
        <v>1500</v>
      </c>
      <c r="B52" s="43" t="s">
        <v>277</v>
      </c>
      <c r="C52" s="78">
        <v>460175</v>
      </c>
      <c r="D52" s="78" t="s">
        <v>225</v>
      </c>
      <c r="E52" s="73"/>
      <c r="G52" s="66">
        <f t="shared" si="1"/>
        <v>460175</v>
      </c>
      <c r="H52" s="66">
        <f t="shared" si="1"/>
        <v>0</v>
      </c>
    </row>
    <row r="53" spans="1:8" ht="15" customHeight="1">
      <c r="A53" s="42" t="str">
        <f t="shared" si="0"/>
        <v>1511</v>
      </c>
      <c r="B53" s="43" t="s">
        <v>278</v>
      </c>
      <c r="C53" s="78">
        <v>207821826.59999999</v>
      </c>
      <c r="D53" s="78" t="s">
        <v>225</v>
      </c>
      <c r="E53" s="73"/>
      <c r="G53" s="66">
        <f t="shared" si="1"/>
        <v>207821826.59999999</v>
      </c>
      <c r="H53" s="66">
        <f t="shared" si="1"/>
        <v>0</v>
      </c>
    </row>
    <row r="54" spans="1:8" ht="15" customHeight="1">
      <c r="A54" s="42" t="str">
        <f t="shared" si="0"/>
        <v>1501</v>
      </c>
      <c r="B54" s="43" t="s">
        <v>279</v>
      </c>
      <c r="C54" s="78">
        <v>113325948.7</v>
      </c>
      <c r="D54" s="78" t="s">
        <v>225</v>
      </c>
      <c r="E54" s="73"/>
      <c r="G54" s="66">
        <f t="shared" si="1"/>
        <v>113325948.7</v>
      </c>
      <c r="H54" s="66">
        <f t="shared" si="1"/>
        <v>0</v>
      </c>
    </row>
    <row r="55" spans="1:8" ht="15" customHeight="1">
      <c r="A55" s="42" t="str">
        <f t="shared" si="0"/>
        <v>1531</v>
      </c>
      <c r="B55" s="43" t="s">
        <v>280</v>
      </c>
      <c r="C55" s="78">
        <v>801845100.00999999</v>
      </c>
      <c r="D55" s="78" t="s">
        <v>225</v>
      </c>
      <c r="E55" s="73"/>
      <c r="G55" s="66">
        <f t="shared" si="1"/>
        <v>801845100.00999999</v>
      </c>
      <c r="H55" s="66">
        <f t="shared" si="1"/>
        <v>0</v>
      </c>
    </row>
    <row r="56" spans="1:8" ht="15" customHeight="1">
      <c r="A56" s="42" t="str">
        <f t="shared" si="0"/>
        <v>1522</v>
      </c>
      <c r="B56" s="43" t="s">
        <v>281</v>
      </c>
      <c r="C56" s="78" t="s">
        <v>225</v>
      </c>
      <c r="D56" s="78">
        <v>28875489.359999999</v>
      </c>
      <c r="E56" s="73"/>
      <c r="G56" s="66">
        <f t="shared" si="1"/>
        <v>0</v>
      </c>
      <c r="H56" s="66">
        <f t="shared" si="1"/>
        <v>28875489.359999999</v>
      </c>
    </row>
    <row r="57" spans="1:8" ht="15" customHeight="1">
      <c r="A57" s="42" t="str">
        <f t="shared" si="0"/>
        <v>1512</v>
      </c>
      <c r="B57" s="43" t="s">
        <v>282</v>
      </c>
      <c r="C57" s="78" t="s">
        <v>225</v>
      </c>
      <c r="D57" s="78">
        <v>110165541.54000001</v>
      </c>
      <c r="E57" s="73"/>
      <c r="G57" s="66">
        <f t="shared" si="1"/>
        <v>0</v>
      </c>
      <c r="H57" s="66">
        <f t="shared" si="1"/>
        <v>110165541.54000001</v>
      </c>
    </row>
    <row r="58" spans="1:8" ht="15" customHeight="1">
      <c r="A58" s="42" t="str">
        <f t="shared" si="0"/>
        <v>1502</v>
      </c>
      <c r="B58" s="43" t="s">
        <v>283</v>
      </c>
      <c r="C58" s="78" t="s">
        <v>225</v>
      </c>
      <c r="D58" s="78">
        <v>94359370.439999998</v>
      </c>
      <c r="E58" s="73"/>
      <c r="G58" s="66">
        <f t="shared" si="1"/>
        <v>0</v>
      </c>
      <c r="H58" s="66">
        <f t="shared" si="1"/>
        <v>94359370.439999998</v>
      </c>
    </row>
    <row r="59" spans="1:8" ht="15" customHeight="1">
      <c r="A59" s="42" t="str">
        <f t="shared" si="0"/>
        <v>1532</v>
      </c>
      <c r="B59" s="43" t="s">
        <v>284</v>
      </c>
      <c r="C59" s="78" t="s">
        <v>225</v>
      </c>
      <c r="D59" s="78">
        <v>321748192.73000002</v>
      </c>
      <c r="E59" s="73"/>
      <c r="G59" s="66">
        <f t="shared" si="1"/>
        <v>0</v>
      </c>
      <c r="H59" s="66">
        <f t="shared" si="1"/>
        <v>321748192.73000002</v>
      </c>
    </row>
    <row r="60" spans="1:8" ht="15" customHeight="1">
      <c r="A60" s="42" t="str">
        <f t="shared" si="0"/>
        <v>1546</v>
      </c>
      <c r="B60" s="43" t="s">
        <v>285</v>
      </c>
      <c r="C60" s="78">
        <v>1897045885.8800001</v>
      </c>
      <c r="D60" s="78" t="s">
        <v>225</v>
      </c>
      <c r="E60" s="73"/>
      <c r="G60" s="66">
        <f t="shared" si="1"/>
        <v>1897045885.8800001</v>
      </c>
      <c r="H60" s="66">
        <f t="shared" si="1"/>
        <v>0</v>
      </c>
    </row>
    <row r="61" spans="1:8" ht="15" customHeight="1">
      <c r="A61" s="42" t="str">
        <f t="shared" si="0"/>
        <v>1547</v>
      </c>
      <c r="B61" s="43" t="s">
        <v>286</v>
      </c>
      <c r="C61" s="78" t="s">
        <v>225</v>
      </c>
      <c r="D61" s="78">
        <v>292603680.51999998</v>
      </c>
      <c r="E61" s="73"/>
      <c r="G61" s="66">
        <f t="shared" si="1"/>
        <v>0</v>
      </c>
      <c r="H61" s="66">
        <f t="shared" si="1"/>
        <v>292603680.51999998</v>
      </c>
    </row>
    <row r="62" spans="1:8" ht="15" customHeight="1">
      <c r="A62" s="42" t="str">
        <f t="shared" si="0"/>
        <v>3065</v>
      </c>
      <c r="B62" s="43" t="s">
        <v>287</v>
      </c>
      <c r="C62" s="78">
        <v>2064285713</v>
      </c>
      <c r="D62" s="78" t="s">
        <v>225</v>
      </c>
      <c r="E62" s="73"/>
      <c r="G62" s="66">
        <f t="shared" si="1"/>
        <v>2064285713</v>
      </c>
      <c r="H62" s="66">
        <f t="shared" si="1"/>
        <v>0</v>
      </c>
    </row>
    <row r="63" spans="1:8" ht="15" customHeight="1">
      <c r="A63" s="42" t="str">
        <f t="shared" si="0"/>
        <v>3061</v>
      </c>
      <c r="B63" s="43" t="s">
        <v>288</v>
      </c>
      <c r="C63" s="78">
        <v>182929000.44</v>
      </c>
      <c r="D63" s="78" t="s">
        <v>225</v>
      </c>
      <c r="E63" s="73"/>
      <c r="G63" s="66">
        <f t="shared" si="1"/>
        <v>182929000.44</v>
      </c>
      <c r="H63" s="66">
        <f t="shared" si="1"/>
        <v>0</v>
      </c>
    </row>
    <row r="64" spans="1:8" ht="15" customHeight="1">
      <c r="A64" s="42" t="str">
        <f t="shared" si="0"/>
        <v>3062</v>
      </c>
      <c r="B64" s="43" t="s">
        <v>289</v>
      </c>
      <c r="C64" s="78">
        <v>210065735</v>
      </c>
      <c r="D64" s="78" t="s">
        <v>225</v>
      </c>
      <c r="E64" s="73"/>
      <c r="G64" s="66">
        <f t="shared" si="1"/>
        <v>210065735</v>
      </c>
      <c r="H64" s="66">
        <f t="shared" si="1"/>
        <v>0</v>
      </c>
    </row>
    <row r="65" spans="1:8" ht="15" customHeight="1">
      <c r="A65" s="42" t="str">
        <f t="shared" si="0"/>
        <v>3063</v>
      </c>
      <c r="B65" s="43" t="s">
        <v>290</v>
      </c>
      <c r="C65" s="78">
        <v>1125625000</v>
      </c>
      <c r="D65" s="78" t="s">
        <v>225</v>
      </c>
      <c r="E65" s="73"/>
      <c r="G65" s="66">
        <f t="shared" si="1"/>
        <v>1125625000</v>
      </c>
      <c r="H65" s="66">
        <f t="shared" si="1"/>
        <v>0</v>
      </c>
    </row>
    <row r="66" spans="1:8" ht="15" customHeight="1">
      <c r="A66" s="42" t="str">
        <f t="shared" si="0"/>
        <v>3067</v>
      </c>
      <c r="B66" s="43" t="s">
        <v>291</v>
      </c>
      <c r="C66" s="78">
        <v>400000000</v>
      </c>
      <c r="D66" s="78" t="s">
        <v>225</v>
      </c>
      <c r="E66" s="73"/>
      <c r="G66" s="66">
        <f t="shared" si="1"/>
        <v>400000000</v>
      </c>
      <c r="H66" s="66">
        <f t="shared" si="1"/>
        <v>0</v>
      </c>
    </row>
    <row r="67" spans="1:8" ht="15" customHeight="1">
      <c r="A67" s="42" t="str">
        <f t="shared" si="0"/>
        <v>3068</v>
      </c>
      <c r="B67" s="43" t="s">
        <v>292</v>
      </c>
      <c r="C67" s="78">
        <v>200000000</v>
      </c>
      <c r="D67" s="78" t="s">
        <v>225</v>
      </c>
      <c r="E67" s="73"/>
      <c r="G67" s="66">
        <f t="shared" si="1"/>
        <v>200000000</v>
      </c>
      <c r="H67" s="66">
        <f t="shared" si="1"/>
        <v>0</v>
      </c>
    </row>
    <row r="68" spans="1:8" ht="15" customHeight="1">
      <c r="A68" s="42" t="str">
        <f t="shared" ref="A68:A132" si="3">LEFT(B68,4)</f>
        <v>3069</v>
      </c>
      <c r="B68" s="43" t="s">
        <v>293</v>
      </c>
      <c r="C68" s="78">
        <v>400000000</v>
      </c>
      <c r="D68" s="78" t="s">
        <v>225</v>
      </c>
      <c r="E68" s="73"/>
      <c r="G68" s="66">
        <f t="shared" ref="G68:H131" si="4">C68*1</f>
        <v>400000000</v>
      </c>
      <c r="H68" s="66">
        <f t="shared" si="4"/>
        <v>0</v>
      </c>
    </row>
    <row r="69" spans="1:8" ht="15" customHeight="1">
      <c r="A69" s="42" t="str">
        <f t="shared" si="3"/>
        <v>3071</v>
      </c>
      <c r="B69" s="43" t="s">
        <v>294</v>
      </c>
      <c r="C69" s="78">
        <v>2100000000</v>
      </c>
      <c r="D69" s="78" t="s">
        <v>225</v>
      </c>
      <c r="E69" s="73"/>
      <c r="G69" s="66">
        <f t="shared" si="4"/>
        <v>2100000000</v>
      </c>
      <c r="H69" s="66">
        <f t="shared" si="4"/>
        <v>0</v>
      </c>
    </row>
    <row r="70" spans="1:8" ht="15" customHeight="1">
      <c r="A70" s="42" t="str">
        <f t="shared" si="3"/>
        <v>1030</v>
      </c>
      <c r="B70" s="43" t="s">
        <v>295</v>
      </c>
      <c r="C70" s="78">
        <v>71808009.090000004</v>
      </c>
      <c r="D70" s="78" t="s">
        <v>225</v>
      </c>
      <c r="E70" s="73"/>
      <c r="G70" s="66">
        <f t="shared" si="4"/>
        <v>71808009.090000004</v>
      </c>
      <c r="H70" s="66">
        <f t="shared" si="4"/>
        <v>0</v>
      </c>
    </row>
    <row r="71" spans="1:8" ht="15" customHeight="1">
      <c r="A71" s="42" t="str">
        <f t="shared" si="3"/>
        <v>1052</v>
      </c>
      <c r="B71" s="43" t="s">
        <v>296</v>
      </c>
      <c r="C71" s="78">
        <v>58392453.649999999</v>
      </c>
      <c r="D71" s="78" t="s">
        <v>225</v>
      </c>
      <c r="E71" s="73"/>
      <c r="G71" s="66">
        <f t="shared" si="4"/>
        <v>58392453.649999999</v>
      </c>
      <c r="H71" s="66">
        <f t="shared" si="4"/>
        <v>0</v>
      </c>
    </row>
    <row r="72" spans="1:8" ht="15" customHeight="1">
      <c r="A72" s="42" t="str">
        <f t="shared" si="3"/>
        <v>1310</v>
      </c>
      <c r="B72" s="43" t="s">
        <v>297</v>
      </c>
      <c r="C72" s="78">
        <v>81652610.739999995</v>
      </c>
      <c r="D72" s="78" t="s">
        <v>225</v>
      </c>
      <c r="E72" s="73"/>
      <c r="G72" s="66">
        <f t="shared" si="4"/>
        <v>81652610.739999995</v>
      </c>
      <c r="H72" s="66">
        <f t="shared" si="4"/>
        <v>0</v>
      </c>
    </row>
    <row r="73" spans="1:8" ht="15" customHeight="1">
      <c r="A73" s="42" t="str">
        <f t="shared" si="3"/>
        <v>1210</v>
      </c>
      <c r="B73" s="43" t="s">
        <v>298</v>
      </c>
      <c r="C73" s="78">
        <v>2683823.61</v>
      </c>
      <c r="D73" s="78" t="s">
        <v>225</v>
      </c>
      <c r="E73" s="73"/>
      <c r="G73" s="66">
        <f t="shared" si="4"/>
        <v>2683823.61</v>
      </c>
      <c r="H73" s="66">
        <f t="shared" si="4"/>
        <v>0</v>
      </c>
    </row>
    <row r="74" spans="1:8" ht="15" customHeight="1">
      <c r="A74" s="42" t="str">
        <f t="shared" si="3"/>
        <v>2052</v>
      </c>
      <c r="B74" s="43" t="s">
        <v>299</v>
      </c>
      <c r="C74" s="78">
        <v>1993779612.78</v>
      </c>
      <c r="D74" s="78" t="s">
        <v>225</v>
      </c>
      <c r="E74" s="73"/>
      <c r="G74" s="66">
        <f t="shared" si="4"/>
        <v>1993779612.78</v>
      </c>
      <c r="H74" s="66">
        <f t="shared" si="4"/>
        <v>0</v>
      </c>
    </row>
    <row r="75" spans="1:8" ht="15" customHeight="1">
      <c r="A75" s="42" t="str">
        <f t="shared" si="3"/>
        <v>1549</v>
      </c>
      <c r="B75" s="43" t="s">
        <v>300</v>
      </c>
      <c r="C75" s="78" t="s">
        <v>225</v>
      </c>
      <c r="D75" s="78">
        <v>148576785.15000001</v>
      </c>
      <c r="E75" s="73"/>
      <c r="G75" s="66">
        <f t="shared" si="4"/>
        <v>0</v>
      </c>
      <c r="H75" s="66">
        <f t="shared" si="4"/>
        <v>148576785.15000001</v>
      </c>
    </row>
    <row r="76" spans="1:8" ht="15" customHeight="1">
      <c r="A76" s="42" t="str">
        <f t="shared" si="3"/>
        <v>1053</v>
      </c>
      <c r="B76" s="43" t="s">
        <v>301</v>
      </c>
      <c r="C76" s="78">
        <v>266387978.31</v>
      </c>
      <c r="D76" s="78" t="s">
        <v>225</v>
      </c>
      <c r="E76" s="73"/>
      <c r="G76" s="66">
        <f t="shared" si="4"/>
        <v>266387978.31</v>
      </c>
      <c r="H76" s="66">
        <f t="shared" si="4"/>
        <v>0</v>
      </c>
    </row>
    <row r="77" spans="1:8" ht="15" customHeight="1">
      <c r="A77" s="42" t="str">
        <f t="shared" si="3"/>
        <v>1074</v>
      </c>
      <c r="B77" s="43" t="s">
        <v>302</v>
      </c>
      <c r="C77" s="78">
        <v>429134960.38</v>
      </c>
      <c r="D77" s="78" t="s">
        <v>225</v>
      </c>
      <c r="E77" s="73"/>
      <c r="G77" s="66">
        <f t="shared" si="4"/>
        <v>429134960.38</v>
      </c>
      <c r="H77" s="66">
        <f t="shared" si="4"/>
        <v>0</v>
      </c>
    </row>
    <row r="78" spans="1:8" ht="15" customHeight="1">
      <c r="A78" s="42" t="str">
        <f t="shared" si="3"/>
        <v>1039</v>
      </c>
      <c r="B78" s="43" t="s">
        <v>303</v>
      </c>
      <c r="C78" s="78">
        <v>538202990.38999999</v>
      </c>
      <c r="D78" s="78" t="s">
        <v>225</v>
      </c>
      <c r="E78" s="73"/>
      <c r="G78" s="66">
        <f t="shared" si="4"/>
        <v>538202990.38999999</v>
      </c>
      <c r="H78" s="66">
        <f t="shared" si="4"/>
        <v>0</v>
      </c>
    </row>
    <row r="79" spans="1:8" ht="15" customHeight="1">
      <c r="A79" s="42" t="str">
        <f t="shared" si="3"/>
        <v>1040</v>
      </c>
      <c r="B79" s="43" t="s">
        <v>304</v>
      </c>
      <c r="C79" s="78">
        <v>623536778.73000002</v>
      </c>
      <c r="D79" s="78" t="s">
        <v>225</v>
      </c>
      <c r="E79" s="73"/>
      <c r="G79" s="66">
        <f t="shared" si="4"/>
        <v>623536778.73000002</v>
      </c>
      <c r="H79" s="66">
        <f t="shared" si="4"/>
        <v>0</v>
      </c>
    </row>
    <row r="80" spans="1:8" ht="15" customHeight="1">
      <c r="A80" s="42" t="str">
        <f t="shared" si="3"/>
        <v>1320</v>
      </c>
      <c r="B80" s="43" t="s">
        <v>305</v>
      </c>
      <c r="C80" s="78" t="s">
        <v>225</v>
      </c>
      <c r="D80" s="78">
        <v>21865867.350000001</v>
      </c>
      <c r="E80" s="73"/>
      <c r="G80" s="66">
        <f t="shared" si="4"/>
        <v>0</v>
      </c>
      <c r="H80" s="66">
        <f t="shared" si="4"/>
        <v>21865867.350000001</v>
      </c>
    </row>
    <row r="81" spans="1:8" ht="15" customHeight="1">
      <c r="A81" s="42" t="str">
        <f t="shared" si="3"/>
        <v>1070</v>
      </c>
      <c r="B81" s="43" t="s">
        <v>306</v>
      </c>
      <c r="C81" s="78">
        <v>3101789311.4499998</v>
      </c>
      <c r="D81" s="78" t="s">
        <v>225</v>
      </c>
      <c r="E81" s="73"/>
      <c r="G81" s="66">
        <f t="shared" si="4"/>
        <v>3101789311.4499998</v>
      </c>
      <c r="H81" s="66">
        <f t="shared" si="4"/>
        <v>0</v>
      </c>
    </row>
    <row r="82" spans="1:8" ht="15" customHeight="1">
      <c r="A82" s="42" t="str">
        <f t="shared" si="3"/>
        <v>1071</v>
      </c>
      <c r="B82" s="43" t="s">
        <v>307</v>
      </c>
      <c r="C82" s="78">
        <v>70177833.340000004</v>
      </c>
      <c r="D82" s="78" t="s">
        <v>225</v>
      </c>
      <c r="E82" s="73"/>
      <c r="G82" s="66">
        <f t="shared" si="4"/>
        <v>70177833.340000004</v>
      </c>
      <c r="H82" s="66">
        <f t="shared" si="4"/>
        <v>0</v>
      </c>
    </row>
    <row r="83" spans="1:8" s="47" customFormat="1" ht="15" customHeight="1">
      <c r="A83" s="45" t="str">
        <f>LEFT(B83,6)</f>
        <v>105031</v>
      </c>
      <c r="B83" s="46" t="s">
        <v>308</v>
      </c>
      <c r="C83" s="79">
        <v>1679772052.8399999</v>
      </c>
      <c r="D83" s="79" t="s">
        <v>225</v>
      </c>
      <c r="E83" s="80"/>
      <c r="F83" s="81"/>
      <c r="G83" s="67">
        <f t="shared" si="4"/>
        <v>1679772052.8399999</v>
      </c>
      <c r="H83" s="66">
        <f t="shared" si="4"/>
        <v>0</v>
      </c>
    </row>
    <row r="84" spans="1:8" s="47" customFormat="1" ht="15" customHeight="1">
      <c r="A84" s="45" t="str">
        <f t="shared" ref="A84:A88" si="5">LEFT(B84,6)</f>
        <v>105032</v>
      </c>
      <c r="B84" s="46" t="s">
        <v>309</v>
      </c>
      <c r="C84" s="79">
        <v>389827813.49000001</v>
      </c>
      <c r="D84" s="79" t="s">
        <v>225</v>
      </c>
      <c r="E84" s="80"/>
      <c r="F84" s="81"/>
      <c r="G84" s="66">
        <f t="shared" si="4"/>
        <v>389827813.49000001</v>
      </c>
      <c r="H84" s="66">
        <f t="shared" si="4"/>
        <v>0</v>
      </c>
    </row>
    <row r="85" spans="1:8" ht="15" customHeight="1">
      <c r="A85" s="42" t="str">
        <f t="shared" si="5"/>
        <v>105033</v>
      </c>
      <c r="B85" s="43" t="s">
        <v>310</v>
      </c>
      <c r="C85" s="78">
        <v>64723277.82</v>
      </c>
      <c r="D85" s="78" t="s">
        <v>225</v>
      </c>
      <c r="E85" s="73"/>
      <c r="G85" s="66">
        <f t="shared" si="4"/>
        <v>64723277.82</v>
      </c>
      <c r="H85" s="66">
        <f t="shared" si="4"/>
        <v>0</v>
      </c>
    </row>
    <row r="86" spans="1:8" s="47" customFormat="1" ht="15" customHeight="1">
      <c r="A86" s="45" t="str">
        <f t="shared" si="5"/>
        <v>105034</v>
      </c>
      <c r="B86" s="46" t="s">
        <v>311</v>
      </c>
      <c r="C86" s="79">
        <v>51266429.439999998</v>
      </c>
      <c r="D86" s="79" t="s">
        <v>225</v>
      </c>
      <c r="E86" s="80"/>
      <c r="F86" s="81"/>
      <c r="G86" s="66">
        <f t="shared" si="4"/>
        <v>51266429.439999998</v>
      </c>
      <c r="H86" s="66">
        <f t="shared" si="4"/>
        <v>0</v>
      </c>
    </row>
    <row r="87" spans="1:8" ht="15" customHeight="1">
      <c r="A87" s="42" t="str">
        <f t="shared" si="5"/>
        <v>105035</v>
      </c>
      <c r="B87" s="43" t="s">
        <v>312</v>
      </c>
      <c r="C87" s="78">
        <v>131665339.61</v>
      </c>
      <c r="D87" s="78" t="s">
        <v>225</v>
      </c>
      <c r="E87" s="73"/>
      <c r="G87" s="66">
        <f t="shared" si="4"/>
        <v>131665339.61</v>
      </c>
      <c r="H87" s="66">
        <f t="shared" si="4"/>
        <v>0</v>
      </c>
    </row>
    <row r="88" spans="1:8" s="47" customFormat="1" ht="15" customHeight="1">
      <c r="A88" s="45" t="str">
        <f t="shared" si="5"/>
        <v>105037</v>
      </c>
      <c r="B88" s="46" t="s">
        <v>313</v>
      </c>
      <c r="C88" s="79">
        <v>101649540.01000001</v>
      </c>
      <c r="D88" s="79" t="s">
        <v>225</v>
      </c>
      <c r="E88" s="80"/>
      <c r="F88" s="81"/>
      <c r="G88" s="66">
        <f t="shared" si="4"/>
        <v>101649540.01000001</v>
      </c>
      <c r="H88" s="66">
        <f t="shared" si="4"/>
        <v>0</v>
      </c>
    </row>
    <row r="89" spans="1:8" ht="15" customHeight="1">
      <c r="A89" s="42" t="str">
        <f t="shared" si="3"/>
        <v>1059</v>
      </c>
      <c r="B89" s="43" t="s">
        <v>314</v>
      </c>
      <c r="C89" s="78">
        <v>79852409.040000007</v>
      </c>
      <c r="D89" s="78" t="s">
        <v>225</v>
      </c>
      <c r="E89" s="73"/>
      <c r="G89" s="66">
        <f t="shared" si="4"/>
        <v>79852409.040000007</v>
      </c>
      <c r="H89" s="66">
        <f t="shared" si="4"/>
        <v>0</v>
      </c>
    </row>
    <row r="90" spans="1:8" ht="15" customHeight="1">
      <c r="A90" s="42" t="str">
        <f t="shared" si="3"/>
        <v>1060</v>
      </c>
      <c r="B90" s="43" t="s">
        <v>315</v>
      </c>
      <c r="C90" s="78">
        <v>3474166925.4299998</v>
      </c>
      <c r="D90" s="78" t="s">
        <v>225</v>
      </c>
      <c r="E90" s="73"/>
      <c r="G90" s="67">
        <f t="shared" si="4"/>
        <v>3474166925.4299998</v>
      </c>
      <c r="H90" s="66">
        <f t="shared" si="4"/>
        <v>0</v>
      </c>
    </row>
    <row r="91" spans="1:8" ht="15" customHeight="1">
      <c r="A91" s="42" t="str">
        <f t="shared" si="3"/>
        <v>1061</v>
      </c>
      <c r="B91" s="43" t="s">
        <v>316</v>
      </c>
      <c r="C91" s="78">
        <v>188544135.47999999</v>
      </c>
      <c r="D91" s="78" t="s">
        <v>225</v>
      </c>
      <c r="E91" s="73"/>
      <c r="G91" s="66">
        <f t="shared" si="4"/>
        <v>188544135.47999999</v>
      </c>
      <c r="H91" s="66">
        <f t="shared" si="4"/>
        <v>0</v>
      </c>
    </row>
    <row r="92" spans="1:8" ht="15" customHeight="1">
      <c r="A92" s="42" t="str">
        <f t="shared" si="3"/>
        <v>1062</v>
      </c>
      <c r="B92" s="43" t="s">
        <v>317</v>
      </c>
      <c r="C92" s="78">
        <v>813128631.25</v>
      </c>
      <c r="D92" s="78" t="s">
        <v>225</v>
      </c>
      <c r="E92" s="73"/>
      <c r="G92" s="66">
        <f t="shared" si="4"/>
        <v>813128631.25</v>
      </c>
      <c r="H92" s="66">
        <f t="shared" si="4"/>
        <v>0</v>
      </c>
    </row>
    <row r="93" spans="1:8" ht="15" customHeight="1">
      <c r="A93" s="42" t="str">
        <f t="shared" si="3"/>
        <v>1063</v>
      </c>
      <c r="B93" s="43" t="s">
        <v>318</v>
      </c>
      <c r="C93" s="78">
        <v>131954400.8</v>
      </c>
      <c r="D93" s="78" t="s">
        <v>225</v>
      </c>
      <c r="E93" s="73"/>
      <c r="G93" s="66">
        <f t="shared" si="4"/>
        <v>131954400.8</v>
      </c>
      <c r="H93" s="66">
        <f t="shared" si="4"/>
        <v>0</v>
      </c>
    </row>
    <row r="94" spans="1:8" ht="15" customHeight="1">
      <c r="A94" s="42" t="str">
        <f>LEFT(B94,4)</f>
        <v>1065</v>
      </c>
      <c r="B94" s="43" t="s">
        <v>319</v>
      </c>
      <c r="C94" s="78">
        <v>206881231.97999999</v>
      </c>
      <c r="D94" s="78" t="s">
        <v>225</v>
      </c>
      <c r="E94" s="73"/>
      <c r="G94" s="66">
        <f t="shared" si="4"/>
        <v>206881231.97999999</v>
      </c>
      <c r="H94" s="66">
        <f t="shared" si="4"/>
        <v>0</v>
      </c>
    </row>
    <row r="95" spans="1:8" ht="15" customHeight="1">
      <c r="A95" s="42" t="str">
        <f>LEFT(B95,4)</f>
        <v>1064</v>
      </c>
      <c r="B95" s="43" t="s">
        <v>320</v>
      </c>
      <c r="C95" s="78">
        <v>22286434.32</v>
      </c>
      <c r="D95" s="78" t="s">
        <v>225</v>
      </c>
      <c r="E95" s="73"/>
      <c r="G95" s="66">
        <f t="shared" si="4"/>
        <v>22286434.32</v>
      </c>
      <c r="H95" s="66">
        <f t="shared" si="4"/>
        <v>0</v>
      </c>
    </row>
    <row r="96" spans="1:8" ht="15" customHeight="1">
      <c r="A96" s="42" t="str">
        <f t="shared" si="3"/>
        <v>1066</v>
      </c>
      <c r="B96" s="43" t="s">
        <v>321</v>
      </c>
      <c r="C96" s="78">
        <v>1892746262.8</v>
      </c>
      <c r="D96" s="78" t="s">
        <v>225</v>
      </c>
      <c r="E96" s="73"/>
      <c r="G96" s="66">
        <f t="shared" si="4"/>
        <v>1892746262.8</v>
      </c>
      <c r="H96" s="66">
        <f t="shared" si="4"/>
        <v>0</v>
      </c>
    </row>
    <row r="97" spans="1:8" ht="15" customHeight="1">
      <c r="A97" s="42" t="str">
        <f t="shared" si="3"/>
        <v>1873</v>
      </c>
      <c r="B97" s="43" t="s">
        <v>322</v>
      </c>
      <c r="C97" s="78">
        <v>40847815</v>
      </c>
      <c r="D97" s="78" t="s">
        <v>225</v>
      </c>
      <c r="E97" s="73"/>
      <c r="G97" s="66">
        <f t="shared" si="4"/>
        <v>40847815</v>
      </c>
      <c r="H97" s="66">
        <f t="shared" si="4"/>
        <v>0</v>
      </c>
    </row>
    <row r="98" spans="1:8" ht="15" customHeight="1">
      <c r="A98" s="42" t="str">
        <f t="shared" si="3"/>
        <v>1874</v>
      </c>
      <c r="B98" s="43" t="s">
        <v>323</v>
      </c>
      <c r="C98" s="78">
        <v>1338483000</v>
      </c>
      <c r="D98" s="78" t="s">
        <v>225</v>
      </c>
      <c r="E98" s="73"/>
      <c r="G98" s="66">
        <f t="shared" si="4"/>
        <v>1338483000</v>
      </c>
      <c r="H98" s="66">
        <f t="shared" si="4"/>
        <v>0</v>
      </c>
    </row>
    <row r="99" spans="1:8" ht="15" customHeight="1">
      <c r="A99" s="42" t="str">
        <f t="shared" si="3"/>
        <v>1875</v>
      </c>
      <c r="B99" s="43" t="s">
        <v>324</v>
      </c>
      <c r="C99" s="78">
        <v>170064000</v>
      </c>
      <c r="D99" s="78" t="s">
        <v>225</v>
      </c>
      <c r="E99" s="73"/>
      <c r="G99" s="66">
        <f t="shared" si="4"/>
        <v>170064000</v>
      </c>
      <c r="H99" s="66">
        <f t="shared" si="4"/>
        <v>0</v>
      </c>
    </row>
    <row r="100" spans="1:8" ht="15" customHeight="1">
      <c r="A100" s="42" t="str">
        <f t="shared" si="3"/>
        <v>3200</v>
      </c>
      <c r="B100" s="43" t="s">
        <v>325</v>
      </c>
      <c r="C100" s="78" t="s">
        <v>225</v>
      </c>
      <c r="D100" s="78">
        <v>10085045704.74</v>
      </c>
      <c r="E100" s="73"/>
      <c r="G100" s="66">
        <f t="shared" si="4"/>
        <v>0</v>
      </c>
      <c r="H100" s="66">
        <f t="shared" si="4"/>
        <v>10085045704.74</v>
      </c>
    </row>
    <row r="101" spans="1:8" ht="15" customHeight="1">
      <c r="A101" s="42" t="str">
        <f t="shared" si="3"/>
        <v>3003</v>
      </c>
      <c r="B101" s="43" t="s">
        <v>326</v>
      </c>
      <c r="C101" s="78" t="s">
        <v>225</v>
      </c>
      <c r="D101" s="78">
        <v>94989241.769999996</v>
      </c>
      <c r="E101" s="73"/>
      <c r="G101" s="66">
        <f t="shared" si="4"/>
        <v>0</v>
      </c>
      <c r="H101" s="66">
        <f t="shared" si="4"/>
        <v>94989241.769999996</v>
      </c>
    </row>
    <row r="102" spans="1:8" ht="15" customHeight="1">
      <c r="A102" s="42" t="str">
        <f t="shared" si="3"/>
        <v>3014</v>
      </c>
      <c r="B102" s="43" t="s">
        <v>327</v>
      </c>
      <c r="C102" s="78" t="s">
        <v>225</v>
      </c>
      <c r="D102" s="78">
        <v>175025895.78</v>
      </c>
      <c r="E102" s="73"/>
      <c r="G102" s="66">
        <f t="shared" si="4"/>
        <v>0</v>
      </c>
      <c r="H102" s="66">
        <f t="shared" si="4"/>
        <v>175025895.78</v>
      </c>
    </row>
    <row r="103" spans="1:8" ht="15" customHeight="1">
      <c r="A103" s="42" t="str">
        <f t="shared" si="3"/>
        <v>3015</v>
      </c>
      <c r="B103" s="43" t="s">
        <v>328</v>
      </c>
      <c r="C103" s="78" t="s">
        <v>225</v>
      </c>
      <c r="D103" s="78">
        <v>105010758.23</v>
      </c>
      <c r="E103" s="73"/>
      <c r="G103" s="66">
        <f t="shared" si="4"/>
        <v>0</v>
      </c>
      <c r="H103" s="66">
        <f t="shared" si="4"/>
        <v>105010758.23</v>
      </c>
    </row>
    <row r="104" spans="1:8" ht="15" customHeight="1">
      <c r="A104" s="42" t="str">
        <f t="shared" si="3"/>
        <v>3001</v>
      </c>
      <c r="B104" s="43" t="s">
        <v>329</v>
      </c>
      <c r="C104" s="78" t="s">
        <v>225</v>
      </c>
      <c r="D104" s="78">
        <v>11300000000</v>
      </c>
      <c r="E104" s="73"/>
      <c r="G104" s="66">
        <f t="shared" si="4"/>
        <v>0</v>
      </c>
      <c r="H104" s="66">
        <f t="shared" si="4"/>
        <v>11300000000</v>
      </c>
    </row>
    <row r="105" spans="1:8" ht="15" customHeight="1">
      <c r="A105" s="42" t="str">
        <f t="shared" si="3"/>
        <v>3002</v>
      </c>
      <c r="B105" s="43" t="s">
        <v>330</v>
      </c>
      <c r="C105" s="78" t="s">
        <v>225</v>
      </c>
      <c r="D105" s="78">
        <v>552224104.22000003</v>
      </c>
      <c r="E105" s="73"/>
      <c r="G105" s="66">
        <f t="shared" si="4"/>
        <v>0</v>
      </c>
      <c r="H105" s="66">
        <f t="shared" si="4"/>
        <v>552224104.22000003</v>
      </c>
    </row>
    <row r="106" spans="1:8" ht="15" customHeight="1">
      <c r="A106" s="42" t="str">
        <f t="shared" si="3"/>
        <v>2060</v>
      </c>
      <c r="B106" s="43" t="s">
        <v>331</v>
      </c>
      <c r="C106" s="78" t="s">
        <v>225</v>
      </c>
      <c r="D106" s="78">
        <v>20533346143.720001</v>
      </c>
      <c r="E106" s="73"/>
      <c r="G106" s="66">
        <f t="shared" si="4"/>
        <v>0</v>
      </c>
      <c r="H106" s="66">
        <f t="shared" si="4"/>
        <v>20533346143.720001</v>
      </c>
    </row>
    <row r="107" spans="1:8" ht="15" customHeight="1">
      <c r="A107" s="42" t="str">
        <f t="shared" si="3"/>
        <v>2061</v>
      </c>
      <c r="B107" s="43" t="s">
        <v>332</v>
      </c>
      <c r="C107" s="78" t="s">
        <v>225</v>
      </c>
      <c r="D107" s="78">
        <v>1953426788.24</v>
      </c>
      <c r="E107" s="73"/>
      <c r="G107" s="66">
        <f t="shared" si="4"/>
        <v>0</v>
      </c>
      <c r="H107" s="66">
        <f t="shared" si="4"/>
        <v>1953426788.24</v>
      </c>
    </row>
    <row r="108" spans="1:8" ht="15" customHeight="1">
      <c r="A108" s="42" t="str">
        <f t="shared" si="3"/>
        <v>2058</v>
      </c>
      <c r="B108" s="43" t="s">
        <v>333</v>
      </c>
      <c r="C108" s="78" t="s">
        <v>225</v>
      </c>
      <c r="D108" s="78" t="s">
        <v>334</v>
      </c>
      <c r="E108" s="73"/>
      <c r="G108" s="66">
        <f t="shared" si="4"/>
        <v>0</v>
      </c>
      <c r="H108" s="66">
        <f t="shared" si="4"/>
        <v>0.01</v>
      </c>
    </row>
    <row r="109" spans="1:8" ht="15" customHeight="1">
      <c r="A109" s="42" t="str">
        <f t="shared" si="3"/>
        <v>2065</v>
      </c>
      <c r="B109" s="43" t="s">
        <v>335</v>
      </c>
      <c r="C109" s="78" t="s">
        <v>225</v>
      </c>
      <c r="D109" s="78">
        <v>40847815</v>
      </c>
      <c r="E109" s="73"/>
      <c r="G109" s="66">
        <f t="shared" si="4"/>
        <v>0</v>
      </c>
      <c r="H109" s="66">
        <f t="shared" si="4"/>
        <v>40847815</v>
      </c>
    </row>
    <row r="110" spans="1:8" ht="15" customHeight="1">
      <c r="A110" s="42" t="str">
        <f t="shared" si="3"/>
        <v>2068</v>
      </c>
      <c r="B110" s="43" t="s">
        <v>336</v>
      </c>
      <c r="C110" s="78" t="s">
        <v>225</v>
      </c>
      <c r="D110" s="78">
        <v>1338483000</v>
      </c>
      <c r="E110" s="73"/>
      <c r="G110" s="66">
        <f t="shared" si="4"/>
        <v>0</v>
      </c>
      <c r="H110" s="66">
        <f t="shared" si="4"/>
        <v>1338483000</v>
      </c>
    </row>
    <row r="111" spans="1:8" ht="15" customHeight="1">
      <c r="A111" s="42" t="str">
        <f t="shared" si="3"/>
        <v>2069</v>
      </c>
      <c r="B111" s="43" t="s">
        <v>337</v>
      </c>
      <c r="C111" s="78" t="s">
        <v>225</v>
      </c>
      <c r="D111" s="78">
        <v>170064000</v>
      </c>
      <c r="E111" s="73"/>
      <c r="G111" s="66">
        <f t="shared" si="4"/>
        <v>0</v>
      </c>
      <c r="H111" s="66">
        <f t="shared" si="4"/>
        <v>170064000</v>
      </c>
    </row>
    <row r="112" spans="1:8" ht="15" customHeight="1">
      <c r="A112" s="42" t="str">
        <f t="shared" si="3"/>
        <v>2554</v>
      </c>
      <c r="B112" s="43" t="s">
        <v>338</v>
      </c>
      <c r="C112" s="78" t="s">
        <v>225</v>
      </c>
      <c r="D112" s="78">
        <v>39061781.439999998</v>
      </c>
      <c r="E112" s="73"/>
      <c r="G112" s="66">
        <f t="shared" si="4"/>
        <v>0</v>
      </c>
      <c r="H112" s="66">
        <f t="shared" si="4"/>
        <v>39061781.439999998</v>
      </c>
    </row>
    <row r="113" spans="1:8" ht="15" customHeight="1">
      <c r="A113" s="42" t="str">
        <f t="shared" si="3"/>
        <v>2002</v>
      </c>
      <c r="B113" s="43" t="s">
        <v>339</v>
      </c>
      <c r="C113" s="78" t="s">
        <v>225</v>
      </c>
      <c r="D113" s="78" t="s">
        <v>340</v>
      </c>
      <c r="E113" s="73"/>
      <c r="G113" s="66">
        <f t="shared" si="4"/>
        <v>0</v>
      </c>
      <c r="H113" s="66">
        <f t="shared" si="4"/>
        <v>0.03</v>
      </c>
    </row>
    <row r="114" spans="1:8" ht="15" customHeight="1">
      <c r="A114" s="42" t="str">
        <f t="shared" si="3"/>
        <v>2051</v>
      </c>
      <c r="B114" s="43" t="s">
        <v>341</v>
      </c>
      <c r="C114" s="78" t="s">
        <v>225</v>
      </c>
      <c r="D114" s="78">
        <v>206174294.03</v>
      </c>
      <c r="E114" s="73"/>
      <c r="G114" s="66">
        <f t="shared" si="4"/>
        <v>0</v>
      </c>
      <c r="H114" s="66">
        <f t="shared" si="4"/>
        <v>206174294.03</v>
      </c>
    </row>
    <row r="115" spans="1:8" ht="15" customHeight="1">
      <c r="A115" s="42" t="str">
        <f t="shared" si="3"/>
        <v>2030</v>
      </c>
      <c r="B115" s="43" t="s">
        <v>342</v>
      </c>
      <c r="C115" s="78" t="s">
        <v>225</v>
      </c>
      <c r="D115" s="78">
        <v>26181588.190000001</v>
      </c>
      <c r="E115" s="73"/>
      <c r="G115" s="66">
        <f t="shared" si="4"/>
        <v>0</v>
      </c>
      <c r="H115" s="66">
        <f t="shared" si="4"/>
        <v>26181588.190000001</v>
      </c>
    </row>
    <row r="116" spans="1:8" ht="15" customHeight="1">
      <c r="A116" s="42" t="str">
        <f t="shared" si="3"/>
        <v>1100</v>
      </c>
      <c r="B116" s="43" t="s">
        <v>343</v>
      </c>
      <c r="C116" s="78" t="s">
        <v>225</v>
      </c>
      <c r="D116" s="78">
        <v>7000000</v>
      </c>
      <c r="E116" s="73"/>
      <c r="G116" s="66">
        <f t="shared" si="4"/>
        <v>0</v>
      </c>
      <c r="H116" s="66">
        <f t="shared" si="4"/>
        <v>7000000</v>
      </c>
    </row>
    <row r="117" spans="1:8" ht="15" customHeight="1">
      <c r="A117" s="42" t="str">
        <f t="shared" si="3"/>
        <v>2000</v>
      </c>
      <c r="B117" s="43" t="s">
        <v>344</v>
      </c>
      <c r="C117" s="78" t="s">
        <v>225</v>
      </c>
      <c r="D117" s="78">
        <v>22012166.879999999</v>
      </c>
      <c r="E117" s="73"/>
      <c r="G117" s="66">
        <f t="shared" si="4"/>
        <v>0</v>
      </c>
      <c r="H117" s="66">
        <f t="shared" si="4"/>
        <v>22012166.879999999</v>
      </c>
    </row>
    <row r="118" spans="1:8" ht="15" customHeight="1">
      <c r="A118" s="42" t="str">
        <f t="shared" si="3"/>
        <v>2070</v>
      </c>
      <c r="B118" s="43" t="s">
        <v>345</v>
      </c>
      <c r="C118" s="78" t="s">
        <v>225</v>
      </c>
      <c r="D118" s="78">
        <v>20914266967.830002</v>
      </c>
      <c r="E118" s="73"/>
      <c r="G118" s="66">
        <f t="shared" si="4"/>
        <v>0</v>
      </c>
      <c r="H118" s="66">
        <f t="shared" si="4"/>
        <v>20914266967.830002</v>
      </c>
    </row>
    <row r="119" spans="1:8" ht="15" customHeight="1">
      <c r="A119" s="42" t="str">
        <f t="shared" si="3"/>
        <v>2064</v>
      </c>
      <c r="B119" s="43" t="s">
        <v>346</v>
      </c>
      <c r="C119" s="78" t="s">
        <v>225</v>
      </c>
      <c r="D119" s="78">
        <v>39568983.659999996</v>
      </c>
      <c r="E119" s="73"/>
      <c r="G119" s="66">
        <f t="shared" si="4"/>
        <v>0</v>
      </c>
      <c r="H119" s="66">
        <f t="shared" si="4"/>
        <v>39568983.659999996</v>
      </c>
    </row>
    <row r="120" spans="1:8" ht="15" customHeight="1">
      <c r="A120" s="42" t="str">
        <f t="shared" si="3"/>
        <v>1876</v>
      </c>
      <c r="B120" s="43" t="s">
        <v>347</v>
      </c>
      <c r="C120" s="78" t="s">
        <v>225</v>
      </c>
      <c r="D120" s="78">
        <v>22286434.32</v>
      </c>
      <c r="E120" s="73"/>
      <c r="G120" s="66">
        <f t="shared" si="4"/>
        <v>0</v>
      </c>
      <c r="H120" s="66">
        <f t="shared" si="4"/>
        <v>22286434.32</v>
      </c>
    </row>
    <row r="121" spans="1:8" ht="15" customHeight="1">
      <c r="A121" s="42" t="str">
        <f t="shared" si="3"/>
        <v>2071</v>
      </c>
      <c r="B121" s="43" t="s">
        <v>348</v>
      </c>
      <c r="C121" s="78" t="s">
        <v>225</v>
      </c>
      <c r="D121" s="78">
        <v>6420655693.1599998</v>
      </c>
      <c r="E121" s="73"/>
      <c r="G121" s="66">
        <f t="shared" si="4"/>
        <v>0</v>
      </c>
      <c r="H121" s="66">
        <f t="shared" si="4"/>
        <v>6420655693.1599998</v>
      </c>
    </row>
    <row r="122" spans="1:8" ht="15" customHeight="1">
      <c r="A122" s="42" t="str">
        <f t="shared" si="3"/>
        <v>2059</v>
      </c>
      <c r="B122" s="43" t="s">
        <v>349</v>
      </c>
      <c r="C122" s="78" t="s">
        <v>225</v>
      </c>
      <c r="D122" s="78">
        <v>2340597262</v>
      </c>
      <c r="E122" s="73"/>
      <c r="G122" s="66">
        <f t="shared" si="4"/>
        <v>0</v>
      </c>
      <c r="H122" s="66">
        <f t="shared" si="4"/>
        <v>2340597262</v>
      </c>
    </row>
    <row r="123" spans="1:8" ht="15" customHeight="1">
      <c r="A123" s="42" t="str">
        <f t="shared" si="3"/>
        <v>2072</v>
      </c>
      <c r="B123" s="43" t="s">
        <v>350</v>
      </c>
      <c r="C123" s="78" t="s">
        <v>225</v>
      </c>
      <c r="D123" s="78">
        <v>29580247098.459999</v>
      </c>
      <c r="E123" s="73"/>
      <c r="G123" s="66">
        <f t="shared" si="4"/>
        <v>0</v>
      </c>
      <c r="H123" s="66">
        <f t="shared" si="4"/>
        <v>29580247098.459999</v>
      </c>
    </row>
    <row r="124" spans="1:8" ht="15" customHeight="1">
      <c r="A124" s="42" t="str">
        <f t="shared" si="3"/>
        <v>4205</v>
      </c>
      <c r="B124" s="43" t="s">
        <v>351</v>
      </c>
      <c r="C124" s="78" t="s">
        <v>225</v>
      </c>
      <c r="D124" s="78">
        <v>4664655564.3400002</v>
      </c>
      <c r="E124" s="73"/>
      <c r="G124" s="66">
        <f t="shared" si="4"/>
        <v>0</v>
      </c>
      <c r="H124" s="66">
        <f t="shared" si="4"/>
        <v>4664655564.3400002</v>
      </c>
    </row>
    <row r="125" spans="1:8" ht="15" customHeight="1">
      <c r="A125" s="42" t="str">
        <f t="shared" si="3"/>
        <v>4211</v>
      </c>
      <c r="B125" s="43" t="s">
        <v>352</v>
      </c>
      <c r="C125" s="78" t="s">
        <v>225</v>
      </c>
      <c r="D125" s="78">
        <v>270969348.60000002</v>
      </c>
      <c r="E125" s="73"/>
      <c r="G125" s="66">
        <f t="shared" si="4"/>
        <v>0</v>
      </c>
      <c r="H125" s="66">
        <f t="shared" si="4"/>
        <v>270969348.60000002</v>
      </c>
    </row>
    <row r="126" spans="1:8" ht="15" customHeight="1">
      <c r="A126" s="42" t="str">
        <f t="shared" si="3"/>
        <v>4218</v>
      </c>
      <c r="B126" s="43" t="s">
        <v>353</v>
      </c>
      <c r="C126" s="78" t="s">
        <v>225</v>
      </c>
      <c r="D126" s="78">
        <v>162692860.91999999</v>
      </c>
      <c r="E126" s="73"/>
      <c r="G126" s="66">
        <f t="shared" si="4"/>
        <v>0</v>
      </c>
      <c r="H126" s="66">
        <f t="shared" si="4"/>
        <v>162692860.91999999</v>
      </c>
    </row>
    <row r="127" spans="1:8" ht="15" customHeight="1">
      <c r="A127" s="42" t="str">
        <f t="shared" si="3"/>
        <v>4219</v>
      </c>
      <c r="B127" s="43" t="s">
        <v>354</v>
      </c>
      <c r="C127" s="78" t="s">
        <v>225</v>
      </c>
      <c r="D127" s="78">
        <v>285136670.80000001</v>
      </c>
      <c r="E127" s="73"/>
      <c r="G127" s="66">
        <f t="shared" si="4"/>
        <v>0</v>
      </c>
      <c r="H127" s="66">
        <f t="shared" si="4"/>
        <v>285136670.80000001</v>
      </c>
    </row>
    <row r="128" spans="1:8" ht="15" customHeight="1">
      <c r="A128" s="42" t="str">
        <f t="shared" si="3"/>
        <v>4207</v>
      </c>
      <c r="B128" s="43" t="s">
        <v>355</v>
      </c>
      <c r="C128" s="78" t="s">
        <v>225</v>
      </c>
      <c r="D128" s="78">
        <v>25395913.059999999</v>
      </c>
      <c r="E128" s="73"/>
      <c r="G128" s="66">
        <f t="shared" si="4"/>
        <v>0</v>
      </c>
      <c r="H128" s="66">
        <f t="shared" si="4"/>
        <v>25395913.059999999</v>
      </c>
    </row>
    <row r="129" spans="1:8" ht="15" customHeight="1">
      <c r="A129" s="42" t="str">
        <f t="shared" si="3"/>
        <v>4215</v>
      </c>
      <c r="B129" s="43" t="s">
        <v>356</v>
      </c>
      <c r="C129" s="78" t="s">
        <v>225</v>
      </c>
      <c r="D129" s="78">
        <v>554447006.83000004</v>
      </c>
      <c r="E129" s="73"/>
      <c r="G129" s="66">
        <f t="shared" si="4"/>
        <v>0</v>
      </c>
      <c r="H129" s="66">
        <f t="shared" si="4"/>
        <v>554447006.83000004</v>
      </c>
    </row>
    <row r="130" spans="1:8" ht="15" customHeight="1">
      <c r="A130" s="42" t="str">
        <f t="shared" si="3"/>
        <v>4216</v>
      </c>
      <c r="B130" s="43" t="s">
        <v>357</v>
      </c>
      <c r="C130" s="78" t="s">
        <v>225</v>
      </c>
      <c r="D130" s="78">
        <v>1513020260.1900001</v>
      </c>
      <c r="E130" s="73"/>
      <c r="G130" s="66">
        <f t="shared" si="4"/>
        <v>0</v>
      </c>
      <c r="H130" s="66">
        <f t="shared" si="4"/>
        <v>1513020260.1900001</v>
      </c>
    </row>
    <row r="131" spans="1:8" ht="15" customHeight="1">
      <c r="A131" s="42" t="str">
        <f t="shared" si="3"/>
        <v>4221</v>
      </c>
      <c r="B131" s="43" t="s">
        <v>358</v>
      </c>
      <c r="C131" s="78" t="s">
        <v>225</v>
      </c>
      <c r="D131" s="78">
        <v>2012035873.98</v>
      </c>
      <c r="E131" s="73"/>
      <c r="G131" s="66">
        <f t="shared" si="4"/>
        <v>0</v>
      </c>
      <c r="H131" s="66">
        <f t="shared" si="4"/>
        <v>2012035873.98</v>
      </c>
    </row>
    <row r="132" spans="1:8" ht="15" customHeight="1">
      <c r="A132" s="42" t="str">
        <f t="shared" si="3"/>
        <v>4222</v>
      </c>
      <c r="B132" s="43" t="s">
        <v>359</v>
      </c>
      <c r="C132" s="78" t="s">
        <v>225</v>
      </c>
      <c r="D132" s="78">
        <v>412422643.33999997</v>
      </c>
      <c r="E132" s="73"/>
      <c r="G132" s="66">
        <f t="shared" ref="G132:H193" si="6">C132*1</f>
        <v>0</v>
      </c>
      <c r="H132" s="66">
        <f t="shared" si="6"/>
        <v>412422643.33999997</v>
      </c>
    </row>
    <row r="133" spans="1:8" ht="15" customHeight="1">
      <c r="A133" s="42" t="str">
        <f t="shared" ref="A133:A194" si="7">LEFT(B133,4)</f>
        <v>4223</v>
      </c>
      <c r="B133" s="43" t="s">
        <v>360</v>
      </c>
      <c r="C133" s="78" t="s">
        <v>225</v>
      </c>
      <c r="D133" s="78">
        <v>42663694.439999998</v>
      </c>
      <c r="E133" s="73"/>
      <c r="G133" s="66">
        <f t="shared" si="6"/>
        <v>0</v>
      </c>
      <c r="H133" s="66">
        <f t="shared" si="6"/>
        <v>42663694.439999998</v>
      </c>
    </row>
    <row r="134" spans="1:8" ht="15" customHeight="1">
      <c r="A134" s="42" t="str">
        <f t="shared" si="7"/>
        <v>4224</v>
      </c>
      <c r="B134" s="43" t="s">
        <v>361</v>
      </c>
      <c r="C134" s="78" t="s">
        <v>225</v>
      </c>
      <c r="D134" s="78">
        <v>121836433.67</v>
      </c>
      <c r="E134" s="73"/>
      <c r="G134" s="66">
        <f t="shared" si="6"/>
        <v>0</v>
      </c>
      <c r="H134" s="66">
        <f t="shared" si="6"/>
        <v>121836433.67</v>
      </c>
    </row>
    <row r="135" spans="1:8" ht="15" customHeight="1">
      <c r="A135" s="42" t="str">
        <f t="shared" si="7"/>
        <v>4260</v>
      </c>
      <c r="B135" s="43" t="s">
        <v>362</v>
      </c>
      <c r="C135" s="78" t="s">
        <v>225</v>
      </c>
      <c r="D135" s="78">
        <v>91950845.530000001</v>
      </c>
      <c r="E135" s="73"/>
      <c r="G135" s="66">
        <f t="shared" si="6"/>
        <v>0</v>
      </c>
      <c r="H135" s="66">
        <f t="shared" si="6"/>
        <v>91950845.530000001</v>
      </c>
    </row>
    <row r="136" spans="1:8" ht="15" customHeight="1">
      <c r="A136" s="42" t="str">
        <f t="shared" si="7"/>
        <v>4262</v>
      </c>
      <c r="B136" s="43" t="s">
        <v>363</v>
      </c>
      <c r="C136" s="78" t="s">
        <v>225</v>
      </c>
      <c r="D136" s="78">
        <v>107021353.81</v>
      </c>
      <c r="E136" s="73"/>
      <c r="G136" s="66">
        <f t="shared" si="6"/>
        <v>0</v>
      </c>
      <c r="H136" s="66">
        <f t="shared" si="6"/>
        <v>107021353.81</v>
      </c>
    </row>
    <row r="137" spans="1:8" ht="15" customHeight="1">
      <c r="A137" s="42" t="str">
        <f t="shared" si="7"/>
        <v>4213</v>
      </c>
      <c r="B137" s="43" t="s">
        <v>364</v>
      </c>
      <c r="C137" s="78" t="s">
        <v>225</v>
      </c>
      <c r="D137" s="78">
        <v>885400450.85000002</v>
      </c>
      <c r="E137" s="73"/>
      <c r="G137" s="66">
        <f t="shared" si="6"/>
        <v>0</v>
      </c>
      <c r="H137" s="66">
        <f t="shared" si="6"/>
        <v>885400450.85000002</v>
      </c>
    </row>
    <row r="138" spans="1:8" ht="15" customHeight="1">
      <c r="A138" s="42" t="str">
        <f t="shared" si="7"/>
        <v>4871</v>
      </c>
      <c r="B138" s="43" t="s">
        <v>365</v>
      </c>
      <c r="C138" s="78" t="s">
        <v>225</v>
      </c>
      <c r="D138" s="78">
        <v>171128135</v>
      </c>
      <c r="E138" s="73"/>
      <c r="G138" s="66">
        <f t="shared" si="6"/>
        <v>0</v>
      </c>
      <c r="H138" s="66">
        <f t="shared" si="6"/>
        <v>171128135</v>
      </c>
    </row>
    <row r="139" spans="1:8" ht="15" customHeight="1">
      <c r="A139" s="42" t="str">
        <f t="shared" si="7"/>
        <v>4873</v>
      </c>
      <c r="B139" s="43" t="s">
        <v>366</v>
      </c>
      <c r="C139" s="78" t="s">
        <v>225</v>
      </c>
      <c r="D139" s="78">
        <v>311342792</v>
      </c>
      <c r="E139" s="73"/>
      <c r="G139" s="66">
        <f t="shared" si="6"/>
        <v>0</v>
      </c>
      <c r="H139" s="66">
        <f t="shared" si="6"/>
        <v>311342792</v>
      </c>
    </row>
    <row r="140" spans="1:8" ht="15" customHeight="1">
      <c r="A140" s="42" t="str">
        <f t="shared" si="7"/>
        <v>4874</v>
      </c>
      <c r="B140" s="43" t="s">
        <v>367</v>
      </c>
      <c r="C140" s="78" t="s">
        <v>225</v>
      </c>
      <c r="D140" s="78">
        <v>2463131</v>
      </c>
      <c r="E140" s="73"/>
      <c r="G140" s="66">
        <f t="shared" si="6"/>
        <v>0</v>
      </c>
      <c r="H140" s="66">
        <f t="shared" si="6"/>
        <v>2463131</v>
      </c>
    </row>
    <row r="141" spans="1:8" ht="15" customHeight="1">
      <c r="A141" s="42" t="str">
        <f t="shared" si="7"/>
        <v>4875</v>
      </c>
      <c r="B141" s="43" t="s">
        <v>368</v>
      </c>
      <c r="C141" s="78" t="s">
        <v>225</v>
      </c>
      <c r="D141" s="78">
        <v>1284900</v>
      </c>
      <c r="E141" s="73"/>
      <c r="G141" s="66">
        <f t="shared" si="6"/>
        <v>0</v>
      </c>
      <c r="H141" s="66">
        <f t="shared" si="6"/>
        <v>1284900</v>
      </c>
    </row>
    <row r="142" spans="1:8" ht="15" customHeight="1">
      <c r="A142" s="42" t="str">
        <f t="shared" si="7"/>
        <v>6751</v>
      </c>
      <c r="B142" s="43" t="s">
        <v>369</v>
      </c>
      <c r="C142" s="78">
        <v>45569973.799999997</v>
      </c>
      <c r="D142" s="78" t="s">
        <v>225</v>
      </c>
      <c r="E142" s="73"/>
      <c r="G142" s="66">
        <f t="shared" si="6"/>
        <v>45569973.799999997</v>
      </c>
      <c r="H142" s="66">
        <f t="shared" si="6"/>
        <v>0</v>
      </c>
    </row>
    <row r="143" spans="1:8" ht="15" customHeight="1">
      <c r="A143" s="42" t="str">
        <f t="shared" si="7"/>
        <v>4201</v>
      </c>
      <c r="B143" s="43" t="s">
        <v>370</v>
      </c>
      <c r="C143" s="78" t="s">
        <v>225</v>
      </c>
      <c r="D143" s="78">
        <v>39093897.990000002</v>
      </c>
      <c r="E143" s="73"/>
      <c r="G143" s="66">
        <f t="shared" si="6"/>
        <v>0</v>
      </c>
      <c r="H143" s="66">
        <f t="shared" si="6"/>
        <v>39093897.990000002</v>
      </c>
    </row>
    <row r="144" spans="1:8" ht="15" customHeight="1">
      <c r="A144" s="42" t="str">
        <f t="shared" si="7"/>
        <v>6240</v>
      </c>
      <c r="B144" s="43" t="s">
        <v>371</v>
      </c>
      <c r="C144" s="78">
        <v>111675912</v>
      </c>
      <c r="D144" s="78" t="s">
        <v>225</v>
      </c>
      <c r="E144" s="73"/>
      <c r="G144" s="66">
        <f t="shared" si="6"/>
        <v>111675912</v>
      </c>
      <c r="H144" s="66">
        <f t="shared" si="6"/>
        <v>0</v>
      </c>
    </row>
    <row r="145" spans="1:8" ht="15" customHeight="1">
      <c r="A145" s="42" t="str">
        <f t="shared" si="7"/>
        <v>6243</v>
      </c>
      <c r="B145" s="43" t="s">
        <v>372</v>
      </c>
      <c r="C145" s="78">
        <v>6543856.4800000004</v>
      </c>
      <c r="D145" s="78" t="s">
        <v>225</v>
      </c>
      <c r="E145" s="73"/>
      <c r="G145" s="66">
        <f t="shared" si="6"/>
        <v>6543856.4800000004</v>
      </c>
      <c r="H145" s="66">
        <f t="shared" si="6"/>
        <v>0</v>
      </c>
    </row>
    <row r="146" spans="1:8" ht="15" customHeight="1">
      <c r="A146" s="42" t="str">
        <f t="shared" si="7"/>
        <v>6244</v>
      </c>
      <c r="B146" s="43" t="s">
        <v>373</v>
      </c>
      <c r="C146" s="78">
        <v>55856532.710000001</v>
      </c>
      <c r="D146" s="78" t="s">
        <v>225</v>
      </c>
      <c r="E146" s="73"/>
      <c r="G146" s="66">
        <f t="shared" si="6"/>
        <v>55856532.710000001</v>
      </c>
      <c r="H146" s="66">
        <f t="shared" si="6"/>
        <v>0</v>
      </c>
    </row>
    <row r="147" spans="1:8" ht="15" customHeight="1">
      <c r="A147" s="42" t="str">
        <f t="shared" si="7"/>
        <v>6245</v>
      </c>
      <c r="B147" s="43" t="s">
        <v>374</v>
      </c>
      <c r="C147" s="78">
        <v>7772084.5099999998</v>
      </c>
      <c r="D147" s="78" t="s">
        <v>225</v>
      </c>
      <c r="E147" s="73"/>
      <c r="G147" s="66">
        <f t="shared" si="6"/>
        <v>7772084.5099999998</v>
      </c>
      <c r="H147" s="66">
        <f t="shared" si="6"/>
        <v>0</v>
      </c>
    </row>
    <row r="148" spans="1:8" ht="15" customHeight="1">
      <c r="A148" s="42" t="str">
        <f t="shared" si="7"/>
        <v>6246</v>
      </c>
      <c r="B148" s="43" t="s">
        <v>375</v>
      </c>
      <c r="C148" s="78">
        <v>281740427.08999997</v>
      </c>
      <c r="D148" s="78" t="s">
        <v>225</v>
      </c>
      <c r="E148" s="73"/>
      <c r="G148" s="66">
        <f t="shared" si="6"/>
        <v>281740427.08999997</v>
      </c>
      <c r="H148" s="66">
        <f t="shared" si="6"/>
        <v>0</v>
      </c>
    </row>
    <row r="149" spans="1:8" ht="15" customHeight="1">
      <c r="A149" s="42" t="str">
        <f t="shared" si="7"/>
        <v>6250</v>
      </c>
      <c r="B149" s="43" t="s">
        <v>376</v>
      </c>
      <c r="C149" s="78">
        <v>41170321.939999998</v>
      </c>
      <c r="D149" s="78" t="s">
        <v>225</v>
      </c>
      <c r="E149" s="73"/>
      <c r="G149" s="66">
        <f t="shared" si="6"/>
        <v>41170321.939999998</v>
      </c>
      <c r="H149" s="66">
        <f t="shared" si="6"/>
        <v>0</v>
      </c>
    </row>
    <row r="150" spans="1:8" ht="15" customHeight="1">
      <c r="A150" s="42" t="str">
        <f t="shared" si="7"/>
        <v>6330</v>
      </c>
      <c r="B150" s="43" t="s">
        <v>377</v>
      </c>
      <c r="C150" s="78">
        <v>94774136.140000001</v>
      </c>
      <c r="D150" s="78" t="s">
        <v>225</v>
      </c>
      <c r="E150" s="73"/>
      <c r="G150" s="66">
        <f t="shared" si="6"/>
        <v>94774136.140000001</v>
      </c>
      <c r="H150" s="66">
        <f t="shared" si="6"/>
        <v>0</v>
      </c>
    </row>
    <row r="151" spans="1:8" ht="15" customHeight="1">
      <c r="A151" s="42" t="str">
        <f t="shared" si="7"/>
        <v>6490</v>
      </c>
      <c r="B151" s="43" t="s">
        <v>378</v>
      </c>
      <c r="C151" s="78">
        <v>52240554.090000004</v>
      </c>
      <c r="D151" s="78" t="s">
        <v>225</v>
      </c>
      <c r="E151" s="73"/>
      <c r="G151" s="66">
        <f t="shared" si="6"/>
        <v>52240554.090000004</v>
      </c>
      <c r="H151" s="66">
        <f t="shared" si="6"/>
        <v>0</v>
      </c>
    </row>
    <row r="152" spans="1:8" ht="15" customHeight="1">
      <c r="A152" s="42" t="str">
        <f t="shared" si="7"/>
        <v>6010</v>
      </c>
      <c r="B152" s="43" t="s">
        <v>379</v>
      </c>
      <c r="C152" s="78">
        <v>18643890.879999999</v>
      </c>
      <c r="D152" s="78" t="s">
        <v>225</v>
      </c>
      <c r="E152" s="73"/>
      <c r="G152" s="66">
        <f t="shared" si="6"/>
        <v>18643890.879999999</v>
      </c>
      <c r="H152" s="66">
        <f t="shared" si="6"/>
        <v>0</v>
      </c>
    </row>
    <row r="153" spans="1:8" ht="15" customHeight="1">
      <c r="A153" s="42" t="str">
        <f t="shared" si="7"/>
        <v>6650</v>
      </c>
      <c r="B153" s="43" t="s">
        <v>380</v>
      </c>
      <c r="C153" s="78">
        <v>446944.68</v>
      </c>
      <c r="D153" s="78" t="s">
        <v>225</v>
      </c>
      <c r="E153" s="73"/>
      <c r="G153" s="66">
        <f t="shared" si="6"/>
        <v>446944.68</v>
      </c>
      <c r="H153" s="66">
        <f t="shared" si="6"/>
        <v>0</v>
      </c>
    </row>
    <row r="154" spans="1:8" ht="15" customHeight="1">
      <c r="A154" s="42" t="str">
        <f t="shared" si="7"/>
        <v>6710</v>
      </c>
      <c r="B154" s="43" t="s">
        <v>381</v>
      </c>
      <c r="C154" s="78">
        <v>64375578.68</v>
      </c>
      <c r="D154" s="78" t="s">
        <v>225</v>
      </c>
      <c r="E154" s="73"/>
      <c r="G154" s="66">
        <f t="shared" si="6"/>
        <v>64375578.68</v>
      </c>
      <c r="H154" s="66">
        <f t="shared" si="6"/>
        <v>0</v>
      </c>
    </row>
    <row r="155" spans="1:8" ht="15" customHeight="1">
      <c r="A155" s="42" t="str">
        <f t="shared" si="7"/>
        <v>6720</v>
      </c>
      <c r="B155" s="43" t="s">
        <v>382</v>
      </c>
      <c r="C155" s="78">
        <v>10269719.98</v>
      </c>
      <c r="D155" s="78" t="s">
        <v>225</v>
      </c>
      <c r="E155" s="73"/>
      <c r="G155" s="66">
        <f t="shared" si="6"/>
        <v>10269719.98</v>
      </c>
      <c r="H155" s="66">
        <f t="shared" si="6"/>
        <v>0</v>
      </c>
    </row>
    <row r="156" spans="1:8" ht="15" customHeight="1">
      <c r="A156" s="42" t="str">
        <f t="shared" si="7"/>
        <v>6730</v>
      </c>
      <c r="B156" s="43" t="s">
        <v>383</v>
      </c>
      <c r="C156" s="78">
        <v>70683022.379999995</v>
      </c>
      <c r="D156" s="78" t="s">
        <v>225</v>
      </c>
      <c r="E156" s="73"/>
      <c r="G156" s="66">
        <f t="shared" si="6"/>
        <v>70683022.379999995</v>
      </c>
      <c r="H156" s="66">
        <f t="shared" si="6"/>
        <v>0</v>
      </c>
    </row>
    <row r="157" spans="1:8" ht="15" customHeight="1">
      <c r="A157" s="42" t="str">
        <f t="shared" si="7"/>
        <v>6740</v>
      </c>
      <c r="B157" s="43" t="s">
        <v>384</v>
      </c>
      <c r="C157" s="78">
        <v>145567970.03999999</v>
      </c>
      <c r="D157" s="78" t="s">
        <v>225</v>
      </c>
      <c r="E157" s="73"/>
      <c r="G157" s="66">
        <f t="shared" si="6"/>
        <v>145567970.03999999</v>
      </c>
      <c r="H157" s="66">
        <f t="shared" si="6"/>
        <v>0</v>
      </c>
    </row>
    <row r="158" spans="1:8" ht="15" customHeight="1">
      <c r="A158" s="42" t="str">
        <f t="shared" si="7"/>
        <v>6750</v>
      </c>
      <c r="B158" s="43" t="s">
        <v>385</v>
      </c>
      <c r="C158" s="78">
        <v>14000000</v>
      </c>
      <c r="D158" s="78" t="s">
        <v>225</v>
      </c>
      <c r="E158" s="73"/>
      <c r="G158" s="66">
        <f t="shared" si="6"/>
        <v>14000000</v>
      </c>
      <c r="H158" s="66">
        <f t="shared" si="6"/>
        <v>0</v>
      </c>
    </row>
    <row r="159" spans="1:8" ht="15" customHeight="1">
      <c r="A159" s="42" t="str">
        <f t="shared" si="7"/>
        <v>6810</v>
      </c>
      <c r="B159" s="43" t="s">
        <v>386</v>
      </c>
      <c r="C159" s="78">
        <v>145355684.21000001</v>
      </c>
      <c r="D159" s="78" t="s">
        <v>225</v>
      </c>
      <c r="E159" s="73"/>
      <c r="G159" s="66">
        <f t="shared" si="6"/>
        <v>145355684.21000001</v>
      </c>
      <c r="H159" s="66">
        <f t="shared" si="6"/>
        <v>0</v>
      </c>
    </row>
    <row r="160" spans="1:8" ht="15" customHeight="1">
      <c r="A160" s="42" t="str">
        <f t="shared" si="7"/>
        <v>6820</v>
      </c>
      <c r="B160" s="43" t="s">
        <v>387</v>
      </c>
      <c r="C160" s="78">
        <v>102245.88</v>
      </c>
      <c r="D160" s="78" t="s">
        <v>225</v>
      </c>
      <c r="E160" s="73"/>
      <c r="G160" s="66">
        <f t="shared" si="6"/>
        <v>102245.88</v>
      </c>
      <c r="H160" s="66">
        <f t="shared" si="6"/>
        <v>0</v>
      </c>
    </row>
    <row r="161" spans="1:8" ht="15" customHeight="1">
      <c r="A161" s="42" t="str">
        <f t="shared" si="7"/>
        <v>6840</v>
      </c>
      <c r="B161" s="43" t="s">
        <v>388</v>
      </c>
      <c r="C161" s="78">
        <v>138641956.30000001</v>
      </c>
      <c r="D161" s="78" t="s">
        <v>225</v>
      </c>
      <c r="E161" s="73"/>
      <c r="G161" s="66">
        <f t="shared" si="6"/>
        <v>138641956.30000001</v>
      </c>
      <c r="H161" s="66">
        <f t="shared" si="6"/>
        <v>0</v>
      </c>
    </row>
    <row r="162" spans="1:8" ht="15" customHeight="1">
      <c r="A162" s="42" t="str">
        <f t="shared" si="7"/>
        <v>5007</v>
      </c>
      <c r="B162" s="43" t="s">
        <v>389</v>
      </c>
      <c r="C162" s="78">
        <v>5927000</v>
      </c>
      <c r="D162" s="78" t="s">
        <v>225</v>
      </c>
      <c r="E162" s="73"/>
      <c r="G162" s="66">
        <f t="shared" si="6"/>
        <v>5927000</v>
      </c>
      <c r="H162" s="66">
        <f t="shared" si="6"/>
        <v>0</v>
      </c>
    </row>
    <row r="163" spans="1:8" ht="15" customHeight="1">
      <c r="A163" s="42" t="str">
        <f t="shared" si="7"/>
        <v>6050</v>
      </c>
      <c r="B163" s="43" t="s">
        <v>390</v>
      </c>
      <c r="C163" s="78">
        <v>630000</v>
      </c>
      <c r="D163" s="78" t="s">
        <v>225</v>
      </c>
      <c r="E163" s="73"/>
      <c r="G163" s="66">
        <f t="shared" si="6"/>
        <v>630000</v>
      </c>
      <c r="H163" s="66">
        <f t="shared" si="6"/>
        <v>0</v>
      </c>
    </row>
    <row r="164" spans="1:8" ht="15" customHeight="1">
      <c r="A164" s="42" t="str">
        <f t="shared" si="7"/>
        <v>6200</v>
      </c>
      <c r="B164" s="43" t="s">
        <v>391</v>
      </c>
      <c r="C164" s="78">
        <v>182628477.86000001</v>
      </c>
      <c r="D164" s="78" t="s">
        <v>225</v>
      </c>
      <c r="E164" s="73"/>
      <c r="G164" s="66">
        <f t="shared" si="6"/>
        <v>182628477.86000001</v>
      </c>
      <c r="H164" s="66">
        <f t="shared" si="6"/>
        <v>0</v>
      </c>
    </row>
    <row r="165" spans="1:8" ht="15" customHeight="1">
      <c r="A165" s="42" t="str">
        <f t="shared" si="7"/>
        <v>6860</v>
      </c>
      <c r="B165" s="43" t="s">
        <v>392</v>
      </c>
      <c r="C165" s="78">
        <v>14188693.560000001</v>
      </c>
      <c r="D165" s="78" t="s">
        <v>225</v>
      </c>
      <c r="E165" s="73"/>
      <c r="G165" s="66">
        <f t="shared" si="6"/>
        <v>14188693.560000001</v>
      </c>
      <c r="H165" s="66">
        <f t="shared" si="6"/>
        <v>0</v>
      </c>
    </row>
    <row r="166" spans="1:8" ht="15" customHeight="1">
      <c r="A166" s="42" t="str">
        <f t="shared" si="7"/>
        <v>6754</v>
      </c>
      <c r="B166" s="43" t="s">
        <v>393</v>
      </c>
      <c r="C166" s="78">
        <v>54244136.719999999</v>
      </c>
      <c r="D166" s="78" t="s">
        <v>225</v>
      </c>
      <c r="E166" s="73"/>
      <c r="G166" s="66">
        <f t="shared" si="6"/>
        <v>54244136.719999999</v>
      </c>
      <c r="H166" s="66">
        <f t="shared" si="6"/>
        <v>0</v>
      </c>
    </row>
    <row r="167" spans="1:8" ht="15" customHeight="1">
      <c r="A167" s="42" t="str">
        <f t="shared" si="7"/>
        <v>6755</v>
      </c>
      <c r="B167" s="43" t="s">
        <v>394</v>
      </c>
      <c r="C167" s="78">
        <v>54542681.799999997</v>
      </c>
      <c r="D167" s="78" t="s">
        <v>225</v>
      </c>
      <c r="E167" s="73"/>
      <c r="G167" s="66">
        <f t="shared" si="6"/>
        <v>54542681.799999997</v>
      </c>
      <c r="H167" s="66">
        <f t="shared" si="6"/>
        <v>0</v>
      </c>
    </row>
    <row r="168" spans="1:8" ht="15" customHeight="1">
      <c r="A168" s="42" t="str">
        <f t="shared" si="7"/>
        <v>6756</v>
      </c>
      <c r="B168" s="43" t="s">
        <v>395</v>
      </c>
      <c r="C168" s="78">
        <v>35321914.780000001</v>
      </c>
      <c r="D168" s="78" t="s">
        <v>225</v>
      </c>
      <c r="E168" s="73"/>
      <c r="G168" s="66">
        <f t="shared" si="6"/>
        <v>35321914.780000001</v>
      </c>
      <c r="H168" s="66">
        <f t="shared" si="6"/>
        <v>0</v>
      </c>
    </row>
    <row r="169" spans="1:8" ht="15" customHeight="1">
      <c r="A169" s="42" t="str">
        <f t="shared" si="7"/>
        <v>6757</v>
      </c>
      <c r="B169" s="43" t="s">
        <v>396</v>
      </c>
      <c r="C169" s="78">
        <v>22012020</v>
      </c>
      <c r="D169" s="78" t="s">
        <v>225</v>
      </c>
      <c r="E169" s="73"/>
      <c r="G169" s="66">
        <f t="shared" si="6"/>
        <v>22012020</v>
      </c>
      <c r="H169" s="66">
        <f t="shared" si="6"/>
        <v>0</v>
      </c>
    </row>
    <row r="170" spans="1:8" ht="15" customHeight="1">
      <c r="A170" s="42" t="str">
        <f t="shared" si="7"/>
        <v>6758</v>
      </c>
      <c r="B170" s="43" t="s">
        <v>397</v>
      </c>
      <c r="C170" s="78">
        <v>9330644.2200000007</v>
      </c>
      <c r="D170" s="78" t="s">
        <v>225</v>
      </c>
      <c r="E170" s="73"/>
      <c r="G170" s="66">
        <f t="shared" si="6"/>
        <v>9330644.2200000007</v>
      </c>
      <c r="H170" s="66">
        <f t="shared" si="6"/>
        <v>0</v>
      </c>
    </row>
    <row r="171" spans="1:8" ht="15" customHeight="1">
      <c r="A171" s="42" t="str">
        <f t="shared" si="7"/>
        <v>5004</v>
      </c>
      <c r="B171" s="43" t="s">
        <v>398</v>
      </c>
      <c r="C171" s="78">
        <v>141370669.09999999</v>
      </c>
      <c r="D171" s="78" t="s">
        <v>225</v>
      </c>
      <c r="E171" s="73"/>
      <c r="G171" s="66">
        <f t="shared" si="6"/>
        <v>141370669.09999999</v>
      </c>
      <c r="H171" s="66">
        <f t="shared" si="6"/>
        <v>0</v>
      </c>
    </row>
    <row r="172" spans="1:8" ht="15" customHeight="1">
      <c r="A172" s="42" t="str">
        <f t="shared" si="7"/>
        <v>5005</v>
      </c>
      <c r="B172" s="43" t="s">
        <v>399</v>
      </c>
      <c r="C172" s="78">
        <v>139212365.75999999</v>
      </c>
      <c r="D172" s="78" t="s">
        <v>225</v>
      </c>
      <c r="E172" s="73"/>
      <c r="G172" s="66">
        <f t="shared" si="6"/>
        <v>139212365.75999999</v>
      </c>
      <c r="H172" s="66">
        <f t="shared" si="6"/>
        <v>0</v>
      </c>
    </row>
    <row r="173" spans="1:8" ht="15" customHeight="1">
      <c r="A173" s="42" t="str">
        <f t="shared" si="7"/>
        <v>5006</v>
      </c>
      <c r="B173" s="43" t="s">
        <v>400</v>
      </c>
      <c r="C173" s="78">
        <v>58559607.840000004</v>
      </c>
      <c r="D173" s="78" t="s">
        <v>225</v>
      </c>
      <c r="E173" s="73"/>
      <c r="G173" s="66">
        <f t="shared" si="6"/>
        <v>58559607.840000004</v>
      </c>
      <c r="H173" s="66">
        <f t="shared" si="6"/>
        <v>0</v>
      </c>
    </row>
    <row r="174" spans="1:8" ht="15" customHeight="1">
      <c r="A174" s="42" t="str">
        <f t="shared" si="7"/>
        <v>5010</v>
      </c>
      <c r="B174" s="43" t="s">
        <v>401</v>
      </c>
      <c r="C174" s="78">
        <v>79012489.010000005</v>
      </c>
      <c r="D174" s="78" t="s">
        <v>225</v>
      </c>
      <c r="E174" s="73"/>
      <c r="G174" s="66">
        <f t="shared" si="6"/>
        <v>79012489.010000005</v>
      </c>
      <c r="H174" s="66">
        <f t="shared" si="6"/>
        <v>0</v>
      </c>
    </row>
    <row r="175" spans="1:8" ht="15" customHeight="1">
      <c r="A175" s="42" t="str">
        <f t="shared" si="7"/>
        <v>5011</v>
      </c>
      <c r="B175" s="43" t="s">
        <v>402</v>
      </c>
      <c r="C175" s="78">
        <v>245000</v>
      </c>
      <c r="D175" s="78" t="s">
        <v>225</v>
      </c>
      <c r="E175" s="73"/>
      <c r="G175" s="66">
        <f t="shared" si="6"/>
        <v>245000</v>
      </c>
      <c r="H175" s="66">
        <f t="shared" si="6"/>
        <v>0</v>
      </c>
    </row>
    <row r="176" spans="1:8" ht="15" customHeight="1">
      <c r="A176" s="42" t="str">
        <f t="shared" si="7"/>
        <v>6752</v>
      </c>
      <c r="B176" s="43" t="s">
        <v>403</v>
      </c>
      <c r="C176" s="78">
        <v>125529121.97</v>
      </c>
      <c r="D176" s="78" t="s">
        <v>225</v>
      </c>
      <c r="E176" s="73"/>
      <c r="G176" s="66">
        <f t="shared" si="6"/>
        <v>125529121.97</v>
      </c>
      <c r="H176" s="66">
        <f t="shared" si="6"/>
        <v>0</v>
      </c>
    </row>
    <row r="177" spans="1:8" ht="15" customHeight="1">
      <c r="A177" s="42" t="str">
        <f t="shared" si="7"/>
        <v>5012</v>
      </c>
      <c r="B177" s="43" t="s">
        <v>404</v>
      </c>
      <c r="C177" s="78">
        <v>22995378.149999999</v>
      </c>
      <c r="D177" s="78" t="s">
        <v>225</v>
      </c>
      <c r="E177" s="73"/>
      <c r="G177" s="66">
        <f t="shared" si="6"/>
        <v>22995378.149999999</v>
      </c>
      <c r="H177" s="66">
        <f t="shared" si="6"/>
        <v>0</v>
      </c>
    </row>
    <row r="178" spans="1:8" ht="15" customHeight="1">
      <c r="A178" s="42" t="str">
        <f t="shared" si="7"/>
        <v>6030</v>
      </c>
      <c r="B178" s="43" t="s">
        <v>405</v>
      </c>
      <c r="C178" s="78">
        <v>5267854.63</v>
      </c>
      <c r="D178" s="78" t="s">
        <v>225</v>
      </c>
      <c r="E178" s="73"/>
      <c r="G178" s="66">
        <f t="shared" si="6"/>
        <v>5267854.63</v>
      </c>
      <c r="H178" s="66">
        <f t="shared" si="6"/>
        <v>0</v>
      </c>
    </row>
    <row r="179" spans="1:8" ht="15" customHeight="1">
      <c r="A179" s="42" t="str">
        <f t="shared" si="7"/>
        <v>6000</v>
      </c>
      <c r="B179" s="43" t="s">
        <v>406</v>
      </c>
      <c r="C179" s="78">
        <v>160880358.75</v>
      </c>
      <c r="D179" s="78" t="s">
        <v>225</v>
      </c>
      <c r="E179" s="73"/>
      <c r="G179" s="66">
        <f t="shared" si="6"/>
        <v>160880358.75</v>
      </c>
      <c r="H179" s="66">
        <f t="shared" si="6"/>
        <v>0</v>
      </c>
    </row>
    <row r="180" spans="1:8" ht="15" customHeight="1">
      <c r="A180" s="42" t="str">
        <f t="shared" si="7"/>
        <v>6020</v>
      </c>
      <c r="B180" s="43" t="s">
        <v>407</v>
      </c>
      <c r="C180" s="78">
        <v>102665807.91</v>
      </c>
      <c r="D180" s="78" t="s">
        <v>225</v>
      </c>
      <c r="E180" s="73"/>
      <c r="G180" s="66">
        <f t="shared" si="6"/>
        <v>102665807.91</v>
      </c>
      <c r="H180" s="66">
        <f t="shared" si="6"/>
        <v>0</v>
      </c>
    </row>
    <row r="181" spans="1:8" ht="15" customHeight="1">
      <c r="A181" s="42" t="str">
        <f t="shared" si="7"/>
        <v>6040</v>
      </c>
      <c r="B181" s="43" t="s">
        <v>408</v>
      </c>
      <c r="C181" s="78">
        <v>14001351.07</v>
      </c>
      <c r="D181" s="78" t="s">
        <v>225</v>
      </c>
      <c r="E181" s="73"/>
      <c r="G181" s="66">
        <f t="shared" si="6"/>
        <v>14001351.07</v>
      </c>
      <c r="H181" s="66">
        <f t="shared" si="6"/>
        <v>0</v>
      </c>
    </row>
    <row r="182" spans="1:8" ht="15" customHeight="1">
      <c r="A182" s="42" t="str">
        <f t="shared" si="7"/>
        <v>5014</v>
      </c>
      <c r="B182" s="43" t="s">
        <v>409</v>
      </c>
      <c r="C182" s="78">
        <v>6638456</v>
      </c>
      <c r="D182" s="78" t="s">
        <v>225</v>
      </c>
      <c r="E182" s="73"/>
      <c r="G182" s="66">
        <f t="shared" si="6"/>
        <v>6638456</v>
      </c>
      <c r="H182" s="66">
        <f t="shared" si="6"/>
        <v>0</v>
      </c>
    </row>
    <row r="183" spans="1:8" ht="15" customHeight="1">
      <c r="A183" s="42" t="str">
        <f t="shared" si="7"/>
        <v>5015</v>
      </c>
      <c r="B183" s="43" t="s">
        <v>410</v>
      </c>
      <c r="C183" s="78">
        <v>871785.68</v>
      </c>
      <c r="D183" s="78" t="s">
        <v>225</v>
      </c>
      <c r="E183" s="73"/>
      <c r="G183" s="66">
        <f t="shared" si="6"/>
        <v>871785.68</v>
      </c>
      <c r="H183" s="66">
        <f t="shared" si="6"/>
        <v>0</v>
      </c>
    </row>
    <row r="184" spans="1:8" ht="15" customHeight="1">
      <c r="A184" s="42" t="str">
        <f t="shared" si="7"/>
        <v>5051</v>
      </c>
      <c r="B184" s="43" t="s">
        <v>411</v>
      </c>
      <c r="C184" s="78">
        <v>113697760.98999999</v>
      </c>
      <c r="D184" s="78" t="s">
        <v>225</v>
      </c>
      <c r="E184" s="73"/>
      <c r="G184" s="66">
        <f t="shared" si="6"/>
        <v>113697760.98999999</v>
      </c>
      <c r="H184" s="66">
        <f t="shared" si="6"/>
        <v>0</v>
      </c>
    </row>
    <row r="185" spans="1:8" ht="15" customHeight="1">
      <c r="A185" s="42" t="str">
        <f t="shared" si="7"/>
        <v>5052</v>
      </c>
      <c r="B185" s="43" t="s">
        <v>412</v>
      </c>
      <c r="C185" s="78">
        <v>1166573641.3099999</v>
      </c>
      <c r="D185" s="78" t="s">
        <v>225</v>
      </c>
      <c r="E185" s="73"/>
      <c r="G185" s="66">
        <f t="shared" si="6"/>
        <v>1166573641.3099999</v>
      </c>
      <c r="H185" s="66">
        <f t="shared" si="6"/>
        <v>0</v>
      </c>
    </row>
    <row r="186" spans="1:8" ht="15" customHeight="1">
      <c r="A186" s="42" t="str">
        <f t="shared" si="7"/>
        <v>5053</v>
      </c>
      <c r="B186" s="43" t="s">
        <v>413</v>
      </c>
      <c r="C186" s="78">
        <v>30889340.100000001</v>
      </c>
      <c r="D186" s="78" t="s">
        <v>225</v>
      </c>
      <c r="E186" s="73"/>
      <c r="G186" s="66">
        <f t="shared" si="6"/>
        <v>30889340.100000001</v>
      </c>
      <c r="H186" s="66">
        <f t="shared" si="6"/>
        <v>0</v>
      </c>
    </row>
    <row r="187" spans="1:8" ht="15" customHeight="1">
      <c r="A187" s="42" t="str">
        <f t="shared" si="7"/>
        <v>5056</v>
      </c>
      <c r="B187" s="43" t="s">
        <v>414</v>
      </c>
      <c r="C187" s="78">
        <v>167950171.59</v>
      </c>
      <c r="D187" s="78" t="s">
        <v>225</v>
      </c>
      <c r="E187" s="73"/>
      <c r="G187" s="66">
        <f t="shared" si="6"/>
        <v>167950171.59</v>
      </c>
      <c r="H187" s="66">
        <f t="shared" si="6"/>
        <v>0</v>
      </c>
    </row>
    <row r="188" spans="1:8" ht="15" customHeight="1">
      <c r="A188" s="42" t="str">
        <f t="shared" si="7"/>
        <v>6801</v>
      </c>
      <c r="B188" s="43" t="s">
        <v>415</v>
      </c>
      <c r="C188" s="78">
        <v>6687694.6699999999</v>
      </c>
      <c r="D188" s="78" t="s">
        <v>225</v>
      </c>
      <c r="E188" s="73"/>
      <c r="G188" s="66">
        <f t="shared" si="6"/>
        <v>6687694.6699999999</v>
      </c>
      <c r="H188" s="66">
        <f t="shared" si="6"/>
        <v>0</v>
      </c>
    </row>
    <row r="189" spans="1:8" ht="15" customHeight="1">
      <c r="A189" s="42" t="str">
        <f t="shared" si="7"/>
        <v>6802</v>
      </c>
      <c r="B189" s="43" t="s">
        <v>416</v>
      </c>
      <c r="C189" s="78">
        <v>62165939.850000001</v>
      </c>
      <c r="D189" s="78" t="s">
        <v>225</v>
      </c>
      <c r="E189" s="73"/>
      <c r="G189" s="66">
        <f t="shared" si="6"/>
        <v>62165939.850000001</v>
      </c>
      <c r="H189" s="66">
        <f t="shared" si="6"/>
        <v>0</v>
      </c>
    </row>
    <row r="190" spans="1:8" ht="15" customHeight="1">
      <c r="A190" s="42" t="str">
        <f t="shared" si="7"/>
        <v>6242</v>
      </c>
      <c r="B190" s="43" t="s">
        <v>417</v>
      </c>
      <c r="C190" s="78">
        <v>656093875.49000001</v>
      </c>
      <c r="D190" s="78" t="s">
        <v>225</v>
      </c>
      <c r="E190" s="73"/>
      <c r="G190" s="66">
        <f t="shared" si="6"/>
        <v>656093875.49000001</v>
      </c>
      <c r="H190" s="66">
        <f t="shared" si="6"/>
        <v>0</v>
      </c>
    </row>
    <row r="191" spans="1:8" ht="15" customHeight="1">
      <c r="A191" s="42" t="str">
        <f t="shared" si="7"/>
        <v>6340</v>
      </c>
      <c r="B191" s="43" t="s">
        <v>418</v>
      </c>
      <c r="C191" s="78">
        <v>534156079.52999997</v>
      </c>
      <c r="D191" s="78" t="s">
        <v>225</v>
      </c>
      <c r="E191" s="73"/>
      <c r="G191" s="66">
        <f t="shared" si="6"/>
        <v>534156079.52999997</v>
      </c>
      <c r="H191" s="66">
        <f t="shared" si="6"/>
        <v>0</v>
      </c>
    </row>
    <row r="192" spans="1:8" ht="15" customHeight="1">
      <c r="A192" s="42" t="str">
        <f t="shared" si="7"/>
        <v>4892</v>
      </c>
      <c r="B192" s="43" t="s">
        <v>419</v>
      </c>
      <c r="C192" s="78" t="s">
        <v>225</v>
      </c>
      <c r="D192" s="78">
        <v>282446928.19999999</v>
      </c>
      <c r="E192" s="73"/>
      <c r="G192" s="66">
        <f t="shared" si="6"/>
        <v>0</v>
      </c>
      <c r="H192" s="66">
        <f t="shared" si="6"/>
        <v>282446928.19999999</v>
      </c>
    </row>
    <row r="193" spans="1:8" ht="15" customHeight="1" thickBot="1">
      <c r="A193" s="42" t="str">
        <f t="shared" si="7"/>
        <v>4890</v>
      </c>
      <c r="B193" s="43" t="s">
        <v>420</v>
      </c>
      <c r="C193" s="78" t="s">
        <v>225</v>
      </c>
      <c r="D193" s="78">
        <v>1146800</v>
      </c>
      <c r="E193" s="73"/>
      <c r="G193" s="66">
        <f t="shared" si="6"/>
        <v>0</v>
      </c>
      <c r="H193" s="66">
        <f t="shared" si="6"/>
        <v>1146800</v>
      </c>
    </row>
    <row r="194" spans="1:8" ht="15" customHeight="1" thickBot="1">
      <c r="A194" s="42" t="str">
        <f t="shared" si="7"/>
        <v>Gran</v>
      </c>
      <c r="B194" s="48" t="s">
        <v>223</v>
      </c>
      <c r="C194" s="76">
        <v>122650199563.49001</v>
      </c>
      <c r="D194" s="76">
        <v>122650199563.49001</v>
      </c>
      <c r="E194" s="73"/>
      <c r="G194" s="75">
        <f>SUM(G3:G193)</f>
        <v>122650199563.48999</v>
      </c>
      <c r="H194" s="75">
        <f>SUM(H3:H193)</f>
        <v>122650199563.49001</v>
      </c>
    </row>
    <row r="195" spans="1:8" ht="192" customHeight="1">
      <c r="A195" s="42"/>
      <c r="B195" s="42"/>
      <c r="C195" s="73"/>
      <c r="D195" s="73"/>
      <c r="E195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AFS TB as of 19th Mar 26</vt:lpstr>
      <vt:lpstr>Initial TB Submitted to Auditor</vt:lpstr>
      <vt:lpstr>TB December 2025   </vt:lpstr>
      <vt:lpstr>Final E-Banker TB 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Thomson Nelson Kumwenda</dc:creator>
  <cp:lastModifiedBy>Themba Mazibuko</cp:lastModifiedBy>
  <cp:lastPrinted>2026-05-11T09:56:58Z</cp:lastPrinted>
  <dcterms:created xsi:type="dcterms:W3CDTF">2026-03-19T16:49:25Z</dcterms:created>
  <dcterms:modified xsi:type="dcterms:W3CDTF">2026-09-10T11:06:04Z</dcterms:modified>
</cp:coreProperties>
</file>